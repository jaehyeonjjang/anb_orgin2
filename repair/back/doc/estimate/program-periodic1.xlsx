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갑지!$F$1:$AG$44</definedName>
    <definedName name="_xlnm.Print_Area" localSheetId="2">계약서!$E$1:$X$113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<sst xmlns="http://schemas.openxmlformats.org/spreadsheetml/2006/main" count="201" uniqueCount="201">
  <si>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</si>
  <si>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</si>
  <si>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</si>
  <si>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</si>
  <si>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</si>
  <si>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</si>
  <si>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</si>
  <si>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</si>
  <si>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</si>
  <si>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</si>
  <si>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</si>
  <si>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</si>
  <si>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</si>
  <si>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</si>
  <si>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</si>
  <si>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</si>
  <si>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</si>
  <si>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</si>
  <si>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</si>
  <si>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</si>
  <si>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</si>
  <si>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</si>
  <si>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</si>
  <si>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</si>
  <si>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</si>
  <si>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</si>
  <si>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</si>
  <si>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</si>
  <si>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</si>
  <si>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</si>
  <si>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</si>
  <si>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</si>
  <si>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</si>
  <si>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</si>
  <si>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</si>
  <si>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</si>
  <si>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</si>
  <si>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</si>
  <si>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</si>
  <si>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</si>
  <si>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</si>
  <si>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</si>
  <si>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</si>
  <si>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</si>
  <si>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</si>
  <si>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</si>
  <si>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</si>
  <si>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</si>
  <si>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</si>
  <si>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</si>
  <si>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</si>
  <si>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</si>
  <si>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</si>
  <si>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</si>
  <si>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</si>
  <si>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</si>
  <si>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</si>
  <si>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</si>
  <si>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</si>
  <si>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</si>
  <si>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</si>
  <si>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</si>
  <si>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</si>
  <si>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</si>
  <si>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</si>
  <si>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</si>
  <si>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</si>
  <si>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</si>
  <si>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</si>
  <si>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</si>
  <si>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</si>
  <si>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</si>
  <si>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</si>
  <si>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</si>
  <si>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</si>
  <si>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</si>
  <si>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</si>
  <si>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</si>
  <si>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</si>
  <si>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</si>
  <si>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</si>
  <si>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</si>
  <si>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</si>
  <si>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</si>
  <si>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</si>
  <si>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</si>
  <si>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</si>
  <si>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</si>
  <si>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</si>
  <si>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</si>
  <si>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</si>
  <si>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</si>
  <si>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</si>
  <si>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rPr>
        <sz val="12"/>
        <color rgb="FF000000"/>
        <rFont val="돋움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</si>
  <si>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</si>
  <si>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</si>
  <si>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</si>
  <si>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</si>
  <si>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t>점검 프로그램사용 계약서</t>
  </si>
  <si>
    <t>입금계좌 : 359301-04-187394  국민은행  주식회사 에이엔비</t>
  </si>
  <si>
    <r>
      <t>관 리 주 체</t>
    </r>
    <r>
      <rPr>
        <sz val="12"/>
        <color rgb="FF000000"/>
        <rFont val="돋움"/>
      </rPr>
      <t>(사 용 자)</t>
    </r>
  </si>
  <si>
    <r>
      <t>계 약 상 대 자</t>
    </r>
    <r>
      <rPr>
        <sz val="12"/>
        <color rgb="FF000000"/>
        <rFont val="돋움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</si>
  <si>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</si>
  <si>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</si>
  <si>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</si>
  <si>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</si>
  <si>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 xml:space="preserve">① </t>
    </r>
    <r>
      <rPr>
        <sz val="12"/>
        <color rgb="FF000000"/>
        <rFont val="돋움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</si>
  <si>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</si>
  <si>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</rPr>
      <t xml:space="preserve"> 한다.</t>
    </r>
  </si>
  <si>
    <t>② 이 계약에 명시되지 아니한 사항은 기획재정부가 회계예규로 정한 기술용역계약 일반조건과 관계법령에 의한다.</t>
  </si>
  <si>
    <t>외업인건비의 0%</t>
  </si>
  <si>
    <t>직접인건비의 0%</t>
  </si>
  <si>
    <t>점검 프로그램 사용 계약조건</t>
  </si>
  <si>
    <t>1. 점검 프로그램 사용 계약조건 1부.</t>
  </si>
  <si>
    <t>(우)16910  경기도 용인시 기흥구 마북로 159 한성프라자 207호 (마북동) 전화 : 031-283-3328  팩스 : 031-284-3328</t>
  </si>
  <si>
    <t>점검프로그램 사용계약서</t>
  </si>
  <si>
    <t>점검 프로그램 사용 대가 내역</t>
  </si>
  <si>
    <t>직접인건비*0%</t>
  </si>
  <si>
    <t>(직접인건비+제경비)*0%</t>
  </si>
  <si>
    <t xml:space="preserve"> 2026  년       월        일</t>
  </si>
  <si>
    <t>③ 제3조 제2항에 따라 정기안전점검 업무의 일부 또는 전부의 변경이 불가피한 경우 "사용자"와 "제공자"는 협의하여 변경할 수 있다.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</si>
  <si>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</si>
  <si>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① 프로그램 사용은 2026년    월    일부터  2026년  06월  30일로 종료한다.</t>
  </si>
  <si>
    <t>② 지급시기는 계약 후 1개월 이내에 지급하여야 한다.</t>
  </si>
  <si>
    <t>② "제공자"는 "사용자"가 점검 후 정기안전점검 후 실시 결과를 시설물통합정보시스템(FMS)에 등록 및 보고하여야 한다.</t>
  </si>
  <si>
    <t>① 기본적으로 점검 후 작성된 파일을 제공하지 않으나 "사용자"가 요청시 "제공자"는 PDF 파일 만 제공한다.</t>
  </si>
  <si>
    <t>① 점검프로그램을 이용하여 "사용자"는 직접 점검을 시행하고 저장 및 전송을 원칙으로 한다.</t>
  </si>
  <si>
    <r>
      <t xml:space="preserve">① </t>
    </r>
    <r>
      <rPr>
        <sz val="12"/>
        <color rgb="FF000000"/>
        <rFont val="돋움"/>
      </rPr>
      <t>"사용자"는 시설물안전법 제17조 제1항에 따라 "제공자"에게 정기안전점검 실시결과를 저장 전송하고 통보해주어야 한다.</t>
    </r>
  </si>
  <si>
    <r>
      <t xml:space="preserve">① </t>
    </r>
    <r>
      <rPr>
        <sz val="12"/>
        <color rgb="FF000000"/>
        <rFont val="돋움"/>
      </rPr>
      <t>"제공자"가 "사용자"에게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</si>
  <si>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</si>
  <si>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</si>
  <si>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※ 첨    부 :  1. 점검 프로그램 사용 견적서 1부 끝.</t>
  </si>
  <si>
    <t>가. 귀 아파트 담당자 시설물안전법교육 이수로 기술자 등록 여건이 필수 임.</t>
  </si>
  <si>
    <t xml:space="preserve">다. 테블릿PC 구비 갤럭시탭 S6 Lite 128GB (와이파이용)이상                                   </t>
  </si>
  <si>
    <t>라. FMS에 도면이 등록되어있지 않을 경우 견적 금액은 추가될수 있음</t>
  </si>
  <si>
    <t>래미안길음뉴타운9단지아파트 입주자대표회장님</t>
  </si>
  <si>
    <t>나. 점검프로그램 사용 기간 - 2026년 상반기 (1회)</t>
  </si>
  <si>
    <t>1.천재지변, 전쟁, 기타 불가항력의 사유로 인하여 정기안전점검 업무의 수행이 불가능한 때</t>
  </si>
  <si>
    <t>2."사용자" 와 "제공자"가 정기안전점검 업무가 필요치 않다고 협의되었을 때</t>
  </si>
  <si>
    <t>3."사용자"가 제10조의 의무를 기피하여 "제공자"의 정상적인 진단이 곤란할 때</t>
  </si>
  <si>
    <t>4."제공자"가 정당한 이유 없이 제3조에 정한 기간 내에 과업을 수행할 수 없음이 명백할 때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</si>
  <si>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</si>
  <si>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</si>
  <si>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</si>
  <si>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</si>
  <si>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</si>
  <si>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</si>
  <si>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</si>
  <si>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</si>
  <si>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</si>
  <si>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</si>
  <si>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</si>
  <si>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</si>
  <si>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</si>
  <si>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</si>
  <si>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</si>
  <si>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r>
      <t>"제공자"는 프로그램을 얻은 정보 또는 성과품 및 자료를 계약이행의 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후를 막론하고 "사용자"의 사전승인 없이 외부에 누설할 수 없다.</t>
    </r>
  </si>
  <si>
    <t>●   주 소 : 경기도 용인시 기흥구 마북로 159 한성프라자 207호</t>
  </si>
  <si>
    <t>02-912-5002 / 02-912-5002</t>
  </si>
  <si>
    <t>02-912-5002</t>
  </si>
  <si>
    <t>/</t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</si>
  <si>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</si>
  <si>
    <t xml:space="preserve"> 1. 직 접 인 건 비</t>
  </si>
  <si>
    <t xml:space="preserve"> 6. 합 계 금 액</t>
  </si>
  <si>
    <t xml:space="preserve"> 7. 견  적  금  액</t>
  </si>
  <si>
    <t xml:space="preserve"> 8. 참 고 사 항</t>
  </si>
  <si>
    <t xml:space="preserve">    가. 본 프로그램 사용은 점검 프로그램에 필요한 도면을 ㈜에이앤비에서 프로그램에 업로드하고, 점검(조사)은 아파트에서 점검하는 조건</t>
  </si>
  <si>
    <t xml:space="preserve">    나. 점검(조사)이 완료되면 ㈜에이앤비에서 시설물통합정보관리시스템(FMS)에 e-보고서를 작성하고 등록하는 조건.</t>
  </si>
  <si>
    <t xml:space="preserve">    다. 기본적으로 점검 파일을 제공하지 않으나 요청시 PDF파일만 제공.</t>
  </si>
  <si>
    <t>가. 내업</t>
  </si>
  <si>
    <t>③ 용      도 : 공동주택</t>
  </si>
  <si>
    <t xml:space="preserve">시설물통합정보시스템(FMS)등록 후 e-보고서 1부 </t>
  </si>
  <si>
    <t>2026년 상반기</t>
  </si>
  <si>
    <t>사용자</t>
  </si>
  <si>
    <t>입주자대표회의(이하 "사용자"라 한다)와</t>
  </si>
  <si>
    <r>
      <t xml:space="preserve">점검프로그램 제공자인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"제공자"라 한다)는 다음과 같이 계약을 체결한다.</t>
    </r>
  </si>
  <si>
    <t>마. 전화 / 팩스  :</t>
  </si>
  <si>
    <t>라. 준  공  일   :</t>
  </si>
  <si>
    <t>다. 단 지 규 모  :</t>
  </si>
  <si>
    <t xml:space="preserve">나. 소  재  지   : </t>
  </si>
  <si>
    <t>가. 단  지  명   :</t>
  </si>
  <si>
    <t>경기도 용인시 기흥구 마북로 159,
한성프라자 207호(마북동)</t>
  </si>
  <si>
    <t xml:space="preserve">            1. 귀 사의 무궁한 발전을 기원합니다.</t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</si>
  <si>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</si>
  <si>
    <t xml:space="preserve">            3. 귀 아파트에서 사용하고자 하는 점검 프로그램에 관한 견적서를 아래와 같이 제출하오니 검토하여 주시기 바랍니다.</t>
  </si>
  <si>
    <t xml:space="preserve">            4. 시설물 개요</t>
  </si>
  <si>
    <t xml:space="preserve">            5. 용  역   범  위  : </t>
  </si>
  <si>
    <r>
      <t xml:space="preserve">           </t>
    </r>
    <r>
      <rPr>
        <sz val="11"/>
        <color rgb="FF000000"/>
        <rFont val="바탕체"/>
      </rPr>
      <t xml:space="preserve"> </t>
    </r>
    <r>
      <rPr>
        <sz val="12"/>
        <color rgb="FF000000"/>
        <rFont val="바탕체"/>
      </rPr>
      <t>7. 참고사항</t>
    </r>
  </si>
  <si>
    <r>
      <rPr>
        <b/>
        <sz val="12"/>
        <color theme="1"/>
        <rFont val="바탕체"/>
      </rPr>
      <t xml:space="preserve">     </t>
    </r>
    <r>
      <rPr>
        <b/>
        <sz val="14"/>
        <color theme="1"/>
        <rFont val="바탕체"/>
      </rPr>
      <t xml:space="preserve">    </t>
    </r>
    <r>
      <rPr>
        <b/>
        <sz val="12"/>
        <color theme="1"/>
        <rFont val="바탕체"/>
      </rPr>
      <t xml:space="preserve"> </t>
    </r>
    <r>
      <rPr>
        <b/>
        <sz val="10"/>
        <color theme="1"/>
        <rFont val="바탕체"/>
      </rPr>
      <t xml:space="preserve"> </t>
    </r>
    <r>
      <rPr>
        <b/>
        <sz val="14"/>
        <color theme="1"/>
        <rFont val="바탕체"/>
      </rPr>
      <t>6. 용   역   비  :</t>
    </r>
  </si>
  <si>
    <t xml:space="preserve">가. 시설물의 안전 및 유지관리에 관한 특별법 제11조에 의거한 건축물 정기안전점검으로
테블릿 PC를 이용한 점검프로그램 제공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</si>
  <si>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</si>
  <si>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</si>
  <si>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</si>
  <si>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</si>
  <si>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</si>
  <si>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</si>
  <si>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</si>
  <si>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</si>
  <si>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</si>
  <si>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>나. 단 지 규 모  :</t>
  </si>
  <si>
    <t xml:space="preserve">다. 소  재  지 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</si>
</sst>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44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sz val="12.0"/>
      <name val="바탕체"/>
      <color rgb="FF000000"/>
    </font>
    <font>
      <sz val="11.0"/>
      <name val="돋움"/>
      <color rgb="FF000000"/>
    </font>
    <font>
      <sz val="11.0"/>
      <name val="바탕체"/>
      <color rgb="FF000000"/>
    </font>
    <font>
      <sz val="12.0"/>
      <name val="함초롬바탕"/>
      <color theme="1"/>
    </font>
    <font>
      <sz val="12.0"/>
      <name val="돋움"/>
      <color theme="1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맑은 고딕"/>
      <scheme val="minor"/>
      <color theme="1"/>
    </font>
    <font>
      <sz val="10.0"/>
      <name val="굴림"/>
      <color rgb="FF000000"/>
    </font>
    <font>
      <sz val="10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sz val="13.0"/>
      <name val="한컴 솔잎 B"/>
      <color rgb="FF000000"/>
    </font>
    <font>
      <sz val="16.0"/>
      <name val="한컴 솔잎 B"/>
      <color rgb="FF000000"/>
    </font>
    <font>
      <sz val="13.0"/>
      <name val="굴림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theme="1"/>
    </font>
    <font>
      <b/>
      <sz val="36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12.0"/>
      <name val="바탕체"/>
      <color theme="1"/>
    </font>
    <font>
      <b/>
      <u/>
      <sz val="12.0"/>
      <name val="바탕체"/>
      <color rgb="FFFF0000"/>
    </font>
    <font>
      <b/>
      <sz val="32.0"/>
      <name val="바탕체"/>
      <color rgb="FF000000"/>
    </font>
    <font>
      <b/>
      <sz val="14.0"/>
      <name val="바탕체"/>
      <color theme="1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0.0"/>
      <name val="바탕체"/>
      <color theme="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36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</fonts>
  <fills count="41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2">
    <xf numFmtId="0" fontId="0" fillId="0" borderId="0" applyFill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Alignment="0" applyBorder="0" applyNumberForma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3">
      <alignment horizontal="center" vertical="center"/>
    </xf>
    <xf numFmtId="3" fontId="29" fillId="0" borderId="1">
      <alignment vertical="center"/>
    </xf>
    <xf numFmtId="185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186" fontId="7" fillId="0" borderId="0" applyBorder="0" applyFill="0" applyFont="0" applyProtection="0">
      <alignment vertical="center"/>
    </xf>
    <xf numFmtId="187" fontId="7" fillId="0" borderId="0">
      <alignment vertical="center"/>
    </xf>
    <xf numFmtId="188" fontId="7" fillId="0" borderId="0" applyAlignment="0" applyBorder="0" applyFill="0" applyFo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Alignment="0" applyBorder="0" applyFill="0" applyFont="0" applyProtection="0">
      <alignment vertical="center"/>
    </xf>
    <xf numFmtId="190" fontId="32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9">
      <alignment horizontal="right" vertical="center"/>
    </xf>
    <xf numFmtId="0" fontId="6" fillId="0" borderId="50">
      <alignment horizontal="center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199" fontId="38" fillId="0" borderId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191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202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Alignment="0" applyBorder="0" applyFill="0">
      <alignment vertical="center"/>
    </xf>
    <xf numFmtId="0" fontId="46" fillId="0" borderId="0">
      <alignment vertical="center"/>
    </xf>
    <xf numFmtId="0" fontId="47" fillId="0" borderId="0" applyAlignment="0" applyBorder="0" applyFill="0" applyNumberForma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Alignment="0" applyNumberFormat="0">
      <alignment horizontal="left" vertical="center"/>
    </xf>
    <xf numFmtId="0" fontId="49" fillId="0" borderId="0" applyAlignment="0" applyNumberFormat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88" fontId="7" fillId="0" borderId="1" applyAlignment="0" applyBorder="0" applyFill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7" fontId="7" fillId="0" borderId="0" applyAlignment="0" applyBorder="0" applyFill="0" applyFo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Alignment="0" applyNumberForma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Alignment="0" applyBorder="0" applyNumberFormat="0" applyProtection="0">
      <alignment vertical="center"/>
    </xf>
    <xf numFmtId="3" fontId="51" fillId="0" borderId="51">
      <alignment horizontal="right" vertical="center"/>
    </xf>
    <xf numFmtId="4" fontId="51" fillId="0" borderId="51">
      <alignment horizontal="right" vertical="center"/>
    </xf>
    <xf numFmtId="0" fontId="55" fillId="0" borderId="0">
      <alignment horizontal="left" vertical="center"/>
    </xf>
    <xf numFmtId="0" fontId="56" fillId="0" borderId="7" applyAlignment="0" applyNumberFormat="0" applyProtection="0">
      <alignment horizontal="left" vertical="center"/>
    </xf>
    <xf numFmtId="0" fontId="56" fillId="0" borderId="52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Alignment="0" applyBorder="0" applyNumberForma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Alignment="0" applyBorder="0" applyFill="0" applyFont="0" applyProtection="0">
      <alignment vertical="center"/>
    </xf>
    <xf numFmtId="177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0" fillId="0" borderId="3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61" fillId="0" borderId="0" applyAlignment="0" applyBorder="0" applyFill="0" applyFo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Alignment="0" applyBorder="0" applyFill="0" applyFont="0" applyProtection="0">
      <alignment vertical="center"/>
    </xf>
    <xf numFmtId="218" fontId="63" fillId="0" borderId="0">
      <alignment vertical="center"/>
    </xf>
    <xf numFmtId="0" fontId="28" fillId="0" borderId="0" applyAlignment="0" applyBorder="0" applyFill="0" applyFont="0" applyNumberFormat="0" applyProtection="0">
      <alignment horizontal="left" vertical="center"/>
    </xf>
    <xf numFmtId="14" fontId="64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Border="0" applyFill="0" applyProtection="0">
      <alignment horizontal="centerContinuous" vertical="center"/>
    </xf>
    <xf numFmtId="0" fontId="68" fillId="0" borderId="0" applyBorder="0" applyFill="0" applyProtection="0">
      <alignment horizontal="centerContinuous" vertical="center"/>
    </xf>
    <xf numFmtId="0" fontId="30" fillId="7" borderId="0" applyBorder="0" applyFill="0" applyProtection="0">
      <alignment horizontal="center" vertical="center"/>
    </xf>
    <xf numFmtId="0" fontId="50" fillId="0" borderId="53">
      <alignment vertical="center"/>
      <protection locked="0"/>
    </xf>
    <xf numFmtId="0" fontId="69" fillId="0" borderId="50">
      <alignment horizontal="left" vertical="center"/>
    </xf>
    <xf numFmtId="220" fontId="32" fillId="0" borderId="0" applyAlignment="0" applyBorder="0" applyFill="0" applyFont="0" applyProtection="0">
      <alignment vertical="center"/>
    </xf>
    <xf numFmtId="221" fontId="32" fillId="0" borderId="0" applyAlignment="0" applyBorder="0" applyFill="0" applyFont="0" applyProtection="0">
      <alignment vertical="center"/>
    </xf>
    <xf numFmtId="0" fontId="70" fillId="0" borderId="0" applyAlignment="0" applyBorder="0" applyFill="0" applyNumberForma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4">
      <alignment horizontal="center" vertical="center"/>
    </xf>
    <xf numFmtId="37" fontId="29" fillId="0" borderId="49" applyAlignment="0">
      <alignment vertical="center"/>
    </xf>
    <xf numFmtId="0" fontId="7" fillId="0" borderId="0">
      <alignment vertical="center"/>
    </xf>
    <xf numFmtId="223" fontId="12" fillId="0" borderId="32" applyAlignment="0" applyBorder="0" applyFill="0" applyFont="0">
      <alignment horizontal="left" vertical="center"/>
    </xf>
    <xf numFmtId="0" fontId="50" fillId="0" borderId="0">
      <alignment vertical="center"/>
      <protection locked="0"/>
    </xf>
    <xf numFmtId="3" fontId="28" fillId="0" borderId="55">
      <alignment horizontal="center" vertical="center"/>
    </xf>
    <xf numFmtId="0" fontId="72" fillId="0" borderId="56">
      <alignment vertical="center"/>
    </xf>
    <xf numFmtId="0" fontId="50" fillId="0" borderId="0">
      <alignment vertical="center"/>
      <protection locked="0"/>
    </xf>
    <xf numFmtId="0" fontId="73" fillId="0" borderId="0" applyAlignment="0" applyBorder="0" applyFill="0" applyNumberForma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191" fontId="12" fillId="0" borderId="51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8" fillId="0" borderId="0" applyBorder="0" applyFill="0" applyFont="0" applyNumberFormat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Border="0" applyFill="0" applyFont="0" applyProtection="0">
      <alignment horizontal="center" vertical="center"/>
    </xf>
    <xf numFmtId="226" fontId="6" fillId="0" borderId="0" applyBorder="0" applyFill="0" applyFont="0" applyProtection="0">
      <alignment horizontal="center" vertical="center"/>
    </xf>
    <xf numFmtId="9" fontId="11" fillId="7" borderId="0" applyBorder="0" applyFill="0" applyProtection="0">
      <alignment horizontal="right" vertical="center"/>
    </xf>
    <xf numFmtId="10" fontId="11" fillId="0" borderId="0" applyBorder="0" applyFill="0" applyProtection="0">
      <alignment horizontal="right" vertical="center"/>
    </xf>
    <xf numFmtId="227" fontId="7" fillId="0" borderId="0" applyAlignment="0" applyBorder="0" applyFill="0" applyFont="0" applyProtection="0">
      <alignment vertical="center"/>
    </xf>
    <xf numFmtId="228" fontId="38" fillId="0" borderId="0" applyAlignment="0" applyBorder="0" applyFill="0" applyFont="0" applyProtection="0">
      <alignment vertical="center"/>
    </xf>
    <xf numFmtId="0" fontId="75" fillId="0" borderId="0" applyBorder="0" applyFill="0" applyFont="0" applyProtection="0">
      <alignment horizontal="center" vertical="center"/>
    </xf>
    <xf numFmtId="0" fontId="75" fillId="0" borderId="0" applyBorder="0" applyFill="0" applyFont="0" applyProtection="0">
      <alignment horizontal="center" vertical="center"/>
    </xf>
    <xf numFmtId="229" fontId="76" fillId="0" borderId="57" applyAlignment="0" applyFill="0" applyFont="0" applyProtection="0">
      <alignment horizontal="center" vertical="center"/>
    </xf>
    <xf numFmtId="0" fontId="77" fillId="0" borderId="0">
      <alignment vertical="center"/>
    </xf>
    <xf numFmtId="191" fontId="78" fillId="0" borderId="32">
      <alignment vertical="center"/>
    </xf>
    <xf numFmtId="0" fontId="38" fillId="0" borderId="0" applyBorder="0" applyFill="0" applyFont="0" applyNumberFormat="0" applyProtection="0">
      <alignment horizontal="centerContinuous" vertical="center"/>
    </xf>
    <xf numFmtId="182" fontId="0" fillId="0" borderId="58">
      <alignment vertical="center"/>
    </xf>
    <xf numFmtId="230" fontId="74" fillId="0" borderId="0">
      <alignment vertical="center"/>
    </xf>
    <xf numFmtId="191" fontId="79" fillId="0" borderId="32">
      <alignment vertical="center"/>
    </xf>
    <xf numFmtId="231" fontId="80" fillId="0" borderId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9">
      <alignment vertical="center"/>
    </xf>
    <xf numFmtId="232" fontId="51" fillId="0" borderId="1" applyBorder="0">
      <alignment vertical="center"/>
    </xf>
    <xf numFmtId="0" fontId="82" fillId="0" borderId="0" applyAlignment="0" applyBorder="0" applyFill="0" applyFo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60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Alignment="0" applyBorder="0" applyNumberForma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Border="0" applyFill="0" applyFont="0" applyProtection="0">
      <alignment vertical="center"/>
    </xf>
    <xf numFmtId="38" fontId="38" fillId="0" borderId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0" fontId="32" fillId="0" borderId="1">
      <alignment vertical="center"/>
    </xf>
    <xf numFmtId="236" fontId="7" fillId="7" borderId="0" applyBorder="0" applyFill="0" applyProtection="0">
      <alignment horizontal="right" vertical="center"/>
    </xf>
    <xf numFmtId="38" fontId="38" fillId="0" borderId="0" applyAlignment="0" applyBorder="0" applyFill="0" applyFont="0" applyProtection="0">
      <alignment vertical="center"/>
    </xf>
    <xf numFmtId="182" fontId="38" fillId="0" borderId="0" applyAlignment="0" applyBorder="0" applyFill="0" applyFont="0" applyProtection="0">
      <alignment vertical="center"/>
    </xf>
    <xf numFmtId="38" fontId="38" fillId="0" borderId="0" applyAlignment="0" applyBorder="0" applyFill="0" applyProtection="0">
      <alignment vertical="center"/>
    </xf>
    <xf numFmtId="230" fontId="75" fillId="0" borderId="0" applyAlignment="0" applyBorder="0" applyFill="0" applyFont="0" applyProtection="0">
      <alignment vertical="center"/>
    </xf>
    <xf numFmtId="237" fontId="28" fillId="0" borderId="0" applyAlignment="0" applyBorder="0" applyFill="0" applyFont="0" applyProtection="0">
      <alignment vertical="center"/>
    </xf>
    <xf numFmtId="238" fontId="28" fillId="0" borderId="0" applyAlignment="0" applyBorder="0" applyFill="0" applyFont="0" applyProtection="0">
      <alignment vertical="center"/>
    </xf>
    <xf numFmtId="239" fontId="75" fillId="0" borderId="1">
      <alignment vertical="center"/>
    </xf>
    <xf numFmtId="240" fontId="28" fillId="0" borderId="0" applyAlignment="0" applyBorder="0" applyFill="0" applyFont="0" applyProtection="0">
      <alignment vertical="center"/>
    </xf>
    <xf numFmtId="241" fontId="28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8">
      <alignment horizontal="center" vertical="center"/>
    </xf>
    <xf numFmtId="0" fontId="79" fillId="0" borderId="58">
      <alignment horizontal="left" vertical="center"/>
    </xf>
    <xf numFmtId="0" fontId="79" fillId="0" borderId="58">
      <alignment vertical="center" textRotation="255"/>
    </xf>
    <xf numFmtId="0" fontId="29" fillId="0" borderId="60">
      <alignment horizontal="distributed" vertical="center"/>
    </xf>
    <xf numFmtId="0" fontId="29" fillId="0" borderId="61">
      <alignment horizontal="distributed" vertical="center"/>
    </xf>
    <xf numFmtId="0" fontId="29" fillId="0" borderId="62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29" fillId="0" borderId="59">
      <alignment horizontal="centerContinuous" vertical="center"/>
    </xf>
    <xf numFmtId="0" fontId="7" fillId="0" borderId="1" applyFill="0" applyNumberFormat="0" applyProtection="0">
      <alignment vertical="center"/>
    </xf>
    <xf numFmtId="0" fontId="6" fillId="0" borderId="0">
      <alignment vertical="center"/>
    </xf>
    <xf numFmtId="0" fontId="50" fillId="0" borderId="53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8" fillId="0" borderId="0" applyAlignment="0" applyBorder="0" applyFill="0" applyNumberForma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8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79" applyAlignment="0" applyFill="0" applyNumberFormat="0" applyProtection="0">
      <alignment vertical="center"/>
    </xf>
    <xf numFmtId="0" fontId="117" fillId="0" borderId="80" applyAlignment="0" applyFill="0" applyNumberFormat="0" applyProtection="0">
      <alignment vertical="center"/>
    </xf>
    <xf numFmtId="0" fontId="118" fillId="0" borderId="81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2" borderId="82" applyAlignment="0" applyNumberFormat="0" applyProtection="0">
      <alignment vertical="center"/>
    </xf>
    <xf numFmtId="0" fontId="120" fillId="13" borderId="83" applyAlignment="0" applyNumberFormat="0" applyProtection="0">
      <alignment vertical="center"/>
    </xf>
    <xf numFmtId="0" fontId="121" fillId="13" borderId="82" applyAlignment="0" applyNumberFormat="0" applyProtection="0">
      <alignment vertical="center"/>
    </xf>
    <xf numFmtId="0" fontId="122" fillId="14" borderId="84" applyAlignment="0" applyNumberFormat="0" applyProtection="0">
      <alignment vertical="center"/>
    </xf>
    <xf numFmtId="0" fontId="123" fillId="0" borderId="85" applyAlignment="0" applyFill="0" applyNumberFormat="0" applyProtection="0">
      <alignment vertical="center"/>
    </xf>
    <xf numFmtId="0" fontId="124" fillId="0" borderId="86" applyAlignment="0" applyFill="0" applyNumberFormat="0" applyProtection="0">
      <alignment vertical="center"/>
    </xf>
    <xf numFmtId="0" fontId="125" fillId="3" borderId="0" applyAlignment="0" applyBorder="0" applyNumberFormat="0" applyProtection="0">
      <alignment vertical="center"/>
    </xf>
    <xf numFmtId="0" fontId="126" fillId="15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29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29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29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29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29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29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30" fillId="0" borderId="0" applyAlignment="0" applyBorder="0" applyFill="0" applyNumberFormat="0" applyProtection="0">
      <alignment vertical="center"/>
    </xf>
  </cellStyleXfs>
  <cellXfs count="283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1" fillId="0" borderId="0" xfId="0" applyFill="1" applyAlignment="1" applyProtection="1">
      <alignment vertical="center" wrapText="1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ill="1" applyAlignment="1" applyProtection="1">
      <alignment vertical="center" wrapText="1"/>
    </xf>
    <xf numFmtId="0" fontId="5" fillId="0" borderId="0" xfId="0" applyFill="1" applyProtection="1">
      <alignment vertical="center"/>
    </xf>
    <xf numFmtId="0" fontId="7" fillId="0" borderId="0" xfId="0" applyFill="1" applyProtection="1">
      <alignment vertical="center"/>
    </xf>
    <xf numFmtId="0" fontId="5" fillId="0" borderId="0" xfId="0" applyFill="1" applyAlignment="1" applyProtection="1">
      <alignment vertical="center" wrapText="1"/>
    </xf>
    <xf numFmtId="0" fontId="9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12" fillId="0" borderId="0" xfId="3">
      <alignment vertical="center"/>
    </xf>
    <xf numFmtId="179" fontId="13" fillId="0" borderId="3" xfId="2" applyNumberFormat="1" applyBorder="1" applyAlignment="1">
      <alignment horizontal="center" vertical="center" shrinkToFit="1"/>
    </xf>
    <xf numFmtId="0" fontId="16" fillId="0" borderId="0" xfId="2">
      <alignment vertical="center"/>
    </xf>
    <xf numFmtId="0" fontId="14" fillId="0" borderId="18" xfId="4" applyFill="1" applyBorder="1" applyAlignment="1">
      <alignment horizontal="center" vertical="center"/>
    </xf>
    <xf numFmtId="0" fontId="14" fillId="0" borderId="19" xfId="4" applyFill="1" applyBorder="1" applyAlignment="1">
      <alignment horizontal="center" vertical="center" shrinkToFit="1"/>
    </xf>
    <xf numFmtId="0" fontId="19" fillId="0" borderId="0" xfId="2">
      <alignment vertical="center"/>
    </xf>
    <xf numFmtId="0" fontId="14" fillId="7" borderId="22" xfId="4" applyFill="1" applyBorder="1" applyAlignment="1">
      <alignment horizontal="center" vertical="center"/>
    </xf>
    <xf numFmtId="176" fontId="14" fillId="7" borderId="22" xfId="2" applyNumberFormat="1" applyFill="1" applyBorder="1" applyAlignment="1">
      <alignment horizontal="right" vertical="center" shrinkToFit="1"/>
    </xf>
    <xf numFmtId="0" fontId="14" fillId="5" borderId="23" xfId="4" applyFill="1" applyBorder="1" applyAlignment="1">
      <alignment horizontal="center" vertical="center" shrinkToFit="1"/>
    </xf>
    <xf numFmtId="0" fontId="20" fillId="0" borderId="24" xfId="2" applyBorder="1" applyAlignment="1">
      <alignment horizontal="center" vertical="center"/>
    </xf>
    <xf numFmtId="176" fontId="20" fillId="0" borderId="24" xfId="5" applyFill="1" applyBorder="1" applyAlignment="1">
      <alignment horizontal="right" vertical="center" shrinkToFit="1"/>
    </xf>
    <xf numFmtId="0" fontId="20" fillId="0" borderId="25" xfId="2" applyBorder="1" applyAlignment="1">
      <alignment horizontal="center" vertical="center" shrinkToFit="1"/>
    </xf>
    <xf numFmtId="49" fontId="14" fillId="0" borderId="26" xfId="2" quotePrefix="1" applyNumberFormat="1" applyBorder="1">
      <alignment vertical="center"/>
    </xf>
    <xf numFmtId="181" fontId="20" fillId="0" borderId="27" xfId="2" applyNumberFormat="1" applyBorder="1" applyAlignment="1">
      <alignment horizontal="center" vertical="center"/>
    </xf>
    <xf numFmtId="0" fontId="20" fillId="0" borderId="28" xfId="2" applyBorder="1" applyAlignment="1">
      <alignment horizontal="center" vertical="center"/>
    </xf>
    <xf numFmtId="176" fontId="20" fillId="0" borderId="29" xfId="5" applyBorder="1" applyAlignment="1">
      <alignment horizontal="right" vertical="center" shrinkToFit="1"/>
    </xf>
    <xf numFmtId="0" fontId="20" fillId="0" borderId="29" xfId="2" applyBorder="1" applyAlignment="1">
      <alignment horizontal="center" vertical="center"/>
    </xf>
    <xf numFmtId="49" fontId="15" fillId="0" borderId="26" xfId="2" quotePrefix="1" applyNumberFormat="1" applyBorder="1" applyAlignment="1">
      <alignment vertical="center" textRotation="255"/>
    </xf>
    <xf numFmtId="0" fontId="20" fillId="0" borderId="27" xfId="2" quotePrefix="1" applyBorder="1" applyAlignment="1">
      <alignment horizontal="center" vertical="center"/>
    </xf>
    <xf numFmtId="176" fontId="20" fillId="0" borderId="28" xfId="5" applyBorder="1" applyAlignment="1">
      <alignment horizontal="right" vertical="center" shrinkToFit="1"/>
    </xf>
    <xf numFmtId="0" fontId="14" fillId="7" borderId="1" xfId="2" applyFill="1" applyBorder="1">
      <alignment vertical="center"/>
    </xf>
    <xf numFmtId="0" fontId="14" fillId="7" borderId="1" xfId="2" applyFill="1" applyBorder="1" applyAlignment="1">
      <alignment horizontal="right" vertical="center"/>
    </xf>
    <xf numFmtId="0" fontId="14" fillId="7" borderId="1" xfId="2" applyFill="1" applyBorder="1" applyAlignment="1">
      <alignment horizontal="center" vertical="center"/>
    </xf>
    <xf numFmtId="176" fontId="21" fillId="7" borderId="1" xfId="5" applyFill="1" applyBorder="1" applyAlignment="1">
      <alignment horizontal="right" vertical="center" shrinkToFit="1"/>
    </xf>
    <xf numFmtId="0" fontId="22" fillId="7" borderId="31" xfId="2" applyFill="1" applyBorder="1" applyAlignment="1">
      <alignment horizontal="center" vertical="center" shrinkToFit="1"/>
    </xf>
    <xf numFmtId="38" fontId="21" fillId="7" borderId="1" xfId="5" applyNumberFormat="1" applyFill="1" applyBorder="1" applyAlignment="1">
      <alignment horizontal="right" vertical="center" shrinkToFit="1"/>
    </xf>
    <xf numFmtId="0" fontId="14" fillId="7" borderId="32" xfId="2" applyFill="1" applyBorder="1">
      <alignment vertical="center"/>
    </xf>
    <xf numFmtId="0" fontId="14" fillId="7" borderId="32" xfId="2" applyFill="1" applyBorder="1" applyAlignment="1">
      <alignment horizontal="right" vertical="center"/>
    </xf>
    <xf numFmtId="0" fontId="14" fillId="7" borderId="32" xfId="2" applyFill="1" applyBorder="1" applyAlignment="1">
      <alignment horizontal="center" vertical="center"/>
    </xf>
    <xf numFmtId="0" fontId="20" fillId="0" borderId="33" xfId="2" applyBorder="1" applyAlignment="1">
      <alignment horizontal="left" vertical="center" indent="1"/>
    </xf>
    <xf numFmtId="0" fontId="20" fillId="0" borderId="34" xfId="2" applyBorder="1">
      <alignment vertical="center"/>
    </xf>
    <xf numFmtId="0" fontId="20" fillId="0" borderId="34" xfId="2" applyBorder="1" applyAlignment="1">
      <alignment horizontal="right" vertical="center"/>
    </xf>
    <xf numFmtId="0" fontId="20" fillId="0" borderId="34" xfId="2" applyBorder="1" applyAlignment="1">
      <alignment horizontal="center" vertical="center"/>
    </xf>
    <xf numFmtId="38" fontId="20" fillId="0" borderId="34" xfId="5" applyNumberFormat="1" applyBorder="1" applyAlignment="1">
      <alignment horizontal="right" vertical="center" shrinkToFit="1"/>
    </xf>
    <xf numFmtId="0" fontId="20" fillId="0" borderId="35" xfId="2" applyBorder="1" applyAlignment="1">
      <alignment horizontal="center" vertical="center" shrinkToFit="1"/>
    </xf>
    <xf numFmtId="0" fontId="20" fillId="0" borderId="36" xfId="2" applyBorder="1" applyAlignment="1">
      <alignment horizontal="left" vertical="center" indent="1"/>
    </xf>
    <xf numFmtId="0" fontId="20" fillId="0" borderId="24" xfId="2" applyBorder="1">
      <alignment vertical="center"/>
    </xf>
    <xf numFmtId="182" fontId="20" fillId="0" borderId="24" xfId="2" applyNumberFormat="1" applyBorder="1" applyAlignment="1">
      <alignment horizontal="right" vertical="center"/>
    </xf>
    <xf numFmtId="38" fontId="20" fillId="0" borderId="32" xfId="5" applyNumberFormat="1" applyBorder="1" applyAlignment="1">
      <alignment horizontal="right" vertical="center" shrinkToFit="1"/>
    </xf>
    <xf numFmtId="0" fontId="20" fillId="0" borderId="37" xfId="2" applyBorder="1" applyAlignment="1">
      <alignment horizontal="center" vertical="center" shrinkToFit="1"/>
    </xf>
    <xf numFmtId="0" fontId="19" fillId="0" borderId="38" xfId="2" applyBorder="1">
      <alignment vertical="center"/>
    </xf>
    <xf numFmtId="0" fontId="20" fillId="0" borderId="39" xfId="2" applyBorder="1" applyAlignment="1">
      <alignment horizontal="left" vertical="center" indent="1"/>
    </xf>
    <xf numFmtId="0" fontId="20" fillId="0" borderId="28" xfId="2" applyBorder="1">
      <alignment vertical="center"/>
    </xf>
    <xf numFmtId="38" fontId="20" fillId="0" borderId="28" xfId="2" applyNumberFormat="1" applyBorder="1" applyAlignment="1">
      <alignment horizontal="right" vertical="center" shrinkToFit="1"/>
    </xf>
    <xf numFmtId="182" fontId="20" fillId="0" borderId="28" xfId="2" applyNumberFormat="1" applyBorder="1" applyAlignment="1">
      <alignment horizontal="right" vertical="center"/>
    </xf>
    <xf numFmtId="183" fontId="20" fillId="0" borderId="27" xfId="2" applyNumberFormat="1" applyBorder="1" applyAlignment="1">
      <alignment horizontal="center" vertical="center"/>
    </xf>
    <xf numFmtId="183" fontId="20" fillId="0" borderId="28" xfId="2" applyNumberFormat="1" applyBorder="1" applyAlignment="1">
      <alignment horizontal="center" vertical="center"/>
    </xf>
    <xf numFmtId="0" fontId="20" fillId="0" borderId="40" xfId="2" applyBorder="1" applyAlignment="1">
      <alignment horizontal="left" vertical="center" indent="1"/>
    </xf>
    <xf numFmtId="0" fontId="20" fillId="0" borderId="0" xfId="2" applyAlignment="1">
      <alignment horizontal="center" vertical="center"/>
    </xf>
    <xf numFmtId="0" fontId="20" fillId="0" borderId="41" xfId="2" applyBorder="1">
      <alignment vertical="center"/>
    </xf>
    <xf numFmtId="182" fontId="20" fillId="0" borderId="29" xfId="2" applyNumberFormat="1" applyBorder="1" applyAlignment="1">
      <alignment horizontal="right" vertical="center"/>
    </xf>
    <xf numFmtId="183" fontId="20" fillId="0" borderId="29" xfId="2" applyNumberFormat="1" applyBorder="1" applyAlignment="1">
      <alignment horizontal="center" vertical="center"/>
    </xf>
    <xf numFmtId="38" fontId="20" fillId="0" borderId="29" xfId="2" applyNumberFormat="1" applyBorder="1" applyAlignment="1">
      <alignment horizontal="right" vertical="center" shrinkToFit="1"/>
    </xf>
    <xf numFmtId="0" fontId="20" fillId="7" borderId="1" xfId="2" applyFill="1" applyBorder="1" applyAlignment="1">
      <alignment horizontal="right" vertical="center"/>
    </xf>
    <xf numFmtId="176" fontId="21" fillId="7" borderId="1" xfId="2" applyNumberFormat="1" applyFill="1" applyBorder="1" applyAlignment="1">
      <alignment horizontal="right" vertical="center" shrinkToFit="1"/>
    </xf>
    <xf numFmtId="0" fontId="20" fillId="7" borderId="31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vertical="center" shrinkToFit="1"/>
    </xf>
    <xf numFmtId="0" fontId="24" fillId="0" borderId="31" xfId="2" applyBorder="1" applyAlignment="1">
      <alignment horizontal="center" vertical="center" wrapText="1" shrinkToFit="1"/>
    </xf>
    <xf numFmtId="0" fontId="20" fillId="0" borderId="31" xfId="2" applyBorder="1" applyAlignment="1">
      <alignment horizontal="center" vertical="center" shrinkToFit="1"/>
    </xf>
    <xf numFmtId="176" fontId="14" fillId="5" borderId="1" xfId="2" applyNumberFormat="1" applyFill="1" applyBorder="1" applyAlignment="1">
      <alignment vertical="center" shrinkToFit="1"/>
    </xf>
    <xf numFmtId="0" fontId="20" fillId="5" borderId="31" xfId="2" applyFill="1" applyBorder="1" applyAlignment="1">
      <alignment horizontal="center" vertical="center" shrinkToFit="1"/>
    </xf>
    <xf numFmtId="176" fontId="14" fillId="0" borderId="1" xfId="2" applyNumberFormat="1" applyBorder="1" applyAlignment="1">
      <alignment horizontal="right" vertical="center" shrinkToFit="1"/>
    </xf>
    <xf numFmtId="0" fontId="15" fillId="5" borderId="43" xfId="2" applyFill="1" applyBorder="1" applyAlignment="1">
      <alignment horizontal="center" vertical="center" shrinkToFit="1"/>
    </xf>
    <xf numFmtId="0" fontId="25" fillId="7" borderId="46" xfId="2" applyFill="1" applyBorder="1" applyAlignment="1">
      <alignment vertical="center" shrinkToFit="1"/>
    </xf>
    <xf numFmtId="0" fontId="27" fillId="0" borderId="0" xfId="2">
      <alignment vertical="center"/>
    </xf>
    <xf numFmtId="0" fontId="25" fillId="7" borderId="48" xfId="2" applyFill="1" applyBorder="1" applyAlignment="1">
      <alignment vertical="center" shrinkToFit="1"/>
    </xf>
    <xf numFmtId="0" fontId="25" fillId="7" borderId="16" xfId="2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176" fontId="14" fillId="5" borderId="3" xfId="2" applyNumberFormat="1" applyFill="1" applyBorder="1" applyAlignment="1">
      <alignment vertical="center" shrinkToFit="1"/>
    </xf>
    <xf numFmtId="0" fontId="79" fillId="0" borderId="0" xfId="2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Alignment="1">
      <alignment horizontal="justify" vertical="center"/>
    </xf>
    <xf numFmtId="0" fontId="90" fillId="0" borderId="0" xfId="2" applyAlignment="1">
      <alignment vertical="center" wrapText="1"/>
    </xf>
    <xf numFmtId="0" fontId="2" fillId="0" borderId="0" xfId="2" applyAlignment="1">
      <alignment vertical="center" wrapText="1"/>
    </xf>
    <xf numFmtId="0" fontId="2" fillId="0" borderId="0" xfId="2" applyAlignment="1">
      <alignment horizontal="center" vertical="center" wrapText="1"/>
    </xf>
    <xf numFmtId="0" fontId="7" fillId="0" borderId="48" xfId="2" applyBorder="1" applyAlignment="1"/>
    <xf numFmtId="0" fontId="79" fillId="0" borderId="47" xfId="2" applyBorder="1" applyAlignment="1">
      <alignment vertical="center" wrapText="1"/>
    </xf>
    <xf numFmtId="0" fontId="79" fillId="0" borderId="0" xfId="2" applyAlignment="1">
      <alignment vertical="center" wrapText="1"/>
    </xf>
    <xf numFmtId="0" fontId="2" fillId="0" borderId="47" xfId="2" applyBorder="1" applyAlignment="1">
      <alignment vertical="center" wrapText="1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 wrapText="1"/>
    </xf>
    <xf numFmtId="0" fontId="94" fillId="0" borderId="0" xfId="2" applyAlignment="1">
      <alignment horizontal="justify" vertical="center"/>
    </xf>
    <xf numFmtId="0" fontId="2" fillId="0" borderId="0" xfId="2">
      <alignment vertical="center"/>
    </xf>
    <xf numFmtId="0" fontId="94" fillId="0" borderId="0" xfId="2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Alignment="1">
      <alignment horizontal="left" vertical="center"/>
    </xf>
    <xf numFmtId="0" fontId="7" fillId="0" borderId="0" xfId="2" applyAlignment="1">
      <alignment wrapText="1"/>
    </xf>
    <xf numFmtId="0" fontId="14" fillId="0" borderId="45" xfId="2" applyBorder="1" applyAlignment="1">
      <alignment horizontal="center" vertical="center"/>
    </xf>
    <xf numFmtId="176" fontId="15" fillId="0" borderId="45" xfId="2" applyNumberFormat="1" applyBorder="1" applyAlignment="1">
      <alignment vertical="center" shrinkToFit="1"/>
    </xf>
    <xf numFmtId="0" fontId="15" fillId="0" borderId="46" xfId="2" applyBorder="1" applyAlignment="1">
      <alignment horizontal="center" vertical="center" shrinkToFit="1"/>
    </xf>
    <xf numFmtId="0" fontId="2" fillId="0" borderId="0" xfId="0" applyAlignment="1">
      <alignment horizontal="left" vertical="center" wrapText="1"/>
    </xf>
    <xf numFmtId="0" fontId="51" fillId="0" borderId="0" xfId="1" applyAlignment="1">
      <alignment vertical="center" shrinkToFit="1"/>
    </xf>
    <xf numFmtId="0" fontId="10" fillId="0" borderId="0" xfId="2">
      <alignment vertical="center"/>
    </xf>
    <xf numFmtId="0" fontId="6" fillId="0" borderId="0" xfId="0" applyFill="1" applyProtection="1">
      <alignment vertical="center"/>
    </xf>
    <xf numFmtId="0" fontId="102" fillId="0" borderId="0" xfId="0" applyFill="1" applyProtection="1">
      <alignment vertical="center"/>
    </xf>
    <xf numFmtId="0" fontId="6" fillId="2" borderId="0" xfId="0" applyFill="1" applyProtection="1">
      <alignment vertical="center"/>
    </xf>
    <xf numFmtId="0" fontId="102" fillId="2" borderId="0" xfId="0" applyFill="1" applyProtection="1">
      <alignment vertical="center"/>
    </xf>
    <xf numFmtId="0" fontId="104" fillId="0" borderId="0" xfId="0" applyFill="1" applyAlignment="1" applyProtection="1">
      <alignment horizontal="left" vertical="center"/>
    </xf>
    <xf numFmtId="0" fontId="104" fillId="0" borderId="0" xfId="0" applyFill="1" applyProtection="1">
      <alignment vertical="center"/>
    </xf>
    <xf numFmtId="0" fontId="6" fillId="0" borderId="0" xfId="0" applyFill="1" applyAlignment="1" applyProtection="1">
      <alignment horizontal="center" vertical="center"/>
    </xf>
    <xf numFmtId="0" fontId="106" fillId="0" borderId="0" xfId="0" applyFill="1" applyProtection="1">
      <alignment vertical="center"/>
    </xf>
    <xf numFmtId="0" fontId="103" fillId="0" borderId="0" xfId="0" applyFill="1" applyProtection="1">
      <alignment vertical="center"/>
    </xf>
    <xf numFmtId="0" fontId="51" fillId="0" borderId="0" xfId="0" applyFill="1" applyProtection="1">
      <alignment vertical="center"/>
    </xf>
    <xf numFmtId="3" fontId="51" fillId="0" borderId="0" xfId="0" applyNumberFormat="1" applyFill="1" applyProtection="1">
      <alignment vertical="center"/>
    </xf>
    <xf numFmtId="0" fontId="93" fillId="0" borderId="0" xfId="2" applyAlignment="1">
      <alignment horizontal="left" vertical="center"/>
    </xf>
    <xf numFmtId="0" fontId="109" fillId="0" borderId="52" xfId="2" applyBorder="1" applyAlignment="1">
      <alignment horizontal="center" vertical="center" shrinkToFit="1"/>
    </xf>
    <xf numFmtId="0" fontId="93" fillId="0" borderId="0" xfId="0" applyAlignment="1">
      <alignment horizontal="left" vertical="center"/>
    </xf>
    <xf numFmtId="0" fontId="93" fillId="0" borderId="0" xfId="0" applyAlignment="1">
      <alignment horizontal="left" vertical="center" wrapText="1"/>
    </xf>
    <xf numFmtId="0" fontId="2" fillId="0" borderId="0" xfId="2" applyAlignment="1">
      <alignment horizontal="left" vertical="center" shrinkToFit="1"/>
    </xf>
    <xf numFmtId="0" fontId="2" fillId="0" borderId="12" xfId="2" applyBorder="1" applyAlignment="1">
      <alignment horizontal="center" vertical="center" wrapText="1"/>
    </xf>
    <xf numFmtId="0" fontId="2" fillId="0" borderId="13" xfId="2" applyBorder="1" applyAlignment="1">
      <alignment horizontal="center" vertical="center" wrapText="1"/>
    </xf>
    <xf numFmtId="0" fontId="2" fillId="0" borderId="13" xfId="2" applyBorder="1" applyAlignment="1">
      <alignment horizontal="left" vertical="center" shrinkToFit="1"/>
    </xf>
    <xf numFmtId="0" fontId="2" fillId="0" borderId="13" xfId="2" applyBorder="1" applyAlignment="1">
      <alignment horizontal="left" vertical="center" wrapText="1"/>
    </xf>
    <xf numFmtId="0" fontId="2" fillId="0" borderId="14" xfId="2" applyBorder="1" applyAlignment="1">
      <alignment horizontal="left" vertical="center" wrapText="1"/>
    </xf>
    <xf numFmtId="0" fontId="95" fillId="0" borderId="0" xfId="2" applyAlignment="1">
      <alignment horizontal="left" vertical="center"/>
    </xf>
    <xf numFmtId="0" fontId="96" fillId="0" borderId="0" xfId="2" applyAlignment="1">
      <alignment horizontal="center" vertical="center"/>
    </xf>
    <xf numFmtId="0" fontId="111" fillId="0" borderId="0" xfId="2" applyAlignment="1">
      <alignment horizontal="center" vertical="center" shrinkToFit="1"/>
    </xf>
    <xf numFmtId="0" fontId="10" fillId="0" borderId="0" xfId="2" applyAlignment="1">
      <alignment horizontal="center" vertical="center" shrinkToFit="1"/>
    </xf>
    <xf numFmtId="0" fontId="2" fillId="0" borderId="3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2" fillId="0" borderId="31" xfId="2" applyBorder="1" applyAlignment="1">
      <alignment horizontal="center" vertical="center" wrapText="1"/>
    </xf>
    <xf numFmtId="0" fontId="10" fillId="0" borderId="1" xfId="2" applyBorder="1" applyAlignment="1">
      <alignment horizontal="left" vertical="center" shrinkToFit="1"/>
    </xf>
    <xf numFmtId="0" fontId="2" fillId="0" borderId="1" xfId="2" applyBorder="1" applyAlignment="1">
      <alignment horizontal="left" vertical="center" wrapText="1"/>
    </xf>
    <xf numFmtId="0" fontId="2" fillId="0" borderId="31" xfId="2" applyBorder="1" applyAlignment="1">
      <alignment horizontal="left" vertical="center" wrapText="1"/>
    </xf>
    <xf numFmtId="0" fontId="10" fillId="0" borderId="1" xfId="2" applyBorder="1" applyAlignment="1">
      <alignment horizontal="left" vertical="center" wrapText="1" shrinkToFit="1"/>
    </xf>
    <xf numFmtId="0" fontId="7" fillId="0" borderId="1" xfId="2" applyBorder="1" applyAlignment="1">
      <alignment horizontal="left" vertical="center" wrapText="1"/>
    </xf>
    <xf numFmtId="0" fontId="7" fillId="0" borderId="31" xfId="2" applyBorder="1" applyAlignment="1">
      <alignment horizontal="left" vertical="center" wrapText="1"/>
    </xf>
    <xf numFmtId="0" fontId="79" fillId="0" borderId="47" xfId="2" applyBorder="1" applyAlignment="1">
      <alignment horizontal="justify" vertical="center" wrapText="1"/>
    </xf>
    <xf numFmtId="0" fontId="79" fillId="0" borderId="0" xfId="2" applyAlignment="1">
      <alignment horizontal="justify" vertical="center" wrapText="1"/>
    </xf>
    <xf numFmtId="0" fontId="2" fillId="0" borderId="47" xfId="2" applyBorder="1" applyAlignment="1">
      <alignment horizontal="left" vertical="center" wrapText="1"/>
    </xf>
    <xf numFmtId="0" fontId="2" fillId="0" borderId="48" xfId="2" applyBorder="1" applyAlignment="1">
      <alignment horizontal="left" vertical="center" wrapText="1"/>
    </xf>
    <xf numFmtId="0" fontId="2" fillId="0" borderId="47" xfId="2" applyBorder="1" applyAlignment="1">
      <alignment horizontal="center" vertical="center" shrinkToFit="1"/>
    </xf>
    <xf numFmtId="0" fontId="2" fillId="0" borderId="0" xfId="2" applyAlignment="1">
      <alignment horizontal="center" vertical="center" shrinkToFit="1"/>
    </xf>
    <xf numFmtId="0" fontId="2" fillId="0" borderId="76" xfId="2" applyBorder="1" applyAlignment="1">
      <alignment horizontal="center" vertical="center" shrinkToFit="1"/>
    </xf>
    <xf numFmtId="0" fontId="2" fillId="0" borderId="56" xfId="2" applyBorder="1" applyAlignment="1">
      <alignment horizontal="center" vertical="center" shrinkToFit="1"/>
    </xf>
    <xf numFmtId="14" fontId="2" fillId="0" borderId="0" xfId="2" applyNumberFormat="1" applyAlignment="1">
      <alignment horizontal="left" vertical="center" wrapText="1"/>
    </xf>
    <xf numFmtId="14" fontId="2" fillId="0" borderId="48" xfId="2" applyNumberFormat="1" applyBorder="1" applyAlignment="1">
      <alignment horizontal="left" vertical="center" wrapText="1"/>
    </xf>
    <xf numFmtId="0" fontId="109" fillId="0" borderId="70" xfId="2" applyBorder="1" applyAlignment="1">
      <alignment horizontal="center" vertical="center" shrinkToFit="1"/>
    </xf>
    <xf numFmtId="0" fontId="109" fillId="0" borderId="71" xfId="2" applyBorder="1" applyAlignment="1">
      <alignment horizontal="center" vertical="center" shrinkToFit="1"/>
    </xf>
    <xf numFmtId="0" fontId="72" fillId="0" borderId="70" xfId="2" applyBorder="1" applyAlignment="1">
      <alignment horizontal="center" vertical="center" shrinkToFit="1"/>
    </xf>
    <xf numFmtId="0" fontId="72" fillId="0" borderId="52" xfId="2" applyBorder="1" applyAlignment="1">
      <alignment horizontal="center" vertical="center" shrinkToFit="1"/>
    </xf>
    <xf numFmtId="0" fontId="72" fillId="0" borderId="2" xfId="2" applyBorder="1" applyAlignment="1">
      <alignment horizontal="center" vertical="center" shrinkToFit="1"/>
    </xf>
    <xf numFmtId="0" fontId="7" fillId="0" borderId="70" xfId="2" applyBorder="1" applyAlignment="1">
      <alignment horizontal="left" vertical="center" wrapText="1"/>
    </xf>
    <xf numFmtId="0" fontId="7" fillId="0" borderId="52" xfId="2" applyBorder="1" applyAlignment="1">
      <alignment horizontal="left" vertical="center" wrapText="1"/>
    </xf>
    <xf numFmtId="0" fontId="7" fillId="0" borderId="71" xfId="2" applyBorder="1" applyAlignment="1">
      <alignment horizontal="left" vertical="center" wrapText="1"/>
    </xf>
    <xf numFmtId="0" fontId="72" fillId="0" borderId="72" xfId="2" applyBorder="1" applyAlignment="1">
      <alignment horizontal="center" vertical="center" shrinkToFit="1"/>
    </xf>
    <xf numFmtId="0" fontId="72" fillId="0" borderId="69" xfId="2" applyBorder="1" applyAlignment="1">
      <alignment horizontal="center" vertical="center" shrinkToFit="1"/>
    </xf>
    <xf numFmtId="0" fontId="72" fillId="0" borderId="73" xfId="2" applyBorder="1" applyAlignment="1">
      <alignment horizontal="center" vertical="center" shrinkToFit="1"/>
    </xf>
    <xf numFmtId="0" fontId="72" fillId="0" borderId="75" xfId="2" applyBorder="1" applyAlignment="1">
      <alignment horizontal="center" vertical="center" shrinkToFit="1"/>
    </xf>
    <xf numFmtId="0" fontId="72" fillId="0" borderId="56" xfId="2" applyBorder="1" applyAlignment="1">
      <alignment horizontal="center" vertical="center" shrinkToFit="1"/>
    </xf>
    <xf numFmtId="0" fontId="72" fillId="0" borderId="57" xfId="2" applyBorder="1" applyAlignment="1">
      <alignment horizontal="center" vertical="center" shrinkToFit="1"/>
    </xf>
    <xf numFmtId="0" fontId="7" fillId="0" borderId="75" xfId="2" applyBorder="1" applyAlignment="1">
      <alignment horizontal="left" vertical="center" wrapText="1"/>
    </xf>
    <xf numFmtId="0" fontId="7" fillId="0" borderId="56" xfId="2" applyBorder="1" applyAlignment="1">
      <alignment horizontal="left" vertical="center" wrapText="1"/>
    </xf>
    <xf numFmtId="0" fontId="7" fillId="0" borderId="67" xfId="2" applyBorder="1" applyAlignment="1">
      <alignment horizontal="left" vertical="center" wrapText="1"/>
    </xf>
    <xf numFmtId="0" fontId="7" fillId="0" borderId="72" xfId="2" applyBorder="1" applyAlignment="1">
      <alignment horizontal="left" vertical="center" wrapText="1"/>
    </xf>
    <xf numFmtId="0" fontId="7" fillId="0" borderId="69" xfId="2" applyBorder="1" applyAlignment="1">
      <alignment horizontal="left" vertical="center" wrapText="1"/>
    </xf>
    <xf numFmtId="0" fontId="7" fillId="0" borderId="74" xfId="2" applyBorder="1" applyAlignment="1">
      <alignment horizontal="left" vertical="center" wrapText="1"/>
    </xf>
    <xf numFmtId="0" fontId="88" fillId="11" borderId="66" xfId="2" applyFill="1" applyBorder="1" applyAlignment="1">
      <alignment horizontal="center" vertical="center" wrapText="1"/>
    </xf>
    <xf numFmtId="0" fontId="88" fillId="11" borderId="0" xfId="2" applyFill="1" applyAlignment="1">
      <alignment horizontal="center" vertical="center" wrapText="1"/>
    </xf>
    <xf numFmtId="0" fontId="89" fillId="0" borderId="0" xfId="2" applyAlignment="1">
      <alignment horizontal="center" vertical="center" wrapText="1"/>
    </xf>
    <xf numFmtId="0" fontId="100" fillId="0" borderId="0" xfId="2" applyAlignment="1">
      <alignment horizontal="center" vertical="center" wrapText="1"/>
    </xf>
    <xf numFmtId="0" fontId="79" fillId="11" borderId="66" xfId="2" applyFill="1" applyBorder="1" applyAlignment="1">
      <alignment horizontal="center" vertical="center" wrapText="1"/>
    </xf>
    <xf numFmtId="0" fontId="79" fillId="11" borderId="0" xfId="2" applyFill="1" applyAlignment="1">
      <alignment horizontal="center" vertical="center" wrapText="1"/>
    </xf>
    <xf numFmtId="14" fontId="100" fillId="0" borderId="0" xfId="2" applyNumberFormat="1" applyAlignment="1">
      <alignment horizontal="center" vertical="center"/>
    </xf>
    <xf numFmtId="0" fontId="91" fillId="0" borderId="0" xfId="2" applyAlignment="1">
      <alignment horizontal="left" vertical="center" wrapText="1"/>
    </xf>
    <xf numFmtId="0" fontId="92" fillId="0" borderId="44" xfId="2" applyBorder="1" applyAlignment="1">
      <alignment horizontal="center" vertical="center" wrapText="1"/>
    </xf>
    <xf numFmtId="0" fontId="92" fillId="0" borderId="45" xfId="2" applyBorder="1" applyAlignment="1">
      <alignment horizontal="center" vertical="center" wrapText="1"/>
    </xf>
    <xf numFmtId="0" fontId="92" fillId="0" borderId="46" xfId="2" applyBorder="1" applyAlignment="1">
      <alignment horizontal="center" vertical="center" wrapText="1"/>
    </xf>
    <xf numFmtId="0" fontId="109" fillId="0" borderId="70" xfId="2" applyBorder="1" applyAlignment="1">
      <alignment horizontal="left" vertical="center" shrinkToFit="1"/>
    </xf>
    <xf numFmtId="0" fontId="109" fillId="0" borderId="52" xfId="2" applyBorder="1" applyAlignment="1">
      <alignment horizontal="left" vertical="center" shrinkToFit="1"/>
    </xf>
    <xf numFmtId="0" fontId="109" fillId="0" borderId="71" xfId="2" applyBorder="1" applyAlignment="1">
      <alignment horizontal="left" vertical="center" shrinkToFit="1"/>
    </xf>
    <xf numFmtId="0" fontId="93" fillId="0" borderId="68" xfId="2" applyBorder="1" applyAlignment="1">
      <alignment horizontal="center" vertical="center" textRotation="255" wrapText="1"/>
    </xf>
    <xf numFmtId="0" fontId="93" fillId="0" borderId="73" xfId="2" applyBorder="1" applyAlignment="1">
      <alignment horizontal="center" vertical="center" textRotation="255" wrapText="1"/>
    </xf>
    <xf numFmtId="0" fontId="93" fillId="0" borderId="47" xfId="2" applyBorder="1" applyAlignment="1">
      <alignment horizontal="center" vertical="center" textRotation="255" wrapText="1"/>
    </xf>
    <xf numFmtId="0" fontId="93" fillId="0" borderId="77" xfId="2" applyBorder="1" applyAlignment="1">
      <alignment horizontal="center" vertical="center" textRotation="255" wrapText="1"/>
    </xf>
    <xf numFmtId="0" fontId="93" fillId="0" borderId="76" xfId="2" applyBorder="1" applyAlignment="1">
      <alignment horizontal="center" vertical="center" textRotation="255" wrapText="1"/>
    </xf>
    <xf numFmtId="0" fontId="93" fillId="0" borderId="57" xfId="2" applyBorder="1" applyAlignment="1">
      <alignment horizontal="center" vertical="center" textRotation="255" wrapText="1"/>
    </xf>
    <xf numFmtId="0" fontId="72" fillId="0" borderId="10" xfId="2" applyBorder="1" applyAlignment="1">
      <alignment horizontal="center" vertical="center" shrinkToFit="1"/>
    </xf>
    <xf numFmtId="0" fontId="93" fillId="0" borderId="65" xfId="2" applyBorder="1" applyAlignment="1">
      <alignment horizontal="center" vertical="center" textRotation="255" wrapText="1"/>
    </xf>
    <xf numFmtId="0" fontId="93" fillId="0" borderId="22" xfId="2" applyBorder="1" applyAlignment="1">
      <alignment horizontal="center" vertical="center" textRotation="255" wrapText="1"/>
    </xf>
    <xf numFmtId="0" fontId="93" fillId="0" borderId="30" xfId="2" applyBorder="1" applyAlignment="1">
      <alignment horizontal="center" vertical="center" textRotation="255" wrapText="1"/>
    </xf>
    <xf numFmtId="0" fontId="93" fillId="0" borderId="1" xfId="2" applyBorder="1" applyAlignment="1">
      <alignment horizontal="center" vertical="center" textRotation="255" wrapText="1"/>
    </xf>
    <xf numFmtId="0" fontId="72" fillId="0" borderId="22" xfId="2" applyBorder="1" applyAlignment="1">
      <alignment horizontal="center" vertical="center" wrapText="1"/>
    </xf>
    <xf numFmtId="0" fontId="109" fillId="0" borderId="22" xfId="2" applyBorder="1" applyAlignment="1">
      <alignment horizontal="left" vertical="center" wrapText="1"/>
    </xf>
    <xf numFmtId="0" fontId="109" fillId="0" borderId="23" xfId="2" applyBorder="1" applyAlignment="1">
      <alignment horizontal="left" vertical="center" wrapText="1"/>
    </xf>
    <xf numFmtId="0" fontId="72" fillId="0" borderId="1" xfId="2" applyBorder="1" applyAlignment="1">
      <alignment horizontal="center" vertical="center" shrinkToFit="1"/>
    </xf>
    <xf numFmtId="0" fontId="109" fillId="0" borderId="0" xfId="2" applyAlignment="1">
      <alignment horizontal="left" vertical="center" wrapText="1"/>
    </xf>
    <xf numFmtId="0" fontId="109" fillId="0" borderId="48" xfId="2" applyBorder="1" applyAlignment="1">
      <alignment horizontal="left" vertical="center" wrapText="1"/>
    </xf>
    <xf numFmtId="0" fontId="109" fillId="0" borderId="56" xfId="2" applyBorder="1" applyAlignment="1">
      <alignment horizontal="left" vertical="center" wrapText="1"/>
    </xf>
    <xf numFmtId="0" fontId="109" fillId="0" borderId="67" xfId="2" applyBorder="1" applyAlignment="1">
      <alignment horizontal="left" vertical="center" wrapText="1"/>
    </xf>
    <xf numFmtId="0" fontId="110" fillId="0" borderId="70" xfId="2" applyBorder="1" applyAlignment="1">
      <alignment horizontal="left" vertical="center" wrapText="1"/>
    </xf>
    <xf numFmtId="0" fontId="110" fillId="0" borderId="52" xfId="2" applyBorder="1" applyAlignment="1">
      <alignment horizontal="left" vertical="center" wrapText="1"/>
    </xf>
    <xf numFmtId="0" fontId="110" fillId="0" borderId="52" xfId="2" quotePrefix="1" applyBorder="1" applyAlignment="1">
      <alignment horizontal="left" vertical="center" wrapText="1"/>
    </xf>
    <xf numFmtId="0" fontId="110" fillId="0" borderId="71" xfId="2" applyBorder="1" applyAlignment="1">
      <alignment horizontal="left" vertical="center" wrapText="1"/>
    </xf>
    <xf numFmtId="180" fontId="110" fillId="0" borderId="1" xfId="2" applyNumberFormat="1" applyBorder="1" applyAlignment="1">
      <alignment horizontal="left" vertical="center" shrinkToFit="1"/>
    </xf>
    <xf numFmtId="180" fontId="110" fillId="0" borderId="31" xfId="2" applyNumberFormat="1" applyBorder="1" applyAlignment="1">
      <alignment horizontal="left" vertical="center" shrinkToFit="1"/>
    </xf>
    <xf numFmtId="0" fontId="109" fillId="0" borderId="1" xfId="2" applyBorder="1" applyAlignment="1">
      <alignment horizontal="left" vertical="center" wrapText="1"/>
    </xf>
    <xf numFmtId="0" fontId="109" fillId="0" borderId="31" xfId="2" applyBorder="1" applyAlignment="1">
      <alignment horizontal="left" vertical="center" wrapText="1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7" fillId="0" borderId="0" xfId="0" applyFill="1" applyAlignment="1" applyProtection="1">
      <alignment horizontal="center" vertical="center"/>
    </xf>
    <xf numFmtId="0" fontId="51" fillId="0" borderId="0" xfId="1" applyAlignment="1">
      <alignment horizontal="center" vertical="center" shrinkToFit="1"/>
    </xf>
    <xf numFmtId="0" fontId="6" fillId="0" borderId="0" xfId="0" applyFill="1" applyAlignment="1" applyProtection="1">
      <alignment horizontal="left" vertical="center"/>
    </xf>
    <xf numFmtId="0" fontId="108" fillId="0" borderId="0" xfId="0" quotePrefix="1" applyFill="1" applyAlignment="1" applyProtection="1">
      <alignment horizontal="center" vertical="center"/>
    </xf>
    <xf numFmtId="0" fontId="108" fillId="0" borderId="0" xfId="0" applyFill="1" applyAlignment="1" applyProtection="1">
      <alignment horizontal="center" vertical="center" wrapText="1"/>
    </xf>
    <xf numFmtId="0" fontId="104" fillId="0" borderId="0" xfId="0" applyFill="1" applyAlignment="1" applyProtection="1">
      <alignment horizontal="left" vertical="center" wrapText="1"/>
    </xf>
    <xf numFmtId="0" fontId="103" fillId="0" borderId="0" xfId="0" applyFill="1" applyAlignment="1" applyProtection="1">
      <alignment horizontal="center" vertical="center" shrinkToFit="1"/>
    </xf>
    <xf numFmtId="0" fontId="104" fillId="0" borderId="0" xfId="0" applyFill="1" applyAlignment="1" applyProtection="1">
      <alignment horizontal="left" vertical="center" shrinkToFit="1"/>
    </xf>
    <xf numFmtId="0" fontId="6" fillId="0" borderId="0" xfId="0" applyFill="1" applyAlignment="1" applyProtection="1">
      <alignment horizontal="left" vertical="center" shrinkToFit="1"/>
    </xf>
    <xf numFmtId="0" fontId="101" fillId="0" borderId="0" xfId="0" applyFill="1" applyAlignment="1" applyProtection="1">
      <alignment horizontal="center" vertical="center"/>
    </xf>
    <xf numFmtId="178" fontId="104" fillId="0" borderId="0" xfId="0" applyNumberFormat="1" applyFill="1" applyAlignment="1" applyProtection="1">
      <alignment horizontal="left" vertical="center"/>
    </xf>
    <xf numFmtId="0" fontId="6" fillId="0" borderId="0" xfId="0" applyFill="1" applyAlignment="1" applyProtection="1">
      <alignment horizontal="left" vertical="center" wrapText="1"/>
    </xf>
    <xf numFmtId="0" fontId="6" fillId="0" borderId="0" xfId="1" applyAlignment="1">
      <alignment horizontal="left" vertical="center" wrapText="1"/>
    </xf>
    <xf numFmtId="0" fontId="108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4" fillId="0" borderId="47" xfId="2" applyBorder="1" applyAlignment="1">
      <alignment horizontal="left" vertical="center" wrapText="1"/>
    </xf>
    <xf numFmtId="0" fontId="14" fillId="0" borderId="0" xfId="2" applyAlignment="1">
      <alignment horizontal="left" vertical="center" wrapText="1"/>
    </xf>
    <xf numFmtId="0" fontId="14" fillId="0" borderId="48" xfId="2" applyBorder="1" applyAlignment="1">
      <alignment horizontal="left" vertical="center" wrapText="1"/>
    </xf>
    <xf numFmtId="0" fontId="14" fillId="0" borderId="15" xfId="2" applyBorder="1" applyAlignment="1">
      <alignment horizontal="left" vertical="center" wrapText="1"/>
    </xf>
    <xf numFmtId="0" fontId="14" fillId="0" borderId="3" xfId="2" applyBorder="1" applyAlignment="1">
      <alignment horizontal="left" vertical="center" wrapText="1"/>
    </xf>
    <xf numFmtId="0" fontId="14" fillId="0" borderId="16" xfId="2" applyBorder="1" applyAlignment="1">
      <alignment horizontal="left" vertical="center" wrapText="1"/>
    </xf>
    <xf numFmtId="0" fontId="25" fillId="7" borderId="44" xfId="2" applyFill="1" applyBorder="1" applyAlignment="1">
      <alignment horizontal="center" vertical="center"/>
    </xf>
    <xf numFmtId="0" fontId="25" fillId="7" borderId="45" xfId="2" applyFill="1" applyBorder="1" applyAlignment="1">
      <alignment horizontal="center" vertical="center"/>
    </xf>
    <xf numFmtId="0" fontId="25" fillId="7" borderId="47" xfId="2" applyFill="1" applyBorder="1" applyAlignment="1">
      <alignment horizontal="center" vertical="center"/>
    </xf>
    <xf numFmtId="0" fontId="25" fillId="7" borderId="0" xfId="2" applyFill="1" applyAlignment="1">
      <alignment horizontal="center" vertical="center"/>
    </xf>
    <xf numFmtId="0" fontId="25" fillId="7" borderId="15" xfId="2" applyFill="1" applyBorder="1" applyAlignment="1">
      <alignment horizontal="center" vertical="center"/>
    </xf>
    <xf numFmtId="0" fontId="25" fillId="7" borderId="3" xfId="2" applyFill="1" applyBorder="1" applyAlignment="1">
      <alignment horizontal="center" vertical="center"/>
    </xf>
    <xf numFmtId="0" fontId="26" fillId="0" borderId="45" xfId="2" applyBorder="1" applyAlignment="1">
      <alignment horizontal="center" vertical="center" wrapText="1"/>
    </xf>
    <xf numFmtId="0" fontId="14" fillId="0" borderId="0" xfId="2" applyAlignment="1">
      <alignment horizontal="center" vertical="center" wrapText="1"/>
    </xf>
    <xf numFmtId="0" fontId="14" fillId="0" borderId="3" xfId="2" applyBorder="1" applyAlignment="1">
      <alignment horizontal="center" vertical="center" shrinkToFit="1"/>
    </xf>
    <xf numFmtId="0" fontId="14" fillId="0" borderId="30" xfId="2" applyBorder="1" applyAlignment="1">
      <alignment horizontal="center" vertical="center"/>
    </xf>
    <xf numFmtId="0" fontId="14" fillId="0" borderId="1" xfId="2" applyBorder="1" applyAlignment="1">
      <alignment horizontal="center" vertical="center"/>
    </xf>
    <xf numFmtId="0" fontId="23" fillId="5" borderId="63" xfId="2" applyFill="1" applyBorder="1" applyAlignment="1">
      <alignment horizontal="left" vertical="center"/>
    </xf>
    <xf numFmtId="0" fontId="23" fillId="5" borderId="64" xfId="2" applyFill="1" applyBorder="1" applyAlignment="1">
      <alignment horizontal="left" vertical="center"/>
    </xf>
    <xf numFmtId="0" fontId="14" fillId="5" borderId="42" xfId="2" applyFill="1" applyBorder="1" applyAlignment="1">
      <alignment horizontal="center" vertical="center"/>
    </xf>
    <xf numFmtId="0" fontId="23" fillId="0" borderId="44" xfId="2" applyBorder="1" applyAlignment="1">
      <alignment horizontal="left" vertical="center"/>
    </xf>
    <xf numFmtId="0" fontId="23" fillId="0" borderId="45" xfId="2" applyBorder="1" applyAlignment="1">
      <alignment horizontal="left" vertical="center"/>
    </xf>
    <xf numFmtId="0" fontId="14" fillId="5" borderId="30" xfId="2" applyFill="1" applyBorder="1" applyAlignment="1">
      <alignment horizontal="center" vertical="center"/>
    </xf>
    <xf numFmtId="0" fontId="14" fillId="5" borderId="1" xfId="2" applyFill="1" applyBorder="1" applyAlignment="1">
      <alignment horizontal="center" vertical="center"/>
    </xf>
    <xf numFmtId="0" fontId="23" fillId="7" borderId="30" xfId="2" applyFill="1" applyBorder="1" applyAlignment="1">
      <alignment horizontal="left" vertical="center"/>
    </xf>
    <xf numFmtId="0" fontId="23" fillId="7" borderId="1" xfId="2" applyFill="1" applyBorder="1" applyAlignment="1">
      <alignment horizontal="left" vertical="center"/>
    </xf>
    <xf numFmtId="0" fontId="23" fillId="0" borderId="30" xfId="2" applyBorder="1" applyAlignment="1">
      <alignment horizontal="left" vertical="center"/>
    </xf>
    <xf numFmtId="0" fontId="23" fillId="0" borderId="1" xfId="2" applyBorder="1" applyAlignment="1">
      <alignment horizontal="left" vertical="center"/>
    </xf>
    <xf numFmtId="0" fontId="15" fillId="6" borderId="12" xfId="2" applyFill="1" applyBorder="1" applyAlignment="1">
      <alignment horizontal="center" vertical="center"/>
    </xf>
    <xf numFmtId="0" fontId="15" fillId="6" borderId="13" xfId="2" applyFill="1" applyBorder="1" applyAlignment="1">
      <alignment horizontal="center" vertical="center"/>
    </xf>
    <xf numFmtId="180" fontId="15" fillId="6" borderId="13" xfId="2" applyNumberFormat="1" applyFill="1" applyBorder="1" applyAlignment="1">
      <alignment horizontal="left" vertical="center" shrinkToFit="1"/>
    </xf>
    <xf numFmtId="180" fontId="15" fillId="6" borderId="14" xfId="2" applyNumberFormat="1" applyFill="1" applyBorder="1" applyAlignment="1">
      <alignment horizontal="left" vertical="center" shrinkToFit="1"/>
    </xf>
    <xf numFmtId="0" fontId="17" fillId="0" borderId="15" xfId="2" applyBorder="1" applyAlignment="1">
      <alignment horizontal="center" vertical="center"/>
    </xf>
    <xf numFmtId="0" fontId="17" fillId="0" borderId="3" xfId="2" applyBorder="1" applyAlignment="1">
      <alignment horizontal="center" vertical="center"/>
    </xf>
    <xf numFmtId="0" fontId="17" fillId="0" borderId="16" xfId="2" applyBorder="1" applyAlignment="1">
      <alignment horizontal="center" vertical="center"/>
    </xf>
    <xf numFmtId="0" fontId="14" fillId="0" borderId="17" xfId="4" applyFill="1" applyBorder="1" applyAlignment="1">
      <alignment horizontal="center" vertical="center"/>
    </xf>
    <xf numFmtId="0" fontId="23" fillId="7" borderId="20" xfId="4" applyFill="1" applyBorder="1" applyAlignment="1">
      <alignment horizontal="left" vertical="center"/>
    </xf>
    <xf numFmtId="0" fontId="23" fillId="7" borderId="21" xfId="4" applyFill="1" applyBorder="1" applyAlignment="1">
      <alignment horizontal="left" vertical="center"/>
    </xf>
    <xf numFmtId="0" fontId="13" fillId="5" borderId="0" xfId="2" quotePrefix="1" applyFill="1" applyAlignment="1">
      <alignment horizontal="center" vertical="center" shrinkToFit="1"/>
    </xf>
    <xf numFmtId="0" fontId="13" fillId="5" borderId="0" xfId="2" applyFill="1" applyAlignment="1">
      <alignment horizontal="center" vertical="center" shrinkToFit="1"/>
    </xf>
    <xf numFmtId="0" fontId="14" fillId="0" borderId="3" xfId="2" applyBorder="1" applyAlignment="1">
      <alignment horizontal="right" vertical="center" shrinkToFit="1"/>
    </xf>
    <xf numFmtId="0" fontId="15" fillId="5" borderId="4" xfId="2" applyFill="1" applyBorder="1" applyAlignment="1">
      <alignment horizontal="center" vertical="center"/>
    </xf>
    <xf numFmtId="0" fontId="15" fillId="5" borderId="5" xfId="2" applyFill="1" applyBorder="1" applyAlignment="1">
      <alignment horizontal="center" vertical="center"/>
    </xf>
    <xf numFmtId="0" fontId="15" fillId="6" borderId="9" xfId="2" applyFill="1" applyBorder="1" applyAlignment="1">
      <alignment horizontal="center" vertical="center"/>
    </xf>
    <xf numFmtId="0" fontId="15" fillId="6" borderId="10" xfId="2" applyFill="1" applyBorder="1" applyAlignment="1">
      <alignment horizontal="center" vertical="center"/>
    </xf>
    <xf numFmtId="180" fontId="15" fillId="6" borderId="10" xfId="2" applyNumberFormat="1" applyFill="1" applyBorder="1" applyAlignment="1">
      <alignment horizontal="left" vertical="center" shrinkToFit="1"/>
    </xf>
    <xf numFmtId="180" fontId="15" fillId="6" borderId="11" xfId="2" applyNumberFormat="1" applyFill="1" applyBorder="1" applyAlignment="1">
      <alignment horizontal="left" vertical="center" shrinkToFit="1"/>
    </xf>
    <xf numFmtId="176" fontId="15" fillId="5" borderId="6" xfId="2" applyNumberFormat="1" applyFill="1" applyBorder="1" applyAlignment="1">
      <alignment horizontal="center" vertical="center" shrinkToFit="1"/>
    </xf>
    <xf numFmtId="176" fontId="15" fillId="5" borderId="7" xfId="2" applyNumberFormat="1" applyFill="1" applyBorder="1" applyAlignment="1">
      <alignment horizontal="center" vertical="center" shrinkToFit="1"/>
    </xf>
    <xf numFmtId="176" fontId="15" fillId="5" borderId="8" xfId="2" applyNumberFormat="1" applyFill="1" applyBorder="1" applyAlignment="1">
      <alignment horizontal="center" vertical="center" shrinkToFit="1"/>
    </xf>
  </cellXfs>
  <cellStyles count="3162">
    <cellStyle name="20% - 강조색1" xfId="3138" builtinId="30"/>
    <cellStyle name="20% - 강조색2" xfId="3142" builtinId="34"/>
    <cellStyle name="20% - 강조색3" xfId="3146" builtinId="38"/>
    <cellStyle name="20% - 강조색4" xfId="3150" builtinId="42"/>
    <cellStyle name="20% - 강조색5" xfId="3154" builtinId="46"/>
    <cellStyle name="20% - 강조색6" xfId="3158" builtinId="50"/>
    <cellStyle name="40% - 강조색1" xfId="3139" builtinId="31"/>
    <cellStyle name="40% - 강조색2" xfId="3143" builtinId="35"/>
    <cellStyle name="40% - 강조색3" xfId="3147" builtinId="39"/>
    <cellStyle name="40% - 강조색4" xfId="3151" builtinId="43"/>
    <cellStyle name="40% - 강조색5" xfId="3155" builtinId="47"/>
    <cellStyle name="40% - 강조색6" xfId="3159" builtinId="51"/>
    <cellStyle name="60% - 강조색1" xfId="3140" builtinId="32"/>
    <cellStyle name="60% - 강조색2" xfId="3144" builtinId="36"/>
    <cellStyle name="60% - 강조색3" xfId="3148" builtinId="40"/>
    <cellStyle name="60% - 강조색4" xfId="3152" builtinId="44"/>
    <cellStyle name="60% - 강조색5" xfId="3156" builtinId="48"/>
    <cellStyle name="60% - 강조색6" xfId="3160" builtinId="52"/>
    <cellStyle name="강조색1" xfId="3137" builtinId="29"/>
    <cellStyle name="강조색2" xfId="3141" builtinId="33"/>
    <cellStyle name="강조색3" xfId="3145" builtinId="37"/>
    <cellStyle name="강조색4" xfId="3149" builtinId="41"/>
    <cellStyle name="강조색5" xfId="3153" builtinId="45"/>
    <cellStyle name="강조색6" xfId="3157" builtinId="49"/>
    <cellStyle name="경고문" xfId="3122" builtinId="11"/>
    <cellStyle name="계산" xfId="3130" builtinId="22"/>
    <cellStyle name="나쁨" xfId="3135" builtinId="27"/>
    <cellStyle name="메모" xfId="3121" builtinId="10"/>
    <cellStyle name="백분율" xfId="3118" builtinId="5"/>
    <cellStyle name="보통" xfId="3136" builtinId="28"/>
    <cellStyle name="설명텍스트" xfId="3161" builtinId="53"/>
    <cellStyle name="셀 확인" xfId="3131" builtinId="23"/>
    <cellStyle name="쉼표" xfId="3116" builtinId="3"/>
    <cellStyle name="쉼표[0]" xfId="3119" builtinId="6"/>
    <cellStyle name="연결된 셀" xfId="3132" builtinId="24"/>
    <cellStyle name="열어 본 하이퍼링크" xfId="3115" builtinId="9" hidden="1"/>
    <cellStyle name="요약" xfId="3133" builtinId="25"/>
    <cellStyle name="입력" xfId="3128" builtinId="20"/>
    <cellStyle name="제목" xfId="3123" builtinId="15"/>
    <cellStyle name="제목1" xfId="3124" builtinId="16"/>
    <cellStyle name="제목2" xfId="3125" builtinId="17"/>
    <cellStyle name="제목3" xfId="3126" builtinId="18"/>
    <cellStyle name="제목4" xfId="3127" builtinId="19"/>
    <cellStyle name="좋음" xfId="3134" builtinId="26"/>
    <cellStyle name="출력" xfId="3129" builtinId="21"/>
    <cellStyle name="통화" xfId="3117" builtinId="4"/>
    <cellStyle name="통화[0]" xfId="3120" builtinId="7"/>
    <cellStyle name="표준" xfId="0" builtinId="0"/>
    <cellStyle name="하이퍼링크" xfId="3114" builtinId="8" hidden="1"/>
    <cellStyle name=" " xfId="6"/>
    <cellStyle name=" _97연말" xfId="8"/>
    <cellStyle name=" _97연말1" xfId="9"/>
    <cellStyle name=" _Book1" xfId="10"/>
    <cellStyle name="&quot;" xfId="11"/>
    <cellStyle name="#,##0" xfId="12"/>
    <cellStyle name="' '" xfId="7"/>
    <cellStyle name="(##.00)" xfId="13"/>
    <cellStyle name="(△콤마)" xfId="14"/>
    <cellStyle name="(백분율)" xfId="15"/>
    <cellStyle name="(콤마)" xfId="16"/>
    <cellStyle name="+,-,0" xfId="1101"/>
    <cellStyle name="0" xfId="1109"/>
    <cellStyle name="0.0" xfId="1110"/>
    <cellStyle name="0.00" xfId="1111"/>
    <cellStyle name="00" xfId="1112"/>
    <cellStyle name="1" xfId="1113"/>
    <cellStyle name="11" xfId="2600"/>
    <cellStyle name="111" xfId="2601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2" xfId="2602"/>
    <cellStyle name="2)" xfId="2603"/>
    <cellStyle name="20% - 강조색1 2" xfId="4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자리" xfId="2642"/>
    <cellStyle name="??&amp;O?&amp;H?_x0008_??_x0007__x0001__x0001_" xfId="18"/>
    <cellStyle name="??&amp;O?&amp;H?_x0008__x000f__x0007_?_x0007__x0001__x0001_" xfId="17"/>
    <cellStyle name="?W?_laroux" xfId="19"/>
    <cellStyle name="?曹%U?&amp;H?_x0008_?s_x000a__x0007__x0001__x0001_" xfId="20"/>
    <cellStyle name="ALIGNMENT" xfId="2657"/>
    <cellStyle name="AeE¡ⓒ [0]_AO¨uRCN¡¾U " xfId="2655"/>
    <cellStyle name="AeE¡ⓒ_AO¨uRCN¡¾U " xfId="2656"/>
    <cellStyle name="AeE­ [0]_ 2ÆAAþº° " xfId="2645"/>
    <cellStyle name="AeE­ [0]_95³aAN°y¼o·R " xfId="2647"/>
    <cellStyle name="AeE­ [0]_A¾CO½A¼³ " xfId="2649"/>
    <cellStyle name="AeE­_ 2ÆAAþº° " xfId="2650"/>
    <cellStyle name="AeE­_95³aAN°y¼o·R " xfId="2652"/>
    <cellStyle name="AeE­_A¾CO½A¼³ " xfId="2654"/>
    <cellStyle name="A¨­￠￢￠O [0]_AO¨uRCN¡¾U " xfId="2643"/>
    <cellStyle name="A¨­￠￢￠O_AO¨uRCN¡¾U " xfId="2644"/>
    <cellStyle name="AÞ¸¶ [0]_ 2ÆAAþº° " xfId="2659"/>
    <cellStyle name="AÞ¸¶ [0]_95³aAN°y¼o·R " xfId="2661"/>
    <cellStyle name="AÞ¸¶_ 2ÆAAþº° " xfId="2663"/>
    <cellStyle name="AÞ¸¶_95³aAN°y¼o·R " xfId="2665"/>
    <cellStyle name="AÞ¸¶_A¾CO½A¼³ " xfId="2667"/>
    <cellStyle name="CIAIÆU¸μAⓒ" xfId="2678"/>
    <cellStyle name="COST1" xfId="2682"/>
    <cellStyle name="Calc Currency (0)" xfId="2676"/>
    <cellStyle name="Comma0" xfId="2680"/>
    <cellStyle name="Copied" xfId="2681"/>
    <cellStyle name="Curren?_x0012_퐀_x0017_?" xfId="2684"/>
    <cellStyle name="Currency [0]͢laroux_1" xfId="2685"/>
    <cellStyle name="Currency0" xfId="2687"/>
    <cellStyle name="Currency1" xfId="2688"/>
    <cellStyle name="Curre~cy [0]_MATERAL2" xfId="2683"/>
    <cellStyle name="C¡IA¨ª_¡ic¨u¡A¨￢I¨￢¡Æ AN¡Æe " xfId="2668"/>
    <cellStyle name="C￥AØ_ °u¸R½CCa1" xfId="2669"/>
    <cellStyle name="C￥AØ_95³aAN°y¼o·R " xfId="2675"/>
    <cellStyle name="C￥AØ_°­´c (2)" xfId="2671"/>
    <cellStyle name="C￥AØ_¼³°e¿e¿ª" xfId="2673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Cells" xfId="2714"/>
    <cellStyle name="Input [yellow]" xfId="2713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rmal - Style1" xfId="2729"/>
    <cellStyle name="Normal - 유형1" xfId="2730"/>
    <cellStyle name="PSChar" xfId="2738"/>
    <cellStyle name="Percent [2]" xfId="2736"/>
    <cellStyle name="RevList" xfId="2739"/>
    <cellStyle name="STANDARD" xfId="2743"/>
    <cellStyle name="STD" xfId="2744"/>
    <cellStyle name="Subtotal" xfId="2746"/>
    <cellStyle name="Title" xfId="2747"/>
    <cellStyle name="Total" xfId="2750"/>
    <cellStyle name="UM" xfId="2751"/>
    <cellStyle name="W?rung [0]_laroux" xfId="2752"/>
    <cellStyle name="W?rung_laroux" xfId="2753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연안권역특화거리조성을위한음악분수대설치_00-설계서,원가계산,내역서" xfId="866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args.style" xfId="2658"/>
    <cellStyle name="category" xfId="2677"/>
    <cellStyle name="comma zerodec" xfId="2679"/>
    <cellStyle name="currency-$" xfId="2686"/>
    <cellStyle name="kg" xfId="2715"/>
    <cellStyle name="mma_CASH &amp; DSO" xfId="2722"/>
    <cellStyle name="no dec" xfId="2728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ricing" xfId="2737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ubhead" xfId="2745"/>
    <cellStyle name="title [1]" xfId="2748"/>
    <cellStyle name="title [2]" xfId="2749"/>
    <cellStyle name="ÊÝ [0.00]_Region Orders (2)" xfId="1106"/>
    <cellStyle name="ÊÝ_Region Orders (2)" xfId="1107"/>
    <cellStyle name="W_Pacific Region P&amp;L" xfId="1108"/>
    <cellStyle name="¤@?e_TEST-1 " xfId="1100"/>
    <cellStyle name="ÄÞ¸¶ [0]_¸ðÇü¸·" xfId="2660"/>
    <cellStyle name="ÄÞ¸¶ [0]_Á¤»ê¼­°©Áö" xfId="2662"/>
    <cellStyle name="ÄÞ¸¶_¸ðÇü¸·" xfId="2664"/>
    <cellStyle name="ÄÞ¸¶_Á¤»ê¼­°©Áö" xfId="2666"/>
    <cellStyle name="ÅëÈ­ [0]_¸ðÇü¸·" xfId="2646"/>
    <cellStyle name="ÅëÈ­ [0]_Á¤»ê¼­°©Áö" xfId="2648"/>
    <cellStyle name="ÅëÈ­_¸ðÇü¸·" xfId="2651"/>
    <cellStyle name="ÅëÈ­_Á¤»ê¼­°©Áö" xfId="2653"/>
    <cellStyle name="Ç¥ÁØ_°­´ç (2)" xfId="2672"/>
    <cellStyle name="Ç¥ÁØ_»óºÎ¼ö·®Áý°è " xfId="2670"/>
    <cellStyle name="Ç¥ÁØ_¼öÀÍ¼º " xfId="2674"/>
    <cellStyle name="Œ…?æ맖?e [0.00]_laroux" xfId="2731"/>
    <cellStyle name="Œ…?æ맖?e_laroux" xfId="2732"/>
    <cellStyle name="μU¿¡ ¿A´A CIAIÆU¸μAⓒ" xfId="2754"/>
    <cellStyle name="’E‰Y [0.00]_laroux" xfId="1098"/>
    <cellStyle name="’E‰Y_laroux" xfId="1099"/>
    <cellStyle name="△ [0]" xfId="1103"/>
    <cellStyle name="△ []" xfId="1102"/>
    <cellStyle name="△백분율" xfId="1104"/>
    <cellStyle name="△콤마" xfId="1105"/>
    <cellStyle name="標準_Akia(F）-8" xfId="3107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0]" xfId="2781"/>
    <cellStyle name="백분율 [2]" xfId="2782"/>
    <cellStyle name="백분율 [△1]" xfId="2779"/>
    <cellStyle name="백분율 [△2]" xfId="2780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0" xfId="3065"/>
    <cellStyle name="자리수_~MGaE" xfId="3064"/>
    <cellStyle name="정기수 - 유형1" xfId="3066"/>
    <cellStyle name="제목 1(中)" xfId="3068"/>
    <cellStyle name="제목 1(左)" xfId="3067"/>
    <cellStyle name="제목1" xfId="3072"/>
    <cellStyle name="제목2" xfId="3073"/>
    <cellStyle name="제목[1 줄]" xfId="3069"/>
    <cellStyle name="제목[2줄 아래]" xfId="3070"/>
    <cellStyle name="제목[2줄 위]" xfId="3071"/>
    <cellStyle name="좋음 2" xfId="3074"/>
    <cellStyle name="지정되지 않음" xfId="3075"/>
    <cellStyle name="콤" xfId="3076"/>
    <cellStyle name="콤마 1" xfId="3086"/>
    <cellStyle name="콤마 [" xfId="3077"/>
    <cellStyle name="콤마 [#]" xfId="3078"/>
    <cellStyle name="콤마 [0]" xfId="3080"/>
    <cellStyle name="콤마 [1]" xfId="3081"/>
    <cellStyle name="콤마 [2]" xfId="3082"/>
    <cellStyle name="콤마 []" xfId="3079"/>
    <cellStyle name="콤마 [금액]" xfId="3083"/>
    <cellStyle name="콤마 [소수]" xfId="3084"/>
    <cellStyle name="콤마 [수량]" xfId="3085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下)" xfId="3103"/>
    <cellStyle name="표머릿글(中)" xfId="3102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표준1" xfId="3108"/>
    <cellStyle name="표준2" xfId="3109"/>
    <cellStyle name="표준℘Sheet8 (3)" xfId="3110"/>
    <cellStyle name="합산" xfId="3111"/>
    <cellStyle name="화폐기호" xfId="3112"/>
    <cellStyle name="화폐기호0" xfId="3113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</xdr:colOff>
      <xdr:row>39</xdr:row>
      <xdr:rowOff>38100</xdr:rowOff>
    </xdr:from>
    <xdr:to>
      <xdr:col>30</xdr:col>
      <xdr:colOff>100965</xdr:colOff>
      <xdr:row>43</xdr:row>
      <xdr:rowOff>70485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18930" y="9062085"/>
          <a:ext cx="824865" cy="75628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31</xdr:row>
      <xdr:rowOff>247649</xdr:rowOff>
    </xdr:from>
    <xdr:to>
      <xdr:col>2</xdr:col>
      <xdr:colOff>495299</xdr:colOff>
      <xdr:row>35</xdr:row>
      <xdr:rowOff>60325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2655" y="8798560"/>
          <a:ext cx="1028700" cy="981075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32</xdr:row>
      <xdr:rowOff>209550</xdr:rowOff>
    </xdr:from>
    <xdr:to>
      <xdr:col>7</xdr:col>
      <xdr:colOff>533400</xdr:colOff>
      <xdr:row>35</xdr:row>
      <xdr:rowOff>133350</xdr:rowOff>
    </xdr:to>
    <xdr:pic>
      <xdr:nvPicPr>
        <xdr:cNvPr id="4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42155" y="9052560"/>
          <a:ext cx="781050" cy="8001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05580" y="795083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H115"/>
  <sheetViews>
    <sheetView topLeftCell="E9" view="pageBreakPreview" zoomScaleNormal="100" zoomScaleSheetLayoutView="100" workbookViewId="0">
      <selection activeCell="P21" sqref="P21:AG21"/>
    </sheetView>
  </sheetViews>
  <sheetFormatPr defaultColWidth="11.50000000" defaultRowHeight="12.000000"/>
  <cols>
    <col min="6" max="7" width="3.71928583" customWidth="1" outlineLevel="0"/>
    <col min="8" max="8" style="9" width="3.71928583" customWidth="1" outlineLevel="0"/>
    <col min="9" max="14" style="8" width="3.71928583" customWidth="1" outlineLevel="0"/>
    <col min="15" max="33" width="3.71928583" customWidth="1" outlineLevel="0"/>
    <col min="34" max="34" width="3.00499998" customWidth="1" outlineLevel="0"/>
    <col min="35" max="261" width="8.86214243" customWidth="1" outlineLevel="0"/>
  </cols>
  <sheetData>
    <row r="1" spans="6:34" s="2" customFormat="1" ht="42.000000" customHeight="1">
      <c r="F1" s="227" t="s">
        <v>0</v>
      </c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1"/>
    </row>
    <row r="2" spans="6:34" s="2" customFormat="1" ht="12.000000" customHeight="1"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2"/>
      <c r="AE2" s="112"/>
      <c r="AF2" s="112"/>
      <c r="AG2" s="112"/>
      <c r="AH2" s="1"/>
    </row>
    <row r="3" spans="6:34" s="2" customFormat="1" ht="18.000000" customHeight="1">
      <c r="F3" s="219" t="s">
        <v>114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109"/>
    </row>
    <row r="4" spans="6:34" s="2" customFormat="1" ht="7.500000" customHeight="1"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4"/>
      <c r="AE4" s="114"/>
      <c r="AF4" s="114"/>
      <c r="AG4" s="114"/>
      <c r="AH4" s="1"/>
    </row>
    <row r="5" spans="6:34" s="2" customFormat="1" ht="8.250000" customHeight="1"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2"/>
      <c r="AE5" s="112"/>
      <c r="AF5" s="112"/>
      <c r="AG5" s="112"/>
      <c r="AH5" s="1"/>
    </row>
    <row r="6" spans="6:34" s="2" customFormat="1" ht="23.250000" customHeight="1">
      <c r="F6" s="224" t="s">
        <v>1</v>
      </c>
      <c r="G6" s="224"/>
      <c r="H6" s="224"/>
      <c r="I6" s="224"/>
      <c r="J6" s="115" t="s">
        <v>14</v>
      </c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1"/>
      <c r="AH6" s="1"/>
    </row>
    <row r="7" spans="6:34" s="2" customFormat="1" ht="23.250000" customHeight="1">
      <c r="F7" s="224" t="s">
        <v>2</v>
      </c>
      <c r="G7" s="224"/>
      <c r="H7" s="224"/>
      <c r="I7" s="224"/>
      <c r="J7" s="228" t="s">
        <v>9</v>
      </c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1"/>
      <c r="AH7" s="1"/>
    </row>
    <row r="8" spans="6:34" s="2" customFormat="1" ht="23.250000" customHeight="1">
      <c r="F8" s="224" t="s">
        <v>3</v>
      </c>
      <c r="G8" s="224"/>
      <c r="H8" s="224"/>
      <c r="I8" s="224"/>
      <c r="J8" s="115" t="s">
        <v>135</v>
      </c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1"/>
      <c r="AH8" s="1"/>
    </row>
    <row r="9" spans="6:34" s="2" customFormat="1" ht="23.250000" customHeight="1">
      <c r="F9" s="224" t="s">
        <v>4</v>
      </c>
      <c r="G9" s="224"/>
      <c r="H9" s="224"/>
      <c r="I9" s="224"/>
      <c r="J9" s="111" t="s">
        <v>5</v>
      </c>
      <c r="K9" s="111"/>
      <c r="L9" s="111"/>
      <c r="M9" s="111"/>
    </row>
    <row r="10" spans="6:34" s="2" customFormat="1" ht="23.250000" customHeight="1">
      <c r="F10" s="224" t="s">
        <v>6</v>
      </c>
      <c r="G10" s="224"/>
      <c r="H10" s="224"/>
      <c r="I10" s="224"/>
      <c r="J10" s="220" t="s">
        <v>172</v>
      </c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  <c r="AA10" s="220"/>
      <c r="AB10" s="220"/>
      <c r="AC10" s="220"/>
      <c r="AD10" s="220"/>
      <c r="AE10" s="220"/>
      <c r="AF10" s="220"/>
      <c r="AG10" s="220"/>
      <c r="AH10" s="1"/>
    </row>
    <row r="11" spans="6:34" s="2" customFormat="1" ht="7.500000" customHeight="1"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4"/>
      <c r="AE11" s="114"/>
      <c r="AF11" s="114"/>
      <c r="AG11" s="114"/>
      <c r="AH11" s="1"/>
    </row>
    <row r="12" spans="6:34" s="2" customFormat="1" ht="13.500000" customHeight="1"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2"/>
      <c r="AE12" s="112"/>
      <c r="AF12" s="112"/>
      <c r="AG12" s="112"/>
      <c r="AH12" s="1"/>
    </row>
    <row r="13" spans="6:34" s="2" customFormat="1" ht="19.500000" customHeight="1">
      <c r="F13" s="220" t="s">
        <v>182</v>
      </c>
      <c r="G13" s="22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1"/>
    </row>
    <row r="14" spans="6:34" s="2" customFormat="1" ht="9.750000" customHeight="1"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"/>
    </row>
    <row r="15" spans="6:34" s="2" customFormat="1" ht="65.250000" customHeight="1">
      <c r="F15" s="230" t="s">
        <v>183</v>
      </c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1"/>
    </row>
    <row r="16" spans="6:34" s="2" customFormat="1" ht="9.750000" customHeight="1"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"/>
    </row>
    <row r="17" spans="6:60" s="10" customFormat="1" ht="33.000000" customHeight="1">
      <c r="F17" s="229" t="s">
        <v>184</v>
      </c>
      <c r="G17" s="229"/>
      <c r="H17" s="229"/>
      <c r="I17" s="229"/>
      <c r="J17" s="229"/>
      <c r="K17" s="229"/>
      <c r="L17" s="229"/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3"/>
    </row>
    <row r="18" spans="6:60" s="2" customFormat="1" ht="9.750000" customHeight="1"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"/>
    </row>
    <row r="19" spans="6:60" s="2" customFormat="1" ht="19.500000" customHeight="1">
      <c r="F19" s="220" t="s">
        <v>185</v>
      </c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1"/>
      <c r="AM19" s="216"/>
      <c r="AN19" s="216"/>
      <c r="AO19" s="216"/>
      <c r="AP19" s="216"/>
      <c r="AQ19" s="216"/>
      <c r="AR19" s="216"/>
      <c r="AS19" s="216"/>
      <c r="AT19" s="216"/>
      <c r="AU19" s="216"/>
      <c r="AV19" s="216"/>
      <c r="AW19" s="216"/>
      <c r="AX19" s="216"/>
      <c r="AY19" s="216"/>
      <c r="AZ19" s="216"/>
      <c r="BA19" s="216"/>
      <c r="BB19" s="216"/>
      <c r="BC19" s="216"/>
      <c r="BD19" s="216"/>
      <c r="BE19" s="216"/>
      <c r="BF19" s="216"/>
      <c r="BG19" s="216"/>
      <c r="BH19" s="216"/>
    </row>
    <row r="20" spans="6:60" s="12" customFormat="1" ht="16.000000" customHeight="1">
      <c r="F20" s="116"/>
      <c r="G20" s="116"/>
      <c r="H20" s="116"/>
      <c r="I20" s="116"/>
      <c r="J20" s="115" t="s">
        <v>180</v>
      </c>
      <c r="K20" s="115"/>
      <c r="L20" s="115"/>
      <c r="M20" s="115"/>
      <c r="N20" s="115"/>
      <c r="O20" s="115"/>
      <c r="P20" s="115" t="s">
        <v>10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7"/>
      <c r="BB20" s="217"/>
      <c r="BC20" s="217"/>
      <c r="BD20" s="217"/>
      <c r="BE20" s="217"/>
      <c r="BF20" s="217"/>
      <c r="BG20" s="217"/>
      <c r="BH20" s="217"/>
    </row>
    <row r="21" spans="6:60" s="12" customFormat="1" ht="16.000000" customHeight="1">
      <c r="F21" s="116"/>
      <c r="G21" s="116"/>
      <c r="H21" s="116"/>
      <c r="I21" s="116"/>
      <c r="J21" s="115" t="s">
        <v>179</v>
      </c>
      <c r="K21" s="115"/>
      <c r="L21" s="115"/>
      <c r="M21" s="115"/>
      <c r="N21" s="115"/>
      <c r="O21" s="115"/>
      <c r="P21" s="115" t="s">
        <v>11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"/>
    </row>
    <row r="22" spans="6:60" s="12" customFormat="1" ht="16.000000" customHeight="1">
      <c r="F22" s="116"/>
      <c r="G22" s="116"/>
      <c r="H22" s="116"/>
      <c r="I22" s="116"/>
      <c r="J22" s="115" t="s">
        <v>178</v>
      </c>
      <c r="K22" s="115"/>
      <c r="L22" s="115"/>
      <c r="M22" s="115"/>
      <c r="N22" s="115"/>
      <c r="O22" s="115"/>
      <c r="P22" s="115" t="s">
        <v>12</v>
      </c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"/>
    </row>
    <row r="23" spans="6:60" s="12" customFormat="1" ht="16.000000" customHeight="1">
      <c r="F23" s="116"/>
      <c r="G23" s="116"/>
      <c r="H23" s="116"/>
      <c r="I23" s="116"/>
      <c r="J23" s="115" t="s">
        <v>177</v>
      </c>
      <c r="K23" s="115"/>
      <c r="L23" s="115"/>
      <c r="M23" s="115"/>
      <c r="N23" s="115"/>
      <c r="O23" s="115"/>
      <c r="P23" s="115" t="s">
        <v>13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"/>
    </row>
    <row r="24" spans="6:60" s="12" customFormat="1" ht="16.000000" customHeight="1">
      <c r="F24" s="116"/>
      <c r="G24" s="116"/>
      <c r="H24" s="116"/>
      <c r="I24" s="116"/>
      <c r="J24" s="115" t="s">
        <v>176</v>
      </c>
      <c r="K24" s="115"/>
      <c r="L24" s="115"/>
      <c r="M24" s="115"/>
      <c r="N24" s="115"/>
      <c r="O24" s="115"/>
      <c r="P24" s="115" t="s">
        <v>158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3"/>
    </row>
    <row r="25" spans="6:60" s="2" customFormat="1" ht="9.750000" customHeight="1"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"/>
    </row>
    <row r="26" spans="6:60" s="2" customFormat="1" ht="19.500000" customHeight="1">
      <c r="F26" s="115" t="s">
        <v>186</v>
      </c>
      <c r="G26" s="115"/>
      <c r="H26" s="115"/>
      <c r="I26" s="115"/>
      <c r="J26" s="115"/>
      <c r="K26" s="115"/>
      <c r="L26" s="115"/>
      <c r="M26" s="115"/>
      <c r="N26" s="115"/>
      <c r="O26" s="115"/>
      <c r="P26" s="115" t="s">
        <v>8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"/>
    </row>
    <row r="27" spans="6:60" s="12" customFormat="1" ht="41.000000" customHeight="1">
      <c r="F27" s="116"/>
      <c r="G27" s="116"/>
      <c r="H27" s="116"/>
      <c r="I27" s="116"/>
      <c r="J27" s="223" t="s">
        <v>189</v>
      </c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3"/>
      <c r="X27" s="223"/>
      <c r="Y27" s="223"/>
      <c r="Z27" s="223"/>
      <c r="AA27" s="223"/>
      <c r="AB27" s="223"/>
      <c r="AC27" s="223"/>
      <c r="AD27" s="223"/>
      <c r="AE27" s="223"/>
      <c r="AF27" s="223"/>
      <c r="AG27" s="223"/>
      <c r="AH27" s="11"/>
    </row>
    <row r="28" spans="6:60" s="2" customFormat="1" ht="9.750000" customHeight="1"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"/>
    </row>
    <row r="29" spans="6:60" s="12" customFormat="1" ht="19.500000" customHeight="1">
      <c r="F29" s="231" t="s">
        <v>188</v>
      </c>
      <c r="G29" s="231"/>
      <c r="H29" s="231"/>
      <c r="I29" s="231"/>
      <c r="J29" s="231"/>
      <c r="K29" s="231"/>
      <c r="L29" s="231"/>
      <c r="M29" s="231"/>
      <c r="N29" s="231"/>
      <c r="O29" s="231"/>
      <c r="P29" s="232" t="str">
        <f>"일금"&amp;NUMBERSTRING(대가산출!H25,1)&amp;"원정 (₩"&amp;TEXT(대가산출!H25,"#,##0")&amp;")"</f>
        <v>일금칠십만원정 (₩700,000)</v>
      </c>
      <c r="Q29" s="232"/>
      <c r="R29" s="232"/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21" t="s">
        <v>63</v>
      </c>
      <c r="AD29" s="221"/>
      <c r="AE29" s="221"/>
      <c r="AF29" s="222" t="s">
        <v>15</v>
      </c>
      <c r="AG29" s="222"/>
      <c r="AH29" s="11"/>
    </row>
    <row r="30" spans="6:60" s="2" customFormat="1" ht="9.750000" customHeight="1"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"/>
    </row>
    <row r="31" spans="6:60" s="2" customFormat="1" ht="19.500000" customHeight="1">
      <c r="F31" s="220" t="s">
        <v>187</v>
      </c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111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"/>
    </row>
    <row r="32" spans="6:60" s="2" customFormat="1" ht="16.500000" customHeight="1">
      <c r="F32" s="111"/>
      <c r="G32" s="111"/>
      <c r="H32" s="111"/>
      <c r="I32" s="111"/>
      <c r="J32" s="115" t="s">
        <v>132</v>
      </c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4"/>
      <c r="AI32" s="15"/>
      <c r="AJ32" s="15"/>
      <c r="AK32" s="15"/>
    </row>
    <row r="33" spans="6:34" s="2" customFormat="1" ht="16.500000" customHeight="1">
      <c r="F33" s="111"/>
      <c r="G33" s="111"/>
      <c r="H33" s="111"/>
      <c r="I33" s="111"/>
      <c r="J33" s="225" t="s">
        <v>136</v>
      </c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1"/>
    </row>
    <row r="34" spans="6:34" s="2" customFormat="1" ht="16.500000" customHeight="1">
      <c r="F34" s="111"/>
      <c r="G34" s="111"/>
      <c r="H34" s="111"/>
      <c r="I34" s="111"/>
      <c r="J34" s="220" t="s">
        <v>133</v>
      </c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1"/>
    </row>
    <row r="35" spans="6:34" s="2" customFormat="1" ht="16.500000" customHeight="1">
      <c r="F35" s="111"/>
      <c r="G35" s="111"/>
      <c r="H35" s="111"/>
      <c r="I35" s="111"/>
      <c r="J35" s="226" t="s">
        <v>134</v>
      </c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6"/>
      <c r="AE35" s="226"/>
      <c r="AF35" s="226"/>
      <c r="AG35" s="226"/>
      <c r="AH35" s="1"/>
    </row>
    <row r="36" spans="6:34" s="2" customFormat="1" ht="12.000000" customHeight="1">
      <c r="F36" s="119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"/>
    </row>
    <row r="37" spans="6:34" s="2" customFormat="1" ht="12.000000" customHeight="1">
      <c r="F37" s="119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"/>
    </row>
    <row r="38" spans="6:34" s="2" customFormat="1" ht="19.500000" customHeight="1">
      <c r="F38" s="220" t="s">
        <v>131</v>
      </c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1"/>
    </row>
    <row r="39" spans="6:34" s="2" customFormat="1" ht="3.750000" customHeight="1">
      <c r="F39" s="119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"/>
    </row>
    <row r="40" spans="6:34" s="2" customFormat="1" ht="3.750000" customHeight="1">
      <c r="F40" s="119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"/>
    </row>
    <row r="41" spans="6:34" s="2" customFormat="1" ht="3.750000" customHeight="1">
      <c r="F41" s="119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"/>
    </row>
    <row r="42" spans="6:34" s="2" customFormat="1" ht="9.750000" customHeight="1">
      <c r="F42" s="111"/>
      <c r="G42" s="111"/>
      <c r="H42" s="111"/>
      <c r="I42" s="111"/>
      <c r="J42" s="111"/>
      <c r="K42" s="111"/>
      <c r="L42" s="117"/>
      <c r="M42" s="117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"/>
    </row>
    <row r="43" spans="6:34" s="2" customFormat="1" ht="39.750000" customHeight="1">
      <c r="F43" s="218" t="s">
        <v>7</v>
      </c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4"/>
    </row>
    <row r="44" spans="6:34" ht="6.000000" customHeight="1">
      <c r="F44" s="120"/>
      <c r="G44" s="120"/>
      <c r="H44" s="121"/>
      <c r="I44" s="121"/>
      <c r="J44" s="121"/>
      <c r="K44" s="121"/>
      <c r="L44" s="121"/>
      <c r="M44" s="121"/>
      <c r="N44" s="121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</row>
    <row r="45" spans="6:34" ht="12.750000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6:34" ht="12.750000">
      <c r="F46" s="5"/>
      <c r="G46" s="5"/>
      <c r="H46" s="6"/>
      <c r="I46" s="6"/>
      <c r="J46" s="6"/>
      <c r="K46" s="6"/>
      <c r="L46" s="6"/>
      <c r="M46" s="6"/>
      <c r="N46" s="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6:34">
      <c r="H47" s="7"/>
      <c r="I47" s="7"/>
      <c r="J47" s="7"/>
      <c r="K47" s="7"/>
      <c r="L47" s="7"/>
      <c r="M47" s="7"/>
      <c r="N47" s="7"/>
    </row>
    <row r="48" spans="6:34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</sheetData>
  <mergeCells count="42">
    <mergeCell ref="F1:AG1"/>
    <mergeCell ref="F3:AG3"/>
    <mergeCell ref="F6:I6"/>
    <mergeCell ref="J6:U6"/>
    <mergeCell ref="F7:I7"/>
    <mergeCell ref="J7:U7"/>
    <mergeCell ref="F8:I8"/>
    <mergeCell ref="J8:AF8"/>
    <mergeCell ref="F9:I9"/>
    <mergeCell ref="F10:I10"/>
    <mergeCell ref="J10:AG10"/>
    <mergeCell ref="F13:AG13"/>
    <mergeCell ref="F15:AG15"/>
    <mergeCell ref="F17:AG17"/>
    <mergeCell ref="F19:AG19"/>
    <mergeCell ref="AM19:BH19"/>
    <mergeCell ref="J20:O20"/>
    <mergeCell ref="P20:AG20"/>
    <mergeCell ref="AM20:BH20"/>
    <mergeCell ref="J21:O21"/>
    <mergeCell ref="P21:AG21"/>
    <mergeCell ref="J22:O22"/>
    <mergeCell ref="P22:AG22"/>
    <mergeCell ref="J23:O23"/>
    <mergeCell ref="P23:AG23"/>
    <mergeCell ref="J24:O24"/>
    <mergeCell ref="P24:AG24"/>
    <mergeCell ref="F26:O26"/>
    <mergeCell ref="P26:AD26"/>
    <mergeCell ref="J27:AG27"/>
    <mergeCell ref="F29:O29"/>
    <mergeCell ref="P29:AB29"/>
    <mergeCell ref="AC29:AE29"/>
    <mergeCell ref="AF29:AG29"/>
    <mergeCell ref="F31:Q31"/>
    <mergeCell ref="J32:AG32"/>
    <mergeCell ref="J33:AG33"/>
    <mergeCell ref="J34:AG34"/>
    <mergeCell ref="J35:AG35"/>
    <mergeCell ref="F38:AG38"/>
    <mergeCell ref="L42:M42"/>
    <mergeCell ref="F43:AG43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3" view="pageBreakPreview" zoomScaleNormal="100" zoomScaleSheetLayoutView="100" workbookViewId="0">
      <selection activeCell="H25" sqref="H25"/>
    </sheetView>
  </sheetViews>
  <sheetFormatPr defaultColWidth="14.83203125" defaultRowHeight="12.000000"/>
  <cols>
    <col min="1" max="1" style="83" width="11.29071413" customWidth="1" outlineLevel="0"/>
    <col min="2" max="3" style="83" width="11.43357168" customWidth="1" outlineLevel="0"/>
    <col min="4" max="5" style="83" width="11.00499998" customWidth="1" outlineLevel="0"/>
    <col min="6" max="7" style="84" width="8.29071413" customWidth="1" outlineLevel="0"/>
    <col min="8" max="8" style="83" width="13.43357168" customWidth="1" outlineLevel="0"/>
    <col min="9" max="9" style="85" width="13.43357168" customWidth="1" outlineLevel="0"/>
    <col min="10" max="256" style="83" width="11.29071413" customWidth="1" outlineLevel="0"/>
    <col min="257" max="16384" style="83" width="14.86214243" customWidth="1" outlineLevel="0"/>
  </cols>
  <sheetData>
    <row r="1" spans="2:9" s="16" customFormat="1" ht="39.000000" customHeight="1">
      <c r="B1" s="271" t="s">
        <v>116</v>
      </c>
      <c r="C1" s="272"/>
      <c r="D1" s="272"/>
      <c r="E1" s="272"/>
      <c r="F1" s="272"/>
      <c r="G1" s="272"/>
      <c r="H1" s="272"/>
      <c r="I1" s="272"/>
    </row>
    <row r="2" spans="2:9" s="16" customFormat="1" ht="11.250000" customHeight="1">
      <c r="B2" s="17"/>
      <c r="C2" s="17"/>
      <c r="D2" s="17"/>
      <c r="E2" s="17"/>
      <c r="F2" s="17"/>
      <c r="G2" s="17"/>
      <c r="H2" s="273"/>
      <c r="I2" s="273"/>
    </row>
    <row r="3" spans="2:9" s="18" customFormat="1" ht="34.500000" customHeight="1">
      <c r="B3" s="274" t="s">
        <v>16</v>
      </c>
      <c r="C3" s="275"/>
      <c r="D3" s="280" t="str">
        <f>"일금"&amp;NUMBERSTRING(H25,1)&amp;"원정 (₩"&amp;TEXT(H25,"#,##0")&amp;") - VAT별도"</f>
        <v>일금칠십만원정 (₩700,000) - VAT별도</v>
      </c>
      <c r="E3" s="281"/>
      <c r="F3" s="281"/>
      <c r="G3" s="281"/>
      <c r="H3" s="281"/>
      <c r="I3" s="282"/>
    </row>
    <row r="4" spans="2:9" s="18" customFormat="1" ht="38.250000" hidden="1" customHeight="1">
      <c r="B4" s="276" t="s">
        <v>17</v>
      </c>
      <c r="C4" s="277"/>
      <c r="D4" s="278" t="str">
        <f>"일금 "&amp;NUMBERSTRING(H25,1)&amp;"원정"&amp;TEXT(H25,"(￦ #,##0)")&amp;" "</f>
        <v xml:space="preserve">일금 칠십만원정(₩ 700,000) </v>
      </c>
      <c r="E4" s="278"/>
      <c r="F4" s="278"/>
      <c r="G4" s="278"/>
      <c r="H4" s="278"/>
      <c r="I4" s="279"/>
    </row>
    <row r="5" spans="2:9" s="18" customFormat="1" ht="38.250000" hidden="1" customHeight="1">
      <c r="B5" s="261" t="s">
        <v>18</v>
      </c>
      <c r="C5" s="262"/>
      <c r="D5" s="263">
        <f>"일금 "&amp;NUMBERSTRING(H26,1)&amp;"원정"&amp;TEXT(H26,"(￦ #,##0)")&amp;" "</f>
        <v/>
      </c>
      <c r="E5" s="263"/>
      <c r="F5" s="263"/>
      <c r="G5" s="263"/>
      <c r="H5" s="263"/>
      <c r="I5" s="264"/>
    </row>
    <row r="6" spans="2:9" s="18" customFormat="1" ht="31.500000" customHeight="1">
      <c r="B6" s="265" t="s">
        <v>19</v>
      </c>
      <c r="C6" s="266"/>
      <c r="D6" s="266"/>
      <c r="E6" s="266"/>
      <c r="F6" s="266"/>
      <c r="G6" s="266"/>
      <c r="H6" s="266"/>
      <c r="I6" s="267"/>
    </row>
    <row r="7" spans="2:9" s="21" customFormat="1" ht="30.000000" customHeight="1">
      <c r="B7" s="268" t="s">
        <v>20</v>
      </c>
      <c r="C7" s="19"/>
      <c r="D7" s="19" t="s">
        <v>21</v>
      </c>
      <c r="E7" s="19" t="s">
        <v>22</v>
      </c>
      <c r="F7" s="19" t="s">
        <v>23</v>
      </c>
      <c r="G7" s="19" t="s">
        <v>24</v>
      </c>
      <c r="H7" s="19" t="s">
        <v>25</v>
      </c>
      <c r="I7" s="20" t="s">
        <v>26</v>
      </c>
    </row>
    <row r="8" spans="2:9" s="21" customFormat="1" ht="28.000000" customHeight="1">
      <c r="B8" s="269" t="s">
        <v>162</v>
      </c>
      <c r="C8" s="270"/>
      <c r="D8" s="22"/>
      <c r="E8" s="22"/>
      <c r="F8" s="22"/>
      <c r="G8" s="22"/>
      <c r="H8" s="23">
        <f>INT(SUM(H9,H10,H11,H12))</f>
        <v>766056</v>
      </c>
      <c r="I8" s="24" t="s">
        <v>27</v>
      </c>
    </row>
    <row r="9" spans="2:9" s="21" customFormat="1" ht="18.000000" customHeight="1">
      <c r="B9" s="33"/>
      <c r="C9" s="34" t="s">
        <v>169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1" customFormat="1" ht="18.000000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1" customFormat="1" ht="18.000000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1" customFormat="1" ht="18.000000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1" customFormat="1" ht="28.000000" customHeight="1">
      <c r="B13" s="257" t="s">
        <v>33</v>
      </c>
      <c r="C13" s="258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117</v>
      </c>
    </row>
    <row r="14" spans="2:9" s="21" customFormat="1" ht="28.000000" customHeight="1">
      <c r="B14" s="257" t="s">
        <v>35</v>
      </c>
      <c r="C14" s="258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118</v>
      </c>
    </row>
    <row r="15" spans="2:9" s="21" customFormat="1" ht="28.000000" customHeight="1">
      <c r="B15" s="257" t="s">
        <v>37</v>
      </c>
      <c r="C15" s="258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1" customFormat="1" ht="18.000000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1" customFormat="1" ht="18.000000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1" customFormat="1" ht="18.000000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1" customFormat="1" ht="18.000000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110</v>
      </c>
    </row>
    <row r="20" spans="2:13" s="21" customFormat="1" ht="18.000000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111</v>
      </c>
    </row>
    <row r="21" spans="2:13" s="21" customFormat="1" ht="18.000000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1" customFormat="1" ht="28.000000" customHeight="1">
      <c r="B22" s="257" t="s">
        <v>46</v>
      </c>
      <c r="C22" s="258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1" customFormat="1" ht="28.000000" customHeight="1">
      <c r="B23" s="259" t="s">
        <v>163</v>
      </c>
      <c r="C23" s="260"/>
      <c r="D23" s="249" t="s">
        <v>48</v>
      </c>
      <c r="E23" s="249"/>
      <c r="F23" s="249"/>
      <c r="G23" s="249"/>
      <c r="H23" s="72">
        <f>(SUM(H8,H13,H14,H15,H22))</f>
        <v>796056</v>
      </c>
      <c r="I23" s="73"/>
    </row>
    <row r="24" spans="2:13" s="21" customFormat="1" ht="18.000000" customHeight="1">
      <c r="B24" s="248" t="s">
        <v>49</v>
      </c>
      <c r="C24" s="249"/>
      <c r="D24" s="249"/>
      <c r="E24" s="249"/>
      <c r="F24" s="249"/>
      <c r="G24" s="249"/>
      <c r="H24" s="72">
        <v>96056</v>
      </c>
      <c r="I24" s="74"/>
    </row>
    <row r="25" spans="2:13" s="21" customFormat="1" ht="18.000000" customHeight="1">
      <c r="B25" s="255" t="s">
        <v>50</v>
      </c>
      <c r="C25" s="256"/>
      <c r="D25" s="256"/>
      <c r="E25" s="256"/>
      <c r="F25" s="256"/>
      <c r="G25" s="256"/>
      <c r="H25" s="75">
        <f>H23-H24</f>
        <v>700000</v>
      </c>
      <c r="I25" s="76"/>
    </row>
    <row r="26" spans="2:13" s="21" customFormat="1" ht="18.000000" customHeight="1">
      <c r="B26" s="248" t="s">
        <v>51</v>
      </c>
      <c r="C26" s="249"/>
      <c r="D26" s="249"/>
      <c r="E26" s="249"/>
      <c r="F26" s="249"/>
      <c r="G26" s="249"/>
      <c r="H26" s="77" t="s">
        <v>52</v>
      </c>
      <c r="I26" s="74"/>
    </row>
    <row r="27" spans="2:13" s="21" customFormat="1" ht="28.000000" customHeight="1">
      <c r="B27" s="250" t="s">
        <v>164</v>
      </c>
      <c r="C27" s="251"/>
      <c r="D27" s="252"/>
      <c r="E27" s="252"/>
      <c r="F27" s="252"/>
      <c r="G27" s="252"/>
      <c r="H27" s="86">
        <f>H25</f>
        <v>700000</v>
      </c>
      <c r="I27" s="78" t="s">
        <v>53</v>
      </c>
    </row>
    <row r="28" spans="2:13" s="21" customFormat="1" ht="16.000000" customHeight="1">
      <c r="B28" s="253" t="s">
        <v>165</v>
      </c>
      <c r="C28" s="254"/>
      <c r="D28" s="105"/>
      <c r="E28" s="105"/>
      <c r="F28" s="105"/>
      <c r="G28" s="105"/>
      <c r="H28" s="106"/>
      <c r="I28" s="107"/>
    </row>
    <row r="29" spans="2:13" s="21" customFormat="1" ht="34.500000" customHeight="1">
      <c r="B29" s="233" t="s">
        <v>166</v>
      </c>
      <c r="C29" s="234"/>
      <c r="D29" s="234"/>
      <c r="E29" s="234"/>
      <c r="F29" s="234"/>
      <c r="G29" s="234"/>
      <c r="H29" s="234"/>
      <c r="I29" s="235"/>
    </row>
    <row r="30" spans="2:13" s="21" customFormat="1" ht="30.000000" customHeight="1">
      <c r="B30" s="233" t="s">
        <v>167</v>
      </c>
      <c r="C30" s="234"/>
      <c r="D30" s="234"/>
      <c r="E30" s="234"/>
      <c r="F30" s="234"/>
      <c r="G30" s="234"/>
      <c r="H30" s="234"/>
      <c r="I30" s="235"/>
    </row>
    <row r="31" spans="2:13" s="21" customFormat="1" ht="19.500000" customHeight="1">
      <c r="B31" s="236" t="s">
        <v>168</v>
      </c>
      <c r="C31" s="237"/>
      <c r="D31" s="237"/>
      <c r="E31" s="237"/>
      <c r="F31" s="237"/>
      <c r="G31" s="237"/>
      <c r="H31" s="237"/>
      <c r="I31" s="238"/>
    </row>
    <row r="32" spans="2:13" s="80" customFormat="1" ht="23.000000" customHeight="1">
      <c r="B32" s="239"/>
      <c r="C32" s="240"/>
      <c r="D32" s="245" t="s">
        <v>54</v>
      </c>
      <c r="E32" s="245"/>
      <c r="F32" s="245"/>
      <c r="G32" s="245"/>
      <c r="H32" s="245"/>
      <c r="I32" s="79"/>
    </row>
    <row r="33" spans="2:9" s="80" customFormat="1" ht="23.000000" customHeight="1">
      <c r="B33" s="241"/>
      <c r="C33" s="242"/>
      <c r="D33" s="246" t="s">
        <v>55</v>
      </c>
      <c r="E33" s="246"/>
      <c r="F33" s="246"/>
      <c r="G33" s="246"/>
      <c r="H33" s="246"/>
      <c r="I33" s="81" t="s">
        <v>56</v>
      </c>
    </row>
    <row r="34" spans="2:9" s="80" customFormat="1" ht="23.000000" customHeight="1">
      <c r="B34" s="241"/>
      <c r="C34" s="242"/>
      <c r="D34" s="246" t="s">
        <v>57</v>
      </c>
      <c r="E34" s="246"/>
      <c r="F34" s="246"/>
      <c r="G34" s="246"/>
      <c r="H34" s="246"/>
      <c r="I34" s="81" t="s">
        <v>58</v>
      </c>
    </row>
    <row r="35" spans="2:9" s="80" customFormat="1" ht="23.000000" customHeight="1">
      <c r="B35" s="241"/>
      <c r="C35" s="242"/>
      <c r="D35" s="246" t="s">
        <v>59</v>
      </c>
      <c r="E35" s="246"/>
      <c r="F35" s="246"/>
      <c r="G35" s="246"/>
      <c r="H35" s="246"/>
      <c r="I35" s="81" t="s">
        <v>60</v>
      </c>
    </row>
    <row r="36" spans="2:9" s="80" customFormat="1" ht="23.000000" customHeight="1">
      <c r="B36" s="243"/>
      <c r="C36" s="244"/>
      <c r="D36" s="247" t="s">
        <v>61</v>
      </c>
      <c r="E36" s="247"/>
      <c r="F36" s="247"/>
      <c r="G36" s="247"/>
      <c r="H36" s="247"/>
      <c r="I36" s="82" t="s">
        <v>62</v>
      </c>
    </row>
  </sheetData>
  <mergeCells count="35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8:C28"/>
    <mergeCell ref="B29:I29"/>
    <mergeCell ref="B30:I30"/>
    <mergeCell ref="B31:I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E1:X114"/>
  <sheetViews>
    <sheetView topLeftCell="D59" tabSelected="1" view="pageBreakPreview" zoomScaleNormal="100" zoomScaleSheetLayoutView="100" workbookViewId="0">
      <selection activeCell="F67" sqref="F67:X67"/>
    </sheetView>
  </sheetViews>
  <sheetFormatPr defaultColWidth="11.33203125" defaultRowHeight="20.000000" customHeight="1"/>
  <cols>
    <col min="1" max="4" style="83" width="11.29071413" customWidth="1" outlineLevel="0"/>
    <col min="5" max="9" style="83" width="5.14785705" customWidth="1" outlineLevel="0"/>
    <col min="10" max="10" style="84" width="5.14785705" customWidth="1" outlineLevel="0"/>
    <col min="11" max="12" style="88" width="5.14785705" customWidth="1" outlineLevel="0"/>
    <col min="13" max="13" style="83" width="5.14785705" customWidth="1" outlineLevel="0"/>
    <col min="14" max="14" style="85" width="5.14785705" customWidth="1" outlineLevel="0"/>
    <col min="15" max="24" style="83" width="5.14785705" customWidth="1" outlineLevel="0"/>
    <col min="25" max="252" style="83" width="11.29071413" customWidth="1" outlineLevel="0"/>
    <col min="253" max="258" style="83" width="4.86214290" customWidth="1" outlineLevel="0"/>
    <col min="259" max="259" style="83" width="7.43357120" customWidth="1" outlineLevel="0"/>
    <col min="260" max="272" style="83" width="4.86214290" customWidth="1" outlineLevel="0"/>
    <col min="273" max="508" style="83" width="11.29071413" customWidth="1" outlineLevel="0"/>
    <col min="509" max="514" style="83" width="4.86214290" customWidth="1" outlineLevel="0"/>
    <col min="515" max="515" style="83" width="7.43357120" customWidth="1" outlineLevel="0"/>
    <col min="516" max="528" style="83" width="4.86214290" customWidth="1" outlineLevel="0"/>
    <col min="529" max="764" style="83" width="11.29071413" customWidth="1" outlineLevel="0"/>
    <col min="765" max="770" style="83" width="4.86214290" customWidth="1" outlineLevel="0"/>
    <col min="771" max="771" style="83" width="7.43357120" customWidth="1" outlineLevel="0"/>
    <col min="772" max="784" style="83" width="4.86214290" customWidth="1" outlineLevel="0"/>
    <col min="785" max="1020" style="83" width="11.29071413" customWidth="1" outlineLevel="0"/>
    <col min="1021" max="1026" style="83" width="4.86214290" customWidth="1" outlineLevel="0"/>
    <col min="1027" max="1027" style="83" width="7.43357120" customWidth="1" outlineLevel="0"/>
    <col min="1028" max="1040" style="83" width="4.86214290" customWidth="1" outlineLevel="0"/>
    <col min="1041" max="1276" style="83" width="11.29071413" customWidth="1" outlineLevel="0"/>
    <col min="1277" max="1282" style="83" width="4.86214290" customWidth="1" outlineLevel="0"/>
    <col min="1283" max="1283" style="83" width="7.43357120" customWidth="1" outlineLevel="0"/>
    <col min="1284" max="1296" style="83" width="4.86214290" customWidth="1" outlineLevel="0"/>
    <col min="1297" max="1532" style="83" width="11.29071413" customWidth="1" outlineLevel="0"/>
    <col min="1533" max="1538" style="83" width="4.86214290" customWidth="1" outlineLevel="0"/>
    <col min="1539" max="1539" style="83" width="7.43357120" customWidth="1" outlineLevel="0"/>
    <col min="1540" max="1552" style="83" width="4.86214290" customWidth="1" outlineLevel="0"/>
    <col min="1553" max="1788" style="83" width="11.29071413" customWidth="1" outlineLevel="0"/>
    <col min="1789" max="1794" style="83" width="4.86214290" customWidth="1" outlineLevel="0"/>
    <col min="1795" max="1795" style="83" width="7.43357120" customWidth="1" outlineLevel="0"/>
    <col min="1796" max="1808" style="83" width="4.86214290" customWidth="1" outlineLevel="0"/>
    <col min="1809" max="2044" style="83" width="11.29071413" customWidth="1" outlineLevel="0"/>
    <col min="2045" max="2050" style="83" width="4.86214290" customWidth="1" outlineLevel="0"/>
    <col min="2051" max="2051" style="83" width="7.43357120" customWidth="1" outlineLevel="0"/>
    <col min="2052" max="2064" style="83" width="4.86214290" customWidth="1" outlineLevel="0"/>
    <col min="2065" max="2300" style="83" width="11.29071413" customWidth="1" outlineLevel="0"/>
    <col min="2301" max="2306" style="83" width="4.86214290" customWidth="1" outlineLevel="0"/>
    <col min="2307" max="2307" style="83" width="7.43357120" customWidth="1" outlineLevel="0"/>
    <col min="2308" max="2320" style="83" width="4.86214290" customWidth="1" outlineLevel="0"/>
    <col min="2321" max="2556" style="83" width="11.29071413" customWidth="1" outlineLevel="0"/>
    <col min="2557" max="2562" style="83" width="4.86214290" customWidth="1" outlineLevel="0"/>
    <col min="2563" max="2563" style="83" width="7.43357120" customWidth="1" outlineLevel="0"/>
    <col min="2564" max="2576" style="83" width="4.86214290" customWidth="1" outlineLevel="0"/>
    <col min="2577" max="2812" style="83" width="11.29071413" customWidth="1" outlineLevel="0"/>
    <col min="2813" max="2818" style="83" width="4.86214290" customWidth="1" outlineLevel="0"/>
    <col min="2819" max="2819" style="83" width="7.43357120" customWidth="1" outlineLevel="0"/>
    <col min="2820" max="2832" style="83" width="4.86214290" customWidth="1" outlineLevel="0"/>
    <col min="2833" max="3068" style="83" width="11.29071413" customWidth="1" outlineLevel="0"/>
    <col min="3069" max="3074" style="83" width="4.86214290" customWidth="1" outlineLevel="0"/>
    <col min="3075" max="3075" style="83" width="7.43357120" customWidth="1" outlineLevel="0"/>
    <col min="3076" max="3088" style="83" width="4.86214290" customWidth="1" outlineLevel="0"/>
    <col min="3089" max="3324" style="83" width="11.29071413" customWidth="1" outlineLevel="0"/>
    <col min="3325" max="3330" style="83" width="4.86214290" customWidth="1" outlineLevel="0"/>
    <col min="3331" max="3331" style="83" width="7.43357120" customWidth="1" outlineLevel="0"/>
    <col min="3332" max="3344" style="83" width="4.86214290" customWidth="1" outlineLevel="0"/>
    <col min="3345" max="3580" style="83" width="11.29071413" customWidth="1" outlineLevel="0"/>
    <col min="3581" max="3586" style="83" width="4.86214290" customWidth="1" outlineLevel="0"/>
    <col min="3587" max="3587" style="83" width="7.43357120" customWidth="1" outlineLevel="0"/>
    <col min="3588" max="3600" style="83" width="4.86214290" customWidth="1" outlineLevel="0"/>
    <col min="3601" max="3836" style="83" width="11.29071413" customWidth="1" outlineLevel="0"/>
    <col min="3837" max="3842" style="83" width="4.86214290" customWidth="1" outlineLevel="0"/>
    <col min="3843" max="3843" style="83" width="7.43357120" customWidth="1" outlineLevel="0"/>
    <col min="3844" max="3856" style="83" width="4.86214290" customWidth="1" outlineLevel="0"/>
    <col min="3857" max="4092" style="83" width="11.29071413" customWidth="1" outlineLevel="0"/>
    <col min="4093" max="4098" style="83" width="4.86214290" customWidth="1" outlineLevel="0"/>
    <col min="4099" max="4099" style="83" width="7.43357120" customWidth="1" outlineLevel="0"/>
    <col min="4100" max="4112" style="83" width="4.86214290" customWidth="1" outlineLevel="0"/>
    <col min="4113" max="4348" style="83" width="11.29071413" customWidth="1" outlineLevel="0"/>
    <col min="4349" max="4354" style="83" width="4.86214290" customWidth="1" outlineLevel="0"/>
    <col min="4355" max="4355" style="83" width="7.43357120" customWidth="1" outlineLevel="0"/>
    <col min="4356" max="4368" style="83" width="4.86214290" customWidth="1" outlineLevel="0"/>
    <col min="4369" max="4604" style="83" width="11.29071413" customWidth="1" outlineLevel="0"/>
    <col min="4605" max="4610" style="83" width="4.86214290" customWidth="1" outlineLevel="0"/>
    <col min="4611" max="4611" style="83" width="7.43357120" customWidth="1" outlineLevel="0"/>
    <col min="4612" max="4624" style="83" width="4.86214290" customWidth="1" outlineLevel="0"/>
    <col min="4625" max="4860" style="83" width="11.29071413" customWidth="1" outlineLevel="0"/>
    <col min="4861" max="4866" style="83" width="4.86214290" customWidth="1" outlineLevel="0"/>
    <col min="4867" max="4867" style="83" width="7.43357120" customWidth="1" outlineLevel="0"/>
    <col min="4868" max="4880" style="83" width="4.86214290" customWidth="1" outlineLevel="0"/>
    <col min="4881" max="5116" style="83" width="11.29071413" customWidth="1" outlineLevel="0"/>
    <col min="5117" max="5122" style="83" width="4.86214290" customWidth="1" outlineLevel="0"/>
    <col min="5123" max="5123" style="83" width="7.43357120" customWidth="1" outlineLevel="0"/>
    <col min="5124" max="5136" style="83" width="4.86214290" customWidth="1" outlineLevel="0"/>
    <col min="5137" max="5372" style="83" width="11.29071413" customWidth="1" outlineLevel="0"/>
    <col min="5373" max="5378" style="83" width="4.86214290" customWidth="1" outlineLevel="0"/>
    <col min="5379" max="5379" style="83" width="7.43357120" customWidth="1" outlineLevel="0"/>
    <col min="5380" max="5392" style="83" width="4.86214290" customWidth="1" outlineLevel="0"/>
    <col min="5393" max="5628" style="83" width="11.29071413" customWidth="1" outlineLevel="0"/>
    <col min="5629" max="5634" style="83" width="4.86214290" customWidth="1" outlineLevel="0"/>
    <col min="5635" max="5635" style="83" width="7.43357120" customWidth="1" outlineLevel="0"/>
    <col min="5636" max="5648" style="83" width="4.86214290" customWidth="1" outlineLevel="0"/>
    <col min="5649" max="5884" style="83" width="11.29071413" customWidth="1" outlineLevel="0"/>
    <col min="5885" max="5890" style="83" width="4.86214290" customWidth="1" outlineLevel="0"/>
    <col min="5891" max="5891" style="83" width="7.43357120" customWidth="1" outlineLevel="0"/>
    <col min="5892" max="5904" style="83" width="4.86214290" customWidth="1" outlineLevel="0"/>
    <col min="5905" max="6140" style="83" width="11.29071413" customWidth="1" outlineLevel="0"/>
    <col min="6141" max="6146" style="83" width="4.86214290" customWidth="1" outlineLevel="0"/>
    <col min="6147" max="6147" style="83" width="7.43357120" customWidth="1" outlineLevel="0"/>
    <col min="6148" max="6160" style="83" width="4.86214290" customWidth="1" outlineLevel="0"/>
    <col min="6161" max="6396" style="83" width="11.29071413" customWidth="1" outlineLevel="0"/>
    <col min="6397" max="6402" style="83" width="4.86214290" customWidth="1" outlineLevel="0"/>
    <col min="6403" max="6403" style="83" width="7.43357120" customWidth="1" outlineLevel="0"/>
    <col min="6404" max="6416" style="83" width="4.86214290" customWidth="1" outlineLevel="0"/>
    <col min="6417" max="6652" style="83" width="11.29071413" customWidth="1" outlineLevel="0"/>
    <col min="6653" max="6658" style="83" width="4.86214290" customWidth="1" outlineLevel="0"/>
    <col min="6659" max="6659" style="83" width="7.43357120" customWidth="1" outlineLevel="0"/>
    <col min="6660" max="6672" style="83" width="4.86214290" customWidth="1" outlineLevel="0"/>
    <col min="6673" max="6908" style="83" width="11.29071413" customWidth="1" outlineLevel="0"/>
    <col min="6909" max="6914" style="83" width="4.86214290" customWidth="1" outlineLevel="0"/>
    <col min="6915" max="6915" style="83" width="7.43357120" customWidth="1" outlineLevel="0"/>
    <col min="6916" max="6928" style="83" width="4.86214290" customWidth="1" outlineLevel="0"/>
    <col min="6929" max="7164" style="83" width="11.29071413" customWidth="1" outlineLevel="0"/>
    <col min="7165" max="7170" style="83" width="4.86214290" customWidth="1" outlineLevel="0"/>
    <col min="7171" max="7171" style="83" width="7.43357120" customWidth="1" outlineLevel="0"/>
    <col min="7172" max="7184" style="83" width="4.86214290" customWidth="1" outlineLevel="0"/>
    <col min="7185" max="7420" style="83" width="11.29071413" customWidth="1" outlineLevel="0"/>
    <col min="7421" max="7426" style="83" width="4.86214290" customWidth="1" outlineLevel="0"/>
    <col min="7427" max="7427" style="83" width="7.43357120" customWidth="1" outlineLevel="0"/>
    <col min="7428" max="7440" style="83" width="4.86214290" customWidth="1" outlineLevel="0"/>
    <col min="7441" max="7676" style="83" width="11.29071413" customWidth="1" outlineLevel="0"/>
    <col min="7677" max="7682" style="83" width="4.86214290" customWidth="1" outlineLevel="0"/>
    <col min="7683" max="7683" style="83" width="7.43357120" customWidth="1" outlineLevel="0"/>
    <col min="7684" max="7696" style="83" width="4.86214290" customWidth="1" outlineLevel="0"/>
    <col min="7697" max="7932" style="83" width="11.29071413" customWidth="1" outlineLevel="0"/>
    <col min="7933" max="7938" style="83" width="4.86214290" customWidth="1" outlineLevel="0"/>
    <col min="7939" max="7939" style="83" width="7.43357120" customWidth="1" outlineLevel="0"/>
    <col min="7940" max="7952" style="83" width="4.86214290" customWidth="1" outlineLevel="0"/>
    <col min="7953" max="8188" style="83" width="11.29071413" customWidth="1" outlineLevel="0"/>
    <col min="8189" max="8194" style="83" width="4.86214290" customWidth="1" outlineLevel="0"/>
    <col min="8195" max="8195" style="83" width="7.43357120" customWidth="1" outlineLevel="0"/>
    <col min="8196" max="8208" style="83" width="4.86214290" customWidth="1" outlineLevel="0"/>
    <col min="8209" max="8444" style="83" width="11.29071413" customWidth="1" outlineLevel="0"/>
    <col min="8445" max="8450" style="83" width="4.86214290" customWidth="1" outlineLevel="0"/>
    <col min="8451" max="8451" style="83" width="7.43357120" customWidth="1" outlineLevel="0"/>
    <col min="8452" max="8464" style="83" width="4.86214290" customWidth="1" outlineLevel="0"/>
    <col min="8465" max="8700" style="83" width="11.29071413" customWidth="1" outlineLevel="0"/>
    <col min="8701" max="8706" style="83" width="4.86214290" customWidth="1" outlineLevel="0"/>
    <col min="8707" max="8707" style="83" width="7.43357120" customWidth="1" outlineLevel="0"/>
    <col min="8708" max="8720" style="83" width="4.86214290" customWidth="1" outlineLevel="0"/>
    <col min="8721" max="8956" style="83" width="11.29071413" customWidth="1" outlineLevel="0"/>
    <col min="8957" max="8962" style="83" width="4.86214290" customWidth="1" outlineLevel="0"/>
    <col min="8963" max="8963" style="83" width="7.43357120" customWidth="1" outlineLevel="0"/>
    <col min="8964" max="8976" style="83" width="4.86214290" customWidth="1" outlineLevel="0"/>
    <col min="8977" max="9212" style="83" width="11.29071413" customWidth="1" outlineLevel="0"/>
    <col min="9213" max="9218" style="83" width="4.86214290" customWidth="1" outlineLevel="0"/>
    <col min="9219" max="9219" style="83" width="7.43357120" customWidth="1" outlineLevel="0"/>
    <col min="9220" max="9232" style="83" width="4.86214290" customWidth="1" outlineLevel="0"/>
    <col min="9233" max="9468" style="83" width="11.29071413" customWidth="1" outlineLevel="0"/>
    <col min="9469" max="9474" style="83" width="4.86214290" customWidth="1" outlineLevel="0"/>
    <col min="9475" max="9475" style="83" width="7.43357120" customWidth="1" outlineLevel="0"/>
    <col min="9476" max="9488" style="83" width="4.86214290" customWidth="1" outlineLevel="0"/>
    <col min="9489" max="9724" style="83" width="11.29071413" customWidth="1" outlineLevel="0"/>
    <col min="9725" max="9730" style="83" width="4.86214290" customWidth="1" outlineLevel="0"/>
    <col min="9731" max="9731" style="83" width="7.43357120" customWidth="1" outlineLevel="0"/>
    <col min="9732" max="9744" style="83" width="4.86214290" customWidth="1" outlineLevel="0"/>
    <col min="9745" max="9980" style="83" width="11.29071413" customWidth="1" outlineLevel="0"/>
    <col min="9981" max="9986" style="83" width="4.86214290" customWidth="1" outlineLevel="0"/>
    <col min="9987" max="9987" style="83" width="7.43357120" customWidth="1" outlineLevel="0"/>
    <col min="9988" max="10000" style="83" width="4.86214290" customWidth="1" outlineLevel="0"/>
    <col min="10001" max="10236" style="83" width="11.29071413" customWidth="1" outlineLevel="0"/>
    <col min="10237" max="10242" style="83" width="4.86214290" customWidth="1" outlineLevel="0"/>
    <col min="10243" max="10243" style="83" width="7.43357120" customWidth="1" outlineLevel="0"/>
    <col min="10244" max="10256" style="83" width="4.86214290" customWidth="1" outlineLevel="0"/>
    <col min="10257" max="10492" style="83" width="11.29071413" customWidth="1" outlineLevel="0"/>
    <col min="10493" max="10498" style="83" width="4.86214290" customWidth="1" outlineLevel="0"/>
    <col min="10499" max="10499" style="83" width="7.43357120" customWidth="1" outlineLevel="0"/>
    <col min="10500" max="10512" style="83" width="4.86214290" customWidth="1" outlineLevel="0"/>
    <col min="10513" max="10748" style="83" width="11.29071413" customWidth="1" outlineLevel="0"/>
    <col min="10749" max="10754" style="83" width="4.86214290" customWidth="1" outlineLevel="0"/>
    <col min="10755" max="10755" style="83" width="7.43357120" customWidth="1" outlineLevel="0"/>
    <col min="10756" max="10768" style="83" width="4.86214290" customWidth="1" outlineLevel="0"/>
    <col min="10769" max="11004" style="83" width="11.29071413" customWidth="1" outlineLevel="0"/>
    <col min="11005" max="11010" style="83" width="4.86214290" customWidth="1" outlineLevel="0"/>
    <col min="11011" max="11011" style="83" width="7.43357120" customWidth="1" outlineLevel="0"/>
    <col min="11012" max="11024" style="83" width="4.86214290" customWidth="1" outlineLevel="0"/>
    <col min="11025" max="11260" style="83" width="11.29071413" customWidth="1" outlineLevel="0"/>
    <col min="11261" max="11266" style="83" width="4.86214290" customWidth="1" outlineLevel="0"/>
    <col min="11267" max="11267" style="83" width="7.43357120" customWidth="1" outlineLevel="0"/>
    <col min="11268" max="11280" style="83" width="4.86214290" customWidth="1" outlineLevel="0"/>
    <col min="11281" max="11516" style="83" width="11.29071413" customWidth="1" outlineLevel="0"/>
    <col min="11517" max="11522" style="83" width="4.86214290" customWidth="1" outlineLevel="0"/>
    <col min="11523" max="11523" style="83" width="7.43357120" customWidth="1" outlineLevel="0"/>
    <col min="11524" max="11536" style="83" width="4.86214290" customWidth="1" outlineLevel="0"/>
    <col min="11537" max="11772" style="83" width="11.29071413" customWidth="1" outlineLevel="0"/>
    <col min="11773" max="11778" style="83" width="4.86214290" customWidth="1" outlineLevel="0"/>
    <col min="11779" max="11779" style="83" width="7.43357120" customWidth="1" outlineLevel="0"/>
    <col min="11780" max="11792" style="83" width="4.86214290" customWidth="1" outlineLevel="0"/>
    <col min="11793" max="12028" style="83" width="11.29071413" customWidth="1" outlineLevel="0"/>
    <col min="12029" max="12034" style="83" width="4.86214290" customWidth="1" outlineLevel="0"/>
    <col min="12035" max="12035" style="83" width="7.43357120" customWidth="1" outlineLevel="0"/>
    <col min="12036" max="12048" style="83" width="4.86214290" customWidth="1" outlineLevel="0"/>
    <col min="12049" max="12284" style="83" width="11.29071413" customWidth="1" outlineLevel="0"/>
    <col min="12285" max="12290" style="83" width="4.86214290" customWidth="1" outlineLevel="0"/>
    <col min="12291" max="12291" style="83" width="7.43357120" customWidth="1" outlineLevel="0"/>
    <col min="12292" max="12304" style="83" width="4.86214290" customWidth="1" outlineLevel="0"/>
    <col min="12305" max="12540" style="83" width="11.29071413" customWidth="1" outlineLevel="0"/>
    <col min="12541" max="12546" style="83" width="4.86214290" customWidth="1" outlineLevel="0"/>
    <col min="12547" max="12547" style="83" width="7.43357120" customWidth="1" outlineLevel="0"/>
    <col min="12548" max="12560" style="83" width="4.86214290" customWidth="1" outlineLevel="0"/>
    <col min="12561" max="12796" style="83" width="11.29071413" customWidth="1" outlineLevel="0"/>
    <col min="12797" max="12802" style="83" width="4.86214290" customWidth="1" outlineLevel="0"/>
    <col min="12803" max="12803" style="83" width="7.43357120" customWidth="1" outlineLevel="0"/>
    <col min="12804" max="12816" style="83" width="4.86214290" customWidth="1" outlineLevel="0"/>
    <col min="12817" max="13052" style="83" width="11.29071413" customWidth="1" outlineLevel="0"/>
    <col min="13053" max="13058" style="83" width="4.86214290" customWidth="1" outlineLevel="0"/>
    <col min="13059" max="13059" style="83" width="7.43357120" customWidth="1" outlineLevel="0"/>
    <col min="13060" max="13072" style="83" width="4.86214290" customWidth="1" outlineLevel="0"/>
    <col min="13073" max="13308" style="83" width="11.29071413" customWidth="1" outlineLevel="0"/>
    <col min="13309" max="13314" style="83" width="4.86214290" customWidth="1" outlineLevel="0"/>
    <col min="13315" max="13315" style="83" width="7.43357120" customWidth="1" outlineLevel="0"/>
    <col min="13316" max="13328" style="83" width="4.86214290" customWidth="1" outlineLevel="0"/>
    <col min="13329" max="13564" style="83" width="11.29071413" customWidth="1" outlineLevel="0"/>
    <col min="13565" max="13570" style="83" width="4.86214290" customWidth="1" outlineLevel="0"/>
    <col min="13571" max="13571" style="83" width="7.43357120" customWidth="1" outlineLevel="0"/>
    <col min="13572" max="13584" style="83" width="4.86214290" customWidth="1" outlineLevel="0"/>
    <col min="13585" max="13820" style="83" width="11.29071413" customWidth="1" outlineLevel="0"/>
    <col min="13821" max="13826" style="83" width="4.86214290" customWidth="1" outlineLevel="0"/>
    <col min="13827" max="13827" style="83" width="7.43357120" customWidth="1" outlineLevel="0"/>
    <col min="13828" max="13840" style="83" width="4.86214290" customWidth="1" outlineLevel="0"/>
    <col min="13841" max="14076" style="83" width="11.29071413" customWidth="1" outlineLevel="0"/>
    <col min="14077" max="14082" style="83" width="4.86214290" customWidth="1" outlineLevel="0"/>
    <col min="14083" max="14083" style="83" width="7.43357120" customWidth="1" outlineLevel="0"/>
    <col min="14084" max="14096" style="83" width="4.86214290" customWidth="1" outlineLevel="0"/>
    <col min="14097" max="14332" style="83" width="11.29071413" customWidth="1" outlineLevel="0"/>
    <col min="14333" max="14338" style="83" width="4.86214290" customWidth="1" outlineLevel="0"/>
    <col min="14339" max="14339" style="83" width="7.43357120" customWidth="1" outlineLevel="0"/>
    <col min="14340" max="14352" style="83" width="4.86214290" customWidth="1" outlineLevel="0"/>
    <col min="14353" max="14588" style="83" width="11.29071413" customWidth="1" outlineLevel="0"/>
    <col min="14589" max="14594" style="83" width="4.86214290" customWidth="1" outlineLevel="0"/>
    <col min="14595" max="14595" style="83" width="7.43357120" customWidth="1" outlineLevel="0"/>
    <col min="14596" max="14608" style="83" width="4.86214290" customWidth="1" outlineLevel="0"/>
    <col min="14609" max="14844" style="83" width="11.29071413" customWidth="1" outlineLevel="0"/>
    <col min="14845" max="14850" style="83" width="4.86214290" customWidth="1" outlineLevel="0"/>
    <col min="14851" max="14851" style="83" width="7.43357120" customWidth="1" outlineLevel="0"/>
    <col min="14852" max="14864" style="83" width="4.86214290" customWidth="1" outlineLevel="0"/>
    <col min="14865" max="15100" style="83" width="11.29071413" customWidth="1" outlineLevel="0"/>
    <col min="15101" max="15106" style="83" width="4.86214290" customWidth="1" outlineLevel="0"/>
    <col min="15107" max="15107" style="83" width="7.43357120" customWidth="1" outlineLevel="0"/>
    <col min="15108" max="15120" style="83" width="4.86214290" customWidth="1" outlineLevel="0"/>
    <col min="15121" max="15356" style="83" width="11.29071413" customWidth="1" outlineLevel="0"/>
    <col min="15357" max="15362" style="83" width="4.86214290" customWidth="1" outlineLevel="0"/>
    <col min="15363" max="15363" style="83" width="7.43357120" customWidth="1" outlineLevel="0"/>
    <col min="15364" max="15376" style="83" width="4.86214290" customWidth="1" outlineLevel="0"/>
    <col min="15377" max="15612" style="83" width="11.29071413" customWidth="1" outlineLevel="0"/>
    <col min="15613" max="15618" style="83" width="4.86214290" customWidth="1" outlineLevel="0"/>
    <col min="15619" max="15619" style="83" width="7.43357120" customWidth="1" outlineLevel="0"/>
    <col min="15620" max="15632" style="83" width="4.86214290" customWidth="1" outlineLevel="0"/>
    <col min="15633" max="15868" style="83" width="11.29071413" customWidth="1" outlineLevel="0"/>
    <col min="15869" max="15874" style="83" width="4.86214290" customWidth="1" outlineLevel="0"/>
    <col min="15875" max="15875" style="83" width="7.43357120" customWidth="1" outlineLevel="0"/>
    <col min="15876" max="15888" style="83" width="4.86214290" customWidth="1" outlineLevel="0"/>
    <col min="15889" max="16124" style="83" width="11.29071413" customWidth="1" outlineLevel="0"/>
    <col min="16125" max="16130" style="83" width="4.86214290" customWidth="1" outlineLevel="0"/>
    <col min="16131" max="16131" style="83" width="7.43357120" customWidth="1" outlineLevel="0"/>
    <col min="16132" max="16144" style="83" width="4.86214290" customWidth="1" outlineLevel="0"/>
    <col min="16145" max="16384" style="83" width="11.29071413" customWidth="1" outlineLevel="0"/>
  </cols>
  <sheetData>
    <row r="1" spans="5:24" ht="14.000000">
      <c r="E1" s="87"/>
      <c r="F1" s="87"/>
    </row>
    <row r="2" spans="5:24" ht="14.000000">
      <c r="E2" s="87"/>
      <c r="F2" s="87"/>
    </row>
    <row r="3" spans="5:24" ht="14.000000">
      <c r="E3" s="87"/>
      <c r="F3" s="87"/>
    </row>
    <row r="4" spans="5:24" ht="14.000000">
      <c r="E4" s="87"/>
      <c r="F4" s="87"/>
    </row>
    <row r="5" spans="5:24" ht="14.000000">
      <c r="E5" s="87"/>
      <c r="F5" s="87"/>
    </row>
    <row r="6" spans="5:24" ht="14.000000">
      <c r="E6" s="87"/>
      <c r="F6" s="87"/>
    </row>
    <row r="7" spans="5:24" ht="4.000000" customHeight="1">
      <c r="E7" s="175" t="s">
        <v>64</v>
      </c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</row>
    <row r="8" spans="5:24" ht="66.000000" customHeight="1">
      <c r="E8" s="177" t="s">
        <v>98</v>
      </c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</row>
    <row r="9" spans="5:24" ht="44.000000" customHeight="1">
      <c r="E9" s="178" t="str">
        <f>갑지!P20</f>
        <v>래미안길음뉴타운9단지아파트</v>
      </c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</row>
    <row r="10" spans="5:24" ht="4.000000" customHeight="1"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5:24" ht="40.000000" customHeight="1">
      <c r="E11" s="89"/>
      <c r="F11" s="89"/>
    </row>
    <row r="12" spans="5:24" ht="40.000000" customHeight="1">
      <c r="E12" s="89"/>
      <c r="F12" s="89"/>
    </row>
    <row r="13" spans="5:24" ht="40.000000" customHeight="1">
      <c r="E13" s="89"/>
      <c r="F13" s="89"/>
    </row>
    <row r="14" spans="5:24" ht="40.000000" customHeight="1">
      <c r="E14" s="89"/>
      <c r="F14" s="89"/>
    </row>
    <row r="15" spans="5:24" ht="40.000000" customHeight="1">
      <c r="E15" s="89"/>
      <c r="F15" s="89"/>
    </row>
    <row r="16" spans="5:24" ht="24.000000">
      <c r="E16" s="181" t="str">
        <f>갑지!J10</f>
        <v>2026년 상반기</v>
      </c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</row>
    <row r="17" spans="5:24" ht="40.000000" customHeight="1">
      <c r="E17" s="89"/>
      <c r="F17" s="89"/>
    </row>
    <row r="18" spans="5:24" ht="40.000000" customHeight="1">
      <c r="E18" s="89"/>
      <c r="F18" s="89"/>
    </row>
    <row r="19" spans="5:24" ht="40.000000" customHeight="1">
      <c r="E19" s="89"/>
      <c r="F19" s="89"/>
    </row>
    <row r="20" spans="5:24" ht="40.000000" customHeight="1">
      <c r="E20" s="89"/>
      <c r="F20" s="89"/>
    </row>
    <row r="21" spans="5:24" ht="40.000000" customHeight="1">
      <c r="E21" s="87"/>
      <c r="F21" s="87"/>
    </row>
    <row r="22" spans="5:24" ht="53.250000" customHeight="1">
      <c r="G22" s="90"/>
      <c r="H22" s="90"/>
      <c r="L22" s="182" t="s">
        <v>65</v>
      </c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</row>
    <row r="23" spans="5:24" ht="24.000000" customHeight="1">
      <c r="G23" s="91"/>
      <c r="H23" s="91"/>
      <c r="I23" s="91"/>
      <c r="L23" s="98" t="s">
        <v>66</v>
      </c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</row>
    <row r="24" spans="5:24" ht="24.000000" customHeight="1">
      <c r="G24" s="91"/>
      <c r="H24" s="91"/>
      <c r="I24" s="91"/>
      <c r="L24" s="98" t="s">
        <v>67</v>
      </c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</row>
    <row r="25" spans="5:24" ht="24.000000" customHeight="1">
      <c r="G25" s="91"/>
      <c r="H25" s="91"/>
      <c r="I25" s="91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</row>
    <row r="26" spans="5:24" ht="24.000000" customHeight="1">
      <c r="G26" s="91"/>
      <c r="H26" s="91"/>
      <c r="I26" s="91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</row>
    <row r="27" spans="5:24" ht="43.500000" customHeight="1">
      <c r="E27" s="183" t="s">
        <v>115</v>
      </c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5"/>
    </row>
    <row r="28" spans="5:24" ht="24.950000" customHeight="1">
      <c r="E28" s="196" t="s">
        <v>68</v>
      </c>
      <c r="F28" s="197"/>
      <c r="G28" s="200" t="s">
        <v>69</v>
      </c>
      <c r="H28" s="200"/>
      <c r="I28" s="200"/>
      <c r="J28" s="201" t="str">
        <f>E9</f>
        <v>래미안길음뉴타운9단지아파트</v>
      </c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2"/>
    </row>
    <row r="29" spans="5:24" ht="24.950000" customHeight="1">
      <c r="E29" s="198"/>
      <c r="F29" s="199"/>
      <c r="G29" s="203" t="s">
        <v>70</v>
      </c>
      <c r="H29" s="203"/>
      <c r="I29" s="203"/>
      <c r="J29" s="204" t="s">
        <v>152</v>
      </c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5"/>
    </row>
    <row r="30" spans="5:24" ht="24.950000" customHeight="1">
      <c r="E30" s="198"/>
      <c r="F30" s="199"/>
      <c r="G30" s="203"/>
      <c r="H30" s="203"/>
      <c r="I30" s="203"/>
      <c r="J30" s="204" t="s">
        <v>153</v>
      </c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5"/>
    </row>
    <row r="31" spans="5:24" ht="24.950000" customHeight="1">
      <c r="E31" s="198"/>
      <c r="F31" s="199"/>
      <c r="G31" s="203"/>
      <c r="H31" s="203"/>
      <c r="I31" s="203"/>
      <c r="J31" s="204" t="s">
        <v>157</v>
      </c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5"/>
    </row>
    <row r="32" spans="5:24" ht="24.950000" customHeight="1">
      <c r="E32" s="198"/>
      <c r="F32" s="199"/>
      <c r="G32" s="203"/>
      <c r="H32" s="203"/>
      <c r="I32" s="203"/>
      <c r="J32" s="204" t="s">
        <v>154</v>
      </c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5"/>
    </row>
    <row r="33" spans="5:24" ht="24.950000" customHeight="1">
      <c r="E33" s="198"/>
      <c r="F33" s="199"/>
      <c r="G33" s="203"/>
      <c r="H33" s="203"/>
      <c r="I33" s="203"/>
      <c r="J33" s="206" t="s">
        <v>155</v>
      </c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7"/>
    </row>
    <row r="34" spans="5:24" ht="24.950000" customHeight="1">
      <c r="E34" s="189" t="s">
        <v>71</v>
      </c>
      <c r="F34" s="190"/>
      <c r="G34" s="195" t="s">
        <v>72</v>
      </c>
      <c r="H34" s="195"/>
      <c r="I34" s="195"/>
      <c r="J34" s="186" t="str">
        <f>J28&amp;" 점검프로그램 사용"</f>
        <v>래미안길음뉴타운9단지아파트 점검프로그램 사용</v>
      </c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8"/>
    </row>
    <row r="35" spans="5:24" ht="24.950000" customHeight="1">
      <c r="E35" s="191"/>
      <c r="F35" s="192"/>
      <c r="G35" s="203" t="s">
        <v>73</v>
      </c>
      <c r="H35" s="203"/>
      <c r="I35" s="203"/>
      <c r="J35" s="208" t="str">
        <f>갑지!P29&amp;" - VAT별도"</f>
        <v>일금칠십만원정 (₩700,000) - VAT별도</v>
      </c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10"/>
      <c r="V35" s="209"/>
      <c r="W35" s="209"/>
      <c r="X35" s="211"/>
    </row>
    <row r="36" spans="5:24" ht="24.950000" customHeight="1">
      <c r="E36" s="191"/>
      <c r="F36" s="192"/>
      <c r="G36" s="203" t="s">
        <v>74</v>
      </c>
      <c r="H36" s="203"/>
      <c r="I36" s="203"/>
      <c r="J36" s="212" t="str">
        <f>J35</f>
        <v>일금칠십만원정 (₩700,000) - VAT별도</v>
      </c>
      <c r="K36" s="212"/>
      <c r="L36" s="212"/>
      <c r="M36" s="212"/>
      <c r="N36" s="212"/>
      <c r="O36" s="212"/>
      <c r="P36" s="212"/>
      <c r="Q36" s="212"/>
      <c r="R36" s="212"/>
      <c r="S36" s="212"/>
      <c r="T36" s="212"/>
      <c r="U36" s="212"/>
      <c r="V36" s="212"/>
      <c r="W36" s="212"/>
      <c r="X36" s="213"/>
    </row>
    <row r="37" spans="5:24" ht="24.950000" customHeight="1">
      <c r="E37" s="191"/>
      <c r="F37" s="192"/>
      <c r="G37" s="203" t="s">
        <v>75</v>
      </c>
      <c r="H37" s="203"/>
      <c r="I37" s="203"/>
      <c r="J37" s="214" t="s">
        <v>76</v>
      </c>
      <c r="K37" s="214"/>
      <c r="L37" s="214"/>
      <c r="M37" s="214"/>
      <c r="N37" s="214"/>
      <c r="O37" s="214"/>
      <c r="P37" s="214"/>
      <c r="Q37" s="214"/>
      <c r="R37" s="214"/>
      <c r="S37" s="214"/>
      <c r="T37" s="214"/>
      <c r="U37" s="214"/>
      <c r="V37" s="214"/>
      <c r="W37" s="214"/>
      <c r="X37" s="215"/>
    </row>
    <row r="38" spans="5:24" ht="24.950000" customHeight="1">
      <c r="E38" s="191"/>
      <c r="F38" s="192"/>
      <c r="G38" s="203" t="s">
        <v>77</v>
      </c>
      <c r="H38" s="203"/>
      <c r="I38" s="203"/>
      <c r="J38" s="214" t="s">
        <v>78</v>
      </c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5"/>
    </row>
    <row r="39" spans="5:24" ht="24.950000" customHeight="1">
      <c r="E39" s="191"/>
      <c r="F39" s="192"/>
      <c r="G39" s="203" t="s">
        <v>79</v>
      </c>
      <c r="H39" s="203"/>
      <c r="I39" s="203"/>
      <c r="J39" s="214" t="str">
        <f>갑지!P21</f>
        <v>서울 성북구 길음로9길 50 (길음동)</v>
      </c>
      <c r="K39" s="214"/>
      <c r="L39" s="214"/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5"/>
    </row>
    <row r="40" spans="5:24" ht="24.950000" customHeight="1">
      <c r="E40" s="191"/>
      <c r="F40" s="192"/>
      <c r="G40" s="203"/>
      <c r="H40" s="203"/>
      <c r="I40" s="203"/>
      <c r="J40" s="155" t="s">
        <v>80</v>
      </c>
      <c r="K40" s="123"/>
      <c r="L40" s="123" t="s">
        <v>159</v>
      </c>
      <c r="M40" s="123"/>
      <c r="N40" s="123"/>
      <c r="O40" s="123"/>
      <c r="P40" s="123"/>
      <c r="Q40" s="123" t="s">
        <v>160</v>
      </c>
      <c r="R40" s="123" t="s">
        <v>81</v>
      </c>
      <c r="S40" s="123"/>
      <c r="T40" s="123" t="s">
        <v>159</v>
      </c>
      <c r="U40" s="123"/>
      <c r="V40" s="123"/>
      <c r="W40" s="123"/>
      <c r="X40" s="156"/>
    </row>
    <row r="41" spans="5:24" ht="24.950000" customHeight="1">
      <c r="E41" s="191"/>
      <c r="F41" s="192"/>
      <c r="G41" s="157" t="s">
        <v>82</v>
      </c>
      <c r="H41" s="158"/>
      <c r="I41" s="159"/>
      <c r="J41" s="160" t="s">
        <v>171</v>
      </c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2"/>
    </row>
    <row r="42" spans="5:24" ht="24.950000" customHeight="1">
      <c r="E42" s="191"/>
      <c r="F42" s="192"/>
      <c r="G42" s="163" t="s">
        <v>83</v>
      </c>
      <c r="H42" s="164"/>
      <c r="I42" s="165"/>
      <c r="J42" s="172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4"/>
    </row>
    <row r="43" spans="5:24" ht="24.950000" customHeight="1">
      <c r="E43" s="193"/>
      <c r="F43" s="194"/>
      <c r="G43" s="166"/>
      <c r="H43" s="167"/>
      <c r="I43" s="168"/>
      <c r="J43" s="169" t="s">
        <v>99</v>
      </c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1"/>
    </row>
    <row r="44" spans="5:24" ht="14.000000">
      <c r="E44" s="145"/>
      <c r="F44" s="146"/>
      <c r="G44" s="146"/>
      <c r="H44" s="146"/>
      <c r="X44" s="93"/>
    </row>
    <row r="45" spans="5:24" ht="55.500000" customHeight="1">
      <c r="E45" s="147" t="s">
        <v>84</v>
      </c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148"/>
    </row>
    <row r="46" spans="5:24" ht="14.000000">
      <c r="E46" s="94"/>
      <c r="F46" s="95"/>
      <c r="G46" s="95"/>
      <c r="H46" s="95"/>
      <c r="X46" s="93"/>
    </row>
    <row r="47" spans="5:24" ht="24.950000" customHeight="1">
      <c r="E47" s="149" t="s">
        <v>85</v>
      </c>
      <c r="F47" s="150"/>
      <c r="G47" s="150"/>
      <c r="H47" s="98" t="s">
        <v>113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148"/>
    </row>
    <row r="48" spans="5:24" ht="14.250000" customHeight="1">
      <c r="E48" s="96"/>
      <c r="F48" s="91"/>
      <c r="G48" s="91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148"/>
    </row>
    <row r="49" spans="5:24" ht="24.950000" customHeight="1">
      <c r="E49" s="96"/>
      <c r="F49" s="91"/>
      <c r="G49" s="91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148"/>
    </row>
    <row r="50" spans="5:24" ht="14.000000">
      <c r="E50" s="145"/>
      <c r="F50" s="146"/>
      <c r="G50" s="146"/>
      <c r="H50" s="146"/>
      <c r="X50" s="93"/>
    </row>
    <row r="51" spans="5:24" ht="24.950000" customHeight="1">
      <c r="E51" s="151" t="s">
        <v>86</v>
      </c>
      <c r="F51" s="152"/>
      <c r="G51" s="152"/>
      <c r="H51" s="153" t="s">
        <v>119</v>
      </c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4"/>
    </row>
    <row r="52" spans="5:24" ht="26.250000" customHeight="1">
      <c r="E52" s="136" t="s">
        <v>100</v>
      </c>
      <c r="F52" s="137"/>
      <c r="G52" s="137"/>
      <c r="H52" s="137"/>
      <c r="I52" s="137"/>
      <c r="J52" s="137"/>
      <c r="K52" s="137"/>
      <c r="L52" s="137"/>
      <c r="M52" s="137"/>
      <c r="N52" s="137"/>
      <c r="O52" s="137" t="s">
        <v>101</v>
      </c>
      <c r="P52" s="137"/>
      <c r="Q52" s="137"/>
      <c r="R52" s="137"/>
      <c r="S52" s="137"/>
      <c r="T52" s="137"/>
      <c r="U52" s="137"/>
      <c r="V52" s="137"/>
      <c r="W52" s="137"/>
      <c r="X52" s="138"/>
    </row>
    <row r="53" spans="5:24" ht="40.500000" customHeight="1">
      <c r="E53" s="136" t="s">
        <v>87</v>
      </c>
      <c r="F53" s="137"/>
      <c r="G53" s="137"/>
      <c r="H53" s="139" t="str">
        <f>E9</f>
        <v>래미안길음뉴타운9단지아파트</v>
      </c>
      <c r="I53" s="139"/>
      <c r="J53" s="139"/>
      <c r="K53" s="139"/>
      <c r="L53" s="139"/>
      <c r="M53" s="139"/>
      <c r="N53" s="139"/>
      <c r="O53" s="137" t="s">
        <v>88</v>
      </c>
      <c r="P53" s="137"/>
      <c r="Q53" s="137"/>
      <c r="R53" s="140" t="s">
        <v>89</v>
      </c>
      <c r="S53" s="140"/>
      <c r="T53" s="140"/>
      <c r="U53" s="140"/>
      <c r="V53" s="140"/>
      <c r="W53" s="140"/>
      <c r="X53" s="141"/>
    </row>
    <row r="54" spans="5:24" ht="40.500000" customHeight="1">
      <c r="E54" s="136" t="s">
        <v>90</v>
      </c>
      <c r="F54" s="137"/>
      <c r="G54" s="137"/>
      <c r="H54" s="142" t="str">
        <f>J39</f>
        <v>서울 성북구 길음로9길 50 (길음동)</v>
      </c>
      <c r="I54" s="142"/>
      <c r="J54" s="142"/>
      <c r="K54" s="142"/>
      <c r="L54" s="142"/>
      <c r="M54" s="142"/>
      <c r="N54" s="142"/>
      <c r="O54" s="137" t="s">
        <v>91</v>
      </c>
      <c r="P54" s="137"/>
      <c r="Q54" s="137"/>
      <c r="R54" s="143" t="s">
        <v>181</v>
      </c>
      <c r="S54" s="143"/>
      <c r="T54" s="143"/>
      <c r="U54" s="143"/>
      <c r="V54" s="143"/>
      <c r="W54" s="143"/>
      <c r="X54" s="144"/>
    </row>
    <row r="55" spans="5:24" ht="40.500000" customHeight="1">
      <c r="E55" s="127" t="s">
        <v>92</v>
      </c>
      <c r="F55" s="128"/>
      <c r="G55" s="128"/>
      <c r="H55" s="129" t="s">
        <v>93</v>
      </c>
      <c r="I55" s="129"/>
      <c r="J55" s="129"/>
      <c r="K55" s="129"/>
      <c r="L55" s="129"/>
      <c r="M55" s="129"/>
      <c r="N55" s="129"/>
      <c r="O55" s="128" t="s">
        <v>94</v>
      </c>
      <c r="P55" s="128"/>
      <c r="Q55" s="128"/>
      <c r="R55" s="130" t="s">
        <v>95</v>
      </c>
      <c r="S55" s="130"/>
      <c r="T55" s="130"/>
      <c r="U55" s="130"/>
      <c r="V55" s="130"/>
      <c r="W55" s="130"/>
      <c r="X55" s="131"/>
    </row>
    <row r="56" spans="5:24" ht="16.000000">
      <c r="E56" s="132" t="s">
        <v>96</v>
      </c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</row>
    <row r="57" spans="5:24" ht="26.000000">
      <c r="E57" s="133" t="s">
        <v>112</v>
      </c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</row>
    <row r="58" spans="5:24" ht="15.000000">
      <c r="E58" s="97"/>
      <c r="I58" s="84"/>
      <c r="J58" s="88"/>
      <c r="L58" s="85"/>
    </row>
    <row r="59" spans="5:24" ht="24.950000" customHeight="1">
      <c r="F59" s="135" t="s">
        <v>173</v>
      </c>
      <c r="G59" s="135"/>
      <c r="H59" s="134" t="str">
        <f>H53</f>
        <v>래미안길음뉴타운9단지아파트</v>
      </c>
      <c r="I59" s="134"/>
      <c r="J59" s="134"/>
      <c r="K59" s="134"/>
      <c r="L59" s="134"/>
      <c r="M59" s="134"/>
      <c r="N59" s="134"/>
      <c r="O59" s="134"/>
      <c r="P59" s="135" t="s">
        <v>174</v>
      </c>
      <c r="Q59" s="135"/>
      <c r="R59" s="135"/>
      <c r="S59" s="135"/>
      <c r="T59" s="135"/>
      <c r="U59" s="135"/>
      <c r="V59" s="135"/>
      <c r="W59" s="135"/>
      <c r="X59" s="135"/>
    </row>
    <row r="60" spans="5:24" ht="24.950000" customHeight="1">
      <c r="F60" s="126" t="s">
        <v>175</v>
      </c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</row>
    <row r="61" spans="5:24" ht="20.000000" customHeight="1">
      <c r="E61" s="98"/>
      <c r="F61" s="98"/>
      <c r="G61" s="98"/>
      <c r="H61" s="98"/>
      <c r="I61" s="98"/>
      <c r="J61" s="98"/>
      <c r="K61" s="98"/>
      <c r="L61" s="98"/>
      <c r="M61" s="98"/>
    </row>
    <row r="62" spans="5:24" ht="20.000000" customHeight="1">
      <c r="E62" s="122" t="s">
        <v>141</v>
      </c>
      <c r="F62" s="122"/>
      <c r="G62" s="122"/>
      <c r="H62" s="122"/>
      <c r="I62" s="122"/>
      <c r="J62" s="122"/>
      <c r="K62" s="122"/>
      <c r="L62" s="122"/>
      <c r="M62" s="122"/>
    </row>
    <row r="63" spans="5:24" ht="66.750000" customHeight="1">
      <c r="F63" s="98" t="s">
        <v>161</v>
      </c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</row>
    <row r="64" spans="5:24" ht="20.000000" customHeight="1">
      <c r="E64" s="99"/>
      <c r="I64" s="84"/>
      <c r="J64" s="88"/>
      <c r="L64" s="85"/>
    </row>
    <row r="65" spans="5:24" ht="20.000000" customHeight="1">
      <c r="E65" s="122" t="s">
        <v>142</v>
      </c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</row>
    <row r="66" spans="5:24" ht="20.000000" customHeight="1">
      <c r="F66" s="103" t="str">
        <f>"① 시설물명 : "&amp;H53</f>
        <v>① 시설물명 : 래미안길음뉴타운9단지아파트</v>
      </c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</row>
    <row r="67" spans="5:24" ht="20.000000" customHeight="1">
      <c r="F67" s="103" t="str">
        <f>"② 위      치 : "&amp;갑지!P21</f>
        <v>② 위      치 : 서울 성북구 길음로9길 50 (길음동)</v>
      </c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</row>
    <row r="68" spans="5:24" ht="20.000000" customHeight="1">
      <c r="F68" s="103" t="s">
        <v>170</v>
      </c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</row>
    <row r="69" spans="5:24" ht="20.000000" customHeight="1">
      <c r="F69" s="103" t="str">
        <f>"④ 점검프로그램 대상시설물의 범위 : "&amp;갑지!P22</f>
        <v>④ 점검프로그램 대상시설물의 범위 : 아파트 15개동 1012세대 (해당동 : 15개동)</v>
      </c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</row>
    <row r="70" spans="5:24" ht="20.000000" customHeight="1">
      <c r="E70" s="99"/>
      <c r="I70" s="84"/>
      <c r="J70" s="88"/>
      <c r="L70" s="85"/>
    </row>
    <row r="71" spans="5:24" ht="17.000000">
      <c r="E71" s="122" t="s">
        <v>143</v>
      </c>
      <c r="F71" s="122"/>
      <c r="G71" s="122"/>
      <c r="H71" s="122"/>
      <c r="I71" s="122"/>
      <c r="J71" s="122"/>
      <c r="K71" s="122"/>
      <c r="L71" s="122"/>
      <c r="M71" s="122"/>
    </row>
    <row r="72" spans="5:24" ht="35.250000" customHeight="1">
      <c r="F72" s="98" t="s">
        <v>126</v>
      </c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</row>
    <row r="73" spans="5:24" ht="52.500000" customHeight="1">
      <c r="F73" s="98" t="s">
        <v>102</v>
      </c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</row>
    <row r="74" spans="5:24" ht="32.250000" customHeight="1">
      <c r="F74" s="98" t="s">
        <v>103</v>
      </c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</row>
    <row r="75" spans="5:24" ht="47.250000" customHeight="1">
      <c r="E75" s="99"/>
      <c r="F75" s="98" t="s">
        <v>121</v>
      </c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</row>
    <row r="76" spans="5:24" ht="20.000000" customHeight="1">
      <c r="E76" s="99"/>
      <c r="I76" s="84"/>
      <c r="J76" s="88"/>
      <c r="L76" s="85"/>
    </row>
    <row r="77" spans="5:24" ht="17.000000">
      <c r="E77" s="122" t="s">
        <v>144</v>
      </c>
      <c r="F77" s="122"/>
      <c r="G77" s="122"/>
      <c r="H77" s="122"/>
      <c r="I77" s="122"/>
      <c r="J77" s="122"/>
      <c r="K77" s="122"/>
      <c r="L77" s="122"/>
      <c r="M77" s="122"/>
    </row>
    <row r="78" spans="5:24" ht="20.000000" customHeight="1">
      <c r="F78" s="110" t="s">
        <v>122</v>
      </c>
      <c r="G78" s="100"/>
      <c r="H78" s="100"/>
      <c r="I78" s="100"/>
      <c r="J78" s="100"/>
      <c r="K78" s="100"/>
      <c r="L78" s="100"/>
      <c r="M78" s="100"/>
    </row>
    <row r="79" spans="5:24" ht="40.000000" customHeight="1">
      <c r="F79" s="98" t="s">
        <v>104</v>
      </c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</row>
    <row r="80" spans="5:24" ht="20.000000" customHeight="1">
      <c r="E80" s="99"/>
      <c r="I80" s="84"/>
      <c r="J80" s="88"/>
      <c r="L80" s="85"/>
    </row>
    <row r="81" spans="5:24" ht="20.000000" customHeight="1">
      <c r="E81" s="122" t="s">
        <v>145</v>
      </c>
      <c r="F81" s="122"/>
      <c r="G81" s="122"/>
      <c r="H81" s="122"/>
      <c r="I81" s="122"/>
      <c r="J81" s="122"/>
      <c r="K81" s="122"/>
      <c r="L81" s="122"/>
      <c r="M81" s="122"/>
    </row>
    <row r="82" spans="5:24" ht="20.000000" customHeight="1">
      <c r="F82" s="98" t="s">
        <v>105</v>
      </c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</row>
    <row r="83" spans="5:24" ht="20.000000" customHeight="1">
      <c r="E83" s="101"/>
      <c r="F83" s="98" t="s">
        <v>123</v>
      </c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</row>
    <row r="84" spans="5:24" ht="34.500000" customHeight="1">
      <c r="E84" s="102"/>
      <c r="F84" s="98" t="s">
        <v>120</v>
      </c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</row>
    <row r="85" spans="5:24" ht="20.000000" customHeight="1">
      <c r="F85" s="100"/>
      <c r="G85" s="100"/>
      <c r="H85" s="100"/>
      <c r="I85" s="100"/>
      <c r="J85" s="100"/>
      <c r="K85" s="100"/>
      <c r="L85" s="100"/>
      <c r="M85" s="100"/>
    </row>
    <row r="86" spans="5:24" ht="20.000000" customHeight="1">
      <c r="E86" s="122" t="s">
        <v>146</v>
      </c>
      <c r="F86" s="122"/>
      <c r="G86" s="122"/>
      <c r="H86" s="122"/>
      <c r="I86" s="122"/>
      <c r="J86" s="122"/>
      <c r="K86" s="122"/>
      <c r="L86" s="122"/>
      <c r="M86" s="122"/>
    </row>
    <row r="87" spans="5:24" ht="40.000000" customHeight="1">
      <c r="F87" s="98" t="s">
        <v>106</v>
      </c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</row>
    <row r="88" spans="5:24" ht="40.000000" customHeight="1">
      <c r="F88" s="98" t="s">
        <v>107</v>
      </c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</row>
    <row r="89" spans="5:24" ht="38.250000" customHeight="1">
      <c r="F89" s="98" t="s">
        <v>108</v>
      </c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</row>
    <row r="90" spans="5:24" ht="20.000000" customHeight="1">
      <c r="E90" s="99"/>
      <c r="I90" s="84"/>
      <c r="J90" s="88"/>
      <c r="L90" s="85"/>
    </row>
    <row r="91" spans="5:24" ht="20.000000" customHeight="1">
      <c r="E91" s="122" t="s">
        <v>147</v>
      </c>
      <c r="F91" s="122"/>
      <c r="G91" s="122"/>
      <c r="H91" s="122"/>
      <c r="I91" s="122"/>
      <c r="J91" s="122"/>
      <c r="K91" s="122"/>
      <c r="L91" s="122"/>
      <c r="M91" s="122"/>
    </row>
    <row r="92" spans="5:24" ht="40.000000" customHeight="1">
      <c r="F92" s="98" t="s">
        <v>127</v>
      </c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</row>
    <row r="93" spans="5:24" ht="40.000000" customHeight="1">
      <c r="F93" s="98" t="s">
        <v>124</v>
      </c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</row>
    <row r="94" spans="5:24" ht="20.000000" customHeight="1">
      <c r="E94" s="99"/>
      <c r="I94" s="84"/>
      <c r="J94" s="88"/>
      <c r="L94" s="85"/>
    </row>
    <row r="95" spans="5:24" ht="20.000000" customHeight="1">
      <c r="E95" s="122" t="s">
        <v>148</v>
      </c>
      <c r="F95" s="122"/>
      <c r="G95" s="122"/>
      <c r="H95" s="122"/>
      <c r="I95" s="122"/>
      <c r="J95" s="122"/>
      <c r="K95" s="122"/>
      <c r="L95" s="122"/>
      <c r="M95" s="122"/>
    </row>
    <row r="96" spans="5:24" ht="60.000000" customHeight="1">
      <c r="F96" s="98" t="s">
        <v>128</v>
      </c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</row>
    <row r="97" spans="5:24" ht="20.000000" customHeight="1">
      <c r="E97" s="99"/>
      <c r="I97" s="84"/>
      <c r="J97" s="88"/>
      <c r="L97" s="85"/>
    </row>
    <row r="98" spans="5:24" ht="20.000000" customHeight="1">
      <c r="E98" s="122" t="s">
        <v>149</v>
      </c>
      <c r="F98" s="103"/>
      <c r="G98" s="103"/>
      <c r="H98" s="103"/>
      <c r="I98" s="103"/>
      <c r="J98" s="103"/>
      <c r="K98" s="103"/>
      <c r="L98" s="103"/>
      <c r="M98" s="103"/>
    </row>
    <row r="99" spans="5:24" ht="20.000000" customHeight="1">
      <c r="F99" s="103" t="s">
        <v>97</v>
      </c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</row>
    <row r="100" spans="5:24" ht="20.000000" customHeight="1">
      <c r="E100" s="104"/>
      <c r="F100" s="103" t="s">
        <v>137</v>
      </c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</row>
    <row r="101" spans="5:24" ht="20.000000" customHeight="1">
      <c r="E101" s="104"/>
      <c r="F101" s="126" t="s">
        <v>138</v>
      </c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</row>
    <row r="102" spans="5:24" ht="20.000000" customHeight="1">
      <c r="E102" s="104"/>
      <c r="F102" s="126" t="s">
        <v>139</v>
      </c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</row>
    <row r="103" spans="5:24" ht="20.000000" customHeight="1">
      <c r="E103" s="104"/>
      <c r="F103" s="126" t="s">
        <v>140</v>
      </c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</row>
    <row r="104" spans="5:24" ht="20.000000" customHeight="1">
      <c r="E104" s="99"/>
      <c r="I104" s="84"/>
      <c r="J104" s="88"/>
      <c r="L104" s="85"/>
    </row>
    <row r="105" spans="5:24" ht="20.000000" customHeight="1">
      <c r="E105" s="122" t="s">
        <v>150</v>
      </c>
      <c r="F105" s="103"/>
      <c r="G105" s="103"/>
      <c r="H105" s="103"/>
      <c r="I105" s="103"/>
      <c r="J105" s="103"/>
      <c r="K105" s="103"/>
      <c r="L105" s="103"/>
      <c r="M105" s="103"/>
    </row>
    <row r="106" spans="5:24" ht="40.000000" customHeight="1">
      <c r="F106" s="98" t="s">
        <v>156</v>
      </c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</row>
    <row r="107" spans="5:24" ht="20.000000" customHeight="1">
      <c r="E107" s="99"/>
      <c r="I107" s="84"/>
      <c r="J107" s="88"/>
      <c r="L107" s="85"/>
    </row>
    <row r="108" spans="5:24" ht="20.000000" customHeight="1">
      <c r="E108" s="122" t="s">
        <v>151</v>
      </c>
      <c r="F108" s="122"/>
      <c r="G108" s="122"/>
      <c r="H108" s="122"/>
      <c r="I108" s="122"/>
      <c r="J108" s="122"/>
      <c r="K108" s="122"/>
      <c r="L108" s="122"/>
      <c r="M108" s="122"/>
    </row>
    <row r="109" spans="5:24" ht="40.000000" customHeight="1">
      <c r="F109" s="98" t="s">
        <v>125</v>
      </c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</row>
    <row r="110" spans="5:24" ht="40.000000" customHeight="1">
      <c r="F110" s="98" t="s">
        <v>109</v>
      </c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</row>
    <row r="112" spans="5:24" ht="20.000000" customHeight="1">
      <c r="E112" s="124" t="s">
        <v>130</v>
      </c>
      <c r="F112" s="125"/>
      <c r="G112" s="125"/>
      <c r="H112" s="125"/>
      <c r="I112" s="125"/>
      <c r="J112" s="125"/>
      <c r="K112" s="125"/>
      <c r="L112" s="125"/>
      <c r="M112" s="125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</row>
    <row r="113" spans="5:24" ht="45.000000" customHeight="1">
      <c r="E113" s="100"/>
      <c r="F113" s="98" t="s">
        <v>129</v>
      </c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</row>
    <row r="114" ht="24.950000" customHeight="1"/>
  </sheetData>
  <mergeCells count="108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3"/>
    <mergeCell ref="G34:I34"/>
    <mergeCell ref="J34:X34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3"/>
    <mergeCell ref="J42:X42"/>
    <mergeCell ref="J43:X43"/>
    <mergeCell ref="E44:H44"/>
    <mergeCell ref="E45:X45"/>
    <mergeCell ref="E47:G47"/>
    <mergeCell ref="H47:X47"/>
    <mergeCell ref="H48:X48"/>
    <mergeCell ref="H49:X49"/>
    <mergeCell ref="E50:H50"/>
    <mergeCell ref="E51:G51"/>
    <mergeCell ref="H51:X51"/>
    <mergeCell ref="E52:N52"/>
    <mergeCell ref="O52:X52"/>
    <mergeCell ref="E53:G53"/>
    <mergeCell ref="H53:N53"/>
    <mergeCell ref="O53:Q53"/>
    <mergeCell ref="R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X56"/>
    <mergeCell ref="E57:X57"/>
    <mergeCell ref="F59:G59"/>
    <mergeCell ref="H59:O59"/>
    <mergeCell ref="P59:X59"/>
    <mergeCell ref="F60:X60"/>
    <mergeCell ref="E62:M62"/>
    <mergeCell ref="F63:X63"/>
    <mergeCell ref="E65:X65"/>
    <mergeCell ref="F66:X66"/>
    <mergeCell ref="F67:X67"/>
    <mergeCell ref="F68:X68"/>
    <mergeCell ref="F69:X69"/>
    <mergeCell ref="E71:M71"/>
    <mergeCell ref="F72:X72"/>
    <mergeCell ref="F73:X73"/>
    <mergeCell ref="F74:X74"/>
    <mergeCell ref="F75:X75"/>
    <mergeCell ref="E77:M77"/>
    <mergeCell ref="F79:X79"/>
    <mergeCell ref="E81:M81"/>
    <mergeCell ref="F82:X82"/>
    <mergeCell ref="F83:X83"/>
    <mergeCell ref="F84:X84"/>
    <mergeCell ref="E86:M86"/>
    <mergeCell ref="F87:X87"/>
    <mergeCell ref="F88:X88"/>
    <mergeCell ref="F89:X89"/>
    <mergeCell ref="E91:M91"/>
    <mergeCell ref="F92:X92"/>
    <mergeCell ref="F93:X93"/>
    <mergeCell ref="E95:M95"/>
    <mergeCell ref="F96:X96"/>
    <mergeCell ref="F99:X99"/>
    <mergeCell ref="F100:X100"/>
    <mergeCell ref="F101:X101"/>
    <mergeCell ref="F102:X102"/>
    <mergeCell ref="F103:X103"/>
    <mergeCell ref="F106:X106"/>
    <mergeCell ref="E108:M108"/>
    <mergeCell ref="F109:X109"/>
    <mergeCell ref="F110:X110"/>
    <mergeCell ref="E112:M112"/>
    <mergeCell ref="F113:X113"/>
  </mergeCells>
  <phoneticPr fontId="1" type="noConversion"/>
  <printOptions horizontalCentered="1" verticalCentered="1"/>
  <pageMargins left="0.25" right="0.25" top="0.75" bottom="0.75" header="0.30" footer="0.30"/>
  <pageSetup paperSize="9" scale="90" fitToWidth="0" fitToHeight="0" orientation="portrait"/>
  <rowBreaks count="3" manualBreakCount="3">
    <brk id="26" min="4" max="23" man="1"/>
    <brk id="55" min="4" max="23" man="1"/>
    <brk id="85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2026-05-08T07:49:50Z</dcterms:modified>
</cp:coreProperties>
</file>