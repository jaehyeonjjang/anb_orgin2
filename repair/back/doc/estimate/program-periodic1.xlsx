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activeTab="0"/>
  </bookViews>
  <sheets>
    <sheet name="갑지" sheetId="1" r:id="rId1"/>
    <sheet name="대가산출" sheetId="3" r:id="rId2"/>
    <sheet name="계약서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갑지!$F$1:$AG$44</definedName>
    <definedName name="_xlnm.Print_Area" localSheetId="2">계약서!$E$1:$X$113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<sst xmlns="http://schemas.openxmlformats.org/spreadsheetml/2006/main" count="201" uniqueCount="201">
  <si>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</si>
  <si>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</si>
  <si>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</si>
  <si>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</si>
  <si>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</si>
  <si>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</si>
  <si>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</si>
  <si>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</si>
  <si>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</si>
  <si>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</si>
  <si>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</si>
  <si>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</si>
  <si>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</si>
  <si>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</si>
  <si>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</si>
  <si>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(1회)</t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</si>
  <si>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</si>
  <si>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</si>
  <si>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</si>
  <si>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</si>
  <si>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</si>
  <si>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</si>
  <si>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</si>
  <si>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</si>
  <si>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</si>
  <si>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</si>
  <si>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</si>
  <si>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</si>
  <si>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</si>
  <si>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</si>
  <si>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</si>
  <si>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</si>
  <si>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</si>
  <si>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</si>
  <si>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</si>
  <si>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</si>
  <si>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</si>
  <si>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</si>
  <si>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</si>
  <si>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</si>
  <si>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</si>
  <si>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</si>
  <si>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</si>
  <si>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</si>
  <si>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</si>
  <si>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</si>
  <si>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</si>
  <si>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</si>
  <si>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</si>
  <si>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</si>
  <si>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</si>
  <si>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</si>
  <si>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</si>
  <si>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</si>
  <si>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</si>
  <si>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</si>
  <si>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</si>
  <si>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</si>
  <si>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</si>
  <si>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</si>
  <si>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</si>
  <si>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</si>
  <si>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</si>
  <si>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</si>
  <si>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</si>
  <si>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</si>
  <si>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</si>
  <si>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</si>
  <si>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</si>
  <si>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</si>
  <si>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</si>
  <si>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</si>
  <si>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</si>
  <si>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</si>
  <si>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</si>
  <si>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</si>
  <si>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</si>
  <si>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</si>
  <si>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</si>
  <si>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</si>
  <si>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</si>
  <si>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</si>
  <si>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</si>
  <si>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>기 타 사 항</t>
  </si>
  <si>
    <r>
      <rPr>
        <sz val="12"/>
        <color rgb="FF000000"/>
        <rFont val="돋움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</si>
  <si>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</si>
  <si>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</si>
  <si>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</si>
  <si>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</si>
  <si>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</si>
  <si>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</si>
  <si>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</si>
  <si>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</si>
  <si>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rPr>
        <sz val="12"/>
        <color rgb="FF000000"/>
        <rFont val="돋움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</si>
  <si>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</si>
  <si>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</si>
  <si>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</si>
  <si>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</si>
  <si>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t>점검 프로그램사용 계약서</t>
  </si>
  <si>
    <t>입금계좌 : 359301-04-187394  국민은행  주식회사 에이엔비</t>
  </si>
  <si>
    <r>
      <t>관 리 주 체</t>
    </r>
    <r>
      <rPr>
        <sz val="12"/>
        <color rgb="FF000000"/>
        <rFont val="돋움"/>
      </rPr>
      <t>(사 용 자)</t>
    </r>
  </si>
  <si>
    <r>
      <t>계 약 상 대 자</t>
    </r>
    <r>
      <rPr>
        <sz val="12"/>
        <color rgb="FF000000"/>
        <rFont val="돋움"/>
      </rPr>
      <t>(제 공 자)</t>
    </r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</si>
  <si>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</si>
  <si>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</si>
  <si>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</si>
  <si>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</si>
  <si>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r>
      <t xml:space="preserve">① </t>
    </r>
    <r>
      <rPr>
        <sz val="12"/>
        <color rgb="FF000000"/>
        <rFont val="돋움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</si>
  <si>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</si>
  <si>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</rPr>
      <t xml:space="preserve"> 한다.</t>
    </r>
  </si>
  <si>
    <t>② 이 계약에 명시되지 아니한 사항은 기획재정부가 회계예규로 정한 기술용역계약 일반조건과 관계법령에 의한다.</t>
  </si>
  <si>
    <t>외업인건비의 0%</t>
  </si>
  <si>
    <t>직접인건비의 0%</t>
  </si>
  <si>
    <t>점검 프로그램 사용 계약조건</t>
  </si>
  <si>
    <t>1. 점검 프로그램 사용 계약조건 1부.</t>
  </si>
  <si>
    <t>(우)16910  경기도 용인시 기흥구 마북로 159 한성프라자 207호 (마북동) 전화 : 031-283-3328  팩스 : 031-284-3328</t>
  </si>
  <si>
    <t>점검프로그램 사용계약서</t>
  </si>
  <si>
    <t>점검 프로그램 사용 대가 내역</t>
  </si>
  <si>
    <t>직접인건비*0%</t>
  </si>
  <si>
    <t>(직접인건비+제경비)*0%</t>
  </si>
  <si>
    <t xml:space="preserve"> 2026  년       월        일</t>
  </si>
  <si>
    <t>③ 제3조 제2항에 따라 정기안전점검 업무의 일부 또는 전부의 변경이 불가피한 경우 "사용자"와 "제공자"는 협의하여 변경할 수 있다.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</si>
  <si>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</si>
  <si>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① 프로그램 사용은 2026년    월    일부터  2026년  06월  30일로 종료한다.</t>
  </si>
  <si>
    <t>② 지급시기는 계약 후 1개월 이내에 지급하여야 한다.</t>
  </si>
  <si>
    <t>② "제공자"는 "사용자"가 점검 후 정기안전점검 후 실시 결과를 시설물통합정보시스템(FMS)에 등록 및 보고하여야 한다.</t>
  </si>
  <si>
    <t>① 기본적으로 점검 후 작성된 파일을 제공하지 않으나 "사용자"가 요청시 "제공자"는 PDF 파일 만 제공한다.</t>
  </si>
  <si>
    <t>① 점검프로그램을 이용하여 "사용자"는 직접 점검을 시행하고 저장 및 전송을 원칙으로 한다.</t>
  </si>
  <si>
    <r>
      <t xml:space="preserve">① </t>
    </r>
    <r>
      <rPr>
        <sz val="12"/>
        <color rgb="FF000000"/>
        <rFont val="돋움"/>
      </rPr>
      <t>"사용자"는 시설물안전법 제17조 제1항에 따라 "제공자"에게 정기안전점검 실시결과를 저장 전송하고 통보해주어야 한다.</t>
    </r>
  </si>
  <si>
    <r>
      <t xml:space="preserve">① </t>
    </r>
    <r>
      <rPr>
        <sz val="12"/>
        <color rgb="FF000000"/>
        <rFont val="돋움"/>
      </rPr>
      <t>"제공자"가 "사용자"에게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"사용자"는 이에 응하여야 한다.</t>
    </r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</si>
  <si>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</si>
  <si>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t>제12조(특약)</t>
  </si>
  <si>
    <t>※ 첨    부 :  1. 점검 프로그램 사용 견적서 1부 끝.</t>
  </si>
  <si>
    <t>가. 귀 아파트 담당자 시설물안전법교육 이수로 기술자 등록 여건이 필수 임.</t>
  </si>
  <si>
    <t xml:space="preserve">다. 테블릿PC 구비 갤럭시탭 S6 Lite 128GB (와이파이용)이상                                   </t>
  </si>
  <si>
    <t>라. FMS에 도면이 등록되어있지 않을 경우 견적 금액은 추가될수 있음</t>
  </si>
  <si>
    <t>래미안길음뉴타운9단지아파트 입주자대표회장님</t>
  </si>
  <si>
    <t>나. 점검프로그램 사용 기간 - 2026년 상반기 (1회)</t>
  </si>
  <si>
    <t>1.천재지변, 전쟁, 기타 불가항력의 사유로 인하여 정기안전점검 업무의 수행이 불가능한 때</t>
  </si>
  <si>
    <t>2."사용자" 와 "제공자"가 정기안전점검 업무가 필요치 않다고 협의되었을 때</t>
  </si>
  <si>
    <t>3."사용자"가 제10조의 의무를 기피하여 "제공자"의 정상적인 진단이 곤란할 때</t>
  </si>
  <si>
    <t>4."제공자"가 정당한 이유 없이 제3조에 정한 기간 내에 과업을 수행할 수 없음이 명백할 때</t>
  </si>
  <si>
    <t>제1조(목적)</t>
  </si>
  <si>
    <t xml:space="preserve">제2조(사용자 단지 개요) </t>
  </si>
  <si>
    <t>제3조(용역의 범위)</t>
  </si>
  <si>
    <t>제4조(계약기간)</t>
  </si>
  <si>
    <t>제5조(비용의 부담)</t>
  </si>
  <si>
    <t>제6조(실시자의 의무)</t>
  </si>
  <si>
    <t>제7조(실시결과의 통보)</t>
  </si>
  <si>
    <t>제8조(설계도서 등의 열람교부 등)</t>
  </si>
  <si>
    <t>제9조(계약의 해제 및 해지)</t>
  </si>
  <si>
    <t>제10조(보안사항)</t>
  </si>
  <si>
    <t>제11조(기타사항)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</si>
  <si>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</si>
  <si>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</si>
  <si>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</si>
  <si>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</si>
  <si>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r>
      <t>"제공자"는 프로그램을 얻은 정보 또는 성과품 및 자료를 계약이행의 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후를 막론하고 "사용자"의 사전승인 없이 외부에 누설할 수 없다.</t>
    </r>
  </si>
  <si>
    <t>●   주 소 : 경기도 용인시 기흥구 마북로 159 한성프라자 207호</t>
  </si>
  <si>
    <t>02-912-5002 / 02-912-5002</t>
  </si>
  <si>
    <t>02-912-5002</t>
  </si>
  <si>
    <t>/</t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</si>
  <si>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</si>
  <si>
    <t xml:space="preserve"> 1. 직 접 인 건 비</t>
  </si>
  <si>
    <t xml:space="preserve"> 6. 합 계 금 액</t>
  </si>
  <si>
    <t xml:space="preserve"> 7. 견  적  금  액</t>
  </si>
  <si>
    <t xml:space="preserve"> 8. 참 고 사 항</t>
  </si>
  <si>
    <t xml:space="preserve">    가. 본 프로그램 사용은 점검 프로그램에 필요한 도면을 ㈜에이앤비에서 프로그램에 업로드하고, 점검(조사)은 아파트에서 점검하는 조건</t>
  </si>
  <si>
    <t xml:space="preserve">    나. 점검(조사)이 완료되면 ㈜에이앤비에서 시설물통합정보관리시스템(FMS)에 e-보고서를 작성하고 등록하는 조건.</t>
  </si>
  <si>
    <t xml:space="preserve">    다. 기본적으로 점검 파일을 제공하지 않으나 요청시 PDF파일만 제공.</t>
  </si>
  <si>
    <t>가. 내업</t>
  </si>
  <si>
    <t>③ 용      도 : 공동주택</t>
  </si>
  <si>
    <t xml:space="preserve">시설물통합정보시스템(FMS)등록 후 e-보고서 1부 </t>
  </si>
  <si>
    <t>2026년 상반기</t>
  </si>
  <si>
    <t>사용자</t>
  </si>
  <si>
    <t>입주자대표회의(이하 "사용자"라 한다)와</t>
  </si>
  <si>
    <r>
      <t xml:space="preserve">점검프로그램 제공자인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"제공자"라 한다)는 다음과 같이 계약을 체결한다.</t>
    </r>
  </si>
  <si>
    <t>마. 전화 / 팩스  :</t>
  </si>
  <si>
    <t>라. 준  공  일   :</t>
  </si>
  <si>
    <t>다. 단 지 규 모  :</t>
  </si>
  <si>
    <t xml:space="preserve">나. 소  재  지   : </t>
  </si>
  <si>
    <t>가. 단  지  명   :</t>
  </si>
  <si>
    <t>경기도 용인시 기흥구 마북로 159,
한성프라자 207호(마북동)</t>
  </si>
  <si>
    <t xml:space="preserve">            1. 귀 사의 무궁한 발전을 기원합니다.</t>
  </si>
  <si>
    <t xml:space="preserve"> 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</si>
  <si>
    <t xml:space="preserve">            3. 귀 아파트에서 사용하고자 하는 점검 프로그램에 관한 견적서를 아래와 같이 제출하오니 검토하여 주시기 바랍니다.</t>
  </si>
  <si>
    <t xml:space="preserve">            4. 시설물 개요</t>
  </si>
  <si>
    <t xml:space="preserve">            5. 용  역   범  위  : </t>
  </si>
  <si>
    <r>
      <t xml:space="preserve">           </t>
    </r>
    <r>
      <rPr>
        <sz val="11"/>
        <color rgb="FF000000"/>
        <rFont val="바탕체"/>
      </rPr>
      <t xml:space="preserve"> </t>
    </r>
    <r>
      <rPr>
        <sz val="12"/>
        <color rgb="FF000000"/>
        <rFont val="바탕체"/>
      </rPr>
      <t>7. 참고사항</t>
    </r>
  </si>
  <si>
    <r>
      <rPr>
        <b/>
        <sz val="12"/>
        <color theme="1"/>
        <rFont val="바탕체"/>
      </rPr>
      <t xml:space="preserve">     </t>
    </r>
    <r>
      <rPr>
        <b/>
        <sz val="14"/>
        <color theme="1"/>
        <rFont val="바탕체"/>
      </rPr>
      <t xml:space="preserve">    </t>
    </r>
    <r>
      <rPr>
        <b/>
        <sz val="12"/>
        <color theme="1"/>
        <rFont val="바탕체"/>
      </rPr>
      <t xml:space="preserve"> </t>
    </r>
    <r>
      <rPr>
        <b/>
        <sz val="10"/>
        <color theme="1"/>
        <rFont val="바탕체"/>
      </rPr>
      <t xml:space="preserve"> </t>
    </r>
    <r>
      <rPr>
        <b/>
        <sz val="14"/>
        <color theme="1"/>
        <rFont val="바탕체"/>
      </rPr>
      <t>6. 용   역   비  :</t>
    </r>
  </si>
  <si>
    <t xml:space="preserve">가. 시설물의 안전 및 유지관리에 관한 특별법 제11조에 의거한 건축물 정기안전점검으로
테블릿 PC를 이용한 점검프로그램 제공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</si>
  <si>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</si>
  <si>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</si>
  <si>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</si>
  <si>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</si>
  <si>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</si>
  <si>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</si>
  <si>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</si>
  <si>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</si>
  <si>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</si>
  <si>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>나. 단 지 규 모  :</t>
  </si>
  <si>
    <t xml:space="preserve">다. 소  재  지   : 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</si>
</sst>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36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sz val="12.0"/>
      <name val="바탕체"/>
      <color rgb="FF000000"/>
    </font>
    <font>
      <sz val="11.0"/>
      <name val="돋움"/>
      <color rgb="FF000000"/>
    </font>
    <font>
      <sz val="11.0"/>
      <name val="바탕체"/>
      <color rgb="FF000000"/>
    </font>
    <font>
      <sz val="12.0"/>
      <name val="함초롬바탕"/>
      <color theme="1"/>
    </font>
    <font>
      <sz val="12.0"/>
      <name val="돋움"/>
      <color theme="1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맑은 고딕"/>
      <scheme val="minor"/>
      <color theme="1"/>
    </font>
    <font>
      <sz val="10.0"/>
      <name val="굴림"/>
      <color rgb="FF000000"/>
    </font>
    <font>
      <sz val="10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sz val="13.0"/>
      <name val="한컴 솔잎 B"/>
      <color rgb="FF000000"/>
    </font>
    <font>
      <sz val="16.0"/>
      <name val="한컴 솔잎 B"/>
      <color rgb="FF000000"/>
    </font>
    <font>
      <sz val="13.0"/>
      <name val="굴림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u/>
      <sz val="11.0"/>
      <name val="바탕"/>
      <color theme="10"/>
    </font>
    <font>
      <u/>
      <sz val="11.0"/>
      <name val="바탕"/>
      <color theme="11"/>
    </font>
    <font>
      <b/>
      <sz val="18.0"/>
      <name val="돋움"/>
      <color theme="1"/>
    </font>
    <font>
      <b/>
      <sz val="36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sz val="12.0"/>
      <name val="바탕체"/>
      <color theme="1"/>
    </font>
    <font>
      <b/>
      <sz val="12.0"/>
      <name val="바탕체"/>
      <color theme="1"/>
    </font>
    <font>
      <b/>
      <u/>
      <sz val="12.0"/>
      <name val="바탕체"/>
      <color rgb="FFFF0000"/>
    </font>
    <font>
      <b/>
      <sz val="32.0"/>
      <name val="바탕체"/>
      <color rgb="FF000000"/>
    </font>
    <font>
      <b/>
      <sz val="14.0"/>
      <name val="바탕체"/>
      <color theme="1"/>
    </font>
    <font>
      <sz val="11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2.0"/>
      <name val="돋움"/>
      <color rgb="FF000000"/>
    </font>
    <font>
      <b/>
      <sz val="10.0"/>
      <name val="바탕체"/>
      <color theme="1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FFFFFF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b/>
      <sz val="36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</fonts>
  <fills count="41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8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2">
    <xf numFmtId="0" fontId="0" fillId="0" borderId="0" applyFill="0" applyProtection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8" fillId="4" borderId="0" applyAlignment="0" applyBorder="0" applyNumberForma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0" fontId="6" fillId="0" borderId="0">
      <alignment vertical="center"/>
      <protection locked="0"/>
    </xf>
    <xf numFmtId="184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28" fillId="0" borderId="13">
      <alignment horizontal="center" vertical="center"/>
    </xf>
    <xf numFmtId="3" fontId="29" fillId="0" borderId="1">
      <alignment vertical="center"/>
    </xf>
    <xf numFmtId="185" fontId="7" fillId="0" borderId="0" applyAlignment="0" applyBorder="0" applyFill="0" applyFont="0" applyProtection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 applyAlignment="0" applyBorder="0" applyFill="0" applyNumberForma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28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4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5" fillId="0" borderId="0">
      <alignment vertical="center"/>
    </xf>
    <xf numFmtId="186" fontId="7" fillId="0" borderId="0" applyBorder="0" applyFill="0" applyFont="0" applyProtection="0">
      <alignment vertical="center"/>
    </xf>
    <xf numFmtId="187" fontId="7" fillId="0" borderId="0">
      <alignment vertical="center"/>
    </xf>
    <xf numFmtId="188" fontId="7" fillId="0" borderId="0" applyAlignment="0" applyBorder="0" applyFill="0" applyFo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189" fontId="32" fillId="0" borderId="0" applyAlignment="0" applyBorder="0" applyFill="0" applyFont="0" applyProtection="0">
      <alignment vertical="center"/>
    </xf>
    <xf numFmtId="190" fontId="32" fillId="0" borderId="0" applyAlignment="0" applyBorder="0" applyFill="0" applyFont="0" applyProtection="0">
      <alignment vertical="center"/>
    </xf>
    <xf numFmtId="0" fontId="28" fillId="0" borderId="0">
      <alignment vertical="center"/>
    </xf>
    <xf numFmtId="191" fontId="8" fillId="0" borderId="1">
      <alignment vertical="center"/>
    </xf>
    <xf numFmtId="3" fontId="29" fillId="0" borderId="1">
      <alignment vertical="center"/>
    </xf>
    <xf numFmtId="3" fontId="29" fillId="0" borderId="1">
      <alignment vertical="center"/>
    </xf>
    <xf numFmtId="192" fontId="6" fillId="0" borderId="0">
      <alignment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99" fontId="38" fillId="0" borderId="0">
      <alignment vertical="center"/>
    </xf>
    <xf numFmtId="0" fontId="7" fillId="0" borderId="0">
      <alignment vertical="center"/>
    </xf>
    <xf numFmtId="2" fontId="36" fillId="0" borderId="49">
      <alignment horizontal="right" vertical="center"/>
    </xf>
    <xf numFmtId="0" fontId="6" fillId="0" borderId="50">
      <alignment horizontal="center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199" fontId="38" fillId="0" borderId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200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200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201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201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28" fillId="0" borderId="0">
      <alignment vertical="center"/>
    </xf>
    <xf numFmtId="0" fontId="43" fillId="0" borderId="0">
      <alignment horizontal="center" vertical="center" wrapText="1"/>
      <protection locked="0"/>
    </xf>
    <xf numFmtId="0" fontId="44" fillId="0" borderId="0" applyAlignment="0" applyBorder="0" applyFill="0" applyFont="0" applyProtection="0">
      <alignment vertical="center"/>
    </xf>
    <xf numFmtId="191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191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202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202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5" fillId="0" borderId="0">
      <alignment vertical="center"/>
    </xf>
    <xf numFmtId="37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49" fontId="41" fillId="0" borderId="0" applyBorder="0">
      <alignment vertical="center"/>
    </xf>
    <xf numFmtId="0" fontId="42" fillId="0" borderId="0">
      <alignment vertical="center"/>
    </xf>
    <xf numFmtId="203" fontId="8" fillId="0" borderId="0" applyAlignment="0" applyBorder="0" applyFill="0">
      <alignment vertical="center"/>
    </xf>
    <xf numFmtId="0" fontId="46" fillId="0" borderId="0">
      <alignment vertical="center"/>
    </xf>
    <xf numFmtId="0" fontId="47" fillId="0" borderId="0" applyAlignment="0" applyBorder="0" applyFill="0" applyNumberFormat="0" applyProtection="0">
      <alignment vertical="top"/>
      <protection locked="0"/>
    </xf>
    <xf numFmtId="204" fontId="7" fillId="0" borderId="0">
      <alignment vertical="center"/>
    </xf>
    <xf numFmtId="205" fontId="6" fillId="0" borderId="0">
      <alignment vertical="center"/>
      <protection locked="0"/>
    </xf>
    <xf numFmtId="0" fontId="48" fillId="0" borderId="0" applyAlignment="0" applyNumberFormat="0">
      <alignment horizontal="left" vertical="center"/>
    </xf>
    <xf numFmtId="0" fontId="49" fillId="0" borderId="0" applyAlignment="0" applyNumberFormat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188" fontId="7" fillId="0" borderId="1" applyAlignment="0" applyBorder="0" applyFill="0">
      <alignment vertical="center"/>
    </xf>
    <xf numFmtId="206" fontId="6" fillId="0" borderId="0">
      <alignment vertical="center"/>
      <protection locked="0"/>
    </xf>
    <xf numFmtId="0" fontId="33" fillId="0" borderId="0">
      <alignment vertical="center"/>
    </xf>
    <xf numFmtId="0" fontId="50" fillId="0" borderId="0">
      <alignment vertical="center"/>
      <protection locked="0"/>
    </xf>
    <xf numFmtId="57" fontId="7" fillId="0" borderId="0" applyAlignment="0" applyBorder="0" applyFill="0" applyFont="0" applyProtection="0">
      <alignment vertical="center"/>
    </xf>
    <xf numFmtId="207" fontId="7" fillId="0" borderId="0" applyAlignment="0" applyBorder="0" applyFill="0" applyFont="0" applyProtection="0">
      <alignment vertical="center"/>
    </xf>
    <xf numFmtId="208" fontId="7" fillId="0" borderId="0">
      <alignment vertical="center"/>
    </xf>
    <xf numFmtId="209" fontId="51" fillId="0" borderId="1">
      <alignment vertical="center"/>
    </xf>
    <xf numFmtId="0" fontId="52" fillId="0" borderId="0" applyAlignment="0" applyNumberFormat="0">
      <alignment horizontal="left" vertical="center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210" fontId="6" fillId="0" borderId="0">
      <alignment vertical="center"/>
      <protection locked="0"/>
    </xf>
    <xf numFmtId="38" fontId="54" fillId="7" borderId="0" applyAlignment="0" applyBorder="0" applyNumberFormat="0" applyProtection="0">
      <alignment vertical="center"/>
    </xf>
    <xf numFmtId="3" fontId="51" fillId="0" borderId="51">
      <alignment horizontal="right" vertical="center"/>
    </xf>
    <xf numFmtId="4" fontId="51" fillId="0" borderId="51">
      <alignment horizontal="right" vertical="center"/>
    </xf>
    <xf numFmtId="0" fontId="55" fillId="0" borderId="0">
      <alignment horizontal="left" vertical="center"/>
    </xf>
    <xf numFmtId="0" fontId="56" fillId="0" borderId="7" applyAlignment="0" applyNumberFormat="0" applyProtection="0">
      <alignment horizontal="left" vertical="center"/>
    </xf>
    <xf numFmtId="0" fontId="56" fillId="0" borderId="52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211" fontId="32" fillId="0" borderId="0">
      <alignment vertical="center"/>
      <protection locked="0"/>
    </xf>
    <xf numFmtId="211" fontId="32" fillId="0" borderId="0">
      <alignment vertical="center"/>
      <protection locked="0"/>
    </xf>
    <xf numFmtId="10" fontId="54" fillId="8" borderId="1" applyAlignment="0" applyBorder="0" applyNumberFormat="0" applyProtection="0">
      <alignment vertical="center"/>
    </xf>
    <xf numFmtId="212" fontId="58" fillId="9" borderId="0">
      <alignment vertical="center"/>
    </xf>
    <xf numFmtId="213" fontId="51" fillId="0" borderId="1">
      <alignment vertical="center"/>
    </xf>
    <xf numFmtId="212" fontId="59" fillId="10" borderId="0">
      <alignment vertical="center"/>
    </xf>
    <xf numFmtId="214" fontId="51" fillId="0" borderId="1">
      <alignment horizontal="right" vertical="center"/>
    </xf>
    <xf numFmtId="215" fontId="51" fillId="0" borderId="1">
      <alignment vertical="center"/>
    </xf>
    <xf numFmtId="216" fontId="51" fillId="0" borderId="1">
      <alignment vertical="center"/>
    </xf>
    <xf numFmtId="176" fontId="32" fillId="0" borderId="0" applyAlignment="0" applyBorder="0" applyFill="0" applyFont="0" applyProtection="0">
      <alignment vertical="center"/>
    </xf>
    <xf numFmtId="177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60" fillId="0" borderId="3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61" fillId="0" borderId="0" applyAlignment="0" applyBorder="0" applyFill="0" applyFont="0" applyProtection="0">
      <alignment vertical="center"/>
    </xf>
    <xf numFmtId="37" fontId="62" fillId="0" borderId="0">
      <alignment vertical="center"/>
    </xf>
    <xf numFmtId="217" fontId="8" fillId="0" borderId="0">
      <alignment vertical="center"/>
    </xf>
    <xf numFmtId="0" fontId="6" fillId="0" borderId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202" fontId="38" fillId="0" borderId="0">
      <alignment vertical="center"/>
    </xf>
    <xf numFmtId="14" fontId="43" fillId="0" borderId="0">
      <alignment horizontal="center" vertical="center" wrapText="1"/>
      <protection locked="0"/>
    </xf>
    <xf numFmtId="10" fontId="32" fillId="0" borderId="0" applyAlignment="0" applyBorder="0" applyFill="0" applyFont="0" applyProtection="0">
      <alignment vertical="center"/>
    </xf>
    <xf numFmtId="218" fontId="63" fillId="0" borderId="0">
      <alignment vertical="center"/>
    </xf>
    <xf numFmtId="0" fontId="28" fillId="0" borderId="0" applyAlignment="0" applyBorder="0" applyFill="0" applyFont="0" applyNumberFormat="0" applyProtection="0">
      <alignment horizontal="left" vertical="center"/>
    </xf>
    <xf numFmtId="14" fontId="64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9" fontId="38" fillId="0" borderId="0">
      <alignment vertical="center"/>
    </xf>
    <xf numFmtId="219" fontId="38" fillId="0" borderId="0">
      <alignment vertical="distributed"/>
    </xf>
    <xf numFmtId="0" fontId="28" fillId="0" borderId="0">
      <alignment vertical="center"/>
    </xf>
    <xf numFmtId="0" fontId="65" fillId="0" borderId="0">
      <alignment horizontal="center" vertical="center"/>
    </xf>
    <xf numFmtId="0" fontId="60" fillId="0" borderId="0">
      <alignment vertical="center"/>
    </xf>
    <xf numFmtId="40" fontId="66" fillId="0" borderId="0" applyBorder="0">
      <alignment horizontal="right" vertical="center"/>
    </xf>
    <xf numFmtId="49" fontId="67" fillId="0" borderId="0" applyBorder="0" applyFill="0" applyProtection="0">
      <alignment horizontal="centerContinuous" vertical="center"/>
    </xf>
    <xf numFmtId="0" fontId="68" fillId="0" borderId="0" applyBorder="0" applyFill="0" applyProtection="0">
      <alignment horizontal="centerContinuous" vertical="center"/>
    </xf>
    <xf numFmtId="0" fontId="30" fillId="7" borderId="0" applyBorder="0" applyFill="0" applyProtection="0">
      <alignment horizontal="center" vertical="center"/>
    </xf>
    <xf numFmtId="0" fontId="50" fillId="0" borderId="53">
      <alignment vertical="center"/>
      <protection locked="0"/>
    </xf>
    <xf numFmtId="0" fontId="69" fillId="0" borderId="50">
      <alignment horizontal="left" vertical="center"/>
    </xf>
    <xf numFmtId="220" fontId="32" fillId="0" borderId="0" applyAlignment="0" applyBorder="0" applyFill="0" applyFont="0" applyProtection="0">
      <alignment vertical="center"/>
    </xf>
    <xf numFmtId="221" fontId="32" fillId="0" borderId="0" applyAlignment="0" applyBorder="0" applyFill="0" applyFont="0" applyProtection="0">
      <alignment vertical="center"/>
    </xf>
    <xf numFmtId="0" fontId="70" fillId="0" borderId="0" applyAlignment="0" applyBorder="0" applyFill="0" applyNumberFormat="0" applyProtection="0">
      <alignment vertical="top"/>
      <protection locked="0"/>
    </xf>
    <xf numFmtId="49" fontId="51" fillId="0" borderId="1">
      <alignment horizontal="center" vertical="center"/>
    </xf>
    <xf numFmtId="222" fontId="6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71" fillId="0" borderId="0">
      <alignment vertical="center"/>
    </xf>
    <xf numFmtId="0" fontId="38" fillId="0" borderId="0">
      <alignment vertical="center"/>
    </xf>
    <xf numFmtId="37" fontId="29" fillId="0" borderId="54">
      <alignment horizontal="center" vertical="center"/>
    </xf>
    <xf numFmtId="37" fontId="29" fillId="0" borderId="49" applyAlignment="0">
      <alignment vertical="center"/>
    </xf>
    <xf numFmtId="0" fontId="7" fillId="0" borderId="0">
      <alignment vertical="center"/>
    </xf>
    <xf numFmtId="223" fontId="12" fillId="0" borderId="32" applyAlignment="0" applyBorder="0" applyFill="0" applyFont="0">
      <alignment horizontal="left" vertical="center"/>
    </xf>
    <xf numFmtId="0" fontId="50" fillId="0" borderId="0">
      <alignment vertical="center"/>
      <protection locked="0"/>
    </xf>
    <xf numFmtId="3" fontId="28" fillId="0" borderId="55">
      <alignment horizontal="center" vertical="center"/>
    </xf>
    <xf numFmtId="0" fontId="72" fillId="0" borderId="56">
      <alignment vertical="center"/>
    </xf>
    <xf numFmtId="0" fontId="50" fillId="0" borderId="0">
      <alignment vertical="center"/>
      <protection locked="0"/>
    </xf>
    <xf numFmtId="0" fontId="73" fillId="0" borderId="0" applyAlignment="0" applyBorder="0" applyFill="0" applyNumberForma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191" fontId="12" fillId="0" borderId="51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8" fillId="0" borderId="0" applyBorder="0" applyFill="0" applyFont="0" applyNumberFormat="0" applyProtection="0">
      <alignment horizontal="distributed" vertical="center"/>
    </xf>
    <xf numFmtId="10" fontId="74" fillId="0" borderId="0">
      <alignment vertical="center"/>
    </xf>
    <xf numFmtId="10" fontId="74" fillId="0" borderId="0">
      <alignment vertical="center"/>
    </xf>
    <xf numFmtId="224" fontId="50" fillId="0" borderId="0">
      <alignment vertical="center"/>
      <protection locked="0"/>
    </xf>
    <xf numFmtId="225" fontId="6" fillId="0" borderId="0" applyBorder="0" applyFill="0" applyFont="0" applyProtection="0">
      <alignment horizontal="center" vertical="center"/>
    </xf>
    <xf numFmtId="226" fontId="6" fillId="0" borderId="0" applyBorder="0" applyFill="0" applyFont="0" applyProtection="0">
      <alignment horizontal="center" vertical="center"/>
    </xf>
    <xf numFmtId="9" fontId="11" fillId="7" borderId="0" applyBorder="0" applyFill="0" applyProtection="0">
      <alignment horizontal="right" vertical="center"/>
    </xf>
    <xf numFmtId="10" fontId="11" fillId="0" borderId="0" applyBorder="0" applyFill="0" applyProtection="0">
      <alignment horizontal="right" vertical="center"/>
    </xf>
    <xf numFmtId="227" fontId="7" fillId="0" borderId="0" applyAlignment="0" applyBorder="0" applyFill="0" applyFont="0" applyProtection="0">
      <alignment vertical="center"/>
    </xf>
    <xf numFmtId="228" fontId="38" fillId="0" borderId="0" applyAlignment="0" applyBorder="0" applyFill="0" applyFont="0" applyProtection="0">
      <alignment vertical="center"/>
    </xf>
    <xf numFmtId="0" fontId="75" fillId="0" borderId="0" applyBorder="0" applyFill="0" applyFont="0" applyProtection="0">
      <alignment horizontal="center" vertical="center"/>
    </xf>
    <xf numFmtId="0" fontId="75" fillId="0" borderId="0" applyBorder="0" applyFill="0" applyFont="0" applyProtection="0">
      <alignment horizontal="center" vertical="center"/>
    </xf>
    <xf numFmtId="229" fontId="76" fillId="0" borderId="57" applyAlignment="0" applyFill="0" applyFont="0" applyProtection="0">
      <alignment horizontal="center" vertical="center"/>
    </xf>
    <xf numFmtId="0" fontId="77" fillId="0" borderId="0">
      <alignment vertical="center"/>
    </xf>
    <xf numFmtId="191" fontId="78" fillId="0" borderId="32">
      <alignment vertical="center"/>
    </xf>
    <xf numFmtId="0" fontId="38" fillId="0" borderId="0" applyBorder="0" applyFill="0" applyFont="0" applyNumberFormat="0" applyProtection="0">
      <alignment horizontal="centerContinuous" vertical="center"/>
    </xf>
    <xf numFmtId="182" fontId="0" fillId="0" borderId="58">
      <alignment vertical="center"/>
    </xf>
    <xf numFmtId="230" fontId="74" fillId="0" borderId="0">
      <alignment vertical="center"/>
    </xf>
    <xf numFmtId="191" fontId="79" fillId="0" borderId="32">
      <alignment vertical="center"/>
    </xf>
    <xf numFmtId="231" fontId="80" fillId="0" borderId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1" fillId="0" borderId="59">
      <alignment vertical="center"/>
    </xf>
    <xf numFmtId="232" fontId="51" fillId="0" borderId="1" applyBorder="0">
      <alignment vertical="center"/>
    </xf>
    <xf numFmtId="0" fontId="82" fillId="0" borderId="0" applyAlignment="0" applyBorder="0" applyFill="0" applyFont="0" applyProtection="0">
      <alignment vertical="center"/>
    </xf>
    <xf numFmtId="0" fontId="83" fillId="0" borderId="0">
      <alignment vertical="center"/>
    </xf>
    <xf numFmtId="0" fontId="84" fillId="0" borderId="0">
      <alignment horizontal="center" vertical="center"/>
    </xf>
    <xf numFmtId="4" fontId="50" fillId="0" borderId="0">
      <alignment vertical="center"/>
      <protection locked="0"/>
    </xf>
    <xf numFmtId="0" fontId="71" fillId="0" borderId="0">
      <alignment vertical="center"/>
    </xf>
    <xf numFmtId="4" fontId="50" fillId="0" borderId="0">
      <alignment vertical="center"/>
      <protection locked="0"/>
    </xf>
    <xf numFmtId="233" fontId="6" fillId="0" borderId="0">
      <alignment vertical="center"/>
      <protection locked="0"/>
    </xf>
    <xf numFmtId="0" fontId="71" fillId="9" borderId="0">
      <alignment vertical="center"/>
    </xf>
    <xf numFmtId="0" fontId="6" fillId="0" borderId="0">
      <alignment vertical="center"/>
    </xf>
    <xf numFmtId="0" fontId="85" fillId="0" borderId="0">
      <alignment horizontal="centerContinuous" vertical="center"/>
    </xf>
    <xf numFmtId="0" fontId="6" fillId="0" borderId="1">
      <alignment horizontal="distributed" vertical="center"/>
    </xf>
    <xf numFmtId="0" fontId="6" fillId="0" borderId="10">
      <alignment horizontal="distributed" vertical="top"/>
    </xf>
    <xf numFmtId="0" fontId="6" fillId="0" borderId="60">
      <alignment horizontal="distributed" vertical="center"/>
    </xf>
    <xf numFmtId="0" fontId="6" fillId="0" borderId="0">
      <alignment vertical="center"/>
    </xf>
    <xf numFmtId="0" fontId="86" fillId="0" borderId="0">
      <alignment vertical="center"/>
    </xf>
    <xf numFmtId="0" fontId="87" fillId="3" borderId="0" applyAlignment="0" applyBorder="0" applyNumberFormat="0" applyProtection="0">
      <alignment vertical="center"/>
    </xf>
    <xf numFmtId="0" fontId="6" fillId="0" borderId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234" fontId="6" fillId="0" borderId="0" applyBorder="0" applyFill="0" applyFont="0" applyProtection="0">
      <alignment vertical="center"/>
    </xf>
    <xf numFmtId="38" fontId="38" fillId="0" borderId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0" fontId="32" fillId="0" borderId="1">
      <alignment vertical="center"/>
    </xf>
    <xf numFmtId="236" fontId="7" fillId="7" borderId="0" applyBorder="0" applyFill="0" applyProtection="0">
      <alignment horizontal="right" vertical="center"/>
    </xf>
    <xf numFmtId="38" fontId="38" fillId="0" borderId="0" applyAlignment="0" applyBorder="0" applyFill="0" applyFont="0" applyProtection="0">
      <alignment vertical="center"/>
    </xf>
    <xf numFmtId="182" fontId="38" fillId="0" borderId="0" applyAlignment="0" applyBorder="0" applyFill="0" applyFont="0" applyProtection="0">
      <alignment vertical="center"/>
    </xf>
    <xf numFmtId="38" fontId="38" fillId="0" borderId="0" applyAlignment="0" applyBorder="0" applyFill="0" applyProtection="0">
      <alignment vertical="center"/>
    </xf>
    <xf numFmtId="230" fontId="75" fillId="0" borderId="0" applyAlignment="0" applyBorder="0" applyFill="0" applyFont="0" applyProtection="0">
      <alignment vertical="center"/>
    </xf>
    <xf numFmtId="237" fontId="28" fillId="0" borderId="0" applyAlignment="0" applyBorder="0" applyFill="0" applyFont="0" applyProtection="0">
      <alignment vertical="center"/>
    </xf>
    <xf numFmtId="238" fontId="28" fillId="0" borderId="0" applyAlignment="0" applyBorder="0" applyFill="0" applyFont="0" applyProtection="0">
      <alignment vertical="center"/>
    </xf>
    <xf numFmtId="239" fontId="75" fillId="0" borderId="1">
      <alignment vertical="center"/>
    </xf>
    <xf numFmtId="240" fontId="28" fillId="0" borderId="0" applyAlignment="0" applyBorder="0" applyFill="0" applyFont="0" applyProtection="0">
      <alignment vertical="center"/>
    </xf>
    <xf numFmtId="241" fontId="28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42" fontId="6" fillId="0" borderId="0">
      <alignment vertical="center"/>
      <protection locked="0"/>
    </xf>
    <xf numFmtId="224" fontId="50" fillId="0" borderId="0">
      <alignment vertical="center"/>
      <protection locked="0"/>
    </xf>
    <xf numFmtId="0" fontId="79" fillId="0" borderId="58">
      <alignment horizontal="center" vertical="center"/>
    </xf>
    <xf numFmtId="0" fontId="79" fillId="0" borderId="58">
      <alignment horizontal="left" vertical="center"/>
    </xf>
    <xf numFmtId="0" fontId="79" fillId="0" borderId="58">
      <alignment vertical="center" textRotation="255"/>
    </xf>
    <xf numFmtId="0" fontId="29" fillId="0" borderId="60">
      <alignment horizontal="distributed" vertical="center"/>
    </xf>
    <xf numFmtId="0" fontId="29" fillId="0" borderId="61">
      <alignment horizontal="distributed" vertical="center"/>
    </xf>
    <xf numFmtId="0" fontId="29" fillId="0" borderId="62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0" fillId="0" borderId="0" applyFill="0" applyProtection="0">
      <alignment vertical="center"/>
    </xf>
    <xf numFmtId="0" fontId="7" fillId="0" borderId="0">
      <alignment vertical="center"/>
    </xf>
    <xf numFmtId="1" fontId="29" fillId="0" borderId="59">
      <alignment horizontal="centerContinuous" vertical="center"/>
    </xf>
    <xf numFmtId="0" fontId="7" fillId="0" borderId="1" applyFill="0" applyNumberFormat="0" applyProtection="0">
      <alignment vertical="center"/>
    </xf>
    <xf numFmtId="0" fontId="6" fillId="0" borderId="0">
      <alignment vertical="center"/>
    </xf>
    <xf numFmtId="0" fontId="50" fillId="0" borderId="53">
      <alignment vertical="center"/>
      <protection locked="0"/>
    </xf>
    <xf numFmtId="243" fontId="6" fillId="0" borderId="0">
      <alignment vertical="center"/>
      <protection locked="0"/>
    </xf>
    <xf numFmtId="244" fontId="6" fillId="0" borderId="0">
      <alignment vertical="center"/>
      <protection locked="0"/>
    </xf>
    <xf numFmtId="0" fontId="98" fillId="0" borderId="0" applyAlignment="0" applyBorder="0" applyFill="0" applyNumberFormat="0" applyProtection="0">
      <alignment vertical="center"/>
    </xf>
    <xf numFmtId="0" fontId="99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8" borderId="78" applyAlignment="0" applyFont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79" applyAlignment="0" applyFill="0" applyNumberFormat="0" applyProtection="0">
      <alignment vertical="center"/>
    </xf>
    <xf numFmtId="0" fontId="117" fillId="0" borderId="80" applyAlignment="0" applyFill="0" applyNumberFormat="0" applyProtection="0">
      <alignment vertical="center"/>
    </xf>
    <xf numFmtId="0" fontId="118" fillId="0" borderId="81" applyAlignment="0" applyFill="0" applyNumberFormat="0" applyProtection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12" borderId="82" applyAlignment="0" applyNumberFormat="0" applyProtection="0">
      <alignment vertical="center"/>
    </xf>
    <xf numFmtId="0" fontId="120" fillId="13" borderId="83" applyAlignment="0" applyNumberFormat="0" applyProtection="0">
      <alignment vertical="center"/>
    </xf>
    <xf numFmtId="0" fontId="121" fillId="13" borderId="82" applyAlignment="0" applyNumberFormat="0" applyProtection="0">
      <alignment vertical="center"/>
    </xf>
    <xf numFmtId="0" fontId="122" fillId="14" borderId="84" applyAlignment="0" applyNumberFormat="0" applyProtection="0">
      <alignment vertical="center"/>
    </xf>
    <xf numFmtId="0" fontId="123" fillId="0" borderId="85" applyAlignment="0" applyFill="0" applyNumberFormat="0" applyProtection="0">
      <alignment vertical="center"/>
    </xf>
    <xf numFmtId="0" fontId="124" fillId="0" borderId="86" applyAlignment="0" applyFill="0" applyNumberFormat="0" applyProtection="0">
      <alignment vertical="center"/>
    </xf>
    <xf numFmtId="0" fontId="125" fillId="3" borderId="0" applyAlignment="0" applyBorder="0" applyNumberFormat="0" applyProtection="0">
      <alignment vertical="center"/>
    </xf>
    <xf numFmtId="0" fontId="126" fillId="15" borderId="0" applyAlignment="0" applyBorder="0" applyNumberFormat="0" applyProtection="0">
      <alignment vertical="center"/>
    </xf>
    <xf numFmtId="0" fontId="127" fillId="16" borderId="0" applyAlignment="0" applyBorder="0" applyNumberFormat="0" applyProtection="0">
      <alignment vertical="center"/>
    </xf>
    <xf numFmtId="0" fontId="128" fillId="17" borderId="0" applyAlignment="0" applyBorder="0" applyNumberFormat="0" applyProtection="0">
      <alignment vertical="center"/>
    </xf>
    <xf numFmtId="0" fontId="129" fillId="18" borderId="0" applyAlignment="0" applyBorder="0" applyNumberFormat="0" applyProtection="0">
      <alignment vertical="center"/>
    </xf>
    <xf numFmtId="0" fontId="129" fillId="19" borderId="0" applyAlignment="0" applyBorder="0" applyNumberFormat="0" applyProtection="0">
      <alignment vertical="center"/>
    </xf>
    <xf numFmtId="0" fontId="128" fillId="20" borderId="0" applyAlignment="0" applyBorder="0" applyNumberFormat="0" applyProtection="0">
      <alignment vertical="center"/>
    </xf>
    <xf numFmtId="0" fontId="128" fillId="21" borderId="0" applyAlignment="0" applyBorder="0" applyNumberFormat="0" applyProtection="0">
      <alignment vertical="center"/>
    </xf>
    <xf numFmtId="0" fontId="129" fillId="22" borderId="0" applyAlignment="0" applyBorder="0" applyNumberFormat="0" applyProtection="0">
      <alignment vertical="center"/>
    </xf>
    <xf numFmtId="0" fontId="129" fillId="23" borderId="0" applyAlignment="0" applyBorder="0" applyNumberFormat="0" applyProtection="0">
      <alignment vertical="center"/>
    </xf>
    <xf numFmtId="0" fontId="128" fillId="24" borderId="0" applyAlignment="0" applyBorder="0" applyNumberFormat="0" applyProtection="0">
      <alignment vertical="center"/>
    </xf>
    <xf numFmtId="0" fontId="128" fillId="25" borderId="0" applyAlignment="0" applyBorder="0" applyNumberFormat="0" applyProtection="0">
      <alignment vertical="center"/>
    </xf>
    <xf numFmtId="0" fontId="129" fillId="26" borderId="0" applyAlignment="0" applyBorder="0" applyNumberFormat="0" applyProtection="0">
      <alignment vertical="center"/>
    </xf>
    <xf numFmtId="0" fontId="129" fillId="27" borderId="0" applyAlignment="0" applyBorder="0" applyNumberFormat="0" applyProtection="0">
      <alignment vertical="center"/>
    </xf>
    <xf numFmtId="0" fontId="128" fillId="28" borderId="0" applyAlignment="0" applyBorder="0" applyNumberFormat="0" applyProtection="0">
      <alignment vertical="center"/>
    </xf>
    <xf numFmtId="0" fontId="128" fillId="29" borderId="0" applyAlignment="0" applyBorder="0" applyNumberFormat="0" applyProtection="0">
      <alignment vertical="center"/>
    </xf>
    <xf numFmtId="0" fontId="129" fillId="30" borderId="0" applyAlignment="0" applyBorder="0" applyNumberFormat="0" applyProtection="0">
      <alignment vertical="center"/>
    </xf>
    <xf numFmtId="0" fontId="129" fillId="31" borderId="0" applyAlignment="0" applyBorder="0" applyNumberFormat="0" applyProtection="0">
      <alignment vertical="center"/>
    </xf>
    <xf numFmtId="0" fontId="128" fillId="32" borderId="0" applyAlignment="0" applyBorder="0" applyNumberFormat="0" applyProtection="0">
      <alignment vertical="center"/>
    </xf>
    <xf numFmtId="0" fontId="128" fillId="33" borderId="0" applyAlignment="0" applyBorder="0" applyNumberFormat="0" applyProtection="0">
      <alignment vertical="center"/>
    </xf>
    <xf numFmtId="0" fontId="129" fillId="34" borderId="0" applyAlignment="0" applyBorder="0" applyNumberFormat="0" applyProtection="0">
      <alignment vertical="center"/>
    </xf>
    <xf numFmtId="0" fontId="129" fillId="35" borderId="0" applyAlignment="0" applyBorder="0" applyNumberFormat="0" applyProtection="0">
      <alignment vertical="center"/>
    </xf>
    <xf numFmtId="0" fontId="128" fillId="36" borderId="0" applyAlignment="0" applyBorder="0" applyNumberFormat="0" applyProtection="0">
      <alignment vertical="center"/>
    </xf>
    <xf numFmtId="0" fontId="128" fillId="37" borderId="0" applyAlignment="0" applyBorder="0" applyNumberFormat="0" applyProtection="0">
      <alignment vertical="center"/>
    </xf>
    <xf numFmtId="0" fontId="129" fillId="38" borderId="0" applyAlignment="0" applyBorder="0" applyNumberFormat="0" applyProtection="0">
      <alignment vertical="center"/>
    </xf>
    <xf numFmtId="0" fontId="129" fillId="39" borderId="0" applyAlignment="0" applyBorder="0" applyNumberFormat="0" applyProtection="0">
      <alignment vertical="center"/>
    </xf>
    <xf numFmtId="0" fontId="128" fillId="40" borderId="0" applyAlignment="0" applyBorder="0" applyNumberFormat="0" applyProtection="0">
      <alignment vertical="center"/>
    </xf>
    <xf numFmtId="0" fontId="130" fillId="0" borderId="0" applyAlignment="0" applyBorder="0" applyFill="0" applyNumberFormat="0" applyProtection="0">
      <alignment vertical="center"/>
    </xf>
  </cellStyleXfs>
  <cellXfs count="283">
    <xf numFmtId="0" fontId="0" fillId="0" borderId="0" xfId="0" applyFill="1" applyProtection="1">
      <alignment vertical="center"/>
    </xf>
    <xf numFmtId="0" fontId="1" fillId="0" borderId="0" xfId="0" applyFill="1" applyProtection="1">
      <alignment vertical="center"/>
    </xf>
    <xf numFmtId="0" fontId="2" fillId="0" borderId="0" xfId="0" applyFill="1" applyProtection="1">
      <alignment vertical="center"/>
    </xf>
    <xf numFmtId="0" fontId="1" fillId="0" borderId="0" xfId="0" applyFill="1" applyAlignment="1" applyProtection="1">
      <alignment vertical="center" wrapText="1"/>
    </xf>
    <xf numFmtId="0" fontId="3" fillId="0" borderId="0" xfId="0" applyFill="1" applyAlignment="1" applyProtection="1">
      <alignment horizontal="center" vertical="center"/>
    </xf>
    <xf numFmtId="0" fontId="4" fillId="0" borderId="0" xfId="0" applyFill="1" applyProtection="1">
      <alignment vertical="center"/>
    </xf>
    <xf numFmtId="3" fontId="4" fillId="0" borderId="0" xfId="0" applyNumberForma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ill="1" applyAlignment="1" applyProtection="1">
      <alignment vertical="center" wrapText="1"/>
    </xf>
    <xf numFmtId="0" fontId="5" fillId="0" borderId="0" xfId="0" applyFill="1" applyProtection="1">
      <alignment vertical="center"/>
    </xf>
    <xf numFmtId="0" fontId="7" fillId="0" borderId="0" xfId="0" applyFill="1" applyProtection="1">
      <alignment vertical="center"/>
    </xf>
    <xf numFmtId="0" fontId="5" fillId="0" borderId="0" xfId="0" applyFill="1" applyAlignment="1" applyProtection="1">
      <alignment vertical="center" wrapText="1"/>
    </xf>
    <xf numFmtId="0" fontId="9" fillId="0" borderId="0" xfId="0" applyFill="1" applyProtection="1">
      <alignment vertical="center"/>
    </xf>
    <xf numFmtId="0" fontId="10" fillId="0" borderId="0" xfId="0" applyFill="1" applyProtection="1">
      <alignment vertical="center"/>
    </xf>
    <xf numFmtId="0" fontId="12" fillId="0" borderId="0" xfId="3">
      <alignment vertical="center"/>
    </xf>
    <xf numFmtId="179" fontId="13" fillId="0" borderId="3" xfId="2" applyNumberFormat="1" applyBorder="1" applyAlignment="1">
      <alignment horizontal="center" vertical="center" shrinkToFit="1"/>
    </xf>
    <xf numFmtId="0" fontId="16" fillId="0" borderId="0" xfId="2">
      <alignment vertical="center"/>
    </xf>
    <xf numFmtId="0" fontId="14" fillId="0" borderId="18" xfId="4" applyFill="1" applyBorder="1" applyAlignment="1">
      <alignment horizontal="center" vertical="center"/>
    </xf>
    <xf numFmtId="0" fontId="14" fillId="0" borderId="19" xfId="4" applyFill="1" applyBorder="1" applyAlignment="1">
      <alignment horizontal="center" vertical="center" shrinkToFit="1"/>
    </xf>
    <xf numFmtId="0" fontId="19" fillId="0" borderId="0" xfId="2">
      <alignment vertical="center"/>
    </xf>
    <xf numFmtId="0" fontId="14" fillId="7" borderId="22" xfId="4" applyFill="1" applyBorder="1" applyAlignment="1">
      <alignment horizontal="center" vertical="center"/>
    </xf>
    <xf numFmtId="176" fontId="14" fillId="7" borderId="22" xfId="2" applyNumberFormat="1" applyFill="1" applyBorder="1" applyAlignment="1">
      <alignment horizontal="right" vertical="center" shrinkToFit="1"/>
    </xf>
    <xf numFmtId="0" fontId="14" fillId="5" borderId="23" xfId="4" applyFill="1" applyBorder="1" applyAlignment="1">
      <alignment horizontal="center" vertical="center" shrinkToFit="1"/>
    </xf>
    <xf numFmtId="0" fontId="20" fillId="0" borderId="24" xfId="2" applyBorder="1" applyAlignment="1">
      <alignment horizontal="center" vertical="center"/>
    </xf>
    <xf numFmtId="176" fontId="20" fillId="0" borderId="24" xfId="5" applyFill="1" applyBorder="1" applyAlignment="1">
      <alignment horizontal="right" vertical="center" shrinkToFit="1"/>
    </xf>
    <xf numFmtId="0" fontId="20" fillId="0" borderId="25" xfId="2" applyBorder="1" applyAlignment="1">
      <alignment horizontal="center" vertical="center" shrinkToFit="1"/>
    </xf>
    <xf numFmtId="49" fontId="14" fillId="0" borderId="26" xfId="2" quotePrefix="1" applyNumberFormat="1" applyBorder="1">
      <alignment vertical="center"/>
    </xf>
    <xf numFmtId="181" fontId="20" fillId="0" borderId="27" xfId="2" applyNumberFormat="1" applyBorder="1" applyAlignment="1">
      <alignment horizontal="center" vertical="center"/>
    </xf>
    <xf numFmtId="0" fontId="20" fillId="0" borderId="28" xfId="2" applyBorder="1" applyAlignment="1">
      <alignment horizontal="center" vertical="center"/>
    </xf>
    <xf numFmtId="176" fontId="20" fillId="0" borderId="29" xfId="5" applyBorder="1" applyAlignment="1">
      <alignment horizontal="right" vertical="center" shrinkToFit="1"/>
    </xf>
    <xf numFmtId="0" fontId="20" fillId="0" borderId="29" xfId="2" applyBorder="1" applyAlignment="1">
      <alignment horizontal="center" vertical="center"/>
    </xf>
    <xf numFmtId="49" fontId="15" fillId="0" borderId="26" xfId="2" quotePrefix="1" applyNumberFormat="1" applyBorder="1" applyAlignment="1">
      <alignment vertical="center" textRotation="255"/>
    </xf>
    <xf numFmtId="0" fontId="20" fillId="0" borderId="27" xfId="2" quotePrefix="1" applyBorder="1" applyAlignment="1">
      <alignment horizontal="center" vertical="center"/>
    </xf>
    <xf numFmtId="176" fontId="20" fillId="0" borderId="28" xfId="5" applyBorder="1" applyAlignment="1">
      <alignment horizontal="right" vertical="center" shrinkToFit="1"/>
    </xf>
    <xf numFmtId="0" fontId="14" fillId="7" borderId="1" xfId="2" applyFill="1" applyBorder="1">
      <alignment vertical="center"/>
    </xf>
    <xf numFmtId="0" fontId="14" fillId="7" borderId="1" xfId="2" applyFill="1" applyBorder="1" applyAlignment="1">
      <alignment horizontal="right" vertical="center"/>
    </xf>
    <xf numFmtId="0" fontId="14" fillId="7" borderId="1" xfId="2" applyFill="1" applyBorder="1" applyAlignment="1">
      <alignment horizontal="center" vertical="center"/>
    </xf>
    <xf numFmtId="176" fontId="21" fillId="7" borderId="1" xfId="5" applyFill="1" applyBorder="1" applyAlignment="1">
      <alignment horizontal="right" vertical="center" shrinkToFit="1"/>
    </xf>
    <xf numFmtId="0" fontId="22" fillId="7" borderId="31" xfId="2" applyFill="1" applyBorder="1" applyAlignment="1">
      <alignment horizontal="center" vertical="center" shrinkToFit="1"/>
    </xf>
    <xf numFmtId="38" fontId="21" fillId="7" borderId="1" xfId="5" applyNumberFormat="1" applyFill="1" applyBorder="1" applyAlignment="1">
      <alignment horizontal="right" vertical="center" shrinkToFit="1"/>
    </xf>
    <xf numFmtId="0" fontId="14" fillId="7" borderId="32" xfId="2" applyFill="1" applyBorder="1">
      <alignment vertical="center"/>
    </xf>
    <xf numFmtId="0" fontId="14" fillId="7" borderId="32" xfId="2" applyFill="1" applyBorder="1" applyAlignment="1">
      <alignment horizontal="right" vertical="center"/>
    </xf>
    <xf numFmtId="0" fontId="14" fillId="7" borderId="32" xfId="2" applyFill="1" applyBorder="1" applyAlignment="1">
      <alignment horizontal="center" vertical="center"/>
    </xf>
    <xf numFmtId="0" fontId="20" fillId="0" borderId="33" xfId="2" applyBorder="1" applyAlignment="1">
      <alignment horizontal="left" vertical="center" indent="1"/>
    </xf>
    <xf numFmtId="0" fontId="20" fillId="0" borderId="34" xfId="2" applyBorder="1">
      <alignment vertical="center"/>
    </xf>
    <xf numFmtId="0" fontId="20" fillId="0" borderId="34" xfId="2" applyBorder="1" applyAlignment="1">
      <alignment horizontal="right" vertical="center"/>
    </xf>
    <xf numFmtId="0" fontId="20" fillId="0" borderId="34" xfId="2" applyBorder="1" applyAlignment="1">
      <alignment horizontal="center" vertical="center"/>
    </xf>
    <xf numFmtId="38" fontId="20" fillId="0" borderId="34" xfId="5" applyNumberFormat="1" applyBorder="1" applyAlignment="1">
      <alignment horizontal="right" vertical="center" shrinkToFit="1"/>
    </xf>
    <xf numFmtId="0" fontId="20" fillId="0" borderId="35" xfId="2" applyBorder="1" applyAlignment="1">
      <alignment horizontal="center" vertical="center" shrinkToFit="1"/>
    </xf>
    <xf numFmtId="0" fontId="20" fillId="0" borderId="36" xfId="2" applyBorder="1" applyAlignment="1">
      <alignment horizontal="left" vertical="center" indent="1"/>
    </xf>
    <xf numFmtId="0" fontId="20" fillId="0" borderId="24" xfId="2" applyBorder="1">
      <alignment vertical="center"/>
    </xf>
    <xf numFmtId="182" fontId="20" fillId="0" borderId="24" xfId="2" applyNumberFormat="1" applyBorder="1" applyAlignment="1">
      <alignment horizontal="right" vertical="center"/>
    </xf>
    <xf numFmtId="38" fontId="20" fillId="0" borderId="32" xfId="5" applyNumberFormat="1" applyBorder="1" applyAlignment="1">
      <alignment horizontal="right" vertical="center" shrinkToFit="1"/>
    </xf>
    <xf numFmtId="0" fontId="20" fillId="0" borderId="37" xfId="2" applyBorder="1" applyAlignment="1">
      <alignment horizontal="center" vertical="center" shrinkToFit="1"/>
    </xf>
    <xf numFmtId="0" fontId="19" fillId="0" borderId="38" xfId="2" applyBorder="1">
      <alignment vertical="center"/>
    </xf>
    <xf numFmtId="0" fontId="20" fillId="0" borderId="39" xfId="2" applyBorder="1" applyAlignment="1">
      <alignment horizontal="left" vertical="center" indent="1"/>
    </xf>
    <xf numFmtId="0" fontId="20" fillId="0" borderId="28" xfId="2" applyBorder="1">
      <alignment vertical="center"/>
    </xf>
    <xf numFmtId="38" fontId="20" fillId="0" borderId="28" xfId="2" applyNumberFormat="1" applyBorder="1" applyAlignment="1">
      <alignment horizontal="right" vertical="center" shrinkToFit="1"/>
    </xf>
    <xf numFmtId="182" fontId="20" fillId="0" borderId="28" xfId="2" applyNumberFormat="1" applyBorder="1" applyAlignment="1">
      <alignment horizontal="right" vertical="center"/>
    </xf>
    <xf numFmtId="183" fontId="20" fillId="0" borderId="27" xfId="2" applyNumberFormat="1" applyBorder="1" applyAlignment="1">
      <alignment horizontal="center" vertical="center"/>
    </xf>
    <xf numFmtId="183" fontId="20" fillId="0" borderId="28" xfId="2" applyNumberFormat="1" applyBorder="1" applyAlignment="1">
      <alignment horizontal="center" vertical="center"/>
    </xf>
    <xf numFmtId="0" fontId="20" fillId="0" borderId="40" xfId="2" applyBorder="1" applyAlignment="1">
      <alignment horizontal="left" vertical="center" indent="1"/>
    </xf>
    <xf numFmtId="0" fontId="20" fillId="0" borderId="0" xfId="2" applyAlignment="1">
      <alignment horizontal="center" vertical="center"/>
    </xf>
    <xf numFmtId="0" fontId="20" fillId="0" borderId="41" xfId="2" applyBorder="1">
      <alignment vertical="center"/>
    </xf>
    <xf numFmtId="182" fontId="20" fillId="0" borderId="29" xfId="2" applyNumberFormat="1" applyBorder="1" applyAlignment="1">
      <alignment horizontal="right" vertical="center"/>
    </xf>
    <xf numFmtId="183" fontId="20" fillId="0" borderId="29" xfId="2" applyNumberFormat="1" applyBorder="1" applyAlignment="1">
      <alignment horizontal="center" vertical="center"/>
    </xf>
    <xf numFmtId="38" fontId="20" fillId="0" borderId="29" xfId="2" applyNumberFormat="1" applyBorder="1" applyAlignment="1">
      <alignment horizontal="right" vertical="center" shrinkToFit="1"/>
    </xf>
    <xf numFmtId="0" fontId="20" fillId="7" borderId="1" xfId="2" applyFill="1" applyBorder="1" applyAlignment="1">
      <alignment horizontal="right" vertical="center"/>
    </xf>
    <xf numFmtId="176" fontId="21" fillId="7" borderId="1" xfId="2" applyNumberFormat="1" applyFill="1" applyBorder="1" applyAlignment="1">
      <alignment horizontal="right" vertical="center" shrinkToFit="1"/>
    </xf>
    <xf numFmtId="0" fontId="20" fillId="7" borderId="31" xfId="2" applyFill="1" applyBorder="1" applyAlignment="1">
      <alignment horizontal="center" vertical="center" shrinkToFit="1"/>
    </xf>
    <xf numFmtId="176" fontId="14" fillId="0" borderId="1" xfId="2" applyNumberFormat="1" applyBorder="1" applyAlignment="1">
      <alignment vertical="center" shrinkToFit="1"/>
    </xf>
    <xf numFmtId="0" fontId="24" fillId="0" borderId="31" xfId="2" applyBorder="1" applyAlignment="1">
      <alignment horizontal="center" vertical="center" wrapText="1" shrinkToFit="1"/>
    </xf>
    <xf numFmtId="0" fontId="20" fillId="0" borderId="31" xfId="2" applyBorder="1" applyAlignment="1">
      <alignment horizontal="center" vertical="center" shrinkToFit="1"/>
    </xf>
    <xf numFmtId="176" fontId="14" fillId="5" borderId="1" xfId="2" applyNumberFormat="1" applyFill="1" applyBorder="1" applyAlignment="1">
      <alignment vertical="center" shrinkToFit="1"/>
    </xf>
    <xf numFmtId="0" fontId="20" fillId="5" borderId="31" xfId="2" applyFill="1" applyBorder="1" applyAlignment="1">
      <alignment horizontal="center" vertical="center" shrinkToFit="1"/>
    </xf>
    <xf numFmtId="176" fontId="14" fillId="0" borderId="1" xfId="2" applyNumberFormat="1" applyBorder="1" applyAlignment="1">
      <alignment horizontal="right" vertical="center" shrinkToFit="1"/>
    </xf>
    <xf numFmtId="0" fontId="15" fillId="5" borderId="43" xfId="2" applyFill="1" applyBorder="1" applyAlignment="1">
      <alignment horizontal="center" vertical="center" shrinkToFit="1"/>
    </xf>
    <xf numFmtId="0" fontId="25" fillId="7" borderId="46" xfId="2" applyFill="1" applyBorder="1" applyAlignment="1">
      <alignment vertical="center" shrinkToFit="1"/>
    </xf>
    <xf numFmtId="0" fontId="27" fillId="0" borderId="0" xfId="2">
      <alignment vertical="center"/>
    </xf>
    <xf numFmtId="0" fontId="25" fillId="7" borderId="48" xfId="2" applyFill="1" applyBorder="1" applyAlignment="1">
      <alignment vertical="center" shrinkToFit="1"/>
    </xf>
    <xf numFmtId="0" fontId="25" fillId="7" borderId="16" xfId="2" applyFill="1" applyBorder="1" applyAlignment="1">
      <alignment vertical="center" shrinkToFit="1"/>
    </xf>
    <xf numFmtId="0" fontId="7" fillId="0" borderId="0" xfId="2" applyAlignment="1"/>
    <xf numFmtId="0" fontId="7" fillId="0" borderId="0" xfId="2" applyAlignment="1">
      <alignment horizontal="center"/>
    </xf>
    <xf numFmtId="0" fontId="7" fillId="0" borderId="0" xfId="2" applyAlignment="1">
      <alignment shrinkToFit="1"/>
    </xf>
    <xf numFmtId="176" fontId="14" fillId="5" borderId="3" xfId="2" applyNumberFormat="1" applyFill="1" applyBorder="1" applyAlignment="1">
      <alignment vertical="center" shrinkToFit="1"/>
    </xf>
    <xf numFmtId="0" fontId="79" fillId="0" borderId="0" xfId="2" applyAlignment="1">
      <alignment horizontal="center" vertical="center"/>
    </xf>
    <xf numFmtId="0" fontId="7" fillId="0" borderId="0" xfId="2" applyAlignment="1">
      <alignment horizontal="right"/>
    </xf>
    <xf numFmtId="0" fontId="79" fillId="0" borderId="0" xfId="2" applyAlignment="1">
      <alignment horizontal="justify" vertical="center"/>
    </xf>
    <xf numFmtId="0" fontId="90" fillId="0" borderId="0" xfId="2" applyAlignment="1">
      <alignment vertical="center" wrapText="1"/>
    </xf>
    <xf numFmtId="0" fontId="2" fillId="0" borderId="0" xfId="2" applyAlignment="1">
      <alignment vertical="center" wrapText="1"/>
    </xf>
    <xf numFmtId="0" fontId="2" fillId="0" borderId="0" xfId="2" applyAlignment="1">
      <alignment horizontal="center" vertical="center" wrapText="1"/>
    </xf>
    <xf numFmtId="0" fontId="7" fillId="0" borderId="48" xfId="2" applyBorder="1" applyAlignment="1"/>
    <xf numFmtId="0" fontId="79" fillId="0" borderId="47" xfId="2" applyBorder="1" applyAlignment="1">
      <alignment vertical="center" wrapText="1"/>
    </xf>
    <xf numFmtId="0" fontId="79" fillId="0" borderId="0" xfId="2" applyAlignment="1">
      <alignment vertical="center" wrapText="1"/>
    </xf>
    <xf numFmtId="0" fontId="2" fillId="0" borderId="47" xfId="2" applyBorder="1" applyAlignment="1">
      <alignment vertical="center" wrapText="1"/>
    </xf>
    <xf numFmtId="0" fontId="2" fillId="0" borderId="0" xfId="2" applyAlignment="1">
      <alignment horizontal="center" vertical="center"/>
    </xf>
    <xf numFmtId="0" fontId="2" fillId="0" borderId="0" xfId="2" applyAlignment="1">
      <alignment horizontal="left" vertical="center" wrapText="1"/>
    </xf>
    <xf numFmtId="0" fontId="94" fillId="0" borderId="0" xfId="2" applyAlignment="1">
      <alignment horizontal="justify" vertical="center"/>
    </xf>
    <xf numFmtId="0" fontId="2" fillId="0" borderId="0" xfId="2">
      <alignment vertical="center"/>
    </xf>
    <xf numFmtId="0" fontId="94" fillId="0" borderId="0" xfId="2" applyAlignment="1">
      <alignment horizontal="left" vertical="center" wrapText="1"/>
    </xf>
    <xf numFmtId="0" fontId="7" fillId="0" borderId="0" xfId="2" applyAlignment="1">
      <alignment horizontal="left" wrapText="1"/>
    </xf>
    <xf numFmtId="0" fontId="2" fillId="0" borderId="0" xfId="2" applyAlignment="1">
      <alignment horizontal="left" vertical="center"/>
    </xf>
    <xf numFmtId="0" fontId="7" fillId="0" borderId="0" xfId="2" applyAlignment="1">
      <alignment wrapText="1"/>
    </xf>
    <xf numFmtId="0" fontId="14" fillId="0" borderId="45" xfId="2" applyBorder="1" applyAlignment="1">
      <alignment horizontal="center" vertical="center"/>
    </xf>
    <xf numFmtId="176" fontId="15" fillId="0" borderId="45" xfId="2" applyNumberFormat="1" applyBorder="1" applyAlignment="1">
      <alignment vertical="center" shrinkToFit="1"/>
    </xf>
    <xf numFmtId="0" fontId="15" fillId="0" borderId="46" xfId="2" applyBorder="1" applyAlignment="1">
      <alignment horizontal="center" vertical="center" shrinkToFit="1"/>
    </xf>
    <xf numFmtId="0" fontId="2" fillId="0" borderId="0" xfId="0" applyAlignment="1">
      <alignment horizontal="left" vertical="center" wrapText="1"/>
    </xf>
    <xf numFmtId="0" fontId="51" fillId="0" borderId="0" xfId="1" applyAlignment="1">
      <alignment vertical="center" shrinkToFit="1"/>
    </xf>
    <xf numFmtId="0" fontId="10" fillId="0" borderId="0" xfId="2">
      <alignment vertical="center"/>
    </xf>
    <xf numFmtId="0" fontId="6" fillId="0" borderId="0" xfId="0" applyFill="1" applyProtection="1">
      <alignment vertical="center"/>
    </xf>
    <xf numFmtId="0" fontId="102" fillId="0" borderId="0" xfId="0" applyFill="1" applyProtection="1">
      <alignment vertical="center"/>
    </xf>
    <xf numFmtId="0" fontId="6" fillId="2" borderId="0" xfId="0" applyFill="1" applyProtection="1">
      <alignment vertical="center"/>
    </xf>
    <xf numFmtId="0" fontId="102" fillId="2" borderId="0" xfId="0" applyFill="1" applyProtection="1">
      <alignment vertical="center"/>
    </xf>
    <xf numFmtId="0" fontId="104" fillId="0" borderId="0" xfId="0" applyFill="1" applyAlignment="1" applyProtection="1">
      <alignment horizontal="left" vertical="center"/>
    </xf>
    <xf numFmtId="0" fontId="104" fillId="0" borderId="0" xfId="0" applyFill="1" applyProtection="1">
      <alignment vertical="center"/>
    </xf>
    <xf numFmtId="0" fontId="6" fillId="0" borderId="0" xfId="0" applyFill="1" applyAlignment="1" applyProtection="1">
      <alignment horizontal="center" vertical="center"/>
    </xf>
    <xf numFmtId="0" fontId="106" fillId="0" borderId="0" xfId="0" applyFill="1" applyProtection="1">
      <alignment vertical="center"/>
    </xf>
    <xf numFmtId="0" fontId="103" fillId="0" borderId="0" xfId="0" applyFill="1" applyProtection="1">
      <alignment vertical="center"/>
    </xf>
    <xf numFmtId="0" fontId="51" fillId="0" borderId="0" xfId="0" applyFill="1" applyProtection="1">
      <alignment vertical="center"/>
    </xf>
    <xf numFmtId="3" fontId="51" fillId="0" borderId="0" xfId="0" applyNumberFormat="1" applyFill="1" applyProtection="1">
      <alignment vertical="center"/>
    </xf>
    <xf numFmtId="0" fontId="93" fillId="0" borderId="0" xfId="2" applyAlignment="1">
      <alignment horizontal="left" vertical="center"/>
    </xf>
    <xf numFmtId="0" fontId="109" fillId="0" borderId="52" xfId="2" applyBorder="1" applyAlignment="1">
      <alignment horizontal="center" vertical="center" shrinkToFit="1"/>
    </xf>
    <xf numFmtId="0" fontId="93" fillId="0" borderId="0" xfId="0" applyAlignment="1">
      <alignment horizontal="left" vertical="center"/>
    </xf>
    <xf numFmtId="0" fontId="93" fillId="0" borderId="0" xfId="0" applyAlignment="1">
      <alignment horizontal="left" vertical="center" wrapText="1"/>
    </xf>
    <xf numFmtId="0" fontId="2" fillId="0" borderId="0" xfId="2" applyAlignment="1">
      <alignment horizontal="left" vertical="center" shrinkToFit="1"/>
    </xf>
    <xf numFmtId="0" fontId="2" fillId="0" borderId="12" xfId="2" applyBorder="1" applyAlignment="1">
      <alignment horizontal="center" vertical="center" wrapText="1"/>
    </xf>
    <xf numFmtId="0" fontId="2" fillId="0" borderId="13" xfId="2" applyBorder="1" applyAlignment="1">
      <alignment horizontal="center" vertical="center" wrapText="1"/>
    </xf>
    <xf numFmtId="0" fontId="2" fillId="0" borderId="13" xfId="2" applyBorder="1" applyAlignment="1">
      <alignment horizontal="left" vertical="center" shrinkToFit="1"/>
    </xf>
    <xf numFmtId="0" fontId="2" fillId="0" borderId="13" xfId="2" applyBorder="1" applyAlignment="1">
      <alignment horizontal="left" vertical="center" wrapText="1"/>
    </xf>
    <xf numFmtId="0" fontId="2" fillId="0" borderId="14" xfId="2" applyBorder="1" applyAlignment="1">
      <alignment horizontal="left" vertical="center" wrapText="1"/>
    </xf>
    <xf numFmtId="0" fontId="95" fillId="0" borderId="0" xfId="2" applyAlignment="1">
      <alignment horizontal="left" vertical="center"/>
    </xf>
    <xf numFmtId="0" fontId="96" fillId="0" borderId="0" xfId="2" applyAlignment="1">
      <alignment horizontal="center" vertical="center"/>
    </xf>
    <xf numFmtId="0" fontId="111" fillId="0" borderId="0" xfId="2" applyAlignment="1">
      <alignment horizontal="center" vertical="center" shrinkToFit="1"/>
    </xf>
    <xf numFmtId="0" fontId="10" fillId="0" borderId="0" xfId="2" applyAlignment="1">
      <alignment horizontal="center" vertical="center" shrinkToFit="1"/>
    </xf>
    <xf numFmtId="0" fontId="2" fillId="0" borderId="3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2" fillId="0" borderId="31" xfId="2" applyBorder="1" applyAlignment="1">
      <alignment horizontal="center" vertical="center" wrapText="1"/>
    </xf>
    <xf numFmtId="0" fontId="10" fillId="0" borderId="1" xfId="2" applyBorder="1" applyAlignment="1">
      <alignment horizontal="left" vertical="center" shrinkToFit="1"/>
    </xf>
    <xf numFmtId="0" fontId="2" fillId="0" borderId="1" xfId="2" applyBorder="1" applyAlignment="1">
      <alignment horizontal="left" vertical="center" wrapText="1"/>
    </xf>
    <xf numFmtId="0" fontId="2" fillId="0" borderId="31" xfId="2" applyBorder="1" applyAlignment="1">
      <alignment horizontal="left" vertical="center" wrapText="1"/>
    </xf>
    <xf numFmtId="0" fontId="10" fillId="0" borderId="1" xfId="2" applyBorder="1" applyAlignment="1">
      <alignment horizontal="left" vertical="center" wrapText="1" shrinkToFit="1"/>
    </xf>
    <xf numFmtId="0" fontId="7" fillId="0" borderId="1" xfId="2" applyBorder="1" applyAlignment="1">
      <alignment horizontal="left" vertical="center" wrapText="1"/>
    </xf>
    <xf numFmtId="0" fontId="7" fillId="0" borderId="31" xfId="2" applyBorder="1" applyAlignment="1">
      <alignment horizontal="left" vertical="center" wrapText="1"/>
    </xf>
    <xf numFmtId="0" fontId="79" fillId="0" borderId="47" xfId="2" applyBorder="1" applyAlignment="1">
      <alignment horizontal="justify" vertical="center" wrapText="1"/>
    </xf>
    <xf numFmtId="0" fontId="79" fillId="0" borderId="0" xfId="2" applyAlignment="1">
      <alignment horizontal="justify" vertical="center" wrapText="1"/>
    </xf>
    <xf numFmtId="0" fontId="2" fillId="0" borderId="47" xfId="2" applyBorder="1" applyAlignment="1">
      <alignment horizontal="left" vertical="center" wrapText="1"/>
    </xf>
    <xf numFmtId="0" fontId="2" fillId="0" borderId="48" xfId="2" applyBorder="1" applyAlignment="1">
      <alignment horizontal="left" vertical="center" wrapText="1"/>
    </xf>
    <xf numFmtId="0" fontId="2" fillId="0" borderId="47" xfId="2" applyBorder="1" applyAlignment="1">
      <alignment horizontal="center" vertical="center" shrinkToFit="1"/>
    </xf>
    <xf numFmtId="0" fontId="2" fillId="0" borderId="0" xfId="2" applyAlignment="1">
      <alignment horizontal="center" vertical="center" shrinkToFit="1"/>
    </xf>
    <xf numFmtId="0" fontId="2" fillId="0" borderId="76" xfId="2" applyBorder="1" applyAlignment="1">
      <alignment horizontal="center" vertical="center" shrinkToFit="1"/>
    </xf>
    <xf numFmtId="0" fontId="2" fillId="0" borderId="56" xfId="2" applyBorder="1" applyAlignment="1">
      <alignment horizontal="center" vertical="center" shrinkToFit="1"/>
    </xf>
    <xf numFmtId="14" fontId="2" fillId="0" borderId="0" xfId="2" applyNumberFormat="1" applyAlignment="1">
      <alignment horizontal="left" vertical="center" wrapText="1"/>
    </xf>
    <xf numFmtId="14" fontId="2" fillId="0" borderId="48" xfId="2" applyNumberFormat="1" applyBorder="1" applyAlignment="1">
      <alignment horizontal="left" vertical="center" wrapText="1"/>
    </xf>
    <xf numFmtId="0" fontId="109" fillId="0" borderId="70" xfId="2" applyBorder="1" applyAlignment="1">
      <alignment horizontal="center" vertical="center" shrinkToFit="1"/>
    </xf>
    <xf numFmtId="0" fontId="109" fillId="0" borderId="71" xfId="2" applyBorder="1" applyAlignment="1">
      <alignment horizontal="center" vertical="center" shrinkToFit="1"/>
    </xf>
    <xf numFmtId="0" fontId="72" fillId="0" borderId="70" xfId="2" applyBorder="1" applyAlignment="1">
      <alignment horizontal="center" vertical="center" shrinkToFit="1"/>
    </xf>
    <xf numFmtId="0" fontId="72" fillId="0" borderId="52" xfId="2" applyBorder="1" applyAlignment="1">
      <alignment horizontal="center" vertical="center" shrinkToFit="1"/>
    </xf>
    <xf numFmtId="0" fontId="72" fillId="0" borderId="2" xfId="2" applyBorder="1" applyAlignment="1">
      <alignment horizontal="center" vertical="center" shrinkToFit="1"/>
    </xf>
    <xf numFmtId="0" fontId="7" fillId="0" borderId="70" xfId="2" applyBorder="1" applyAlignment="1">
      <alignment horizontal="left" vertical="center" wrapText="1"/>
    </xf>
    <xf numFmtId="0" fontId="7" fillId="0" borderId="52" xfId="2" applyBorder="1" applyAlignment="1">
      <alignment horizontal="left" vertical="center" wrapText="1"/>
    </xf>
    <xf numFmtId="0" fontId="7" fillId="0" borderId="71" xfId="2" applyBorder="1" applyAlignment="1">
      <alignment horizontal="left" vertical="center" wrapText="1"/>
    </xf>
    <xf numFmtId="0" fontId="72" fillId="0" borderId="72" xfId="2" applyBorder="1" applyAlignment="1">
      <alignment horizontal="center" vertical="center" shrinkToFit="1"/>
    </xf>
    <xf numFmtId="0" fontId="72" fillId="0" borderId="69" xfId="2" applyBorder="1" applyAlignment="1">
      <alignment horizontal="center" vertical="center" shrinkToFit="1"/>
    </xf>
    <xf numFmtId="0" fontId="72" fillId="0" borderId="73" xfId="2" applyBorder="1" applyAlignment="1">
      <alignment horizontal="center" vertical="center" shrinkToFit="1"/>
    </xf>
    <xf numFmtId="0" fontId="72" fillId="0" borderId="75" xfId="2" applyBorder="1" applyAlignment="1">
      <alignment horizontal="center" vertical="center" shrinkToFit="1"/>
    </xf>
    <xf numFmtId="0" fontId="72" fillId="0" borderId="56" xfId="2" applyBorder="1" applyAlignment="1">
      <alignment horizontal="center" vertical="center" shrinkToFit="1"/>
    </xf>
    <xf numFmtId="0" fontId="72" fillId="0" borderId="57" xfId="2" applyBorder="1" applyAlignment="1">
      <alignment horizontal="center" vertical="center" shrinkToFit="1"/>
    </xf>
    <xf numFmtId="0" fontId="7" fillId="0" borderId="75" xfId="2" applyBorder="1" applyAlignment="1">
      <alignment horizontal="left" vertical="center" wrapText="1"/>
    </xf>
    <xf numFmtId="0" fontId="7" fillId="0" borderId="56" xfId="2" applyBorder="1" applyAlignment="1">
      <alignment horizontal="left" vertical="center" wrapText="1"/>
    </xf>
    <xf numFmtId="0" fontId="7" fillId="0" borderId="67" xfId="2" applyBorder="1" applyAlignment="1">
      <alignment horizontal="left" vertical="center" wrapText="1"/>
    </xf>
    <xf numFmtId="0" fontId="7" fillId="0" borderId="72" xfId="2" applyBorder="1" applyAlignment="1">
      <alignment horizontal="left" vertical="center" wrapText="1"/>
    </xf>
    <xf numFmtId="0" fontId="7" fillId="0" borderId="69" xfId="2" applyBorder="1" applyAlignment="1">
      <alignment horizontal="left" vertical="center" wrapText="1"/>
    </xf>
    <xf numFmtId="0" fontId="7" fillId="0" borderId="74" xfId="2" applyBorder="1" applyAlignment="1">
      <alignment horizontal="left" vertical="center" wrapText="1"/>
    </xf>
    <xf numFmtId="0" fontId="88" fillId="11" borderId="66" xfId="2" applyFill="1" applyBorder="1" applyAlignment="1">
      <alignment horizontal="center" vertical="center" wrapText="1"/>
    </xf>
    <xf numFmtId="0" fontId="88" fillId="11" borderId="0" xfId="2" applyFill="1" applyAlignment="1">
      <alignment horizontal="center" vertical="center" wrapText="1"/>
    </xf>
    <xf numFmtId="0" fontId="89" fillId="0" borderId="0" xfId="2" applyAlignment="1">
      <alignment horizontal="center" vertical="center" wrapText="1"/>
    </xf>
    <xf numFmtId="0" fontId="100" fillId="0" borderId="0" xfId="2" applyAlignment="1">
      <alignment horizontal="center" vertical="center" wrapText="1"/>
    </xf>
    <xf numFmtId="0" fontId="79" fillId="11" borderId="66" xfId="2" applyFill="1" applyBorder="1" applyAlignment="1">
      <alignment horizontal="center" vertical="center" wrapText="1"/>
    </xf>
    <xf numFmtId="0" fontId="79" fillId="11" borderId="0" xfId="2" applyFill="1" applyAlignment="1">
      <alignment horizontal="center" vertical="center" wrapText="1"/>
    </xf>
    <xf numFmtId="14" fontId="100" fillId="0" borderId="0" xfId="2" applyNumberFormat="1" applyAlignment="1">
      <alignment horizontal="center" vertical="center"/>
    </xf>
    <xf numFmtId="0" fontId="91" fillId="0" borderId="0" xfId="2" applyAlignment="1">
      <alignment horizontal="left" vertical="center" wrapText="1"/>
    </xf>
    <xf numFmtId="0" fontId="92" fillId="0" borderId="44" xfId="2" applyBorder="1" applyAlignment="1">
      <alignment horizontal="center" vertical="center" wrapText="1"/>
    </xf>
    <xf numFmtId="0" fontId="92" fillId="0" borderId="45" xfId="2" applyBorder="1" applyAlignment="1">
      <alignment horizontal="center" vertical="center" wrapText="1"/>
    </xf>
    <xf numFmtId="0" fontId="92" fillId="0" borderId="46" xfId="2" applyBorder="1" applyAlignment="1">
      <alignment horizontal="center" vertical="center" wrapText="1"/>
    </xf>
    <xf numFmtId="0" fontId="109" fillId="0" borderId="70" xfId="2" applyBorder="1" applyAlignment="1">
      <alignment horizontal="left" vertical="center" shrinkToFit="1"/>
    </xf>
    <xf numFmtId="0" fontId="109" fillId="0" borderId="52" xfId="2" applyBorder="1" applyAlignment="1">
      <alignment horizontal="left" vertical="center" shrinkToFit="1"/>
    </xf>
    <xf numFmtId="0" fontId="109" fillId="0" borderId="71" xfId="2" applyBorder="1" applyAlignment="1">
      <alignment horizontal="left" vertical="center" shrinkToFit="1"/>
    </xf>
    <xf numFmtId="0" fontId="93" fillId="0" borderId="68" xfId="2" applyBorder="1" applyAlignment="1">
      <alignment horizontal="center" vertical="center" textRotation="255" wrapText="1"/>
    </xf>
    <xf numFmtId="0" fontId="93" fillId="0" borderId="73" xfId="2" applyBorder="1" applyAlignment="1">
      <alignment horizontal="center" vertical="center" textRotation="255" wrapText="1"/>
    </xf>
    <xf numFmtId="0" fontId="93" fillId="0" borderId="47" xfId="2" applyBorder="1" applyAlignment="1">
      <alignment horizontal="center" vertical="center" textRotation="255" wrapText="1"/>
    </xf>
    <xf numFmtId="0" fontId="93" fillId="0" borderId="77" xfId="2" applyBorder="1" applyAlignment="1">
      <alignment horizontal="center" vertical="center" textRotation="255" wrapText="1"/>
    </xf>
    <xf numFmtId="0" fontId="93" fillId="0" borderId="76" xfId="2" applyBorder="1" applyAlignment="1">
      <alignment horizontal="center" vertical="center" textRotation="255" wrapText="1"/>
    </xf>
    <xf numFmtId="0" fontId="93" fillId="0" borderId="57" xfId="2" applyBorder="1" applyAlignment="1">
      <alignment horizontal="center" vertical="center" textRotation="255" wrapText="1"/>
    </xf>
    <xf numFmtId="0" fontId="72" fillId="0" borderId="10" xfId="2" applyBorder="1" applyAlignment="1">
      <alignment horizontal="center" vertical="center" shrinkToFit="1"/>
    </xf>
    <xf numFmtId="0" fontId="93" fillId="0" borderId="65" xfId="2" applyBorder="1" applyAlignment="1">
      <alignment horizontal="center" vertical="center" textRotation="255" wrapText="1"/>
    </xf>
    <xf numFmtId="0" fontId="93" fillId="0" borderId="22" xfId="2" applyBorder="1" applyAlignment="1">
      <alignment horizontal="center" vertical="center" textRotation="255" wrapText="1"/>
    </xf>
    <xf numFmtId="0" fontId="93" fillId="0" borderId="30" xfId="2" applyBorder="1" applyAlignment="1">
      <alignment horizontal="center" vertical="center" textRotation="255" wrapText="1"/>
    </xf>
    <xf numFmtId="0" fontId="93" fillId="0" borderId="1" xfId="2" applyBorder="1" applyAlignment="1">
      <alignment horizontal="center" vertical="center" textRotation="255" wrapText="1"/>
    </xf>
    <xf numFmtId="0" fontId="72" fillId="0" borderId="22" xfId="2" applyBorder="1" applyAlignment="1">
      <alignment horizontal="center" vertical="center" wrapText="1"/>
    </xf>
    <xf numFmtId="0" fontId="109" fillId="0" borderId="22" xfId="2" applyBorder="1" applyAlignment="1">
      <alignment horizontal="left" vertical="center" wrapText="1"/>
    </xf>
    <xf numFmtId="0" fontId="109" fillId="0" borderId="23" xfId="2" applyBorder="1" applyAlignment="1">
      <alignment horizontal="left" vertical="center" wrapText="1"/>
    </xf>
    <xf numFmtId="0" fontId="72" fillId="0" borderId="1" xfId="2" applyBorder="1" applyAlignment="1">
      <alignment horizontal="center" vertical="center" shrinkToFit="1"/>
    </xf>
    <xf numFmtId="0" fontId="109" fillId="0" borderId="0" xfId="2" applyAlignment="1">
      <alignment horizontal="left" vertical="center" wrapText="1"/>
    </xf>
    <xf numFmtId="0" fontId="109" fillId="0" borderId="48" xfId="2" applyBorder="1" applyAlignment="1">
      <alignment horizontal="left" vertical="center" wrapText="1"/>
    </xf>
    <xf numFmtId="0" fontId="109" fillId="0" borderId="56" xfId="2" applyBorder="1" applyAlignment="1">
      <alignment horizontal="left" vertical="center" wrapText="1"/>
    </xf>
    <xf numFmtId="0" fontId="109" fillId="0" borderId="67" xfId="2" applyBorder="1" applyAlignment="1">
      <alignment horizontal="left" vertical="center" wrapText="1"/>
    </xf>
    <xf numFmtId="0" fontId="110" fillId="0" borderId="70" xfId="2" applyBorder="1" applyAlignment="1">
      <alignment horizontal="left" vertical="center" wrapText="1"/>
    </xf>
    <xf numFmtId="0" fontId="110" fillId="0" borderId="52" xfId="2" applyBorder="1" applyAlignment="1">
      <alignment horizontal="left" vertical="center" wrapText="1"/>
    </xf>
    <xf numFmtId="0" fontId="110" fillId="0" borderId="52" xfId="2" quotePrefix="1" applyBorder="1" applyAlignment="1">
      <alignment horizontal="left" vertical="center" wrapText="1"/>
    </xf>
    <xf numFmtId="0" fontId="110" fillId="0" borderId="71" xfId="2" applyBorder="1" applyAlignment="1">
      <alignment horizontal="left" vertical="center" wrapText="1"/>
    </xf>
    <xf numFmtId="180" fontId="110" fillId="0" borderId="1" xfId="2" applyNumberFormat="1" applyBorder="1" applyAlignment="1">
      <alignment horizontal="left" vertical="center" shrinkToFit="1"/>
    </xf>
    <xf numFmtId="180" fontId="110" fillId="0" borderId="31" xfId="2" applyNumberFormat="1" applyBorder="1" applyAlignment="1">
      <alignment horizontal="left" vertical="center" shrinkToFit="1"/>
    </xf>
    <xf numFmtId="0" fontId="109" fillId="0" borderId="1" xfId="2" applyBorder="1" applyAlignment="1">
      <alignment horizontal="left" vertical="center" wrapText="1"/>
    </xf>
    <xf numFmtId="0" fontId="109" fillId="0" borderId="31" xfId="2" applyBorder="1" applyAlignment="1">
      <alignment horizontal="left" vertical="center" wrapText="1"/>
    </xf>
    <xf numFmtId="0" fontId="1" fillId="0" borderId="0" xfId="0" applyFill="1" applyAlignment="1" applyProtection="1">
      <alignment horizontal="left" wrapText="1"/>
    </xf>
    <xf numFmtId="0" fontId="5" fillId="0" borderId="0" xfId="0" applyFill="1" applyAlignment="1" applyProtection="1">
      <alignment horizontal="left"/>
    </xf>
    <xf numFmtId="0" fontId="107" fillId="0" borderId="0" xfId="0" applyFill="1" applyAlignment="1" applyProtection="1">
      <alignment horizontal="center" vertical="center"/>
    </xf>
    <xf numFmtId="0" fontId="51" fillId="0" borderId="0" xfId="1" applyAlignment="1">
      <alignment horizontal="center" vertical="center" shrinkToFit="1"/>
    </xf>
    <xf numFmtId="0" fontId="6" fillId="0" borderId="0" xfId="0" applyFill="1" applyAlignment="1" applyProtection="1">
      <alignment horizontal="left" vertical="center"/>
    </xf>
    <xf numFmtId="0" fontId="108" fillId="0" borderId="0" xfId="0" quotePrefix="1" applyFill="1" applyAlignment="1" applyProtection="1">
      <alignment horizontal="center" vertical="center"/>
    </xf>
    <xf numFmtId="0" fontId="108" fillId="0" borderId="0" xfId="0" applyFill="1" applyAlignment="1" applyProtection="1">
      <alignment horizontal="center" vertical="center" wrapText="1"/>
    </xf>
    <xf numFmtId="0" fontId="104" fillId="0" borderId="0" xfId="0" applyFill="1" applyAlignment="1" applyProtection="1">
      <alignment horizontal="left" vertical="center" wrapText="1"/>
    </xf>
    <xf numFmtId="0" fontId="103" fillId="0" borderId="0" xfId="0" applyFill="1" applyAlignment="1" applyProtection="1">
      <alignment horizontal="center" vertical="center" shrinkToFit="1"/>
    </xf>
    <xf numFmtId="0" fontId="104" fillId="0" borderId="0" xfId="0" applyFill="1" applyAlignment="1" applyProtection="1">
      <alignment horizontal="left" vertical="center" shrinkToFit="1"/>
    </xf>
    <xf numFmtId="0" fontId="6" fillId="0" borderId="0" xfId="0" applyFill="1" applyAlignment="1" applyProtection="1">
      <alignment horizontal="left" vertical="center" shrinkToFit="1"/>
    </xf>
    <xf numFmtId="0" fontId="101" fillId="0" borderId="0" xfId="0" applyFill="1" applyAlignment="1" applyProtection="1">
      <alignment horizontal="center" vertical="center"/>
    </xf>
    <xf numFmtId="178" fontId="104" fillId="0" borderId="0" xfId="0" applyNumberFormat="1" applyFill="1" applyAlignment="1" applyProtection="1">
      <alignment horizontal="left" vertical="center"/>
    </xf>
    <xf numFmtId="0" fontId="6" fillId="0" borderId="0" xfId="0" applyFill="1" applyAlignment="1" applyProtection="1">
      <alignment horizontal="left" vertical="center" wrapText="1"/>
    </xf>
    <xf numFmtId="0" fontId="6" fillId="0" borderId="0" xfId="1" applyAlignment="1">
      <alignment horizontal="left" vertical="center" wrapText="1"/>
    </xf>
    <xf numFmtId="0" fontId="108" fillId="0" borderId="0" xfId="0" applyFill="1" applyAlignment="1" applyProtection="1">
      <alignment horizontal="left" vertical="center"/>
    </xf>
    <xf numFmtId="0" fontId="108" fillId="0" borderId="0" xfId="0" applyFill="1" applyAlignment="1" applyProtection="1">
      <alignment horizontal="left" vertical="center" shrinkToFit="1"/>
    </xf>
    <xf numFmtId="0" fontId="14" fillId="0" borderId="47" xfId="2" applyBorder="1" applyAlignment="1">
      <alignment horizontal="left" vertical="center" wrapText="1"/>
    </xf>
    <xf numFmtId="0" fontId="14" fillId="0" borderId="0" xfId="2" applyAlignment="1">
      <alignment horizontal="left" vertical="center" wrapText="1"/>
    </xf>
    <xf numFmtId="0" fontId="14" fillId="0" borderId="48" xfId="2" applyBorder="1" applyAlignment="1">
      <alignment horizontal="left" vertical="center" wrapText="1"/>
    </xf>
    <xf numFmtId="0" fontId="14" fillId="0" borderId="15" xfId="2" applyBorder="1" applyAlignment="1">
      <alignment horizontal="left" vertical="center" wrapText="1"/>
    </xf>
    <xf numFmtId="0" fontId="14" fillId="0" borderId="3" xfId="2" applyBorder="1" applyAlignment="1">
      <alignment horizontal="left" vertical="center" wrapText="1"/>
    </xf>
    <xf numFmtId="0" fontId="14" fillId="0" borderId="16" xfId="2" applyBorder="1" applyAlignment="1">
      <alignment horizontal="left" vertical="center" wrapText="1"/>
    </xf>
    <xf numFmtId="0" fontId="25" fillId="7" borderId="44" xfId="2" applyFill="1" applyBorder="1" applyAlignment="1">
      <alignment horizontal="center" vertical="center"/>
    </xf>
    <xf numFmtId="0" fontId="25" fillId="7" borderId="45" xfId="2" applyFill="1" applyBorder="1" applyAlignment="1">
      <alignment horizontal="center" vertical="center"/>
    </xf>
    <xf numFmtId="0" fontId="25" fillId="7" borderId="47" xfId="2" applyFill="1" applyBorder="1" applyAlignment="1">
      <alignment horizontal="center" vertical="center"/>
    </xf>
    <xf numFmtId="0" fontId="25" fillId="7" borderId="0" xfId="2" applyFill="1" applyAlignment="1">
      <alignment horizontal="center" vertical="center"/>
    </xf>
    <xf numFmtId="0" fontId="25" fillId="7" borderId="15" xfId="2" applyFill="1" applyBorder="1" applyAlignment="1">
      <alignment horizontal="center" vertical="center"/>
    </xf>
    <xf numFmtId="0" fontId="25" fillId="7" borderId="3" xfId="2" applyFill="1" applyBorder="1" applyAlignment="1">
      <alignment horizontal="center" vertical="center"/>
    </xf>
    <xf numFmtId="0" fontId="26" fillId="0" borderId="45" xfId="2" applyBorder="1" applyAlignment="1">
      <alignment horizontal="center" vertical="center" wrapText="1"/>
    </xf>
    <xf numFmtId="0" fontId="14" fillId="0" borderId="0" xfId="2" applyAlignment="1">
      <alignment horizontal="center" vertical="center" wrapText="1"/>
    </xf>
    <xf numFmtId="0" fontId="14" fillId="0" borderId="3" xfId="2" applyBorder="1" applyAlignment="1">
      <alignment horizontal="center" vertical="center" shrinkToFit="1"/>
    </xf>
    <xf numFmtId="0" fontId="14" fillId="0" borderId="30" xfId="2" applyBorder="1" applyAlignment="1">
      <alignment horizontal="center" vertical="center"/>
    </xf>
    <xf numFmtId="0" fontId="14" fillId="0" borderId="1" xfId="2" applyBorder="1" applyAlignment="1">
      <alignment horizontal="center" vertical="center"/>
    </xf>
    <xf numFmtId="0" fontId="23" fillId="5" borderId="63" xfId="2" applyFill="1" applyBorder="1" applyAlignment="1">
      <alignment horizontal="left" vertical="center"/>
    </xf>
    <xf numFmtId="0" fontId="23" fillId="5" borderId="64" xfId="2" applyFill="1" applyBorder="1" applyAlignment="1">
      <alignment horizontal="left" vertical="center"/>
    </xf>
    <xf numFmtId="0" fontId="14" fillId="5" borderId="42" xfId="2" applyFill="1" applyBorder="1" applyAlignment="1">
      <alignment horizontal="center" vertical="center"/>
    </xf>
    <xf numFmtId="0" fontId="23" fillId="0" borderId="44" xfId="2" applyBorder="1" applyAlignment="1">
      <alignment horizontal="left" vertical="center"/>
    </xf>
    <xf numFmtId="0" fontId="23" fillId="0" borderId="45" xfId="2" applyBorder="1" applyAlignment="1">
      <alignment horizontal="left" vertical="center"/>
    </xf>
    <xf numFmtId="0" fontId="14" fillId="5" borderId="30" xfId="2" applyFill="1" applyBorder="1" applyAlignment="1">
      <alignment horizontal="center" vertical="center"/>
    </xf>
    <xf numFmtId="0" fontId="14" fillId="5" borderId="1" xfId="2" applyFill="1" applyBorder="1" applyAlignment="1">
      <alignment horizontal="center" vertical="center"/>
    </xf>
    <xf numFmtId="0" fontId="23" fillId="7" borderId="30" xfId="2" applyFill="1" applyBorder="1" applyAlignment="1">
      <alignment horizontal="left" vertical="center"/>
    </xf>
    <xf numFmtId="0" fontId="23" fillId="7" borderId="1" xfId="2" applyFill="1" applyBorder="1" applyAlignment="1">
      <alignment horizontal="left" vertical="center"/>
    </xf>
    <xf numFmtId="0" fontId="23" fillId="0" borderId="30" xfId="2" applyBorder="1" applyAlignment="1">
      <alignment horizontal="left" vertical="center"/>
    </xf>
    <xf numFmtId="0" fontId="23" fillId="0" borderId="1" xfId="2" applyBorder="1" applyAlignment="1">
      <alignment horizontal="left" vertical="center"/>
    </xf>
    <xf numFmtId="0" fontId="15" fillId="6" borderId="12" xfId="2" applyFill="1" applyBorder="1" applyAlignment="1">
      <alignment horizontal="center" vertical="center"/>
    </xf>
    <xf numFmtId="0" fontId="15" fillId="6" borderId="13" xfId="2" applyFill="1" applyBorder="1" applyAlignment="1">
      <alignment horizontal="center" vertical="center"/>
    </xf>
    <xf numFmtId="180" fontId="15" fillId="6" borderId="13" xfId="2" applyNumberFormat="1" applyFill="1" applyBorder="1" applyAlignment="1">
      <alignment horizontal="left" vertical="center" shrinkToFit="1"/>
    </xf>
    <xf numFmtId="180" fontId="15" fillId="6" borderId="14" xfId="2" applyNumberFormat="1" applyFill="1" applyBorder="1" applyAlignment="1">
      <alignment horizontal="left" vertical="center" shrinkToFit="1"/>
    </xf>
    <xf numFmtId="0" fontId="17" fillId="0" borderId="15" xfId="2" applyBorder="1" applyAlignment="1">
      <alignment horizontal="center" vertical="center"/>
    </xf>
    <xf numFmtId="0" fontId="17" fillId="0" borderId="3" xfId="2" applyBorder="1" applyAlignment="1">
      <alignment horizontal="center" vertical="center"/>
    </xf>
    <xf numFmtId="0" fontId="17" fillId="0" borderId="16" xfId="2" applyBorder="1" applyAlignment="1">
      <alignment horizontal="center" vertical="center"/>
    </xf>
    <xf numFmtId="0" fontId="14" fillId="0" borderId="17" xfId="4" applyFill="1" applyBorder="1" applyAlignment="1">
      <alignment horizontal="center" vertical="center"/>
    </xf>
    <xf numFmtId="0" fontId="23" fillId="7" borderId="20" xfId="4" applyFill="1" applyBorder="1" applyAlignment="1">
      <alignment horizontal="left" vertical="center"/>
    </xf>
    <xf numFmtId="0" fontId="23" fillId="7" borderId="21" xfId="4" applyFill="1" applyBorder="1" applyAlignment="1">
      <alignment horizontal="left" vertical="center"/>
    </xf>
    <xf numFmtId="0" fontId="13" fillId="5" borderId="0" xfId="2" quotePrefix="1" applyFill="1" applyAlignment="1">
      <alignment horizontal="center" vertical="center" shrinkToFit="1"/>
    </xf>
    <xf numFmtId="0" fontId="13" fillId="5" borderId="0" xfId="2" applyFill="1" applyAlignment="1">
      <alignment horizontal="center" vertical="center" shrinkToFit="1"/>
    </xf>
    <xf numFmtId="0" fontId="14" fillId="0" borderId="3" xfId="2" applyBorder="1" applyAlignment="1">
      <alignment horizontal="right" vertical="center" shrinkToFit="1"/>
    </xf>
    <xf numFmtId="0" fontId="15" fillId="5" borderId="4" xfId="2" applyFill="1" applyBorder="1" applyAlignment="1">
      <alignment horizontal="center" vertical="center"/>
    </xf>
    <xf numFmtId="0" fontId="15" fillId="5" borderId="5" xfId="2" applyFill="1" applyBorder="1" applyAlignment="1">
      <alignment horizontal="center" vertical="center"/>
    </xf>
    <xf numFmtId="0" fontId="15" fillId="6" borderId="9" xfId="2" applyFill="1" applyBorder="1" applyAlignment="1">
      <alignment horizontal="center" vertical="center"/>
    </xf>
    <xf numFmtId="0" fontId="15" fillId="6" borderId="10" xfId="2" applyFill="1" applyBorder="1" applyAlignment="1">
      <alignment horizontal="center" vertical="center"/>
    </xf>
    <xf numFmtId="180" fontId="15" fillId="6" borderId="10" xfId="2" applyNumberFormat="1" applyFill="1" applyBorder="1" applyAlignment="1">
      <alignment horizontal="left" vertical="center" shrinkToFit="1"/>
    </xf>
    <xf numFmtId="180" fontId="15" fillId="6" borderId="11" xfId="2" applyNumberFormat="1" applyFill="1" applyBorder="1" applyAlignment="1">
      <alignment horizontal="left" vertical="center" shrinkToFit="1"/>
    </xf>
    <xf numFmtId="176" fontId="15" fillId="5" borderId="6" xfId="2" applyNumberFormat="1" applyFill="1" applyBorder="1" applyAlignment="1">
      <alignment horizontal="center" vertical="center" shrinkToFit="1"/>
    </xf>
    <xf numFmtId="176" fontId="15" fillId="5" borderId="7" xfId="2" applyNumberFormat="1" applyFill="1" applyBorder="1" applyAlignment="1">
      <alignment horizontal="center" vertical="center" shrinkToFit="1"/>
    </xf>
    <xf numFmtId="176" fontId="15" fillId="5" borderId="8" xfId="2" applyNumberFormat="1" applyFill="1" applyBorder="1" applyAlignment="1">
      <alignment horizontal="center" vertical="center" shrinkToFit="1"/>
    </xf>
  </cellXfs>
  <cellStyles count="3162">
    <cellStyle name="20% - 강조색1" xfId="3138" builtinId="30"/>
    <cellStyle name="20% - 강조색2" xfId="3142" builtinId="34"/>
    <cellStyle name="20% - 강조색3" xfId="3146" builtinId="38"/>
    <cellStyle name="20% - 강조색4" xfId="3150" builtinId="42"/>
    <cellStyle name="20% - 강조색5" xfId="3154" builtinId="46"/>
    <cellStyle name="20% - 강조색6" xfId="3158" builtinId="50"/>
    <cellStyle name="40% - 강조색1" xfId="3139" builtinId="31"/>
    <cellStyle name="40% - 강조색2" xfId="3143" builtinId="35"/>
    <cellStyle name="40% - 강조색3" xfId="3147" builtinId="39"/>
    <cellStyle name="40% - 강조색4" xfId="3151" builtinId="43"/>
    <cellStyle name="40% - 강조색5" xfId="3155" builtinId="47"/>
    <cellStyle name="40% - 강조색6" xfId="3159" builtinId="51"/>
    <cellStyle name="60% - 강조색1" xfId="3140" builtinId="32"/>
    <cellStyle name="60% - 강조색2" xfId="3144" builtinId="36"/>
    <cellStyle name="60% - 강조색3" xfId="3148" builtinId="40"/>
    <cellStyle name="60% - 강조색4" xfId="3152" builtinId="44"/>
    <cellStyle name="60% - 강조색5" xfId="3156" builtinId="48"/>
    <cellStyle name="60% - 강조색6" xfId="3160" builtinId="52"/>
    <cellStyle name="강조색1" xfId="3137" builtinId="29"/>
    <cellStyle name="강조색2" xfId="3141" builtinId="33"/>
    <cellStyle name="강조색3" xfId="3145" builtinId="37"/>
    <cellStyle name="강조색4" xfId="3149" builtinId="41"/>
    <cellStyle name="강조색5" xfId="3153" builtinId="45"/>
    <cellStyle name="강조색6" xfId="3157" builtinId="49"/>
    <cellStyle name="경고문" xfId="3122" builtinId="11"/>
    <cellStyle name="계산" xfId="3130" builtinId="22"/>
    <cellStyle name="나쁨" xfId="3135" builtinId="27"/>
    <cellStyle name="메모" xfId="3121" builtinId="10"/>
    <cellStyle name="백분율" xfId="3118" builtinId="5"/>
    <cellStyle name="보통" xfId="3136" builtinId="28"/>
    <cellStyle name="설명텍스트" xfId="3161" builtinId="53"/>
    <cellStyle name="셀 확인" xfId="3131" builtinId="23"/>
    <cellStyle name="쉼표" xfId="3116" builtinId="3"/>
    <cellStyle name="쉼표[0]" xfId="3119" builtinId="6"/>
    <cellStyle name="연결된 셀" xfId="3132" builtinId="24"/>
    <cellStyle name="열어 본 하이퍼링크" xfId="3115" builtinId="9" hidden="1"/>
    <cellStyle name="요약" xfId="3133" builtinId="25"/>
    <cellStyle name="입력" xfId="3128" builtinId="20"/>
    <cellStyle name="제목" xfId="3123" builtinId="15"/>
    <cellStyle name="제목1" xfId="3124" builtinId="16"/>
    <cellStyle name="제목2" xfId="3125" builtinId="17"/>
    <cellStyle name="제목3" xfId="3126" builtinId="18"/>
    <cellStyle name="제목4" xfId="3127" builtinId="19"/>
    <cellStyle name="좋음" xfId="3134" builtinId="26"/>
    <cellStyle name="출력" xfId="3129" builtinId="21"/>
    <cellStyle name="통화" xfId="3117" builtinId="4"/>
    <cellStyle name="통화[0]" xfId="3120" builtinId="7"/>
    <cellStyle name="표준" xfId="0" builtinId="0"/>
    <cellStyle name="하이퍼링크" xfId="3114" builtinId="8" hidden="1"/>
    <cellStyle name=" " xfId="6"/>
    <cellStyle name=" _97연말" xfId="8"/>
    <cellStyle name=" _97연말1" xfId="9"/>
    <cellStyle name=" _Book1" xfId="10"/>
    <cellStyle name="&quot;" xfId="11"/>
    <cellStyle name="#,##0" xfId="12"/>
    <cellStyle name="' '" xfId="7"/>
    <cellStyle name="(##.00)" xfId="13"/>
    <cellStyle name="(△콤마)" xfId="14"/>
    <cellStyle name="(백분율)" xfId="15"/>
    <cellStyle name="(콤마)" xfId="16"/>
    <cellStyle name="+,-,0" xfId="1101"/>
    <cellStyle name="0" xfId="1109"/>
    <cellStyle name="0.0" xfId="1110"/>
    <cellStyle name="0.00" xfId="1111"/>
    <cellStyle name="00" xfId="1112"/>
    <cellStyle name="1" xfId="1113"/>
    <cellStyle name="11" xfId="2600"/>
    <cellStyle name="111" xfId="2601"/>
    <cellStyle name="1_00-수량산출서" xfId="1114"/>
    <cellStyle name="1_00-예산서양식100" xfId="1115"/>
    <cellStyle name="1_01-내역서(071118)" xfId="1116"/>
    <cellStyle name="1_22bl3lot수량산출" xfId="1117"/>
    <cellStyle name="1_22수량산출서(총괄)" xfId="1118"/>
    <cellStyle name="1_laroux" xfId="1119"/>
    <cellStyle name="1_laroux_ATC-YOON1" xfId="1120"/>
    <cellStyle name="1_total" xfId="1121"/>
    <cellStyle name="1_total_00-설계서,원가계산,내역서" xfId="1122"/>
    <cellStyle name="1_total_00-수량산출서" xfId="1123"/>
    <cellStyle name="1_total_00-수량산출서_00-설계서,원가계산,내역서" xfId="1124"/>
    <cellStyle name="1_total_01-내역서(071118)" xfId="1125"/>
    <cellStyle name="1_total_01-내역서(071118)_00-설계서,원가계산,내역서" xfId="1126"/>
    <cellStyle name="1_total_구로리총괄내역" xfId="1127"/>
    <cellStyle name="1_total_구로리총괄내역_00-설계서,원가계산,내역서" xfId="1128"/>
    <cellStyle name="1_total_구로리총괄내역_구로리설계예산서1029" xfId="1129"/>
    <cellStyle name="1_total_구로리총괄내역_구로리설계예산서1029_00-설계서,원가계산,내역서" xfId="1130"/>
    <cellStyle name="1_total_구로리총괄내역_구로리설계예산서1029_설계서-1" xfId="1131"/>
    <cellStyle name="1_total_구로리총괄내역_구로리설계예산서1029_설계서-1_00-설계서,원가계산,내역서" xfId="1132"/>
    <cellStyle name="1_total_구로리총괄내역_구로리설계예산서1029_진해자은수량산출서(단지내)" xfId="1133"/>
    <cellStyle name="1_total_구로리총괄내역_구로리설계예산서1029_진해자은수량산출서(단지내)_00-설계서,원가계산,내역서" xfId="1134"/>
    <cellStyle name="1_total_구로리총괄내역_구로리설계예산서1029_진해자은수량산출서(단지내)_기초산출표-56-128-최종" xfId="1135"/>
    <cellStyle name="1_total_구로리총괄내역_구로리설계예산서1029_진해자은수량산출서(단지내)_기초산출표-56-128-최종_00-설계서,원가계산,내역서" xfId="1136"/>
    <cellStyle name="1_total_구로리총괄내역_구로리설계예산서1029_진해자은수량산출서(단지내)_기초산출표-56-128-최종_설계서-1" xfId="1137"/>
    <cellStyle name="1_total_구로리총괄내역_구로리설계예산서1029_진해자은수량산출서(단지내)_기초산출표-56-128-최종_설계서-1_00-설계서,원가계산,내역서" xfId="1138"/>
    <cellStyle name="1_total_구로리총괄내역_구로리설계예산서1029_진해자은수량산출서(단지내)_설계서-1" xfId="1139"/>
    <cellStyle name="1_total_구로리총괄내역_구로리설계예산서1029_진해자은수량산출서(단지내)_설계서-1_00-설계서,원가계산,내역서" xfId="1140"/>
    <cellStyle name="1_total_구로리총괄내역_구로리설계예산서1029_진해자은수량산출서(단지내)_취합" xfId="1141"/>
    <cellStyle name="1_total_구로리총괄내역_구로리설계예산서1029_진해자은수량산출서(단지내)_취합_00-설계서,원가계산,내역서" xfId="1142"/>
    <cellStyle name="1_total_구로리총괄내역_구로리설계예산서1029_진해자은수량산출서(단지내)_취합_설계서-1" xfId="1143"/>
    <cellStyle name="1_total_구로리총괄내역_구로리설계예산서1029_진해자은수량산출서(단지내)_취합_설계서-1_00-설계서,원가계산,내역서" xfId="1144"/>
    <cellStyle name="1_total_구로리총괄내역_구로리설계예산서1118준공" xfId="1145"/>
    <cellStyle name="1_total_구로리총괄내역_구로리설계예산서1118준공_00-설계서,원가계산,내역서" xfId="1146"/>
    <cellStyle name="1_total_구로리총괄내역_구로리설계예산서1118준공_설계서-1" xfId="1147"/>
    <cellStyle name="1_total_구로리총괄내역_구로리설계예산서1118준공_설계서-1_00-설계서,원가계산,내역서" xfId="1148"/>
    <cellStyle name="1_total_구로리총괄내역_구로리설계예산서1118준공_진해자은수량산출서(단지내)" xfId="1149"/>
    <cellStyle name="1_total_구로리총괄내역_구로리설계예산서1118준공_진해자은수량산출서(단지내)_00-설계서,원가계산,내역서" xfId="1150"/>
    <cellStyle name="1_total_구로리총괄내역_구로리설계예산서1118준공_진해자은수량산출서(단지내)_기초산출표-56-128-최종" xfId="1151"/>
    <cellStyle name="1_total_구로리총괄내역_구로리설계예산서1118준공_진해자은수량산출서(단지내)_기초산출표-56-128-최종_00-설계서,원가계산,내역서" xfId="1152"/>
    <cellStyle name="1_total_구로리총괄내역_구로리설계예산서1118준공_진해자은수량산출서(단지내)_기초산출표-56-128-최종_설계서-1" xfId="1153"/>
    <cellStyle name="1_total_구로리총괄내역_구로리설계예산서1118준공_진해자은수량산출서(단지내)_기초산출표-56-128-최종_설계서-1_00-설계서,원가계산,내역서" xfId="1154"/>
    <cellStyle name="1_total_구로리총괄내역_구로리설계예산서1118준공_진해자은수량산출서(단지내)_설계서-1" xfId="1155"/>
    <cellStyle name="1_total_구로리총괄내역_구로리설계예산서1118준공_진해자은수량산출서(단지내)_설계서-1_00-설계서,원가계산,내역서" xfId="1156"/>
    <cellStyle name="1_total_구로리총괄내역_구로리설계예산서1118준공_진해자은수량산출서(단지내)_취합" xfId="1157"/>
    <cellStyle name="1_total_구로리총괄내역_구로리설계예산서1118준공_진해자은수량산출서(단지내)_취합_00-설계서,원가계산,내역서" xfId="1158"/>
    <cellStyle name="1_total_구로리총괄내역_구로리설계예산서1118준공_진해자은수량산출서(단지내)_취합_설계서-1" xfId="1159"/>
    <cellStyle name="1_total_구로리총괄내역_구로리설계예산서1118준공_진해자은수량산출서(단지내)_취합_설계서-1_00-설계서,원가계산,내역서" xfId="1160"/>
    <cellStyle name="1_total_구로리총괄내역_구로리설계예산서조경" xfId="1161"/>
    <cellStyle name="1_total_구로리총괄내역_구로리설계예산서조경_00-설계서,원가계산,내역서" xfId="1162"/>
    <cellStyle name="1_total_구로리총괄내역_구로리설계예산서조경_설계서-1" xfId="1163"/>
    <cellStyle name="1_total_구로리총괄내역_구로리설계예산서조경_설계서-1_00-설계서,원가계산,내역서" xfId="1164"/>
    <cellStyle name="1_total_구로리총괄내역_구로리설계예산서조경_진해자은수량산출서(단지내)" xfId="1165"/>
    <cellStyle name="1_total_구로리총괄내역_구로리설계예산서조경_진해자은수량산출서(단지내)_00-설계서,원가계산,내역서" xfId="1166"/>
    <cellStyle name="1_total_구로리총괄내역_구로리설계예산서조경_진해자은수량산출서(단지내)_기초산출표-56-128-최종" xfId="1167"/>
    <cellStyle name="1_total_구로리총괄내역_구로리설계예산서조경_진해자은수량산출서(단지내)_기초산출표-56-128-최종_00-설계서,원가계산,내역서" xfId="1168"/>
    <cellStyle name="1_total_구로리총괄내역_구로리설계예산서조경_진해자은수량산출서(단지내)_기초산출표-56-128-최종_설계서-1" xfId="1169"/>
    <cellStyle name="1_total_구로리총괄내역_구로리설계예산서조경_진해자은수량산출서(단지내)_기초산출표-56-128-최종_설계서-1_00-설계서,원가계산,내역서" xfId="1170"/>
    <cellStyle name="1_total_구로리총괄내역_구로리설계예산서조경_진해자은수량산출서(단지내)_설계서-1" xfId="1171"/>
    <cellStyle name="1_total_구로리총괄내역_구로리설계예산서조경_진해자은수량산출서(단지내)_설계서-1_00-설계서,원가계산,내역서" xfId="1172"/>
    <cellStyle name="1_total_구로리총괄내역_구로리설계예산서조경_진해자은수량산출서(단지내)_취합" xfId="1173"/>
    <cellStyle name="1_total_구로리총괄내역_구로리설계예산서조경_진해자은수량산출서(단지내)_취합_00-설계서,원가계산,내역서" xfId="1174"/>
    <cellStyle name="1_total_구로리총괄내역_구로리설계예산서조경_진해자은수량산출서(단지내)_취합_설계서-1" xfId="1175"/>
    <cellStyle name="1_total_구로리총괄내역_구로리설계예산서조경_진해자은수량산출서(단지내)_취합_설계서-1_00-설계서,원가계산,내역서" xfId="1176"/>
    <cellStyle name="1_total_구로리총괄내역_구로리어린이공원예산서(조경)1125" xfId="1177"/>
    <cellStyle name="1_total_구로리총괄내역_구로리어린이공원예산서(조경)1125_00-설계서,원가계산,내역서" xfId="1178"/>
    <cellStyle name="1_total_구로리총괄내역_구로리어린이공원예산서(조경)1125_설계서-1" xfId="1179"/>
    <cellStyle name="1_total_구로리총괄내역_구로리어린이공원예산서(조경)1125_설계서-1_00-설계서,원가계산,내역서" xfId="1180"/>
    <cellStyle name="1_total_구로리총괄내역_구로리어린이공원예산서(조경)1125_진해자은수량산출서(단지내)" xfId="1181"/>
    <cellStyle name="1_total_구로리총괄내역_구로리어린이공원예산서(조경)1125_진해자은수량산출서(단지내)_00-설계서,원가계산,내역서" xfId="1182"/>
    <cellStyle name="1_total_구로리총괄내역_구로리어린이공원예산서(조경)1125_진해자은수량산출서(단지내)_기초산출표-56-128-최종" xfId="1183"/>
    <cellStyle name="1_total_구로리총괄내역_구로리어린이공원예산서(조경)1125_진해자은수량산출서(단지내)_기초산출표-56-128-최종_00-설계서,원가계산,내역서" xfId="1184"/>
    <cellStyle name="1_total_구로리총괄내역_구로리어린이공원예산서(조경)1125_진해자은수량산출서(단지내)_기초산출표-56-128-최종_설계서-1" xfId="1185"/>
    <cellStyle name="1_total_구로리총괄내역_구로리어린이공원예산서(조경)1125_진해자은수량산출서(단지내)_기초산출표-56-128-최종_설계서-1_00-설계서,원가계산,내역서" xfId="1186"/>
    <cellStyle name="1_total_구로리총괄내역_구로리어린이공원예산서(조경)1125_진해자은수량산출서(단지내)_설계서-1" xfId="1187"/>
    <cellStyle name="1_total_구로리총괄내역_구로리어린이공원예산서(조경)1125_진해자은수량산출서(단지내)_설계서-1_00-설계서,원가계산,내역서" xfId="1188"/>
    <cellStyle name="1_total_구로리총괄내역_구로리어린이공원예산서(조경)1125_진해자은수량산출서(단지내)_취합" xfId="1189"/>
    <cellStyle name="1_total_구로리총괄내역_구로리어린이공원예산서(조경)1125_진해자은수량산출서(단지내)_취합_00-설계서,원가계산,내역서" xfId="1190"/>
    <cellStyle name="1_total_구로리총괄내역_구로리어린이공원예산서(조경)1125_진해자은수량산출서(단지내)_취합_설계서-1" xfId="1191"/>
    <cellStyle name="1_total_구로리총괄내역_구로리어린이공원예산서(조경)1125_진해자은수량산출서(단지내)_취합_설계서-1_00-설계서,원가계산,내역서" xfId="1192"/>
    <cellStyle name="1_total_구로리총괄내역_내역서" xfId="1193"/>
    <cellStyle name="1_total_구로리총괄내역_내역서_00-설계서,원가계산,내역서" xfId="1194"/>
    <cellStyle name="1_total_구로리총괄내역_내역서_설계서-1" xfId="1195"/>
    <cellStyle name="1_total_구로리총괄내역_내역서_설계서-1_00-설계서,원가계산,내역서" xfId="1196"/>
    <cellStyle name="1_total_구로리총괄내역_내역서_진해자은수량산출서(단지내)" xfId="1197"/>
    <cellStyle name="1_total_구로리총괄내역_내역서_진해자은수량산출서(단지내)_00-설계서,원가계산,내역서" xfId="1198"/>
    <cellStyle name="1_total_구로리총괄내역_내역서_진해자은수량산출서(단지내)_기초산출표-56-128-최종" xfId="1199"/>
    <cellStyle name="1_total_구로리총괄내역_내역서_진해자은수량산출서(단지내)_기초산출표-56-128-최종_00-설계서,원가계산,내역서" xfId="1200"/>
    <cellStyle name="1_total_구로리총괄내역_내역서_진해자은수량산출서(단지내)_기초산출표-56-128-최종_설계서-1" xfId="1201"/>
    <cellStyle name="1_total_구로리총괄내역_내역서_진해자은수량산출서(단지내)_기초산출표-56-128-최종_설계서-1_00-설계서,원가계산,내역서" xfId="1202"/>
    <cellStyle name="1_total_구로리총괄내역_내역서_진해자은수량산출서(단지내)_설계서-1" xfId="1203"/>
    <cellStyle name="1_total_구로리총괄내역_내역서_진해자은수량산출서(단지내)_설계서-1_00-설계서,원가계산,내역서" xfId="1204"/>
    <cellStyle name="1_total_구로리총괄내역_내역서_진해자은수량산출서(단지내)_취합" xfId="1205"/>
    <cellStyle name="1_total_구로리총괄내역_내역서_진해자은수량산출서(단지내)_취합_00-설계서,원가계산,내역서" xfId="1206"/>
    <cellStyle name="1_total_구로리총괄내역_내역서_진해자은수량산출서(단지내)_취합_설계서-1" xfId="1207"/>
    <cellStyle name="1_total_구로리총괄내역_내역서_진해자은수량산출서(단지내)_취합_설계서-1_00-설계서,원가계산,내역서" xfId="1208"/>
    <cellStyle name="1_total_구로리총괄내역_노임단가표" xfId="1209"/>
    <cellStyle name="1_total_구로리총괄내역_노임단가표_00-설계서,원가계산,내역서" xfId="1210"/>
    <cellStyle name="1_total_구로리총괄내역_노임단가표_설계서-1" xfId="1211"/>
    <cellStyle name="1_total_구로리총괄내역_노임단가표_설계서-1_00-설계서,원가계산,내역서" xfId="1212"/>
    <cellStyle name="1_total_구로리총괄내역_노임단가표_진해자은수량산출서(단지내)" xfId="1213"/>
    <cellStyle name="1_total_구로리총괄내역_노임단가표_진해자은수량산출서(단지내)_00-설계서,원가계산,내역서" xfId="1214"/>
    <cellStyle name="1_total_구로리총괄내역_노임단가표_진해자은수량산출서(단지내)_기초산출표-56-128-최종" xfId="1215"/>
    <cellStyle name="1_total_구로리총괄내역_노임단가표_진해자은수량산출서(단지내)_기초산출표-56-128-최종_00-설계서,원가계산,내역서" xfId="1216"/>
    <cellStyle name="1_total_구로리총괄내역_노임단가표_진해자은수량산출서(단지내)_기초산출표-56-128-최종_설계서-1" xfId="1217"/>
    <cellStyle name="1_total_구로리총괄내역_노임단가표_진해자은수량산출서(단지내)_기초산출표-56-128-최종_설계서-1_00-설계서,원가계산,내역서" xfId="1218"/>
    <cellStyle name="1_total_구로리총괄내역_노임단가표_진해자은수량산출서(단지내)_설계서-1" xfId="1219"/>
    <cellStyle name="1_total_구로리총괄내역_노임단가표_진해자은수량산출서(단지내)_설계서-1_00-설계서,원가계산,내역서" xfId="1220"/>
    <cellStyle name="1_total_구로리총괄내역_노임단가표_진해자은수량산출서(단지내)_취합" xfId="1221"/>
    <cellStyle name="1_total_구로리총괄내역_노임단가표_진해자은수량산출서(단지내)_취합_00-설계서,원가계산,내역서" xfId="1222"/>
    <cellStyle name="1_total_구로리총괄내역_노임단가표_진해자은수량산출서(단지내)_취합_설계서-1" xfId="1223"/>
    <cellStyle name="1_total_구로리총괄내역_노임단가표_진해자은수량산출서(단지내)_취합_설계서-1_00-설계서,원가계산,내역서" xfId="1224"/>
    <cellStyle name="1_total_구로리총괄내역_설계서-1" xfId="1225"/>
    <cellStyle name="1_total_구로리총괄내역_설계서-1_00-설계서,원가계산,내역서" xfId="1226"/>
    <cellStyle name="1_total_구로리총괄내역_수도권매립지" xfId="1227"/>
    <cellStyle name="1_total_구로리총괄내역_수도권매립지1004(발주용)" xfId="1243"/>
    <cellStyle name="1_total_구로리총괄내역_수도권매립지1004(발주용)_00-설계서,원가계산,내역서" xfId="1244"/>
    <cellStyle name="1_total_구로리총괄내역_수도권매립지1004(발주용)_설계서-1" xfId="1245"/>
    <cellStyle name="1_total_구로리총괄내역_수도권매립지1004(발주용)_설계서-1_00-설계서,원가계산,내역서" xfId="1246"/>
    <cellStyle name="1_total_구로리총괄내역_수도권매립지1004(발주용)_진해자은수량산출서(단지내)" xfId="1247"/>
    <cellStyle name="1_total_구로리총괄내역_수도권매립지1004(발주용)_진해자은수량산출서(단지내)_00-설계서,원가계산,내역서" xfId="1248"/>
    <cellStyle name="1_total_구로리총괄내역_수도권매립지1004(발주용)_진해자은수량산출서(단지내)_기초산출표-56-128-최종" xfId="1249"/>
    <cellStyle name="1_total_구로리총괄내역_수도권매립지1004(발주용)_진해자은수량산출서(단지내)_기초산출표-56-128-최종_00-설계서,원가계산,내역서" xfId="1250"/>
    <cellStyle name="1_total_구로리총괄내역_수도권매립지1004(발주용)_진해자은수량산출서(단지내)_기초산출표-56-128-최종_설계서-1" xfId="1251"/>
    <cellStyle name="1_total_구로리총괄내역_수도권매립지1004(발주용)_진해자은수량산출서(단지내)_기초산출표-56-128-최종_설계서-1_00-설계서,원가계산,내역서" xfId="1252"/>
    <cellStyle name="1_total_구로리총괄내역_수도권매립지1004(발주용)_진해자은수량산출서(단지내)_설계서-1" xfId="1253"/>
    <cellStyle name="1_total_구로리총괄내역_수도권매립지1004(발주용)_진해자은수량산출서(단지내)_설계서-1_00-설계서,원가계산,내역서" xfId="1254"/>
    <cellStyle name="1_total_구로리총괄내역_수도권매립지1004(발주용)_진해자은수량산출서(단지내)_취합" xfId="1255"/>
    <cellStyle name="1_total_구로리총괄내역_수도권매립지1004(발주용)_진해자은수량산출서(단지내)_취합_00-설계서,원가계산,내역서" xfId="1256"/>
    <cellStyle name="1_total_구로리총괄내역_수도권매립지1004(발주용)_진해자은수량산출서(단지내)_취합_설계서-1" xfId="1257"/>
    <cellStyle name="1_total_구로리총괄내역_수도권매립지1004(발주용)_진해자은수량산출서(단지내)_취합_설계서-1_00-설계서,원가계산,내역서" xfId="1258"/>
    <cellStyle name="1_total_구로리총괄내역_수도권매립지_00-설계서,원가계산,내역서" xfId="1228"/>
    <cellStyle name="1_total_구로리총괄내역_수도권매립지_설계서-1" xfId="1229"/>
    <cellStyle name="1_total_구로리총괄내역_수도권매립지_설계서-1_00-설계서,원가계산,내역서" xfId="1230"/>
    <cellStyle name="1_total_구로리총괄내역_수도권매립지_진해자은수량산출서(단지내)" xfId="1231"/>
    <cellStyle name="1_total_구로리총괄내역_수도권매립지_진해자은수량산출서(단지내)_00-설계서,원가계산,내역서" xfId="1232"/>
    <cellStyle name="1_total_구로리총괄내역_수도권매립지_진해자은수량산출서(단지내)_기초산출표-56-128-최종" xfId="1233"/>
    <cellStyle name="1_total_구로리총괄내역_수도권매립지_진해자은수량산출서(단지내)_기초산출표-56-128-최종_00-설계서,원가계산,내역서" xfId="1234"/>
    <cellStyle name="1_total_구로리총괄내역_수도권매립지_진해자은수량산출서(단지내)_기초산출표-56-128-최종_설계서-1" xfId="1235"/>
    <cellStyle name="1_total_구로리총괄내역_수도권매립지_진해자은수량산출서(단지내)_기초산출표-56-128-최종_설계서-1_00-설계서,원가계산,내역서" xfId="1236"/>
    <cellStyle name="1_total_구로리총괄내역_수도권매립지_진해자은수량산출서(단지내)_설계서-1" xfId="1237"/>
    <cellStyle name="1_total_구로리총괄내역_수도권매립지_진해자은수량산출서(단지내)_설계서-1_00-설계서,원가계산,내역서" xfId="1238"/>
    <cellStyle name="1_total_구로리총괄내역_수도권매립지_진해자은수량산출서(단지내)_취합" xfId="1239"/>
    <cellStyle name="1_total_구로리총괄내역_수도권매립지_진해자은수량산출서(단지내)_취합_00-설계서,원가계산,내역서" xfId="1240"/>
    <cellStyle name="1_total_구로리총괄내역_수도권매립지_진해자은수량산출서(단지내)_취합_설계서-1" xfId="1241"/>
    <cellStyle name="1_total_구로리총괄내역_수도권매립지_진해자은수량산출서(단지내)_취합_설계서-1_00-설계서,원가계산,내역서" xfId="1242"/>
    <cellStyle name="1_total_구로리총괄내역_일신건영설계예산서(0211)" xfId="1259"/>
    <cellStyle name="1_total_구로리총괄내역_일신건영설계예산서(0211)_00-설계서,원가계산,내역서" xfId="1260"/>
    <cellStyle name="1_total_구로리총괄내역_일신건영설계예산서(0211)_설계서-1" xfId="1261"/>
    <cellStyle name="1_total_구로리총괄내역_일신건영설계예산서(0211)_설계서-1_00-설계서,원가계산,내역서" xfId="1262"/>
    <cellStyle name="1_total_구로리총괄내역_일신건영설계예산서(0211)_진해자은수량산출서(단지내)" xfId="1263"/>
    <cellStyle name="1_total_구로리총괄내역_일신건영설계예산서(0211)_진해자은수량산출서(단지내)_00-설계서,원가계산,내역서" xfId="1264"/>
    <cellStyle name="1_total_구로리총괄내역_일신건영설계예산서(0211)_진해자은수량산출서(단지내)_기초산출표-56-128-최종" xfId="1265"/>
    <cellStyle name="1_total_구로리총괄내역_일신건영설계예산서(0211)_진해자은수량산출서(단지내)_기초산출표-56-128-최종_00-설계서,원가계산,내역서" xfId="1266"/>
    <cellStyle name="1_total_구로리총괄내역_일신건영설계예산서(0211)_진해자은수량산출서(단지내)_기초산출표-56-128-최종_설계서-1" xfId="1267"/>
    <cellStyle name="1_total_구로리총괄내역_일신건영설계예산서(0211)_진해자은수량산출서(단지내)_기초산출표-56-128-최종_설계서-1_00-설계서,원가계산,내역서" xfId="1268"/>
    <cellStyle name="1_total_구로리총괄내역_일신건영설계예산서(0211)_진해자은수량산출서(단지내)_설계서-1" xfId="1269"/>
    <cellStyle name="1_total_구로리총괄내역_일신건영설계예산서(0211)_진해자은수량산출서(단지내)_설계서-1_00-설계서,원가계산,내역서" xfId="1270"/>
    <cellStyle name="1_total_구로리총괄내역_일신건영설계예산서(0211)_진해자은수량산출서(단지내)_취합" xfId="1271"/>
    <cellStyle name="1_total_구로리총괄내역_일신건영설계예산서(0211)_진해자은수량산출서(단지내)_취합_00-설계서,원가계산,내역서" xfId="1272"/>
    <cellStyle name="1_total_구로리총괄내역_일신건영설계예산서(0211)_진해자은수량산출서(단지내)_취합_설계서-1" xfId="1273"/>
    <cellStyle name="1_total_구로리총괄내역_일신건영설계예산서(0211)_진해자은수량산출서(단지내)_취합_설계서-1_00-설계서,원가계산,내역서" xfId="1274"/>
    <cellStyle name="1_total_구로리총괄내역_일위대가" xfId="1275"/>
    <cellStyle name="1_total_구로리총괄내역_일위대가_00-설계서,원가계산,내역서" xfId="1276"/>
    <cellStyle name="1_total_구로리총괄내역_일위대가_설계서-1" xfId="1277"/>
    <cellStyle name="1_total_구로리총괄내역_일위대가_설계서-1_00-설계서,원가계산,내역서" xfId="1278"/>
    <cellStyle name="1_total_구로리총괄내역_일위대가_진해자은수량산출서(단지내)" xfId="1279"/>
    <cellStyle name="1_total_구로리총괄내역_일위대가_진해자은수량산출서(단지내)_00-설계서,원가계산,내역서" xfId="1280"/>
    <cellStyle name="1_total_구로리총괄내역_일위대가_진해자은수량산출서(단지내)_기초산출표-56-128-최종" xfId="1281"/>
    <cellStyle name="1_total_구로리총괄내역_일위대가_진해자은수량산출서(단지내)_기초산출표-56-128-최종_00-설계서,원가계산,내역서" xfId="1282"/>
    <cellStyle name="1_total_구로리총괄내역_일위대가_진해자은수량산출서(단지내)_기초산출표-56-128-최종_설계서-1" xfId="1283"/>
    <cellStyle name="1_total_구로리총괄내역_일위대가_진해자은수량산출서(단지내)_기초산출표-56-128-최종_설계서-1_00-설계서,원가계산,내역서" xfId="1284"/>
    <cellStyle name="1_total_구로리총괄내역_일위대가_진해자은수량산출서(단지내)_설계서-1" xfId="1285"/>
    <cellStyle name="1_total_구로리총괄내역_일위대가_진해자은수량산출서(단지내)_설계서-1_00-설계서,원가계산,내역서" xfId="1286"/>
    <cellStyle name="1_total_구로리총괄내역_일위대가_진해자은수량산출서(단지내)_취합" xfId="1287"/>
    <cellStyle name="1_total_구로리총괄내역_일위대가_진해자은수량산출서(단지내)_취합_00-설계서,원가계산,내역서" xfId="1288"/>
    <cellStyle name="1_total_구로리총괄내역_일위대가_진해자은수량산출서(단지내)_취합_설계서-1" xfId="1289"/>
    <cellStyle name="1_total_구로리총괄내역_일위대가_진해자은수량산출서(단지내)_취합_설계서-1_00-설계서,원가계산,내역서" xfId="1290"/>
    <cellStyle name="1_total_구로리총괄내역_자재단가표" xfId="1291"/>
    <cellStyle name="1_total_구로리총괄내역_자재단가표_00-설계서,원가계산,내역서" xfId="1292"/>
    <cellStyle name="1_total_구로리총괄내역_자재단가표_설계서-1" xfId="1293"/>
    <cellStyle name="1_total_구로리총괄내역_자재단가표_설계서-1_00-설계서,원가계산,내역서" xfId="1294"/>
    <cellStyle name="1_total_구로리총괄내역_자재단가표_진해자은수량산출서(단지내)" xfId="1295"/>
    <cellStyle name="1_total_구로리총괄내역_자재단가표_진해자은수량산출서(단지내)_00-설계서,원가계산,내역서" xfId="1296"/>
    <cellStyle name="1_total_구로리총괄내역_자재단가표_진해자은수량산출서(단지내)_기초산출표-56-128-최종" xfId="1297"/>
    <cellStyle name="1_total_구로리총괄내역_자재단가표_진해자은수량산출서(단지내)_기초산출표-56-128-최종_00-설계서,원가계산,내역서" xfId="1298"/>
    <cellStyle name="1_total_구로리총괄내역_자재단가표_진해자은수량산출서(단지내)_기초산출표-56-128-최종_설계서-1" xfId="1299"/>
    <cellStyle name="1_total_구로리총괄내역_자재단가표_진해자은수량산출서(단지내)_기초산출표-56-128-최종_설계서-1_00-설계서,원가계산,내역서" xfId="1300"/>
    <cellStyle name="1_total_구로리총괄내역_자재단가표_진해자은수량산출서(단지내)_설계서-1" xfId="1301"/>
    <cellStyle name="1_total_구로리총괄내역_자재단가표_진해자은수량산출서(단지내)_설계서-1_00-설계서,원가계산,내역서" xfId="1302"/>
    <cellStyle name="1_total_구로리총괄내역_자재단가표_진해자은수량산출서(단지내)_취합" xfId="1303"/>
    <cellStyle name="1_total_구로리총괄내역_자재단가표_진해자은수량산출서(단지내)_취합_00-설계서,원가계산,내역서" xfId="1304"/>
    <cellStyle name="1_total_구로리총괄내역_자재단가표_진해자은수량산출서(단지내)_취합_설계서-1" xfId="1305"/>
    <cellStyle name="1_total_구로리총괄내역_자재단가표_진해자은수량산출서(단지내)_취합_설계서-1_00-설계서,원가계산,내역서" xfId="1306"/>
    <cellStyle name="1_total_구로리총괄내역_장안초등학교내역0814" xfId="1307"/>
    <cellStyle name="1_total_구로리총괄내역_장안초등학교내역0814_00-설계서,원가계산,내역서" xfId="1308"/>
    <cellStyle name="1_total_구로리총괄내역_장안초등학교내역0814_설계서-1" xfId="1309"/>
    <cellStyle name="1_total_구로리총괄내역_장안초등학교내역0814_설계서-1_00-설계서,원가계산,내역서" xfId="1310"/>
    <cellStyle name="1_total_구로리총괄내역_장안초등학교내역0814_진해자은수량산출서(단지내)" xfId="1311"/>
    <cellStyle name="1_total_구로리총괄내역_장안초등학교내역0814_진해자은수량산출서(단지내)_00-설계서,원가계산,내역서" xfId="1312"/>
    <cellStyle name="1_total_구로리총괄내역_장안초등학교내역0814_진해자은수량산출서(단지내)_기초산출표-56-128-최종" xfId="1313"/>
    <cellStyle name="1_total_구로리총괄내역_장안초등학교내역0814_진해자은수량산출서(단지내)_기초산출표-56-128-최종_00-설계서,원가계산,내역서" xfId="1314"/>
    <cellStyle name="1_total_구로리총괄내역_장안초등학교내역0814_진해자은수량산출서(단지내)_기초산출표-56-128-최종_설계서-1" xfId="1315"/>
    <cellStyle name="1_total_구로리총괄내역_장안초등학교내역0814_진해자은수량산출서(단지내)_기초산출표-56-128-최종_설계서-1_00-설계서,원가계산,내역서" xfId="1316"/>
    <cellStyle name="1_total_구로리총괄내역_장안초등학교내역0814_진해자은수량산출서(단지내)_설계서-1" xfId="1317"/>
    <cellStyle name="1_total_구로리총괄내역_장안초등학교내역0814_진해자은수량산출서(단지내)_설계서-1_00-설계서,원가계산,내역서" xfId="1318"/>
    <cellStyle name="1_total_구로리총괄내역_장안초등학교내역0814_진해자은수량산출서(단지내)_취합" xfId="1319"/>
    <cellStyle name="1_total_구로리총괄내역_장안초등학교내역0814_진해자은수량산출서(단지내)_취합_00-설계서,원가계산,내역서" xfId="1320"/>
    <cellStyle name="1_total_구로리총괄내역_장안초등학교내역0814_진해자은수량산출서(단지내)_취합_설계서-1" xfId="1321"/>
    <cellStyle name="1_total_구로리총괄내역_장안초등학교내역0814_진해자은수량산출서(단지내)_취합_설계서-1_00-설계서,원가계산,내역서" xfId="1322"/>
    <cellStyle name="1_total_구로리총괄내역_진해자은수량산출서(단지내)" xfId="1323"/>
    <cellStyle name="1_total_구로리총괄내역_진해자은수량산출서(단지내)_00-설계서,원가계산,내역서" xfId="1324"/>
    <cellStyle name="1_total_구로리총괄내역_진해자은수량산출서(단지내)_기초산출표-56-128-최종" xfId="1325"/>
    <cellStyle name="1_total_구로리총괄내역_진해자은수량산출서(단지내)_기초산출표-56-128-최종_00-설계서,원가계산,내역서" xfId="1326"/>
    <cellStyle name="1_total_구로리총괄내역_진해자은수량산출서(단지내)_기초산출표-56-128-최종_설계서-1" xfId="1327"/>
    <cellStyle name="1_total_구로리총괄내역_진해자은수량산출서(단지내)_기초산출표-56-128-최종_설계서-1_00-설계서,원가계산,내역서" xfId="1328"/>
    <cellStyle name="1_total_구로리총괄내역_진해자은수량산출서(단지내)_설계서-1" xfId="1329"/>
    <cellStyle name="1_total_구로리총괄내역_진해자은수량산출서(단지내)_설계서-1_00-설계서,원가계산,내역서" xfId="1330"/>
    <cellStyle name="1_total_구로리총괄내역_진해자은수량산출서(단지내)_취합" xfId="1331"/>
    <cellStyle name="1_total_구로리총괄내역_진해자은수량산출서(단지내)_취합_00-설계서,원가계산,내역서" xfId="1332"/>
    <cellStyle name="1_total_구로리총괄내역_진해자은수량산출서(단지내)_취합_설계서-1" xfId="1333"/>
    <cellStyle name="1_total_구로리총괄내역_진해자은수량산출서(단지내)_취합_설계서-1_00-설계서,원가계산,내역서" xfId="1334"/>
    <cellStyle name="1_total_목동내역" xfId="1335"/>
    <cellStyle name="1_total_목동내역_00-설계서,원가계산,내역서" xfId="1336"/>
    <cellStyle name="1_total_목동내역_폐기물집계" xfId="1337"/>
    <cellStyle name="1_total_목동내역_폐기물집계_00-설계서,원가계산,내역서" xfId="1338"/>
    <cellStyle name="1_total_설계서-1" xfId="1339"/>
    <cellStyle name="1_total_설계서-1_00-설계서,원가계산,내역서" xfId="1340"/>
    <cellStyle name="1_total_이문동구간중랑천변녹화사업(수량산출서, 071127)-최종" xfId="1341"/>
    <cellStyle name="1_total_이문동구간중랑천변녹화사업(수량산출서, 071127)-최종_00-설계서,원가계산,내역서" xfId="1342"/>
    <cellStyle name="1_total_진해자은수량산출서(단지내)" xfId="1343"/>
    <cellStyle name="1_total_진해자은수량산출서(단지내)_00-설계서,원가계산,내역서" xfId="1344"/>
    <cellStyle name="1_total_진해자은수량산출서(단지내)_기초산출표-56-128-최종" xfId="1345"/>
    <cellStyle name="1_total_진해자은수량산출서(단지내)_기초산출표-56-128-최종_00-설계서,원가계산,내역서" xfId="1346"/>
    <cellStyle name="1_total_진해자은수량산출서(단지내)_기초산출표-56-128-최종_설계서-1" xfId="1347"/>
    <cellStyle name="1_total_진해자은수량산출서(단지내)_기초산출표-56-128-최종_설계서-1_00-설계서,원가계산,내역서" xfId="1348"/>
    <cellStyle name="1_total_진해자은수량산출서(단지내)_설계서-1" xfId="1349"/>
    <cellStyle name="1_total_진해자은수량산출서(단지내)_설계서-1_00-설계서,원가계산,내역서" xfId="1350"/>
    <cellStyle name="1_total_진해자은수량산출서(단지내)_취합" xfId="1351"/>
    <cellStyle name="1_total_진해자은수량산출서(단지내)_취합_00-설계서,원가계산,내역서" xfId="1352"/>
    <cellStyle name="1_total_진해자은수량산출서(단지내)_취합_설계서-1" xfId="1353"/>
    <cellStyle name="1_total_진해자은수량산출서(단지내)_취합_설계서-1_00-설계서,원가계산,내역서" xfId="1354"/>
    <cellStyle name="1_total_총괄내역0518" xfId="1355"/>
    <cellStyle name="1_total_총괄내역0518_00-설계서,원가계산,내역서" xfId="1356"/>
    <cellStyle name="1_total_총괄내역0518_구로리설계예산서1029" xfId="1357"/>
    <cellStyle name="1_total_총괄내역0518_구로리설계예산서1029_00-설계서,원가계산,내역서" xfId="1358"/>
    <cellStyle name="1_total_총괄내역0518_구로리설계예산서1029_설계서-1" xfId="1359"/>
    <cellStyle name="1_total_총괄내역0518_구로리설계예산서1029_설계서-1_00-설계서,원가계산,내역서" xfId="1360"/>
    <cellStyle name="1_total_총괄내역0518_구로리설계예산서1029_진해자은수량산출서(단지내)" xfId="1361"/>
    <cellStyle name="1_total_총괄내역0518_구로리설계예산서1029_진해자은수량산출서(단지내)_00-설계서,원가계산,내역서" xfId="1362"/>
    <cellStyle name="1_total_총괄내역0518_구로리설계예산서1029_진해자은수량산출서(단지내)_기초산출표-56-128-최종" xfId="1363"/>
    <cellStyle name="1_total_총괄내역0518_구로리설계예산서1029_진해자은수량산출서(단지내)_기초산출표-56-128-최종_00-설계서,원가계산,내역서" xfId="1364"/>
    <cellStyle name="1_total_총괄내역0518_구로리설계예산서1029_진해자은수량산출서(단지내)_기초산출표-56-128-최종_설계서-1" xfId="1365"/>
    <cellStyle name="1_total_총괄내역0518_구로리설계예산서1029_진해자은수량산출서(단지내)_기초산출표-56-128-최종_설계서-1_00-설계서,원가계산,내역서" xfId="1366"/>
    <cellStyle name="1_total_총괄내역0518_구로리설계예산서1029_진해자은수량산출서(단지내)_설계서-1" xfId="1367"/>
    <cellStyle name="1_total_총괄내역0518_구로리설계예산서1029_진해자은수량산출서(단지내)_설계서-1_00-설계서,원가계산,내역서" xfId="1368"/>
    <cellStyle name="1_total_총괄내역0518_구로리설계예산서1029_진해자은수량산출서(단지내)_취합" xfId="1369"/>
    <cellStyle name="1_total_총괄내역0518_구로리설계예산서1029_진해자은수량산출서(단지내)_취합_00-설계서,원가계산,내역서" xfId="1370"/>
    <cellStyle name="1_total_총괄내역0518_구로리설계예산서1029_진해자은수량산출서(단지내)_취합_설계서-1" xfId="1371"/>
    <cellStyle name="1_total_총괄내역0518_구로리설계예산서1029_진해자은수량산출서(단지내)_취합_설계서-1_00-설계서,원가계산,내역서" xfId="1372"/>
    <cellStyle name="1_total_총괄내역0518_구로리설계예산서1118준공" xfId="1373"/>
    <cellStyle name="1_total_총괄내역0518_구로리설계예산서1118준공_00-설계서,원가계산,내역서" xfId="1374"/>
    <cellStyle name="1_total_총괄내역0518_구로리설계예산서1118준공_설계서-1" xfId="1375"/>
    <cellStyle name="1_total_총괄내역0518_구로리설계예산서1118준공_설계서-1_00-설계서,원가계산,내역서" xfId="1376"/>
    <cellStyle name="1_total_총괄내역0518_구로리설계예산서1118준공_진해자은수량산출서(단지내)" xfId="1377"/>
    <cellStyle name="1_total_총괄내역0518_구로리설계예산서1118준공_진해자은수량산출서(단지내)_00-설계서,원가계산,내역서" xfId="1378"/>
    <cellStyle name="1_total_총괄내역0518_구로리설계예산서1118준공_진해자은수량산출서(단지내)_기초산출표-56-128-최종" xfId="1379"/>
    <cellStyle name="1_total_총괄내역0518_구로리설계예산서1118준공_진해자은수량산출서(단지내)_기초산출표-56-128-최종_00-설계서,원가계산,내역서" xfId="1380"/>
    <cellStyle name="1_total_총괄내역0518_구로리설계예산서1118준공_진해자은수량산출서(단지내)_기초산출표-56-128-최종_설계서-1" xfId="1381"/>
    <cellStyle name="1_total_총괄내역0518_구로리설계예산서1118준공_진해자은수량산출서(단지내)_기초산출표-56-128-최종_설계서-1_00-설계서,원가계산,내역서" xfId="1382"/>
    <cellStyle name="1_total_총괄내역0518_구로리설계예산서1118준공_진해자은수량산출서(단지내)_설계서-1" xfId="1383"/>
    <cellStyle name="1_total_총괄내역0518_구로리설계예산서1118준공_진해자은수량산출서(단지내)_설계서-1_00-설계서,원가계산,내역서" xfId="1384"/>
    <cellStyle name="1_total_총괄내역0518_구로리설계예산서1118준공_진해자은수량산출서(단지내)_취합" xfId="1385"/>
    <cellStyle name="1_total_총괄내역0518_구로리설계예산서1118준공_진해자은수량산출서(단지내)_취합_00-설계서,원가계산,내역서" xfId="1386"/>
    <cellStyle name="1_total_총괄내역0518_구로리설계예산서1118준공_진해자은수량산출서(단지내)_취합_설계서-1" xfId="1387"/>
    <cellStyle name="1_total_총괄내역0518_구로리설계예산서1118준공_진해자은수량산출서(단지내)_취합_설계서-1_00-설계서,원가계산,내역서" xfId="1388"/>
    <cellStyle name="1_total_총괄내역0518_구로리설계예산서조경" xfId="1389"/>
    <cellStyle name="1_total_총괄내역0518_구로리설계예산서조경_00-설계서,원가계산,내역서" xfId="1390"/>
    <cellStyle name="1_total_총괄내역0518_구로리설계예산서조경_설계서-1" xfId="1391"/>
    <cellStyle name="1_total_총괄내역0518_구로리설계예산서조경_설계서-1_00-설계서,원가계산,내역서" xfId="1392"/>
    <cellStyle name="1_total_총괄내역0518_구로리설계예산서조경_진해자은수량산출서(단지내)" xfId="1393"/>
    <cellStyle name="1_total_총괄내역0518_구로리설계예산서조경_진해자은수량산출서(단지내)_00-설계서,원가계산,내역서" xfId="1394"/>
    <cellStyle name="1_total_총괄내역0518_구로리설계예산서조경_진해자은수량산출서(단지내)_기초산출표-56-128-최종" xfId="1395"/>
    <cellStyle name="1_total_총괄내역0518_구로리설계예산서조경_진해자은수량산출서(단지내)_기초산출표-56-128-최종_00-설계서,원가계산,내역서" xfId="1396"/>
    <cellStyle name="1_total_총괄내역0518_구로리설계예산서조경_진해자은수량산출서(단지내)_기초산출표-56-128-최종_설계서-1" xfId="1397"/>
    <cellStyle name="1_total_총괄내역0518_구로리설계예산서조경_진해자은수량산출서(단지내)_기초산출표-56-128-최종_설계서-1_00-설계서,원가계산,내역서" xfId="1398"/>
    <cellStyle name="1_total_총괄내역0518_구로리설계예산서조경_진해자은수량산출서(단지내)_설계서-1" xfId="1399"/>
    <cellStyle name="1_total_총괄내역0518_구로리설계예산서조경_진해자은수량산출서(단지내)_설계서-1_00-설계서,원가계산,내역서" xfId="1400"/>
    <cellStyle name="1_total_총괄내역0518_구로리설계예산서조경_진해자은수량산출서(단지내)_취합" xfId="1401"/>
    <cellStyle name="1_total_총괄내역0518_구로리설계예산서조경_진해자은수량산출서(단지내)_취합_00-설계서,원가계산,내역서" xfId="1402"/>
    <cellStyle name="1_total_총괄내역0518_구로리설계예산서조경_진해자은수량산출서(단지내)_취합_설계서-1" xfId="1403"/>
    <cellStyle name="1_total_총괄내역0518_구로리설계예산서조경_진해자은수량산출서(단지내)_취합_설계서-1_00-설계서,원가계산,내역서" xfId="1404"/>
    <cellStyle name="1_total_총괄내역0518_구로리어린이공원예산서(조경)1125" xfId="1405"/>
    <cellStyle name="1_total_총괄내역0518_구로리어린이공원예산서(조경)1125_00-설계서,원가계산,내역서" xfId="1406"/>
    <cellStyle name="1_total_총괄내역0518_구로리어린이공원예산서(조경)1125_설계서-1" xfId="1407"/>
    <cellStyle name="1_total_총괄내역0518_구로리어린이공원예산서(조경)1125_설계서-1_00-설계서,원가계산,내역서" xfId="1408"/>
    <cellStyle name="1_total_총괄내역0518_구로리어린이공원예산서(조경)1125_진해자은수량산출서(단지내)" xfId="1409"/>
    <cellStyle name="1_total_총괄내역0518_구로리어린이공원예산서(조경)1125_진해자은수량산출서(단지내)_00-설계서,원가계산,내역서" xfId="1410"/>
    <cellStyle name="1_total_총괄내역0518_구로리어린이공원예산서(조경)1125_진해자은수량산출서(단지내)_기초산출표-56-128-최종" xfId="1411"/>
    <cellStyle name="1_total_총괄내역0518_구로리어린이공원예산서(조경)1125_진해자은수량산출서(단지내)_기초산출표-56-128-최종_00-설계서,원가계산,내역서" xfId="1412"/>
    <cellStyle name="1_total_총괄내역0518_구로리어린이공원예산서(조경)1125_진해자은수량산출서(단지내)_기초산출표-56-128-최종_설계서-1" xfId="1413"/>
    <cellStyle name="1_total_총괄내역0518_구로리어린이공원예산서(조경)1125_진해자은수량산출서(단지내)_기초산출표-56-128-최종_설계서-1_00-설계서,원가계산,내역서" xfId="1414"/>
    <cellStyle name="1_total_총괄내역0518_구로리어린이공원예산서(조경)1125_진해자은수량산출서(단지내)_설계서-1" xfId="1415"/>
    <cellStyle name="1_total_총괄내역0518_구로리어린이공원예산서(조경)1125_진해자은수량산출서(단지내)_설계서-1_00-설계서,원가계산,내역서" xfId="1416"/>
    <cellStyle name="1_total_총괄내역0518_구로리어린이공원예산서(조경)1125_진해자은수량산출서(단지내)_취합" xfId="1417"/>
    <cellStyle name="1_total_총괄내역0518_구로리어린이공원예산서(조경)1125_진해자은수량산출서(단지내)_취합_00-설계서,원가계산,내역서" xfId="1418"/>
    <cellStyle name="1_total_총괄내역0518_구로리어린이공원예산서(조경)1125_진해자은수량산출서(단지내)_취합_설계서-1" xfId="1419"/>
    <cellStyle name="1_total_총괄내역0518_구로리어린이공원예산서(조경)1125_진해자은수량산출서(단지내)_취합_설계서-1_00-설계서,원가계산,내역서" xfId="1420"/>
    <cellStyle name="1_total_총괄내역0518_내역서" xfId="1421"/>
    <cellStyle name="1_total_총괄내역0518_내역서_00-설계서,원가계산,내역서" xfId="1422"/>
    <cellStyle name="1_total_총괄내역0518_내역서_설계서-1" xfId="1423"/>
    <cellStyle name="1_total_총괄내역0518_내역서_설계서-1_00-설계서,원가계산,내역서" xfId="1424"/>
    <cellStyle name="1_total_총괄내역0518_내역서_진해자은수량산출서(단지내)" xfId="1425"/>
    <cellStyle name="1_total_총괄내역0518_내역서_진해자은수량산출서(단지내)_00-설계서,원가계산,내역서" xfId="1426"/>
    <cellStyle name="1_total_총괄내역0518_내역서_진해자은수량산출서(단지내)_기초산출표-56-128-최종" xfId="1427"/>
    <cellStyle name="1_total_총괄내역0518_내역서_진해자은수량산출서(단지내)_기초산출표-56-128-최종_00-설계서,원가계산,내역서" xfId="1428"/>
    <cellStyle name="1_total_총괄내역0518_내역서_진해자은수량산출서(단지내)_기초산출표-56-128-최종_설계서-1" xfId="1429"/>
    <cellStyle name="1_total_총괄내역0518_내역서_진해자은수량산출서(단지내)_기초산출표-56-128-최종_설계서-1_00-설계서,원가계산,내역서" xfId="1430"/>
    <cellStyle name="1_total_총괄내역0518_내역서_진해자은수량산출서(단지내)_설계서-1" xfId="1431"/>
    <cellStyle name="1_total_총괄내역0518_내역서_진해자은수량산출서(단지내)_설계서-1_00-설계서,원가계산,내역서" xfId="1432"/>
    <cellStyle name="1_total_총괄내역0518_내역서_진해자은수량산출서(단지내)_취합" xfId="1433"/>
    <cellStyle name="1_total_총괄내역0518_내역서_진해자은수량산출서(단지내)_취합_00-설계서,원가계산,내역서" xfId="1434"/>
    <cellStyle name="1_total_총괄내역0518_내역서_진해자은수량산출서(단지내)_취합_설계서-1" xfId="1435"/>
    <cellStyle name="1_total_총괄내역0518_내역서_진해자은수량산출서(단지내)_취합_설계서-1_00-설계서,원가계산,내역서" xfId="1436"/>
    <cellStyle name="1_total_총괄내역0518_노임단가표" xfId="1437"/>
    <cellStyle name="1_total_총괄내역0518_노임단가표_00-설계서,원가계산,내역서" xfId="1438"/>
    <cellStyle name="1_total_총괄내역0518_노임단가표_설계서-1" xfId="1439"/>
    <cellStyle name="1_total_총괄내역0518_노임단가표_설계서-1_00-설계서,원가계산,내역서" xfId="1440"/>
    <cellStyle name="1_total_총괄내역0518_노임단가표_진해자은수량산출서(단지내)" xfId="1441"/>
    <cellStyle name="1_total_총괄내역0518_노임단가표_진해자은수량산출서(단지내)_00-설계서,원가계산,내역서" xfId="1442"/>
    <cellStyle name="1_total_총괄내역0518_노임단가표_진해자은수량산출서(단지내)_기초산출표-56-128-최종" xfId="1443"/>
    <cellStyle name="1_total_총괄내역0518_노임단가표_진해자은수량산출서(단지내)_기초산출표-56-128-최종_00-설계서,원가계산,내역서" xfId="1444"/>
    <cellStyle name="1_total_총괄내역0518_노임단가표_진해자은수량산출서(단지내)_기초산출표-56-128-최종_설계서-1" xfId="1445"/>
    <cellStyle name="1_total_총괄내역0518_노임단가표_진해자은수량산출서(단지내)_기초산출표-56-128-최종_설계서-1_00-설계서,원가계산,내역서" xfId="1446"/>
    <cellStyle name="1_total_총괄내역0518_노임단가표_진해자은수량산출서(단지내)_설계서-1" xfId="1447"/>
    <cellStyle name="1_total_총괄내역0518_노임단가표_진해자은수량산출서(단지내)_설계서-1_00-설계서,원가계산,내역서" xfId="1448"/>
    <cellStyle name="1_total_총괄내역0518_노임단가표_진해자은수량산출서(단지내)_취합" xfId="1449"/>
    <cellStyle name="1_total_총괄내역0518_노임단가표_진해자은수량산출서(단지내)_취합_00-설계서,원가계산,내역서" xfId="1450"/>
    <cellStyle name="1_total_총괄내역0518_노임단가표_진해자은수량산출서(단지내)_취합_설계서-1" xfId="1451"/>
    <cellStyle name="1_total_총괄내역0518_노임단가표_진해자은수량산출서(단지내)_취합_설계서-1_00-설계서,원가계산,내역서" xfId="1452"/>
    <cellStyle name="1_total_총괄내역0518_설계서-1" xfId="1453"/>
    <cellStyle name="1_total_총괄내역0518_설계서-1_00-설계서,원가계산,내역서" xfId="1454"/>
    <cellStyle name="1_total_총괄내역0518_수도권매립지" xfId="1455"/>
    <cellStyle name="1_total_총괄내역0518_수도권매립지1004(발주용)" xfId="1471"/>
    <cellStyle name="1_total_총괄내역0518_수도권매립지1004(발주용)_00-설계서,원가계산,내역서" xfId="1472"/>
    <cellStyle name="1_total_총괄내역0518_수도권매립지1004(발주용)_설계서-1" xfId="1473"/>
    <cellStyle name="1_total_총괄내역0518_수도권매립지1004(발주용)_설계서-1_00-설계서,원가계산,내역서" xfId="1474"/>
    <cellStyle name="1_total_총괄내역0518_수도권매립지1004(발주용)_진해자은수량산출서(단지내)" xfId="1475"/>
    <cellStyle name="1_total_총괄내역0518_수도권매립지1004(발주용)_진해자은수량산출서(단지내)_00-설계서,원가계산,내역서" xfId="1476"/>
    <cellStyle name="1_total_총괄내역0518_수도권매립지1004(발주용)_진해자은수량산출서(단지내)_기초산출표-56-128-최종" xfId="1477"/>
    <cellStyle name="1_total_총괄내역0518_수도권매립지1004(발주용)_진해자은수량산출서(단지내)_기초산출표-56-128-최종_00-설계서,원가계산,내역서" xfId="1478"/>
    <cellStyle name="1_total_총괄내역0518_수도권매립지1004(발주용)_진해자은수량산출서(단지내)_기초산출표-56-128-최종_설계서-1" xfId="1479"/>
    <cellStyle name="1_total_총괄내역0518_수도권매립지1004(발주용)_진해자은수량산출서(단지내)_기초산출표-56-128-최종_설계서-1_00-설계서,원가계산,내역서" xfId="1480"/>
    <cellStyle name="1_total_총괄내역0518_수도권매립지1004(발주용)_진해자은수량산출서(단지내)_설계서-1" xfId="1481"/>
    <cellStyle name="1_total_총괄내역0518_수도권매립지1004(발주용)_진해자은수량산출서(단지내)_설계서-1_00-설계서,원가계산,내역서" xfId="1482"/>
    <cellStyle name="1_total_총괄내역0518_수도권매립지1004(발주용)_진해자은수량산출서(단지내)_취합" xfId="1483"/>
    <cellStyle name="1_total_총괄내역0518_수도권매립지1004(발주용)_진해자은수량산출서(단지내)_취합_00-설계서,원가계산,내역서" xfId="1484"/>
    <cellStyle name="1_total_총괄내역0518_수도권매립지1004(발주용)_진해자은수량산출서(단지내)_취합_설계서-1" xfId="1485"/>
    <cellStyle name="1_total_총괄내역0518_수도권매립지1004(발주용)_진해자은수량산출서(단지내)_취합_설계서-1_00-설계서,원가계산,내역서" xfId="1486"/>
    <cellStyle name="1_total_총괄내역0518_수도권매립지_00-설계서,원가계산,내역서" xfId="1456"/>
    <cellStyle name="1_total_총괄내역0518_수도권매립지_설계서-1" xfId="1457"/>
    <cellStyle name="1_total_총괄내역0518_수도권매립지_설계서-1_00-설계서,원가계산,내역서" xfId="1458"/>
    <cellStyle name="1_total_총괄내역0518_수도권매립지_진해자은수량산출서(단지내)" xfId="1459"/>
    <cellStyle name="1_total_총괄내역0518_수도권매립지_진해자은수량산출서(단지내)_00-설계서,원가계산,내역서" xfId="1460"/>
    <cellStyle name="1_total_총괄내역0518_수도권매립지_진해자은수량산출서(단지내)_기초산출표-56-128-최종" xfId="1461"/>
    <cellStyle name="1_total_총괄내역0518_수도권매립지_진해자은수량산출서(단지내)_기초산출표-56-128-최종_00-설계서,원가계산,내역서" xfId="1462"/>
    <cellStyle name="1_total_총괄내역0518_수도권매립지_진해자은수량산출서(단지내)_기초산출표-56-128-최종_설계서-1" xfId="1463"/>
    <cellStyle name="1_total_총괄내역0518_수도권매립지_진해자은수량산출서(단지내)_기초산출표-56-128-최종_설계서-1_00-설계서,원가계산,내역서" xfId="1464"/>
    <cellStyle name="1_total_총괄내역0518_수도권매립지_진해자은수량산출서(단지내)_설계서-1" xfId="1465"/>
    <cellStyle name="1_total_총괄내역0518_수도권매립지_진해자은수량산출서(단지내)_설계서-1_00-설계서,원가계산,내역서" xfId="1466"/>
    <cellStyle name="1_total_총괄내역0518_수도권매립지_진해자은수량산출서(단지내)_취합" xfId="1467"/>
    <cellStyle name="1_total_총괄내역0518_수도권매립지_진해자은수량산출서(단지내)_취합_00-설계서,원가계산,내역서" xfId="1468"/>
    <cellStyle name="1_total_총괄내역0518_수도권매립지_진해자은수량산출서(단지내)_취합_설계서-1" xfId="1469"/>
    <cellStyle name="1_total_총괄내역0518_수도권매립지_진해자은수량산출서(단지내)_취합_설계서-1_00-설계서,원가계산,내역서" xfId="1470"/>
    <cellStyle name="1_total_총괄내역0518_일신건영설계예산서(0211)" xfId="1487"/>
    <cellStyle name="1_total_총괄내역0518_일신건영설계예산서(0211)_00-설계서,원가계산,내역서" xfId="1488"/>
    <cellStyle name="1_total_총괄내역0518_일신건영설계예산서(0211)_설계서-1" xfId="1489"/>
    <cellStyle name="1_total_총괄내역0518_일신건영설계예산서(0211)_설계서-1_00-설계서,원가계산,내역서" xfId="1490"/>
    <cellStyle name="1_total_총괄내역0518_일신건영설계예산서(0211)_진해자은수량산출서(단지내)" xfId="1491"/>
    <cellStyle name="1_total_총괄내역0518_일신건영설계예산서(0211)_진해자은수량산출서(단지내)_00-설계서,원가계산,내역서" xfId="1492"/>
    <cellStyle name="1_total_총괄내역0518_일신건영설계예산서(0211)_진해자은수량산출서(단지내)_기초산출표-56-128-최종" xfId="1493"/>
    <cellStyle name="1_total_총괄내역0518_일신건영설계예산서(0211)_진해자은수량산출서(단지내)_기초산출표-56-128-최종_00-설계서,원가계산,내역서" xfId="1494"/>
    <cellStyle name="1_total_총괄내역0518_일신건영설계예산서(0211)_진해자은수량산출서(단지내)_기초산출표-56-128-최종_설계서-1" xfId="1495"/>
    <cellStyle name="1_total_총괄내역0518_일신건영설계예산서(0211)_진해자은수량산출서(단지내)_기초산출표-56-128-최종_설계서-1_00-설계서,원가계산,내역서" xfId="1496"/>
    <cellStyle name="1_total_총괄내역0518_일신건영설계예산서(0211)_진해자은수량산출서(단지내)_설계서-1" xfId="1497"/>
    <cellStyle name="1_total_총괄내역0518_일신건영설계예산서(0211)_진해자은수량산출서(단지내)_설계서-1_00-설계서,원가계산,내역서" xfId="1498"/>
    <cellStyle name="1_total_총괄내역0518_일신건영설계예산서(0211)_진해자은수량산출서(단지내)_취합" xfId="1499"/>
    <cellStyle name="1_total_총괄내역0518_일신건영설계예산서(0211)_진해자은수량산출서(단지내)_취합_00-설계서,원가계산,내역서" xfId="1500"/>
    <cellStyle name="1_total_총괄내역0518_일신건영설계예산서(0211)_진해자은수량산출서(단지내)_취합_설계서-1" xfId="1501"/>
    <cellStyle name="1_total_총괄내역0518_일신건영설계예산서(0211)_진해자은수량산출서(단지내)_취합_설계서-1_00-설계서,원가계산,내역서" xfId="1502"/>
    <cellStyle name="1_total_총괄내역0518_일위대가" xfId="1503"/>
    <cellStyle name="1_total_총괄내역0518_일위대가_00-설계서,원가계산,내역서" xfId="1504"/>
    <cellStyle name="1_total_총괄내역0518_일위대가_설계서-1" xfId="1505"/>
    <cellStyle name="1_total_총괄내역0518_일위대가_설계서-1_00-설계서,원가계산,내역서" xfId="1506"/>
    <cellStyle name="1_total_총괄내역0518_일위대가_진해자은수량산출서(단지내)" xfId="1507"/>
    <cellStyle name="1_total_총괄내역0518_일위대가_진해자은수량산출서(단지내)_00-설계서,원가계산,내역서" xfId="1508"/>
    <cellStyle name="1_total_총괄내역0518_일위대가_진해자은수량산출서(단지내)_기초산출표-56-128-최종" xfId="1509"/>
    <cellStyle name="1_total_총괄내역0518_일위대가_진해자은수량산출서(단지내)_기초산출표-56-128-최종_00-설계서,원가계산,내역서" xfId="1510"/>
    <cellStyle name="1_total_총괄내역0518_일위대가_진해자은수량산출서(단지내)_기초산출표-56-128-최종_설계서-1" xfId="1511"/>
    <cellStyle name="1_total_총괄내역0518_일위대가_진해자은수량산출서(단지내)_기초산출표-56-128-최종_설계서-1_00-설계서,원가계산,내역서" xfId="1512"/>
    <cellStyle name="1_total_총괄내역0518_일위대가_진해자은수량산출서(단지내)_설계서-1" xfId="1513"/>
    <cellStyle name="1_total_총괄내역0518_일위대가_진해자은수량산출서(단지내)_설계서-1_00-설계서,원가계산,내역서" xfId="1514"/>
    <cellStyle name="1_total_총괄내역0518_일위대가_진해자은수량산출서(단지내)_취합" xfId="1515"/>
    <cellStyle name="1_total_총괄내역0518_일위대가_진해자은수량산출서(단지내)_취합_00-설계서,원가계산,내역서" xfId="1516"/>
    <cellStyle name="1_total_총괄내역0518_일위대가_진해자은수량산출서(단지내)_취합_설계서-1" xfId="1517"/>
    <cellStyle name="1_total_총괄내역0518_일위대가_진해자은수량산출서(단지내)_취합_설계서-1_00-설계서,원가계산,내역서" xfId="1518"/>
    <cellStyle name="1_total_총괄내역0518_자재단가표" xfId="1519"/>
    <cellStyle name="1_total_총괄내역0518_자재단가표_00-설계서,원가계산,내역서" xfId="1520"/>
    <cellStyle name="1_total_총괄내역0518_자재단가표_설계서-1" xfId="1521"/>
    <cellStyle name="1_total_총괄내역0518_자재단가표_설계서-1_00-설계서,원가계산,내역서" xfId="1522"/>
    <cellStyle name="1_total_총괄내역0518_자재단가표_진해자은수량산출서(단지내)" xfId="1523"/>
    <cellStyle name="1_total_총괄내역0518_자재단가표_진해자은수량산출서(단지내)_00-설계서,원가계산,내역서" xfId="1524"/>
    <cellStyle name="1_total_총괄내역0518_자재단가표_진해자은수량산출서(단지내)_기초산출표-56-128-최종" xfId="1525"/>
    <cellStyle name="1_total_총괄내역0518_자재단가표_진해자은수량산출서(단지내)_기초산출표-56-128-최종_00-설계서,원가계산,내역서" xfId="1526"/>
    <cellStyle name="1_total_총괄내역0518_자재단가표_진해자은수량산출서(단지내)_기초산출표-56-128-최종_설계서-1" xfId="1527"/>
    <cellStyle name="1_total_총괄내역0518_자재단가표_진해자은수량산출서(단지내)_기초산출표-56-128-최종_설계서-1_00-설계서,원가계산,내역서" xfId="1528"/>
    <cellStyle name="1_total_총괄내역0518_자재단가표_진해자은수량산출서(단지내)_설계서-1" xfId="1529"/>
    <cellStyle name="1_total_총괄내역0518_자재단가표_진해자은수량산출서(단지내)_설계서-1_00-설계서,원가계산,내역서" xfId="1530"/>
    <cellStyle name="1_total_총괄내역0518_자재단가표_진해자은수량산출서(단지내)_취합" xfId="1531"/>
    <cellStyle name="1_total_총괄내역0518_자재단가표_진해자은수량산출서(단지내)_취합_00-설계서,원가계산,내역서" xfId="1532"/>
    <cellStyle name="1_total_총괄내역0518_자재단가표_진해자은수량산출서(단지내)_취합_설계서-1" xfId="1533"/>
    <cellStyle name="1_total_총괄내역0518_자재단가표_진해자은수량산출서(단지내)_취합_설계서-1_00-설계서,원가계산,내역서" xfId="1534"/>
    <cellStyle name="1_total_총괄내역0518_장안초등학교내역0814" xfId="1535"/>
    <cellStyle name="1_total_총괄내역0518_장안초등학교내역0814_00-설계서,원가계산,내역서" xfId="1536"/>
    <cellStyle name="1_total_총괄내역0518_장안초등학교내역0814_설계서-1" xfId="1537"/>
    <cellStyle name="1_total_총괄내역0518_장안초등학교내역0814_설계서-1_00-설계서,원가계산,내역서" xfId="1538"/>
    <cellStyle name="1_total_총괄내역0518_장안초등학교내역0814_진해자은수량산출서(단지내)" xfId="1539"/>
    <cellStyle name="1_total_총괄내역0518_장안초등학교내역0814_진해자은수량산출서(단지내)_00-설계서,원가계산,내역서" xfId="1540"/>
    <cellStyle name="1_total_총괄내역0518_장안초등학교내역0814_진해자은수량산출서(단지내)_기초산출표-56-128-최종" xfId="1541"/>
    <cellStyle name="1_total_총괄내역0518_장안초등학교내역0814_진해자은수량산출서(단지내)_기초산출표-56-128-최종_00-설계서,원가계산,내역서" xfId="1542"/>
    <cellStyle name="1_total_총괄내역0518_장안초등학교내역0814_진해자은수량산출서(단지내)_기초산출표-56-128-최종_설계서-1" xfId="1543"/>
    <cellStyle name="1_total_총괄내역0518_장안초등학교내역0814_진해자은수량산출서(단지내)_기초산출표-56-128-최종_설계서-1_00-설계서,원가계산,내역서" xfId="1544"/>
    <cellStyle name="1_total_총괄내역0518_장안초등학교내역0814_진해자은수량산출서(단지내)_설계서-1" xfId="1545"/>
    <cellStyle name="1_total_총괄내역0518_장안초등학교내역0814_진해자은수량산출서(단지내)_설계서-1_00-설계서,원가계산,내역서" xfId="1546"/>
    <cellStyle name="1_total_총괄내역0518_장안초등학교내역0814_진해자은수량산출서(단지내)_취합" xfId="1547"/>
    <cellStyle name="1_total_총괄내역0518_장안초등학교내역0814_진해자은수량산출서(단지내)_취합_00-설계서,원가계산,내역서" xfId="1548"/>
    <cellStyle name="1_total_총괄내역0518_장안초등학교내역0814_진해자은수량산출서(단지내)_취합_설계서-1" xfId="1549"/>
    <cellStyle name="1_total_총괄내역0518_장안초등학교내역0814_진해자은수량산출서(단지내)_취합_설계서-1_00-설계서,원가계산,내역서" xfId="1550"/>
    <cellStyle name="1_total_총괄내역0518_진해자은수량산출서(단지내)" xfId="1551"/>
    <cellStyle name="1_total_총괄내역0518_진해자은수량산출서(단지내)_00-설계서,원가계산,내역서" xfId="1552"/>
    <cellStyle name="1_total_총괄내역0518_진해자은수량산출서(단지내)_기초산출표-56-128-최종" xfId="1553"/>
    <cellStyle name="1_total_총괄내역0518_진해자은수량산출서(단지내)_기초산출표-56-128-최종_00-설계서,원가계산,내역서" xfId="1554"/>
    <cellStyle name="1_total_총괄내역0518_진해자은수량산출서(단지내)_기초산출표-56-128-최종_설계서-1" xfId="1555"/>
    <cellStyle name="1_total_총괄내역0518_진해자은수량산출서(단지내)_기초산출표-56-128-최종_설계서-1_00-설계서,원가계산,내역서" xfId="1556"/>
    <cellStyle name="1_total_총괄내역0518_진해자은수량산출서(단지내)_설계서-1" xfId="1557"/>
    <cellStyle name="1_total_총괄내역0518_진해자은수량산출서(단지내)_설계서-1_00-설계서,원가계산,내역서" xfId="1558"/>
    <cellStyle name="1_total_총괄내역0518_진해자은수량산출서(단지내)_취합" xfId="1559"/>
    <cellStyle name="1_total_총괄내역0518_진해자은수량산출서(단지내)_취합_00-설계서,원가계산,내역서" xfId="1560"/>
    <cellStyle name="1_total_총괄내역0518_진해자은수량산출서(단지내)_취합_설계서-1" xfId="1561"/>
    <cellStyle name="1_total_총괄내역0518_진해자은수량산출서(단지내)_취합_설계서-1_00-설계서,원가계산,내역서" xfId="1562"/>
    <cellStyle name="1_total_현충묘지-예산서(조경)" xfId="1563"/>
    <cellStyle name="1_total_현충묘지-예산서(조경)_00-설계서,원가계산,내역서" xfId="1564"/>
    <cellStyle name="1_total_현충묘지-예산서(조경)_목동내역" xfId="1565"/>
    <cellStyle name="1_total_현충묘지-예산서(조경)_목동내역_00-설계서,원가계산,내역서" xfId="1566"/>
    <cellStyle name="1_total_현충묘지-예산서(조경)_목동내역_폐기물집계" xfId="1567"/>
    <cellStyle name="1_total_현충묘지-예산서(조경)_목동내역_폐기물집계_00-설계서,원가계산,내역서" xfId="1568"/>
    <cellStyle name="1_total_현충묘지-예산서(조경)_예산서-엑셀변환양식100" xfId="1569"/>
    <cellStyle name="1_total_현충묘지-예산서(조경)_예산서-엑셀변환양식100_00-설계서,원가계산,내역서" xfId="1570"/>
    <cellStyle name="1_total_현충묘지-예산서(조경)_예산서-엑셀변환양식100_목동내역" xfId="1571"/>
    <cellStyle name="1_total_현충묘지-예산서(조경)_예산서-엑셀변환양식100_목동내역_00-설계서,원가계산,내역서" xfId="1572"/>
    <cellStyle name="1_total_현충묘지-예산서(조경)_예산서-엑셀변환양식100_목동내역_폐기물집계" xfId="1573"/>
    <cellStyle name="1_total_현충묘지-예산서(조경)_예산서-엑셀변환양식100_목동내역_폐기물집계_00-설계서,원가계산,내역서" xfId="1574"/>
    <cellStyle name="1_tree" xfId="1575"/>
    <cellStyle name="1_tree_00-설계서,원가계산,내역서" xfId="1576"/>
    <cellStyle name="1_tree_00-수량산출서" xfId="1577"/>
    <cellStyle name="1_tree_00-수량산출서_00-설계서,원가계산,내역서" xfId="1578"/>
    <cellStyle name="1_tree_01-내역서(071118)" xfId="1579"/>
    <cellStyle name="1_tree_01-내역서(071118)_00-설계서,원가계산,내역서" xfId="1580"/>
    <cellStyle name="1_tree_구로리총괄내역" xfId="1581"/>
    <cellStyle name="1_tree_구로리총괄내역_00-설계서,원가계산,내역서" xfId="1582"/>
    <cellStyle name="1_tree_구로리총괄내역_구로리설계예산서1029" xfId="1583"/>
    <cellStyle name="1_tree_구로리총괄내역_구로리설계예산서1029_00-설계서,원가계산,내역서" xfId="1584"/>
    <cellStyle name="1_tree_구로리총괄내역_구로리설계예산서1029_설계서-1" xfId="1585"/>
    <cellStyle name="1_tree_구로리총괄내역_구로리설계예산서1029_설계서-1_00-설계서,원가계산,내역서" xfId="1586"/>
    <cellStyle name="1_tree_구로리총괄내역_구로리설계예산서1029_진해자은수량산출서(단지내)" xfId="1587"/>
    <cellStyle name="1_tree_구로리총괄내역_구로리설계예산서1029_진해자은수량산출서(단지내)_00-설계서,원가계산,내역서" xfId="1588"/>
    <cellStyle name="1_tree_구로리총괄내역_구로리설계예산서1029_진해자은수량산출서(단지내)_기초산출표-56-128-최종" xfId="1589"/>
    <cellStyle name="1_tree_구로리총괄내역_구로리설계예산서1029_진해자은수량산출서(단지내)_기초산출표-56-128-최종_00-설계서,원가계산,내역서" xfId="1590"/>
    <cellStyle name="1_tree_구로리총괄내역_구로리설계예산서1029_진해자은수량산출서(단지내)_기초산출표-56-128-최종_설계서-1" xfId="1591"/>
    <cellStyle name="1_tree_구로리총괄내역_구로리설계예산서1029_진해자은수량산출서(단지내)_기초산출표-56-128-최종_설계서-1_00-설계서,원가계산,내역서" xfId="1592"/>
    <cellStyle name="1_tree_구로리총괄내역_구로리설계예산서1029_진해자은수량산출서(단지내)_설계서-1" xfId="1593"/>
    <cellStyle name="1_tree_구로리총괄내역_구로리설계예산서1029_진해자은수량산출서(단지내)_설계서-1_00-설계서,원가계산,내역서" xfId="1594"/>
    <cellStyle name="1_tree_구로리총괄내역_구로리설계예산서1029_진해자은수량산출서(단지내)_취합" xfId="1595"/>
    <cellStyle name="1_tree_구로리총괄내역_구로리설계예산서1029_진해자은수량산출서(단지내)_취합_00-설계서,원가계산,내역서" xfId="1596"/>
    <cellStyle name="1_tree_구로리총괄내역_구로리설계예산서1029_진해자은수량산출서(단지내)_취합_설계서-1" xfId="1597"/>
    <cellStyle name="1_tree_구로리총괄내역_구로리설계예산서1029_진해자은수량산출서(단지내)_취합_설계서-1_00-설계서,원가계산,내역서" xfId="1598"/>
    <cellStyle name="1_tree_구로리총괄내역_구로리설계예산서1118준공" xfId="1599"/>
    <cellStyle name="1_tree_구로리총괄내역_구로리설계예산서1118준공_00-설계서,원가계산,내역서" xfId="1600"/>
    <cellStyle name="1_tree_구로리총괄내역_구로리설계예산서1118준공_설계서-1" xfId="1601"/>
    <cellStyle name="1_tree_구로리총괄내역_구로리설계예산서1118준공_설계서-1_00-설계서,원가계산,내역서" xfId="1602"/>
    <cellStyle name="1_tree_구로리총괄내역_구로리설계예산서1118준공_진해자은수량산출서(단지내)" xfId="1603"/>
    <cellStyle name="1_tree_구로리총괄내역_구로리설계예산서1118준공_진해자은수량산출서(단지내)_00-설계서,원가계산,내역서" xfId="1604"/>
    <cellStyle name="1_tree_구로리총괄내역_구로리설계예산서1118준공_진해자은수량산출서(단지내)_기초산출표-56-128-최종" xfId="1605"/>
    <cellStyle name="1_tree_구로리총괄내역_구로리설계예산서1118준공_진해자은수량산출서(단지내)_기초산출표-56-128-최종_00-설계서,원가계산,내역서" xfId="1606"/>
    <cellStyle name="1_tree_구로리총괄내역_구로리설계예산서1118준공_진해자은수량산출서(단지내)_기초산출표-56-128-최종_설계서-1" xfId="1607"/>
    <cellStyle name="1_tree_구로리총괄내역_구로리설계예산서1118준공_진해자은수량산출서(단지내)_기초산출표-56-128-최종_설계서-1_00-설계서,원가계산,내역서" xfId="1608"/>
    <cellStyle name="1_tree_구로리총괄내역_구로리설계예산서1118준공_진해자은수량산출서(단지내)_설계서-1" xfId="1609"/>
    <cellStyle name="1_tree_구로리총괄내역_구로리설계예산서1118준공_진해자은수량산출서(단지내)_설계서-1_00-설계서,원가계산,내역서" xfId="1610"/>
    <cellStyle name="1_tree_구로리총괄내역_구로리설계예산서1118준공_진해자은수량산출서(단지내)_취합" xfId="1611"/>
    <cellStyle name="1_tree_구로리총괄내역_구로리설계예산서1118준공_진해자은수량산출서(단지내)_취합_00-설계서,원가계산,내역서" xfId="1612"/>
    <cellStyle name="1_tree_구로리총괄내역_구로리설계예산서1118준공_진해자은수량산출서(단지내)_취합_설계서-1" xfId="1613"/>
    <cellStyle name="1_tree_구로리총괄내역_구로리설계예산서1118준공_진해자은수량산출서(단지내)_취합_설계서-1_00-설계서,원가계산,내역서" xfId="1614"/>
    <cellStyle name="1_tree_구로리총괄내역_구로리설계예산서조경" xfId="1615"/>
    <cellStyle name="1_tree_구로리총괄내역_구로리설계예산서조경_00-설계서,원가계산,내역서" xfId="1616"/>
    <cellStyle name="1_tree_구로리총괄내역_구로리설계예산서조경_설계서-1" xfId="1617"/>
    <cellStyle name="1_tree_구로리총괄내역_구로리설계예산서조경_설계서-1_00-설계서,원가계산,내역서" xfId="1618"/>
    <cellStyle name="1_tree_구로리총괄내역_구로리설계예산서조경_진해자은수량산출서(단지내)" xfId="1619"/>
    <cellStyle name="1_tree_구로리총괄내역_구로리설계예산서조경_진해자은수량산출서(단지내)_00-설계서,원가계산,내역서" xfId="1620"/>
    <cellStyle name="1_tree_구로리총괄내역_구로리설계예산서조경_진해자은수량산출서(단지내)_기초산출표-56-128-최종" xfId="1621"/>
    <cellStyle name="1_tree_구로리총괄내역_구로리설계예산서조경_진해자은수량산출서(단지내)_기초산출표-56-128-최종_00-설계서,원가계산,내역서" xfId="1622"/>
    <cellStyle name="1_tree_구로리총괄내역_구로리설계예산서조경_진해자은수량산출서(단지내)_기초산출표-56-128-최종_설계서-1" xfId="1623"/>
    <cellStyle name="1_tree_구로리총괄내역_구로리설계예산서조경_진해자은수량산출서(단지내)_기초산출표-56-128-최종_설계서-1_00-설계서,원가계산,내역서" xfId="1624"/>
    <cellStyle name="1_tree_구로리총괄내역_구로리설계예산서조경_진해자은수량산출서(단지내)_설계서-1" xfId="1625"/>
    <cellStyle name="1_tree_구로리총괄내역_구로리설계예산서조경_진해자은수량산출서(단지내)_설계서-1_00-설계서,원가계산,내역서" xfId="1626"/>
    <cellStyle name="1_tree_구로리총괄내역_구로리설계예산서조경_진해자은수량산출서(단지내)_취합" xfId="1627"/>
    <cellStyle name="1_tree_구로리총괄내역_구로리설계예산서조경_진해자은수량산출서(단지내)_취합_00-설계서,원가계산,내역서" xfId="1628"/>
    <cellStyle name="1_tree_구로리총괄내역_구로리설계예산서조경_진해자은수량산출서(단지내)_취합_설계서-1" xfId="1629"/>
    <cellStyle name="1_tree_구로리총괄내역_구로리설계예산서조경_진해자은수량산출서(단지내)_취합_설계서-1_00-설계서,원가계산,내역서" xfId="1630"/>
    <cellStyle name="1_tree_구로리총괄내역_구로리어린이공원예산서(조경)1125" xfId="1631"/>
    <cellStyle name="1_tree_구로리총괄내역_구로리어린이공원예산서(조경)1125_00-설계서,원가계산,내역서" xfId="1632"/>
    <cellStyle name="1_tree_구로리총괄내역_구로리어린이공원예산서(조경)1125_설계서-1" xfId="1633"/>
    <cellStyle name="1_tree_구로리총괄내역_구로리어린이공원예산서(조경)1125_설계서-1_00-설계서,원가계산,내역서" xfId="1634"/>
    <cellStyle name="1_tree_구로리총괄내역_구로리어린이공원예산서(조경)1125_진해자은수량산출서(단지내)" xfId="1635"/>
    <cellStyle name="1_tree_구로리총괄내역_구로리어린이공원예산서(조경)1125_진해자은수량산출서(단지내)_00-설계서,원가계산,내역서" xfId="1636"/>
    <cellStyle name="1_tree_구로리총괄내역_구로리어린이공원예산서(조경)1125_진해자은수량산출서(단지내)_기초산출표-56-128-최종" xfId="1637"/>
    <cellStyle name="1_tree_구로리총괄내역_구로리어린이공원예산서(조경)1125_진해자은수량산출서(단지내)_기초산출표-56-128-최종_00-설계서,원가계산,내역서" xfId="1638"/>
    <cellStyle name="1_tree_구로리총괄내역_구로리어린이공원예산서(조경)1125_진해자은수량산출서(단지내)_기초산출표-56-128-최종_설계서-1" xfId="1639"/>
    <cellStyle name="1_tree_구로리총괄내역_구로리어린이공원예산서(조경)1125_진해자은수량산출서(단지내)_기초산출표-56-128-최종_설계서-1_00-설계서,원가계산,내역서" xfId="1640"/>
    <cellStyle name="1_tree_구로리총괄내역_구로리어린이공원예산서(조경)1125_진해자은수량산출서(단지내)_설계서-1" xfId="1641"/>
    <cellStyle name="1_tree_구로리총괄내역_구로리어린이공원예산서(조경)1125_진해자은수량산출서(단지내)_설계서-1_00-설계서,원가계산,내역서" xfId="1642"/>
    <cellStyle name="1_tree_구로리총괄내역_구로리어린이공원예산서(조경)1125_진해자은수량산출서(단지내)_취합" xfId="1643"/>
    <cellStyle name="1_tree_구로리총괄내역_구로리어린이공원예산서(조경)1125_진해자은수량산출서(단지내)_취합_00-설계서,원가계산,내역서" xfId="1644"/>
    <cellStyle name="1_tree_구로리총괄내역_구로리어린이공원예산서(조경)1125_진해자은수량산출서(단지내)_취합_설계서-1" xfId="1645"/>
    <cellStyle name="1_tree_구로리총괄내역_구로리어린이공원예산서(조경)1125_진해자은수량산출서(단지내)_취합_설계서-1_00-설계서,원가계산,내역서" xfId="1646"/>
    <cellStyle name="1_tree_구로리총괄내역_내역서" xfId="1647"/>
    <cellStyle name="1_tree_구로리총괄내역_내역서_00-설계서,원가계산,내역서" xfId="1648"/>
    <cellStyle name="1_tree_구로리총괄내역_내역서_설계서-1" xfId="1649"/>
    <cellStyle name="1_tree_구로리총괄내역_내역서_설계서-1_00-설계서,원가계산,내역서" xfId="1650"/>
    <cellStyle name="1_tree_구로리총괄내역_내역서_진해자은수량산출서(단지내)" xfId="1651"/>
    <cellStyle name="1_tree_구로리총괄내역_내역서_진해자은수량산출서(단지내)_00-설계서,원가계산,내역서" xfId="1652"/>
    <cellStyle name="1_tree_구로리총괄내역_내역서_진해자은수량산출서(단지내)_기초산출표-56-128-최종" xfId="1653"/>
    <cellStyle name="1_tree_구로리총괄내역_내역서_진해자은수량산출서(단지내)_기초산출표-56-128-최종_00-설계서,원가계산,내역서" xfId="1654"/>
    <cellStyle name="1_tree_구로리총괄내역_내역서_진해자은수량산출서(단지내)_기초산출표-56-128-최종_설계서-1" xfId="1655"/>
    <cellStyle name="1_tree_구로리총괄내역_내역서_진해자은수량산출서(단지내)_기초산출표-56-128-최종_설계서-1_00-설계서,원가계산,내역서" xfId="1656"/>
    <cellStyle name="1_tree_구로리총괄내역_내역서_진해자은수량산출서(단지내)_설계서-1" xfId="1657"/>
    <cellStyle name="1_tree_구로리총괄내역_내역서_진해자은수량산출서(단지내)_설계서-1_00-설계서,원가계산,내역서" xfId="1658"/>
    <cellStyle name="1_tree_구로리총괄내역_내역서_진해자은수량산출서(단지내)_취합" xfId="1659"/>
    <cellStyle name="1_tree_구로리총괄내역_내역서_진해자은수량산출서(단지내)_취합_00-설계서,원가계산,내역서" xfId="1660"/>
    <cellStyle name="1_tree_구로리총괄내역_내역서_진해자은수량산출서(단지내)_취합_설계서-1" xfId="1661"/>
    <cellStyle name="1_tree_구로리총괄내역_내역서_진해자은수량산출서(단지내)_취합_설계서-1_00-설계서,원가계산,내역서" xfId="1662"/>
    <cellStyle name="1_tree_구로리총괄내역_노임단가표" xfId="1663"/>
    <cellStyle name="1_tree_구로리총괄내역_노임단가표_00-설계서,원가계산,내역서" xfId="1664"/>
    <cellStyle name="1_tree_구로리총괄내역_노임단가표_설계서-1" xfId="1665"/>
    <cellStyle name="1_tree_구로리총괄내역_노임단가표_설계서-1_00-설계서,원가계산,내역서" xfId="1666"/>
    <cellStyle name="1_tree_구로리총괄내역_노임단가표_진해자은수량산출서(단지내)" xfId="1667"/>
    <cellStyle name="1_tree_구로리총괄내역_노임단가표_진해자은수량산출서(단지내)_00-설계서,원가계산,내역서" xfId="1668"/>
    <cellStyle name="1_tree_구로리총괄내역_노임단가표_진해자은수량산출서(단지내)_기초산출표-56-128-최종" xfId="1669"/>
    <cellStyle name="1_tree_구로리총괄내역_노임단가표_진해자은수량산출서(단지내)_기초산출표-56-128-최종_00-설계서,원가계산,내역서" xfId="1670"/>
    <cellStyle name="1_tree_구로리총괄내역_노임단가표_진해자은수량산출서(단지내)_기초산출표-56-128-최종_설계서-1" xfId="1671"/>
    <cellStyle name="1_tree_구로리총괄내역_노임단가표_진해자은수량산출서(단지내)_기초산출표-56-128-최종_설계서-1_00-설계서,원가계산,내역서" xfId="1672"/>
    <cellStyle name="1_tree_구로리총괄내역_노임단가표_진해자은수량산출서(단지내)_설계서-1" xfId="1673"/>
    <cellStyle name="1_tree_구로리총괄내역_노임단가표_진해자은수량산출서(단지내)_설계서-1_00-설계서,원가계산,내역서" xfId="1674"/>
    <cellStyle name="1_tree_구로리총괄내역_노임단가표_진해자은수량산출서(단지내)_취합" xfId="1675"/>
    <cellStyle name="1_tree_구로리총괄내역_노임단가표_진해자은수량산출서(단지내)_취합_00-설계서,원가계산,내역서" xfId="1676"/>
    <cellStyle name="1_tree_구로리총괄내역_노임단가표_진해자은수량산출서(단지내)_취합_설계서-1" xfId="1677"/>
    <cellStyle name="1_tree_구로리총괄내역_노임단가표_진해자은수량산출서(단지내)_취합_설계서-1_00-설계서,원가계산,내역서" xfId="1678"/>
    <cellStyle name="1_tree_구로리총괄내역_설계서-1" xfId="1679"/>
    <cellStyle name="1_tree_구로리총괄내역_설계서-1_00-설계서,원가계산,내역서" xfId="1680"/>
    <cellStyle name="1_tree_구로리총괄내역_수도권매립지" xfId="1681"/>
    <cellStyle name="1_tree_구로리총괄내역_수도권매립지1004(발주용)" xfId="1697"/>
    <cellStyle name="1_tree_구로리총괄내역_수도권매립지1004(발주용)_00-설계서,원가계산,내역서" xfId="1698"/>
    <cellStyle name="1_tree_구로리총괄내역_수도권매립지1004(발주용)_설계서-1" xfId="1699"/>
    <cellStyle name="1_tree_구로리총괄내역_수도권매립지1004(발주용)_설계서-1_00-설계서,원가계산,내역서" xfId="1700"/>
    <cellStyle name="1_tree_구로리총괄내역_수도권매립지1004(발주용)_진해자은수량산출서(단지내)" xfId="1701"/>
    <cellStyle name="1_tree_구로리총괄내역_수도권매립지1004(발주용)_진해자은수량산출서(단지내)_00-설계서,원가계산,내역서" xfId="1702"/>
    <cellStyle name="1_tree_구로리총괄내역_수도권매립지1004(발주용)_진해자은수량산출서(단지내)_기초산출표-56-128-최종" xfId="1703"/>
    <cellStyle name="1_tree_구로리총괄내역_수도권매립지1004(발주용)_진해자은수량산출서(단지내)_기초산출표-56-128-최종_00-설계서,원가계산,내역서" xfId="1704"/>
    <cellStyle name="1_tree_구로리총괄내역_수도권매립지1004(발주용)_진해자은수량산출서(단지내)_기초산출표-56-128-최종_설계서-1" xfId="1705"/>
    <cellStyle name="1_tree_구로리총괄내역_수도권매립지1004(발주용)_진해자은수량산출서(단지내)_기초산출표-56-128-최종_설계서-1_00-설계서,원가계산,내역서" xfId="1706"/>
    <cellStyle name="1_tree_구로리총괄내역_수도권매립지1004(발주용)_진해자은수량산출서(단지내)_설계서-1" xfId="1707"/>
    <cellStyle name="1_tree_구로리총괄내역_수도권매립지1004(발주용)_진해자은수량산출서(단지내)_설계서-1_00-설계서,원가계산,내역서" xfId="1708"/>
    <cellStyle name="1_tree_구로리총괄내역_수도권매립지1004(발주용)_진해자은수량산출서(단지내)_취합" xfId="1709"/>
    <cellStyle name="1_tree_구로리총괄내역_수도권매립지1004(발주용)_진해자은수량산출서(단지내)_취합_00-설계서,원가계산,내역서" xfId="1710"/>
    <cellStyle name="1_tree_구로리총괄내역_수도권매립지1004(발주용)_진해자은수량산출서(단지내)_취합_설계서-1" xfId="1711"/>
    <cellStyle name="1_tree_구로리총괄내역_수도권매립지1004(발주용)_진해자은수량산출서(단지내)_취합_설계서-1_00-설계서,원가계산,내역서" xfId="1712"/>
    <cellStyle name="1_tree_구로리총괄내역_수도권매립지_00-설계서,원가계산,내역서" xfId="1682"/>
    <cellStyle name="1_tree_구로리총괄내역_수도권매립지_설계서-1" xfId="1683"/>
    <cellStyle name="1_tree_구로리총괄내역_수도권매립지_설계서-1_00-설계서,원가계산,내역서" xfId="1684"/>
    <cellStyle name="1_tree_구로리총괄내역_수도권매립지_진해자은수량산출서(단지내)" xfId="1685"/>
    <cellStyle name="1_tree_구로리총괄내역_수도권매립지_진해자은수량산출서(단지내)_00-설계서,원가계산,내역서" xfId="1686"/>
    <cellStyle name="1_tree_구로리총괄내역_수도권매립지_진해자은수량산출서(단지내)_기초산출표-56-128-최종" xfId="1687"/>
    <cellStyle name="1_tree_구로리총괄내역_수도권매립지_진해자은수량산출서(단지내)_기초산출표-56-128-최종_00-설계서,원가계산,내역서" xfId="1688"/>
    <cellStyle name="1_tree_구로리총괄내역_수도권매립지_진해자은수량산출서(단지내)_기초산출표-56-128-최종_설계서-1" xfId="1689"/>
    <cellStyle name="1_tree_구로리총괄내역_수도권매립지_진해자은수량산출서(단지내)_기초산출표-56-128-최종_설계서-1_00-설계서,원가계산,내역서" xfId="1690"/>
    <cellStyle name="1_tree_구로리총괄내역_수도권매립지_진해자은수량산출서(단지내)_설계서-1" xfId="1691"/>
    <cellStyle name="1_tree_구로리총괄내역_수도권매립지_진해자은수량산출서(단지내)_설계서-1_00-설계서,원가계산,내역서" xfId="1692"/>
    <cellStyle name="1_tree_구로리총괄내역_수도권매립지_진해자은수량산출서(단지내)_취합" xfId="1693"/>
    <cellStyle name="1_tree_구로리총괄내역_수도권매립지_진해자은수량산출서(단지내)_취합_00-설계서,원가계산,내역서" xfId="1694"/>
    <cellStyle name="1_tree_구로리총괄내역_수도권매립지_진해자은수량산출서(단지내)_취합_설계서-1" xfId="1695"/>
    <cellStyle name="1_tree_구로리총괄내역_수도권매립지_진해자은수량산출서(단지내)_취합_설계서-1_00-설계서,원가계산,내역서" xfId="1696"/>
    <cellStyle name="1_tree_구로리총괄내역_일신건영설계예산서(0211)" xfId="1713"/>
    <cellStyle name="1_tree_구로리총괄내역_일신건영설계예산서(0211)_00-설계서,원가계산,내역서" xfId="1714"/>
    <cellStyle name="1_tree_구로리총괄내역_일신건영설계예산서(0211)_설계서-1" xfId="1715"/>
    <cellStyle name="1_tree_구로리총괄내역_일신건영설계예산서(0211)_설계서-1_00-설계서,원가계산,내역서" xfId="1716"/>
    <cellStyle name="1_tree_구로리총괄내역_일신건영설계예산서(0211)_진해자은수량산출서(단지내)" xfId="1717"/>
    <cellStyle name="1_tree_구로리총괄내역_일신건영설계예산서(0211)_진해자은수량산출서(단지내)_00-설계서,원가계산,내역서" xfId="1718"/>
    <cellStyle name="1_tree_구로리총괄내역_일신건영설계예산서(0211)_진해자은수량산출서(단지내)_기초산출표-56-128-최종" xfId="1719"/>
    <cellStyle name="1_tree_구로리총괄내역_일신건영설계예산서(0211)_진해자은수량산출서(단지내)_기초산출표-56-128-최종_00-설계서,원가계산,내역서" xfId="1720"/>
    <cellStyle name="1_tree_구로리총괄내역_일신건영설계예산서(0211)_진해자은수량산출서(단지내)_기초산출표-56-128-최종_설계서-1" xfId="1721"/>
    <cellStyle name="1_tree_구로리총괄내역_일신건영설계예산서(0211)_진해자은수량산출서(단지내)_기초산출표-56-128-최종_설계서-1_00-설계서,원가계산,내역서" xfId="1722"/>
    <cellStyle name="1_tree_구로리총괄내역_일신건영설계예산서(0211)_진해자은수량산출서(단지내)_설계서-1" xfId="1723"/>
    <cellStyle name="1_tree_구로리총괄내역_일신건영설계예산서(0211)_진해자은수량산출서(단지내)_설계서-1_00-설계서,원가계산,내역서" xfId="1724"/>
    <cellStyle name="1_tree_구로리총괄내역_일신건영설계예산서(0211)_진해자은수량산출서(단지내)_취합" xfId="1725"/>
    <cellStyle name="1_tree_구로리총괄내역_일신건영설계예산서(0211)_진해자은수량산출서(단지내)_취합_00-설계서,원가계산,내역서" xfId="1726"/>
    <cellStyle name="1_tree_구로리총괄내역_일신건영설계예산서(0211)_진해자은수량산출서(단지내)_취합_설계서-1" xfId="1727"/>
    <cellStyle name="1_tree_구로리총괄내역_일신건영설계예산서(0211)_진해자은수량산출서(단지내)_취합_설계서-1_00-설계서,원가계산,내역서" xfId="1728"/>
    <cellStyle name="1_tree_구로리총괄내역_일위대가" xfId="1729"/>
    <cellStyle name="1_tree_구로리총괄내역_일위대가_00-설계서,원가계산,내역서" xfId="1730"/>
    <cellStyle name="1_tree_구로리총괄내역_일위대가_설계서-1" xfId="1731"/>
    <cellStyle name="1_tree_구로리총괄내역_일위대가_설계서-1_00-설계서,원가계산,내역서" xfId="1732"/>
    <cellStyle name="1_tree_구로리총괄내역_일위대가_진해자은수량산출서(단지내)" xfId="1733"/>
    <cellStyle name="1_tree_구로리총괄내역_일위대가_진해자은수량산출서(단지내)_00-설계서,원가계산,내역서" xfId="1734"/>
    <cellStyle name="1_tree_구로리총괄내역_일위대가_진해자은수량산출서(단지내)_기초산출표-56-128-최종" xfId="1735"/>
    <cellStyle name="1_tree_구로리총괄내역_일위대가_진해자은수량산출서(단지내)_기초산출표-56-128-최종_00-설계서,원가계산,내역서" xfId="1736"/>
    <cellStyle name="1_tree_구로리총괄내역_일위대가_진해자은수량산출서(단지내)_기초산출표-56-128-최종_설계서-1" xfId="1737"/>
    <cellStyle name="1_tree_구로리총괄내역_일위대가_진해자은수량산출서(단지내)_기초산출표-56-128-최종_설계서-1_00-설계서,원가계산,내역서" xfId="1738"/>
    <cellStyle name="1_tree_구로리총괄내역_일위대가_진해자은수량산출서(단지내)_설계서-1" xfId="1739"/>
    <cellStyle name="1_tree_구로리총괄내역_일위대가_진해자은수량산출서(단지내)_설계서-1_00-설계서,원가계산,내역서" xfId="1740"/>
    <cellStyle name="1_tree_구로리총괄내역_일위대가_진해자은수량산출서(단지내)_취합" xfId="1741"/>
    <cellStyle name="1_tree_구로리총괄내역_일위대가_진해자은수량산출서(단지내)_취합_00-설계서,원가계산,내역서" xfId="1742"/>
    <cellStyle name="1_tree_구로리총괄내역_일위대가_진해자은수량산출서(단지내)_취합_설계서-1" xfId="1743"/>
    <cellStyle name="1_tree_구로리총괄내역_일위대가_진해자은수량산출서(단지내)_취합_설계서-1_00-설계서,원가계산,내역서" xfId="1744"/>
    <cellStyle name="1_tree_구로리총괄내역_자재단가표" xfId="1745"/>
    <cellStyle name="1_tree_구로리총괄내역_자재단가표_00-설계서,원가계산,내역서" xfId="1746"/>
    <cellStyle name="1_tree_구로리총괄내역_자재단가표_설계서-1" xfId="1747"/>
    <cellStyle name="1_tree_구로리총괄내역_자재단가표_설계서-1_00-설계서,원가계산,내역서" xfId="1748"/>
    <cellStyle name="1_tree_구로리총괄내역_자재단가표_진해자은수량산출서(단지내)" xfId="1749"/>
    <cellStyle name="1_tree_구로리총괄내역_자재단가표_진해자은수량산출서(단지내)_00-설계서,원가계산,내역서" xfId="1750"/>
    <cellStyle name="1_tree_구로리총괄내역_자재단가표_진해자은수량산출서(단지내)_기초산출표-56-128-최종" xfId="1751"/>
    <cellStyle name="1_tree_구로리총괄내역_자재단가표_진해자은수량산출서(단지내)_기초산출표-56-128-최종_00-설계서,원가계산,내역서" xfId="1752"/>
    <cellStyle name="1_tree_구로리총괄내역_자재단가표_진해자은수량산출서(단지내)_기초산출표-56-128-최종_설계서-1" xfId="1753"/>
    <cellStyle name="1_tree_구로리총괄내역_자재단가표_진해자은수량산출서(단지내)_기초산출표-56-128-최종_설계서-1_00-설계서,원가계산,내역서" xfId="1754"/>
    <cellStyle name="1_tree_구로리총괄내역_자재단가표_진해자은수량산출서(단지내)_설계서-1" xfId="1755"/>
    <cellStyle name="1_tree_구로리총괄내역_자재단가표_진해자은수량산출서(단지내)_설계서-1_00-설계서,원가계산,내역서" xfId="1756"/>
    <cellStyle name="1_tree_구로리총괄내역_자재단가표_진해자은수량산출서(단지내)_취합" xfId="1757"/>
    <cellStyle name="1_tree_구로리총괄내역_자재단가표_진해자은수량산출서(단지내)_취합_00-설계서,원가계산,내역서" xfId="1758"/>
    <cellStyle name="1_tree_구로리총괄내역_자재단가표_진해자은수량산출서(단지내)_취합_설계서-1" xfId="1759"/>
    <cellStyle name="1_tree_구로리총괄내역_자재단가표_진해자은수량산출서(단지내)_취합_설계서-1_00-설계서,원가계산,내역서" xfId="1760"/>
    <cellStyle name="1_tree_구로리총괄내역_장안초등학교내역0814" xfId="1761"/>
    <cellStyle name="1_tree_구로리총괄내역_장안초등학교내역0814_00-설계서,원가계산,내역서" xfId="1762"/>
    <cellStyle name="1_tree_구로리총괄내역_장안초등학교내역0814_설계서-1" xfId="1763"/>
    <cellStyle name="1_tree_구로리총괄내역_장안초등학교내역0814_설계서-1_00-설계서,원가계산,내역서" xfId="1764"/>
    <cellStyle name="1_tree_구로리총괄내역_장안초등학교내역0814_진해자은수량산출서(단지내)" xfId="1765"/>
    <cellStyle name="1_tree_구로리총괄내역_장안초등학교내역0814_진해자은수량산출서(단지내)_00-설계서,원가계산,내역서" xfId="1766"/>
    <cellStyle name="1_tree_구로리총괄내역_장안초등학교내역0814_진해자은수량산출서(단지내)_기초산출표-56-128-최종" xfId="1767"/>
    <cellStyle name="1_tree_구로리총괄내역_장안초등학교내역0814_진해자은수량산출서(단지내)_기초산출표-56-128-최종_00-설계서,원가계산,내역서" xfId="1768"/>
    <cellStyle name="1_tree_구로리총괄내역_장안초등학교내역0814_진해자은수량산출서(단지내)_기초산출표-56-128-최종_설계서-1" xfId="1769"/>
    <cellStyle name="1_tree_구로리총괄내역_장안초등학교내역0814_진해자은수량산출서(단지내)_기초산출표-56-128-최종_설계서-1_00-설계서,원가계산,내역서" xfId="1770"/>
    <cellStyle name="1_tree_구로리총괄내역_장안초등학교내역0814_진해자은수량산출서(단지내)_설계서-1" xfId="1771"/>
    <cellStyle name="1_tree_구로리총괄내역_장안초등학교내역0814_진해자은수량산출서(단지내)_설계서-1_00-설계서,원가계산,내역서" xfId="1772"/>
    <cellStyle name="1_tree_구로리총괄내역_장안초등학교내역0814_진해자은수량산출서(단지내)_취합" xfId="1773"/>
    <cellStyle name="1_tree_구로리총괄내역_장안초등학교내역0814_진해자은수량산출서(단지내)_취합_00-설계서,원가계산,내역서" xfId="1774"/>
    <cellStyle name="1_tree_구로리총괄내역_장안초등학교내역0814_진해자은수량산출서(단지내)_취합_설계서-1" xfId="1775"/>
    <cellStyle name="1_tree_구로리총괄내역_장안초등학교내역0814_진해자은수량산출서(단지내)_취합_설계서-1_00-설계서,원가계산,내역서" xfId="1776"/>
    <cellStyle name="1_tree_구로리총괄내역_진해자은수량산출서(단지내)" xfId="1777"/>
    <cellStyle name="1_tree_구로리총괄내역_진해자은수량산출서(단지내)_00-설계서,원가계산,내역서" xfId="1778"/>
    <cellStyle name="1_tree_구로리총괄내역_진해자은수량산출서(단지내)_기초산출표-56-128-최종" xfId="1779"/>
    <cellStyle name="1_tree_구로리총괄내역_진해자은수량산출서(단지내)_기초산출표-56-128-최종_00-설계서,원가계산,내역서" xfId="1780"/>
    <cellStyle name="1_tree_구로리총괄내역_진해자은수량산출서(단지내)_기초산출표-56-128-최종_설계서-1" xfId="1781"/>
    <cellStyle name="1_tree_구로리총괄내역_진해자은수량산출서(단지내)_기초산출표-56-128-최종_설계서-1_00-설계서,원가계산,내역서" xfId="1782"/>
    <cellStyle name="1_tree_구로리총괄내역_진해자은수량산출서(단지내)_설계서-1" xfId="1783"/>
    <cellStyle name="1_tree_구로리총괄내역_진해자은수량산출서(단지내)_설계서-1_00-설계서,원가계산,내역서" xfId="1784"/>
    <cellStyle name="1_tree_구로리총괄내역_진해자은수량산출서(단지내)_취합" xfId="1785"/>
    <cellStyle name="1_tree_구로리총괄내역_진해자은수량산출서(단지내)_취합_00-설계서,원가계산,내역서" xfId="1786"/>
    <cellStyle name="1_tree_구로리총괄내역_진해자은수량산출서(단지내)_취합_설계서-1" xfId="1787"/>
    <cellStyle name="1_tree_구로리총괄내역_진해자은수량산출서(단지내)_취합_설계서-1_00-설계서,원가계산,내역서" xfId="1788"/>
    <cellStyle name="1_tree_목동내역" xfId="1789"/>
    <cellStyle name="1_tree_목동내역_00-설계서,원가계산,내역서" xfId="1790"/>
    <cellStyle name="1_tree_목동내역_폐기물집계" xfId="1791"/>
    <cellStyle name="1_tree_목동내역_폐기물집계_00-설계서,원가계산,내역서" xfId="1792"/>
    <cellStyle name="1_tree_설계서-1" xfId="1793"/>
    <cellStyle name="1_tree_설계서-1_00-설계서,원가계산,내역서" xfId="1794"/>
    <cellStyle name="1_tree_수량산출" xfId="1795"/>
    <cellStyle name="1_tree_수량산출_00-설계서,원가계산,내역서" xfId="1796"/>
    <cellStyle name="1_tree_수량산출_00-수량산출서" xfId="1797"/>
    <cellStyle name="1_tree_수량산출_00-수량산출서_00-설계서,원가계산,내역서" xfId="1798"/>
    <cellStyle name="1_tree_수량산출_01-내역서(071118)" xfId="1799"/>
    <cellStyle name="1_tree_수량산출_01-내역서(071118)_00-설계서,원가계산,내역서" xfId="1800"/>
    <cellStyle name="1_tree_수량산출_구로리총괄내역" xfId="1801"/>
    <cellStyle name="1_tree_수량산출_구로리총괄내역_00-설계서,원가계산,내역서" xfId="1802"/>
    <cellStyle name="1_tree_수량산출_구로리총괄내역_구로리설계예산서1029" xfId="1803"/>
    <cellStyle name="1_tree_수량산출_구로리총괄내역_구로리설계예산서1029_00-설계서,원가계산,내역서" xfId="1804"/>
    <cellStyle name="1_tree_수량산출_구로리총괄내역_구로리설계예산서1029_설계서-1" xfId="1805"/>
    <cellStyle name="1_tree_수량산출_구로리총괄내역_구로리설계예산서1029_설계서-1_00-설계서,원가계산,내역서" xfId="1806"/>
    <cellStyle name="1_tree_수량산출_구로리총괄내역_구로리설계예산서1029_진해자은수량산출서(단지내)" xfId="1807"/>
    <cellStyle name="1_tree_수량산출_구로리총괄내역_구로리설계예산서1029_진해자은수량산출서(단지내)_00-설계서,원가계산,내역서" xfId="1808"/>
    <cellStyle name="1_tree_수량산출_구로리총괄내역_구로리설계예산서1029_진해자은수량산출서(단지내)_기초산출표-56-128-최종" xfId="1809"/>
    <cellStyle name="1_tree_수량산출_구로리총괄내역_구로리설계예산서1029_진해자은수량산출서(단지내)_기초산출표-56-128-최종_00-설계서,원가계산,내역서" xfId="1810"/>
    <cellStyle name="1_tree_수량산출_구로리총괄내역_구로리설계예산서1029_진해자은수량산출서(단지내)_기초산출표-56-128-최종_설계서-1" xfId="1811"/>
    <cellStyle name="1_tree_수량산출_구로리총괄내역_구로리설계예산서1029_진해자은수량산출서(단지내)_기초산출표-56-128-최종_설계서-1_00-설계서,원가계산,내역서" xfId="1812"/>
    <cellStyle name="1_tree_수량산출_구로리총괄내역_구로리설계예산서1029_진해자은수량산출서(단지내)_설계서-1" xfId="1813"/>
    <cellStyle name="1_tree_수량산출_구로리총괄내역_구로리설계예산서1029_진해자은수량산출서(단지내)_설계서-1_00-설계서,원가계산,내역서" xfId="1814"/>
    <cellStyle name="1_tree_수량산출_구로리총괄내역_구로리설계예산서1029_진해자은수량산출서(단지내)_취합" xfId="1815"/>
    <cellStyle name="1_tree_수량산출_구로리총괄내역_구로리설계예산서1029_진해자은수량산출서(단지내)_취합_00-설계서,원가계산,내역서" xfId="1816"/>
    <cellStyle name="1_tree_수량산출_구로리총괄내역_구로리설계예산서1029_진해자은수량산출서(단지내)_취합_설계서-1" xfId="1817"/>
    <cellStyle name="1_tree_수량산출_구로리총괄내역_구로리설계예산서1029_진해자은수량산출서(단지내)_취합_설계서-1_00-설계서,원가계산,내역서" xfId="1818"/>
    <cellStyle name="1_tree_수량산출_구로리총괄내역_구로리설계예산서1118준공" xfId="1819"/>
    <cellStyle name="1_tree_수량산출_구로리총괄내역_구로리설계예산서1118준공_00-설계서,원가계산,내역서" xfId="1820"/>
    <cellStyle name="1_tree_수량산출_구로리총괄내역_구로리설계예산서1118준공_설계서-1" xfId="1821"/>
    <cellStyle name="1_tree_수량산출_구로리총괄내역_구로리설계예산서1118준공_설계서-1_00-설계서,원가계산,내역서" xfId="1822"/>
    <cellStyle name="1_tree_수량산출_구로리총괄내역_구로리설계예산서1118준공_진해자은수량산출서(단지내)" xfId="1823"/>
    <cellStyle name="1_tree_수량산출_구로리총괄내역_구로리설계예산서1118준공_진해자은수량산출서(단지내)_00-설계서,원가계산,내역서" xfId="1824"/>
    <cellStyle name="1_tree_수량산출_구로리총괄내역_구로리설계예산서1118준공_진해자은수량산출서(단지내)_기초산출표-56-128-최종" xfId="1825"/>
    <cellStyle name="1_tree_수량산출_구로리총괄내역_구로리설계예산서1118준공_진해자은수량산출서(단지내)_기초산출표-56-128-최종_00-설계서,원가계산,내역서" xfId="1826"/>
    <cellStyle name="1_tree_수량산출_구로리총괄내역_구로리설계예산서1118준공_진해자은수량산출서(단지내)_기초산출표-56-128-최종_설계서-1" xfId="1827"/>
    <cellStyle name="1_tree_수량산출_구로리총괄내역_구로리설계예산서1118준공_진해자은수량산출서(단지내)_기초산출표-56-128-최종_설계서-1_00-설계서,원가계산,내역서" xfId="1828"/>
    <cellStyle name="1_tree_수량산출_구로리총괄내역_구로리설계예산서1118준공_진해자은수량산출서(단지내)_설계서-1" xfId="1829"/>
    <cellStyle name="1_tree_수량산출_구로리총괄내역_구로리설계예산서1118준공_진해자은수량산출서(단지내)_설계서-1_00-설계서,원가계산,내역서" xfId="1830"/>
    <cellStyle name="1_tree_수량산출_구로리총괄내역_구로리설계예산서1118준공_진해자은수량산출서(단지내)_취합" xfId="1831"/>
    <cellStyle name="1_tree_수량산출_구로리총괄내역_구로리설계예산서1118준공_진해자은수량산출서(단지내)_취합_00-설계서,원가계산,내역서" xfId="1832"/>
    <cellStyle name="1_tree_수량산출_구로리총괄내역_구로리설계예산서1118준공_진해자은수량산출서(단지내)_취합_설계서-1" xfId="1833"/>
    <cellStyle name="1_tree_수량산출_구로리총괄내역_구로리설계예산서1118준공_진해자은수량산출서(단지내)_취합_설계서-1_00-설계서,원가계산,내역서" xfId="1834"/>
    <cellStyle name="1_tree_수량산출_구로리총괄내역_구로리설계예산서조경" xfId="1835"/>
    <cellStyle name="1_tree_수량산출_구로리총괄내역_구로리설계예산서조경_00-설계서,원가계산,내역서" xfId="1836"/>
    <cellStyle name="1_tree_수량산출_구로리총괄내역_구로리설계예산서조경_설계서-1" xfId="1837"/>
    <cellStyle name="1_tree_수량산출_구로리총괄내역_구로리설계예산서조경_설계서-1_00-설계서,원가계산,내역서" xfId="1838"/>
    <cellStyle name="1_tree_수량산출_구로리총괄내역_구로리설계예산서조경_진해자은수량산출서(단지내)" xfId="1839"/>
    <cellStyle name="1_tree_수량산출_구로리총괄내역_구로리설계예산서조경_진해자은수량산출서(단지내)_00-설계서,원가계산,내역서" xfId="1840"/>
    <cellStyle name="1_tree_수량산출_구로리총괄내역_구로리설계예산서조경_진해자은수량산출서(단지내)_기초산출표-56-128-최종" xfId="1841"/>
    <cellStyle name="1_tree_수량산출_구로리총괄내역_구로리설계예산서조경_진해자은수량산출서(단지내)_기초산출표-56-128-최종_00-설계서,원가계산,내역서" xfId="1842"/>
    <cellStyle name="1_tree_수량산출_구로리총괄내역_구로리설계예산서조경_진해자은수량산출서(단지내)_기초산출표-56-128-최종_설계서-1" xfId="1843"/>
    <cellStyle name="1_tree_수량산출_구로리총괄내역_구로리설계예산서조경_진해자은수량산출서(단지내)_기초산출표-56-128-최종_설계서-1_00-설계서,원가계산,내역서" xfId="1844"/>
    <cellStyle name="1_tree_수량산출_구로리총괄내역_구로리설계예산서조경_진해자은수량산출서(단지내)_설계서-1" xfId="1845"/>
    <cellStyle name="1_tree_수량산출_구로리총괄내역_구로리설계예산서조경_진해자은수량산출서(단지내)_설계서-1_00-설계서,원가계산,내역서" xfId="1846"/>
    <cellStyle name="1_tree_수량산출_구로리총괄내역_구로리설계예산서조경_진해자은수량산출서(단지내)_취합" xfId="1847"/>
    <cellStyle name="1_tree_수량산출_구로리총괄내역_구로리설계예산서조경_진해자은수량산출서(단지내)_취합_00-설계서,원가계산,내역서" xfId="1848"/>
    <cellStyle name="1_tree_수량산출_구로리총괄내역_구로리설계예산서조경_진해자은수량산출서(단지내)_취합_설계서-1" xfId="1849"/>
    <cellStyle name="1_tree_수량산출_구로리총괄내역_구로리설계예산서조경_진해자은수량산출서(단지내)_취합_설계서-1_00-설계서,원가계산,내역서" xfId="1850"/>
    <cellStyle name="1_tree_수량산출_구로리총괄내역_구로리어린이공원예산서(조경)1125" xfId="1851"/>
    <cellStyle name="1_tree_수량산출_구로리총괄내역_구로리어린이공원예산서(조경)1125_00-설계서,원가계산,내역서" xfId="1852"/>
    <cellStyle name="1_tree_수량산출_구로리총괄내역_구로리어린이공원예산서(조경)1125_설계서-1" xfId="1853"/>
    <cellStyle name="1_tree_수량산출_구로리총괄내역_구로리어린이공원예산서(조경)1125_설계서-1_00-설계서,원가계산,내역서" xfId="1854"/>
    <cellStyle name="1_tree_수량산출_구로리총괄내역_구로리어린이공원예산서(조경)1125_진해자은수량산출서(단지내)" xfId="1855"/>
    <cellStyle name="1_tree_수량산출_구로리총괄내역_구로리어린이공원예산서(조경)1125_진해자은수량산출서(단지내)_00-설계서,원가계산,내역서" xfId="1856"/>
    <cellStyle name="1_tree_수량산출_구로리총괄내역_구로리어린이공원예산서(조경)1125_진해자은수량산출서(단지내)_기초산출표-56-128-최종" xfId="1857"/>
    <cellStyle name="1_tree_수량산출_구로리총괄내역_구로리어린이공원예산서(조경)1125_진해자은수량산출서(단지내)_기초산출표-56-128-최종_00-설계서,원가계산,내역서" xfId="1858"/>
    <cellStyle name="1_tree_수량산출_구로리총괄내역_구로리어린이공원예산서(조경)1125_진해자은수량산출서(단지내)_기초산출표-56-128-최종_설계서-1" xfId="1859"/>
    <cellStyle name="1_tree_수량산출_구로리총괄내역_구로리어린이공원예산서(조경)1125_진해자은수량산출서(단지내)_기초산출표-56-128-최종_설계서-1_00-설계서,원가계산,내역서" xfId="1860"/>
    <cellStyle name="1_tree_수량산출_구로리총괄내역_구로리어린이공원예산서(조경)1125_진해자은수량산출서(단지내)_설계서-1" xfId="1861"/>
    <cellStyle name="1_tree_수량산출_구로리총괄내역_구로리어린이공원예산서(조경)1125_진해자은수량산출서(단지내)_설계서-1_00-설계서,원가계산,내역서" xfId="1862"/>
    <cellStyle name="1_tree_수량산출_구로리총괄내역_구로리어린이공원예산서(조경)1125_진해자은수량산출서(단지내)_취합" xfId="1863"/>
    <cellStyle name="1_tree_수량산출_구로리총괄내역_구로리어린이공원예산서(조경)1125_진해자은수량산출서(단지내)_취합_00-설계서,원가계산,내역서" xfId="1864"/>
    <cellStyle name="1_tree_수량산출_구로리총괄내역_구로리어린이공원예산서(조경)1125_진해자은수량산출서(단지내)_취합_설계서-1" xfId="1865"/>
    <cellStyle name="1_tree_수량산출_구로리총괄내역_구로리어린이공원예산서(조경)1125_진해자은수량산출서(단지내)_취합_설계서-1_00-설계서,원가계산,내역서" xfId="1866"/>
    <cellStyle name="1_tree_수량산출_구로리총괄내역_내역서" xfId="1867"/>
    <cellStyle name="1_tree_수량산출_구로리총괄내역_내역서_00-설계서,원가계산,내역서" xfId="1868"/>
    <cellStyle name="1_tree_수량산출_구로리총괄내역_내역서_설계서-1" xfId="1869"/>
    <cellStyle name="1_tree_수량산출_구로리총괄내역_내역서_설계서-1_00-설계서,원가계산,내역서" xfId="1870"/>
    <cellStyle name="1_tree_수량산출_구로리총괄내역_내역서_진해자은수량산출서(단지내)" xfId="1871"/>
    <cellStyle name="1_tree_수량산출_구로리총괄내역_내역서_진해자은수량산출서(단지내)_00-설계서,원가계산,내역서" xfId="1872"/>
    <cellStyle name="1_tree_수량산출_구로리총괄내역_내역서_진해자은수량산출서(단지내)_기초산출표-56-128-최종" xfId="1873"/>
    <cellStyle name="1_tree_수량산출_구로리총괄내역_내역서_진해자은수량산출서(단지내)_기초산출표-56-128-최종_00-설계서,원가계산,내역서" xfId="1874"/>
    <cellStyle name="1_tree_수량산출_구로리총괄내역_내역서_진해자은수량산출서(단지내)_기초산출표-56-128-최종_설계서-1" xfId="1875"/>
    <cellStyle name="1_tree_수량산출_구로리총괄내역_내역서_진해자은수량산출서(단지내)_기초산출표-56-128-최종_설계서-1_00-설계서,원가계산,내역서" xfId="1876"/>
    <cellStyle name="1_tree_수량산출_구로리총괄내역_내역서_진해자은수량산출서(단지내)_설계서-1" xfId="1877"/>
    <cellStyle name="1_tree_수량산출_구로리총괄내역_내역서_진해자은수량산출서(단지내)_설계서-1_00-설계서,원가계산,내역서" xfId="1878"/>
    <cellStyle name="1_tree_수량산출_구로리총괄내역_내역서_진해자은수량산출서(단지내)_취합" xfId="1879"/>
    <cellStyle name="1_tree_수량산출_구로리총괄내역_내역서_진해자은수량산출서(단지내)_취합_00-설계서,원가계산,내역서" xfId="1880"/>
    <cellStyle name="1_tree_수량산출_구로리총괄내역_내역서_진해자은수량산출서(단지내)_취합_설계서-1" xfId="1881"/>
    <cellStyle name="1_tree_수량산출_구로리총괄내역_내역서_진해자은수량산출서(단지내)_취합_설계서-1_00-설계서,원가계산,내역서" xfId="1882"/>
    <cellStyle name="1_tree_수량산출_구로리총괄내역_노임단가표" xfId="1883"/>
    <cellStyle name="1_tree_수량산출_구로리총괄내역_노임단가표_00-설계서,원가계산,내역서" xfId="1884"/>
    <cellStyle name="1_tree_수량산출_구로리총괄내역_노임단가표_설계서-1" xfId="1885"/>
    <cellStyle name="1_tree_수량산출_구로리총괄내역_노임단가표_설계서-1_00-설계서,원가계산,내역서" xfId="1886"/>
    <cellStyle name="1_tree_수량산출_구로리총괄내역_노임단가표_진해자은수량산출서(단지내)" xfId="1887"/>
    <cellStyle name="1_tree_수량산출_구로리총괄내역_노임단가표_진해자은수량산출서(단지내)_00-설계서,원가계산,내역서" xfId="1888"/>
    <cellStyle name="1_tree_수량산출_구로리총괄내역_노임단가표_진해자은수량산출서(단지내)_기초산출표-56-128-최종" xfId="1889"/>
    <cellStyle name="1_tree_수량산출_구로리총괄내역_노임단가표_진해자은수량산출서(단지내)_기초산출표-56-128-최종_00-설계서,원가계산,내역서" xfId="1890"/>
    <cellStyle name="1_tree_수량산출_구로리총괄내역_노임단가표_진해자은수량산출서(단지내)_기초산출표-56-128-최종_설계서-1" xfId="1891"/>
    <cellStyle name="1_tree_수량산출_구로리총괄내역_노임단가표_진해자은수량산출서(단지내)_기초산출표-56-128-최종_설계서-1_00-설계서,원가계산,내역서" xfId="1892"/>
    <cellStyle name="1_tree_수량산출_구로리총괄내역_노임단가표_진해자은수량산출서(단지내)_설계서-1" xfId="1893"/>
    <cellStyle name="1_tree_수량산출_구로리총괄내역_노임단가표_진해자은수량산출서(단지내)_설계서-1_00-설계서,원가계산,내역서" xfId="1894"/>
    <cellStyle name="1_tree_수량산출_구로리총괄내역_노임단가표_진해자은수량산출서(단지내)_취합" xfId="1895"/>
    <cellStyle name="1_tree_수량산출_구로리총괄내역_노임단가표_진해자은수량산출서(단지내)_취합_00-설계서,원가계산,내역서" xfId="1896"/>
    <cellStyle name="1_tree_수량산출_구로리총괄내역_노임단가표_진해자은수량산출서(단지내)_취합_설계서-1" xfId="1897"/>
    <cellStyle name="1_tree_수량산출_구로리총괄내역_노임단가표_진해자은수량산출서(단지내)_취합_설계서-1_00-설계서,원가계산,내역서" xfId="1898"/>
    <cellStyle name="1_tree_수량산출_구로리총괄내역_설계서-1" xfId="1899"/>
    <cellStyle name="1_tree_수량산출_구로리총괄내역_설계서-1_00-설계서,원가계산,내역서" xfId="1900"/>
    <cellStyle name="1_tree_수량산출_구로리총괄내역_수도권매립지" xfId="1901"/>
    <cellStyle name="1_tree_수량산출_구로리총괄내역_수도권매립지1004(발주용)" xfId="1917"/>
    <cellStyle name="1_tree_수량산출_구로리총괄내역_수도권매립지1004(발주용)_00-설계서,원가계산,내역서" xfId="1918"/>
    <cellStyle name="1_tree_수량산출_구로리총괄내역_수도권매립지1004(발주용)_설계서-1" xfId="1919"/>
    <cellStyle name="1_tree_수량산출_구로리총괄내역_수도권매립지1004(발주용)_설계서-1_00-설계서,원가계산,내역서" xfId="1920"/>
    <cellStyle name="1_tree_수량산출_구로리총괄내역_수도권매립지1004(발주용)_진해자은수량산출서(단지내)" xfId="1921"/>
    <cellStyle name="1_tree_수량산출_구로리총괄내역_수도권매립지1004(발주용)_진해자은수량산출서(단지내)_00-설계서,원가계산,내역서" xfId="1922"/>
    <cellStyle name="1_tree_수량산출_구로리총괄내역_수도권매립지1004(발주용)_진해자은수량산출서(단지내)_기초산출표-56-128-최종" xfId="1923"/>
    <cellStyle name="1_tree_수량산출_구로리총괄내역_수도권매립지1004(발주용)_진해자은수량산출서(단지내)_기초산출표-56-128-최종_00-설계서,원가계산,내역서" xfId="1924"/>
    <cellStyle name="1_tree_수량산출_구로리총괄내역_수도권매립지1004(발주용)_진해자은수량산출서(단지내)_기초산출표-56-128-최종_설계서-1" xfId="1925"/>
    <cellStyle name="1_tree_수량산출_구로리총괄내역_수도권매립지1004(발주용)_진해자은수량산출서(단지내)_기초산출표-56-128-최종_설계서-1_00-설계서,원가계산,내역서" xfId="1926"/>
    <cellStyle name="1_tree_수량산출_구로리총괄내역_수도권매립지1004(발주용)_진해자은수량산출서(단지내)_설계서-1" xfId="1927"/>
    <cellStyle name="1_tree_수량산출_구로리총괄내역_수도권매립지1004(발주용)_진해자은수량산출서(단지내)_설계서-1_00-설계서,원가계산,내역서" xfId="1928"/>
    <cellStyle name="1_tree_수량산출_구로리총괄내역_수도권매립지1004(발주용)_진해자은수량산출서(단지내)_취합" xfId="1929"/>
    <cellStyle name="1_tree_수량산출_구로리총괄내역_수도권매립지1004(발주용)_진해자은수량산출서(단지내)_취합_00-설계서,원가계산,내역서" xfId="1930"/>
    <cellStyle name="1_tree_수량산출_구로리총괄내역_수도권매립지1004(발주용)_진해자은수량산출서(단지내)_취합_설계서-1" xfId="1931"/>
    <cellStyle name="1_tree_수량산출_구로리총괄내역_수도권매립지1004(발주용)_진해자은수량산출서(단지내)_취합_설계서-1_00-설계서,원가계산,내역서" xfId="1932"/>
    <cellStyle name="1_tree_수량산출_구로리총괄내역_수도권매립지_00-설계서,원가계산,내역서" xfId="1902"/>
    <cellStyle name="1_tree_수량산출_구로리총괄내역_수도권매립지_설계서-1" xfId="1903"/>
    <cellStyle name="1_tree_수량산출_구로리총괄내역_수도권매립지_설계서-1_00-설계서,원가계산,내역서" xfId="1904"/>
    <cellStyle name="1_tree_수량산출_구로리총괄내역_수도권매립지_진해자은수량산출서(단지내)" xfId="1905"/>
    <cellStyle name="1_tree_수량산출_구로리총괄내역_수도권매립지_진해자은수량산출서(단지내)_00-설계서,원가계산,내역서" xfId="1906"/>
    <cellStyle name="1_tree_수량산출_구로리총괄내역_수도권매립지_진해자은수량산출서(단지내)_기초산출표-56-128-최종" xfId="1907"/>
    <cellStyle name="1_tree_수량산출_구로리총괄내역_수도권매립지_진해자은수량산출서(단지내)_기초산출표-56-128-최종_00-설계서,원가계산,내역서" xfId="1908"/>
    <cellStyle name="1_tree_수량산출_구로리총괄내역_수도권매립지_진해자은수량산출서(단지내)_기초산출표-56-128-최종_설계서-1" xfId="1909"/>
    <cellStyle name="1_tree_수량산출_구로리총괄내역_수도권매립지_진해자은수량산출서(단지내)_기초산출표-56-128-최종_설계서-1_00-설계서,원가계산,내역서" xfId="1910"/>
    <cellStyle name="1_tree_수량산출_구로리총괄내역_수도권매립지_진해자은수량산출서(단지내)_설계서-1" xfId="1911"/>
    <cellStyle name="1_tree_수량산출_구로리총괄내역_수도권매립지_진해자은수량산출서(단지내)_설계서-1_00-설계서,원가계산,내역서" xfId="1912"/>
    <cellStyle name="1_tree_수량산출_구로리총괄내역_수도권매립지_진해자은수량산출서(단지내)_취합" xfId="1913"/>
    <cellStyle name="1_tree_수량산출_구로리총괄내역_수도권매립지_진해자은수량산출서(단지내)_취합_00-설계서,원가계산,내역서" xfId="1914"/>
    <cellStyle name="1_tree_수량산출_구로리총괄내역_수도권매립지_진해자은수량산출서(단지내)_취합_설계서-1" xfId="1915"/>
    <cellStyle name="1_tree_수량산출_구로리총괄내역_수도권매립지_진해자은수량산출서(단지내)_취합_설계서-1_00-설계서,원가계산,내역서" xfId="1916"/>
    <cellStyle name="1_tree_수량산출_구로리총괄내역_일신건영설계예산서(0211)" xfId="1933"/>
    <cellStyle name="1_tree_수량산출_구로리총괄내역_일신건영설계예산서(0211)_00-설계서,원가계산,내역서" xfId="1934"/>
    <cellStyle name="1_tree_수량산출_구로리총괄내역_일신건영설계예산서(0211)_설계서-1" xfId="1935"/>
    <cellStyle name="1_tree_수량산출_구로리총괄내역_일신건영설계예산서(0211)_설계서-1_00-설계서,원가계산,내역서" xfId="1936"/>
    <cellStyle name="1_tree_수량산출_구로리총괄내역_일신건영설계예산서(0211)_진해자은수량산출서(단지내)" xfId="1937"/>
    <cellStyle name="1_tree_수량산출_구로리총괄내역_일신건영설계예산서(0211)_진해자은수량산출서(단지내)_00-설계서,원가계산,내역서" xfId="1938"/>
    <cellStyle name="1_tree_수량산출_구로리총괄내역_일신건영설계예산서(0211)_진해자은수량산출서(단지내)_기초산출표-56-128-최종" xfId="1939"/>
    <cellStyle name="1_tree_수량산출_구로리총괄내역_일신건영설계예산서(0211)_진해자은수량산출서(단지내)_기초산출표-56-128-최종_00-설계서,원가계산,내역서" xfId="1940"/>
    <cellStyle name="1_tree_수량산출_구로리총괄내역_일신건영설계예산서(0211)_진해자은수량산출서(단지내)_기초산출표-56-128-최종_설계서-1" xfId="1941"/>
    <cellStyle name="1_tree_수량산출_구로리총괄내역_일신건영설계예산서(0211)_진해자은수량산출서(단지내)_기초산출표-56-128-최종_설계서-1_00-설계서,원가계산,내역서" xfId="1942"/>
    <cellStyle name="1_tree_수량산출_구로리총괄내역_일신건영설계예산서(0211)_진해자은수량산출서(단지내)_설계서-1" xfId="1943"/>
    <cellStyle name="1_tree_수량산출_구로리총괄내역_일신건영설계예산서(0211)_진해자은수량산출서(단지내)_설계서-1_00-설계서,원가계산,내역서" xfId="1944"/>
    <cellStyle name="1_tree_수량산출_구로리총괄내역_일신건영설계예산서(0211)_진해자은수량산출서(단지내)_취합" xfId="1945"/>
    <cellStyle name="1_tree_수량산출_구로리총괄내역_일신건영설계예산서(0211)_진해자은수량산출서(단지내)_취합_00-설계서,원가계산,내역서" xfId="1946"/>
    <cellStyle name="1_tree_수량산출_구로리총괄내역_일신건영설계예산서(0211)_진해자은수량산출서(단지내)_취합_설계서-1" xfId="1947"/>
    <cellStyle name="1_tree_수량산출_구로리총괄내역_일신건영설계예산서(0211)_진해자은수량산출서(단지내)_취합_설계서-1_00-설계서,원가계산,내역서" xfId="1948"/>
    <cellStyle name="1_tree_수량산출_구로리총괄내역_일위대가" xfId="1949"/>
    <cellStyle name="1_tree_수량산출_구로리총괄내역_일위대가_00-설계서,원가계산,내역서" xfId="1950"/>
    <cellStyle name="1_tree_수량산출_구로리총괄내역_일위대가_설계서-1" xfId="1951"/>
    <cellStyle name="1_tree_수량산출_구로리총괄내역_일위대가_설계서-1_00-설계서,원가계산,내역서" xfId="1952"/>
    <cellStyle name="1_tree_수량산출_구로리총괄내역_일위대가_진해자은수량산출서(단지내)" xfId="1953"/>
    <cellStyle name="1_tree_수량산출_구로리총괄내역_일위대가_진해자은수량산출서(단지내)_00-설계서,원가계산,내역서" xfId="1954"/>
    <cellStyle name="1_tree_수량산출_구로리총괄내역_일위대가_진해자은수량산출서(단지내)_기초산출표-56-128-최종" xfId="1955"/>
    <cellStyle name="1_tree_수량산출_구로리총괄내역_일위대가_진해자은수량산출서(단지내)_기초산출표-56-128-최종_00-설계서,원가계산,내역서" xfId="1956"/>
    <cellStyle name="1_tree_수량산출_구로리총괄내역_일위대가_진해자은수량산출서(단지내)_기초산출표-56-128-최종_설계서-1" xfId="1957"/>
    <cellStyle name="1_tree_수량산출_구로리총괄내역_일위대가_진해자은수량산출서(단지내)_기초산출표-56-128-최종_설계서-1_00-설계서,원가계산,내역서" xfId="1958"/>
    <cellStyle name="1_tree_수량산출_구로리총괄내역_일위대가_진해자은수량산출서(단지내)_설계서-1" xfId="1959"/>
    <cellStyle name="1_tree_수량산출_구로리총괄내역_일위대가_진해자은수량산출서(단지내)_설계서-1_00-설계서,원가계산,내역서" xfId="1960"/>
    <cellStyle name="1_tree_수량산출_구로리총괄내역_일위대가_진해자은수량산출서(단지내)_취합" xfId="1961"/>
    <cellStyle name="1_tree_수량산출_구로리총괄내역_일위대가_진해자은수량산출서(단지내)_취합_00-설계서,원가계산,내역서" xfId="1962"/>
    <cellStyle name="1_tree_수량산출_구로리총괄내역_일위대가_진해자은수량산출서(단지내)_취합_설계서-1" xfId="1963"/>
    <cellStyle name="1_tree_수량산출_구로리총괄내역_일위대가_진해자은수량산출서(단지내)_취합_설계서-1_00-설계서,원가계산,내역서" xfId="1964"/>
    <cellStyle name="1_tree_수량산출_구로리총괄내역_자재단가표" xfId="1965"/>
    <cellStyle name="1_tree_수량산출_구로리총괄내역_자재단가표_00-설계서,원가계산,내역서" xfId="1966"/>
    <cellStyle name="1_tree_수량산출_구로리총괄내역_자재단가표_설계서-1" xfId="1967"/>
    <cellStyle name="1_tree_수량산출_구로리총괄내역_자재단가표_설계서-1_00-설계서,원가계산,내역서" xfId="1968"/>
    <cellStyle name="1_tree_수량산출_구로리총괄내역_자재단가표_진해자은수량산출서(단지내)" xfId="1969"/>
    <cellStyle name="1_tree_수량산출_구로리총괄내역_자재단가표_진해자은수량산출서(단지내)_00-설계서,원가계산,내역서" xfId="1970"/>
    <cellStyle name="1_tree_수량산출_구로리총괄내역_자재단가표_진해자은수량산출서(단지내)_기초산출표-56-128-최종" xfId="1971"/>
    <cellStyle name="1_tree_수량산출_구로리총괄내역_자재단가표_진해자은수량산출서(단지내)_기초산출표-56-128-최종_00-설계서,원가계산,내역서" xfId="1972"/>
    <cellStyle name="1_tree_수량산출_구로리총괄내역_자재단가표_진해자은수량산출서(단지내)_기초산출표-56-128-최종_설계서-1" xfId="1973"/>
    <cellStyle name="1_tree_수량산출_구로리총괄내역_자재단가표_진해자은수량산출서(단지내)_기초산출표-56-128-최종_설계서-1_00-설계서,원가계산,내역서" xfId="1974"/>
    <cellStyle name="1_tree_수량산출_구로리총괄내역_자재단가표_진해자은수량산출서(단지내)_설계서-1" xfId="1975"/>
    <cellStyle name="1_tree_수량산출_구로리총괄내역_자재단가표_진해자은수량산출서(단지내)_설계서-1_00-설계서,원가계산,내역서" xfId="1976"/>
    <cellStyle name="1_tree_수량산출_구로리총괄내역_자재단가표_진해자은수량산출서(단지내)_취합" xfId="1977"/>
    <cellStyle name="1_tree_수량산출_구로리총괄내역_자재단가표_진해자은수량산출서(단지내)_취합_00-설계서,원가계산,내역서" xfId="1978"/>
    <cellStyle name="1_tree_수량산출_구로리총괄내역_자재단가표_진해자은수량산출서(단지내)_취합_설계서-1" xfId="1979"/>
    <cellStyle name="1_tree_수량산출_구로리총괄내역_자재단가표_진해자은수량산출서(단지내)_취합_설계서-1_00-설계서,원가계산,내역서" xfId="1980"/>
    <cellStyle name="1_tree_수량산출_구로리총괄내역_장안초등학교내역0814" xfId="1981"/>
    <cellStyle name="1_tree_수량산출_구로리총괄내역_장안초등학교내역0814_00-설계서,원가계산,내역서" xfId="1982"/>
    <cellStyle name="1_tree_수량산출_구로리총괄내역_장안초등학교내역0814_설계서-1" xfId="1983"/>
    <cellStyle name="1_tree_수량산출_구로리총괄내역_장안초등학교내역0814_설계서-1_00-설계서,원가계산,내역서" xfId="1984"/>
    <cellStyle name="1_tree_수량산출_구로리총괄내역_장안초등학교내역0814_진해자은수량산출서(단지내)" xfId="1985"/>
    <cellStyle name="1_tree_수량산출_구로리총괄내역_장안초등학교내역0814_진해자은수량산출서(단지내)_00-설계서,원가계산,내역서" xfId="1986"/>
    <cellStyle name="1_tree_수량산출_구로리총괄내역_장안초등학교내역0814_진해자은수량산출서(단지내)_기초산출표-56-128-최종" xfId="1987"/>
    <cellStyle name="1_tree_수량산출_구로리총괄내역_장안초등학교내역0814_진해자은수량산출서(단지내)_기초산출표-56-128-최종_00-설계서,원가계산,내역서" xfId="1988"/>
    <cellStyle name="1_tree_수량산출_구로리총괄내역_장안초등학교내역0814_진해자은수량산출서(단지내)_기초산출표-56-128-최종_설계서-1" xfId="1989"/>
    <cellStyle name="1_tree_수량산출_구로리총괄내역_장안초등학교내역0814_진해자은수량산출서(단지내)_기초산출표-56-128-최종_설계서-1_00-설계서,원가계산,내역서" xfId="1990"/>
    <cellStyle name="1_tree_수량산출_구로리총괄내역_장안초등학교내역0814_진해자은수량산출서(단지내)_설계서-1" xfId="1991"/>
    <cellStyle name="1_tree_수량산출_구로리총괄내역_장안초등학교내역0814_진해자은수량산출서(단지내)_설계서-1_00-설계서,원가계산,내역서" xfId="1992"/>
    <cellStyle name="1_tree_수량산출_구로리총괄내역_장안초등학교내역0814_진해자은수량산출서(단지내)_취합" xfId="1993"/>
    <cellStyle name="1_tree_수량산출_구로리총괄내역_장안초등학교내역0814_진해자은수량산출서(단지내)_취합_00-설계서,원가계산,내역서" xfId="1994"/>
    <cellStyle name="1_tree_수량산출_구로리총괄내역_장안초등학교내역0814_진해자은수량산출서(단지내)_취합_설계서-1" xfId="1995"/>
    <cellStyle name="1_tree_수량산출_구로리총괄내역_장안초등학교내역0814_진해자은수량산출서(단지내)_취합_설계서-1_00-설계서,원가계산,내역서" xfId="1996"/>
    <cellStyle name="1_tree_수량산출_구로리총괄내역_진해자은수량산출서(단지내)" xfId="1997"/>
    <cellStyle name="1_tree_수량산출_구로리총괄내역_진해자은수량산출서(단지내)_00-설계서,원가계산,내역서" xfId="1998"/>
    <cellStyle name="1_tree_수량산출_구로리총괄내역_진해자은수량산출서(단지내)_기초산출표-56-128-최종" xfId="1999"/>
    <cellStyle name="1_tree_수량산출_구로리총괄내역_진해자은수량산출서(단지내)_기초산출표-56-128-최종_00-설계서,원가계산,내역서" xfId="2000"/>
    <cellStyle name="1_tree_수량산출_구로리총괄내역_진해자은수량산출서(단지내)_기초산출표-56-128-최종_설계서-1" xfId="2001"/>
    <cellStyle name="1_tree_수량산출_구로리총괄내역_진해자은수량산출서(단지내)_기초산출표-56-128-최종_설계서-1_00-설계서,원가계산,내역서" xfId="2002"/>
    <cellStyle name="1_tree_수량산출_구로리총괄내역_진해자은수량산출서(단지내)_설계서-1" xfId="2003"/>
    <cellStyle name="1_tree_수량산출_구로리총괄내역_진해자은수량산출서(단지내)_설계서-1_00-설계서,원가계산,내역서" xfId="2004"/>
    <cellStyle name="1_tree_수량산출_구로리총괄내역_진해자은수량산출서(단지내)_취합" xfId="2005"/>
    <cellStyle name="1_tree_수량산출_구로리총괄내역_진해자은수량산출서(단지내)_취합_00-설계서,원가계산,내역서" xfId="2006"/>
    <cellStyle name="1_tree_수량산출_구로리총괄내역_진해자은수량산출서(단지내)_취합_설계서-1" xfId="2007"/>
    <cellStyle name="1_tree_수량산출_구로리총괄내역_진해자은수량산출서(단지내)_취합_설계서-1_00-설계서,원가계산,내역서" xfId="2008"/>
    <cellStyle name="1_tree_수량산출_목동내역" xfId="2009"/>
    <cellStyle name="1_tree_수량산출_목동내역_00-설계서,원가계산,내역서" xfId="2010"/>
    <cellStyle name="1_tree_수량산출_목동내역_폐기물집계" xfId="2011"/>
    <cellStyle name="1_tree_수량산출_목동내역_폐기물집계_00-설계서,원가계산,내역서" xfId="2012"/>
    <cellStyle name="1_tree_수량산출_설계서-1" xfId="2013"/>
    <cellStyle name="1_tree_수량산출_설계서-1_00-설계서,원가계산,내역서" xfId="2014"/>
    <cellStyle name="1_tree_수량산출_이문동구간중랑천변녹화사업(수량산출서, 071127)-최종" xfId="2015"/>
    <cellStyle name="1_tree_수량산출_이문동구간중랑천변녹화사업(수량산출서, 071127)-최종_00-설계서,원가계산,내역서" xfId="2016"/>
    <cellStyle name="1_tree_수량산출_진해자은수량산출서(단지내)" xfId="2017"/>
    <cellStyle name="1_tree_수량산출_진해자은수량산출서(단지내)_00-설계서,원가계산,내역서" xfId="2018"/>
    <cellStyle name="1_tree_수량산출_진해자은수량산출서(단지내)_기초산출표-56-128-최종" xfId="2019"/>
    <cellStyle name="1_tree_수량산출_진해자은수량산출서(단지내)_기초산출표-56-128-최종_00-설계서,원가계산,내역서" xfId="2020"/>
    <cellStyle name="1_tree_수량산출_진해자은수량산출서(단지내)_기초산출표-56-128-최종_설계서-1" xfId="2021"/>
    <cellStyle name="1_tree_수량산출_진해자은수량산출서(단지내)_기초산출표-56-128-최종_설계서-1_00-설계서,원가계산,내역서" xfId="2022"/>
    <cellStyle name="1_tree_수량산출_진해자은수량산출서(단지내)_설계서-1" xfId="2023"/>
    <cellStyle name="1_tree_수량산출_진해자은수량산출서(단지내)_설계서-1_00-설계서,원가계산,내역서" xfId="2024"/>
    <cellStyle name="1_tree_수량산출_진해자은수량산출서(단지내)_취합" xfId="2025"/>
    <cellStyle name="1_tree_수량산출_진해자은수량산출서(단지내)_취합_00-설계서,원가계산,내역서" xfId="2026"/>
    <cellStyle name="1_tree_수량산출_진해자은수량산출서(단지내)_취합_설계서-1" xfId="2027"/>
    <cellStyle name="1_tree_수량산출_진해자은수량산출서(단지내)_취합_설계서-1_00-설계서,원가계산,내역서" xfId="2028"/>
    <cellStyle name="1_tree_수량산출_총괄내역0518" xfId="2029"/>
    <cellStyle name="1_tree_수량산출_총괄내역0518_00-설계서,원가계산,내역서" xfId="2030"/>
    <cellStyle name="1_tree_수량산출_총괄내역0518_구로리설계예산서1029" xfId="2031"/>
    <cellStyle name="1_tree_수량산출_총괄내역0518_구로리설계예산서1029_00-설계서,원가계산,내역서" xfId="2032"/>
    <cellStyle name="1_tree_수량산출_총괄내역0518_구로리설계예산서1029_설계서-1" xfId="2033"/>
    <cellStyle name="1_tree_수량산출_총괄내역0518_구로리설계예산서1029_설계서-1_00-설계서,원가계산,내역서" xfId="2034"/>
    <cellStyle name="1_tree_수량산출_총괄내역0518_구로리설계예산서1029_진해자은수량산출서(단지내)" xfId="2035"/>
    <cellStyle name="1_tree_수량산출_총괄내역0518_구로리설계예산서1029_진해자은수량산출서(단지내)_00-설계서,원가계산,내역서" xfId="2036"/>
    <cellStyle name="1_tree_수량산출_총괄내역0518_구로리설계예산서1029_진해자은수량산출서(단지내)_기초산출표-56-128-최종" xfId="2037"/>
    <cellStyle name="1_tree_수량산출_총괄내역0518_구로리설계예산서1029_진해자은수량산출서(단지내)_기초산출표-56-128-최종_00-설계서,원가계산,내역서" xfId="2038"/>
    <cellStyle name="1_tree_수량산출_총괄내역0518_구로리설계예산서1029_진해자은수량산출서(단지내)_기초산출표-56-128-최종_설계서-1" xfId="2039"/>
    <cellStyle name="1_tree_수량산출_총괄내역0518_구로리설계예산서1029_진해자은수량산출서(단지내)_기초산출표-56-128-최종_설계서-1_00-설계서,원가계산,내역서" xfId="2040"/>
    <cellStyle name="1_tree_수량산출_총괄내역0518_구로리설계예산서1029_진해자은수량산출서(단지내)_설계서-1" xfId="2041"/>
    <cellStyle name="1_tree_수량산출_총괄내역0518_구로리설계예산서1029_진해자은수량산출서(단지내)_설계서-1_00-설계서,원가계산,내역서" xfId="2042"/>
    <cellStyle name="1_tree_수량산출_총괄내역0518_구로리설계예산서1029_진해자은수량산출서(단지내)_취합" xfId="2043"/>
    <cellStyle name="1_tree_수량산출_총괄내역0518_구로리설계예산서1029_진해자은수량산출서(단지내)_취합_00-설계서,원가계산,내역서" xfId="2044"/>
    <cellStyle name="1_tree_수량산출_총괄내역0518_구로리설계예산서1029_진해자은수량산출서(단지내)_취합_설계서-1" xfId="2045"/>
    <cellStyle name="1_tree_수량산출_총괄내역0518_구로리설계예산서1029_진해자은수량산출서(단지내)_취합_설계서-1_00-설계서,원가계산,내역서" xfId="2046"/>
    <cellStyle name="1_tree_수량산출_총괄내역0518_구로리설계예산서1118준공" xfId="2047"/>
    <cellStyle name="1_tree_수량산출_총괄내역0518_구로리설계예산서1118준공_00-설계서,원가계산,내역서" xfId="2048"/>
    <cellStyle name="1_tree_수량산출_총괄내역0518_구로리설계예산서1118준공_설계서-1" xfId="2049"/>
    <cellStyle name="1_tree_수량산출_총괄내역0518_구로리설계예산서1118준공_설계서-1_00-설계서,원가계산,내역서" xfId="2050"/>
    <cellStyle name="1_tree_수량산출_총괄내역0518_구로리설계예산서1118준공_진해자은수량산출서(단지내)" xfId="2051"/>
    <cellStyle name="1_tree_수량산출_총괄내역0518_구로리설계예산서1118준공_진해자은수량산출서(단지내)_00-설계서,원가계산,내역서" xfId="2052"/>
    <cellStyle name="1_tree_수량산출_총괄내역0518_구로리설계예산서1118준공_진해자은수량산출서(단지내)_기초산출표-56-128-최종" xfId="2053"/>
    <cellStyle name="1_tree_수량산출_총괄내역0518_구로리설계예산서1118준공_진해자은수량산출서(단지내)_기초산출표-56-128-최종_00-설계서,원가계산,내역서" xfId="2054"/>
    <cellStyle name="1_tree_수량산출_총괄내역0518_구로리설계예산서1118준공_진해자은수량산출서(단지내)_기초산출표-56-128-최종_설계서-1" xfId="2055"/>
    <cellStyle name="1_tree_수량산출_총괄내역0518_구로리설계예산서1118준공_진해자은수량산출서(단지내)_기초산출표-56-128-최종_설계서-1_00-설계서,원가계산,내역서" xfId="2056"/>
    <cellStyle name="1_tree_수량산출_총괄내역0518_구로리설계예산서1118준공_진해자은수량산출서(단지내)_설계서-1" xfId="2057"/>
    <cellStyle name="1_tree_수량산출_총괄내역0518_구로리설계예산서1118준공_진해자은수량산출서(단지내)_설계서-1_00-설계서,원가계산,내역서" xfId="2058"/>
    <cellStyle name="1_tree_수량산출_총괄내역0518_구로리설계예산서1118준공_진해자은수량산출서(단지내)_취합" xfId="2059"/>
    <cellStyle name="1_tree_수량산출_총괄내역0518_구로리설계예산서1118준공_진해자은수량산출서(단지내)_취합_00-설계서,원가계산,내역서" xfId="2060"/>
    <cellStyle name="1_tree_수량산출_총괄내역0518_구로리설계예산서1118준공_진해자은수량산출서(단지내)_취합_설계서-1" xfId="2061"/>
    <cellStyle name="1_tree_수량산출_총괄내역0518_구로리설계예산서1118준공_진해자은수량산출서(단지내)_취합_설계서-1_00-설계서,원가계산,내역서" xfId="2062"/>
    <cellStyle name="1_tree_수량산출_총괄내역0518_구로리설계예산서조경" xfId="2063"/>
    <cellStyle name="1_tree_수량산출_총괄내역0518_구로리설계예산서조경_00-설계서,원가계산,내역서" xfId="2064"/>
    <cellStyle name="1_tree_수량산출_총괄내역0518_구로리설계예산서조경_설계서-1" xfId="2065"/>
    <cellStyle name="1_tree_수량산출_총괄내역0518_구로리설계예산서조경_설계서-1_00-설계서,원가계산,내역서" xfId="2066"/>
    <cellStyle name="1_tree_수량산출_총괄내역0518_구로리설계예산서조경_진해자은수량산출서(단지내)" xfId="2067"/>
    <cellStyle name="1_tree_수량산출_총괄내역0518_구로리설계예산서조경_진해자은수량산출서(단지내)_00-설계서,원가계산,내역서" xfId="2068"/>
    <cellStyle name="1_tree_수량산출_총괄내역0518_구로리설계예산서조경_진해자은수량산출서(단지내)_기초산출표-56-128-최종" xfId="2069"/>
    <cellStyle name="1_tree_수량산출_총괄내역0518_구로리설계예산서조경_진해자은수량산출서(단지내)_기초산출표-56-128-최종_00-설계서,원가계산,내역서" xfId="2070"/>
    <cellStyle name="1_tree_수량산출_총괄내역0518_구로리설계예산서조경_진해자은수량산출서(단지내)_기초산출표-56-128-최종_설계서-1" xfId="2071"/>
    <cellStyle name="1_tree_수량산출_총괄내역0518_구로리설계예산서조경_진해자은수량산출서(단지내)_기초산출표-56-128-최종_설계서-1_00-설계서,원가계산,내역서" xfId="2072"/>
    <cellStyle name="1_tree_수량산출_총괄내역0518_구로리설계예산서조경_진해자은수량산출서(단지내)_설계서-1" xfId="2073"/>
    <cellStyle name="1_tree_수량산출_총괄내역0518_구로리설계예산서조경_진해자은수량산출서(단지내)_설계서-1_00-설계서,원가계산,내역서" xfId="2074"/>
    <cellStyle name="1_tree_수량산출_총괄내역0518_구로리설계예산서조경_진해자은수량산출서(단지내)_취합" xfId="2075"/>
    <cellStyle name="1_tree_수량산출_총괄내역0518_구로리설계예산서조경_진해자은수량산출서(단지내)_취합_00-설계서,원가계산,내역서" xfId="2076"/>
    <cellStyle name="1_tree_수량산출_총괄내역0518_구로리설계예산서조경_진해자은수량산출서(단지내)_취합_설계서-1" xfId="2077"/>
    <cellStyle name="1_tree_수량산출_총괄내역0518_구로리설계예산서조경_진해자은수량산출서(단지내)_취합_설계서-1_00-설계서,원가계산,내역서" xfId="2078"/>
    <cellStyle name="1_tree_수량산출_총괄내역0518_구로리어린이공원예산서(조경)1125" xfId="2079"/>
    <cellStyle name="1_tree_수량산출_총괄내역0518_구로리어린이공원예산서(조경)1125_00-설계서,원가계산,내역서" xfId="2080"/>
    <cellStyle name="1_tree_수량산출_총괄내역0518_구로리어린이공원예산서(조경)1125_설계서-1" xfId="2081"/>
    <cellStyle name="1_tree_수량산출_총괄내역0518_구로리어린이공원예산서(조경)1125_설계서-1_00-설계서,원가계산,내역서" xfId="2082"/>
    <cellStyle name="1_tree_수량산출_총괄내역0518_구로리어린이공원예산서(조경)1125_진해자은수량산출서(단지내)" xfId="2083"/>
    <cellStyle name="1_tree_수량산출_총괄내역0518_구로리어린이공원예산서(조경)1125_진해자은수량산출서(단지내)_00-설계서,원가계산,내역서" xfId="2084"/>
    <cellStyle name="1_tree_수량산출_총괄내역0518_구로리어린이공원예산서(조경)1125_진해자은수량산출서(단지내)_기초산출표-56-128-최종" xfId="2085"/>
    <cellStyle name="1_tree_수량산출_총괄내역0518_구로리어린이공원예산서(조경)1125_진해자은수량산출서(단지내)_기초산출표-56-128-최종_00-설계서,원가계산,내역서" xfId="2086"/>
    <cellStyle name="1_tree_수량산출_총괄내역0518_구로리어린이공원예산서(조경)1125_진해자은수량산출서(단지내)_기초산출표-56-128-최종_설계서-1" xfId="2087"/>
    <cellStyle name="1_tree_수량산출_총괄내역0518_구로리어린이공원예산서(조경)1125_진해자은수량산출서(단지내)_기초산출표-56-128-최종_설계서-1_00-설계서,원가계산,내역서" xfId="2088"/>
    <cellStyle name="1_tree_수량산출_총괄내역0518_구로리어린이공원예산서(조경)1125_진해자은수량산출서(단지내)_설계서-1" xfId="2089"/>
    <cellStyle name="1_tree_수량산출_총괄내역0518_구로리어린이공원예산서(조경)1125_진해자은수량산출서(단지내)_설계서-1_00-설계서,원가계산,내역서" xfId="2090"/>
    <cellStyle name="1_tree_수량산출_총괄내역0518_구로리어린이공원예산서(조경)1125_진해자은수량산출서(단지내)_취합" xfId="2091"/>
    <cellStyle name="1_tree_수량산출_총괄내역0518_구로리어린이공원예산서(조경)1125_진해자은수량산출서(단지내)_취합_00-설계서,원가계산,내역서" xfId="2092"/>
    <cellStyle name="1_tree_수량산출_총괄내역0518_구로리어린이공원예산서(조경)1125_진해자은수량산출서(단지내)_취합_설계서-1" xfId="2093"/>
    <cellStyle name="1_tree_수량산출_총괄내역0518_구로리어린이공원예산서(조경)1125_진해자은수량산출서(단지내)_취합_설계서-1_00-설계서,원가계산,내역서" xfId="2094"/>
    <cellStyle name="1_tree_수량산출_총괄내역0518_내역서" xfId="2095"/>
    <cellStyle name="1_tree_수량산출_총괄내역0518_내역서_00-설계서,원가계산,내역서" xfId="2096"/>
    <cellStyle name="1_tree_수량산출_총괄내역0518_내역서_설계서-1" xfId="2097"/>
    <cellStyle name="1_tree_수량산출_총괄내역0518_내역서_설계서-1_00-설계서,원가계산,내역서" xfId="2098"/>
    <cellStyle name="1_tree_수량산출_총괄내역0518_내역서_진해자은수량산출서(단지내)" xfId="2099"/>
    <cellStyle name="1_tree_수량산출_총괄내역0518_내역서_진해자은수량산출서(단지내)_00-설계서,원가계산,내역서" xfId="2100"/>
    <cellStyle name="1_tree_수량산출_총괄내역0518_내역서_진해자은수량산출서(단지내)_기초산출표-56-128-최종" xfId="2101"/>
    <cellStyle name="1_tree_수량산출_총괄내역0518_내역서_진해자은수량산출서(단지내)_기초산출표-56-128-최종_00-설계서,원가계산,내역서" xfId="2102"/>
    <cellStyle name="1_tree_수량산출_총괄내역0518_내역서_진해자은수량산출서(단지내)_기초산출표-56-128-최종_설계서-1" xfId="2103"/>
    <cellStyle name="1_tree_수량산출_총괄내역0518_내역서_진해자은수량산출서(단지내)_기초산출표-56-128-최종_설계서-1_00-설계서,원가계산,내역서" xfId="2104"/>
    <cellStyle name="1_tree_수량산출_총괄내역0518_내역서_진해자은수량산출서(단지내)_설계서-1" xfId="2105"/>
    <cellStyle name="1_tree_수량산출_총괄내역0518_내역서_진해자은수량산출서(단지내)_설계서-1_00-설계서,원가계산,내역서" xfId="2106"/>
    <cellStyle name="1_tree_수량산출_총괄내역0518_내역서_진해자은수량산출서(단지내)_취합" xfId="2107"/>
    <cellStyle name="1_tree_수량산출_총괄내역0518_내역서_진해자은수량산출서(단지내)_취합_00-설계서,원가계산,내역서" xfId="2108"/>
    <cellStyle name="1_tree_수량산출_총괄내역0518_내역서_진해자은수량산출서(단지내)_취합_설계서-1" xfId="2109"/>
    <cellStyle name="1_tree_수량산출_총괄내역0518_내역서_진해자은수량산출서(단지내)_취합_설계서-1_00-설계서,원가계산,내역서" xfId="2110"/>
    <cellStyle name="1_tree_수량산출_총괄내역0518_노임단가표" xfId="2111"/>
    <cellStyle name="1_tree_수량산출_총괄내역0518_노임단가표_00-설계서,원가계산,내역서" xfId="2112"/>
    <cellStyle name="1_tree_수량산출_총괄내역0518_노임단가표_설계서-1" xfId="2113"/>
    <cellStyle name="1_tree_수량산출_총괄내역0518_노임단가표_설계서-1_00-설계서,원가계산,내역서" xfId="2114"/>
    <cellStyle name="1_tree_수량산출_총괄내역0518_노임단가표_진해자은수량산출서(단지내)" xfId="2115"/>
    <cellStyle name="1_tree_수량산출_총괄내역0518_노임단가표_진해자은수량산출서(단지내)_00-설계서,원가계산,내역서" xfId="2116"/>
    <cellStyle name="1_tree_수량산출_총괄내역0518_노임단가표_진해자은수량산출서(단지내)_기초산출표-56-128-최종" xfId="2117"/>
    <cellStyle name="1_tree_수량산출_총괄내역0518_노임단가표_진해자은수량산출서(단지내)_기초산출표-56-128-최종_00-설계서,원가계산,내역서" xfId="2118"/>
    <cellStyle name="1_tree_수량산출_총괄내역0518_노임단가표_진해자은수량산출서(단지내)_기초산출표-56-128-최종_설계서-1" xfId="2119"/>
    <cellStyle name="1_tree_수량산출_총괄내역0518_노임단가표_진해자은수량산출서(단지내)_기초산출표-56-128-최종_설계서-1_00-설계서,원가계산,내역서" xfId="2120"/>
    <cellStyle name="1_tree_수량산출_총괄내역0518_노임단가표_진해자은수량산출서(단지내)_설계서-1" xfId="2121"/>
    <cellStyle name="1_tree_수량산출_총괄내역0518_노임단가표_진해자은수량산출서(단지내)_설계서-1_00-설계서,원가계산,내역서" xfId="2122"/>
    <cellStyle name="1_tree_수량산출_총괄내역0518_노임단가표_진해자은수량산출서(단지내)_취합" xfId="2123"/>
    <cellStyle name="1_tree_수량산출_총괄내역0518_노임단가표_진해자은수량산출서(단지내)_취합_00-설계서,원가계산,내역서" xfId="2124"/>
    <cellStyle name="1_tree_수량산출_총괄내역0518_노임단가표_진해자은수량산출서(단지내)_취합_설계서-1" xfId="2125"/>
    <cellStyle name="1_tree_수량산출_총괄내역0518_노임단가표_진해자은수량산출서(단지내)_취합_설계서-1_00-설계서,원가계산,내역서" xfId="2126"/>
    <cellStyle name="1_tree_수량산출_총괄내역0518_설계서-1" xfId="2127"/>
    <cellStyle name="1_tree_수량산출_총괄내역0518_설계서-1_00-설계서,원가계산,내역서" xfId="2128"/>
    <cellStyle name="1_tree_수량산출_총괄내역0518_수도권매립지" xfId="2129"/>
    <cellStyle name="1_tree_수량산출_총괄내역0518_수도권매립지1004(발주용)" xfId="2145"/>
    <cellStyle name="1_tree_수량산출_총괄내역0518_수도권매립지1004(발주용)_00-설계서,원가계산,내역서" xfId="2146"/>
    <cellStyle name="1_tree_수량산출_총괄내역0518_수도권매립지1004(발주용)_설계서-1" xfId="2147"/>
    <cellStyle name="1_tree_수량산출_총괄내역0518_수도권매립지1004(발주용)_설계서-1_00-설계서,원가계산,내역서" xfId="2148"/>
    <cellStyle name="1_tree_수량산출_총괄내역0518_수도권매립지1004(발주용)_진해자은수량산출서(단지내)" xfId="2149"/>
    <cellStyle name="1_tree_수량산출_총괄내역0518_수도권매립지1004(발주용)_진해자은수량산출서(단지내)_00-설계서,원가계산,내역서" xfId="2150"/>
    <cellStyle name="1_tree_수량산출_총괄내역0518_수도권매립지1004(발주용)_진해자은수량산출서(단지내)_기초산출표-56-128-최종" xfId="2151"/>
    <cellStyle name="1_tree_수량산출_총괄내역0518_수도권매립지1004(발주용)_진해자은수량산출서(단지내)_기초산출표-56-128-최종_00-설계서,원가계산,내역서" xfId="2152"/>
    <cellStyle name="1_tree_수량산출_총괄내역0518_수도권매립지1004(발주용)_진해자은수량산출서(단지내)_기초산출표-56-128-최종_설계서-1" xfId="2153"/>
    <cellStyle name="1_tree_수량산출_총괄내역0518_수도권매립지1004(발주용)_진해자은수량산출서(단지내)_기초산출표-56-128-최종_설계서-1_00-설계서,원가계산,내역서" xfId="2154"/>
    <cellStyle name="1_tree_수량산출_총괄내역0518_수도권매립지1004(발주용)_진해자은수량산출서(단지내)_설계서-1" xfId="2155"/>
    <cellStyle name="1_tree_수량산출_총괄내역0518_수도권매립지1004(발주용)_진해자은수량산출서(단지내)_설계서-1_00-설계서,원가계산,내역서" xfId="2156"/>
    <cellStyle name="1_tree_수량산출_총괄내역0518_수도권매립지1004(발주용)_진해자은수량산출서(단지내)_취합" xfId="2157"/>
    <cellStyle name="1_tree_수량산출_총괄내역0518_수도권매립지1004(발주용)_진해자은수량산출서(단지내)_취합_00-설계서,원가계산,내역서" xfId="2158"/>
    <cellStyle name="1_tree_수량산출_총괄내역0518_수도권매립지1004(발주용)_진해자은수량산출서(단지내)_취합_설계서-1" xfId="2159"/>
    <cellStyle name="1_tree_수량산출_총괄내역0518_수도권매립지1004(발주용)_진해자은수량산출서(단지내)_취합_설계서-1_00-설계서,원가계산,내역서" xfId="2160"/>
    <cellStyle name="1_tree_수량산출_총괄내역0518_수도권매립지_00-설계서,원가계산,내역서" xfId="2130"/>
    <cellStyle name="1_tree_수량산출_총괄내역0518_수도권매립지_설계서-1" xfId="2131"/>
    <cellStyle name="1_tree_수량산출_총괄내역0518_수도권매립지_설계서-1_00-설계서,원가계산,내역서" xfId="2132"/>
    <cellStyle name="1_tree_수량산출_총괄내역0518_수도권매립지_진해자은수량산출서(단지내)" xfId="2133"/>
    <cellStyle name="1_tree_수량산출_총괄내역0518_수도권매립지_진해자은수량산출서(단지내)_00-설계서,원가계산,내역서" xfId="2134"/>
    <cellStyle name="1_tree_수량산출_총괄내역0518_수도권매립지_진해자은수량산출서(단지내)_기초산출표-56-128-최종" xfId="2135"/>
    <cellStyle name="1_tree_수량산출_총괄내역0518_수도권매립지_진해자은수량산출서(단지내)_기초산출표-56-128-최종_00-설계서,원가계산,내역서" xfId="2136"/>
    <cellStyle name="1_tree_수량산출_총괄내역0518_수도권매립지_진해자은수량산출서(단지내)_기초산출표-56-128-최종_설계서-1" xfId="2137"/>
    <cellStyle name="1_tree_수량산출_총괄내역0518_수도권매립지_진해자은수량산출서(단지내)_기초산출표-56-128-최종_설계서-1_00-설계서,원가계산,내역서" xfId="2138"/>
    <cellStyle name="1_tree_수량산출_총괄내역0518_수도권매립지_진해자은수량산출서(단지내)_설계서-1" xfId="2139"/>
    <cellStyle name="1_tree_수량산출_총괄내역0518_수도권매립지_진해자은수량산출서(단지내)_설계서-1_00-설계서,원가계산,내역서" xfId="2140"/>
    <cellStyle name="1_tree_수량산출_총괄내역0518_수도권매립지_진해자은수량산출서(단지내)_취합" xfId="2141"/>
    <cellStyle name="1_tree_수량산출_총괄내역0518_수도권매립지_진해자은수량산출서(단지내)_취합_00-설계서,원가계산,내역서" xfId="2142"/>
    <cellStyle name="1_tree_수량산출_총괄내역0518_수도권매립지_진해자은수량산출서(단지내)_취합_설계서-1" xfId="2143"/>
    <cellStyle name="1_tree_수량산출_총괄내역0518_수도권매립지_진해자은수량산출서(단지내)_취합_설계서-1_00-설계서,원가계산,내역서" xfId="2144"/>
    <cellStyle name="1_tree_수량산출_총괄내역0518_일신건영설계예산서(0211)" xfId="2161"/>
    <cellStyle name="1_tree_수량산출_총괄내역0518_일신건영설계예산서(0211)_00-설계서,원가계산,내역서" xfId="2162"/>
    <cellStyle name="1_tree_수량산출_총괄내역0518_일신건영설계예산서(0211)_설계서-1" xfId="2163"/>
    <cellStyle name="1_tree_수량산출_총괄내역0518_일신건영설계예산서(0211)_설계서-1_00-설계서,원가계산,내역서" xfId="2164"/>
    <cellStyle name="1_tree_수량산출_총괄내역0518_일신건영설계예산서(0211)_진해자은수량산출서(단지내)" xfId="2165"/>
    <cellStyle name="1_tree_수량산출_총괄내역0518_일신건영설계예산서(0211)_진해자은수량산출서(단지내)_00-설계서,원가계산,내역서" xfId="2166"/>
    <cellStyle name="1_tree_수량산출_총괄내역0518_일신건영설계예산서(0211)_진해자은수량산출서(단지내)_기초산출표-56-128-최종" xfId="2167"/>
    <cellStyle name="1_tree_수량산출_총괄내역0518_일신건영설계예산서(0211)_진해자은수량산출서(단지내)_기초산출표-56-128-최종_00-설계서,원가계산,내역서" xfId="2168"/>
    <cellStyle name="1_tree_수량산출_총괄내역0518_일신건영설계예산서(0211)_진해자은수량산출서(단지내)_기초산출표-56-128-최종_설계서-1" xfId="2169"/>
    <cellStyle name="1_tree_수량산출_총괄내역0518_일신건영설계예산서(0211)_진해자은수량산출서(단지내)_기초산출표-56-128-최종_설계서-1_00-설계서,원가계산,내역서" xfId="2170"/>
    <cellStyle name="1_tree_수량산출_총괄내역0518_일신건영설계예산서(0211)_진해자은수량산출서(단지내)_설계서-1" xfId="2171"/>
    <cellStyle name="1_tree_수량산출_총괄내역0518_일신건영설계예산서(0211)_진해자은수량산출서(단지내)_설계서-1_00-설계서,원가계산,내역서" xfId="2172"/>
    <cellStyle name="1_tree_수량산출_총괄내역0518_일신건영설계예산서(0211)_진해자은수량산출서(단지내)_취합" xfId="2173"/>
    <cellStyle name="1_tree_수량산출_총괄내역0518_일신건영설계예산서(0211)_진해자은수량산출서(단지내)_취합_00-설계서,원가계산,내역서" xfId="2174"/>
    <cellStyle name="1_tree_수량산출_총괄내역0518_일신건영설계예산서(0211)_진해자은수량산출서(단지내)_취합_설계서-1" xfId="2175"/>
    <cellStyle name="1_tree_수량산출_총괄내역0518_일신건영설계예산서(0211)_진해자은수량산출서(단지내)_취합_설계서-1_00-설계서,원가계산,내역서" xfId="2176"/>
    <cellStyle name="1_tree_수량산출_총괄내역0518_일위대가" xfId="2177"/>
    <cellStyle name="1_tree_수량산출_총괄내역0518_일위대가_00-설계서,원가계산,내역서" xfId="2178"/>
    <cellStyle name="1_tree_수량산출_총괄내역0518_일위대가_설계서-1" xfId="2179"/>
    <cellStyle name="1_tree_수량산출_총괄내역0518_일위대가_설계서-1_00-설계서,원가계산,내역서" xfId="2180"/>
    <cellStyle name="1_tree_수량산출_총괄내역0518_일위대가_진해자은수량산출서(단지내)" xfId="2181"/>
    <cellStyle name="1_tree_수량산출_총괄내역0518_일위대가_진해자은수량산출서(단지내)_00-설계서,원가계산,내역서" xfId="2182"/>
    <cellStyle name="1_tree_수량산출_총괄내역0518_일위대가_진해자은수량산출서(단지내)_기초산출표-56-128-최종" xfId="2183"/>
    <cellStyle name="1_tree_수량산출_총괄내역0518_일위대가_진해자은수량산출서(단지내)_기초산출표-56-128-최종_00-설계서,원가계산,내역서" xfId="2184"/>
    <cellStyle name="1_tree_수량산출_총괄내역0518_일위대가_진해자은수량산출서(단지내)_기초산출표-56-128-최종_설계서-1" xfId="2185"/>
    <cellStyle name="1_tree_수량산출_총괄내역0518_일위대가_진해자은수량산출서(단지내)_기초산출표-56-128-최종_설계서-1_00-설계서,원가계산,내역서" xfId="2186"/>
    <cellStyle name="1_tree_수량산출_총괄내역0518_일위대가_진해자은수량산출서(단지내)_설계서-1" xfId="2187"/>
    <cellStyle name="1_tree_수량산출_총괄내역0518_일위대가_진해자은수량산출서(단지내)_설계서-1_00-설계서,원가계산,내역서" xfId="2188"/>
    <cellStyle name="1_tree_수량산출_총괄내역0518_일위대가_진해자은수량산출서(단지내)_취합" xfId="2189"/>
    <cellStyle name="1_tree_수량산출_총괄내역0518_일위대가_진해자은수량산출서(단지내)_취합_00-설계서,원가계산,내역서" xfId="2190"/>
    <cellStyle name="1_tree_수량산출_총괄내역0518_일위대가_진해자은수량산출서(단지내)_취합_설계서-1" xfId="2191"/>
    <cellStyle name="1_tree_수량산출_총괄내역0518_일위대가_진해자은수량산출서(단지내)_취합_설계서-1_00-설계서,원가계산,내역서" xfId="2192"/>
    <cellStyle name="1_tree_수량산출_총괄내역0518_자재단가표" xfId="2193"/>
    <cellStyle name="1_tree_수량산출_총괄내역0518_자재단가표_00-설계서,원가계산,내역서" xfId="2194"/>
    <cellStyle name="1_tree_수량산출_총괄내역0518_자재단가표_설계서-1" xfId="2195"/>
    <cellStyle name="1_tree_수량산출_총괄내역0518_자재단가표_설계서-1_00-설계서,원가계산,내역서" xfId="2196"/>
    <cellStyle name="1_tree_수량산출_총괄내역0518_자재단가표_진해자은수량산출서(단지내)" xfId="2197"/>
    <cellStyle name="1_tree_수량산출_총괄내역0518_자재단가표_진해자은수량산출서(단지내)_00-설계서,원가계산,내역서" xfId="2198"/>
    <cellStyle name="1_tree_수량산출_총괄내역0518_자재단가표_진해자은수량산출서(단지내)_기초산출표-56-128-최종" xfId="2199"/>
    <cellStyle name="1_tree_수량산출_총괄내역0518_자재단가표_진해자은수량산출서(단지내)_기초산출표-56-128-최종_00-설계서,원가계산,내역서" xfId="2200"/>
    <cellStyle name="1_tree_수량산출_총괄내역0518_자재단가표_진해자은수량산출서(단지내)_기초산출표-56-128-최종_설계서-1" xfId="2201"/>
    <cellStyle name="1_tree_수량산출_총괄내역0518_자재단가표_진해자은수량산출서(단지내)_기초산출표-56-128-최종_설계서-1_00-설계서,원가계산,내역서" xfId="2202"/>
    <cellStyle name="1_tree_수량산출_총괄내역0518_자재단가표_진해자은수량산출서(단지내)_설계서-1" xfId="2203"/>
    <cellStyle name="1_tree_수량산출_총괄내역0518_자재단가표_진해자은수량산출서(단지내)_설계서-1_00-설계서,원가계산,내역서" xfId="2204"/>
    <cellStyle name="1_tree_수량산출_총괄내역0518_자재단가표_진해자은수량산출서(단지내)_취합" xfId="2205"/>
    <cellStyle name="1_tree_수량산출_총괄내역0518_자재단가표_진해자은수량산출서(단지내)_취합_00-설계서,원가계산,내역서" xfId="2206"/>
    <cellStyle name="1_tree_수량산출_총괄내역0518_자재단가표_진해자은수량산출서(단지내)_취합_설계서-1" xfId="2207"/>
    <cellStyle name="1_tree_수량산출_총괄내역0518_자재단가표_진해자은수량산출서(단지내)_취합_설계서-1_00-설계서,원가계산,내역서" xfId="2208"/>
    <cellStyle name="1_tree_수량산출_총괄내역0518_장안초등학교내역0814" xfId="2209"/>
    <cellStyle name="1_tree_수량산출_총괄내역0518_장안초등학교내역0814_00-설계서,원가계산,내역서" xfId="2210"/>
    <cellStyle name="1_tree_수량산출_총괄내역0518_장안초등학교내역0814_설계서-1" xfId="2211"/>
    <cellStyle name="1_tree_수량산출_총괄내역0518_장안초등학교내역0814_설계서-1_00-설계서,원가계산,내역서" xfId="2212"/>
    <cellStyle name="1_tree_수량산출_총괄내역0518_장안초등학교내역0814_진해자은수량산출서(단지내)" xfId="2213"/>
    <cellStyle name="1_tree_수량산출_총괄내역0518_장안초등학교내역0814_진해자은수량산출서(단지내)_00-설계서,원가계산,내역서" xfId="2214"/>
    <cellStyle name="1_tree_수량산출_총괄내역0518_장안초등학교내역0814_진해자은수량산출서(단지내)_기초산출표-56-128-최종" xfId="2215"/>
    <cellStyle name="1_tree_수량산출_총괄내역0518_장안초등학교내역0814_진해자은수량산출서(단지내)_기초산출표-56-128-최종_00-설계서,원가계산,내역서" xfId="2216"/>
    <cellStyle name="1_tree_수량산출_총괄내역0518_장안초등학교내역0814_진해자은수량산출서(단지내)_기초산출표-56-128-최종_설계서-1" xfId="2217"/>
    <cellStyle name="1_tree_수량산출_총괄내역0518_장안초등학교내역0814_진해자은수량산출서(단지내)_기초산출표-56-128-최종_설계서-1_00-설계서,원가계산,내역서" xfId="2218"/>
    <cellStyle name="1_tree_수량산출_총괄내역0518_장안초등학교내역0814_진해자은수량산출서(단지내)_설계서-1" xfId="2219"/>
    <cellStyle name="1_tree_수량산출_총괄내역0518_장안초등학교내역0814_진해자은수량산출서(단지내)_설계서-1_00-설계서,원가계산,내역서" xfId="2220"/>
    <cellStyle name="1_tree_수량산출_총괄내역0518_장안초등학교내역0814_진해자은수량산출서(단지내)_취합" xfId="2221"/>
    <cellStyle name="1_tree_수량산출_총괄내역0518_장안초등학교내역0814_진해자은수량산출서(단지내)_취합_00-설계서,원가계산,내역서" xfId="2222"/>
    <cellStyle name="1_tree_수량산출_총괄내역0518_장안초등학교내역0814_진해자은수량산출서(단지내)_취합_설계서-1" xfId="2223"/>
    <cellStyle name="1_tree_수량산출_총괄내역0518_장안초등학교내역0814_진해자은수량산출서(단지내)_취합_설계서-1_00-설계서,원가계산,내역서" xfId="2224"/>
    <cellStyle name="1_tree_수량산출_총괄내역0518_진해자은수량산출서(단지내)" xfId="2225"/>
    <cellStyle name="1_tree_수량산출_총괄내역0518_진해자은수량산출서(단지내)_00-설계서,원가계산,내역서" xfId="2226"/>
    <cellStyle name="1_tree_수량산출_총괄내역0518_진해자은수량산출서(단지내)_기초산출표-56-128-최종" xfId="2227"/>
    <cellStyle name="1_tree_수량산출_총괄내역0518_진해자은수량산출서(단지내)_기초산출표-56-128-최종_00-설계서,원가계산,내역서" xfId="2228"/>
    <cellStyle name="1_tree_수량산출_총괄내역0518_진해자은수량산출서(단지내)_기초산출표-56-128-최종_설계서-1" xfId="2229"/>
    <cellStyle name="1_tree_수량산출_총괄내역0518_진해자은수량산출서(단지내)_기초산출표-56-128-최종_설계서-1_00-설계서,원가계산,내역서" xfId="2230"/>
    <cellStyle name="1_tree_수량산출_총괄내역0518_진해자은수량산출서(단지내)_설계서-1" xfId="2231"/>
    <cellStyle name="1_tree_수량산출_총괄내역0518_진해자은수량산출서(단지내)_설계서-1_00-설계서,원가계산,내역서" xfId="2232"/>
    <cellStyle name="1_tree_수량산출_총괄내역0518_진해자은수량산출서(단지내)_취합" xfId="2233"/>
    <cellStyle name="1_tree_수량산출_총괄내역0518_진해자은수량산출서(단지내)_취합_00-설계서,원가계산,내역서" xfId="2234"/>
    <cellStyle name="1_tree_수량산출_총괄내역0518_진해자은수량산출서(단지내)_취합_설계서-1" xfId="2235"/>
    <cellStyle name="1_tree_수량산출_총괄내역0518_진해자은수량산출서(단지내)_취합_설계서-1_00-설계서,원가계산,내역서" xfId="2236"/>
    <cellStyle name="1_tree_수량산출_현충묘지-예산서(조경)" xfId="2237"/>
    <cellStyle name="1_tree_수량산출_현충묘지-예산서(조경)_00-설계서,원가계산,내역서" xfId="2238"/>
    <cellStyle name="1_tree_수량산출_현충묘지-예산서(조경)_목동내역" xfId="2239"/>
    <cellStyle name="1_tree_수량산출_현충묘지-예산서(조경)_목동내역_00-설계서,원가계산,내역서" xfId="2240"/>
    <cellStyle name="1_tree_수량산출_현충묘지-예산서(조경)_목동내역_폐기물집계" xfId="2241"/>
    <cellStyle name="1_tree_수량산출_현충묘지-예산서(조경)_목동내역_폐기물집계_00-설계서,원가계산,내역서" xfId="2242"/>
    <cellStyle name="1_tree_수량산출_현충묘지-예산서(조경)_예산서-엑셀변환양식100" xfId="2243"/>
    <cellStyle name="1_tree_수량산출_현충묘지-예산서(조경)_예산서-엑셀변환양식100_00-설계서,원가계산,내역서" xfId="2244"/>
    <cellStyle name="1_tree_수량산출_현충묘지-예산서(조경)_예산서-엑셀변환양식100_목동내역" xfId="2245"/>
    <cellStyle name="1_tree_수량산출_현충묘지-예산서(조경)_예산서-엑셀변환양식100_목동내역_00-설계서,원가계산,내역서" xfId="2246"/>
    <cellStyle name="1_tree_수량산출_현충묘지-예산서(조경)_예산서-엑셀변환양식100_목동내역_폐기물집계" xfId="2247"/>
    <cellStyle name="1_tree_수량산출_현충묘지-예산서(조경)_예산서-엑셀변환양식100_목동내역_폐기물집계_00-설계서,원가계산,내역서" xfId="2248"/>
    <cellStyle name="1_tree_이문동구간중랑천변녹화사업(수량산출서, 071127)-최종" xfId="2249"/>
    <cellStyle name="1_tree_이문동구간중랑천변녹화사업(수량산출서, 071127)-최종_00-설계서,원가계산,내역서" xfId="2250"/>
    <cellStyle name="1_tree_진해자은수량산출서(단지내)" xfId="2251"/>
    <cellStyle name="1_tree_진해자은수량산출서(단지내)_00-설계서,원가계산,내역서" xfId="2252"/>
    <cellStyle name="1_tree_진해자은수량산출서(단지내)_기초산출표-56-128-최종" xfId="2253"/>
    <cellStyle name="1_tree_진해자은수량산출서(단지내)_기초산출표-56-128-최종_00-설계서,원가계산,내역서" xfId="2254"/>
    <cellStyle name="1_tree_진해자은수량산출서(단지내)_기초산출표-56-128-최종_설계서-1" xfId="2255"/>
    <cellStyle name="1_tree_진해자은수량산출서(단지내)_기초산출표-56-128-최종_설계서-1_00-설계서,원가계산,내역서" xfId="2256"/>
    <cellStyle name="1_tree_진해자은수량산출서(단지내)_설계서-1" xfId="2257"/>
    <cellStyle name="1_tree_진해자은수량산출서(단지내)_설계서-1_00-설계서,원가계산,내역서" xfId="2258"/>
    <cellStyle name="1_tree_진해자은수량산출서(단지내)_취합" xfId="2259"/>
    <cellStyle name="1_tree_진해자은수량산출서(단지내)_취합_00-설계서,원가계산,내역서" xfId="2260"/>
    <cellStyle name="1_tree_진해자은수량산출서(단지내)_취합_설계서-1" xfId="2261"/>
    <cellStyle name="1_tree_진해자은수량산출서(단지내)_취합_설계서-1_00-설계서,원가계산,내역서" xfId="2262"/>
    <cellStyle name="1_tree_총괄내역0518" xfId="2263"/>
    <cellStyle name="1_tree_총괄내역0518_00-설계서,원가계산,내역서" xfId="2264"/>
    <cellStyle name="1_tree_총괄내역0518_구로리설계예산서1029" xfId="2265"/>
    <cellStyle name="1_tree_총괄내역0518_구로리설계예산서1029_00-설계서,원가계산,내역서" xfId="2266"/>
    <cellStyle name="1_tree_총괄내역0518_구로리설계예산서1029_설계서-1" xfId="2267"/>
    <cellStyle name="1_tree_총괄내역0518_구로리설계예산서1029_설계서-1_00-설계서,원가계산,내역서" xfId="2268"/>
    <cellStyle name="1_tree_총괄내역0518_구로리설계예산서1029_진해자은수량산출서(단지내)" xfId="2269"/>
    <cellStyle name="1_tree_총괄내역0518_구로리설계예산서1029_진해자은수량산출서(단지내)_00-설계서,원가계산,내역서" xfId="2270"/>
    <cellStyle name="1_tree_총괄내역0518_구로리설계예산서1029_진해자은수량산출서(단지내)_기초산출표-56-128-최종" xfId="2271"/>
    <cellStyle name="1_tree_총괄내역0518_구로리설계예산서1029_진해자은수량산출서(단지내)_기초산출표-56-128-최종_00-설계서,원가계산,내역서" xfId="2272"/>
    <cellStyle name="1_tree_총괄내역0518_구로리설계예산서1029_진해자은수량산출서(단지내)_기초산출표-56-128-최종_설계서-1" xfId="2273"/>
    <cellStyle name="1_tree_총괄내역0518_구로리설계예산서1029_진해자은수량산출서(단지내)_기초산출표-56-128-최종_설계서-1_00-설계서,원가계산,내역서" xfId="2274"/>
    <cellStyle name="1_tree_총괄내역0518_구로리설계예산서1029_진해자은수량산출서(단지내)_설계서-1" xfId="2275"/>
    <cellStyle name="1_tree_총괄내역0518_구로리설계예산서1029_진해자은수량산출서(단지내)_설계서-1_00-설계서,원가계산,내역서" xfId="2276"/>
    <cellStyle name="1_tree_총괄내역0518_구로리설계예산서1029_진해자은수량산출서(단지내)_취합" xfId="2277"/>
    <cellStyle name="1_tree_총괄내역0518_구로리설계예산서1029_진해자은수량산출서(단지내)_취합_00-설계서,원가계산,내역서" xfId="2278"/>
    <cellStyle name="1_tree_총괄내역0518_구로리설계예산서1029_진해자은수량산출서(단지내)_취합_설계서-1" xfId="2279"/>
    <cellStyle name="1_tree_총괄내역0518_구로리설계예산서1029_진해자은수량산출서(단지내)_취합_설계서-1_00-설계서,원가계산,내역서" xfId="2280"/>
    <cellStyle name="1_tree_총괄내역0518_구로리설계예산서1118준공" xfId="2281"/>
    <cellStyle name="1_tree_총괄내역0518_구로리설계예산서1118준공_00-설계서,원가계산,내역서" xfId="2282"/>
    <cellStyle name="1_tree_총괄내역0518_구로리설계예산서1118준공_설계서-1" xfId="2283"/>
    <cellStyle name="1_tree_총괄내역0518_구로리설계예산서1118준공_설계서-1_00-설계서,원가계산,내역서" xfId="2284"/>
    <cellStyle name="1_tree_총괄내역0518_구로리설계예산서1118준공_진해자은수량산출서(단지내)" xfId="2285"/>
    <cellStyle name="1_tree_총괄내역0518_구로리설계예산서1118준공_진해자은수량산출서(단지내)_00-설계서,원가계산,내역서" xfId="2286"/>
    <cellStyle name="1_tree_총괄내역0518_구로리설계예산서1118준공_진해자은수량산출서(단지내)_기초산출표-56-128-최종" xfId="2287"/>
    <cellStyle name="1_tree_총괄내역0518_구로리설계예산서1118준공_진해자은수량산출서(단지내)_기초산출표-56-128-최종_00-설계서,원가계산,내역서" xfId="2288"/>
    <cellStyle name="1_tree_총괄내역0518_구로리설계예산서1118준공_진해자은수량산출서(단지내)_기초산출표-56-128-최종_설계서-1" xfId="2289"/>
    <cellStyle name="1_tree_총괄내역0518_구로리설계예산서1118준공_진해자은수량산출서(단지내)_기초산출표-56-128-최종_설계서-1_00-설계서,원가계산,내역서" xfId="2290"/>
    <cellStyle name="1_tree_총괄내역0518_구로리설계예산서1118준공_진해자은수량산출서(단지내)_설계서-1" xfId="2291"/>
    <cellStyle name="1_tree_총괄내역0518_구로리설계예산서1118준공_진해자은수량산출서(단지내)_설계서-1_00-설계서,원가계산,내역서" xfId="2292"/>
    <cellStyle name="1_tree_총괄내역0518_구로리설계예산서1118준공_진해자은수량산출서(단지내)_취합" xfId="2293"/>
    <cellStyle name="1_tree_총괄내역0518_구로리설계예산서1118준공_진해자은수량산출서(단지내)_취합_00-설계서,원가계산,내역서" xfId="2294"/>
    <cellStyle name="1_tree_총괄내역0518_구로리설계예산서1118준공_진해자은수량산출서(단지내)_취합_설계서-1" xfId="2295"/>
    <cellStyle name="1_tree_총괄내역0518_구로리설계예산서1118준공_진해자은수량산출서(단지내)_취합_설계서-1_00-설계서,원가계산,내역서" xfId="2296"/>
    <cellStyle name="1_tree_총괄내역0518_구로리설계예산서조경" xfId="2297"/>
    <cellStyle name="1_tree_총괄내역0518_구로리설계예산서조경_00-설계서,원가계산,내역서" xfId="2298"/>
    <cellStyle name="1_tree_총괄내역0518_구로리설계예산서조경_설계서-1" xfId="2299"/>
    <cellStyle name="1_tree_총괄내역0518_구로리설계예산서조경_설계서-1_00-설계서,원가계산,내역서" xfId="2300"/>
    <cellStyle name="1_tree_총괄내역0518_구로리설계예산서조경_진해자은수량산출서(단지내)" xfId="2301"/>
    <cellStyle name="1_tree_총괄내역0518_구로리설계예산서조경_진해자은수량산출서(단지내)_00-설계서,원가계산,내역서" xfId="2302"/>
    <cellStyle name="1_tree_총괄내역0518_구로리설계예산서조경_진해자은수량산출서(단지내)_기초산출표-56-128-최종" xfId="2303"/>
    <cellStyle name="1_tree_총괄내역0518_구로리설계예산서조경_진해자은수량산출서(단지내)_기초산출표-56-128-최종_00-설계서,원가계산,내역서" xfId="2304"/>
    <cellStyle name="1_tree_총괄내역0518_구로리설계예산서조경_진해자은수량산출서(단지내)_기초산출표-56-128-최종_설계서-1" xfId="2305"/>
    <cellStyle name="1_tree_총괄내역0518_구로리설계예산서조경_진해자은수량산출서(단지내)_기초산출표-56-128-최종_설계서-1_00-설계서,원가계산,내역서" xfId="2306"/>
    <cellStyle name="1_tree_총괄내역0518_구로리설계예산서조경_진해자은수량산출서(단지내)_설계서-1" xfId="2307"/>
    <cellStyle name="1_tree_총괄내역0518_구로리설계예산서조경_진해자은수량산출서(단지내)_설계서-1_00-설계서,원가계산,내역서" xfId="2308"/>
    <cellStyle name="1_tree_총괄내역0518_구로리설계예산서조경_진해자은수량산출서(단지내)_취합" xfId="2309"/>
    <cellStyle name="1_tree_총괄내역0518_구로리설계예산서조경_진해자은수량산출서(단지내)_취합_00-설계서,원가계산,내역서" xfId="2310"/>
    <cellStyle name="1_tree_총괄내역0518_구로리설계예산서조경_진해자은수량산출서(단지내)_취합_설계서-1" xfId="2311"/>
    <cellStyle name="1_tree_총괄내역0518_구로리설계예산서조경_진해자은수량산출서(단지내)_취합_설계서-1_00-설계서,원가계산,내역서" xfId="2312"/>
    <cellStyle name="1_tree_총괄내역0518_구로리어린이공원예산서(조경)1125" xfId="2313"/>
    <cellStyle name="1_tree_총괄내역0518_구로리어린이공원예산서(조경)1125_00-설계서,원가계산,내역서" xfId="2314"/>
    <cellStyle name="1_tree_총괄내역0518_구로리어린이공원예산서(조경)1125_설계서-1" xfId="2315"/>
    <cellStyle name="1_tree_총괄내역0518_구로리어린이공원예산서(조경)1125_설계서-1_00-설계서,원가계산,내역서" xfId="2316"/>
    <cellStyle name="1_tree_총괄내역0518_구로리어린이공원예산서(조경)1125_진해자은수량산출서(단지내)" xfId="2317"/>
    <cellStyle name="1_tree_총괄내역0518_구로리어린이공원예산서(조경)1125_진해자은수량산출서(단지내)_00-설계서,원가계산,내역서" xfId="2318"/>
    <cellStyle name="1_tree_총괄내역0518_구로리어린이공원예산서(조경)1125_진해자은수량산출서(단지내)_기초산출표-56-128-최종" xfId="2319"/>
    <cellStyle name="1_tree_총괄내역0518_구로리어린이공원예산서(조경)1125_진해자은수량산출서(단지내)_기초산출표-56-128-최종_00-설계서,원가계산,내역서" xfId="2320"/>
    <cellStyle name="1_tree_총괄내역0518_구로리어린이공원예산서(조경)1125_진해자은수량산출서(단지내)_기초산출표-56-128-최종_설계서-1" xfId="2321"/>
    <cellStyle name="1_tree_총괄내역0518_구로리어린이공원예산서(조경)1125_진해자은수량산출서(단지내)_기초산출표-56-128-최종_설계서-1_00-설계서,원가계산,내역서" xfId="2322"/>
    <cellStyle name="1_tree_총괄내역0518_구로리어린이공원예산서(조경)1125_진해자은수량산출서(단지내)_설계서-1" xfId="2323"/>
    <cellStyle name="1_tree_총괄내역0518_구로리어린이공원예산서(조경)1125_진해자은수량산출서(단지내)_설계서-1_00-설계서,원가계산,내역서" xfId="2324"/>
    <cellStyle name="1_tree_총괄내역0518_구로리어린이공원예산서(조경)1125_진해자은수량산출서(단지내)_취합" xfId="2325"/>
    <cellStyle name="1_tree_총괄내역0518_구로리어린이공원예산서(조경)1125_진해자은수량산출서(단지내)_취합_00-설계서,원가계산,내역서" xfId="2326"/>
    <cellStyle name="1_tree_총괄내역0518_구로리어린이공원예산서(조경)1125_진해자은수량산출서(단지내)_취합_설계서-1" xfId="2327"/>
    <cellStyle name="1_tree_총괄내역0518_구로리어린이공원예산서(조경)1125_진해자은수량산출서(단지내)_취합_설계서-1_00-설계서,원가계산,내역서" xfId="2328"/>
    <cellStyle name="1_tree_총괄내역0518_내역서" xfId="2329"/>
    <cellStyle name="1_tree_총괄내역0518_내역서_00-설계서,원가계산,내역서" xfId="2330"/>
    <cellStyle name="1_tree_총괄내역0518_내역서_설계서-1" xfId="2331"/>
    <cellStyle name="1_tree_총괄내역0518_내역서_설계서-1_00-설계서,원가계산,내역서" xfId="2332"/>
    <cellStyle name="1_tree_총괄내역0518_내역서_진해자은수량산출서(단지내)" xfId="2333"/>
    <cellStyle name="1_tree_총괄내역0518_내역서_진해자은수량산출서(단지내)_00-설계서,원가계산,내역서" xfId="2334"/>
    <cellStyle name="1_tree_총괄내역0518_내역서_진해자은수량산출서(단지내)_기초산출표-56-128-최종" xfId="2335"/>
    <cellStyle name="1_tree_총괄내역0518_내역서_진해자은수량산출서(단지내)_기초산출표-56-128-최종_00-설계서,원가계산,내역서" xfId="2336"/>
    <cellStyle name="1_tree_총괄내역0518_내역서_진해자은수량산출서(단지내)_기초산출표-56-128-최종_설계서-1" xfId="2337"/>
    <cellStyle name="1_tree_총괄내역0518_내역서_진해자은수량산출서(단지내)_기초산출표-56-128-최종_설계서-1_00-설계서,원가계산,내역서" xfId="2338"/>
    <cellStyle name="1_tree_총괄내역0518_내역서_진해자은수량산출서(단지내)_설계서-1" xfId="2339"/>
    <cellStyle name="1_tree_총괄내역0518_내역서_진해자은수량산출서(단지내)_설계서-1_00-설계서,원가계산,내역서" xfId="2340"/>
    <cellStyle name="1_tree_총괄내역0518_내역서_진해자은수량산출서(단지내)_취합" xfId="2341"/>
    <cellStyle name="1_tree_총괄내역0518_내역서_진해자은수량산출서(단지내)_취합_00-설계서,원가계산,내역서" xfId="2342"/>
    <cellStyle name="1_tree_총괄내역0518_내역서_진해자은수량산출서(단지내)_취합_설계서-1" xfId="2343"/>
    <cellStyle name="1_tree_총괄내역0518_내역서_진해자은수량산출서(단지내)_취합_설계서-1_00-설계서,원가계산,내역서" xfId="2344"/>
    <cellStyle name="1_tree_총괄내역0518_노임단가표" xfId="2345"/>
    <cellStyle name="1_tree_총괄내역0518_노임단가표_00-설계서,원가계산,내역서" xfId="2346"/>
    <cellStyle name="1_tree_총괄내역0518_노임단가표_설계서-1" xfId="2347"/>
    <cellStyle name="1_tree_총괄내역0518_노임단가표_설계서-1_00-설계서,원가계산,내역서" xfId="2348"/>
    <cellStyle name="1_tree_총괄내역0518_노임단가표_진해자은수량산출서(단지내)" xfId="2349"/>
    <cellStyle name="1_tree_총괄내역0518_노임단가표_진해자은수량산출서(단지내)_00-설계서,원가계산,내역서" xfId="2350"/>
    <cellStyle name="1_tree_총괄내역0518_노임단가표_진해자은수량산출서(단지내)_기초산출표-56-128-최종" xfId="2351"/>
    <cellStyle name="1_tree_총괄내역0518_노임단가표_진해자은수량산출서(단지내)_기초산출표-56-128-최종_00-설계서,원가계산,내역서" xfId="2352"/>
    <cellStyle name="1_tree_총괄내역0518_노임단가표_진해자은수량산출서(단지내)_기초산출표-56-128-최종_설계서-1" xfId="2353"/>
    <cellStyle name="1_tree_총괄내역0518_노임단가표_진해자은수량산출서(단지내)_기초산출표-56-128-최종_설계서-1_00-설계서,원가계산,내역서" xfId="2354"/>
    <cellStyle name="1_tree_총괄내역0518_노임단가표_진해자은수량산출서(단지내)_설계서-1" xfId="2355"/>
    <cellStyle name="1_tree_총괄내역0518_노임단가표_진해자은수량산출서(단지내)_설계서-1_00-설계서,원가계산,내역서" xfId="2356"/>
    <cellStyle name="1_tree_총괄내역0518_노임단가표_진해자은수량산출서(단지내)_취합" xfId="2357"/>
    <cellStyle name="1_tree_총괄내역0518_노임단가표_진해자은수량산출서(단지내)_취합_00-설계서,원가계산,내역서" xfId="2358"/>
    <cellStyle name="1_tree_총괄내역0518_노임단가표_진해자은수량산출서(단지내)_취합_설계서-1" xfId="2359"/>
    <cellStyle name="1_tree_총괄내역0518_노임단가표_진해자은수량산출서(단지내)_취합_설계서-1_00-설계서,원가계산,내역서" xfId="2360"/>
    <cellStyle name="1_tree_총괄내역0518_설계서-1" xfId="2361"/>
    <cellStyle name="1_tree_총괄내역0518_설계서-1_00-설계서,원가계산,내역서" xfId="2362"/>
    <cellStyle name="1_tree_총괄내역0518_수도권매립지" xfId="2363"/>
    <cellStyle name="1_tree_총괄내역0518_수도권매립지1004(발주용)" xfId="2379"/>
    <cellStyle name="1_tree_총괄내역0518_수도권매립지1004(발주용)_00-설계서,원가계산,내역서" xfId="2380"/>
    <cellStyle name="1_tree_총괄내역0518_수도권매립지1004(발주용)_설계서-1" xfId="2381"/>
    <cellStyle name="1_tree_총괄내역0518_수도권매립지1004(발주용)_설계서-1_00-설계서,원가계산,내역서" xfId="2382"/>
    <cellStyle name="1_tree_총괄내역0518_수도권매립지1004(발주용)_진해자은수량산출서(단지내)" xfId="2383"/>
    <cellStyle name="1_tree_총괄내역0518_수도권매립지1004(발주용)_진해자은수량산출서(단지내)_00-설계서,원가계산,내역서" xfId="2384"/>
    <cellStyle name="1_tree_총괄내역0518_수도권매립지1004(발주용)_진해자은수량산출서(단지내)_기초산출표-56-128-최종" xfId="2385"/>
    <cellStyle name="1_tree_총괄내역0518_수도권매립지1004(발주용)_진해자은수량산출서(단지내)_기초산출표-56-128-최종_00-설계서,원가계산,내역서" xfId="2386"/>
    <cellStyle name="1_tree_총괄내역0518_수도권매립지1004(발주용)_진해자은수량산출서(단지내)_기초산출표-56-128-최종_설계서-1" xfId="2387"/>
    <cellStyle name="1_tree_총괄내역0518_수도권매립지1004(발주용)_진해자은수량산출서(단지내)_기초산출표-56-128-최종_설계서-1_00-설계서,원가계산,내역서" xfId="2388"/>
    <cellStyle name="1_tree_총괄내역0518_수도권매립지1004(발주용)_진해자은수량산출서(단지내)_설계서-1" xfId="2389"/>
    <cellStyle name="1_tree_총괄내역0518_수도권매립지1004(발주용)_진해자은수량산출서(단지내)_설계서-1_00-설계서,원가계산,내역서" xfId="2390"/>
    <cellStyle name="1_tree_총괄내역0518_수도권매립지1004(발주용)_진해자은수량산출서(단지내)_취합" xfId="2391"/>
    <cellStyle name="1_tree_총괄내역0518_수도권매립지1004(발주용)_진해자은수량산출서(단지내)_취합_00-설계서,원가계산,내역서" xfId="2392"/>
    <cellStyle name="1_tree_총괄내역0518_수도권매립지1004(발주용)_진해자은수량산출서(단지내)_취합_설계서-1" xfId="2393"/>
    <cellStyle name="1_tree_총괄내역0518_수도권매립지1004(발주용)_진해자은수량산출서(단지내)_취합_설계서-1_00-설계서,원가계산,내역서" xfId="2394"/>
    <cellStyle name="1_tree_총괄내역0518_수도권매립지_00-설계서,원가계산,내역서" xfId="2364"/>
    <cellStyle name="1_tree_총괄내역0518_수도권매립지_설계서-1" xfId="2365"/>
    <cellStyle name="1_tree_총괄내역0518_수도권매립지_설계서-1_00-설계서,원가계산,내역서" xfId="2366"/>
    <cellStyle name="1_tree_총괄내역0518_수도권매립지_진해자은수량산출서(단지내)" xfId="2367"/>
    <cellStyle name="1_tree_총괄내역0518_수도권매립지_진해자은수량산출서(단지내)_00-설계서,원가계산,내역서" xfId="2368"/>
    <cellStyle name="1_tree_총괄내역0518_수도권매립지_진해자은수량산출서(단지내)_기초산출표-56-128-최종" xfId="2369"/>
    <cellStyle name="1_tree_총괄내역0518_수도권매립지_진해자은수량산출서(단지내)_기초산출표-56-128-최종_00-설계서,원가계산,내역서" xfId="2370"/>
    <cellStyle name="1_tree_총괄내역0518_수도권매립지_진해자은수량산출서(단지내)_기초산출표-56-128-최종_설계서-1" xfId="2371"/>
    <cellStyle name="1_tree_총괄내역0518_수도권매립지_진해자은수량산출서(단지내)_기초산출표-56-128-최종_설계서-1_00-설계서,원가계산,내역서" xfId="2372"/>
    <cellStyle name="1_tree_총괄내역0518_수도권매립지_진해자은수량산출서(단지내)_설계서-1" xfId="2373"/>
    <cellStyle name="1_tree_총괄내역0518_수도권매립지_진해자은수량산출서(단지내)_설계서-1_00-설계서,원가계산,내역서" xfId="2374"/>
    <cellStyle name="1_tree_총괄내역0518_수도권매립지_진해자은수량산출서(단지내)_취합" xfId="2375"/>
    <cellStyle name="1_tree_총괄내역0518_수도권매립지_진해자은수량산출서(단지내)_취합_00-설계서,원가계산,내역서" xfId="2376"/>
    <cellStyle name="1_tree_총괄내역0518_수도권매립지_진해자은수량산출서(단지내)_취합_설계서-1" xfId="2377"/>
    <cellStyle name="1_tree_총괄내역0518_수도권매립지_진해자은수량산출서(단지내)_취합_설계서-1_00-설계서,원가계산,내역서" xfId="2378"/>
    <cellStyle name="1_tree_총괄내역0518_일신건영설계예산서(0211)" xfId="2395"/>
    <cellStyle name="1_tree_총괄내역0518_일신건영설계예산서(0211)_00-설계서,원가계산,내역서" xfId="2396"/>
    <cellStyle name="1_tree_총괄내역0518_일신건영설계예산서(0211)_설계서-1" xfId="2397"/>
    <cellStyle name="1_tree_총괄내역0518_일신건영설계예산서(0211)_설계서-1_00-설계서,원가계산,내역서" xfId="2398"/>
    <cellStyle name="1_tree_총괄내역0518_일신건영설계예산서(0211)_진해자은수량산출서(단지내)" xfId="2399"/>
    <cellStyle name="1_tree_총괄내역0518_일신건영설계예산서(0211)_진해자은수량산출서(단지내)_00-설계서,원가계산,내역서" xfId="2400"/>
    <cellStyle name="1_tree_총괄내역0518_일신건영설계예산서(0211)_진해자은수량산출서(단지내)_기초산출표-56-128-최종" xfId="2401"/>
    <cellStyle name="1_tree_총괄내역0518_일신건영설계예산서(0211)_진해자은수량산출서(단지내)_기초산출표-56-128-최종_00-설계서,원가계산,내역서" xfId="2402"/>
    <cellStyle name="1_tree_총괄내역0518_일신건영설계예산서(0211)_진해자은수량산출서(단지내)_기초산출표-56-128-최종_설계서-1" xfId="2403"/>
    <cellStyle name="1_tree_총괄내역0518_일신건영설계예산서(0211)_진해자은수량산출서(단지내)_기초산출표-56-128-최종_설계서-1_00-설계서,원가계산,내역서" xfId="2404"/>
    <cellStyle name="1_tree_총괄내역0518_일신건영설계예산서(0211)_진해자은수량산출서(단지내)_설계서-1" xfId="2405"/>
    <cellStyle name="1_tree_총괄내역0518_일신건영설계예산서(0211)_진해자은수량산출서(단지내)_설계서-1_00-설계서,원가계산,내역서" xfId="2406"/>
    <cellStyle name="1_tree_총괄내역0518_일신건영설계예산서(0211)_진해자은수량산출서(단지내)_취합" xfId="2407"/>
    <cellStyle name="1_tree_총괄내역0518_일신건영설계예산서(0211)_진해자은수량산출서(단지내)_취합_00-설계서,원가계산,내역서" xfId="2408"/>
    <cellStyle name="1_tree_총괄내역0518_일신건영설계예산서(0211)_진해자은수량산출서(단지내)_취합_설계서-1" xfId="2409"/>
    <cellStyle name="1_tree_총괄내역0518_일신건영설계예산서(0211)_진해자은수량산출서(단지내)_취합_설계서-1_00-설계서,원가계산,내역서" xfId="2410"/>
    <cellStyle name="1_tree_총괄내역0518_일위대가" xfId="2411"/>
    <cellStyle name="1_tree_총괄내역0518_일위대가_00-설계서,원가계산,내역서" xfId="2412"/>
    <cellStyle name="1_tree_총괄내역0518_일위대가_설계서-1" xfId="2413"/>
    <cellStyle name="1_tree_총괄내역0518_일위대가_설계서-1_00-설계서,원가계산,내역서" xfId="2414"/>
    <cellStyle name="1_tree_총괄내역0518_일위대가_진해자은수량산출서(단지내)" xfId="2415"/>
    <cellStyle name="1_tree_총괄내역0518_일위대가_진해자은수량산출서(단지내)_00-설계서,원가계산,내역서" xfId="2416"/>
    <cellStyle name="1_tree_총괄내역0518_일위대가_진해자은수량산출서(단지내)_기초산출표-56-128-최종" xfId="2417"/>
    <cellStyle name="1_tree_총괄내역0518_일위대가_진해자은수량산출서(단지내)_기초산출표-56-128-최종_00-설계서,원가계산,내역서" xfId="2418"/>
    <cellStyle name="1_tree_총괄내역0518_일위대가_진해자은수량산출서(단지내)_기초산출표-56-128-최종_설계서-1" xfId="2419"/>
    <cellStyle name="1_tree_총괄내역0518_일위대가_진해자은수량산출서(단지내)_기초산출표-56-128-최종_설계서-1_00-설계서,원가계산,내역서" xfId="2420"/>
    <cellStyle name="1_tree_총괄내역0518_일위대가_진해자은수량산출서(단지내)_설계서-1" xfId="2421"/>
    <cellStyle name="1_tree_총괄내역0518_일위대가_진해자은수량산출서(단지내)_설계서-1_00-설계서,원가계산,내역서" xfId="2422"/>
    <cellStyle name="1_tree_총괄내역0518_일위대가_진해자은수량산출서(단지내)_취합" xfId="2423"/>
    <cellStyle name="1_tree_총괄내역0518_일위대가_진해자은수량산출서(단지내)_취합_00-설계서,원가계산,내역서" xfId="2424"/>
    <cellStyle name="1_tree_총괄내역0518_일위대가_진해자은수량산출서(단지내)_취합_설계서-1" xfId="2425"/>
    <cellStyle name="1_tree_총괄내역0518_일위대가_진해자은수량산출서(단지내)_취합_설계서-1_00-설계서,원가계산,내역서" xfId="2426"/>
    <cellStyle name="1_tree_총괄내역0518_자재단가표" xfId="2427"/>
    <cellStyle name="1_tree_총괄내역0518_자재단가표_00-설계서,원가계산,내역서" xfId="2428"/>
    <cellStyle name="1_tree_총괄내역0518_자재단가표_설계서-1" xfId="2429"/>
    <cellStyle name="1_tree_총괄내역0518_자재단가표_설계서-1_00-설계서,원가계산,내역서" xfId="2430"/>
    <cellStyle name="1_tree_총괄내역0518_자재단가표_진해자은수량산출서(단지내)" xfId="2431"/>
    <cellStyle name="1_tree_총괄내역0518_자재단가표_진해자은수량산출서(단지내)_00-설계서,원가계산,내역서" xfId="2432"/>
    <cellStyle name="1_tree_총괄내역0518_자재단가표_진해자은수량산출서(단지내)_기초산출표-56-128-최종" xfId="2433"/>
    <cellStyle name="1_tree_총괄내역0518_자재단가표_진해자은수량산출서(단지내)_기초산출표-56-128-최종_00-설계서,원가계산,내역서" xfId="2434"/>
    <cellStyle name="1_tree_총괄내역0518_자재단가표_진해자은수량산출서(단지내)_기초산출표-56-128-최종_설계서-1" xfId="2435"/>
    <cellStyle name="1_tree_총괄내역0518_자재단가표_진해자은수량산출서(단지내)_기초산출표-56-128-최종_설계서-1_00-설계서,원가계산,내역서" xfId="2436"/>
    <cellStyle name="1_tree_총괄내역0518_자재단가표_진해자은수량산출서(단지내)_설계서-1" xfId="2437"/>
    <cellStyle name="1_tree_총괄내역0518_자재단가표_진해자은수량산출서(단지내)_설계서-1_00-설계서,원가계산,내역서" xfId="2438"/>
    <cellStyle name="1_tree_총괄내역0518_자재단가표_진해자은수량산출서(단지내)_취합" xfId="2439"/>
    <cellStyle name="1_tree_총괄내역0518_자재단가표_진해자은수량산출서(단지내)_취합_00-설계서,원가계산,내역서" xfId="2440"/>
    <cellStyle name="1_tree_총괄내역0518_자재단가표_진해자은수량산출서(단지내)_취합_설계서-1" xfId="2441"/>
    <cellStyle name="1_tree_총괄내역0518_자재단가표_진해자은수량산출서(단지내)_취합_설계서-1_00-설계서,원가계산,내역서" xfId="2442"/>
    <cellStyle name="1_tree_총괄내역0518_장안초등학교내역0814" xfId="2443"/>
    <cellStyle name="1_tree_총괄내역0518_장안초등학교내역0814_00-설계서,원가계산,내역서" xfId="2444"/>
    <cellStyle name="1_tree_총괄내역0518_장안초등학교내역0814_설계서-1" xfId="2445"/>
    <cellStyle name="1_tree_총괄내역0518_장안초등학교내역0814_설계서-1_00-설계서,원가계산,내역서" xfId="2446"/>
    <cellStyle name="1_tree_총괄내역0518_장안초등학교내역0814_진해자은수량산출서(단지내)" xfId="2447"/>
    <cellStyle name="1_tree_총괄내역0518_장안초등학교내역0814_진해자은수량산출서(단지내)_00-설계서,원가계산,내역서" xfId="2448"/>
    <cellStyle name="1_tree_총괄내역0518_장안초등학교내역0814_진해자은수량산출서(단지내)_기초산출표-56-128-최종" xfId="2449"/>
    <cellStyle name="1_tree_총괄내역0518_장안초등학교내역0814_진해자은수량산출서(단지내)_기초산출표-56-128-최종_00-설계서,원가계산,내역서" xfId="2450"/>
    <cellStyle name="1_tree_총괄내역0518_장안초등학교내역0814_진해자은수량산출서(단지내)_기초산출표-56-128-최종_설계서-1" xfId="2451"/>
    <cellStyle name="1_tree_총괄내역0518_장안초등학교내역0814_진해자은수량산출서(단지내)_기초산출표-56-128-최종_설계서-1_00-설계서,원가계산,내역서" xfId="2452"/>
    <cellStyle name="1_tree_총괄내역0518_장안초등학교내역0814_진해자은수량산출서(단지내)_설계서-1" xfId="2453"/>
    <cellStyle name="1_tree_총괄내역0518_장안초등학교내역0814_진해자은수량산출서(단지내)_설계서-1_00-설계서,원가계산,내역서" xfId="2454"/>
    <cellStyle name="1_tree_총괄내역0518_장안초등학교내역0814_진해자은수량산출서(단지내)_취합" xfId="2455"/>
    <cellStyle name="1_tree_총괄내역0518_장안초등학교내역0814_진해자은수량산출서(단지내)_취합_00-설계서,원가계산,내역서" xfId="2456"/>
    <cellStyle name="1_tree_총괄내역0518_장안초등학교내역0814_진해자은수량산출서(단지내)_취합_설계서-1" xfId="2457"/>
    <cellStyle name="1_tree_총괄내역0518_장안초등학교내역0814_진해자은수량산출서(단지내)_취합_설계서-1_00-설계서,원가계산,내역서" xfId="2458"/>
    <cellStyle name="1_tree_총괄내역0518_진해자은수량산출서(단지내)" xfId="2459"/>
    <cellStyle name="1_tree_총괄내역0518_진해자은수량산출서(단지내)_00-설계서,원가계산,내역서" xfId="2460"/>
    <cellStyle name="1_tree_총괄내역0518_진해자은수량산출서(단지내)_기초산출표-56-128-최종" xfId="2461"/>
    <cellStyle name="1_tree_총괄내역0518_진해자은수량산출서(단지내)_기초산출표-56-128-최종_00-설계서,원가계산,내역서" xfId="2462"/>
    <cellStyle name="1_tree_총괄내역0518_진해자은수량산출서(단지내)_기초산출표-56-128-최종_설계서-1" xfId="2463"/>
    <cellStyle name="1_tree_총괄내역0518_진해자은수량산출서(단지내)_기초산출표-56-128-최종_설계서-1_00-설계서,원가계산,내역서" xfId="2464"/>
    <cellStyle name="1_tree_총괄내역0518_진해자은수량산출서(단지내)_설계서-1" xfId="2465"/>
    <cellStyle name="1_tree_총괄내역0518_진해자은수량산출서(단지내)_설계서-1_00-설계서,원가계산,내역서" xfId="2466"/>
    <cellStyle name="1_tree_총괄내역0518_진해자은수량산출서(단지내)_취합" xfId="2467"/>
    <cellStyle name="1_tree_총괄내역0518_진해자은수량산출서(단지내)_취합_00-설계서,원가계산,내역서" xfId="2468"/>
    <cellStyle name="1_tree_총괄내역0518_진해자은수량산출서(단지내)_취합_설계서-1" xfId="2469"/>
    <cellStyle name="1_tree_총괄내역0518_진해자은수량산출서(단지내)_취합_설계서-1_00-설계서,원가계산,내역서" xfId="2470"/>
    <cellStyle name="1_tree_현충묘지-예산서(조경)" xfId="2471"/>
    <cellStyle name="1_tree_현충묘지-예산서(조경)_00-설계서,원가계산,내역서" xfId="2472"/>
    <cellStyle name="1_tree_현충묘지-예산서(조경)_목동내역" xfId="2473"/>
    <cellStyle name="1_tree_현충묘지-예산서(조경)_목동내역_00-설계서,원가계산,내역서" xfId="2474"/>
    <cellStyle name="1_tree_현충묘지-예산서(조경)_목동내역_폐기물집계" xfId="2475"/>
    <cellStyle name="1_tree_현충묘지-예산서(조경)_목동내역_폐기물집계_00-설계서,원가계산,내역서" xfId="2476"/>
    <cellStyle name="1_tree_현충묘지-예산서(조경)_예산서-엑셀변환양식100" xfId="2477"/>
    <cellStyle name="1_tree_현충묘지-예산서(조경)_예산서-엑셀변환양식100_00-설계서,원가계산,내역서" xfId="2478"/>
    <cellStyle name="1_tree_현충묘지-예산서(조경)_예산서-엑셀변환양식100_목동내역" xfId="2479"/>
    <cellStyle name="1_tree_현충묘지-예산서(조경)_예산서-엑셀변환양식100_목동내역_00-설계서,원가계산,내역서" xfId="2480"/>
    <cellStyle name="1_tree_현충묘지-예산서(조경)_예산서-엑셀변환양식100_목동내역_폐기물집계" xfId="2481"/>
    <cellStyle name="1_tree_현충묘지-예산서(조경)_예산서-엑셀변환양식100_목동내역_폐기물집계_00-설계서,원가계산,내역서" xfId="2482"/>
    <cellStyle name="1_강남폐기물내역" xfId="2483"/>
    <cellStyle name="1_공양식(레인보우스케이프)" xfId="2484"/>
    <cellStyle name="1_단가조사표" xfId="2485"/>
    <cellStyle name="1_단가조사표_1011소각" xfId="2486"/>
    <cellStyle name="1_단가조사표_1113교~1" xfId="2487"/>
    <cellStyle name="1_단가조사표_121내역" xfId="2488"/>
    <cellStyle name="1_단가조사표_객토량" xfId="2489"/>
    <cellStyle name="1_단가조사표_교통센~1" xfId="2490"/>
    <cellStyle name="1_단가조사표_교통센터412" xfId="2491"/>
    <cellStyle name="1_단가조사표_교통수" xfId="2492"/>
    <cellStyle name="1_단가조사표_교통수량산출서" xfId="2493"/>
    <cellStyle name="1_단가조사표_구조물대가 (2)" xfId="2494"/>
    <cellStyle name="1_단가조사표_내역서 (2)" xfId="2495"/>
    <cellStyle name="1_단가조사표_대전관저지구" xfId="2496"/>
    <cellStyle name="1_단가조사표_동측지~1" xfId="2497"/>
    <cellStyle name="1_단가조사표_동측지원422" xfId="2498"/>
    <cellStyle name="1_단가조사표_동측지원512" xfId="2499"/>
    <cellStyle name="1_단가조사표_동측지원524" xfId="2500"/>
    <cellStyle name="1_단가조사표_부대422" xfId="2501"/>
    <cellStyle name="1_단가조사표_부대시설" xfId="2502"/>
    <cellStyle name="1_단가조사표_소각수~1" xfId="2503"/>
    <cellStyle name="1_단가조사표_소각수내역서" xfId="2504"/>
    <cellStyle name="1_단가조사표_소각수목2" xfId="2505"/>
    <cellStyle name="1_단가조사표_수량산출서 (2)" xfId="2506"/>
    <cellStyle name="1_단가조사표_엑스포~1" xfId="2507"/>
    <cellStyle name="1_단가조사표_엑스포한빛1" xfId="2508"/>
    <cellStyle name="1_단가조사표_여객터미널331" xfId="2509"/>
    <cellStyle name="1_단가조사표_여객터미널513" xfId="2510"/>
    <cellStyle name="1_단가조사표_여객터미널629" xfId="2511"/>
    <cellStyle name="1_단가조사표_외곽도로616" xfId="2512"/>
    <cellStyle name="1_단가조사표_원가계~1" xfId="2513"/>
    <cellStyle name="1_단가조사표_유기질" xfId="2514"/>
    <cellStyle name="1_단가조사표_자재조서 (2)" xfId="2515"/>
    <cellStyle name="1_단가조사표_총괄내역" xfId="2516"/>
    <cellStyle name="1_단가조사표_총괄내역 (2)" xfId="2517"/>
    <cellStyle name="1_단가조사표_터미널도로403" xfId="2518"/>
    <cellStyle name="1_단가조사표_터미널도로429" xfId="2519"/>
    <cellStyle name="1_단가조사표_포장일위" xfId="2520"/>
    <cellStyle name="1_목동내역" xfId="2521"/>
    <cellStyle name="1_시민계략공사" xfId="2522"/>
    <cellStyle name="1_시민계략공사 2" xfId="2523"/>
    <cellStyle name="1_시민계략공사 3" xfId="2524"/>
    <cellStyle name="1_시민계략공사_2002년도각종계산서너릿제터널등7개소" xfId="2525"/>
    <cellStyle name="1_시민계략공사_2003년 각종계산서(읽기전용)" xfId="2526"/>
    <cellStyle name="1_시민계략공사_2003년 각종계산서(읽기전용)_00-설계서,원가계산,내역서" xfId="2527"/>
    <cellStyle name="1_시민계략공사_2003년 각종계산서(읽기전용)_내역서(전기)" xfId="2528"/>
    <cellStyle name="1_시민계략공사_2003년 각종계산서(읽기전용)_내역서(전기)_00-설계서,원가계산,내역서" xfId="2529"/>
    <cellStyle name="1_시민계략공사_Book2" xfId="2530"/>
    <cellStyle name="1_시민계략공사_Book2 2" xfId="2531"/>
    <cellStyle name="1_시민계략공사_Book2 3" xfId="2532"/>
    <cellStyle name="1_시민계략공사_각종계산서" xfId="2533"/>
    <cellStyle name="1_시민계략공사_각종계산서_00-설계서,원가계산,내역서" xfId="2534"/>
    <cellStyle name="1_시민계략공사_계산서및내역서5월9일변경" xfId="2535"/>
    <cellStyle name="1_시민계략공사_관급-(수배전반)" xfId="2536"/>
    <cellStyle name="1_시민계략공사_관급-(수배전반) 2" xfId="2537"/>
    <cellStyle name="1_시민계략공사_관급-(수배전반) 3" xfId="2538"/>
    <cellStyle name="1_시민계략공사_관급-등기구" xfId="2539"/>
    <cellStyle name="1_시민계략공사_관급-등기구 2" xfId="2540"/>
    <cellStyle name="1_시민계략공사_관급-등기구 3" xfId="2541"/>
    <cellStyle name="1_시민계략공사_관급-태양광등기구" xfId="2542"/>
    <cellStyle name="1_시민계략공사_관급-태양광등기구 2" xfId="2543"/>
    <cellStyle name="1_시민계략공사_관급-태양광등기구 3" xfId="2544"/>
    <cellStyle name="1_시민계략공사_광양중동중학교실증축공사(전기)-4월10일한번더" xfId="2545"/>
    <cellStyle name="1_시민계략공사_광양중동중학교실증축공사(전기)-4월10일한번더 2" xfId="2546"/>
    <cellStyle name="1_시민계략공사_광양중동중학교실증축공사(전기)-4월10일한번더 3" xfId="2547"/>
    <cellStyle name="1_시민계략공사_무안연꽃방죽(4월9일)한번더" xfId="2548"/>
    <cellStyle name="1_시민계략공사_무안연꽃방죽(4월9일)한번더 2" xfId="2549"/>
    <cellStyle name="1_시민계략공사_무안연꽃방죽(4월9일)한번더 3" xfId="2550"/>
    <cellStyle name="1_시민계략공사_백운초 신축 전기공사-납품-" xfId="2551"/>
    <cellStyle name="1_시민계략공사_백운초 신축 전기공사-납품- 2" xfId="2552"/>
    <cellStyle name="1_시민계략공사_백운초 신축 전기공사-납품- 3" xfId="2553"/>
    <cellStyle name="1_시민계략공사_보일약국~순국비간 도로개설 가로등설치공사" xfId="2554"/>
    <cellStyle name="1_시민계략공사_보일약국~순국비간 도로개설 가로등설치공사 2" xfId="2555"/>
    <cellStyle name="1_시민계략공사_보일약국~순국비간 도로개설 가로등설치공사 3" xfId="2556"/>
    <cellStyle name="1_시민계략공사_복지관 부하계산서" xfId="2557"/>
    <cellStyle name="1_시민계략공사_복지관 부하계산서_00-설계서,원가계산,내역서" xfId="2558"/>
    <cellStyle name="1_시민계략공사_복지관 부하계산서_내역서(전기)" xfId="2559"/>
    <cellStyle name="1_시민계략공사_복지관 부하계산서_내역서(전기)_00-설계서,원가계산,내역서" xfId="2560"/>
    <cellStyle name="1_시민계략공사_봉산면보건지소신축공사(전기)11월30일변경" xfId="2561"/>
    <cellStyle name="1_시민계략공사_봉산면보건지소신축공사(전기)11월30일변경 2" xfId="2562"/>
    <cellStyle name="1_시민계략공사_봉산면보건지소신축공사(전기)11월30일변경 3" xfId="2563"/>
    <cellStyle name="1_시민계략공사_북문로(팔마로)가로등설치공사(변경)3월11일" xfId="2564"/>
    <cellStyle name="1_시민계략공사_북문로(팔마로)가로등설치공사(변경)3월11일 2" xfId="2565"/>
    <cellStyle name="1_시민계략공사_북문로(팔마로)가로등설치공사(변경)3월11일 3" xfId="2566"/>
    <cellStyle name="1_시민계략공사_북문로(팔마로)가로등설치공사NO34번까지시행분" xfId="2567"/>
    <cellStyle name="1_시민계략공사_북문로(팔마로)가로등설치공사NO34번까지시행분 2" xfId="2568"/>
    <cellStyle name="1_시민계략공사_북문로(팔마로)가로등설치공사NO34번까지시행분 3" xfId="2569"/>
    <cellStyle name="1_시민계략공사_북문로(팔마로)교통신호등설치공사NO34번까지" xfId="2570"/>
    <cellStyle name="1_시민계략공사_북문로(팔마로)교통신호등설치공사NO34번까지 2" xfId="2571"/>
    <cellStyle name="1_시민계략공사_북문로(팔마로)교통신호등설치공사NO34번까지 3" xfId="2572"/>
    <cellStyle name="1_시민계략공사_북문팔마로확포장공사가로등" xfId="2573"/>
    <cellStyle name="1_시민계략공사_북문팔마로확포장공사가로등 2" xfId="2574"/>
    <cellStyle name="1_시민계략공사_북문팔마로확포장공사가로등 3" xfId="2575"/>
    <cellStyle name="1_시민계략공사_비상부하,발전기용량 계산서" xfId="2576"/>
    <cellStyle name="1_시민계략공사_비상부하,발전기용량 계산서_00-설계서,원가계산,내역서" xfId="2577"/>
    <cellStyle name="1_시민계략공사_비상부하,발전기용량 계산서_내역서(전기)" xfId="2578"/>
    <cellStyle name="1_시민계략공사_비상부하,발전기용량 계산서_내역서(전기)_00-설계서,원가계산,내역서" xfId="2579"/>
    <cellStyle name="1_시민계략공사_여수오동도분수(사급)R2" xfId="2580"/>
    <cellStyle name="1_시민계략공사_여수오동도분수(사급)R2 2" xfId="2581"/>
    <cellStyle name="1_시민계략공사_여수오동도분수(사급)R2 3" xfId="2582"/>
    <cellStyle name="1_시민계략공사_오동도음악분수수전설비공사(1차전기)" xfId="2583"/>
    <cellStyle name="1_시민계략공사_율촌중학교심야전기" xfId="2584"/>
    <cellStyle name="1_시민계략공사_율촌중학교심야전기 2" xfId="2585"/>
    <cellStyle name="1_시민계략공사_율촌중학교심야전기 3" xfId="2586"/>
    <cellStyle name="1_시민계략공사_전기-한남" xfId="2587"/>
    <cellStyle name="1_시민계략공사_조도계산서" xfId="2588"/>
    <cellStyle name="1_시민계략공사_조도계산서_00-설계서,원가계산,내역서" xfId="2589"/>
    <cellStyle name="1_시민계략공사_조도계산서_내역서(전기)" xfId="2590"/>
    <cellStyle name="1_시민계략공사_조도계산서_내역서(전기)_00-설계서,원가계산,내역서" xfId="2591"/>
    <cellStyle name="1_연안권역특화거리조성을위한음악분수대설치R6(제출EBS)-설비,전기,관리실" xfId="2592"/>
    <cellStyle name="1_이문동(철거수량산출서)-1" xfId="2593"/>
    <cellStyle name="1_이문동구간중랑천변녹화사업(수량산출서, 071127)-최종" xfId="2594"/>
    <cellStyle name="1_일위대가공식2004" xfId="2595"/>
    <cellStyle name="1_일위대가공식2005" xfId="2596"/>
    <cellStyle name="1_폐기물" xfId="2597"/>
    <cellStyle name="1_폐기물집계" xfId="2598"/>
    <cellStyle name="1_현충묘지-수량산출서" xfId="2599"/>
    <cellStyle name="2" xfId="2602"/>
    <cellStyle name="2)" xfId="2603"/>
    <cellStyle name="20% - 강조색1 2" xfId="4"/>
    <cellStyle name="2_laroux" xfId="2604"/>
    <cellStyle name="2_laroux_ATC-YOON1" xfId="2605"/>
    <cellStyle name="2_단가조사표" xfId="2606"/>
    <cellStyle name="2_단가조사표_1011소각" xfId="2607"/>
    <cellStyle name="2_단가조사표_1113교~1" xfId="2608"/>
    <cellStyle name="2_단가조사표_121내역" xfId="2609"/>
    <cellStyle name="2_단가조사표_객토량" xfId="2610"/>
    <cellStyle name="2_단가조사표_교통센~1" xfId="2611"/>
    <cellStyle name="2_단가조사표_교통센터412" xfId="2612"/>
    <cellStyle name="2_단가조사표_교통수" xfId="2613"/>
    <cellStyle name="2_단가조사표_교통수량산출서" xfId="2614"/>
    <cellStyle name="2_단가조사표_구조물대가 (2)" xfId="2615"/>
    <cellStyle name="2_단가조사표_내역서 (2)" xfId="2616"/>
    <cellStyle name="2_단가조사표_대전관저지구" xfId="2617"/>
    <cellStyle name="2_단가조사표_동측지~1" xfId="2618"/>
    <cellStyle name="2_단가조사표_동측지원422" xfId="2619"/>
    <cellStyle name="2_단가조사표_동측지원512" xfId="2620"/>
    <cellStyle name="2_단가조사표_동측지원524" xfId="2621"/>
    <cellStyle name="2_단가조사표_부대422" xfId="2622"/>
    <cellStyle name="2_단가조사표_부대시설" xfId="2623"/>
    <cellStyle name="2_단가조사표_소각수~1" xfId="2624"/>
    <cellStyle name="2_단가조사표_소각수내역서" xfId="2625"/>
    <cellStyle name="2_단가조사표_소각수목2" xfId="2626"/>
    <cellStyle name="2_단가조사표_수량산출서 (2)" xfId="2627"/>
    <cellStyle name="2_단가조사표_엑스포~1" xfId="2628"/>
    <cellStyle name="2_단가조사표_엑스포한빛1" xfId="2629"/>
    <cellStyle name="2_단가조사표_여객터미널331" xfId="2630"/>
    <cellStyle name="2_단가조사표_여객터미널513" xfId="2631"/>
    <cellStyle name="2_단가조사표_여객터미널629" xfId="2632"/>
    <cellStyle name="2_단가조사표_외곽도로616" xfId="2633"/>
    <cellStyle name="2_단가조사표_원가계~1" xfId="2634"/>
    <cellStyle name="2_단가조사표_유기질" xfId="2635"/>
    <cellStyle name="2_단가조사표_자재조서 (2)" xfId="2636"/>
    <cellStyle name="2_단가조사표_총괄내역" xfId="2637"/>
    <cellStyle name="2_단가조사표_총괄내역 (2)" xfId="2638"/>
    <cellStyle name="2_단가조사표_터미널도로403" xfId="2639"/>
    <cellStyle name="2_단가조사표_터미널도로429" xfId="2640"/>
    <cellStyle name="2_단가조사표_포장일위" xfId="2641"/>
    <cellStyle name="2자리" xfId="2642"/>
    <cellStyle name="??&amp;O?&amp;H?_x0008_??_x0007__x0001__x0001_" xfId="18"/>
    <cellStyle name="??&amp;O?&amp;H?_x0008__x000f__x0007_?_x0007__x0001__x0001_" xfId="17"/>
    <cellStyle name="?W?_laroux" xfId="19"/>
    <cellStyle name="?曹%U?&amp;H?_x0008_?s_x000a__x0007__x0001__x0001_" xfId="20"/>
    <cellStyle name="ALIGNMENT" xfId="2657"/>
    <cellStyle name="AeE¡ⓒ [0]_AO¨uRCN¡¾U " xfId="2655"/>
    <cellStyle name="AeE¡ⓒ_AO¨uRCN¡¾U " xfId="2656"/>
    <cellStyle name="AeE­ [0]_ 2ÆAAþº° " xfId="2645"/>
    <cellStyle name="AeE­ [0]_95³aAN°y¼o·R " xfId="2647"/>
    <cellStyle name="AeE­ [0]_A¾CO½A¼³ " xfId="2649"/>
    <cellStyle name="AeE­_ 2ÆAAþº° " xfId="2650"/>
    <cellStyle name="AeE­_95³aAN°y¼o·R " xfId="2652"/>
    <cellStyle name="AeE­_A¾CO½A¼³ " xfId="2654"/>
    <cellStyle name="A¨­￠￢￠O [0]_AO¨uRCN¡¾U " xfId="2643"/>
    <cellStyle name="A¨­￠￢￠O_AO¨uRCN¡¾U " xfId="2644"/>
    <cellStyle name="AÞ¸¶ [0]_ 2ÆAAþº° " xfId="2659"/>
    <cellStyle name="AÞ¸¶ [0]_95³aAN°y¼o·R " xfId="2661"/>
    <cellStyle name="AÞ¸¶_ 2ÆAAþº° " xfId="2663"/>
    <cellStyle name="AÞ¸¶_95³aAN°y¼o·R " xfId="2665"/>
    <cellStyle name="AÞ¸¶_A¾CO½A¼³ " xfId="2667"/>
    <cellStyle name="CIAIÆU¸μAⓒ" xfId="2678"/>
    <cellStyle name="COST1" xfId="2682"/>
    <cellStyle name="Calc Currency (0)" xfId="2676"/>
    <cellStyle name="Comma0" xfId="2680"/>
    <cellStyle name="Copied" xfId="2681"/>
    <cellStyle name="Curren?_x0012_퐀_x0017_?" xfId="2684"/>
    <cellStyle name="Currency [0]͢laroux_1" xfId="2685"/>
    <cellStyle name="Currency0" xfId="2687"/>
    <cellStyle name="Currency1" xfId="2688"/>
    <cellStyle name="Curre~cy [0]_MATERAL2" xfId="2683"/>
    <cellStyle name="C¡IA¨ª_¡ic¨u¡A¨￢I¨￢¡Æ AN¡Æe " xfId="2668"/>
    <cellStyle name="C￥AØ_ °u¸R½CCa1" xfId="2669"/>
    <cellStyle name="C￥AØ_95³aAN°y¼o·R " xfId="2675"/>
    <cellStyle name="C￥AØ_°­´c (2)" xfId="2671"/>
    <cellStyle name="C￥AØ_¼³°e¿e¿ª" xfId="2673"/>
    <cellStyle name="Date" xfId="2689"/>
    <cellStyle name="Dezimal [0]_laroux" xfId="2690"/>
    <cellStyle name="Dezimal_laroux" xfId="2691"/>
    <cellStyle name="Dollar (zero dec)" xfId="2692"/>
    <cellStyle name="EA" xfId="2693"/>
    <cellStyle name="Entered" xfId="2694"/>
    <cellStyle name="F2" xfId="2695"/>
    <cellStyle name="F3" xfId="2696"/>
    <cellStyle name="F4" xfId="2697"/>
    <cellStyle name="F5" xfId="2698"/>
    <cellStyle name="F6" xfId="2699"/>
    <cellStyle name="F7" xfId="2700"/>
    <cellStyle name="F8" xfId="2701"/>
    <cellStyle name="Fixed" xfId="2702"/>
    <cellStyle name="Grey" xfId="2703"/>
    <cellStyle name="H1" xfId="2704"/>
    <cellStyle name="H2" xfId="2705"/>
    <cellStyle name="HEADER" xfId="2706"/>
    <cellStyle name="Header1" xfId="2707"/>
    <cellStyle name="Header2" xfId="2708"/>
    <cellStyle name="Heading 1" xfId="2709"/>
    <cellStyle name="Heading 2" xfId="2710"/>
    <cellStyle name="Heading1" xfId="2711"/>
    <cellStyle name="Heading2" xfId="2712"/>
    <cellStyle name="Input Cells" xfId="2714"/>
    <cellStyle name="Input [yellow]" xfId="2713"/>
    <cellStyle name="Linked Cells" xfId="2716"/>
    <cellStyle name="M" xfId="2717"/>
    <cellStyle name="M2" xfId="2718"/>
    <cellStyle name="M3" xfId="2719"/>
    <cellStyle name="Milliers [0]_Arabian Spec" xfId="2720"/>
    <cellStyle name="Milliers_Arabian Spec" xfId="2721"/>
    <cellStyle name="Model" xfId="2723"/>
    <cellStyle name="Mon?aire [0]_Arabian Spec" xfId="2724"/>
    <cellStyle name="Mon?aire_Arabian Spec" xfId="2725"/>
    <cellStyle name="Monétaire [0]_CTC" xfId="2726"/>
    <cellStyle name="Monétaire_CTC" xfId="2727"/>
    <cellStyle name="Normal - Style1" xfId="2729"/>
    <cellStyle name="Normal - 유형1" xfId="2730"/>
    <cellStyle name="PSChar" xfId="2738"/>
    <cellStyle name="Percent [2]" xfId="2736"/>
    <cellStyle name="RevList" xfId="2739"/>
    <cellStyle name="STANDARD" xfId="2743"/>
    <cellStyle name="STD" xfId="2744"/>
    <cellStyle name="Subtotal" xfId="2746"/>
    <cellStyle name="Title" xfId="2747"/>
    <cellStyle name="Total" xfId="2750"/>
    <cellStyle name="UM" xfId="2751"/>
    <cellStyle name="W?rung [0]_laroux" xfId="2752"/>
    <cellStyle name="W?rung_laroux" xfId="2753"/>
    <cellStyle name="_01토공" xfId="21"/>
    <cellStyle name="_01토공_00-설계서,원가계산,내역서" xfId="22"/>
    <cellStyle name="_01토공_라멘교 토공" xfId="23"/>
    <cellStyle name="_01토공_라멘교 토공_00-설계서,원가계산,내역서" xfId="24"/>
    <cellStyle name="_01토공_철거" xfId="25"/>
    <cellStyle name="_01토공_철거_00-설계서,원가계산,내역서" xfId="26"/>
    <cellStyle name="_01토공_철거_라멘교 토공" xfId="27"/>
    <cellStyle name="_01토공_철거_라멘교 토공_00-설계서,원가계산,내역서" xfId="28"/>
    <cellStyle name="_Book1" xfId="29"/>
    <cellStyle name="_CM공문양식(품의,협조,대외공문)" xfId="30"/>
    <cellStyle name="_CM양식(대외공문,협조전,품의서)" xfId="31"/>
    <cellStyle name="_FCST (2)" xfId="32"/>
    <cellStyle name="_RE" xfId="33"/>
    <cellStyle name="_갑지(0127)" xfId="34"/>
    <cellStyle name="_공사요율표-031008" xfId="35"/>
    <cellStyle name="_공양식(레인보우스케이프)" xfId="36"/>
    <cellStyle name="_관급-(수배전반)" xfId="37"/>
    <cellStyle name="_내역서" xfId="38"/>
    <cellStyle name="_능말폐기물내역(2단계-총괄)" xfId="39"/>
    <cellStyle name="_대구역사약전내역(자재부제출)" xfId="40"/>
    <cellStyle name="_대원공원설계서" xfId="41"/>
    <cellStyle name="_대원공원설계서_00-설계서,원가계산,내역서" xfId="42"/>
    <cellStyle name="_대원공원설계서_내역서-최종0223" xfId="43"/>
    <cellStyle name="_대원공원설계서_내역서-최종0223_00-설계서,원가계산,내역서" xfId="44"/>
    <cellStyle name="_대원공원설계서_내역서-최종0223_설계서-1" xfId="45"/>
    <cellStyle name="_대원공원설계서_내역서-최종0223_설계서-1_00-설계서,원가계산,내역서" xfId="46"/>
    <cellStyle name="_대원공원설계서_내역서-최종0223_진해자은수량산출서(단지내)" xfId="47"/>
    <cellStyle name="_대원공원설계서_내역서-최종0223_진해자은수량산출서(단지내)_00-설계서,원가계산,내역서" xfId="48"/>
    <cellStyle name="_대원공원설계서_내역서-최종0223_진해자은수량산출서(단지내)_기초산출표-56-128-최종" xfId="49"/>
    <cellStyle name="_대원공원설계서_내역서-최종0223_진해자은수량산출서(단지내)_기초산출표-56-128-최종_00-설계서,원가계산,내역서" xfId="50"/>
    <cellStyle name="_대원공원설계서_내역서-최종0223_진해자은수량산출서(단지내)_기초산출표-56-128-최종_설계서-1" xfId="51"/>
    <cellStyle name="_대원공원설계서_내역서-최종0223_진해자은수량산출서(단지내)_기초산출표-56-128-최종_설계서-1_00-설계서,원가계산,내역서" xfId="52"/>
    <cellStyle name="_대원공원설계서_내역서-최종0223_진해자은수량산출서(단지내)_설계서-1" xfId="53"/>
    <cellStyle name="_대원공원설계서_내역서-최종0223_진해자은수량산출서(단지내)_설계서-1_00-설계서,원가계산,내역서" xfId="54"/>
    <cellStyle name="_대원공원설계서_내역서-최종0223_진해자은수량산출서(단지내)_취합" xfId="55"/>
    <cellStyle name="_대원공원설계서_내역서-최종0223_진해자은수량산출서(단지내)_취합_00-설계서,원가계산,내역서" xfId="56"/>
    <cellStyle name="_대원공원설계서_내역서-최종0223_진해자은수량산출서(단지내)_취합_설계서-1" xfId="57"/>
    <cellStyle name="_대원공원설계서_내역서-최종0223_진해자은수량산출서(단지내)_취합_설계서-1_00-설계서,원가계산,내역서" xfId="58"/>
    <cellStyle name="_대원공원설계서_설계서-1" xfId="59"/>
    <cellStyle name="_대원공원설계서_설계서-1_00-설계서,원가계산,내역서" xfId="60"/>
    <cellStyle name="_대원공원설계서_율동자연공원내 화장실 보수 및 도색공사" xfId="61"/>
    <cellStyle name="_대원공원설계서_율동자연공원내 화장실 보수 및 도색공사_00-설계서,원가계산,내역서" xfId="62"/>
    <cellStyle name="_대원공원설계서_율동자연공원내 화장실 보수 및 도색공사_내역서-최종0223" xfId="63"/>
    <cellStyle name="_대원공원설계서_율동자연공원내 화장실 보수 및 도색공사_내역서-최종0223_00-설계서,원가계산,내역서" xfId="64"/>
    <cellStyle name="_대원공원설계서_율동자연공원내 화장실 보수 및 도색공사_내역서-최종0223_설계서-1" xfId="65"/>
    <cellStyle name="_대원공원설계서_율동자연공원내 화장실 보수 및 도색공사_내역서-최종0223_설계서-1_00-설계서,원가계산,내역서" xfId="66"/>
    <cellStyle name="_대원공원설계서_율동자연공원내 화장실 보수 및 도색공사_내역서-최종0223_진해자은수량산출서(단지내)" xfId="67"/>
    <cellStyle name="_대원공원설계서_율동자연공원내 화장실 보수 및 도색공사_내역서-최종0223_진해자은수량산출서(단지내)_00-설계서,원가계산,내역서" xfId="68"/>
    <cellStyle name="_대원공원설계서_율동자연공원내 화장실 보수 및 도색공사_내역서-최종0223_진해자은수량산출서(단지내)_기초산출표-56-128-최종" xfId="69"/>
    <cellStyle name="_대원공원설계서_율동자연공원내 화장실 보수 및 도색공사_내역서-최종0223_진해자은수량산출서(단지내)_기초산출표-56-128-최종_00-설계서,원가계산,내역서" xfId="70"/>
    <cellStyle name="_대원공원설계서_율동자연공원내 화장실 보수 및 도색공사_내역서-최종0223_진해자은수량산출서(단지내)_기초산출표-56-128-최종_설계서-1" xfId="71"/>
    <cellStyle name="_대원공원설계서_율동자연공원내 화장실 보수 및 도색공사_내역서-최종0223_진해자은수량산출서(단지내)_기초산출표-56-128-최종_설계서-1_00-설계서,원가계산,내역서" xfId="72"/>
    <cellStyle name="_대원공원설계서_율동자연공원내 화장실 보수 및 도색공사_내역서-최종0223_진해자은수량산출서(단지내)_설계서-1" xfId="73"/>
    <cellStyle name="_대원공원설계서_율동자연공원내 화장실 보수 및 도색공사_내역서-최종0223_진해자은수량산출서(단지내)_설계서-1_00-설계서,원가계산,내역서" xfId="74"/>
    <cellStyle name="_대원공원설계서_율동자연공원내 화장실 보수 및 도색공사_내역서-최종0223_진해자은수량산출서(단지내)_취합" xfId="75"/>
    <cellStyle name="_대원공원설계서_율동자연공원내 화장실 보수 및 도색공사_내역서-최종0223_진해자은수량산출서(단지내)_취합_00-설계서,원가계산,내역서" xfId="76"/>
    <cellStyle name="_대원공원설계서_율동자연공원내 화장실 보수 및 도색공사_내역서-최종0223_진해자은수량산출서(단지내)_취합_설계서-1" xfId="77"/>
    <cellStyle name="_대원공원설계서_율동자연공원내 화장실 보수 및 도색공사_내역서-최종0223_진해자은수량산출서(단지내)_취합_설계서-1_00-설계서,원가계산,내역서" xfId="78"/>
    <cellStyle name="_대원공원설계서_율동자연공원내 화장실 보수 및 도색공사_설계서-1" xfId="79"/>
    <cellStyle name="_대원공원설계서_율동자연공원내 화장실 보수 및 도색공사_설계서-1_00-설계서,원가계산,내역서" xfId="80"/>
    <cellStyle name="_대원공원설계서_율동자연공원내 화장실 보수 및 도색공사_진해자은수량산출서(단지내)" xfId="81"/>
    <cellStyle name="_대원공원설계서_율동자연공원내 화장실 보수 및 도색공사_진해자은수량산출서(단지내)_00-설계서,원가계산,내역서" xfId="82"/>
    <cellStyle name="_대원공원설계서_율동자연공원내 화장실 보수 및 도색공사_진해자은수량산출서(단지내)_기초산출표-56-128-최종" xfId="83"/>
    <cellStyle name="_대원공원설계서_율동자연공원내 화장실 보수 및 도색공사_진해자은수량산출서(단지내)_기초산출표-56-128-최종_00-설계서,원가계산,내역서" xfId="84"/>
    <cellStyle name="_대원공원설계서_율동자연공원내 화장실 보수 및 도색공사_진해자은수량산출서(단지내)_기초산출표-56-128-최종_설계서-1" xfId="85"/>
    <cellStyle name="_대원공원설계서_율동자연공원내 화장실 보수 및 도색공사_진해자은수량산출서(단지내)_기초산출표-56-128-최종_설계서-1_00-설계서,원가계산,내역서" xfId="86"/>
    <cellStyle name="_대원공원설계서_율동자연공원내 화장실 보수 및 도색공사_진해자은수량산출서(단지내)_설계서-1" xfId="87"/>
    <cellStyle name="_대원공원설계서_율동자연공원내 화장실 보수 및 도색공사_진해자은수량산출서(단지내)_설계서-1_00-설계서,원가계산,내역서" xfId="88"/>
    <cellStyle name="_대원공원설계서_율동자연공원내 화장실 보수 및 도색공사_진해자은수량산출서(단지내)_취합" xfId="89"/>
    <cellStyle name="_대원공원설계서_율동자연공원내 화장실 보수 및 도색공사_진해자은수량산출서(단지내)_취합_00-설계서,원가계산,내역서" xfId="90"/>
    <cellStyle name="_대원공원설계서_율동자연공원내 화장실 보수 및 도색공사_진해자은수량산출서(단지내)_취합_설계서-1" xfId="91"/>
    <cellStyle name="_대원공원설계서_율동자연공원내 화장실 보수 및 도색공사_진해자은수량산출서(단지내)_취합_설계서-1_00-설계서,원가계산,내역서" xfId="92"/>
    <cellStyle name="_대원공원설계서_율동자연공원내 휴게편의점 도색작업-할증-천정면적추가" xfId="93"/>
    <cellStyle name="_대원공원설계서_율동자연공원내 휴게편의점 도색작업-할증-천정면적추가_00-설계서,원가계산,내역서" xfId="94"/>
    <cellStyle name="_대원공원설계서_율동자연공원내 휴게편의점 도색작업-할증-천정면적추가_내역서-최종0223" xfId="95"/>
    <cellStyle name="_대원공원설계서_율동자연공원내 휴게편의점 도색작업-할증-천정면적추가_내역서-최종0223_00-설계서,원가계산,내역서" xfId="96"/>
    <cellStyle name="_대원공원설계서_율동자연공원내 휴게편의점 도색작업-할증-천정면적추가_내역서-최종0223_설계서-1" xfId="97"/>
    <cellStyle name="_대원공원설계서_율동자연공원내 휴게편의점 도색작업-할증-천정면적추가_내역서-최종0223_설계서-1_00-설계서,원가계산,내역서" xfId="98"/>
    <cellStyle name="_대원공원설계서_율동자연공원내 휴게편의점 도색작업-할증-천정면적추가_내역서-최종0223_진해자은수량산출서(단지내)" xfId="99"/>
    <cellStyle name="_대원공원설계서_율동자연공원내 휴게편의점 도색작업-할증-천정면적추가_내역서-최종0223_진해자은수량산출서(단지내)_00-설계서,원가계산,내역서" xfId="100"/>
    <cellStyle name="_대원공원설계서_율동자연공원내 휴게편의점 도색작업-할증-천정면적추가_내역서-최종0223_진해자은수량산출서(단지내)_기초산출표-56-128-최종" xfId="101"/>
    <cellStyle name="_대원공원설계서_율동자연공원내 휴게편의점 도색작업-할증-천정면적추가_내역서-최종0223_진해자은수량산출서(단지내)_기초산출표-56-128-최종_00-설계서,원가계산,내역서" xfId="102"/>
    <cellStyle name="_대원공원설계서_율동자연공원내 휴게편의점 도색작업-할증-천정면적추가_내역서-최종0223_진해자은수량산출서(단지내)_기초산출표-56-128-최종_설계서-1" xfId="103"/>
    <cellStyle name="_대원공원설계서_율동자연공원내 휴게편의점 도색작업-할증-천정면적추가_내역서-최종0223_진해자은수량산출서(단지내)_기초산출표-56-128-최종_설계서-1_00-설계서,원가계산,내역서" xfId="104"/>
    <cellStyle name="_대원공원설계서_율동자연공원내 휴게편의점 도색작업-할증-천정면적추가_내역서-최종0223_진해자은수량산출서(단지내)_설계서-1" xfId="105"/>
    <cellStyle name="_대원공원설계서_율동자연공원내 휴게편의점 도색작업-할증-천정면적추가_내역서-최종0223_진해자은수량산출서(단지내)_설계서-1_00-설계서,원가계산,내역서" xfId="106"/>
    <cellStyle name="_대원공원설계서_율동자연공원내 휴게편의점 도색작업-할증-천정면적추가_내역서-최종0223_진해자은수량산출서(단지내)_취합" xfId="107"/>
    <cellStyle name="_대원공원설계서_율동자연공원내 휴게편의점 도색작업-할증-천정면적추가_내역서-최종0223_진해자은수량산출서(단지내)_취합_00-설계서,원가계산,내역서" xfId="108"/>
    <cellStyle name="_대원공원설계서_율동자연공원내 휴게편의점 도색작업-할증-천정면적추가_내역서-최종0223_진해자은수량산출서(단지내)_취합_설계서-1" xfId="109"/>
    <cellStyle name="_대원공원설계서_율동자연공원내 휴게편의점 도색작업-할증-천정면적추가_내역서-최종0223_진해자은수량산출서(단지내)_취합_설계서-1_00-설계서,원가계산,내역서" xfId="110"/>
    <cellStyle name="_대원공원설계서_율동자연공원내 휴게편의점 도색작업-할증-천정면적추가_설계서-1" xfId="111"/>
    <cellStyle name="_대원공원설계서_율동자연공원내 휴게편의점 도색작업-할증-천정면적추가_설계서-1_00-설계서,원가계산,내역서" xfId="112"/>
    <cellStyle name="_대원공원설계서_율동자연공원내 휴게편의점 도색작업-할증-천정면적추가_진해자은수량산출서(단지내)" xfId="113"/>
    <cellStyle name="_대원공원설계서_율동자연공원내 휴게편의점 도색작업-할증-천정면적추가_진해자은수량산출서(단지내)_00-설계서,원가계산,내역서" xfId="114"/>
    <cellStyle name="_대원공원설계서_율동자연공원내 휴게편의점 도색작업-할증-천정면적추가_진해자은수량산출서(단지내)_기초산출표-56-128-최종" xfId="115"/>
    <cellStyle name="_대원공원설계서_율동자연공원내 휴게편의점 도색작업-할증-천정면적추가_진해자은수량산출서(단지내)_기초산출표-56-128-최종_00-설계서,원가계산,내역서" xfId="116"/>
    <cellStyle name="_대원공원설계서_율동자연공원내 휴게편의점 도색작업-할증-천정면적추가_진해자은수량산출서(단지내)_기초산출표-56-128-최종_설계서-1" xfId="117"/>
    <cellStyle name="_대원공원설계서_율동자연공원내 휴게편의점 도색작업-할증-천정면적추가_진해자은수량산출서(단지내)_기초산출표-56-128-최종_설계서-1_00-설계서,원가계산,내역서" xfId="118"/>
    <cellStyle name="_대원공원설계서_율동자연공원내 휴게편의점 도색작업-할증-천정면적추가_진해자은수량산출서(단지내)_설계서-1" xfId="119"/>
    <cellStyle name="_대원공원설계서_율동자연공원내 휴게편의점 도색작업-할증-천정면적추가_진해자은수량산출서(단지내)_설계서-1_00-설계서,원가계산,내역서" xfId="120"/>
    <cellStyle name="_대원공원설계서_율동자연공원내 휴게편의점 도색작업-할증-천정면적추가_진해자은수량산출서(단지내)_취합" xfId="121"/>
    <cellStyle name="_대원공원설계서_율동자연공원내 휴게편의점 도색작업-할증-천정면적추가_진해자은수량산출서(단지내)_취합_00-설계서,원가계산,내역서" xfId="122"/>
    <cellStyle name="_대원공원설계서_율동자연공원내 휴게편의점 도색작업-할증-천정면적추가_진해자은수량산출서(단지내)_취합_설계서-1" xfId="123"/>
    <cellStyle name="_대원공원설계서_율동자연공원내 휴게편의점 도색작업-할증-천정면적추가_진해자은수량산출서(단지내)_취합_설계서-1_00-설계서,원가계산,내역서" xfId="124"/>
    <cellStyle name="_대원공원설계서_진해자은수량산출서(단지내)" xfId="125"/>
    <cellStyle name="_대원공원설계서_진해자은수량산출서(단지내)_00-설계서,원가계산,내역서" xfId="126"/>
    <cellStyle name="_대원공원설계서_진해자은수량산출서(단지내)_기초산출표-56-128-최종" xfId="127"/>
    <cellStyle name="_대원공원설계서_진해자은수량산출서(단지내)_기초산출표-56-128-최종_00-설계서,원가계산,내역서" xfId="128"/>
    <cellStyle name="_대원공원설계서_진해자은수량산출서(단지내)_기초산출표-56-128-최종_설계서-1" xfId="129"/>
    <cellStyle name="_대원공원설계서_진해자은수량산출서(단지내)_기초산출표-56-128-최종_설계서-1_00-설계서,원가계산,내역서" xfId="130"/>
    <cellStyle name="_대원공원설계서_진해자은수량산출서(단지내)_설계서-1" xfId="131"/>
    <cellStyle name="_대원공원설계서_진해자은수량산출서(단지내)_설계서-1_00-설계서,원가계산,내역서" xfId="132"/>
    <cellStyle name="_대원공원설계서_진해자은수량산출서(단지내)_취합" xfId="133"/>
    <cellStyle name="_대원공원설계서_진해자은수량산출서(단지내)_취합_00-설계서,원가계산,내역서" xfId="134"/>
    <cellStyle name="_대원공원설계서_진해자은수량산출서(단지내)_취합_설계서-1" xfId="135"/>
    <cellStyle name="_대원공원설계서_진해자은수량산출서(단지내)_취합_설계서-1_00-설계서,원가계산,내역서" xfId="136"/>
    <cellStyle name="_동래점 토공사 가시설발주2-김대리님" xfId="137"/>
    <cellStyle name="_라멘교 토공" xfId="138"/>
    <cellStyle name="_라멘교 토공_00-설계서,원가계산,내역서" xfId="139"/>
    <cellStyle name="_롯데본점 신관지하1층" xfId="140"/>
    <cellStyle name="_명품가약전" xfId="141"/>
    <cellStyle name="_명품가조명제어" xfId="142"/>
    <cellStyle name="_방동" xfId="143"/>
    <cellStyle name="_방동_00-설계서,원가계산,내역서" xfId="144"/>
    <cellStyle name="_방동_03구조~1" xfId="145"/>
    <cellStyle name="_방동_03구조~1_00-설계서,원가계산,내역서" xfId="146"/>
    <cellStyle name="_방동_03구조~1_라멘교 토공" xfId="147"/>
    <cellStyle name="_방동_03구조~1_라멘교 토공_00-설계서,원가계산,내역서" xfId="148"/>
    <cellStyle name="_방동_03구조~1_포장" xfId="149"/>
    <cellStyle name="_방동_03구조~1_포장_00-설계서,원가계산,내역서" xfId="150"/>
    <cellStyle name="_방동_03구조~1_포장_라멘교 토공" xfId="151"/>
    <cellStyle name="_방동_03구조~1_포장_라멘교 토공_00-설계서,원가계산,내역서" xfId="152"/>
    <cellStyle name="_방동_03구조물공" xfId="153"/>
    <cellStyle name="_방동_03구조물공_00-설계서,원가계산,내역서" xfId="154"/>
    <cellStyle name="_방동_03구조물공_라멘교 토공" xfId="155"/>
    <cellStyle name="_방동_03구조물공_라멘교 토공_00-설계서,원가계산,내역서" xfId="156"/>
    <cellStyle name="_방동_03구조물공_포장" xfId="157"/>
    <cellStyle name="_방동_03구조물공_포장_00-설계서,원가계산,내역서" xfId="158"/>
    <cellStyle name="_방동_03구조물공_포장_라멘교 토공" xfId="159"/>
    <cellStyle name="_방동_03구조물공_포장_라멘교 토공_00-설계서,원가계산,내역서" xfId="160"/>
    <cellStyle name="_방동_내역서-최종0223" xfId="161"/>
    <cellStyle name="_방동_내역서-최종0223_00-설계서,원가계산,내역서" xfId="162"/>
    <cellStyle name="_방동_내역서-최종0223_설계서-1" xfId="163"/>
    <cellStyle name="_방동_내역서-최종0223_설계서-1_00-설계서,원가계산,내역서" xfId="164"/>
    <cellStyle name="_방동_내역서-최종0223_진해자은수량산출서(단지내)" xfId="165"/>
    <cellStyle name="_방동_내역서-최종0223_진해자은수량산출서(단지내)_00-설계서,원가계산,내역서" xfId="166"/>
    <cellStyle name="_방동_내역서-최종0223_진해자은수량산출서(단지내)_기초산출표-56-128-최종" xfId="167"/>
    <cellStyle name="_방동_내역서-최종0223_진해자은수량산출서(단지내)_기초산출표-56-128-최종_00-설계서,원가계산,내역서" xfId="168"/>
    <cellStyle name="_방동_내역서-최종0223_진해자은수량산출서(단지내)_기초산출표-56-128-최종_설계서-1" xfId="169"/>
    <cellStyle name="_방동_내역서-최종0223_진해자은수량산출서(단지내)_기초산출표-56-128-최종_설계서-1_00-설계서,원가계산,내역서" xfId="170"/>
    <cellStyle name="_방동_내역서-최종0223_진해자은수량산출서(단지내)_설계서-1" xfId="171"/>
    <cellStyle name="_방동_내역서-최종0223_진해자은수량산출서(단지내)_설계서-1_00-설계서,원가계산,내역서" xfId="172"/>
    <cellStyle name="_방동_내역서-최종0223_진해자은수량산출서(단지내)_취합" xfId="173"/>
    <cellStyle name="_방동_내역서-최종0223_진해자은수량산출서(단지내)_취합_00-설계서,원가계산,내역서" xfId="174"/>
    <cellStyle name="_방동_내역서-최종0223_진해자은수량산출서(단지내)_취합_설계서-1" xfId="175"/>
    <cellStyle name="_방동_내역서-최종0223_진해자은수량산출서(단지내)_취합_설계서-1_00-설계서,원가계산,내역서" xfId="176"/>
    <cellStyle name="_방동_동막리소교량" xfId="177"/>
    <cellStyle name="_방동_동막리소교량_00-설계서,원가계산,내역서" xfId="178"/>
    <cellStyle name="_방동_동막리소교량_라멘교 토공" xfId="179"/>
    <cellStyle name="_방동_동막리소교량_라멘교 토공_00-설계서,원가계산,내역서" xfId="180"/>
    <cellStyle name="_방동_동막리소교량_포장" xfId="181"/>
    <cellStyle name="_방동_동막리소교량_포장_00-설계서,원가계산,내역서" xfId="182"/>
    <cellStyle name="_방동_동막리소교량_포장_라멘교 토공" xfId="183"/>
    <cellStyle name="_방동_동막리소교량_포장_라멘교 토공_00-설계서,원가계산,내역서" xfId="184"/>
    <cellStyle name="_방동_라멘교 토공" xfId="185"/>
    <cellStyle name="_방동_라멘교 토공_00-설계서,원가계산,내역서" xfId="186"/>
    <cellStyle name="_방동_마현12~1" xfId="187"/>
    <cellStyle name="_방동_마현12~1_00-설계서,원가계산,내역서" xfId="188"/>
    <cellStyle name="_방동_마현12~1_라멘교 토공" xfId="189"/>
    <cellStyle name="_방동_마현12~1_라멘교 토공_00-설계서,원가계산,내역서" xfId="190"/>
    <cellStyle name="_방동_마현12~1_포장" xfId="191"/>
    <cellStyle name="_방동_마현12~1_포장_00-설계서,원가계산,내역서" xfId="192"/>
    <cellStyle name="_방동_마현12~1_포장_라멘교 토공" xfId="193"/>
    <cellStyle name="_방동_마현12~1_포장_라멘교 토공_00-설계서,원가계산,내역서" xfId="194"/>
    <cellStyle name="_방동_문혜3리" xfId="195"/>
    <cellStyle name="_방동_문혜3리_00-설계서,원가계산,내역서" xfId="196"/>
    <cellStyle name="_방동_문혜3리_라멘교 토공" xfId="197"/>
    <cellStyle name="_방동_문혜3리_라멘교 토공_00-설계서,원가계산,내역서" xfId="198"/>
    <cellStyle name="_방동_문혜3리_포장" xfId="199"/>
    <cellStyle name="_방동_문혜3리_포장_00-설계서,원가계산,내역서" xfId="200"/>
    <cellStyle name="_방동_문혜3리_포장_라멘교 토공" xfId="201"/>
    <cellStyle name="_방동_문혜3리_포장_라멘교 토공_00-설계서,원가계산,내역서" xfId="202"/>
    <cellStyle name="_방동_방동" xfId="203"/>
    <cellStyle name="_방동_방동_00-설계서,원가계산,내역서" xfId="204"/>
    <cellStyle name="_방동_방동_내역서-최종0223" xfId="205"/>
    <cellStyle name="_방동_방동_내역서-최종0223_00-설계서,원가계산,내역서" xfId="206"/>
    <cellStyle name="_방동_방동_내역서-최종0223_설계서-1" xfId="207"/>
    <cellStyle name="_방동_방동_내역서-최종0223_설계서-1_00-설계서,원가계산,내역서" xfId="208"/>
    <cellStyle name="_방동_방동_내역서-최종0223_진해자은수량산출서(단지내)" xfId="209"/>
    <cellStyle name="_방동_방동_내역서-최종0223_진해자은수량산출서(단지내)_00-설계서,원가계산,내역서" xfId="210"/>
    <cellStyle name="_방동_방동_내역서-최종0223_진해자은수량산출서(단지내)_기초산출표-56-128-최종" xfId="211"/>
    <cellStyle name="_방동_방동_내역서-최종0223_진해자은수량산출서(단지내)_기초산출표-56-128-최종_00-설계서,원가계산,내역서" xfId="212"/>
    <cellStyle name="_방동_방동_내역서-최종0223_진해자은수량산출서(단지내)_기초산출표-56-128-최종_설계서-1" xfId="213"/>
    <cellStyle name="_방동_방동_내역서-최종0223_진해자은수량산출서(단지내)_기초산출표-56-128-최종_설계서-1_00-설계서,원가계산,내역서" xfId="214"/>
    <cellStyle name="_방동_방동_내역서-최종0223_진해자은수량산출서(단지내)_설계서-1" xfId="215"/>
    <cellStyle name="_방동_방동_내역서-최종0223_진해자은수량산출서(단지내)_설계서-1_00-설계서,원가계산,내역서" xfId="216"/>
    <cellStyle name="_방동_방동_내역서-최종0223_진해자은수량산출서(단지내)_취합" xfId="217"/>
    <cellStyle name="_방동_방동_내역서-최종0223_진해자은수량산출서(단지내)_취합_00-설계서,원가계산,내역서" xfId="218"/>
    <cellStyle name="_방동_방동_내역서-최종0223_진해자은수량산출서(단지내)_취합_설계서-1" xfId="219"/>
    <cellStyle name="_방동_방동_내역서-최종0223_진해자은수량산출서(단지내)_취합_설계서-1_00-설계서,원가계산,내역서" xfId="220"/>
    <cellStyle name="_방동_방동_라멘교 토공" xfId="221"/>
    <cellStyle name="_방동_방동_라멘교 토공_00-설계서,원가계산,내역서" xfId="222"/>
    <cellStyle name="_방동_방동_설계서-1" xfId="223"/>
    <cellStyle name="_방동_방동_설계서-1_00-설계서,원가계산,내역서" xfId="224"/>
    <cellStyle name="_방동_방동_율동자연공원내 화장실 보수 및 도색공사" xfId="225"/>
    <cellStyle name="_방동_방동_율동자연공원내 화장실 보수 및 도색공사_00-설계서,원가계산,내역서" xfId="226"/>
    <cellStyle name="_방동_방동_율동자연공원내 화장실 보수 및 도색공사_내역서-최종0223" xfId="227"/>
    <cellStyle name="_방동_방동_율동자연공원내 화장실 보수 및 도색공사_내역서-최종0223_00-설계서,원가계산,내역서" xfId="228"/>
    <cellStyle name="_방동_방동_율동자연공원내 화장실 보수 및 도색공사_내역서-최종0223_설계서-1" xfId="229"/>
    <cellStyle name="_방동_방동_율동자연공원내 화장실 보수 및 도색공사_내역서-최종0223_설계서-1_00-설계서,원가계산,내역서" xfId="230"/>
    <cellStyle name="_방동_방동_율동자연공원내 화장실 보수 및 도색공사_내역서-최종0223_진해자은수량산출서(단지내)" xfId="231"/>
    <cellStyle name="_방동_방동_율동자연공원내 화장실 보수 및 도색공사_내역서-최종0223_진해자은수량산출서(단지내)_00-설계서,원가계산,내역서" xfId="232"/>
    <cellStyle name="_방동_방동_율동자연공원내 화장실 보수 및 도색공사_내역서-최종0223_진해자은수량산출서(단지내)_기초산출표-56-128-최종" xfId="233"/>
    <cellStyle name="_방동_방동_율동자연공원내 화장실 보수 및 도색공사_내역서-최종0223_진해자은수량산출서(단지내)_기초산출표-56-128-최종_00-설계서,원가계산,내역서" xfId="234"/>
    <cellStyle name="_방동_방동_율동자연공원내 화장실 보수 및 도색공사_내역서-최종0223_진해자은수량산출서(단지내)_기초산출표-56-128-최종_설계서-1" xfId="235"/>
    <cellStyle name="_방동_방동_율동자연공원내 화장실 보수 및 도색공사_내역서-최종0223_진해자은수량산출서(단지내)_기초산출표-56-128-최종_설계서-1_00-설계서,원가계산,내역서" xfId="236"/>
    <cellStyle name="_방동_방동_율동자연공원내 화장실 보수 및 도색공사_내역서-최종0223_진해자은수량산출서(단지내)_설계서-1" xfId="237"/>
    <cellStyle name="_방동_방동_율동자연공원내 화장실 보수 및 도색공사_내역서-최종0223_진해자은수량산출서(단지내)_설계서-1_00-설계서,원가계산,내역서" xfId="238"/>
    <cellStyle name="_방동_방동_율동자연공원내 화장실 보수 및 도색공사_내역서-최종0223_진해자은수량산출서(단지내)_취합" xfId="239"/>
    <cellStyle name="_방동_방동_율동자연공원내 화장실 보수 및 도색공사_내역서-최종0223_진해자은수량산출서(단지내)_취합_00-설계서,원가계산,내역서" xfId="240"/>
    <cellStyle name="_방동_방동_율동자연공원내 화장실 보수 및 도색공사_내역서-최종0223_진해자은수량산출서(단지내)_취합_설계서-1" xfId="241"/>
    <cellStyle name="_방동_방동_율동자연공원내 화장실 보수 및 도색공사_내역서-최종0223_진해자은수량산출서(단지내)_취합_설계서-1_00-설계서,원가계산,내역서" xfId="242"/>
    <cellStyle name="_방동_방동_율동자연공원내 화장실 보수 및 도색공사_설계서-1" xfId="243"/>
    <cellStyle name="_방동_방동_율동자연공원내 화장실 보수 및 도색공사_설계서-1_00-설계서,원가계산,내역서" xfId="244"/>
    <cellStyle name="_방동_방동_율동자연공원내 화장실 보수 및 도색공사_진해자은수량산출서(단지내)" xfId="245"/>
    <cellStyle name="_방동_방동_율동자연공원내 화장실 보수 및 도색공사_진해자은수량산출서(단지내)_00-설계서,원가계산,내역서" xfId="246"/>
    <cellStyle name="_방동_방동_율동자연공원내 화장실 보수 및 도색공사_진해자은수량산출서(단지내)_기초산출표-56-128-최종" xfId="247"/>
    <cellStyle name="_방동_방동_율동자연공원내 화장실 보수 및 도색공사_진해자은수량산출서(단지내)_기초산출표-56-128-최종_00-설계서,원가계산,내역서" xfId="248"/>
    <cellStyle name="_방동_방동_율동자연공원내 화장실 보수 및 도색공사_진해자은수량산출서(단지내)_기초산출표-56-128-최종_설계서-1" xfId="249"/>
    <cellStyle name="_방동_방동_율동자연공원내 화장실 보수 및 도색공사_진해자은수량산출서(단지내)_기초산출표-56-128-최종_설계서-1_00-설계서,원가계산,내역서" xfId="250"/>
    <cellStyle name="_방동_방동_율동자연공원내 화장실 보수 및 도색공사_진해자은수량산출서(단지내)_설계서-1" xfId="251"/>
    <cellStyle name="_방동_방동_율동자연공원내 화장실 보수 및 도색공사_진해자은수량산출서(단지내)_설계서-1_00-설계서,원가계산,내역서" xfId="252"/>
    <cellStyle name="_방동_방동_율동자연공원내 화장실 보수 및 도색공사_진해자은수량산출서(단지내)_취합" xfId="253"/>
    <cellStyle name="_방동_방동_율동자연공원내 화장실 보수 및 도색공사_진해자은수량산출서(단지내)_취합_00-설계서,원가계산,내역서" xfId="254"/>
    <cellStyle name="_방동_방동_율동자연공원내 화장실 보수 및 도색공사_진해자은수량산출서(단지내)_취합_설계서-1" xfId="255"/>
    <cellStyle name="_방동_방동_율동자연공원내 화장실 보수 및 도색공사_진해자은수량산출서(단지내)_취합_설계서-1_00-설계서,원가계산,내역서" xfId="256"/>
    <cellStyle name="_방동_방동_율동자연공원내 휴게편의점 도색작업-할증-천정면적추가" xfId="257"/>
    <cellStyle name="_방동_방동_율동자연공원내 휴게편의점 도색작업-할증-천정면적추가_00-설계서,원가계산,내역서" xfId="258"/>
    <cellStyle name="_방동_방동_율동자연공원내 휴게편의점 도색작업-할증-천정면적추가_내역서-최종0223" xfId="259"/>
    <cellStyle name="_방동_방동_율동자연공원내 휴게편의점 도색작업-할증-천정면적추가_내역서-최종0223_00-설계서,원가계산,내역서" xfId="260"/>
    <cellStyle name="_방동_방동_율동자연공원내 휴게편의점 도색작업-할증-천정면적추가_내역서-최종0223_설계서-1" xfId="261"/>
    <cellStyle name="_방동_방동_율동자연공원내 휴게편의점 도색작업-할증-천정면적추가_내역서-최종0223_설계서-1_00-설계서,원가계산,내역서" xfId="262"/>
    <cellStyle name="_방동_방동_율동자연공원내 휴게편의점 도색작업-할증-천정면적추가_내역서-최종0223_진해자은수량산출서(단지내)" xfId="263"/>
    <cellStyle name="_방동_방동_율동자연공원내 휴게편의점 도색작업-할증-천정면적추가_내역서-최종0223_진해자은수량산출서(단지내)_00-설계서,원가계산,내역서" xfId="264"/>
    <cellStyle name="_방동_방동_율동자연공원내 휴게편의점 도색작업-할증-천정면적추가_내역서-최종0223_진해자은수량산출서(단지내)_기초산출표-56-128-최종" xfId="265"/>
    <cellStyle name="_방동_방동_율동자연공원내 휴게편의점 도색작업-할증-천정면적추가_내역서-최종0223_진해자은수량산출서(단지내)_기초산출표-56-128-최종_00-설계서,원가계산,내역서" xfId="266"/>
    <cellStyle name="_방동_방동_율동자연공원내 휴게편의점 도색작업-할증-천정면적추가_내역서-최종0223_진해자은수량산출서(단지내)_기초산출표-56-128-최종_설계서-1" xfId="267"/>
    <cellStyle name="_방동_방동_율동자연공원내 휴게편의점 도색작업-할증-천정면적추가_내역서-최종0223_진해자은수량산출서(단지내)_기초산출표-56-128-최종_설계서-1_00-설계서,원가계산,내역서" xfId="268"/>
    <cellStyle name="_방동_방동_율동자연공원내 휴게편의점 도색작업-할증-천정면적추가_내역서-최종0223_진해자은수량산출서(단지내)_설계서-1" xfId="269"/>
    <cellStyle name="_방동_방동_율동자연공원내 휴게편의점 도색작업-할증-천정면적추가_내역서-최종0223_진해자은수량산출서(단지내)_설계서-1_00-설계서,원가계산,내역서" xfId="270"/>
    <cellStyle name="_방동_방동_율동자연공원내 휴게편의점 도색작업-할증-천정면적추가_내역서-최종0223_진해자은수량산출서(단지내)_취합" xfId="271"/>
    <cellStyle name="_방동_방동_율동자연공원내 휴게편의점 도색작업-할증-천정면적추가_내역서-최종0223_진해자은수량산출서(단지내)_취합_00-설계서,원가계산,내역서" xfId="272"/>
    <cellStyle name="_방동_방동_율동자연공원내 휴게편의점 도색작업-할증-천정면적추가_내역서-최종0223_진해자은수량산출서(단지내)_취합_설계서-1" xfId="273"/>
    <cellStyle name="_방동_방동_율동자연공원내 휴게편의점 도색작업-할증-천정면적추가_내역서-최종0223_진해자은수량산출서(단지내)_취합_설계서-1_00-설계서,원가계산,내역서" xfId="274"/>
    <cellStyle name="_방동_방동_율동자연공원내 휴게편의점 도색작업-할증-천정면적추가_설계서-1" xfId="275"/>
    <cellStyle name="_방동_방동_율동자연공원내 휴게편의점 도색작업-할증-천정면적추가_설계서-1_00-설계서,원가계산,내역서" xfId="276"/>
    <cellStyle name="_방동_방동_율동자연공원내 휴게편의점 도색작업-할증-천정면적추가_진해자은수량산출서(단지내)" xfId="277"/>
    <cellStyle name="_방동_방동_율동자연공원내 휴게편의점 도색작업-할증-천정면적추가_진해자은수량산출서(단지내)_00-설계서,원가계산,내역서" xfId="278"/>
    <cellStyle name="_방동_방동_율동자연공원내 휴게편의점 도색작업-할증-천정면적추가_진해자은수량산출서(단지내)_기초산출표-56-128-최종" xfId="279"/>
    <cellStyle name="_방동_방동_율동자연공원내 휴게편의점 도색작업-할증-천정면적추가_진해자은수량산출서(단지내)_기초산출표-56-128-최종_00-설계서,원가계산,내역서" xfId="280"/>
    <cellStyle name="_방동_방동_율동자연공원내 휴게편의점 도색작업-할증-천정면적추가_진해자은수량산출서(단지내)_기초산출표-56-128-최종_설계서-1" xfId="281"/>
    <cellStyle name="_방동_방동_율동자연공원내 휴게편의점 도색작업-할증-천정면적추가_진해자은수량산출서(단지내)_기초산출표-56-128-최종_설계서-1_00-설계서,원가계산,내역서" xfId="282"/>
    <cellStyle name="_방동_방동_율동자연공원내 휴게편의점 도색작업-할증-천정면적추가_진해자은수량산출서(단지내)_설계서-1" xfId="283"/>
    <cellStyle name="_방동_방동_율동자연공원내 휴게편의점 도색작업-할증-천정면적추가_진해자은수량산출서(단지내)_설계서-1_00-설계서,원가계산,내역서" xfId="284"/>
    <cellStyle name="_방동_방동_율동자연공원내 휴게편의점 도색작업-할증-천정면적추가_진해자은수량산출서(단지내)_취합" xfId="285"/>
    <cellStyle name="_방동_방동_율동자연공원내 휴게편의점 도색작업-할증-천정면적추가_진해자은수량산출서(단지내)_취합_00-설계서,원가계산,내역서" xfId="286"/>
    <cellStyle name="_방동_방동_율동자연공원내 휴게편의점 도색작업-할증-천정면적추가_진해자은수량산출서(단지내)_취합_설계서-1" xfId="287"/>
    <cellStyle name="_방동_방동_율동자연공원내 휴게편의점 도색작업-할증-천정면적추가_진해자은수량산출서(단지내)_취합_설계서-1_00-설계서,원가계산,내역서" xfId="288"/>
    <cellStyle name="_방동_방동_이문동구간중랑천변녹화사업(수량산출서, 071127)-최종" xfId="289"/>
    <cellStyle name="_방동_방동_이문동구간중랑천변녹화사업(수량산출서, 071127)-최종_00-설계서,원가계산,내역서" xfId="290"/>
    <cellStyle name="_방동_방동_진해자은수량산출서(단지내)" xfId="291"/>
    <cellStyle name="_방동_방동_진해자은수량산출서(단지내)_00-설계서,원가계산,내역서" xfId="292"/>
    <cellStyle name="_방동_방동_진해자은수량산출서(단지내)_기초산출표-56-128-최종" xfId="293"/>
    <cellStyle name="_방동_방동_진해자은수량산출서(단지내)_기초산출표-56-128-최종_00-설계서,원가계산,내역서" xfId="294"/>
    <cellStyle name="_방동_방동_진해자은수량산출서(단지내)_기초산출표-56-128-최종_설계서-1" xfId="295"/>
    <cellStyle name="_방동_방동_진해자은수량산출서(단지내)_기초산출표-56-128-최종_설계서-1_00-설계서,원가계산,내역서" xfId="296"/>
    <cellStyle name="_방동_방동_진해자은수량산출서(단지내)_설계서-1" xfId="297"/>
    <cellStyle name="_방동_방동_진해자은수량산출서(단지내)_설계서-1_00-설계서,원가계산,내역서" xfId="298"/>
    <cellStyle name="_방동_방동_진해자은수량산출서(단지내)_취합" xfId="299"/>
    <cellStyle name="_방동_방동_진해자은수량산출서(단지내)_취합_00-설계서,원가계산,내역서" xfId="300"/>
    <cellStyle name="_방동_방동_진해자은수량산출서(단지내)_취합_설계서-1" xfId="301"/>
    <cellStyle name="_방동_방동_진해자은수량산출서(단지내)_취합_설계서-1_00-설계서,원가계산,내역서" xfId="302"/>
    <cellStyle name="_방동_방동_포장" xfId="303"/>
    <cellStyle name="_방동_방동_포장_00-설계서,원가계산,내역서" xfId="304"/>
    <cellStyle name="_방동_방동_포장_라멘교 토공" xfId="305"/>
    <cellStyle name="_방동_방동_포장_라멘교 토공_00-설계서,원가계산,내역서" xfId="306"/>
    <cellStyle name="_방동_산양2리지구" xfId="307"/>
    <cellStyle name="_방동_산양2리지구_00-설계서,원가계산,내역서" xfId="308"/>
    <cellStyle name="_방동_산양2리지구_라멘교 토공" xfId="309"/>
    <cellStyle name="_방동_산양2리지구_라멘교 토공_00-설계서,원가계산,내역서" xfId="310"/>
    <cellStyle name="_방동_산양2리지구_포장" xfId="311"/>
    <cellStyle name="_방동_산양2리지구_포장_00-설계서,원가계산,내역서" xfId="312"/>
    <cellStyle name="_방동_산양2리지구_포장_라멘교 토공" xfId="313"/>
    <cellStyle name="_방동_산양2리지구_포장_라멘교 토공_00-설계서,원가계산,내역서" xfId="314"/>
    <cellStyle name="_방동_산양리지구" xfId="315"/>
    <cellStyle name="_방동_산양리지구_00-설계서,원가계산,내역서" xfId="316"/>
    <cellStyle name="_방동_산양리지구_내역서-최종0223" xfId="317"/>
    <cellStyle name="_방동_산양리지구_내역서-최종0223_00-설계서,원가계산,내역서" xfId="318"/>
    <cellStyle name="_방동_산양리지구_내역서-최종0223_설계서-1" xfId="319"/>
    <cellStyle name="_방동_산양리지구_내역서-최종0223_설계서-1_00-설계서,원가계산,내역서" xfId="320"/>
    <cellStyle name="_방동_산양리지구_내역서-최종0223_진해자은수량산출서(단지내)" xfId="321"/>
    <cellStyle name="_방동_산양리지구_내역서-최종0223_진해자은수량산출서(단지내)_00-설계서,원가계산,내역서" xfId="322"/>
    <cellStyle name="_방동_산양리지구_내역서-최종0223_진해자은수량산출서(단지내)_기초산출표-56-128-최종" xfId="323"/>
    <cellStyle name="_방동_산양리지구_내역서-최종0223_진해자은수량산출서(단지내)_기초산출표-56-128-최종_00-설계서,원가계산,내역서" xfId="324"/>
    <cellStyle name="_방동_산양리지구_내역서-최종0223_진해자은수량산출서(단지내)_기초산출표-56-128-최종_설계서-1" xfId="325"/>
    <cellStyle name="_방동_산양리지구_내역서-최종0223_진해자은수량산출서(단지내)_기초산출표-56-128-최종_설계서-1_00-설계서,원가계산,내역서" xfId="326"/>
    <cellStyle name="_방동_산양리지구_내역서-최종0223_진해자은수량산출서(단지내)_설계서-1" xfId="327"/>
    <cellStyle name="_방동_산양리지구_내역서-최종0223_진해자은수량산출서(단지내)_설계서-1_00-설계서,원가계산,내역서" xfId="328"/>
    <cellStyle name="_방동_산양리지구_내역서-최종0223_진해자은수량산출서(단지내)_취합" xfId="329"/>
    <cellStyle name="_방동_산양리지구_내역서-최종0223_진해자은수량산출서(단지내)_취합_00-설계서,원가계산,내역서" xfId="330"/>
    <cellStyle name="_방동_산양리지구_내역서-최종0223_진해자은수량산출서(단지내)_취합_설계서-1" xfId="331"/>
    <cellStyle name="_방동_산양리지구_내역서-최종0223_진해자은수량산출서(단지내)_취합_설계서-1_00-설계서,원가계산,내역서" xfId="332"/>
    <cellStyle name="_방동_산양리지구_라멘교 토공" xfId="333"/>
    <cellStyle name="_방동_산양리지구_라멘교 토공_00-설계서,원가계산,내역서" xfId="334"/>
    <cellStyle name="_방동_산양리지구_설계서-1" xfId="335"/>
    <cellStyle name="_방동_산양리지구_설계서-1_00-설계서,원가계산,내역서" xfId="336"/>
    <cellStyle name="_방동_산양리지구_율동자연공원내 화장실 보수 및 도색공사" xfId="337"/>
    <cellStyle name="_방동_산양리지구_율동자연공원내 화장실 보수 및 도색공사_00-설계서,원가계산,내역서" xfId="338"/>
    <cellStyle name="_방동_산양리지구_율동자연공원내 화장실 보수 및 도색공사_내역서-최종0223" xfId="339"/>
    <cellStyle name="_방동_산양리지구_율동자연공원내 화장실 보수 및 도색공사_내역서-최종0223_00-설계서,원가계산,내역서" xfId="340"/>
    <cellStyle name="_방동_산양리지구_율동자연공원내 화장실 보수 및 도색공사_내역서-최종0223_설계서-1" xfId="341"/>
    <cellStyle name="_방동_산양리지구_율동자연공원내 화장실 보수 및 도색공사_내역서-최종0223_설계서-1_00-설계서,원가계산,내역서" xfId="342"/>
    <cellStyle name="_방동_산양리지구_율동자연공원내 화장실 보수 및 도색공사_내역서-최종0223_진해자은수량산출서(단지내)" xfId="343"/>
    <cellStyle name="_방동_산양리지구_율동자연공원내 화장실 보수 및 도색공사_내역서-최종0223_진해자은수량산출서(단지내)_00-설계서,원가계산,내역서" xfId="344"/>
    <cellStyle name="_방동_산양리지구_율동자연공원내 화장실 보수 및 도색공사_내역서-최종0223_진해자은수량산출서(단지내)_기초산출표-56-128-최종" xfId="345"/>
    <cellStyle name="_방동_산양리지구_율동자연공원내 화장실 보수 및 도색공사_내역서-최종0223_진해자은수량산출서(단지내)_기초산출표-56-128-최종_00-설계서,원가계산,내역서" xfId="346"/>
    <cellStyle name="_방동_산양리지구_율동자연공원내 화장실 보수 및 도색공사_내역서-최종0223_진해자은수량산출서(단지내)_기초산출표-56-128-최종_설계서-1" xfId="347"/>
    <cellStyle name="_방동_산양리지구_율동자연공원내 화장실 보수 및 도색공사_내역서-최종0223_진해자은수량산출서(단지내)_기초산출표-56-128-최종_설계서-1_00-설계서,원가계산,내역서" xfId="348"/>
    <cellStyle name="_방동_산양리지구_율동자연공원내 화장실 보수 및 도색공사_내역서-최종0223_진해자은수량산출서(단지내)_설계서-1" xfId="349"/>
    <cellStyle name="_방동_산양리지구_율동자연공원내 화장실 보수 및 도색공사_내역서-최종0223_진해자은수량산출서(단지내)_설계서-1_00-설계서,원가계산,내역서" xfId="350"/>
    <cellStyle name="_방동_산양리지구_율동자연공원내 화장실 보수 및 도색공사_내역서-최종0223_진해자은수량산출서(단지내)_취합" xfId="351"/>
    <cellStyle name="_방동_산양리지구_율동자연공원내 화장실 보수 및 도색공사_내역서-최종0223_진해자은수량산출서(단지내)_취합_00-설계서,원가계산,내역서" xfId="352"/>
    <cellStyle name="_방동_산양리지구_율동자연공원내 화장실 보수 및 도색공사_내역서-최종0223_진해자은수량산출서(단지내)_취합_설계서-1" xfId="353"/>
    <cellStyle name="_방동_산양리지구_율동자연공원내 화장실 보수 및 도색공사_내역서-최종0223_진해자은수량산출서(단지내)_취합_설계서-1_00-설계서,원가계산,내역서" xfId="354"/>
    <cellStyle name="_방동_산양리지구_율동자연공원내 화장실 보수 및 도색공사_설계서-1" xfId="355"/>
    <cellStyle name="_방동_산양리지구_율동자연공원내 화장실 보수 및 도색공사_설계서-1_00-설계서,원가계산,내역서" xfId="356"/>
    <cellStyle name="_방동_산양리지구_율동자연공원내 화장실 보수 및 도색공사_진해자은수량산출서(단지내)" xfId="357"/>
    <cellStyle name="_방동_산양리지구_율동자연공원내 화장실 보수 및 도색공사_진해자은수량산출서(단지내)_00-설계서,원가계산,내역서" xfId="358"/>
    <cellStyle name="_방동_산양리지구_율동자연공원내 화장실 보수 및 도색공사_진해자은수량산출서(단지내)_기초산출표-56-128-최종" xfId="359"/>
    <cellStyle name="_방동_산양리지구_율동자연공원내 화장실 보수 및 도색공사_진해자은수량산출서(단지내)_기초산출표-56-128-최종_00-설계서,원가계산,내역서" xfId="360"/>
    <cellStyle name="_방동_산양리지구_율동자연공원내 화장실 보수 및 도색공사_진해자은수량산출서(단지내)_기초산출표-56-128-최종_설계서-1" xfId="361"/>
    <cellStyle name="_방동_산양리지구_율동자연공원내 화장실 보수 및 도색공사_진해자은수량산출서(단지내)_기초산출표-56-128-최종_설계서-1_00-설계서,원가계산,내역서" xfId="362"/>
    <cellStyle name="_방동_산양리지구_율동자연공원내 화장실 보수 및 도색공사_진해자은수량산출서(단지내)_설계서-1" xfId="363"/>
    <cellStyle name="_방동_산양리지구_율동자연공원내 화장실 보수 및 도색공사_진해자은수량산출서(단지내)_설계서-1_00-설계서,원가계산,내역서" xfId="364"/>
    <cellStyle name="_방동_산양리지구_율동자연공원내 화장실 보수 및 도색공사_진해자은수량산출서(단지내)_취합" xfId="365"/>
    <cellStyle name="_방동_산양리지구_율동자연공원내 화장실 보수 및 도색공사_진해자은수량산출서(단지내)_취합_00-설계서,원가계산,내역서" xfId="366"/>
    <cellStyle name="_방동_산양리지구_율동자연공원내 화장실 보수 및 도색공사_진해자은수량산출서(단지내)_취합_설계서-1" xfId="367"/>
    <cellStyle name="_방동_산양리지구_율동자연공원내 화장실 보수 및 도색공사_진해자은수량산출서(단지내)_취합_설계서-1_00-설계서,원가계산,내역서" xfId="368"/>
    <cellStyle name="_방동_산양리지구_율동자연공원내 휴게편의점 도색작업-할증-천정면적추가" xfId="369"/>
    <cellStyle name="_방동_산양리지구_율동자연공원내 휴게편의점 도색작업-할증-천정면적추가_00-설계서,원가계산,내역서" xfId="370"/>
    <cellStyle name="_방동_산양리지구_율동자연공원내 휴게편의점 도색작업-할증-천정면적추가_내역서-최종0223" xfId="371"/>
    <cellStyle name="_방동_산양리지구_율동자연공원내 휴게편의점 도색작업-할증-천정면적추가_내역서-최종0223_00-설계서,원가계산,내역서" xfId="372"/>
    <cellStyle name="_방동_산양리지구_율동자연공원내 휴게편의점 도색작업-할증-천정면적추가_내역서-최종0223_설계서-1" xfId="373"/>
    <cellStyle name="_방동_산양리지구_율동자연공원내 휴게편의점 도색작업-할증-천정면적추가_내역서-최종0223_설계서-1_00-설계서,원가계산,내역서" xfId="374"/>
    <cellStyle name="_방동_산양리지구_율동자연공원내 휴게편의점 도색작업-할증-천정면적추가_내역서-최종0223_진해자은수량산출서(단지내)" xfId="375"/>
    <cellStyle name="_방동_산양리지구_율동자연공원내 휴게편의점 도색작업-할증-천정면적추가_내역서-최종0223_진해자은수량산출서(단지내)_00-설계서,원가계산,내역서" xfId="376"/>
    <cellStyle name="_방동_산양리지구_율동자연공원내 휴게편의점 도색작업-할증-천정면적추가_내역서-최종0223_진해자은수량산출서(단지내)_기초산출표-56-128-최종" xfId="377"/>
    <cellStyle name="_방동_산양리지구_율동자연공원내 휴게편의점 도색작업-할증-천정면적추가_내역서-최종0223_진해자은수량산출서(단지내)_기초산출표-56-128-최종_00-설계서,원가계산,내역서" xfId="378"/>
    <cellStyle name="_방동_산양리지구_율동자연공원내 휴게편의점 도색작업-할증-천정면적추가_내역서-최종0223_진해자은수량산출서(단지내)_기초산출표-56-128-최종_설계서-1" xfId="379"/>
    <cellStyle name="_방동_산양리지구_율동자연공원내 휴게편의점 도색작업-할증-천정면적추가_내역서-최종0223_진해자은수량산출서(단지내)_기초산출표-56-128-최종_설계서-1_00-설계서,원가계산,내역서" xfId="380"/>
    <cellStyle name="_방동_산양리지구_율동자연공원내 휴게편의점 도색작업-할증-천정면적추가_내역서-최종0223_진해자은수량산출서(단지내)_설계서-1" xfId="381"/>
    <cellStyle name="_방동_산양리지구_율동자연공원내 휴게편의점 도색작업-할증-천정면적추가_내역서-최종0223_진해자은수량산출서(단지내)_설계서-1_00-설계서,원가계산,내역서" xfId="382"/>
    <cellStyle name="_방동_산양리지구_율동자연공원내 휴게편의점 도색작업-할증-천정면적추가_내역서-최종0223_진해자은수량산출서(단지내)_취합" xfId="383"/>
    <cellStyle name="_방동_산양리지구_율동자연공원내 휴게편의점 도색작업-할증-천정면적추가_내역서-최종0223_진해자은수량산출서(단지내)_취합_00-설계서,원가계산,내역서" xfId="384"/>
    <cellStyle name="_방동_산양리지구_율동자연공원내 휴게편의점 도색작업-할증-천정면적추가_내역서-최종0223_진해자은수량산출서(단지내)_취합_설계서-1" xfId="385"/>
    <cellStyle name="_방동_산양리지구_율동자연공원내 휴게편의점 도색작업-할증-천정면적추가_내역서-최종0223_진해자은수량산출서(단지내)_취합_설계서-1_00-설계서,원가계산,내역서" xfId="386"/>
    <cellStyle name="_방동_산양리지구_율동자연공원내 휴게편의점 도색작업-할증-천정면적추가_설계서-1" xfId="387"/>
    <cellStyle name="_방동_산양리지구_율동자연공원내 휴게편의점 도색작업-할증-천정면적추가_설계서-1_00-설계서,원가계산,내역서" xfId="388"/>
    <cellStyle name="_방동_산양리지구_율동자연공원내 휴게편의점 도색작업-할증-천정면적추가_진해자은수량산출서(단지내)" xfId="389"/>
    <cellStyle name="_방동_산양리지구_율동자연공원내 휴게편의점 도색작업-할증-천정면적추가_진해자은수량산출서(단지내)_00-설계서,원가계산,내역서" xfId="390"/>
    <cellStyle name="_방동_산양리지구_율동자연공원내 휴게편의점 도색작업-할증-천정면적추가_진해자은수량산출서(단지내)_기초산출표-56-128-최종" xfId="391"/>
    <cellStyle name="_방동_산양리지구_율동자연공원내 휴게편의점 도색작업-할증-천정면적추가_진해자은수량산출서(단지내)_기초산출표-56-128-최종_00-설계서,원가계산,내역서" xfId="392"/>
    <cellStyle name="_방동_산양리지구_율동자연공원내 휴게편의점 도색작업-할증-천정면적추가_진해자은수량산출서(단지내)_기초산출표-56-128-최종_설계서-1" xfId="393"/>
    <cellStyle name="_방동_산양리지구_율동자연공원내 휴게편의점 도색작업-할증-천정면적추가_진해자은수량산출서(단지내)_기초산출표-56-128-최종_설계서-1_00-설계서,원가계산,내역서" xfId="394"/>
    <cellStyle name="_방동_산양리지구_율동자연공원내 휴게편의점 도색작업-할증-천정면적추가_진해자은수량산출서(단지내)_설계서-1" xfId="395"/>
    <cellStyle name="_방동_산양리지구_율동자연공원내 휴게편의점 도색작업-할증-천정면적추가_진해자은수량산출서(단지내)_설계서-1_00-설계서,원가계산,내역서" xfId="396"/>
    <cellStyle name="_방동_산양리지구_율동자연공원내 휴게편의점 도색작업-할증-천정면적추가_진해자은수량산출서(단지내)_취합" xfId="397"/>
    <cellStyle name="_방동_산양리지구_율동자연공원내 휴게편의점 도색작업-할증-천정면적추가_진해자은수량산출서(단지내)_취합_00-설계서,원가계산,내역서" xfId="398"/>
    <cellStyle name="_방동_산양리지구_율동자연공원내 휴게편의점 도색작업-할증-천정면적추가_진해자은수량산출서(단지내)_취합_설계서-1" xfId="399"/>
    <cellStyle name="_방동_산양리지구_율동자연공원내 휴게편의점 도색작업-할증-천정면적추가_진해자은수량산출서(단지내)_취합_설계서-1_00-설계서,원가계산,내역서" xfId="400"/>
    <cellStyle name="_방동_산양리지구_이문동구간중랑천변녹화사업(수량산출서, 071127)-최종" xfId="401"/>
    <cellStyle name="_방동_산양리지구_이문동구간중랑천변녹화사업(수량산출서, 071127)-최종_00-설계서,원가계산,내역서" xfId="402"/>
    <cellStyle name="_방동_산양리지구_진해자은수량산출서(단지내)" xfId="403"/>
    <cellStyle name="_방동_산양리지구_진해자은수량산출서(단지내)_00-설계서,원가계산,내역서" xfId="404"/>
    <cellStyle name="_방동_산양리지구_진해자은수량산출서(단지내)_기초산출표-56-128-최종" xfId="405"/>
    <cellStyle name="_방동_산양리지구_진해자은수량산출서(단지내)_기초산출표-56-128-최종_00-설계서,원가계산,내역서" xfId="406"/>
    <cellStyle name="_방동_산양리지구_진해자은수량산출서(단지내)_기초산출표-56-128-최종_설계서-1" xfId="407"/>
    <cellStyle name="_방동_산양리지구_진해자은수량산출서(단지내)_기초산출표-56-128-최종_설계서-1_00-설계서,원가계산,내역서" xfId="408"/>
    <cellStyle name="_방동_산양리지구_진해자은수량산출서(단지내)_설계서-1" xfId="409"/>
    <cellStyle name="_방동_산양리지구_진해자은수량산출서(단지내)_설계서-1_00-설계서,원가계산,내역서" xfId="410"/>
    <cellStyle name="_방동_산양리지구_진해자은수량산출서(단지내)_취합" xfId="411"/>
    <cellStyle name="_방동_산양리지구_진해자은수량산출서(단지내)_취합_00-설계서,원가계산,내역서" xfId="412"/>
    <cellStyle name="_방동_산양리지구_진해자은수량산출서(단지내)_취합_설계서-1" xfId="413"/>
    <cellStyle name="_방동_산양리지구_진해자은수량산출서(단지내)_취합_설계서-1_00-설계서,원가계산,내역서" xfId="414"/>
    <cellStyle name="_방동_산양리지구_포장" xfId="415"/>
    <cellStyle name="_방동_산양리지구_포장_00-설계서,원가계산,내역서" xfId="416"/>
    <cellStyle name="_방동_산양리지구_포장_라멘교 토공" xfId="417"/>
    <cellStyle name="_방동_산양리지구_포장_라멘교 토공_00-설계서,원가계산,내역서" xfId="418"/>
    <cellStyle name="_방동_서상2리" xfId="419"/>
    <cellStyle name="_방동_서상2리_00-설계서,원가계산,내역서" xfId="420"/>
    <cellStyle name="_방동_서상2리_내역서-최종0223" xfId="421"/>
    <cellStyle name="_방동_서상2리_내역서-최종0223_00-설계서,원가계산,내역서" xfId="422"/>
    <cellStyle name="_방동_서상2리_내역서-최종0223_설계서-1" xfId="423"/>
    <cellStyle name="_방동_서상2리_내역서-최종0223_설계서-1_00-설계서,원가계산,내역서" xfId="424"/>
    <cellStyle name="_방동_서상2리_내역서-최종0223_진해자은수량산출서(단지내)" xfId="425"/>
    <cellStyle name="_방동_서상2리_내역서-최종0223_진해자은수량산출서(단지내)_00-설계서,원가계산,내역서" xfId="426"/>
    <cellStyle name="_방동_서상2리_내역서-최종0223_진해자은수량산출서(단지내)_기초산출표-56-128-최종" xfId="427"/>
    <cellStyle name="_방동_서상2리_내역서-최종0223_진해자은수량산출서(단지내)_기초산출표-56-128-최종_00-설계서,원가계산,내역서" xfId="428"/>
    <cellStyle name="_방동_서상2리_내역서-최종0223_진해자은수량산출서(단지내)_기초산출표-56-128-최종_설계서-1" xfId="429"/>
    <cellStyle name="_방동_서상2리_내역서-최종0223_진해자은수량산출서(단지내)_기초산출표-56-128-최종_설계서-1_00-설계서,원가계산,내역서" xfId="430"/>
    <cellStyle name="_방동_서상2리_내역서-최종0223_진해자은수량산출서(단지내)_설계서-1" xfId="431"/>
    <cellStyle name="_방동_서상2리_내역서-최종0223_진해자은수량산출서(단지내)_설계서-1_00-설계서,원가계산,내역서" xfId="432"/>
    <cellStyle name="_방동_서상2리_내역서-최종0223_진해자은수량산출서(단지내)_취합" xfId="433"/>
    <cellStyle name="_방동_서상2리_내역서-최종0223_진해자은수량산출서(단지내)_취합_00-설계서,원가계산,내역서" xfId="434"/>
    <cellStyle name="_방동_서상2리_내역서-최종0223_진해자은수량산출서(단지내)_취합_설계서-1" xfId="435"/>
    <cellStyle name="_방동_서상2리_내역서-최종0223_진해자은수량산출서(단지내)_취합_설계서-1_00-설계서,원가계산,내역서" xfId="436"/>
    <cellStyle name="_방동_서상2리_라멘교 토공" xfId="437"/>
    <cellStyle name="_방동_서상2리_라멘교 토공_00-설계서,원가계산,내역서" xfId="438"/>
    <cellStyle name="_방동_서상2리_설계서-1" xfId="439"/>
    <cellStyle name="_방동_서상2리_설계서-1_00-설계서,원가계산,내역서" xfId="440"/>
    <cellStyle name="_방동_서상2리_율동자연공원내 화장실 보수 및 도색공사" xfId="441"/>
    <cellStyle name="_방동_서상2리_율동자연공원내 화장실 보수 및 도색공사_00-설계서,원가계산,내역서" xfId="442"/>
    <cellStyle name="_방동_서상2리_율동자연공원내 화장실 보수 및 도색공사_내역서-최종0223" xfId="443"/>
    <cellStyle name="_방동_서상2리_율동자연공원내 화장실 보수 및 도색공사_내역서-최종0223_00-설계서,원가계산,내역서" xfId="444"/>
    <cellStyle name="_방동_서상2리_율동자연공원내 화장실 보수 및 도색공사_내역서-최종0223_설계서-1" xfId="445"/>
    <cellStyle name="_방동_서상2리_율동자연공원내 화장실 보수 및 도색공사_내역서-최종0223_설계서-1_00-설계서,원가계산,내역서" xfId="446"/>
    <cellStyle name="_방동_서상2리_율동자연공원내 화장실 보수 및 도색공사_내역서-최종0223_진해자은수량산출서(단지내)" xfId="447"/>
    <cellStyle name="_방동_서상2리_율동자연공원내 화장실 보수 및 도색공사_내역서-최종0223_진해자은수량산출서(단지내)_00-설계서,원가계산,내역서" xfId="448"/>
    <cellStyle name="_방동_서상2리_율동자연공원내 화장실 보수 및 도색공사_내역서-최종0223_진해자은수량산출서(단지내)_기초산출표-56-128-최종" xfId="449"/>
    <cellStyle name="_방동_서상2리_율동자연공원내 화장실 보수 및 도색공사_내역서-최종0223_진해자은수량산출서(단지내)_기초산출표-56-128-최종_00-설계서,원가계산,내역서" xfId="450"/>
    <cellStyle name="_방동_서상2리_율동자연공원내 화장실 보수 및 도색공사_내역서-최종0223_진해자은수량산출서(단지내)_기초산출표-56-128-최종_설계서-1" xfId="451"/>
    <cellStyle name="_방동_서상2리_율동자연공원내 화장실 보수 및 도색공사_내역서-최종0223_진해자은수량산출서(단지내)_기초산출표-56-128-최종_설계서-1_00-설계서,원가계산,내역서" xfId="452"/>
    <cellStyle name="_방동_서상2리_율동자연공원내 화장실 보수 및 도색공사_내역서-최종0223_진해자은수량산출서(단지내)_설계서-1" xfId="453"/>
    <cellStyle name="_방동_서상2리_율동자연공원내 화장실 보수 및 도색공사_내역서-최종0223_진해자은수량산출서(단지내)_설계서-1_00-설계서,원가계산,내역서" xfId="454"/>
    <cellStyle name="_방동_서상2리_율동자연공원내 화장실 보수 및 도색공사_내역서-최종0223_진해자은수량산출서(단지내)_취합" xfId="455"/>
    <cellStyle name="_방동_서상2리_율동자연공원내 화장실 보수 및 도색공사_내역서-최종0223_진해자은수량산출서(단지내)_취합_00-설계서,원가계산,내역서" xfId="456"/>
    <cellStyle name="_방동_서상2리_율동자연공원내 화장실 보수 및 도색공사_내역서-최종0223_진해자은수량산출서(단지내)_취합_설계서-1" xfId="457"/>
    <cellStyle name="_방동_서상2리_율동자연공원내 화장실 보수 및 도색공사_내역서-최종0223_진해자은수량산출서(단지내)_취합_설계서-1_00-설계서,원가계산,내역서" xfId="458"/>
    <cellStyle name="_방동_서상2리_율동자연공원내 화장실 보수 및 도색공사_설계서-1" xfId="459"/>
    <cellStyle name="_방동_서상2리_율동자연공원내 화장실 보수 및 도색공사_설계서-1_00-설계서,원가계산,내역서" xfId="460"/>
    <cellStyle name="_방동_서상2리_율동자연공원내 화장실 보수 및 도색공사_진해자은수량산출서(단지내)" xfId="461"/>
    <cellStyle name="_방동_서상2리_율동자연공원내 화장실 보수 및 도색공사_진해자은수량산출서(단지내)_00-설계서,원가계산,내역서" xfId="462"/>
    <cellStyle name="_방동_서상2리_율동자연공원내 화장실 보수 및 도색공사_진해자은수량산출서(단지내)_기초산출표-56-128-최종" xfId="463"/>
    <cellStyle name="_방동_서상2리_율동자연공원내 화장실 보수 및 도색공사_진해자은수량산출서(단지내)_기초산출표-56-128-최종_00-설계서,원가계산,내역서" xfId="464"/>
    <cellStyle name="_방동_서상2리_율동자연공원내 화장실 보수 및 도색공사_진해자은수량산출서(단지내)_기초산출표-56-128-최종_설계서-1" xfId="465"/>
    <cellStyle name="_방동_서상2리_율동자연공원내 화장실 보수 및 도색공사_진해자은수량산출서(단지내)_기초산출표-56-128-최종_설계서-1_00-설계서,원가계산,내역서" xfId="466"/>
    <cellStyle name="_방동_서상2리_율동자연공원내 화장실 보수 및 도색공사_진해자은수량산출서(단지내)_설계서-1" xfId="467"/>
    <cellStyle name="_방동_서상2리_율동자연공원내 화장실 보수 및 도색공사_진해자은수량산출서(단지내)_설계서-1_00-설계서,원가계산,내역서" xfId="468"/>
    <cellStyle name="_방동_서상2리_율동자연공원내 화장실 보수 및 도색공사_진해자은수량산출서(단지내)_취합" xfId="469"/>
    <cellStyle name="_방동_서상2리_율동자연공원내 화장실 보수 및 도색공사_진해자은수량산출서(단지내)_취합_00-설계서,원가계산,내역서" xfId="470"/>
    <cellStyle name="_방동_서상2리_율동자연공원내 화장실 보수 및 도색공사_진해자은수량산출서(단지내)_취합_설계서-1" xfId="471"/>
    <cellStyle name="_방동_서상2리_율동자연공원내 화장실 보수 및 도색공사_진해자은수량산출서(단지내)_취합_설계서-1_00-설계서,원가계산,내역서" xfId="472"/>
    <cellStyle name="_방동_서상2리_율동자연공원내 휴게편의점 도색작업-할증-천정면적추가" xfId="473"/>
    <cellStyle name="_방동_서상2리_율동자연공원내 휴게편의점 도색작업-할증-천정면적추가_00-설계서,원가계산,내역서" xfId="474"/>
    <cellStyle name="_방동_서상2리_율동자연공원내 휴게편의점 도색작업-할증-천정면적추가_내역서-최종0223" xfId="475"/>
    <cellStyle name="_방동_서상2리_율동자연공원내 휴게편의점 도색작업-할증-천정면적추가_내역서-최종0223_00-설계서,원가계산,내역서" xfId="476"/>
    <cellStyle name="_방동_서상2리_율동자연공원내 휴게편의점 도색작업-할증-천정면적추가_내역서-최종0223_설계서-1" xfId="477"/>
    <cellStyle name="_방동_서상2리_율동자연공원내 휴게편의점 도색작업-할증-천정면적추가_내역서-최종0223_설계서-1_00-설계서,원가계산,내역서" xfId="478"/>
    <cellStyle name="_방동_서상2리_율동자연공원내 휴게편의점 도색작업-할증-천정면적추가_내역서-최종0223_진해자은수량산출서(단지내)" xfId="479"/>
    <cellStyle name="_방동_서상2리_율동자연공원내 휴게편의점 도색작업-할증-천정면적추가_내역서-최종0223_진해자은수량산출서(단지내)_00-설계서,원가계산,내역서" xfId="480"/>
    <cellStyle name="_방동_서상2리_율동자연공원내 휴게편의점 도색작업-할증-천정면적추가_내역서-최종0223_진해자은수량산출서(단지내)_기초산출표-56-128-최종" xfId="481"/>
    <cellStyle name="_방동_서상2리_율동자연공원내 휴게편의점 도색작업-할증-천정면적추가_내역서-최종0223_진해자은수량산출서(단지내)_기초산출표-56-128-최종_00-설계서,원가계산,내역서" xfId="482"/>
    <cellStyle name="_방동_서상2리_율동자연공원내 휴게편의점 도색작업-할증-천정면적추가_내역서-최종0223_진해자은수량산출서(단지내)_기초산출표-56-128-최종_설계서-1" xfId="483"/>
    <cellStyle name="_방동_서상2리_율동자연공원내 휴게편의점 도색작업-할증-천정면적추가_내역서-최종0223_진해자은수량산출서(단지내)_기초산출표-56-128-최종_설계서-1_00-설계서,원가계산,내역서" xfId="484"/>
    <cellStyle name="_방동_서상2리_율동자연공원내 휴게편의점 도색작업-할증-천정면적추가_내역서-최종0223_진해자은수량산출서(단지내)_설계서-1" xfId="485"/>
    <cellStyle name="_방동_서상2리_율동자연공원내 휴게편의점 도색작업-할증-천정면적추가_내역서-최종0223_진해자은수량산출서(단지내)_설계서-1_00-설계서,원가계산,내역서" xfId="486"/>
    <cellStyle name="_방동_서상2리_율동자연공원내 휴게편의점 도색작업-할증-천정면적추가_내역서-최종0223_진해자은수량산출서(단지내)_취합" xfId="487"/>
    <cellStyle name="_방동_서상2리_율동자연공원내 휴게편의점 도색작업-할증-천정면적추가_내역서-최종0223_진해자은수량산출서(단지내)_취합_00-설계서,원가계산,내역서" xfId="488"/>
    <cellStyle name="_방동_서상2리_율동자연공원내 휴게편의점 도색작업-할증-천정면적추가_내역서-최종0223_진해자은수량산출서(단지내)_취합_설계서-1" xfId="489"/>
    <cellStyle name="_방동_서상2리_율동자연공원내 휴게편의점 도색작업-할증-천정면적추가_내역서-최종0223_진해자은수량산출서(단지내)_취합_설계서-1_00-설계서,원가계산,내역서" xfId="490"/>
    <cellStyle name="_방동_서상2리_율동자연공원내 휴게편의점 도색작업-할증-천정면적추가_설계서-1" xfId="491"/>
    <cellStyle name="_방동_서상2리_율동자연공원내 휴게편의점 도색작업-할증-천정면적추가_설계서-1_00-설계서,원가계산,내역서" xfId="492"/>
    <cellStyle name="_방동_서상2리_율동자연공원내 휴게편의점 도색작업-할증-천정면적추가_진해자은수량산출서(단지내)" xfId="493"/>
    <cellStyle name="_방동_서상2리_율동자연공원내 휴게편의점 도색작업-할증-천정면적추가_진해자은수량산출서(단지내)_00-설계서,원가계산,내역서" xfId="494"/>
    <cellStyle name="_방동_서상2리_율동자연공원내 휴게편의점 도색작업-할증-천정면적추가_진해자은수량산출서(단지내)_기초산출표-56-128-최종" xfId="495"/>
    <cellStyle name="_방동_서상2리_율동자연공원내 휴게편의점 도색작업-할증-천정면적추가_진해자은수량산출서(단지내)_기초산출표-56-128-최종_00-설계서,원가계산,내역서" xfId="496"/>
    <cellStyle name="_방동_서상2리_율동자연공원내 휴게편의점 도색작업-할증-천정면적추가_진해자은수량산출서(단지내)_기초산출표-56-128-최종_설계서-1" xfId="497"/>
    <cellStyle name="_방동_서상2리_율동자연공원내 휴게편의점 도색작업-할증-천정면적추가_진해자은수량산출서(단지내)_기초산출표-56-128-최종_설계서-1_00-설계서,원가계산,내역서" xfId="498"/>
    <cellStyle name="_방동_서상2리_율동자연공원내 휴게편의점 도색작업-할증-천정면적추가_진해자은수량산출서(단지내)_설계서-1" xfId="499"/>
    <cellStyle name="_방동_서상2리_율동자연공원내 휴게편의점 도색작업-할증-천정면적추가_진해자은수량산출서(단지내)_설계서-1_00-설계서,원가계산,내역서" xfId="500"/>
    <cellStyle name="_방동_서상2리_율동자연공원내 휴게편의점 도색작업-할증-천정면적추가_진해자은수량산출서(단지내)_취합" xfId="501"/>
    <cellStyle name="_방동_서상2리_율동자연공원내 휴게편의점 도색작업-할증-천정면적추가_진해자은수량산출서(단지내)_취합_00-설계서,원가계산,내역서" xfId="502"/>
    <cellStyle name="_방동_서상2리_율동자연공원내 휴게편의점 도색작업-할증-천정면적추가_진해자은수량산출서(단지내)_취합_설계서-1" xfId="503"/>
    <cellStyle name="_방동_서상2리_율동자연공원내 휴게편의점 도색작업-할증-천정면적추가_진해자은수량산출서(단지내)_취합_설계서-1_00-설계서,원가계산,내역서" xfId="504"/>
    <cellStyle name="_방동_서상2리_이문동구간중랑천변녹화사업(수량산출서, 071127)-최종" xfId="505"/>
    <cellStyle name="_방동_서상2리_이문동구간중랑천변녹화사업(수량산출서, 071127)-최종_00-설계서,원가계산,내역서" xfId="506"/>
    <cellStyle name="_방동_서상2리_진해자은수량산출서(단지내)" xfId="507"/>
    <cellStyle name="_방동_서상2리_진해자은수량산출서(단지내)_00-설계서,원가계산,내역서" xfId="508"/>
    <cellStyle name="_방동_서상2리_진해자은수량산출서(단지내)_기초산출표-56-128-최종" xfId="509"/>
    <cellStyle name="_방동_서상2리_진해자은수량산출서(단지내)_기초산출표-56-128-최종_00-설계서,원가계산,내역서" xfId="510"/>
    <cellStyle name="_방동_서상2리_진해자은수량산출서(단지내)_기초산출표-56-128-최종_설계서-1" xfId="511"/>
    <cellStyle name="_방동_서상2리_진해자은수량산출서(단지내)_기초산출표-56-128-최종_설계서-1_00-설계서,원가계산,내역서" xfId="512"/>
    <cellStyle name="_방동_서상2리_진해자은수량산출서(단지내)_설계서-1" xfId="513"/>
    <cellStyle name="_방동_서상2리_진해자은수량산출서(단지내)_설계서-1_00-설계서,원가계산,내역서" xfId="514"/>
    <cellStyle name="_방동_서상2리_진해자은수량산출서(단지내)_취합" xfId="515"/>
    <cellStyle name="_방동_서상2리_진해자은수량산출서(단지내)_취합_00-설계서,원가계산,내역서" xfId="516"/>
    <cellStyle name="_방동_서상2리_진해자은수량산출서(단지내)_취합_설계서-1" xfId="517"/>
    <cellStyle name="_방동_서상2리_진해자은수량산출서(단지내)_취합_설계서-1_00-설계서,원가계산,내역서" xfId="518"/>
    <cellStyle name="_방동_서상2리_포장" xfId="519"/>
    <cellStyle name="_방동_서상2리_포장_00-설계서,원가계산,내역서" xfId="520"/>
    <cellStyle name="_방동_서상2리_포장_라멘교 토공" xfId="521"/>
    <cellStyle name="_방동_서상2리_포장_라멘교 토공_00-설계서,원가계산,내역서" xfId="522"/>
    <cellStyle name="_방동_설계서-1" xfId="523"/>
    <cellStyle name="_방동_설계서-1_00-설계서,원가계산,내역서" xfId="524"/>
    <cellStyle name="_방동_오항" xfId="525"/>
    <cellStyle name="_방동_오항_00-설계서,원가계산,내역서" xfId="526"/>
    <cellStyle name="_방동_오항_라멘교 토공" xfId="527"/>
    <cellStyle name="_방동_오항_라멘교 토공_00-설계서,원가계산,내역서" xfId="528"/>
    <cellStyle name="_방동_오항_포장" xfId="529"/>
    <cellStyle name="_방동_오항_포장_00-설계서,원가계산,내역서" xfId="530"/>
    <cellStyle name="_방동_오항_포장_라멘교 토공" xfId="531"/>
    <cellStyle name="_방동_오항_포장_라멘교 토공_00-설계서,원가계산,내역서" xfId="532"/>
    <cellStyle name="_방동_원평" xfId="533"/>
    <cellStyle name="_방동_원평_00-설계서,원가계산,내역서" xfId="534"/>
    <cellStyle name="_방동_원평_내역서-최종0223" xfId="535"/>
    <cellStyle name="_방동_원평_내역서-최종0223_00-설계서,원가계산,내역서" xfId="536"/>
    <cellStyle name="_방동_원평_내역서-최종0223_설계서-1" xfId="537"/>
    <cellStyle name="_방동_원평_내역서-최종0223_설계서-1_00-설계서,원가계산,내역서" xfId="538"/>
    <cellStyle name="_방동_원평_내역서-최종0223_진해자은수량산출서(단지내)" xfId="539"/>
    <cellStyle name="_방동_원평_내역서-최종0223_진해자은수량산출서(단지내)_00-설계서,원가계산,내역서" xfId="540"/>
    <cellStyle name="_방동_원평_내역서-최종0223_진해자은수량산출서(단지내)_기초산출표-56-128-최종" xfId="541"/>
    <cellStyle name="_방동_원평_내역서-최종0223_진해자은수량산출서(단지내)_기초산출표-56-128-최종_00-설계서,원가계산,내역서" xfId="542"/>
    <cellStyle name="_방동_원평_내역서-최종0223_진해자은수량산출서(단지내)_기초산출표-56-128-최종_설계서-1" xfId="543"/>
    <cellStyle name="_방동_원평_내역서-최종0223_진해자은수량산출서(단지내)_기초산출표-56-128-최종_설계서-1_00-설계서,원가계산,내역서" xfId="544"/>
    <cellStyle name="_방동_원평_내역서-최종0223_진해자은수량산출서(단지내)_설계서-1" xfId="545"/>
    <cellStyle name="_방동_원평_내역서-최종0223_진해자은수량산출서(단지내)_설계서-1_00-설계서,원가계산,내역서" xfId="546"/>
    <cellStyle name="_방동_원평_내역서-최종0223_진해자은수량산출서(단지내)_취합" xfId="547"/>
    <cellStyle name="_방동_원평_내역서-최종0223_진해자은수량산출서(단지내)_취합_00-설계서,원가계산,내역서" xfId="548"/>
    <cellStyle name="_방동_원평_내역서-최종0223_진해자은수량산출서(단지내)_취합_설계서-1" xfId="549"/>
    <cellStyle name="_방동_원평_내역서-최종0223_진해자은수량산출서(단지내)_취합_설계서-1_00-설계서,원가계산,내역서" xfId="550"/>
    <cellStyle name="_방동_원평_라멘교 토공" xfId="551"/>
    <cellStyle name="_방동_원평_라멘교 토공_00-설계서,원가계산,내역서" xfId="552"/>
    <cellStyle name="_방동_원평_설계서-1" xfId="553"/>
    <cellStyle name="_방동_원평_설계서-1_00-설계서,원가계산,내역서" xfId="554"/>
    <cellStyle name="_방동_원평_율동자연공원내 화장실 보수 및 도색공사" xfId="555"/>
    <cellStyle name="_방동_원평_율동자연공원내 화장실 보수 및 도색공사_00-설계서,원가계산,내역서" xfId="556"/>
    <cellStyle name="_방동_원평_율동자연공원내 화장실 보수 및 도색공사_내역서-최종0223" xfId="557"/>
    <cellStyle name="_방동_원평_율동자연공원내 화장실 보수 및 도색공사_내역서-최종0223_00-설계서,원가계산,내역서" xfId="558"/>
    <cellStyle name="_방동_원평_율동자연공원내 화장실 보수 및 도색공사_내역서-최종0223_설계서-1" xfId="559"/>
    <cellStyle name="_방동_원평_율동자연공원내 화장실 보수 및 도색공사_내역서-최종0223_설계서-1_00-설계서,원가계산,내역서" xfId="560"/>
    <cellStyle name="_방동_원평_율동자연공원내 화장실 보수 및 도색공사_내역서-최종0223_진해자은수량산출서(단지내)" xfId="561"/>
    <cellStyle name="_방동_원평_율동자연공원내 화장실 보수 및 도색공사_내역서-최종0223_진해자은수량산출서(단지내)_00-설계서,원가계산,내역서" xfId="562"/>
    <cellStyle name="_방동_원평_율동자연공원내 화장실 보수 및 도색공사_내역서-최종0223_진해자은수량산출서(단지내)_기초산출표-56-128-최종" xfId="563"/>
    <cellStyle name="_방동_원평_율동자연공원내 화장실 보수 및 도색공사_내역서-최종0223_진해자은수량산출서(단지내)_기초산출표-56-128-최종_00-설계서,원가계산,내역서" xfId="564"/>
    <cellStyle name="_방동_원평_율동자연공원내 화장실 보수 및 도색공사_내역서-최종0223_진해자은수량산출서(단지내)_기초산출표-56-128-최종_설계서-1" xfId="565"/>
    <cellStyle name="_방동_원평_율동자연공원내 화장실 보수 및 도색공사_내역서-최종0223_진해자은수량산출서(단지내)_기초산출표-56-128-최종_설계서-1_00-설계서,원가계산,내역서" xfId="566"/>
    <cellStyle name="_방동_원평_율동자연공원내 화장실 보수 및 도색공사_내역서-최종0223_진해자은수량산출서(단지내)_설계서-1" xfId="567"/>
    <cellStyle name="_방동_원평_율동자연공원내 화장실 보수 및 도색공사_내역서-최종0223_진해자은수량산출서(단지내)_설계서-1_00-설계서,원가계산,내역서" xfId="568"/>
    <cellStyle name="_방동_원평_율동자연공원내 화장실 보수 및 도색공사_내역서-최종0223_진해자은수량산출서(단지내)_취합" xfId="569"/>
    <cellStyle name="_방동_원평_율동자연공원내 화장실 보수 및 도색공사_내역서-최종0223_진해자은수량산출서(단지내)_취합_00-설계서,원가계산,내역서" xfId="570"/>
    <cellStyle name="_방동_원평_율동자연공원내 화장실 보수 및 도색공사_내역서-최종0223_진해자은수량산출서(단지내)_취합_설계서-1" xfId="571"/>
    <cellStyle name="_방동_원평_율동자연공원내 화장실 보수 및 도색공사_내역서-최종0223_진해자은수량산출서(단지내)_취합_설계서-1_00-설계서,원가계산,내역서" xfId="572"/>
    <cellStyle name="_방동_원평_율동자연공원내 화장실 보수 및 도색공사_설계서-1" xfId="573"/>
    <cellStyle name="_방동_원평_율동자연공원내 화장실 보수 및 도색공사_설계서-1_00-설계서,원가계산,내역서" xfId="574"/>
    <cellStyle name="_방동_원평_율동자연공원내 화장실 보수 및 도색공사_진해자은수량산출서(단지내)" xfId="575"/>
    <cellStyle name="_방동_원평_율동자연공원내 화장실 보수 및 도색공사_진해자은수량산출서(단지내)_00-설계서,원가계산,내역서" xfId="576"/>
    <cellStyle name="_방동_원평_율동자연공원내 화장실 보수 및 도색공사_진해자은수량산출서(단지내)_기초산출표-56-128-최종" xfId="577"/>
    <cellStyle name="_방동_원평_율동자연공원내 화장실 보수 및 도색공사_진해자은수량산출서(단지내)_기초산출표-56-128-최종_00-설계서,원가계산,내역서" xfId="578"/>
    <cellStyle name="_방동_원평_율동자연공원내 화장실 보수 및 도색공사_진해자은수량산출서(단지내)_기초산출표-56-128-최종_설계서-1" xfId="579"/>
    <cellStyle name="_방동_원평_율동자연공원내 화장실 보수 및 도색공사_진해자은수량산출서(단지내)_기초산출표-56-128-최종_설계서-1_00-설계서,원가계산,내역서" xfId="580"/>
    <cellStyle name="_방동_원평_율동자연공원내 화장실 보수 및 도색공사_진해자은수량산출서(단지내)_설계서-1" xfId="581"/>
    <cellStyle name="_방동_원평_율동자연공원내 화장실 보수 및 도색공사_진해자은수량산출서(단지내)_설계서-1_00-설계서,원가계산,내역서" xfId="582"/>
    <cellStyle name="_방동_원평_율동자연공원내 화장실 보수 및 도색공사_진해자은수량산출서(단지내)_취합" xfId="583"/>
    <cellStyle name="_방동_원평_율동자연공원내 화장실 보수 및 도색공사_진해자은수량산출서(단지내)_취합_00-설계서,원가계산,내역서" xfId="584"/>
    <cellStyle name="_방동_원평_율동자연공원내 화장실 보수 및 도색공사_진해자은수량산출서(단지내)_취합_설계서-1" xfId="585"/>
    <cellStyle name="_방동_원평_율동자연공원내 화장실 보수 및 도색공사_진해자은수량산출서(단지내)_취합_설계서-1_00-설계서,원가계산,내역서" xfId="586"/>
    <cellStyle name="_방동_원평_율동자연공원내 휴게편의점 도색작업-할증-천정면적추가" xfId="587"/>
    <cellStyle name="_방동_원평_율동자연공원내 휴게편의점 도색작업-할증-천정면적추가_00-설계서,원가계산,내역서" xfId="588"/>
    <cellStyle name="_방동_원평_율동자연공원내 휴게편의점 도색작업-할증-천정면적추가_내역서-최종0223" xfId="589"/>
    <cellStyle name="_방동_원평_율동자연공원내 휴게편의점 도색작업-할증-천정면적추가_내역서-최종0223_00-설계서,원가계산,내역서" xfId="590"/>
    <cellStyle name="_방동_원평_율동자연공원내 휴게편의점 도색작업-할증-천정면적추가_내역서-최종0223_설계서-1" xfId="591"/>
    <cellStyle name="_방동_원평_율동자연공원내 휴게편의점 도색작업-할증-천정면적추가_내역서-최종0223_설계서-1_00-설계서,원가계산,내역서" xfId="592"/>
    <cellStyle name="_방동_원평_율동자연공원내 휴게편의점 도색작업-할증-천정면적추가_내역서-최종0223_진해자은수량산출서(단지내)" xfId="593"/>
    <cellStyle name="_방동_원평_율동자연공원내 휴게편의점 도색작업-할증-천정면적추가_내역서-최종0223_진해자은수량산출서(단지내)_00-설계서,원가계산,내역서" xfId="594"/>
    <cellStyle name="_방동_원평_율동자연공원내 휴게편의점 도색작업-할증-천정면적추가_내역서-최종0223_진해자은수량산출서(단지내)_기초산출표-56-128-최종" xfId="595"/>
    <cellStyle name="_방동_원평_율동자연공원내 휴게편의점 도색작업-할증-천정면적추가_내역서-최종0223_진해자은수량산출서(단지내)_기초산출표-56-128-최종_00-설계서,원가계산,내역서" xfId="596"/>
    <cellStyle name="_방동_원평_율동자연공원내 휴게편의점 도색작업-할증-천정면적추가_내역서-최종0223_진해자은수량산출서(단지내)_기초산출표-56-128-최종_설계서-1" xfId="597"/>
    <cellStyle name="_방동_원평_율동자연공원내 휴게편의점 도색작업-할증-천정면적추가_내역서-최종0223_진해자은수량산출서(단지내)_기초산출표-56-128-최종_설계서-1_00-설계서,원가계산,내역서" xfId="598"/>
    <cellStyle name="_방동_원평_율동자연공원내 휴게편의점 도색작업-할증-천정면적추가_내역서-최종0223_진해자은수량산출서(단지내)_설계서-1" xfId="599"/>
    <cellStyle name="_방동_원평_율동자연공원내 휴게편의점 도색작업-할증-천정면적추가_내역서-최종0223_진해자은수량산출서(단지내)_설계서-1_00-설계서,원가계산,내역서" xfId="600"/>
    <cellStyle name="_방동_원평_율동자연공원내 휴게편의점 도색작업-할증-천정면적추가_내역서-최종0223_진해자은수량산출서(단지내)_취합" xfId="601"/>
    <cellStyle name="_방동_원평_율동자연공원내 휴게편의점 도색작업-할증-천정면적추가_내역서-최종0223_진해자은수량산출서(단지내)_취합_00-설계서,원가계산,내역서" xfId="602"/>
    <cellStyle name="_방동_원평_율동자연공원내 휴게편의점 도색작업-할증-천정면적추가_내역서-최종0223_진해자은수량산출서(단지내)_취합_설계서-1" xfId="603"/>
    <cellStyle name="_방동_원평_율동자연공원내 휴게편의점 도색작업-할증-천정면적추가_내역서-최종0223_진해자은수량산출서(단지내)_취합_설계서-1_00-설계서,원가계산,내역서" xfId="604"/>
    <cellStyle name="_방동_원평_율동자연공원내 휴게편의점 도색작업-할증-천정면적추가_설계서-1" xfId="605"/>
    <cellStyle name="_방동_원평_율동자연공원내 휴게편의점 도색작업-할증-천정면적추가_설계서-1_00-설계서,원가계산,내역서" xfId="606"/>
    <cellStyle name="_방동_원평_율동자연공원내 휴게편의점 도색작업-할증-천정면적추가_진해자은수량산출서(단지내)" xfId="607"/>
    <cellStyle name="_방동_원평_율동자연공원내 휴게편의점 도색작업-할증-천정면적추가_진해자은수량산출서(단지내)_00-설계서,원가계산,내역서" xfId="608"/>
    <cellStyle name="_방동_원평_율동자연공원내 휴게편의점 도색작업-할증-천정면적추가_진해자은수량산출서(단지내)_기초산출표-56-128-최종" xfId="609"/>
    <cellStyle name="_방동_원평_율동자연공원내 휴게편의점 도색작업-할증-천정면적추가_진해자은수량산출서(단지내)_기초산출표-56-128-최종_00-설계서,원가계산,내역서" xfId="610"/>
    <cellStyle name="_방동_원평_율동자연공원내 휴게편의점 도색작업-할증-천정면적추가_진해자은수량산출서(단지내)_기초산출표-56-128-최종_설계서-1" xfId="611"/>
    <cellStyle name="_방동_원평_율동자연공원내 휴게편의점 도색작업-할증-천정면적추가_진해자은수량산출서(단지내)_기초산출표-56-128-최종_설계서-1_00-설계서,원가계산,내역서" xfId="612"/>
    <cellStyle name="_방동_원평_율동자연공원내 휴게편의점 도색작업-할증-천정면적추가_진해자은수량산출서(단지내)_설계서-1" xfId="613"/>
    <cellStyle name="_방동_원평_율동자연공원내 휴게편의점 도색작업-할증-천정면적추가_진해자은수량산출서(단지내)_설계서-1_00-설계서,원가계산,내역서" xfId="614"/>
    <cellStyle name="_방동_원평_율동자연공원내 휴게편의점 도색작업-할증-천정면적추가_진해자은수량산출서(단지내)_취합" xfId="615"/>
    <cellStyle name="_방동_원평_율동자연공원내 휴게편의점 도색작업-할증-천정면적추가_진해자은수량산출서(단지내)_취합_00-설계서,원가계산,내역서" xfId="616"/>
    <cellStyle name="_방동_원평_율동자연공원내 휴게편의점 도색작업-할증-천정면적추가_진해자은수량산출서(단지내)_취합_설계서-1" xfId="617"/>
    <cellStyle name="_방동_원평_율동자연공원내 휴게편의점 도색작업-할증-천정면적추가_진해자은수량산출서(단지내)_취합_설계서-1_00-설계서,원가계산,내역서" xfId="618"/>
    <cellStyle name="_방동_원평_이문동구간중랑천변녹화사업(수량산출서, 071127)-최종" xfId="619"/>
    <cellStyle name="_방동_원평_이문동구간중랑천변녹화사업(수량산출서, 071127)-최종_00-설계서,원가계산,내역서" xfId="620"/>
    <cellStyle name="_방동_원평_진해자은수량산출서(단지내)" xfId="621"/>
    <cellStyle name="_방동_원평_진해자은수량산출서(단지내)_00-설계서,원가계산,내역서" xfId="622"/>
    <cellStyle name="_방동_원평_진해자은수량산출서(단지내)_기초산출표-56-128-최종" xfId="623"/>
    <cellStyle name="_방동_원평_진해자은수량산출서(단지내)_기초산출표-56-128-최종_00-설계서,원가계산,내역서" xfId="624"/>
    <cellStyle name="_방동_원평_진해자은수량산출서(단지내)_기초산출표-56-128-최종_설계서-1" xfId="625"/>
    <cellStyle name="_방동_원평_진해자은수량산출서(단지내)_기초산출표-56-128-최종_설계서-1_00-설계서,원가계산,내역서" xfId="626"/>
    <cellStyle name="_방동_원평_진해자은수량산출서(단지내)_설계서-1" xfId="627"/>
    <cellStyle name="_방동_원평_진해자은수량산출서(단지내)_설계서-1_00-설계서,원가계산,내역서" xfId="628"/>
    <cellStyle name="_방동_원평_진해자은수량산출서(단지내)_취합" xfId="629"/>
    <cellStyle name="_방동_원평_진해자은수량산출서(단지내)_취합_00-설계서,원가계산,내역서" xfId="630"/>
    <cellStyle name="_방동_원평_진해자은수량산출서(단지내)_취합_설계서-1" xfId="631"/>
    <cellStyle name="_방동_원평_진해자은수량산출서(단지내)_취합_설계서-1_00-설계서,원가계산,내역서" xfId="632"/>
    <cellStyle name="_방동_원평_포장" xfId="633"/>
    <cellStyle name="_방동_원평_포장_00-설계서,원가계산,내역서" xfId="634"/>
    <cellStyle name="_방동_원평_포장_라멘교 토공" xfId="635"/>
    <cellStyle name="_방동_원평_포장_라멘교 토공_00-설계서,원가계산,내역서" xfId="636"/>
    <cellStyle name="_방동_율동자연공원내 화장실 보수 및 도색공사" xfId="637"/>
    <cellStyle name="_방동_율동자연공원내 화장실 보수 및 도색공사_00-설계서,원가계산,내역서" xfId="638"/>
    <cellStyle name="_방동_율동자연공원내 화장실 보수 및 도색공사_내역서-최종0223" xfId="639"/>
    <cellStyle name="_방동_율동자연공원내 화장실 보수 및 도색공사_내역서-최종0223_00-설계서,원가계산,내역서" xfId="640"/>
    <cellStyle name="_방동_율동자연공원내 화장실 보수 및 도색공사_내역서-최종0223_설계서-1" xfId="641"/>
    <cellStyle name="_방동_율동자연공원내 화장실 보수 및 도색공사_내역서-최종0223_설계서-1_00-설계서,원가계산,내역서" xfId="642"/>
    <cellStyle name="_방동_율동자연공원내 화장실 보수 및 도색공사_내역서-최종0223_진해자은수량산출서(단지내)" xfId="643"/>
    <cellStyle name="_방동_율동자연공원내 화장실 보수 및 도색공사_내역서-최종0223_진해자은수량산출서(단지내)_00-설계서,원가계산,내역서" xfId="644"/>
    <cellStyle name="_방동_율동자연공원내 화장실 보수 및 도색공사_내역서-최종0223_진해자은수량산출서(단지내)_기초산출표-56-128-최종" xfId="645"/>
    <cellStyle name="_방동_율동자연공원내 화장실 보수 및 도색공사_내역서-최종0223_진해자은수량산출서(단지내)_기초산출표-56-128-최종_00-설계서,원가계산,내역서" xfId="646"/>
    <cellStyle name="_방동_율동자연공원내 화장실 보수 및 도색공사_내역서-최종0223_진해자은수량산출서(단지내)_기초산출표-56-128-최종_설계서-1" xfId="647"/>
    <cellStyle name="_방동_율동자연공원내 화장실 보수 및 도색공사_내역서-최종0223_진해자은수량산출서(단지내)_기초산출표-56-128-최종_설계서-1_00-설계서,원가계산,내역서" xfId="648"/>
    <cellStyle name="_방동_율동자연공원내 화장실 보수 및 도색공사_내역서-최종0223_진해자은수량산출서(단지내)_설계서-1" xfId="649"/>
    <cellStyle name="_방동_율동자연공원내 화장실 보수 및 도색공사_내역서-최종0223_진해자은수량산출서(단지내)_설계서-1_00-설계서,원가계산,내역서" xfId="650"/>
    <cellStyle name="_방동_율동자연공원내 화장실 보수 및 도색공사_내역서-최종0223_진해자은수량산출서(단지내)_취합" xfId="651"/>
    <cellStyle name="_방동_율동자연공원내 화장실 보수 및 도색공사_내역서-최종0223_진해자은수량산출서(단지내)_취합_00-설계서,원가계산,내역서" xfId="652"/>
    <cellStyle name="_방동_율동자연공원내 화장실 보수 및 도색공사_내역서-최종0223_진해자은수량산출서(단지내)_취합_설계서-1" xfId="653"/>
    <cellStyle name="_방동_율동자연공원내 화장실 보수 및 도색공사_내역서-최종0223_진해자은수량산출서(단지내)_취합_설계서-1_00-설계서,원가계산,내역서" xfId="654"/>
    <cellStyle name="_방동_율동자연공원내 화장실 보수 및 도색공사_설계서-1" xfId="655"/>
    <cellStyle name="_방동_율동자연공원내 화장실 보수 및 도색공사_설계서-1_00-설계서,원가계산,내역서" xfId="656"/>
    <cellStyle name="_방동_율동자연공원내 화장실 보수 및 도색공사_진해자은수량산출서(단지내)" xfId="657"/>
    <cellStyle name="_방동_율동자연공원내 화장실 보수 및 도색공사_진해자은수량산출서(단지내)_00-설계서,원가계산,내역서" xfId="658"/>
    <cellStyle name="_방동_율동자연공원내 화장실 보수 및 도색공사_진해자은수량산출서(단지내)_기초산출표-56-128-최종" xfId="659"/>
    <cellStyle name="_방동_율동자연공원내 화장실 보수 및 도색공사_진해자은수량산출서(단지내)_기초산출표-56-128-최종_00-설계서,원가계산,내역서" xfId="660"/>
    <cellStyle name="_방동_율동자연공원내 화장실 보수 및 도색공사_진해자은수량산출서(단지내)_기초산출표-56-128-최종_설계서-1" xfId="661"/>
    <cellStyle name="_방동_율동자연공원내 화장실 보수 및 도색공사_진해자은수량산출서(단지내)_기초산출표-56-128-최종_설계서-1_00-설계서,원가계산,내역서" xfId="662"/>
    <cellStyle name="_방동_율동자연공원내 화장실 보수 및 도색공사_진해자은수량산출서(단지내)_설계서-1" xfId="663"/>
    <cellStyle name="_방동_율동자연공원내 화장실 보수 및 도색공사_진해자은수량산출서(단지내)_설계서-1_00-설계서,원가계산,내역서" xfId="664"/>
    <cellStyle name="_방동_율동자연공원내 화장실 보수 및 도색공사_진해자은수량산출서(단지내)_취합" xfId="665"/>
    <cellStyle name="_방동_율동자연공원내 화장실 보수 및 도색공사_진해자은수량산출서(단지내)_취합_00-설계서,원가계산,내역서" xfId="666"/>
    <cellStyle name="_방동_율동자연공원내 화장실 보수 및 도색공사_진해자은수량산출서(단지내)_취합_설계서-1" xfId="667"/>
    <cellStyle name="_방동_율동자연공원내 화장실 보수 및 도색공사_진해자은수량산출서(단지내)_취합_설계서-1_00-설계서,원가계산,내역서" xfId="668"/>
    <cellStyle name="_방동_율동자연공원내 휴게편의점 도색작업-할증-천정면적추가" xfId="669"/>
    <cellStyle name="_방동_율동자연공원내 휴게편의점 도색작업-할증-천정면적추가_00-설계서,원가계산,내역서" xfId="670"/>
    <cellStyle name="_방동_율동자연공원내 휴게편의점 도색작업-할증-천정면적추가_내역서-최종0223" xfId="671"/>
    <cellStyle name="_방동_율동자연공원내 휴게편의점 도색작업-할증-천정면적추가_내역서-최종0223_00-설계서,원가계산,내역서" xfId="672"/>
    <cellStyle name="_방동_율동자연공원내 휴게편의점 도색작업-할증-천정면적추가_내역서-최종0223_설계서-1" xfId="673"/>
    <cellStyle name="_방동_율동자연공원내 휴게편의점 도색작업-할증-천정면적추가_내역서-최종0223_설계서-1_00-설계서,원가계산,내역서" xfId="674"/>
    <cellStyle name="_방동_율동자연공원내 휴게편의점 도색작업-할증-천정면적추가_내역서-최종0223_진해자은수량산출서(단지내)" xfId="675"/>
    <cellStyle name="_방동_율동자연공원내 휴게편의점 도색작업-할증-천정면적추가_내역서-최종0223_진해자은수량산출서(단지내)_00-설계서,원가계산,내역서" xfId="676"/>
    <cellStyle name="_방동_율동자연공원내 휴게편의점 도색작업-할증-천정면적추가_내역서-최종0223_진해자은수량산출서(단지내)_기초산출표-56-128-최종" xfId="677"/>
    <cellStyle name="_방동_율동자연공원내 휴게편의점 도색작업-할증-천정면적추가_내역서-최종0223_진해자은수량산출서(단지내)_기초산출표-56-128-최종_00-설계서,원가계산,내역서" xfId="678"/>
    <cellStyle name="_방동_율동자연공원내 휴게편의점 도색작업-할증-천정면적추가_내역서-최종0223_진해자은수량산출서(단지내)_기초산출표-56-128-최종_설계서-1" xfId="679"/>
    <cellStyle name="_방동_율동자연공원내 휴게편의점 도색작업-할증-천정면적추가_내역서-최종0223_진해자은수량산출서(단지내)_기초산출표-56-128-최종_설계서-1_00-설계서,원가계산,내역서" xfId="680"/>
    <cellStyle name="_방동_율동자연공원내 휴게편의점 도색작업-할증-천정면적추가_내역서-최종0223_진해자은수량산출서(단지내)_설계서-1" xfId="681"/>
    <cellStyle name="_방동_율동자연공원내 휴게편의점 도색작업-할증-천정면적추가_내역서-최종0223_진해자은수량산출서(단지내)_설계서-1_00-설계서,원가계산,내역서" xfId="682"/>
    <cellStyle name="_방동_율동자연공원내 휴게편의점 도색작업-할증-천정면적추가_내역서-최종0223_진해자은수량산출서(단지내)_취합" xfId="683"/>
    <cellStyle name="_방동_율동자연공원내 휴게편의점 도색작업-할증-천정면적추가_내역서-최종0223_진해자은수량산출서(단지내)_취합_00-설계서,원가계산,내역서" xfId="684"/>
    <cellStyle name="_방동_율동자연공원내 휴게편의점 도색작업-할증-천정면적추가_내역서-최종0223_진해자은수량산출서(단지내)_취합_설계서-1" xfId="685"/>
    <cellStyle name="_방동_율동자연공원내 휴게편의점 도색작업-할증-천정면적추가_내역서-최종0223_진해자은수량산출서(단지내)_취합_설계서-1_00-설계서,원가계산,내역서" xfId="686"/>
    <cellStyle name="_방동_율동자연공원내 휴게편의점 도색작업-할증-천정면적추가_설계서-1" xfId="687"/>
    <cellStyle name="_방동_율동자연공원내 휴게편의점 도색작업-할증-천정면적추가_설계서-1_00-설계서,원가계산,내역서" xfId="688"/>
    <cellStyle name="_방동_율동자연공원내 휴게편의점 도색작업-할증-천정면적추가_진해자은수량산출서(단지내)" xfId="689"/>
    <cellStyle name="_방동_율동자연공원내 휴게편의점 도색작업-할증-천정면적추가_진해자은수량산출서(단지내)_00-설계서,원가계산,내역서" xfId="690"/>
    <cellStyle name="_방동_율동자연공원내 휴게편의점 도색작업-할증-천정면적추가_진해자은수량산출서(단지내)_기초산출표-56-128-최종" xfId="691"/>
    <cellStyle name="_방동_율동자연공원내 휴게편의점 도색작업-할증-천정면적추가_진해자은수량산출서(단지내)_기초산출표-56-128-최종_00-설계서,원가계산,내역서" xfId="692"/>
    <cellStyle name="_방동_율동자연공원내 휴게편의점 도색작업-할증-천정면적추가_진해자은수량산출서(단지내)_기초산출표-56-128-최종_설계서-1" xfId="693"/>
    <cellStyle name="_방동_율동자연공원내 휴게편의점 도색작업-할증-천정면적추가_진해자은수량산출서(단지내)_기초산출표-56-128-최종_설계서-1_00-설계서,원가계산,내역서" xfId="694"/>
    <cellStyle name="_방동_율동자연공원내 휴게편의점 도색작업-할증-천정면적추가_진해자은수량산출서(단지내)_설계서-1" xfId="695"/>
    <cellStyle name="_방동_율동자연공원내 휴게편의점 도색작업-할증-천정면적추가_진해자은수량산출서(단지내)_설계서-1_00-설계서,원가계산,내역서" xfId="696"/>
    <cellStyle name="_방동_율동자연공원내 휴게편의점 도색작업-할증-천정면적추가_진해자은수량산출서(단지내)_취합" xfId="697"/>
    <cellStyle name="_방동_율동자연공원내 휴게편의점 도색작업-할증-천정면적추가_진해자은수량산출서(단지내)_취합_00-설계서,원가계산,내역서" xfId="698"/>
    <cellStyle name="_방동_율동자연공원내 휴게편의점 도색작업-할증-천정면적추가_진해자은수량산출서(단지내)_취합_설계서-1" xfId="699"/>
    <cellStyle name="_방동_율동자연공원내 휴게편의점 도색작업-할증-천정면적추가_진해자은수량산출서(단지내)_취합_설계서-1_00-설계서,원가계산,내역서" xfId="700"/>
    <cellStyle name="_방동_이문동구간중랑천변녹화사업(수량산출서, 071127)-최종" xfId="701"/>
    <cellStyle name="_방동_이문동구간중랑천변녹화사업(수량산출서, 071127)-최종_00-설계서,원가계산,내역서" xfId="702"/>
    <cellStyle name="_방동_진해자은수량산출서(단지내)" xfId="703"/>
    <cellStyle name="_방동_진해자은수량산출서(단지내)_00-설계서,원가계산,내역서" xfId="704"/>
    <cellStyle name="_방동_진해자은수량산출서(단지내)_기초산출표-56-128-최종" xfId="705"/>
    <cellStyle name="_방동_진해자은수량산출서(단지내)_기초산출표-56-128-최종_00-설계서,원가계산,내역서" xfId="706"/>
    <cellStyle name="_방동_진해자은수량산출서(단지내)_기초산출표-56-128-최종_설계서-1" xfId="707"/>
    <cellStyle name="_방동_진해자은수량산출서(단지내)_기초산출표-56-128-최종_설계서-1_00-설계서,원가계산,내역서" xfId="708"/>
    <cellStyle name="_방동_진해자은수량산출서(단지내)_설계서-1" xfId="709"/>
    <cellStyle name="_방동_진해자은수량산출서(단지내)_설계서-1_00-설계서,원가계산,내역서" xfId="710"/>
    <cellStyle name="_방동_진해자은수량산출서(단지내)_취합" xfId="711"/>
    <cellStyle name="_방동_진해자은수량산출서(단지내)_취합_00-설계서,원가계산,내역서" xfId="712"/>
    <cellStyle name="_방동_진해자은수량산출서(단지내)_취합_설계서-1" xfId="713"/>
    <cellStyle name="_방동_진해자은수량산출서(단지내)_취합_설계서-1_00-설계서,원가계산,내역서" xfId="714"/>
    <cellStyle name="_방동_추곡" xfId="715"/>
    <cellStyle name="_방동_추곡_00-설계서,원가계산,내역서" xfId="716"/>
    <cellStyle name="_방동_추곡_내역서-최종0223" xfId="717"/>
    <cellStyle name="_방동_추곡_내역서-최종0223_00-설계서,원가계산,내역서" xfId="718"/>
    <cellStyle name="_방동_추곡_내역서-최종0223_설계서-1" xfId="719"/>
    <cellStyle name="_방동_추곡_내역서-최종0223_설계서-1_00-설계서,원가계산,내역서" xfId="720"/>
    <cellStyle name="_방동_추곡_내역서-최종0223_진해자은수량산출서(단지내)" xfId="721"/>
    <cellStyle name="_방동_추곡_내역서-최종0223_진해자은수량산출서(단지내)_00-설계서,원가계산,내역서" xfId="722"/>
    <cellStyle name="_방동_추곡_내역서-최종0223_진해자은수량산출서(단지내)_기초산출표-56-128-최종" xfId="723"/>
    <cellStyle name="_방동_추곡_내역서-최종0223_진해자은수량산출서(단지내)_기초산출표-56-128-최종_00-설계서,원가계산,내역서" xfId="724"/>
    <cellStyle name="_방동_추곡_내역서-최종0223_진해자은수량산출서(단지내)_기초산출표-56-128-최종_설계서-1" xfId="725"/>
    <cellStyle name="_방동_추곡_내역서-최종0223_진해자은수량산출서(단지내)_기초산출표-56-128-최종_설계서-1_00-설계서,원가계산,내역서" xfId="726"/>
    <cellStyle name="_방동_추곡_내역서-최종0223_진해자은수량산출서(단지내)_설계서-1" xfId="727"/>
    <cellStyle name="_방동_추곡_내역서-최종0223_진해자은수량산출서(단지내)_설계서-1_00-설계서,원가계산,내역서" xfId="728"/>
    <cellStyle name="_방동_추곡_내역서-최종0223_진해자은수량산출서(단지내)_취합" xfId="729"/>
    <cellStyle name="_방동_추곡_내역서-최종0223_진해자은수량산출서(단지내)_취합_00-설계서,원가계산,내역서" xfId="730"/>
    <cellStyle name="_방동_추곡_내역서-최종0223_진해자은수량산출서(단지내)_취합_설계서-1" xfId="731"/>
    <cellStyle name="_방동_추곡_내역서-최종0223_진해자은수량산출서(단지내)_취합_설계서-1_00-설계서,원가계산,내역서" xfId="732"/>
    <cellStyle name="_방동_추곡_라멘교 토공" xfId="733"/>
    <cellStyle name="_방동_추곡_라멘교 토공_00-설계서,원가계산,내역서" xfId="734"/>
    <cellStyle name="_방동_추곡_설계서-1" xfId="735"/>
    <cellStyle name="_방동_추곡_설계서-1_00-설계서,원가계산,내역서" xfId="736"/>
    <cellStyle name="_방동_추곡_율동자연공원내 화장실 보수 및 도색공사" xfId="737"/>
    <cellStyle name="_방동_추곡_율동자연공원내 화장실 보수 및 도색공사_00-설계서,원가계산,내역서" xfId="738"/>
    <cellStyle name="_방동_추곡_율동자연공원내 화장실 보수 및 도색공사_내역서-최종0223" xfId="739"/>
    <cellStyle name="_방동_추곡_율동자연공원내 화장실 보수 및 도색공사_내역서-최종0223_00-설계서,원가계산,내역서" xfId="740"/>
    <cellStyle name="_방동_추곡_율동자연공원내 화장실 보수 및 도색공사_내역서-최종0223_설계서-1" xfId="741"/>
    <cellStyle name="_방동_추곡_율동자연공원내 화장실 보수 및 도색공사_내역서-최종0223_설계서-1_00-설계서,원가계산,내역서" xfId="742"/>
    <cellStyle name="_방동_추곡_율동자연공원내 화장실 보수 및 도색공사_내역서-최종0223_진해자은수량산출서(단지내)" xfId="743"/>
    <cellStyle name="_방동_추곡_율동자연공원내 화장실 보수 및 도색공사_내역서-최종0223_진해자은수량산출서(단지내)_00-설계서,원가계산,내역서" xfId="744"/>
    <cellStyle name="_방동_추곡_율동자연공원내 화장실 보수 및 도색공사_내역서-최종0223_진해자은수량산출서(단지내)_기초산출표-56-128-최종" xfId="745"/>
    <cellStyle name="_방동_추곡_율동자연공원내 화장실 보수 및 도색공사_내역서-최종0223_진해자은수량산출서(단지내)_기초산출표-56-128-최종_00-설계서,원가계산,내역서" xfId="746"/>
    <cellStyle name="_방동_추곡_율동자연공원내 화장실 보수 및 도색공사_내역서-최종0223_진해자은수량산출서(단지내)_기초산출표-56-128-최종_설계서-1" xfId="747"/>
    <cellStyle name="_방동_추곡_율동자연공원내 화장실 보수 및 도색공사_내역서-최종0223_진해자은수량산출서(단지내)_기초산출표-56-128-최종_설계서-1_00-설계서,원가계산,내역서" xfId="748"/>
    <cellStyle name="_방동_추곡_율동자연공원내 화장실 보수 및 도색공사_내역서-최종0223_진해자은수량산출서(단지내)_설계서-1" xfId="749"/>
    <cellStyle name="_방동_추곡_율동자연공원내 화장실 보수 및 도색공사_내역서-최종0223_진해자은수량산출서(단지내)_설계서-1_00-설계서,원가계산,내역서" xfId="750"/>
    <cellStyle name="_방동_추곡_율동자연공원내 화장실 보수 및 도색공사_내역서-최종0223_진해자은수량산출서(단지내)_취합" xfId="751"/>
    <cellStyle name="_방동_추곡_율동자연공원내 화장실 보수 및 도색공사_내역서-최종0223_진해자은수량산출서(단지내)_취합_00-설계서,원가계산,내역서" xfId="752"/>
    <cellStyle name="_방동_추곡_율동자연공원내 화장실 보수 및 도색공사_내역서-최종0223_진해자은수량산출서(단지내)_취합_설계서-1" xfId="753"/>
    <cellStyle name="_방동_추곡_율동자연공원내 화장실 보수 및 도색공사_내역서-최종0223_진해자은수량산출서(단지내)_취합_설계서-1_00-설계서,원가계산,내역서" xfId="754"/>
    <cellStyle name="_방동_추곡_율동자연공원내 화장실 보수 및 도색공사_설계서-1" xfId="755"/>
    <cellStyle name="_방동_추곡_율동자연공원내 화장실 보수 및 도색공사_설계서-1_00-설계서,원가계산,내역서" xfId="756"/>
    <cellStyle name="_방동_추곡_율동자연공원내 화장실 보수 및 도색공사_진해자은수량산출서(단지내)" xfId="757"/>
    <cellStyle name="_방동_추곡_율동자연공원내 화장실 보수 및 도색공사_진해자은수량산출서(단지내)_00-설계서,원가계산,내역서" xfId="758"/>
    <cellStyle name="_방동_추곡_율동자연공원내 화장실 보수 및 도색공사_진해자은수량산출서(단지내)_기초산출표-56-128-최종" xfId="759"/>
    <cellStyle name="_방동_추곡_율동자연공원내 화장실 보수 및 도색공사_진해자은수량산출서(단지내)_기초산출표-56-128-최종_00-설계서,원가계산,내역서" xfId="760"/>
    <cellStyle name="_방동_추곡_율동자연공원내 화장실 보수 및 도색공사_진해자은수량산출서(단지내)_기초산출표-56-128-최종_설계서-1" xfId="761"/>
    <cellStyle name="_방동_추곡_율동자연공원내 화장실 보수 및 도색공사_진해자은수량산출서(단지내)_기초산출표-56-128-최종_설계서-1_00-설계서,원가계산,내역서" xfId="762"/>
    <cellStyle name="_방동_추곡_율동자연공원내 화장실 보수 및 도색공사_진해자은수량산출서(단지내)_설계서-1" xfId="763"/>
    <cellStyle name="_방동_추곡_율동자연공원내 화장실 보수 및 도색공사_진해자은수량산출서(단지내)_설계서-1_00-설계서,원가계산,내역서" xfId="764"/>
    <cellStyle name="_방동_추곡_율동자연공원내 화장실 보수 및 도색공사_진해자은수량산출서(단지내)_취합" xfId="765"/>
    <cellStyle name="_방동_추곡_율동자연공원내 화장실 보수 및 도색공사_진해자은수량산출서(단지내)_취합_00-설계서,원가계산,내역서" xfId="766"/>
    <cellStyle name="_방동_추곡_율동자연공원내 화장실 보수 및 도색공사_진해자은수량산출서(단지내)_취합_설계서-1" xfId="767"/>
    <cellStyle name="_방동_추곡_율동자연공원내 화장실 보수 및 도색공사_진해자은수량산출서(단지내)_취합_설계서-1_00-설계서,원가계산,내역서" xfId="768"/>
    <cellStyle name="_방동_추곡_율동자연공원내 휴게편의점 도색작업-할증-천정면적추가" xfId="769"/>
    <cellStyle name="_방동_추곡_율동자연공원내 휴게편의점 도색작업-할증-천정면적추가_00-설계서,원가계산,내역서" xfId="770"/>
    <cellStyle name="_방동_추곡_율동자연공원내 휴게편의점 도색작업-할증-천정면적추가_내역서-최종0223" xfId="771"/>
    <cellStyle name="_방동_추곡_율동자연공원내 휴게편의점 도색작업-할증-천정면적추가_내역서-최종0223_00-설계서,원가계산,내역서" xfId="772"/>
    <cellStyle name="_방동_추곡_율동자연공원내 휴게편의점 도색작업-할증-천정면적추가_내역서-최종0223_설계서-1" xfId="773"/>
    <cellStyle name="_방동_추곡_율동자연공원내 휴게편의점 도색작업-할증-천정면적추가_내역서-최종0223_설계서-1_00-설계서,원가계산,내역서" xfId="774"/>
    <cellStyle name="_방동_추곡_율동자연공원내 휴게편의점 도색작업-할증-천정면적추가_내역서-최종0223_진해자은수량산출서(단지내)" xfId="775"/>
    <cellStyle name="_방동_추곡_율동자연공원내 휴게편의점 도색작업-할증-천정면적추가_내역서-최종0223_진해자은수량산출서(단지내)_00-설계서,원가계산,내역서" xfId="776"/>
    <cellStyle name="_방동_추곡_율동자연공원내 휴게편의점 도색작업-할증-천정면적추가_내역서-최종0223_진해자은수량산출서(단지내)_기초산출표-56-128-최종" xfId="777"/>
    <cellStyle name="_방동_추곡_율동자연공원내 휴게편의점 도색작업-할증-천정면적추가_내역서-최종0223_진해자은수량산출서(단지내)_기초산출표-56-128-최종_00-설계서,원가계산,내역서" xfId="778"/>
    <cellStyle name="_방동_추곡_율동자연공원내 휴게편의점 도색작업-할증-천정면적추가_내역서-최종0223_진해자은수량산출서(단지내)_기초산출표-56-128-최종_설계서-1" xfId="779"/>
    <cellStyle name="_방동_추곡_율동자연공원내 휴게편의점 도색작업-할증-천정면적추가_내역서-최종0223_진해자은수량산출서(단지내)_기초산출표-56-128-최종_설계서-1_00-설계서,원가계산,내역서" xfId="780"/>
    <cellStyle name="_방동_추곡_율동자연공원내 휴게편의점 도색작업-할증-천정면적추가_내역서-최종0223_진해자은수량산출서(단지내)_설계서-1" xfId="781"/>
    <cellStyle name="_방동_추곡_율동자연공원내 휴게편의점 도색작업-할증-천정면적추가_내역서-최종0223_진해자은수량산출서(단지내)_설계서-1_00-설계서,원가계산,내역서" xfId="782"/>
    <cellStyle name="_방동_추곡_율동자연공원내 휴게편의점 도색작업-할증-천정면적추가_내역서-최종0223_진해자은수량산출서(단지내)_취합" xfId="783"/>
    <cellStyle name="_방동_추곡_율동자연공원내 휴게편의점 도색작업-할증-천정면적추가_내역서-최종0223_진해자은수량산출서(단지내)_취합_00-설계서,원가계산,내역서" xfId="784"/>
    <cellStyle name="_방동_추곡_율동자연공원내 휴게편의점 도색작업-할증-천정면적추가_내역서-최종0223_진해자은수량산출서(단지내)_취합_설계서-1" xfId="785"/>
    <cellStyle name="_방동_추곡_율동자연공원내 휴게편의점 도색작업-할증-천정면적추가_내역서-최종0223_진해자은수량산출서(단지내)_취합_설계서-1_00-설계서,원가계산,내역서" xfId="786"/>
    <cellStyle name="_방동_추곡_율동자연공원내 휴게편의점 도색작업-할증-천정면적추가_설계서-1" xfId="787"/>
    <cellStyle name="_방동_추곡_율동자연공원내 휴게편의점 도색작업-할증-천정면적추가_설계서-1_00-설계서,원가계산,내역서" xfId="788"/>
    <cellStyle name="_방동_추곡_율동자연공원내 휴게편의점 도색작업-할증-천정면적추가_진해자은수량산출서(단지내)" xfId="789"/>
    <cellStyle name="_방동_추곡_율동자연공원내 휴게편의점 도색작업-할증-천정면적추가_진해자은수량산출서(단지내)_00-설계서,원가계산,내역서" xfId="790"/>
    <cellStyle name="_방동_추곡_율동자연공원내 휴게편의점 도색작업-할증-천정면적추가_진해자은수량산출서(단지내)_기초산출표-56-128-최종" xfId="791"/>
    <cellStyle name="_방동_추곡_율동자연공원내 휴게편의점 도색작업-할증-천정면적추가_진해자은수량산출서(단지내)_기초산출표-56-128-최종_00-설계서,원가계산,내역서" xfId="792"/>
    <cellStyle name="_방동_추곡_율동자연공원내 휴게편의점 도색작업-할증-천정면적추가_진해자은수량산출서(단지내)_기초산출표-56-128-최종_설계서-1" xfId="793"/>
    <cellStyle name="_방동_추곡_율동자연공원내 휴게편의점 도색작업-할증-천정면적추가_진해자은수량산출서(단지내)_기초산출표-56-128-최종_설계서-1_00-설계서,원가계산,내역서" xfId="794"/>
    <cellStyle name="_방동_추곡_율동자연공원내 휴게편의점 도색작업-할증-천정면적추가_진해자은수량산출서(단지내)_설계서-1" xfId="795"/>
    <cellStyle name="_방동_추곡_율동자연공원내 휴게편의점 도색작업-할증-천정면적추가_진해자은수량산출서(단지내)_설계서-1_00-설계서,원가계산,내역서" xfId="796"/>
    <cellStyle name="_방동_추곡_율동자연공원내 휴게편의점 도색작업-할증-천정면적추가_진해자은수량산출서(단지내)_취합" xfId="797"/>
    <cellStyle name="_방동_추곡_율동자연공원내 휴게편의점 도색작업-할증-천정면적추가_진해자은수량산출서(단지내)_취합_00-설계서,원가계산,내역서" xfId="798"/>
    <cellStyle name="_방동_추곡_율동자연공원내 휴게편의점 도색작업-할증-천정면적추가_진해자은수량산출서(단지내)_취합_설계서-1" xfId="799"/>
    <cellStyle name="_방동_추곡_율동자연공원내 휴게편의점 도색작업-할증-천정면적추가_진해자은수량산출서(단지내)_취합_설계서-1_00-설계서,원가계산,내역서" xfId="800"/>
    <cellStyle name="_방동_추곡_이문동구간중랑천변녹화사업(수량산출서, 071127)-최종" xfId="801"/>
    <cellStyle name="_방동_추곡_이문동구간중랑천변녹화사업(수량산출서, 071127)-최종_00-설계서,원가계산,내역서" xfId="802"/>
    <cellStyle name="_방동_추곡_진해자은수량산출서(단지내)" xfId="803"/>
    <cellStyle name="_방동_추곡_진해자은수량산출서(단지내)_00-설계서,원가계산,내역서" xfId="804"/>
    <cellStyle name="_방동_추곡_진해자은수량산출서(단지내)_기초산출표-56-128-최종" xfId="805"/>
    <cellStyle name="_방동_추곡_진해자은수량산출서(단지내)_기초산출표-56-128-최종_00-설계서,원가계산,내역서" xfId="806"/>
    <cellStyle name="_방동_추곡_진해자은수량산출서(단지내)_기초산출표-56-128-최종_설계서-1" xfId="807"/>
    <cellStyle name="_방동_추곡_진해자은수량산출서(단지내)_기초산출표-56-128-최종_설계서-1_00-설계서,원가계산,내역서" xfId="808"/>
    <cellStyle name="_방동_추곡_진해자은수량산출서(단지내)_설계서-1" xfId="809"/>
    <cellStyle name="_방동_추곡_진해자은수량산출서(단지내)_설계서-1_00-설계서,원가계산,내역서" xfId="810"/>
    <cellStyle name="_방동_추곡_진해자은수량산출서(단지내)_취합" xfId="811"/>
    <cellStyle name="_방동_추곡_진해자은수량산출서(단지내)_취합_00-설계서,원가계산,내역서" xfId="812"/>
    <cellStyle name="_방동_추곡_진해자은수량산출서(단지내)_취합_설계서-1" xfId="813"/>
    <cellStyle name="_방동_추곡_진해자은수량산출서(단지내)_취합_설계서-1_00-설계서,원가계산,내역서" xfId="814"/>
    <cellStyle name="_방동_추곡_포장" xfId="815"/>
    <cellStyle name="_방동_추곡_포장_00-설계서,원가계산,내역서" xfId="816"/>
    <cellStyle name="_방동_추곡_포장_라멘교 토공" xfId="817"/>
    <cellStyle name="_방동_추곡_포장_라멘교 토공_00-설계서,원가계산,내역서" xfId="818"/>
    <cellStyle name="_방동_포장" xfId="819"/>
    <cellStyle name="_방동_포장_00-설계서,원가계산,내역서" xfId="820"/>
    <cellStyle name="_방동_포장_라멘교 토공" xfId="821"/>
    <cellStyle name="_방동_포장_라멘교 토공_00-설계서,원가계산,내역서" xfId="822"/>
    <cellStyle name="_백운초통신내역(최종)" xfId="823"/>
    <cellStyle name="_부대토목 예정공사비(2007.09.28)" xfId="824"/>
    <cellStyle name="_부평점정산내역" xfId="825"/>
    <cellStyle name="_분전반~1" xfId="826"/>
    <cellStyle name="_서천공주(견적서)" xfId="827"/>
    <cellStyle name="_서천공주(견적서)_2004견적내역서리스트" xfId="828"/>
    <cellStyle name="_석은희지압보도" xfId="829"/>
    <cellStyle name="_석은희지압보도_00-설계서,원가계산,내역서" xfId="830"/>
    <cellStyle name="_석은희지압보도_내역서-최종0223" xfId="831"/>
    <cellStyle name="_석은희지압보도_내역서-최종0223_00-설계서,원가계산,내역서" xfId="832"/>
    <cellStyle name="_석은희지압보도_내역서-최종0223_설계서-1" xfId="833"/>
    <cellStyle name="_석은희지압보도_내역서-최종0223_설계서-1_00-설계서,원가계산,내역서" xfId="834"/>
    <cellStyle name="_석은희지압보도_내역서-최종0223_진해자은수량산출서(단지내)" xfId="835"/>
    <cellStyle name="_석은희지압보도_내역서-최종0223_진해자은수량산출서(단지내)_00-설계서,원가계산,내역서" xfId="836"/>
    <cellStyle name="_석은희지압보도_내역서-최종0223_진해자은수량산출서(단지내)_기초산출표-56-128-최종" xfId="837"/>
    <cellStyle name="_석은희지압보도_내역서-최종0223_진해자은수량산출서(단지내)_기초산출표-56-128-최종_00-설계서,원가계산,내역서" xfId="838"/>
    <cellStyle name="_석은희지압보도_내역서-최종0223_진해자은수량산출서(단지내)_기초산출표-56-128-최종_설계서-1" xfId="839"/>
    <cellStyle name="_석은희지압보도_내역서-최종0223_진해자은수량산출서(단지내)_기초산출표-56-128-최종_설계서-1_00-설계서,원가계산,내역서" xfId="840"/>
    <cellStyle name="_석은희지압보도_내역서-최종0223_진해자은수량산출서(단지내)_설계서-1" xfId="841"/>
    <cellStyle name="_석은희지압보도_내역서-최종0223_진해자은수량산출서(단지내)_설계서-1_00-설계서,원가계산,내역서" xfId="842"/>
    <cellStyle name="_석은희지압보도_내역서-최종0223_진해자은수량산출서(단지내)_취합" xfId="843"/>
    <cellStyle name="_석은희지압보도_내역서-최종0223_진해자은수량산출서(단지내)_취합_00-설계서,원가계산,내역서" xfId="844"/>
    <cellStyle name="_석은희지압보도_내역서-최종0223_진해자은수량산출서(단지내)_취합_설계서-1" xfId="845"/>
    <cellStyle name="_석은희지압보도_내역서-최종0223_진해자은수량산출서(단지내)_취합_설계서-1_00-설계서,원가계산,내역서" xfId="846"/>
    <cellStyle name="_석은희지압보도_설계서-1" xfId="847"/>
    <cellStyle name="_석은희지압보도_설계서-1_00-설계서,원가계산,내역서" xfId="848"/>
    <cellStyle name="_석은희지압보도_진해자은수량산출서(단지내)" xfId="849"/>
    <cellStyle name="_석은희지압보도_진해자은수량산출서(단지내)_00-설계서,원가계산,내역서" xfId="850"/>
    <cellStyle name="_석은희지압보도_진해자은수량산출서(단지내)_기초산출표-56-128-최종" xfId="851"/>
    <cellStyle name="_석은희지압보도_진해자은수량산출서(단지내)_기초산출표-56-128-최종_00-설계서,원가계산,내역서" xfId="852"/>
    <cellStyle name="_석은희지압보도_진해자은수량산출서(단지내)_기초산출표-56-128-최종_설계서-1" xfId="853"/>
    <cellStyle name="_석은희지압보도_진해자은수량산출서(단지내)_기초산출표-56-128-최종_설계서-1_00-설계서,원가계산,내역서" xfId="854"/>
    <cellStyle name="_석은희지압보도_진해자은수량산출서(단지내)_설계서-1" xfId="855"/>
    <cellStyle name="_석은희지압보도_진해자은수량산출서(단지내)_설계서-1_00-설계서,원가계산,내역서" xfId="856"/>
    <cellStyle name="_석은희지압보도_진해자은수량산출서(단지내)_취합" xfId="857"/>
    <cellStyle name="_석은희지압보도_진해자은수량산출서(단지내)_취합_00-설계서,원가계산,내역서" xfId="858"/>
    <cellStyle name="_석은희지압보도_진해자은수량산출서(단지내)_취합_설계서-1" xfId="859"/>
    <cellStyle name="_석은희지압보도_진해자은수량산출서(단지내)_취합_설계서-1_00-설계서,원가계산,내역서" xfId="860"/>
    <cellStyle name="_설계변경" xfId="861"/>
    <cellStyle name="_실시계획인가 예정용역비" xfId="862"/>
    <cellStyle name="_실시설계 공내역서" xfId="863"/>
    <cellStyle name="_연안권내역서(토목부문내역서)" xfId="864"/>
    <cellStyle name="_연안권역특화거리조성을위한음악분수대설치" xfId="865"/>
    <cellStyle name="_연안권역특화거리조성을위한음악분수대설치R6(제출EBS)-설비,전기,관리실" xfId="867"/>
    <cellStyle name="_연안권역특화거리조성을위한음악분수대설치R6(제출EBS)-설비,전기,관리실_00-설계서,원가계산,내역서" xfId="868"/>
    <cellStyle name="_연안권역특화거리조성을위한음악분수대설치_00-설계서,원가계산,내역서" xfId="866"/>
    <cellStyle name="_영화관약전설비(수정)" xfId="869"/>
    <cellStyle name="_울산롯데호텔소방전기견적서" xfId="870"/>
    <cellStyle name="_울산백화점 발의내역(계약단가적용)" xfId="871"/>
    <cellStyle name="_울산점소방전기공사(발주)" xfId="872"/>
    <cellStyle name="_유성약전발의내역1" xfId="873"/>
    <cellStyle name="_응급ES" xfId="874"/>
    <cellStyle name="_응급RE" xfId="875"/>
    <cellStyle name="_일반전기1공구" xfId="876"/>
    <cellStyle name="_일반전기2공구" xfId="877"/>
    <cellStyle name="_일반전기정산" xfId="878"/>
    <cellStyle name="_전기" xfId="879"/>
    <cellStyle name="_전력간선" xfId="880"/>
    <cellStyle name="_정산세부내역(건설사정)" xfId="881"/>
    <cellStyle name="_준공-약전설비공사" xfId="882"/>
    <cellStyle name="_추곡" xfId="883"/>
    <cellStyle name="_추곡_00-설계서,원가계산,내역서" xfId="884"/>
    <cellStyle name="_추곡_내역서-최종0223" xfId="885"/>
    <cellStyle name="_추곡_내역서-최종0223_00-설계서,원가계산,내역서" xfId="886"/>
    <cellStyle name="_추곡_내역서-최종0223_설계서-1" xfId="887"/>
    <cellStyle name="_추곡_내역서-최종0223_설계서-1_00-설계서,원가계산,내역서" xfId="888"/>
    <cellStyle name="_추곡_내역서-최종0223_진해자은수량산출서(단지내)" xfId="889"/>
    <cellStyle name="_추곡_내역서-최종0223_진해자은수량산출서(단지내)_00-설계서,원가계산,내역서" xfId="890"/>
    <cellStyle name="_추곡_내역서-최종0223_진해자은수량산출서(단지내)_기초산출표-56-128-최종" xfId="891"/>
    <cellStyle name="_추곡_내역서-최종0223_진해자은수량산출서(단지내)_기초산출표-56-128-최종_00-설계서,원가계산,내역서" xfId="892"/>
    <cellStyle name="_추곡_내역서-최종0223_진해자은수량산출서(단지내)_기초산출표-56-128-최종_설계서-1" xfId="893"/>
    <cellStyle name="_추곡_내역서-최종0223_진해자은수량산출서(단지내)_기초산출표-56-128-최종_설계서-1_00-설계서,원가계산,내역서" xfId="894"/>
    <cellStyle name="_추곡_내역서-최종0223_진해자은수량산출서(단지내)_설계서-1" xfId="895"/>
    <cellStyle name="_추곡_내역서-최종0223_진해자은수량산출서(단지내)_설계서-1_00-설계서,원가계산,내역서" xfId="896"/>
    <cellStyle name="_추곡_내역서-최종0223_진해자은수량산출서(단지내)_취합" xfId="897"/>
    <cellStyle name="_추곡_내역서-최종0223_진해자은수량산출서(단지내)_취합_00-설계서,원가계산,내역서" xfId="898"/>
    <cellStyle name="_추곡_내역서-최종0223_진해자은수량산출서(단지내)_취합_설계서-1" xfId="899"/>
    <cellStyle name="_추곡_내역서-최종0223_진해자은수량산출서(단지내)_취합_설계서-1_00-설계서,원가계산,내역서" xfId="900"/>
    <cellStyle name="_추곡_라멘교 토공" xfId="901"/>
    <cellStyle name="_추곡_라멘교 토공_00-설계서,원가계산,내역서" xfId="902"/>
    <cellStyle name="_추곡_설계서-1" xfId="903"/>
    <cellStyle name="_추곡_설계서-1_00-설계서,원가계산,내역서" xfId="904"/>
    <cellStyle name="_추곡_율동자연공원내 화장실 보수 및 도색공사" xfId="905"/>
    <cellStyle name="_추곡_율동자연공원내 화장실 보수 및 도색공사_00-설계서,원가계산,내역서" xfId="906"/>
    <cellStyle name="_추곡_율동자연공원내 화장실 보수 및 도색공사_내역서-최종0223" xfId="907"/>
    <cellStyle name="_추곡_율동자연공원내 화장실 보수 및 도색공사_내역서-최종0223_00-설계서,원가계산,내역서" xfId="908"/>
    <cellStyle name="_추곡_율동자연공원내 화장실 보수 및 도색공사_내역서-최종0223_설계서-1" xfId="909"/>
    <cellStyle name="_추곡_율동자연공원내 화장실 보수 및 도색공사_내역서-최종0223_설계서-1_00-설계서,원가계산,내역서" xfId="910"/>
    <cellStyle name="_추곡_율동자연공원내 화장실 보수 및 도색공사_내역서-최종0223_진해자은수량산출서(단지내)" xfId="911"/>
    <cellStyle name="_추곡_율동자연공원내 화장실 보수 및 도색공사_내역서-최종0223_진해자은수량산출서(단지내)_00-설계서,원가계산,내역서" xfId="912"/>
    <cellStyle name="_추곡_율동자연공원내 화장실 보수 및 도색공사_내역서-최종0223_진해자은수량산출서(단지내)_기초산출표-56-128-최종" xfId="913"/>
    <cellStyle name="_추곡_율동자연공원내 화장실 보수 및 도색공사_내역서-최종0223_진해자은수량산출서(단지내)_기초산출표-56-128-최종_00-설계서,원가계산,내역서" xfId="914"/>
    <cellStyle name="_추곡_율동자연공원내 화장실 보수 및 도색공사_내역서-최종0223_진해자은수량산출서(단지내)_기초산출표-56-128-최종_설계서-1" xfId="915"/>
    <cellStyle name="_추곡_율동자연공원내 화장실 보수 및 도색공사_내역서-최종0223_진해자은수량산출서(단지내)_기초산출표-56-128-최종_설계서-1_00-설계서,원가계산,내역서" xfId="916"/>
    <cellStyle name="_추곡_율동자연공원내 화장실 보수 및 도색공사_내역서-최종0223_진해자은수량산출서(단지내)_설계서-1" xfId="917"/>
    <cellStyle name="_추곡_율동자연공원내 화장실 보수 및 도색공사_내역서-최종0223_진해자은수량산출서(단지내)_설계서-1_00-설계서,원가계산,내역서" xfId="918"/>
    <cellStyle name="_추곡_율동자연공원내 화장실 보수 및 도색공사_내역서-최종0223_진해자은수량산출서(단지내)_취합" xfId="919"/>
    <cellStyle name="_추곡_율동자연공원내 화장실 보수 및 도색공사_내역서-최종0223_진해자은수량산출서(단지내)_취합_00-설계서,원가계산,내역서" xfId="920"/>
    <cellStyle name="_추곡_율동자연공원내 화장실 보수 및 도색공사_내역서-최종0223_진해자은수량산출서(단지내)_취합_설계서-1" xfId="921"/>
    <cellStyle name="_추곡_율동자연공원내 화장실 보수 및 도색공사_내역서-최종0223_진해자은수량산출서(단지내)_취합_설계서-1_00-설계서,원가계산,내역서" xfId="922"/>
    <cellStyle name="_추곡_율동자연공원내 화장실 보수 및 도색공사_설계서-1" xfId="923"/>
    <cellStyle name="_추곡_율동자연공원내 화장실 보수 및 도색공사_설계서-1_00-설계서,원가계산,내역서" xfId="924"/>
    <cellStyle name="_추곡_율동자연공원내 화장실 보수 및 도색공사_진해자은수량산출서(단지내)" xfId="925"/>
    <cellStyle name="_추곡_율동자연공원내 화장실 보수 및 도색공사_진해자은수량산출서(단지내)_00-설계서,원가계산,내역서" xfId="926"/>
    <cellStyle name="_추곡_율동자연공원내 화장실 보수 및 도색공사_진해자은수량산출서(단지내)_기초산출표-56-128-최종" xfId="927"/>
    <cellStyle name="_추곡_율동자연공원내 화장실 보수 및 도색공사_진해자은수량산출서(단지내)_기초산출표-56-128-최종_00-설계서,원가계산,내역서" xfId="928"/>
    <cellStyle name="_추곡_율동자연공원내 화장실 보수 및 도색공사_진해자은수량산출서(단지내)_기초산출표-56-128-최종_설계서-1" xfId="929"/>
    <cellStyle name="_추곡_율동자연공원내 화장실 보수 및 도색공사_진해자은수량산출서(단지내)_기초산출표-56-128-최종_설계서-1_00-설계서,원가계산,내역서" xfId="930"/>
    <cellStyle name="_추곡_율동자연공원내 화장실 보수 및 도색공사_진해자은수량산출서(단지내)_설계서-1" xfId="931"/>
    <cellStyle name="_추곡_율동자연공원내 화장실 보수 및 도색공사_진해자은수량산출서(단지내)_설계서-1_00-설계서,원가계산,내역서" xfId="932"/>
    <cellStyle name="_추곡_율동자연공원내 화장실 보수 및 도색공사_진해자은수량산출서(단지내)_취합" xfId="933"/>
    <cellStyle name="_추곡_율동자연공원내 화장실 보수 및 도색공사_진해자은수량산출서(단지내)_취합_00-설계서,원가계산,내역서" xfId="934"/>
    <cellStyle name="_추곡_율동자연공원내 화장실 보수 및 도색공사_진해자은수량산출서(단지내)_취합_설계서-1" xfId="935"/>
    <cellStyle name="_추곡_율동자연공원내 화장실 보수 및 도색공사_진해자은수량산출서(단지내)_취합_설계서-1_00-설계서,원가계산,내역서" xfId="936"/>
    <cellStyle name="_추곡_율동자연공원내 휴게편의점 도색작업-할증-천정면적추가" xfId="937"/>
    <cellStyle name="_추곡_율동자연공원내 휴게편의점 도색작업-할증-천정면적추가_00-설계서,원가계산,내역서" xfId="938"/>
    <cellStyle name="_추곡_율동자연공원내 휴게편의점 도색작업-할증-천정면적추가_내역서-최종0223" xfId="939"/>
    <cellStyle name="_추곡_율동자연공원내 휴게편의점 도색작업-할증-천정면적추가_내역서-최종0223_00-설계서,원가계산,내역서" xfId="940"/>
    <cellStyle name="_추곡_율동자연공원내 휴게편의점 도색작업-할증-천정면적추가_내역서-최종0223_설계서-1" xfId="941"/>
    <cellStyle name="_추곡_율동자연공원내 휴게편의점 도색작업-할증-천정면적추가_내역서-최종0223_설계서-1_00-설계서,원가계산,내역서" xfId="942"/>
    <cellStyle name="_추곡_율동자연공원내 휴게편의점 도색작업-할증-천정면적추가_내역서-최종0223_진해자은수량산출서(단지내)" xfId="943"/>
    <cellStyle name="_추곡_율동자연공원내 휴게편의점 도색작업-할증-천정면적추가_내역서-최종0223_진해자은수량산출서(단지내)_00-설계서,원가계산,내역서" xfId="944"/>
    <cellStyle name="_추곡_율동자연공원내 휴게편의점 도색작업-할증-천정면적추가_내역서-최종0223_진해자은수량산출서(단지내)_기초산출표-56-128-최종" xfId="945"/>
    <cellStyle name="_추곡_율동자연공원내 휴게편의점 도색작업-할증-천정면적추가_내역서-최종0223_진해자은수량산출서(단지내)_기초산출표-56-128-최종_00-설계서,원가계산,내역서" xfId="946"/>
    <cellStyle name="_추곡_율동자연공원내 휴게편의점 도색작업-할증-천정면적추가_내역서-최종0223_진해자은수량산출서(단지내)_기초산출표-56-128-최종_설계서-1" xfId="947"/>
    <cellStyle name="_추곡_율동자연공원내 휴게편의점 도색작업-할증-천정면적추가_내역서-최종0223_진해자은수량산출서(단지내)_기초산출표-56-128-최종_설계서-1_00-설계서,원가계산,내역서" xfId="948"/>
    <cellStyle name="_추곡_율동자연공원내 휴게편의점 도색작업-할증-천정면적추가_내역서-최종0223_진해자은수량산출서(단지내)_설계서-1" xfId="949"/>
    <cellStyle name="_추곡_율동자연공원내 휴게편의점 도색작업-할증-천정면적추가_내역서-최종0223_진해자은수량산출서(단지내)_설계서-1_00-설계서,원가계산,내역서" xfId="950"/>
    <cellStyle name="_추곡_율동자연공원내 휴게편의점 도색작업-할증-천정면적추가_내역서-최종0223_진해자은수량산출서(단지내)_취합" xfId="951"/>
    <cellStyle name="_추곡_율동자연공원내 휴게편의점 도색작업-할증-천정면적추가_내역서-최종0223_진해자은수량산출서(단지내)_취합_00-설계서,원가계산,내역서" xfId="952"/>
    <cellStyle name="_추곡_율동자연공원내 휴게편의점 도색작업-할증-천정면적추가_내역서-최종0223_진해자은수량산출서(단지내)_취합_설계서-1" xfId="953"/>
    <cellStyle name="_추곡_율동자연공원내 휴게편의점 도색작업-할증-천정면적추가_내역서-최종0223_진해자은수량산출서(단지내)_취합_설계서-1_00-설계서,원가계산,내역서" xfId="954"/>
    <cellStyle name="_추곡_율동자연공원내 휴게편의점 도색작업-할증-천정면적추가_설계서-1" xfId="955"/>
    <cellStyle name="_추곡_율동자연공원내 휴게편의점 도색작업-할증-천정면적추가_설계서-1_00-설계서,원가계산,내역서" xfId="956"/>
    <cellStyle name="_추곡_율동자연공원내 휴게편의점 도색작업-할증-천정면적추가_진해자은수량산출서(단지내)" xfId="957"/>
    <cellStyle name="_추곡_율동자연공원내 휴게편의점 도색작업-할증-천정면적추가_진해자은수량산출서(단지내)_00-설계서,원가계산,내역서" xfId="958"/>
    <cellStyle name="_추곡_율동자연공원내 휴게편의점 도색작업-할증-천정면적추가_진해자은수량산출서(단지내)_기초산출표-56-128-최종" xfId="959"/>
    <cellStyle name="_추곡_율동자연공원내 휴게편의점 도색작업-할증-천정면적추가_진해자은수량산출서(단지내)_기초산출표-56-128-최종_00-설계서,원가계산,내역서" xfId="960"/>
    <cellStyle name="_추곡_율동자연공원내 휴게편의점 도색작업-할증-천정면적추가_진해자은수량산출서(단지내)_기초산출표-56-128-최종_설계서-1" xfId="961"/>
    <cellStyle name="_추곡_율동자연공원내 휴게편의점 도색작업-할증-천정면적추가_진해자은수량산출서(단지내)_기초산출표-56-128-최종_설계서-1_00-설계서,원가계산,내역서" xfId="962"/>
    <cellStyle name="_추곡_율동자연공원내 휴게편의점 도색작업-할증-천정면적추가_진해자은수량산출서(단지내)_설계서-1" xfId="963"/>
    <cellStyle name="_추곡_율동자연공원내 휴게편의점 도색작업-할증-천정면적추가_진해자은수량산출서(단지내)_설계서-1_00-설계서,원가계산,내역서" xfId="964"/>
    <cellStyle name="_추곡_율동자연공원내 휴게편의점 도색작업-할증-천정면적추가_진해자은수량산출서(단지내)_취합" xfId="965"/>
    <cellStyle name="_추곡_율동자연공원내 휴게편의점 도색작업-할증-천정면적추가_진해자은수량산출서(단지내)_취합_00-설계서,원가계산,내역서" xfId="966"/>
    <cellStyle name="_추곡_율동자연공원내 휴게편의점 도색작업-할증-천정면적추가_진해자은수량산출서(단지내)_취합_설계서-1" xfId="967"/>
    <cellStyle name="_추곡_율동자연공원내 휴게편의점 도색작업-할증-천정면적추가_진해자은수량산출서(단지내)_취합_설계서-1_00-설계서,원가계산,내역서" xfId="968"/>
    <cellStyle name="_추곡_이문동구간중랑천변녹화사업(수량산출서, 071127)-최종" xfId="969"/>
    <cellStyle name="_추곡_이문동구간중랑천변녹화사업(수량산출서, 071127)-최종_00-설계서,원가계산,내역서" xfId="970"/>
    <cellStyle name="_추곡_진해자은수량산출서(단지내)" xfId="971"/>
    <cellStyle name="_추곡_진해자은수량산출서(단지내)_00-설계서,원가계산,내역서" xfId="972"/>
    <cellStyle name="_추곡_진해자은수량산출서(단지내)_기초산출표-56-128-최종" xfId="973"/>
    <cellStyle name="_추곡_진해자은수량산출서(단지내)_기초산출표-56-128-최종_00-설계서,원가계산,내역서" xfId="974"/>
    <cellStyle name="_추곡_진해자은수량산출서(단지내)_기초산출표-56-128-최종_설계서-1" xfId="975"/>
    <cellStyle name="_추곡_진해자은수량산출서(단지내)_기초산출표-56-128-최종_설계서-1_00-설계서,원가계산,내역서" xfId="976"/>
    <cellStyle name="_추곡_진해자은수량산출서(단지내)_설계서-1" xfId="977"/>
    <cellStyle name="_추곡_진해자은수량산출서(단지내)_설계서-1_00-설계서,원가계산,내역서" xfId="978"/>
    <cellStyle name="_추곡_진해자은수량산출서(단지내)_취합" xfId="979"/>
    <cellStyle name="_추곡_진해자은수량산출서(단지내)_취합_00-설계서,원가계산,내역서" xfId="980"/>
    <cellStyle name="_추곡_진해자은수량산출서(단지내)_취합_설계서-1" xfId="981"/>
    <cellStyle name="_추곡_진해자은수량산출서(단지내)_취합_설계서-1_00-설계서,원가계산,내역서" xfId="982"/>
    <cellStyle name="_추곡_추곡" xfId="983"/>
    <cellStyle name="_추곡_추곡_00-설계서,원가계산,내역서" xfId="984"/>
    <cellStyle name="_추곡_추곡_내역서-최종0223" xfId="985"/>
    <cellStyle name="_추곡_추곡_내역서-최종0223_00-설계서,원가계산,내역서" xfId="986"/>
    <cellStyle name="_추곡_추곡_내역서-최종0223_설계서-1" xfId="987"/>
    <cellStyle name="_추곡_추곡_내역서-최종0223_설계서-1_00-설계서,원가계산,내역서" xfId="988"/>
    <cellStyle name="_추곡_추곡_내역서-최종0223_진해자은수량산출서(단지내)" xfId="989"/>
    <cellStyle name="_추곡_추곡_내역서-최종0223_진해자은수량산출서(단지내)_00-설계서,원가계산,내역서" xfId="990"/>
    <cellStyle name="_추곡_추곡_내역서-최종0223_진해자은수량산출서(단지내)_기초산출표-56-128-최종" xfId="991"/>
    <cellStyle name="_추곡_추곡_내역서-최종0223_진해자은수량산출서(단지내)_기초산출표-56-128-최종_00-설계서,원가계산,내역서" xfId="992"/>
    <cellStyle name="_추곡_추곡_내역서-최종0223_진해자은수량산출서(단지내)_기초산출표-56-128-최종_설계서-1" xfId="993"/>
    <cellStyle name="_추곡_추곡_내역서-최종0223_진해자은수량산출서(단지내)_기초산출표-56-128-최종_설계서-1_00-설계서,원가계산,내역서" xfId="994"/>
    <cellStyle name="_추곡_추곡_내역서-최종0223_진해자은수량산출서(단지내)_설계서-1" xfId="995"/>
    <cellStyle name="_추곡_추곡_내역서-최종0223_진해자은수량산출서(단지내)_설계서-1_00-설계서,원가계산,내역서" xfId="996"/>
    <cellStyle name="_추곡_추곡_내역서-최종0223_진해자은수량산출서(단지내)_취합" xfId="997"/>
    <cellStyle name="_추곡_추곡_내역서-최종0223_진해자은수량산출서(단지내)_취합_00-설계서,원가계산,내역서" xfId="998"/>
    <cellStyle name="_추곡_추곡_내역서-최종0223_진해자은수량산출서(단지내)_취합_설계서-1" xfId="999"/>
    <cellStyle name="_추곡_추곡_내역서-최종0223_진해자은수량산출서(단지내)_취합_설계서-1_00-설계서,원가계산,내역서" xfId="1000"/>
    <cellStyle name="_추곡_추곡_라멘교 토공" xfId="1001"/>
    <cellStyle name="_추곡_추곡_라멘교 토공_00-설계서,원가계산,내역서" xfId="1002"/>
    <cellStyle name="_추곡_추곡_설계서-1" xfId="1003"/>
    <cellStyle name="_추곡_추곡_설계서-1_00-설계서,원가계산,내역서" xfId="1004"/>
    <cellStyle name="_추곡_추곡_율동자연공원내 화장실 보수 및 도색공사" xfId="1005"/>
    <cellStyle name="_추곡_추곡_율동자연공원내 화장실 보수 및 도색공사_00-설계서,원가계산,내역서" xfId="1006"/>
    <cellStyle name="_추곡_추곡_율동자연공원내 화장실 보수 및 도색공사_내역서-최종0223" xfId="1007"/>
    <cellStyle name="_추곡_추곡_율동자연공원내 화장실 보수 및 도색공사_내역서-최종0223_00-설계서,원가계산,내역서" xfId="1008"/>
    <cellStyle name="_추곡_추곡_율동자연공원내 화장실 보수 및 도색공사_내역서-최종0223_설계서-1" xfId="1009"/>
    <cellStyle name="_추곡_추곡_율동자연공원내 화장실 보수 및 도색공사_내역서-최종0223_설계서-1_00-설계서,원가계산,내역서" xfId="1010"/>
    <cellStyle name="_추곡_추곡_율동자연공원내 화장실 보수 및 도색공사_내역서-최종0223_진해자은수량산출서(단지내)" xfId="1011"/>
    <cellStyle name="_추곡_추곡_율동자연공원내 화장실 보수 및 도색공사_내역서-최종0223_진해자은수량산출서(단지내)_00-설계서,원가계산,내역서" xfId="1012"/>
    <cellStyle name="_추곡_추곡_율동자연공원내 화장실 보수 및 도색공사_내역서-최종0223_진해자은수량산출서(단지내)_기초산출표-56-128-최종" xfId="1013"/>
    <cellStyle name="_추곡_추곡_율동자연공원내 화장실 보수 및 도색공사_내역서-최종0223_진해자은수량산출서(단지내)_기초산출표-56-128-최종_00-설계서,원가계산,내역서" xfId="1014"/>
    <cellStyle name="_추곡_추곡_율동자연공원내 화장실 보수 및 도색공사_내역서-최종0223_진해자은수량산출서(단지내)_기초산출표-56-128-최종_설계서-1" xfId="1015"/>
    <cellStyle name="_추곡_추곡_율동자연공원내 화장실 보수 및 도색공사_내역서-최종0223_진해자은수량산출서(단지내)_기초산출표-56-128-최종_설계서-1_00-설계서,원가계산,내역서" xfId="1016"/>
    <cellStyle name="_추곡_추곡_율동자연공원내 화장실 보수 및 도색공사_내역서-최종0223_진해자은수량산출서(단지내)_설계서-1" xfId="1017"/>
    <cellStyle name="_추곡_추곡_율동자연공원내 화장실 보수 및 도색공사_내역서-최종0223_진해자은수량산출서(단지내)_설계서-1_00-설계서,원가계산,내역서" xfId="1018"/>
    <cellStyle name="_추곡_추곡_율동자연공원내 화장실 보수 및 도색공사_내역서-최종0223_진해자은수량산출서(단지내)_취합" xfId="1019"/>
    <cellStyle name="_추곡_추곡_율동자연공원내 화장실 보수 및 도색공사_내역서-최종0223_진해자은수량산출서(단지내)_취합_00-설계서,원가계산,내역서" xfId="1020"/>
    <cellStyle name="_추곡_추곡_율동자연공원내 화장실 보수 및 도색공사_내역서-최종0223_진해자은수량산출서(단지내)_취합_설계서-1" xfId="1021"/>
    <cellStyle name="_추곡_추곡_율동자연공원내 화장실 보수 및 도색공사_내역서-최종0223_진해자은수량산출서(단지내)_취합_설계서-1_00-설계서,원가계산,내역서" xfId="1022"/>
    <cellStyle name="_추곡_추곡_율동자연공원내 화장실 보수 및 도색공사_설계서-1" xfId="1023"/>
    <cellStyle name="_추곡_추곡_율동자연공원내 화장실 보수 및 도색공사_설계서-1_00-설계서,원가계산,내역서" xfId="1024"/>
    <cellStyle name="_추곡_추곡_율동자연공원내 화장실 보수 및 도색공사_진해자은수량산출서(단지내)" xfId="1025"/>
    <cellStyle name="_추곡_추곡_율동자연공원내 화장실 보수 및 도색공사_진해자은수량산출서(단지내)_00-설계서,원가계산,내역서" xfId="1026"/>
    <cellStyle name="_추곡_추곡_율동자연공원내 화장실 보수 및 도색공사_진해자은수량산출서(단지내)_기초산출표-56-128-최종" xfId="1027"/>
    <cellStyle name="_추곡_추곡_율동자연공원내 화장실 보수 및 도색공사_진해자은수량산출서(단지내)_기초산출표-56-128-최종_00-설계서,원가계산,내역서" xfId="1028"/>
    <cellStyle name="_추곡_추곡_율동자연공원내 화장실 보수 및 도색공사_진해자은수량산출서(단지내)_기초산출표-56-128-최종_설계서-1" xfId="1029"/>
    <cellStyle name="_추곡_추곡_율동자연공원내 화장실 보수 및 도색공사_진해자은수량산출서(단지내)_기초산출표-56-128-최종_설계서-1_00-설계서,원가계산,내역서" xfId="1030"/>
    <cellStyle name="_추곡_추곡_율동자연공원내 화장실 보수 및 도색공사_진해자은수량산출서(단지내)_설계서-1" xfId="1031"/>
    <cellStyle name="_추곡_추곡_율동자연공원내 화장실 보수 및 도색공사_진해자은수량산출서(단지내)_설계서-1_00-설계서,원가계산,내역서" xfId="1032"/>
    <cellStyle name="_추곡_추곡_율동자연공원내 화장실 보수 및 도색공사_진해자은수량산출서(단지내)_취합" xfId="1033"/>
    <cellStyle name="_추곡_추곡_율동자연공원내 화장실 보수 및 도색공사_진해자은수량산출서(단지내)_취합_00-설계서,원가계산,내역서" xfId="1034"/>
    <cellStyle name="_추곡_추곡_율동자연공원내 화장실 보수 및 도색공사_진해자은수량산출서(단지내)_취합_설계서-1" xfId="1035"/>
    <cellStyle name="_추곡_추곡_율동자연공원내 화장실 보수 및 도색공사_진해자은수량산출서(단지내)_취합_설계서-1_00-설계서,원가계산,내역서" xfId="1036"/>
    <cellStyle name="_추곡_추곡_율동자연공원내 휴게편의점 도색작업-할증-천정면적추가" xfId="1037"/>
    <cellStyle name="_추곡_추곡_율동자연공원내 휴게편의점 도색작업-할증-천정면적추가_00-설계서,원가계산,내역서" xfId="1038"/>
    <cellStyle name="_추곡_추곡_율동자연공원내 휴게편의점 도색작업-할증-천정면적추가_내역서-최종0223" xfId="1039"/>
    <cellStyle name="_추곡_추곡_율동자연공원내 휴게편의점 도색작업-할증-천정면적추가_내역서-최종0223_00-설계서,원가계산,내역서" xfId="1040"/>
    <cellStyle name="_추곡_추곡_율동자연공원내 휴게편의점 도색작업-할증-천정면적추가_내역서-최종0223_설계서-1" xfId="1041"/>
    <cellStyle name="_추곡_추곡_율동자연공원내 휴게편의점 도색작업-할증-천정면적추가_내역서-최종0223_설계서-1_00-설계서,원가계산,내역서" xfId="1042"/>
    <cellStyle name="_추곡_추곡_율동자연공원내 휴게편의점 도색작업-할증-천정면적추가_내역서-최종0223_진해자은수량산출서(단지내)" xfId="1043"/>
    <cellStyle name="_추곡_추곡_율동자연공원내 휴게편의점 도색작업-할증-천정면적추가_내역서-최종0223_진해자은수량산출서(단지내)_00-설계서,원가계산,내역서" xfId="1044"/>
    <cellStyle name="_추곡_추곡_율동자연공원내 휴게편의점 도색작업-할증-천정면적추가_내역서-최종0223_진해자은수량산출서(단지내)_기초산출표-56-128-최종" xfId="1045"/>
    <cellStyle name="_추곡_추곡_율동자연공원내 휴게편의점 도색작업-할증-천정면적추가_내역서-최종0223_진해자은수량산출서(단지내)_기초산출표-56-128-최종_00-설계서,원가계산,내역서" xfId="1046"/>
    <cellStyle name="_추곡_추곡_율동자연공원내 휴게편의점 도색작업-할증-천정면적추가_내역서-최종0223_진해자은수량산출서(단지내)_기초산출표-56-128-최종_설계서-1" xfId="1047"/>
    <cellStyle name="_추곡_추곡_율동자연공원내 휴게편의점 도색작업-할증-천정면적추가_내역서-최종0223_진해자은수량산출서(단지내)_기초산출표-56-128-최종_설계서-1_00-설계서,원가계산,내역서" xfId="1048"/>
    <cellStyle name="_추곡_추곡_율동자연공원내 휴게편의점 도색작업-할증-천정면적추가_내역서-최종0223_진해자은수량산출서(단지내)_설계서-1" xfId="1049"/>
    <cellStyle name="_추곡_추곡_율동자연공원내 휴게편의점 도색작업-할증-천정면적추가_내역서-최종0223_진해자은수량산출서(단지내)_설계서-1_00-설계서,원가계산,내역서" xfId="1050"/>
    <cellStyle name="_추곡_추곡_율동자연공원내 휴게편의점 도색작업-할증-천정면적추가_내역서-최종0223_진해자은수량산출서(단지내)_취합" xfId="1051"/>
    <cellStyle name="_추곡_추곡_율동자연공원내 휴게편의점 도색작업-할증-천정면적추가_내역서-최종0223_진해자은수량산출서(단지내)_취합_00-설계서,원가계산,내역서" xfId="1052"/>
    <cellStyle name="_추곡_추곡_율동자연공원내 휴게편의점 도색작업-할증-천정면적추가_내역서-최종0223_진해자은수량산출서(단지내)_취합_설계서-1" xfId="1053"/>
    <cellStyle name="_추곡_추곡_율동자연공원내 휴게편의점 도색작업-할증-천정면적추가_내역서-최종0223_진해자은수량산출서(단지내)_취합_설계서-1_00-설계서,원가계산,내역서" xfId="1054"/>
    <cellStyle name="_추곡_추곡_율동자연공원내 휴게편의점 도색작업-할증-천정면적추가_설계서-1" xfId="1055"/>
    <cellStyle name="_추곡_추곡_율동자연공원내 휴게편의점 도색작업-할증-천정면적추가_설계서-1_00-설계서,원가계산,내역서" xfId="1056"/>
    <cellStyle name="_추곡_추곡_율동자연공원내 휴게편의점 도색작업-할증-천정면적추가_진해자은수량산출서(단지내)" xfId="1057"/>
    <cellStyle name="_추곡_추곡_율동자연공원내 휴게편의점 도색작업-할증-천정면적추가_진해자은수량산출서(단지내)_00-설계서,원가계산,내역서" xfId="1058"/>
    <cellStyle name="_추곡_추곡_율동자연공원내 휴게편의점 도색작업-할증-천정면적추가_진해자은수량산출서(단지내)_기초산출표-56-128-최종" xfId="1059"/>
    <cellStyle name="_추곡_추곡_율동자연공원내 휴게편의점 도색작업-할증-천정면적추가_진해자은수량산출서(단지내)_기초산출표-56-128-최종_00-설계서,원가계산,내역서" xfId="1060"/>
    <cellStyle name="_추곡_추곡_율동자연공원내 휴게편의점 도색작업-할증-천정면적추가_진해자은수량산출서(단지내)_기초산출표-56-128-최종_설계서-1" xfId="1061"/>
    <cellStyle name="_추곡_추곡_율동자연공원내 휴게편의점 도색작업-할증-천정면적추가_진해자은수량산출서(단지내)_기초산출표-56-128-최종_설계서-1_00-설계서,원가계산,내역서" xfId="1062"/>
    <cellStyle name="_추곡_추곡_율동자연공원내 휴게편의점 도색작업-할증-천정면적추가_진해자은수량산출서(단지내)_설계서-1" xfId="1063"/>
    <cellStyle name="_추곡_추곡_율동자연공원내 휴게편의점 도색작업-할증-천정면적추가_진해자은수량산출서(단지내)_설계서-1_00-설계서,원가계산,내역서" xfId="1064"/>
    <cellStyle name="_추곡_추곡_율동자연공원내 휴게편의점 도색작업-할증-천정면적추가_진해자은수량산출서(단지내)_취합" xfId="1065"/>
    <cellStyle name="_추곡_추곡_율동자연공원내 휴게편의점 도색작업-할증-천정면적추가_진해자은수량산출서(단지내)_취합_00-설계서,원가계산,내역서" xfId="1066"/>
    <cellStyle name="_추곡_추곡_율동자연공원내 휴게편의점 도색작업-할증-천정면적추가_진해자은수량산출서(단지내)_취합_설계서-1" xfId="1067"/>
    <cellStyle name="_추곡_추곡_율동자연공원내 휴게편의점 도색작업-할증-천정면적추가_진해자은수량산출서(단지내)_취합_설계서-1_00-설계서,원가계산,내역서" xfId="1068"/>
    <cellStyle name="_추곡_추곡_이문동구간중랑천변녹화사업(수량산출서, 071127)-최종" xfId="1069"/>
    <cellStyle name="_추곡_추곡_이문동구간중랑천변녹화사업(수량산출서, 071127)-최종_00-설계서,원가계산,내역서" xfId="1070"/>
    <cellStyle name="_추곡_추곡_진해자은수량산출서(단지내)" xfId="1071"/>
    <cellStyle name="_추곡_추곡_진해자은수량산출서(단지내)_00-설계서,원가계산,내역서" xfId="1072"/>
    <cellStyle name="_추곡_추곡_진해자은수량산출서(단지내)_기초산출표-56-128-최종" xfId="1073"/>
    <cellStyle name="_추곡_추곡_진해자은수량산출서(단지내)_기초산출표-56-128-최종_00-설계서,원가계산,내역서" xfId="1074"/>
    <cellStyle name="_추곡_추곡_진해자은수량산출서(단지내)_기초산출표-56-128-최종_설계서-1" xfId="1075"/>
    <cellStyle name="_추곡_추곡_진해자은수량산출서(단지내)_기초산출표-56-128-최종_설계서-1_00-설계서,원가계산,내역서" xfId="1076"/>
    <cellStyle name="_추곡_추곡_진해자은수량산출서(단지내)_설계서-1" xfId="1077"/>
    <cellStyle name="_추곡_추곡_진해자은수량산출서(단지내)_설계서-1_00-설계서,원가계산,내역서" xfId="1078"/>
    <cellStyle name="_추곡_추곡_진해자은수량산출서(단지내)_취합" xfId="1079"/>
    <cellStyle name="_추곡_추곡_진해자은수량산출서(단지내)_취합_00-설계서,원가계산,내역서" xfId="1080"/>
    <cellStyle name="_추곡_추곡_진해자은수량산출서(단지내)_취합_설계서-1" xfId="1081"/>
    <cellStyle name="_추곡_추곡_진해자은수량산출서(단지내)_취합_설계서-1_00-설계서,원가계산,내역서" xfId="1082"/>
    <cellStyle name="_추곡_추곡_포장" xfId="1083"/>
    <cellStyle name="_추곡_추곡_포장_00-설계서,원가계산,내역서" xfId="1084"/>
    <cellStyle name="_추곡_추곡_포장_라멘교 토공" xfId="1085"/>
    <cellStyle name="_추곡_추곡_포장_라멘교 토공_00-설계서,원가계산,내역서" xfId="1086"/>
    <cellStyle name="_추곡_포장" xfId="1087"/>
    <cellStyle name="_추곡_포장_00-설계서,원가계산,내역서" xfId="1088"/>
    <cellStyle name="_추곡_포장_라멘교 토공" xfId="1089"/>
    <cellStyle name="_추곡_포장_라멘교 토공_00-설계서,원가계산,내역서" xfId="1090"/>
    <cellStyle name="_포장" xfId="1091"/>
    <cellStyle name="_포장_00-설계서,원가계산,내역서" xfId="1092"/>
    <cellStyle name="_포장_라멘교 토공" xfId="1093"/>
    <cellStyle name="_포장_라멘교 토공_00-설계서,원가계산,내역서" xfId="1094"/>
    <cellStyle name="_호수SS내역서040920" xfId="1095"/>
    <cellStyle name="_호텔약전전기공사(1공구)-발의" xfId="1096"/>
    <cellStyle name="_홍보관수량참고(특성화설계서)" xfId="1097"/>
    <cellStyle name="args.style" xfId="2658"/>
    <cellStyle name="category" xfId="2677"/>
    <cellStyle name="comma zerodec" xfId="2679"/>
    <cellStyle name="currency-$" xfId="2686"/>
    <cellStyle name="kg" xfId="2715"/>
    <cellStyle name="mma_CASH &amp; DSO" xfId="2722"/>
    <cellStyle name="no dec" xfId="2728"/>
    <cellStyle name="oft Excel]_x000d__x000a_Comment=The open=/f lines load custom functions into the Paste Function list._x000d__x000a_Maximized=3_x000d__x000a_AutoFormat=" xfId="2733"/>
    <cellStyle name="oh" xfId="2734"/>
    <cellStyle name="per.style" xfId="2735"/>
    <cellStyle name="pricing" xfId="2737"/>
    <cellStyle name="s]_x000d__x000a_run=c:\Hedgehog\app31.exe_x000d__x000a_spooler=yes_x000d__x000a_load=_x000d__x000a_run=_x000d__x000a_Beep=yes_x000d__x000a_NullPort=None_x000d__x000a_BorderWidth=3_x000d__x000a_CursorBlinkRate=530_x000d__x000a_D" xfId="2740"/>
    <cellStyle name="sh" xfId="2741"/>
    <cellStyle name="ssh" xfId="2742"/>
    <cellStyle name="subhead" xfId="2745"/>
    <cellStyle name="title [1]" xfId="2748"/>
    <cellStyle name="title [2]" xfId="2749"/>
    <cellStyle name="ÊÝ [0.00]_Region Orders (2)" xfId="1106"/>
    <cellStyle name="ÊÝ_Region Orders (2)" xfId="1107"/>
    <cellStyle name="W_Pacific Region P&amp;L" xfId="1108"/>
    <cellStyle name="¤@?e_TEST-1 " xfId="1100"/>
    <cellStyle name="ÄÞ¸¶ [0]_¸ðÇü¸·" xfId="2660"/>
    <cellStyle name="ÄÞ¸¶ [0]_Á¤»ê¼­°©Áö" xfId="2662"/>
    <cellStyle name="ÄÞ¸¶_¸ðÇü¸·" xfId="2664"/>
    <cellStyle name="ÄÞ¸¶_Á¤»ê¼­°©Áö" xfId="2666"/>
    <cellStyle name="ÅëÈ­ [0]_¸ðÇü¸·" xfId="2646"/>
    <cellStyle name="ÅëÈ­ [0]_Á¤»ê¼­°©Áö" xfId="2648"/>
    <cellStyle name="ÅëÈ­_¸ðÇü¸·" xfId="2651"/>
    <cellStyle name="ÅëÈ­_Á¤»ê¼­°©Áö" xfId="2653"/>
    <cellStyle name="Ç¥ÁØ_°­´ç (2)" xfId="2672"/>
    <cellStyle name="Ç¥ÁØ_»óºÎ¼ö·®Áý°è " xfId="2670"/>
    <cellStyle name="Ç¥ÁØ_¼öÀÍ¼º " xfId="2674"/>
    <cellStyle name="Œ…?æ맖?e [0.00]_laroux" xfId="2731"/>
    <cellStyle name="Œ…?æ맖?e_laroux" xfId="2732"/>
    <cellStyle name="μU¿¡ ¿A´A CIAIÆU¸μAⓒ" xfId="2754"/>
    <cellStyle name="’E‰Y [0.00]_laroux" xfId="1098"/>
    <cellStyle name="’E‰Y_laroux" xfId="1099"/>
    <cellStyle name="△ [0]" xfId="1103"/>
    <cellStyle name="△ []" xfId="1102"/>
    <cellStyle name="△백분율" xfId="1104"/>
    <cellStyle name="△콤마" xfId="1105"/>
    <cellStyle name="標準_Akia(F）-8" xfId="3107"/>
    <cellStyle name="가운데" xfId="2755"/>
    <cellStyle name="고정소숫점" xfId="2756"/>
    <cellStyle name="고정출력1" xfId="2757"/>
    <cellStyle name="고정출력2" xfId="2758"/>
    <cellStyle name="공사원가계산서(조경)" xfId="2759"/>
    <cellStyle name="공종" xfId="2760"/>
    <cellStyle name="괘선" xfId="2761"/>
    <cellStyle name="괘선1" xfId="2762"/>
    <cellStyle name="기계" xfId="2763"/>
    <cellStyle name="기본숫자" xfId="2764"/>
    <cellStyle name="날짜" xfId="2765"/>
    <cellStyle name="내역서" xfId="2766"/>
    <cellStyle name="네모제목" xfId="2767"/>
    <cellStyle name="달러" xfId="2768"/>
    <cellStyle name="뒤에 오는 하이퍼링크" xfId="2769"/>
    <cellStyle name="똿뗦먛귟 [0.00]_laroux" xfId="2770"/>
    <cellStyle name="똿뗦먛귟_laroux" xfId="2771"/>
    <cellStyle name="마이너스키" xfId="2772"/>
    <cellStyle name="믅됞 [0.00]_laroux" xfId="2773"/>
    <cellStyle name="믅됞_laroux" xfId="2774"/>
    <cellStyle name="배분" xfId="2775"/>
    <cellStyle name="백" xfId="2776"/>
    <cellStyle name="백_22bl3lot수량산출" xfId="2777"/>
    <cellStyle name="백_22수량산출서(총괄)" xfId="2778"/>
    <cellStyle name="백분율 [0]" xfId="2781"/>
    <cellStyle name="백분율 [2]" xfId="2782"/>
    <cellStyle name="백분율 [△1]" xfId="2779"/>
    <cellStyle name="백분율 [△2]" xfId="2780"/>
    <cellStyle name="백분율［△1］" xfId="2783"/>
    <cellStyle name="백분율［△2］" xfId="2784"/>
    <cellStyle name="병합 후 가운데 맞춤" xfId="2785"/>
    <cellStyle name="병합 후 가운데 정열" xfId="2786"/>
    <cellStyle name="분수" xfId="2787"/>
    <cellStyle name="뷭?" xfId="2788"/>
    <cellStyle name="빨간색" xfId="2789"/>
    <cellStyle name="선택영역의 가운데로" xfId="2790"/>
    <cellStyle name="설계서" xfId="2791"/>
    <cellStyle name="수량1" xfId="2792"/>
    <cellStyle name="수목명" xfId="2793"/>
    <cellStyle name="숫자(R)" xfId="2794"/>
    <cellStyle name="쉼표 [0] 2" xfId="5"/>
    <cellStyle name="쉼표 [0] 2 2" xfId="2795"/>
    <cellStyle name="쉼표 [0] 2 3" xfId="2796"/>
    <cellStyle name="쉼표 [0] 3" xfId="2797"/>
    <cellStyle name="쉼표 [0] 3 2" xfId="2798"/>
    <cellStyle name="쉼표 [0] 3 3" xfId="2799"/>
    <cellStyle name="쉼표 [0] 4" xfId="2800"/>
    <cellStyle name="스타일 1" xfId="2801"/>
    <cellStyle name="스타일 1 2" xfId="2802"/>
    <cellStyle name="스타일 10" xfId="2803"/>
    <cellStyle name="스타일 100" xfId="2804"/>
    <cellStyle name="스타일 101" xfId="2805"/>
    <cellStyle name="스타일 102" xfId="2806"/>
    <cellStyle name="스타일 103" xfId="2807"/>
    <cellStyle name="스타일 104" xfId="2808"/>
    <cellStyle name="스타일 105" xfId="2809"/>
    <cellStyle name="스타일 106" xfId="2810"/>
    <cellStyle name="스타일 107" xfId="2811"/>
    <cellStyle name="스타일 108" xfId="2812"/>
    <cellStyle name="스타일 109" xfId="2813"/>
    <cellStyle name="스타일 11" xfId="2814"/>
    <cellStyle name="스타일 110" xfId="2815"/>
    <cellStyle name="스타일 111" xfId="2816"/>
    <cellStyle name="스타일 112" xfId="2817"/>
    <cellStyle name="스타일 113" xfId="2818"/>
    <cellStyle name="스타일 114" xfId="2819"/>
    <cellStyle name="스타일 115" xfId="2820"/>
    <cellStyle name="스타일 116" xfId="2821"/>
    <cellStyle name="스타일 117" xfId="2822"/>
    <cellStyle name="스타일 118" xfId="2823"/>
    <cellStyle name="스타일 119" xfId="2824"/>
    <cellStyle name="스타일 12" xfId="2825"/>
    <cellStyle name="스타일 120" xfId="2826"/>
    <cellStyle name="스타일 121" xfId="2827"/>
    <cellStyle name="스타일 122" xfId="2828"/>
    <cellStyle name="스타일 123" xfId="2829"/>
    <cellStyle name="스타일 124" xfId="2830"/>
    <cellStyle name="스타일 125" xfId="2831"/>
    <cellStyle name="스타일 126" xfId="2832"/>
    <cellStyle name="스타일 127" xfId="2833"/>
    <cellStyle name="스타일 128" xfId="2834"/>
    <cellStyle name="스타일 129" xfId="2835"/>
    <cellStyle name="스타일 13" xfId="2836"/>
    <cellStyle name="스타일 130" xfId="2837"/>
    <cellStyle name="스타일 131" xfId="2838"/>
    <cellStyle name="스타일 132" xfId="2839"/>
    <cellStyle name="스타일 133" xfId="2840"/>
    <cellStyle name="스타일 134" xfId="2841"/>
    <cellStyle name="스타일 135" xfId="2842"/>
    <cellStyle name="스타일 136" xfId="2843"/>
    <cellStyle name="스타일 137" xfId="2844"/>
    <cellStyle name="스타일 138" xfId="2845"/>
    <cellStyle name="스타일 139" xfId="2846"/>
    <cellStyle name="스타일 14" xfId="2847"/>
    <cellStyle name="스타일 140" xfId="2848"/>
    <cellStyle name="스타일 141" xfId="2849"/>
    <cellStyle name="스타일 142" xfId="2850"/>
    <cellStyle name="스타일 143" xfId="2851"/>
    <cellStyle name="스타일 144" xfId="2852"/>
    <cellStyle name="스타일 145" xfId="2853"/>
    <cellStyle name="스타일 146" xfId="2854"/>
    <cellStyle name="스타일 147" xfId="2855"/>
    <cellStyle name="스타일 148" xfId="2856"/>
    <cellStyle name="스타일 149" xfId="2857"/>
    <cellStyle name="스타일 15" xfId="2858"/>
    <cellStyle name="스타일 150" xfId="2859"/>
    <cellStyle name="스타일 151" xfId="2860"/>
    <cellStyle name="스타일 152" xfId="2861"/>
    <cellStyle name="스타일 153" xfId="2862"/>
    <cellStyle name="스타일 154" xfId="2863"/>
    <cellStyle name="스타일 155" xfId="2864"/>
    <cellStyle name="스타일 156" xfId="2865"/>
    <cellStyle name="스타일 157" xfId="2866"/>
    <cellStyle name="스타일 158" xfId="2867"/>
    <cellStyle name="스타일 159" xfId="2868"/>
    <cellStyle name="스타일 16" xfId="2869"/>
    <cellStyle name="스타일 160" xfId="2870"/>
    <cellStyle name="스타일 161" xfId="2871"/>
    <cellStyle name="스타일 162" xfId="2872"/>
    <cellStyle name="스타일 163" xfId="2873"/>
    <cellStyle name="스타일 164" xfId="2874"/>
    <cellStyle name="스타일 165" xfId="2875"/>
    <cellStyle name="스타일 166" xfId="2876"/>
    <cellStyle name="스타일 167" xfId="2877"/>
    <cellStyle name="스타일 168" xfId="2878"/>
    <cellStyle name="스타일 169" xfId="2879"/>
    <cellStyle name="스타일 17" xfId="2880"/>
    <cellStyle name="스타일 170" xfId="2881"/>
    <cellStyle name="스타일 171" xfId="2882"/>
    <cellStyle name="스타일 172" xfId="2883"/>
    <cellStyle name="스타일 173" xfId="2884"/>
    <cellStyle name="스타일 174" xfId="2885"/>
    <cellStyle name="스타일 175" xfId="2886"/>
    <cellStyle name="스타일 176" xfId="2887"/>
    <cellStyle name="스타일 177" xfId="2888"/>
    <cellStyle name="스타일 178" xfId="2889"/>
    <cellStyle name="스타일 179" xfId="2890"/>
    <cellStyle name="스타일 18" xfId="2891"/>
    <cellStyle name="스타일 180" xfId="2892"/>
    <cellStyle name="스타일 181" xfId="2893"/>
    <cellStyle name="스타일 182" xfId="2894"/>
    <cellStyle name="스타일 183" xfId="2895"/>
    <cellStyle name="스타일 184" xfId="2896"/>
    <cellStyle name="스타일 185" xfId="2897"/>
    <cellStyle name="스타일 186" xfId="2898"/>
    <cellStyle name="스타일 187" xfId="2899"/>
    <cellStyle name="스타일 188" xfId="2900"/>
    <cellStyle name="스타일 189" xfId="2901"/>
    <cellStyle name="스타일 19" xfId="2902"/>
    <cellStyle name="스타일 190" xfId="2903"/>
    <cellStyle name="스타일 191" xfId="2904"/>
    <cellStyle name="스타일 192" xfId="2905"/>
    <cellStyle name="스타일 193" xfId="2906"/>
    <cellStyle name="스타일 194" xfId="2907"/>
    <cellStyle name="스타일 195" xfId="2908"/>
    <cellStyle name="스타일 196" xfId="2909"/>
    <cellStyle name="스타일 197" xfId="2910"/>
    <cellStyle name="스타일 198" xfId="2911"/>
    <cellStyle name="스타일 199" xfId="2912"/>
    <cellStyle name="스타일 2" xfId="2913"/>
    <cellStyle name="스타일 20" xfId="2914"/>
    <cellStyle name="스타일 200" xfId="2915"/>
    <cellStyle name="스타일 201" xfId="2916"/>
    <cellStyle name="스타일 202" xfId="2917"/>
    <cellStyle name="스타일 203" xfId="2918"/>
    <cellStyle name="스타일 204" xfId="2919"/>
    <cellStyle name="스타일 205" xfId="2920"/>
    <cellStyle name="스타일 206" xfId="2921"/>
    <cellStyle name="스타일 207" xfId="2922"/>
    <cellStyle name="스타일 208" xfId="2923"/>
    <cellStyle name="스타일 209" xfId="2924"/>
    <cellStyle name="스타일 21" xfId="2925"/>
    <cellStyle name="스타일 210" xfId="2926"/>
    <cellStyle name="스타일 211" xfId="2927"/>
    <cellStyle name="스타일 212" xfId="2928"/>
    <cellStyle name="스타일 213" xfId="2929"/>
    <cellStyle name="스타일 214" xfId="2930"/>
    <cellStyle name="스타일 215" xfId="2931"/>
    <cellStyle name="스타일 216" xfId="2932"/>
    <cellStyle name="스타일 217" xfId="2933"/>
    <cellStyle name="스타일 218" xfId="2934"/>
    <cellStyle name="스타일 219" xfId="2935"/>
    <cellStyle name="스타일 22" xfId="2936"/>
    <cellStyle name="스타일 220" xfId="2937"/>
    <cellStyle name="스타일 221" xfId="2938"/>
    <cellStyle name="스타일 222" xfId="2939"/>
    <cellStyle name="스타일 223" xfId="2940"/>
    <cellStyle name="스타일 224" xfId="2941"/>
    <cellStyle name="스타일 225" xfId="2942"/>
    <cellStyle name="스타일 226" xfId="2943"/>
    <cellStyle name="스타일 227" xfId="2944"/>
    <cellStyle name="스타일 228" xfId="2945"/>
    <cellStyle name="스타일 229" xfId="2946"/>
    <cellStyle name="스타일 23" xfId="2947"/>
    <cellStyle name="스타일 230" xfId="2948"/>
    <cellStyle name="스타일 231" xfId="2949"/>
    <cellStyle name="스타일 232" xfId="2950"/>
    <cellStyle name="스타일 233" xfId="2951"/>
    <cellStyle name="스타일 234" xfId="2952"/>
    <cellStyle name="스타일 235" xfId="2953"/>
    <cellStyle name="스타일 236" xfId="2954"/>
    <cellStyle name="스타일 237" xfId="2955"/>
    <cellStyle name="스타일 238" xfId="2956"/>
    <cellStyle name="스타일 239" xfId="2957"/>
    <cellStyle name="스타일 24" xfId="2958"/>
    <cellStyle name="스타일 240" xfId="2959"/>
    <cellStyle name="스타일 241" xfId="2960"/>
    <cellStyle name="스타일 242" xfId="2961"/>
    <cellStyle name="스타일 243" xfId="2962"/>
    <cellStyle name="스타일 244" xfId="2963"/>
    <cellStyle name="스타일 245" xfId="2964"/>
    <cellStyle name="스타일 246" xfId="2965"/>
    <cellStyle name="스타일 247" xfId="2966"/>
    <cellStyle name="스타일 248" xfId="2967"/>
    <cellStyle name="스타일 249" xfId="2968"/>
    <cellStyle name="스타일 25" xfId="2969"/>
    <cellStyle name="스타일 250" xfId="2970"/>
    <cellStyle name="스타일 251" xfId="2971"/>
    <cellStyle name="스타일 252" xfId="2972"/>
    <cellStyle name="스타일 253" xfId="2973"/>
    <cellStyle name="스타일 254" xfId="2974"/>
    <cellStyle name="스타일 255" xfId="2975"/>
    <cellStyle name="스타일 26" xfId="2976"/>
    <cellStyle name="스타일 27" xfId="2977"/>
    <cellStyle name="스타일 28" xfId="2978"/>
    <cellStyle name="스타일 29" xfId="2979"/>
    <cellStyle name="스타일 3" xfId="2980"/>
    <cellStyle name="스타일 30" xfId="2981"/>
    <cellStyle name="스타일 31" xfId="2982"/>
    <cellStyle name="스타일 32" xfId="2983"/>
    <cellStyle name="스타일 33" xfId="2984"/>
    <cellStyle name="스타일 34" xfId="2985"/>
    <cellStyle name="스타일 35" xfId="2986"/>
    <cellStyle name="스타일 36" xfId="2987"/>
    <cellStyle name="스타일 37" xfId="2988"/>
    <cellStyle name="스타일 38" xfId="2989"/>
    <cellStyle name="스타일 39" xfId="2990"/>
    <cellStyle name="스타일 4" xfId="2991"/>
    <cellStyle name="스타일 40" xfId="2992"/>
    <cellStyle name="스타일 41" xfId="2993"/>
    <cellStyle name="스타일 42" xfId="2994"/>
    <cellStyle name="스타일 43" xfId="2995"/>
    <cellStyle name="스타일 44" xfId="2996"/>
    <cellStyle name="스타일 45" xfId="2997"/>
    <cellStyle name="스타일 46" xfId="2998"/>
    <cellStyle name="스타일 47" xfId="2999"/>
    <cellStyle name="스타일 48" xfId="3000"/>
    <cellStyle name="스타일 49" xfId="3001"/>
    <cellStyle name="스타일 5" xfId="3002"/>
    <cellStyle name="스타일 50" xfId="3003"/>
    <cellStyle name="스타일 51" xfId="3004"/>
    <cellStyle name="스타일 52" xfId="3005"/>
    <cellStyle name="스타일 53" xfId="3006"/>
    <cellStyle name="스타일 54" xfId="3007"/>
    <cellStyle name="스타일 55" xfId="3008"/>
    <cellStyle name="스타일 56" xfId="3009"/>
    <cellStyle name="스타일 57" xfId="3010"/>
    <cellStyle name="스타일 58" xfId="3011"/>
    <cellStyle name="스타일 59" xfId="3012"/>
    <cellStyle name="스타일 6" xfId="3013"/>
    <cellStyle name="스타일 60" xfId="3014"/>
    <cellStyle name="스타일 61" xfId="3015"/>
    <cellStyle name="스타일 62" xfId="3016"/>
    <cellStyle name="스타일 63" xfId="3017"/>
    <cellStyle name="스타일 64" xfId="3018"/>
    <cellStyle name="스타일 65" xfId="3019"/>
    <cellStyle name="스타일 66" xfId="3020"/>
    <cellStyle name="스타일 67" xfId="3021"/>
    <cellStyle name="스타일 68" xfId="3022"/>
    <cellStyle name="스타일 69" xfId="3023"/>
    <cellStyle name="스타일 7" xfId="3024"/>
    <cellStyle name="스타일 70" xfId="3025"/>
    <cellStyle name="스타일 71" xfId="3026"/>
    <cellStyle name="스타일 72" xfId="3027"/>
    <cellStyle name="스타일 73" xfId="3028"/>
    <cellStyle name="스타일 74" xfId="3029"/>
    <cellStyle name="스타일 75" xfId="3030"/>
    <cellStyle name="스타일 76" xfId="3031"/>
    <cellStyle name="스타일 77" xfId="3032"/>
    <cellStyle name="스타일 78" xfId="3033"/>
    <cellStyle name="스타일 79" xfId="3034"/>
    <cellStyle name="스타일 8" xfId="3035"/>
    <cellStyle name="스타일 80" xfId="3036"/>
    <cellStyle name="스타일 81" xfId="3037"/>
    <cellStyle name="스타일 82" xfId="3038"/>
    <cellStyle name="스타일 83" xfId="3039"/>
    <cellStyle name="스타일 84" xfId="3040"/>
    <cellStyle name="스타일 85" xfId="3041"/>
    <cellStyle name="스타일 86" xfId="3042"/>
    <cellStyle name="스타일 87" xfId="3043"/>
    <cellStyle name="스타일 88" xfId="3044"/>
    <cellStyle name="스타일 89" xfId="3045"/>
    <cellStyle name="스타일 9" xfId="3046"/>
    <cellStyle name="스타일 90" xfId="3047"/>
    <cellStyle name="스타일 91" xfId="3048"/>
    <cellStyle name="스타일 92" xfId="3049"/>
    <cellStyle name="스타일 93" xfId="3050"/>
    <cellStyle name="스타일 94" xfId="3051"/>
    <cellStyle name="스타일 95" xfId="3052"/>
    <cellStyle name="스타일 96" xfId="3053"/>
    <cellStyle name="스타일 97" xfId="3054"/>
    <cellStyle name="스타일 98" xfId="3055"/>
    <cellStyle name="스타일 99" xfId="3056"/>
    <cellStyle name="안건회계법인" xfId="3057"/>
    <cellStyle name="왼쪽2" xfId="3058"/>
    <cellStyle name="원" xfId="3059"/>
    <cellStyle name="유1" xfId="3060"/>
    <cellStyle name="유영" xfId="3061"/>
    <cellStyle name="자리수" xfId="3062"/>
    <cellStyle name="자리수 - 유형1" xfId="3063"/>
    <cellStyle name="자리수0" xfId="3065"/>
    <cellStyle name="자리수_~MGaE" xfId="3064"/>
    <cellStyle name="정기수 - 유형1" xfId="3066"/>
    <cellStyle name="제목 1(中)" xfId="3068"/>
    <cellStyle name="제목 1(左)" xfId="3067"/>
    <cellStyle name="제목1" xfId="3072"/>
    <cellStyle name="제목2" xfId="3073"/>
    <cellStyle name="제목[1 줄]" xfId="3069"/>
    <cellStyle name="제목[2줄 아래]" xfId="3070"/>
    <cellStyle name="제목[2줄 위]" xfId="3071"/>
    <cellStyle name="좋음 2" xfId="3074"/>
    <cellStyle name="지정되지 않음" xfId="3075"/>
    <cellStyle name="콤" xfId="3076"/>
    <cellStyle name="콤마 1" xfId="3086"/>
    <cellStyle name="콤마 [" xfId="3077"/>
    <cellStyle name="콤마 [#]" xfId="3078"/>
    <cellStyle name="콤마 [0]" xfId="3080"/>
    <cellStyle name="콤마 [1]" xfId="3081"/>
    <cellStyle name="콤마 [2]" xfId="3082"/>
    <cellStyle name="콤마 []" xfId="3079"/>
    <cellStyle name="콤마 [금액]" xfId="3083"/>
    <cellStyle name="콤마 [소수]" xfId="3084"/>
    <cellStyle name="콤마 [수량]" xfId="3085"/>
    <cellStyle name="콤마[ ]" xfId="3087"/>
    <cellStyle name="콤마[*]" xfId="3088"/>
    <cellStyle name="콤마[,]" xfId="3089"/>
    <cellStyle name="콤마[.]" xfId="3090"/>
    <cellStyle name="콤마[0]" xfId="3091"/>
    <cellStyle name="콤마_  종  합  " xfId="3092"/>
    <cellStyle name="통" xfId="3093"/>
    <cellStyle name="통화 [" xfId="3094"/>
    <cellStyle name="통화 [0㉝〸" xfId="3095"/>
    <cellStyle name="퍼센트" xfId="3096"/>
    <cellStyle name="표" xfId="3097"/>
    <cellStyle name="표(가는선,가운데,중앙)" xfId="3098"/>
    <cellStyle name="표(가는선,왼쪽,중앙)" xfId="3099"/>
    <cellStyle name="표(세로쓰기)" xfId="3100"/>
    <cellStyle name="표머릿글(上)" xfId="3101"/>
    <cellStyle name="표머릿글(下)" xfId="3103"/>
    <cellStyle name="표머릿글(中)" xfId="3102"/>
    <cellStyle name="표준 2" xfId="2"/>
    <cellStyle name="표준 2 2" xfId="3104"/>
    <cellStyle name="표준 3" xfId="3105"/>
    <cellStyle name="표준 4" xfId="3"/>
    <cellStyle name="표준 5" xfId="3106"/>
    <cellStyle name="표준 6" xfId="1"/>
    <cellStyle name="표준1" xfId="3108"/>
    <cellStyle name="표준2" xfId="3109"/>
    <cellStyle name="표준℘Sheet8 (3)" xfId="3110"/>
    <cellStyle name="합산" xfId="3111"/>
    <cellStyle name="화폐기호" xfId="3112"/>
    <cellStyle name="화폐기호0" xfId="3113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</xdr:colOff>
      <xdr:row>39</xdr:row>
      <xdr:rowOff>38100</xdr:rowOff>
    </xdr:from>
    <xdr:to>
      <xdr:col>30</xdr:col>
      <xdr:colOff>100965</xdr:colOff>
      <xdr:row>43</xdr:row>
      <xdr:rowOff>70485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18930" y="9062085"/>
          <a:ext cx="824865" cy="75628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</xdr:colOff>
      <xdr:row>31</xdr:row>
      <xdr:rowOff>247649</xdr:rowOff>
    </xdr:from>
    <xdr:to>
      <xdr:col>2</xdr:col>
      <xdr:colOff>495299</xdr:colOff>
      <xdr:row>35</xdr:row>
      <xdr:rowOff>60325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2655" y="8798560"/>
          <a:ext cx="1028700" cy="981075"/>
        </a:xfrm>
        <a:prstGeom prst="rect"/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32</xdr:row>
      <xdr:rowOff>209550</xdr:rowOff>
    </xdr:from>
    <xdr:to>
      <xdr:col>7</xdr:col>
      <xdr:colOff>533400</xdr:colOff>
      <xdr:row>35</xdr:row>
      <xdr:rowOff>133350</xdr:rowOff>
    </xdr:to>
    <xdr:pic>
      <xdr:nvPicPr>
        <xdr:cNvPr id="4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542155" y="9052560"/>
          <a:ext cx="781050" cy="8001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005580" y="7950835"/>
          <a:ext cx="13462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F1:BH115"/>
  <sheetViews>
    <sheetView topLeftCell="E9" tabSelected="1" view="pageBreakPreview" zoomScaleNormal="100" zoomScaleSheetLayoutView="100" workbookViewId="0">
      <selection activeCell="J22" sqref="J22:O22"/>
    </sheetView>
  </sheetViews>
  <sheetFormatPr defaultColWidth="11.50000000" defaultRowHeight="12.000000"/>
  <cols>
    <col min="6" max="7" width="3.71928583" customWidth="1" outlineLevel="0"/>
    <col min="8" max="8" style="9" width="3.71928583" customWidth="1" outlineLevel="0"/>
    <col min="9" max="14" style="8" width="3.71928583" customWidth="1" outlineLevel="0"/>
    <col min="15" max="33" width="3.71928583" customWidth="1" outlineLevel="0"/>
    <col min="34" max="34" width="3.00499998" customWidth="1" outlineLevel="0"/>
    <col min="35" max="261" width="8.86214243" customWidth="1" outlineLevel="0"/>
  </cols>
  <sheetData>
    <row r="1" spans="6:37" s="2" customFormat="1" ht="42.000000" customHeight="1">
      <c r="F1" s="227" t="s">
        <v>0</v>
      </c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1"/>
    </row>
    <row r="2" spans="6:37" s="2" customFormat="1" ht="12.000000" customHeight="1"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2"/>
      <c r="AE2" s="112"/>
      <c r="AF2" s="112"/>
      <c r="AG2" s="112"/>
      <c r="AH2" s="1"/>
    </row>
    <row r="3" spans="6:37" s="2" customFormat="1" ht="18.000000" customHeight="1">
      <c r="F3" s="219" t="s">
        <v>114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109"/>
    </row>
    <row r="4" spans="6:37" s="2" customFormat="1" ht="7.500000" customHeight="1"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4"/>
      <c r="AE4" s="114"/>
      <c r="AF4" s="114"/>
      <c r="AG4" s="114"/>
      <c r="AH4" s="1"/>
    </row>
    <row r="5" spans="6:37" s="2" customFormat="1" ht="8.250000" customHeight="1"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2"/>
      <c r="AE5" s="112"/>
      <c r="AF5" s="112"/>
      <c r="AG5" s="112"/>
      <c r="AH5" s="1"/>
    </row>
    <row r="6" spans="6:37" s="2" customFormat="1" ht="23.250000" customHeight="1">
      <c r="F6" s="224" t="s">
        <v>1</v>
      </c>
      <c r="G6" s="224"/>
      <c r="H6" s="224"/>
      <c r="I6" s="224"/>
      <c r="J6" s="115" t="s">
        <v>14</v>
      </c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1"/>
      <c r="AH6" s="1"/>
    </row>
    <row r="7" spans="6:37" s="2" customFormat="1" ht="23.250000" customHeight="1">
      <c r="F7" s="224" t="s">
        <v>2</v>
      </c>
      <c r="G7" s="224"/>
      <c r="H7" s="224"/>
      <c r="I7" s="224"/>
      <c r="J7" s="228" t="s">
        <v>9</v>
      </c>
      <c r="K7" s="228"/>
      <c r="L7" s="228"/>
      <c r="M7" s="228"/>
      <c r="N7" s="228"/>
      <c r="O7" s="228"/>
      <c r="P7" s="228"/>
      <c r="Q7" s="228"/>
      <c r="R7" s="228"/>
      <c r="S7" s="228"/>
      <c r="T7" s="228"/>
      <c r="U7" s="228"/>
      <c r="V7" s="116"/>
      <c r="W7" s="116"/>
      <c r="X7" s="116"/>
      <c r="Y7" s="116"/>
      <c r="Z7" s="116"/>
      <c r="AA7" s="116"/>
      <c r="AB7" s="116"/>
      <c r="AC7" s="116"/>
      <c r="AD7" s="116"/>
      <c r="AE7" s="116"/>
      <c r="AF7" s="116"/>
      <c r="AG7" s="111"/>
      <c r="AH7" s="1"/>
    </row>
    <row r="8" spans="6:37" s="2" customFormat="1" ht="23.250000" customHeight="1">
      <c r="F8" s="224" t="s">
        <v>3</v>
      </c>
      <c r="G8" s="224"/>
      <c r="H8" s="224"/>
      <c r="I8" s="224"/>
      <c r="J8" s="115" t="s">
        <v>135</v>
      </c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1"/>
      <c r="AH8" s="1"/>
    </row>
    <row r="9" spans="6:37" s="2" customFormat="1" ht="23.250000" customHeight="1">
      <c r="F9" s="224" t="s">
        <v>4</v>
      </c>
      <c r="G9" s="224"/>
      <c r="H9" s="224"/>
      <c r="I9" s="224"/>
      <c r="J9" s="111" t="s">
        <v>5</v>
      </c>
      <c r="K9" s="111"/>
      <c r="L9" s="111"/>
      <c r="M9" s="111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 spans="6:37" s="2" customFormat="1" ht="23.250000" customHeight="1">
      <c r="F10" s="224" t="s">
        <v>6</v>
      </c>
      <c r="G10" s="224"/>
      <c r="H10" s="224"/>
      <c r="I10" s="224"/>
      <c r="J10" s="220" t="s">
        <v>172</v>
      </c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  <c r="AA10" s="220"/>
      <c r="AB10" s="220"/>
      <c r="AC10" s="220"/>
      <c r="AD10" s="220"/>
      <c r="AE10" s="220"/>
      <c r="AF10" s="220"/>
      <c r="AG10" s="220"/>
      <c r="AH10" s="1"/>
    </row>
    <row r="11" spans="6:37" s="2" customFormat="1" ht="7.500000" customHeight="1"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  <c r="AD11" s="114"/>
      <c r="AE11" s="114"/>
      <c r="AF11" s="114"/>
      <c r="AG11" s="114"/>
      <c r="AH11" s="1"/>
    </row>
    <row r="12" spans="6:37" s="2" customFormat="1" ht="13.500000" customHeight="1"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2"/>
      <c r="AE12" s="112"/>
      <c r="AF12" s="112"/>
      <c r="AG12" s="112"/>
      <c r="AH12" s="1"/>
    </row>
    <row r="13" spans="6:37" s="2" customFormat="1" ht="19.500000" customHeight="1">
      <c r="F13" s="220" t="s">
        <v>182</v>
      </c>
      <c r="G13" s="220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  <c r="AA13" s="220"/>
      <c r="AB13" s="220"/>
      <c r="AC13" s="220"/>
      <c r="AD13" s="220"/>
      <c r="AE13" s="220"/>
      <c r="AF13" s="220"/>
      <c r="AG13" s="220"/>
      <c r="AH13" s="1"/>
    </row>
    <row r="14" spans="6:37" s="2" customFormat="1" ht="9.750000" customHeight="1"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  <c r="AG14" s="111"/>
      <c r="AH14" s="1"/>
    </row>
    <row r="15" spans="6:37" s="2" customFormat="1" ht="65.250000" customHeight="1">
      <c r="F15" s="230" t="s">
        <v>183</v>
      </c>
      <c r="G15" s="230"/>
      <c r="H15" s="230"/>
      <c r="I15" s="230"/>
      <c r="J15" s="230"/>
      <c r="K15" s="230"/>
      <c r="L15" s="230"/>
      <c r="M15" s="230"/>
      <c r="N15" s="230"/>
      <c r="O15" s="230"/>
      <c r="P15" s="230"/>
      <c r="Q15" s="230"/>
      <c r="R15" s="230"/>
      <c r="S15" s="230"/>
      <c r="T15" s="230"/>
      <c r="U15" s="230"/>
      <c r="V15" s="230"/>
      <c r="W15" s="230"/>
      <c r="X15" s="230"/>
      <c r="Y15" s="230"/>
      <c r="Z15" s="230"/>
      <c r="AA15" s="230"/>
      <c r="AB15" s="230"/>
      <c r="AC15" s="230"/>
      <c r="AD15" s="230"/>
      <c r="AE15" s="230"/>
      <c r="AF15" s="230"/>
      <c r="AG15" s="230"/>
      <c r="AH15" s="1"/>
    </row>
    <row r="16" spans="6:37" s="2" customFormat="1" ht="9.750000" customHeight="1"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"/>
    </row>
    <row r="17" spans="6:60" s="10" customFormat="1" ht="33.000000" customHeight="1">
      <c r="F17" s="229" t="s">
        <v>184</v>
      </c>
      <c r="G17" s="229"/>
      <c r="H17" s="229"/>
      <c r="I17" s="229"/>
      <c r="J17" s="229"/>
      <c r="K17" s="229"/>
      <c r="L17" s="229"/>
      <c r="M17" s="229"/>
      <c r="N17" s="229"/>
      <c r="O17" s="229"/>
      <c r="P17" s="229"/>
      <c r="Q17" s="229"/>
      <c r="R17" s="229"/>
      <c r="S17" s="229"/>
      <c r="T17" s="229"/>
      <c r="U17" s="229"/>
      <c r="V17" s="229"/>
      <c r="W17" s="229"/>
      <c r="X17" s="229"/>
      <c r="Y17" s="229"/>
      <c r="Z17" s="229"/>
      <c r="AA17" s="229"/>
      <c r="AB17" s="229"/>
      <c r="AC17" s="229"/>
      <c r="AD17" s="229"/>
      <c r="AE17" s="229"/>
      <c r="AF17" s="229"/>
      <c r="AG17" s="229"/>
      <c r="AH17" s="3"/>
    </row>
    <row r="18" spans="6:60" s="2" customFormat="1" ht="9.750000" customHeight="1"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"/>
    </row>
    <row r="19" spans="6:60" s="2" customFormat="1" ht="19.500000" customHeight="1">
      <c r="F19" s="220" t="s">
        <v>185</v>
      </c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0"/>
      <c r="AG19" s="220"/>
      <c r="AH19" s="1"/>
      <c r="AM19" s="216"/>
      <c r="AN19" s="216"/>
      <c r="AO19" s="216"/>
      <c r="AP19" s="216"/>
      <c r="AQ19" s="216"/>
      <c r="AR19" s="216"/>
      <c r="AS19" s="216"/>
      <c r="AT19" s="216"/>
      <c r="AU19" s="216"/>
      <c r="AV19" s="216"/>
      <c r="AW19" s="216"/>
      <c r="AX19" s="216"/>
      <c r="AY19" s="216"/>
      <c r="AZ19" s="216"/>
      <c r="BA19" s="216"/>
      <c r="BB19" s="216"/>
      <c r="BC19" s="216"/>
      <c r="BD19" s="216"/>
      <c r="BE19" s="216"/>
      <c r="BF19" s="216"/>
      <c r="BG19" s="216"/>
      <c r="BH19" s="216"/>
    </row>
    <row r="20" spans="6:60" s="12" customFormat="1" ht="16.000000" customHeight="1">
      <c r="F20" s="116"/>
      <c r="G20" s="116"/>
      <c r="H20" s="116"/>
      <c r="I20" s="116"/>
      <c r="J20" s="115" t="s">
        <v>180</v>
      </c>
      <c r="K20" s="115"/>
      <c r="L20" s="115"/>
      <c r="M20" s="115"/>
      <c r="N20" s="115"/>
      <c r="O20" s="115"/>
      <c r="P20" s="115" t="s">
        <v>10</v>
      </c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"/>
      <c r="AM20" s="217"/>
      <c r="AN20" s="217"/>
      <c r="AO20" s="217"/>
      <c r="AP20" s="217"/>
      <c r="AQ20" s="217"/>
      <c r="AR20" s="217"/>
      <c r="AS20" s="217"/>
      <c r="AT20" s="217"/>
      <c r="AU20" s="217"/>
      <c r="AV20" s="217"/>
      <c r="AW20" s="217"/>
      <c r="AX20" s="217"/>
      <c r="AY20" s="217"/>
      <c r="AZ20" s="217"/>
      <c r="BA20" s="217"/>
      <c r="BB20" s="217"/>
      <c r="BC20" s="217"/>
      <c r="BD20" s="217"/>
      <c r="BE20" s="217"/>
      <c r="BF20" s="217"/>
      <c r="BG20" s="217"/>
      <c r="BH20" s="217"/>
    </row>
    <row r="21" spans="6:60" s="12" customFormat="1" ht="16.000000" customHeight="1">
      <c r="F21" s="116"/>
      <c r="G21" s="116"/>
      <c r="H21" s="116"/>
      <c r="I21" s="116"/>
      <c r="J21" s="115" t="s">
        <v>179</v>
      </c>
      <c r="K21" s="115"/>
      <c r="L21" s="115"/>
      <c r="M21" s="115"/>
      <c r="N21" s="115"/>
      <c r="O21" s="115"/>
      <c r="P21" s="115" t="s">
        <v>11</v>
      </c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"/>
    </row>
    <row r="22" spans="6:60" s="12" customFormat="1" ht="16.000000" customHeight="1">
      <c r="F22" s="116"/>
      <c r="G22" s="116"/>
      <c r="H22" s="116"/>
      <c r="I22" s="116"/>
      <c r="J22" s="115" t="s">
        <v>178</v>
      </c>
      <c r="K22" s="115"/>
      <c r="L22" s="115"/>
      <c r="M22" s="115"/>
      <c r="N22" s="115"/>
      <c r="O22" s="115"/>
      <c r="P22" s="115" t="s">
        <v>12</v>
      </c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  <c r="AD22" s="115"/>
      <c r="AE22" s="115"/>
      <c r="AF22" s="115"/>
      <c r="AG22" s="115"/>
      <c r="AH22" s="11"/>
    </row>
    <row r="23" spans="6:60" s="12" customFormat="1" ht="16.000000" customHeight="1">
      <c r="F23" s="116"/>
      <c r="G23" s="116"/>
      <c r="H23" s="116"/>
      <c r="I23" s="116"/>
      <c r="J23" s="115" t="s">
        <v>177</v>
      </c>
      <c r="K23" s="115"/>
      <c r="L23" s="115"/>
      <c r="M23" s="115"/>
      <c r="N23" s="115"/>
      <c r="O23" s="115"/>
      <c r="P23" s="115" t="s">
        <v>13</v>
      </c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"/>
    </row>
    <row r="24" spans="6:60" s="12" customFormat="1" ht="16.000000" customHeight="1">
      <c r="F24" s="116"/>
      <c r="G24" s="116"/>
      <c r="H24" s="116"/>
      <c r="I24" s="116"/>
      <c r="J24" s="115" t="s">
        <v>176</v>
      </c>
      <c r="K24" s="115"/>
      <c r="L24" s="115"/>
      <c r="M24" s="115"/>
      <c r="N24" s="115"/>
      <c r="O24" s="115"/>
      <c r="P24" s="115" t="s">
        <v>158</v>
      </c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  <c r="AD24" s="115"/>
      <c r="AE24" s="115"/>
      <c r="AF24" s="115"/>
      <c r="AG24" s="115"/>
      <c r="AH24" s="13"/>
    </row>
    <row r="25" spans="6:60" s="2" customFormat="1" ht="9.750000" customHeight="1"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  <c r="AD25" s="115"/>
      <c r="AE25" s="115"/>
      <c r="AF25" s="115"/>
      <c r="AG25" s="115"/>
      <c r="AH25" s="1"/>
    </row>
    <row r="26" spans="6:60" s="2" customFormat="1" ht="19.500000" customHeight="1">
      <c r="F26" s="115" t="s">
        <v>186</v>
      </c>
      <c r="G26" s="115"/>
      <c r="H26" s="115"/>
      <c r="I26" s="115"/>
      <c r="J26" s="115"/>
      <c r="K26" s="115"/>
      <c r="L26" s="115"/>
      <c r="M26" s="115"/>
      <c r="N26" s="115"/>
      <c r="O26" s="115"/>
      <c r="P26" s="115" t="s">
        <v>8</v>
      </c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"/>
    </row>
    <row r="27" spans="6:60" s="12" customFormat="1" ht="41.000000" customHeight="1">
      <c r="F27" s="116"/>
      <c r="G27" s="116"/>
      <c r="H27" s="116"/>
      <c r="I27" s="116"/>
      <c r="J27" s="223" t="s">
        <v>189</v>
      </c>
      <c r="K27" s="223"/>
      <c r="L27" s="223"/>
      <c r="M27" s="223"/>
      <c r="N27" s="223"/>
      <c r="O27" s="223"/>
      <c r="P27" s="223"/>
      <c r="Q27" s="223"/>
      <c r="R27" s="223"/>
      <c r="S27" s="223"/>
      <c r="T27" s="223"/>
      <c r="U27" s="223"/>
      <c r="V27" s="223"/>
      <c r="W27" s="223"/>
      <c r="X27" s="223"/>
      <c r="Y27" s="223"/>
      <c r="Z27" s="223"/>
      <c r="AA27" s="223"/>
      <c r="AB27" s="223"/>
      <c r="AC27" s="223"/>
      <c r="AD27" s="223"/>
      <c r="AE27" s="223"/>
      <c r="AF27" s="223"/>
      <c r="AG27" s="223"/>
      <c r="AH27" s="11"/>
    </row>
    <row r="28" spans="6:60" s="2" customFormat="1" ht="9.750000" customHeight="1"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116"/>
      <c r="AG28" s="116"/>
      <c r="AH28" s="1"/>
    </row>
    <row r="29" spans="6:60" s="12" customFormat="1" ht="19.500000" customHeight="1">
      <c r="F29" s="231" t="s">
        <v>188</v>
      </c>
      <c r="G29" s="231"/>
      <c r="H29" s="231"/>
      <c r="I29" s="231"/>
      <c r="J29" s="231"/>
      <c r="K29" s="231"/>
      <c r="L29" s="231"/>
      <c r="M29" s="231"/>
      <c r="N29" s="231"/>
      <c r="O29" s="231"/>
      <c r="P29" s="232" t="str">
        <f>"일금"&amp;NUMBERSTRING(대가산출!H25,1)&amp;"원정 (₩"&amp;TEXT(대가산출!H25,"#,##0")&amp;")"</f>
        <v>일금칠십만원정 (₩700,000)</v>
      </c>
      <c r="Q29" s="232"/>
      <c r="R29" s="232"/>
      <c r="S29" s="232"/>
      <c r="T29" s="232"/>
      <c r="U29" s="232"/>
      <c r="V29" s="232"/>
      <c r="W29" s="232"/>
      <c r="X29" s="232"/>
      <c r="Y29" s="232"/>
      <c r="Z29" s="232"/>
      <c r="AA29" s="232"/>
      <c r="AB29" s="232"/>
      <c r="AC29" s="221" t="s">
        <v>63</v>
      </c>
      <c r="AD29" s="221"/>
      <c r="AE29" s="221"/>
      <c r="AF29" s="222" t="s">
        <v>15</v>
      </c>
      <c r="AG29" s="222"/>
      <c r="AH29" s="11"/>
    </row>
    <row r="30" spans="6:60" s="2" customFormat="1" ht="9.750000" customHeight="1"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"/>
    </row>
    <row r="31" spans="6:60" s="2" customFormat="1" ht="19.500000" customHeight="1">
      <c r="F31" s="220" t="s">
        <v>187</v>
      </c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111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"/>
    </row>
    <row r="32" spans="6:60" s="2" customFormat="1" ht="16.500000" customHeight="1">
      <c r="F32" s="111"/>
      <c r="G32" s="111"/>
      <c r="H32" s="111"/>
      <c r="I32" s="111"/>
      <c r="J32" s="115" t="s">
        <v>132</v>
      </c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115"/>
      <c r="AG32" s="115"/>
      <c r="AH32" s="14"/>
      <c r="AI32" s="15"/>
      <c r="AJ32" s="15"/>
      <c r="AK32" s="15"/>
    </row>
    <row r="33" spans="6:34" s="2" customFormat="1" ht="16.500000" customHeight="1">
      <c r="F33" s="111"/>
      <c r="G33" s="111"/>
      <c r="H33" s="111"/>
      <c r="I33" s="111"/>
      <c r="J33" s="225" t="s">
        <v>136</v>
      </c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  <c r="AA33" s="225"/>
      <c r="AB33" s="225"/>
      <c r="AC33" s="225"/>
      <c r="AD33" s="225"/>
      <c r="AE33" s="225"/>
      <c r="AF33" s="225"/>
      <c r="AG33" s="225"/>
      <c r="AH33" s="1"/>
    </row>
    <row r="34" spans="6:34" s="2" customFormat="1" ht="16.500000" customHeight="1">
      <c r="F34" s="111"/>
      <c r="G34" s="111"/>
      <c r="H34" s="111"/>
      <c r="I34" s="111"/>
      <c r="J34" s="220" t="s">
        <v>133</v>
      </c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  <c r="AA34" s="220"/>
      <c r="AB34" s="220"/>
      <c r="AC34" s="220"/>
      <c r="AD34" s="220"/>
      <c r="AE34" s="220"/>
      <c r="AF34" s="220"/>
      <c r="AG34" s="220"/>
      <c r="AH34" s="1"/>
    </row>
    <row r="35" spans="6:34" s="2" customFormat="1" ht="16.500000" customHeight="1">
      <c r="F35" s="111"/>
      <c r="G35" s="111"/>
      <c r="H35" s="111"/>
      <c r="I35" s="111"/>
      <c r="J35" s="226" t="s">
        <v>134</v>
      </c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26"/>
      <c r="V35" s="226"/>
      <c r="W35" s="226"/>
      <c r="X35" s="226"/>
      <c r="Y35" s="226"/>
      <c r="Z35" s="226"/>
      <c r="AA35" s="226"/>
      <c r="AB35" s="226"/>
      <c r="AC35" s="226"/>
      <c r="AD35" s="226"/>
      <c r="AE35" s="226"/>
      <c r="AF35" s="226"/>
      <c r="AG35" s="226"/>
      <c r="AH35" s="1"/>
    </row>
    <row r="36" spans="6:34" s="2" customFormat="1" ht="12.000000" customHeight="1">
      <c r="F36" s="119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"/>
    </row>
    <row r="37" spans="6:34" s="2" customFormat="1" ht="12.000000" customHeight="1">
      <c r="F37" s="119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"/>
    </row>
    <row r="38" spans="6:34" s="2" customFormat="1" ht="19.500000" customHeight="1">
      <c r="F38" s="220" t="s">
        <v>131</v>
      </c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  <c r="AA38" s="220"/>
      <c r="AB38" s="220"/>
      <c r="AC38" s="220"/>
      <c r="AD38" s="220"/>
      <c r="AE38" s="220"/>
      <c r="AF38" s="220"/>
      <c r="AG38" s="220"/>
      <c r="AH38" s="1"/>
    </row>
    <row r="39" spans="6:34" s="2" customFormat="1" ht="3.750000" customHeight="1">
      <c r="F39" s="119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"/>
    </row>
    <row r="40" spans="6:34" s="2" customFormat="1" ht="3.750000" customHeight="1">
      <c r="F40" s="119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"/>
    </row>
    <row r="41" spans="6:34" s="2" customFormat="1" ht="3.750000" customHeight="1">
      <c r="F41" s="119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"/>
    </row>
    <row r="42" spans="6:34" s="2" customFormat="1" ht="9.750000" customHeight="1">
      <c r="F42" s="111"/>
      <c r="G42" s="111"/>
      <c r="H42" s="111"/>
      <c r="I42" s="111"/>
      <c r="J42" s="111"/>
      <c r="K42" s="111"/>
      <c r="L42" s="117"/>
      <c r="M42" s="117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"/>
    </row>
    <row r="43" spans="6:34" s="2" customFormat="1" ht="39.750000" customHeight="1">
      <c r="F43" s="218" t="s">
        <v>7</v>
      </c>
      <c r="G43" s="218"/>
      <c r="H43" s="218"/>
      <c r="I43" s="218"/>
      <c r="J43" s="218"/>
      <c r="K43" s="218"/>
      <c r="L43" s="218"/>
      <c r="M43" s="218"/>
      <c r="N43" s="218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  <c r="AD43" s="218"/>
      <c r="AE43" s="218"/>
      <c r="AF43" s="218"/>
      <c r="AG43" s="218"/>
      <c r="AH43" s="4"/>
    </row>
    <row r="44" spans="6:34" ht="6.000000" customHeight="1">
      <c r="F44" s="120"/>
      <c r="G44" s="120"/>
      <c r="H44" s="121"/>
      <c r="I44" s="121"/>
      <c r="J44" s="121"/>
      <c r="K44" s="121"/>
      <c r="L44" s="121"/>
      <c r="M44" s="121"/>
      <c r="N44" s="121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120"/>
    </row>
    <row r="45" spans="6:34" ht="12.750000">
      <c r="F45" s="5"/>
      <c r="G45" s="5"/>
      <c r="H45" s="6"/>
      <c r="I45" s="6"/>
      <c r="J45" s="6"/>
      <c r="K45" s="6"/>
      <c r="L45" s="6"/>
      <c r="M45" s="6"/>
      <c r="N45" s="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spans="6:34" ht="12.750000">
      <c r="F46" s="5"/>
      <c r="G46" s="5"/>
      <c r="H46" s="6"/>
      <c r="I46" s="6"/>
      <c r="J46" s="6"/>
      <c r="K46" s="6"/>
      <c r="L46" s="6"/>
      <c r="M46" s="6"/>
      <c r="N46" s="6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spans="6:34">
      <c r="H47" s="7"/>
      <c r="I47" s="7"/>
      <c r="J47" s="7"/>
      <c r="K47" s="7"/>
      <c r="L47" s="7"/>
      <c r="M47" s="7"/>
      <c r="N47" s="7"/>
    </row>
    <row r="48" spans="6:34">
      <c r="H48" s="7"/>
      <c r="I48" s="7"/>
      <c r="J48" s="7"/>
      <c r="K48" s="7"/>
      <c r="L48" s="7"/>
      <c r="M48" s="7"/>
      <c r="N48" s="7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  <row r="115" spans="8:14">
      <c r="H115" s="7"/>
      <c r="I115" s="7"/>
      <c r="J115" s="7"/>
      <c r="K115" s="7"/>
      <c r="L115" s="7"/>
      <c r="M115" s="7"/>
      <c r="N115" s="7"/>
    </row>
  </sheetData>
  <mergeCells count="42">
    <mergeCell ref="F1:AG1"/>
    <mergeCell ref="F3:AG3"/>
    <mergeCell ref="F6:I6"/>
    <mergeCell ref="J6:U6"/>
    <mergeCell ref="F7:I7"/>
    <mergeCell ref="J7:U7"/>
    <mergeCell ref="F8:I8"/>
    <mergeCell ref="J8:AF8"/>
    <mergeCell ref="F9:I9"/>
    <mergeCell ref="F10:I10"/>
    <mergeCell ref="J10:AG10"/>
    <mergeCell ref="F13:AG13"/>
    <mergeCell ref="F15:AG15"/>
    <mergeCell ref="F17:AG17"/>
    <mergeCell ref="F19:AG19"/>
    <mergeCell ref="AM19:BH19"/>
    <mergeCell ref="J20:O20"/>
    <mergeCell ref="P20:AG20"/>
    <mergeCell ref="AM20:BH20"/>
    <mergeCell ref="J22:O22"/>
    <mergeCell ref="P22:AG22"/>
    <mergeCell ref="J21:O21"/>
    <mergeCell ref="P21:AG21"/>
    <mergeCell ref="J23:O23"/>
    <mergeCell ref="P23:AG23"/>
    <mergeCell ref="J24:O24"/>
    <mergeCell ref="P24:AG24"/>
    <mergeCell ref="F26:O26"/>
    <mergeCell ref="P26:AD26"/>
    <mergeCell ref="J27:AG27"/>
    <mergeCell ref="F29:O29"/>
    <mergeCell ref="P29:AB29"/>
    <mergeCell ref="AC29:AE29"/>
    <mergeCell ref="AF29:AG29"/>
    <mergeCell ref="F31:Q31"/>
    <mergeCell ref="J32:AG32"/>
    <mergeCell ref="J33:AG33"/>
    <mergeCell ref="J34:AG34"/>
    <mergeCell ref="J35:AG35"/>
    <mergeCell ref="F38:AG38"/>
    <mergeCell ref="L42:M42"/>
    <mergeCell ref="F43:AG43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topLeftCell="A13" view="pageBreakPreview" zoomScaleNormal="100" zoomScaleSheetLayoutView="100" workbookViewId="0">
      <selection activeCell="H25" sqref="H25"/>
    </sheetView>
  </sheetViews>
  <sheetFormatPr defaultColWidth="14.83203125" defaultRowHeight="12.000000"/>
  <cols>
    <col min="1" max="1" style="83" width="11.29071413" customWidth="1" outlineLevel="0"/>
    <col min="2" max="3" style="83" width="11.43357168" customWidth="1" outlineLevel="0"/>
    <col min="4" max="5" style="83" width="11.00499998" customWidth="1" outlineLevel="0"/>
    <col min="6" max="7" style="84" width="8.29071413" customWidth="1" outlineLevel="0"/>
    <col min="8" max="8" style="83" width="13.43357168" customWidth="1" outlineLevel="0"/>
    <col min="9" max="9" style="85" width="13.43357168" customWidth="1" outlineLevel="0"/>
    <col min="10" max="256" style="83" width="11.29071413" customWidth="1" outlineLevel="0"/>
    <col min="257" max="16384" style="83" width="14.86214243" customWidth="1" outlineLevel="0"/>
  </cols>
  <sheetData>
    <row r="1" spans="2:9" s="16" customFormat="1" ht="39.000000" customHeight="1">
      <c r="B1" s="271" t="s">
        <v>116</v>
      </c>
      <c r="C1" s="272"/>
      <c r="D1" s="272"/>
      <c r="E1" s="272"/>
      <c r="F1" s="272"/>
      <c r="G1" s="272"/>
      <c r="H1" s="272"/>
      <c r="I1" s="272"/>
    </row>
    <row r="2" spans="2:9" s="16" customFormat="1" ht="11.250000" customHeight="1">
      <c r="B2" s="17"/>
      <c r="C2" s="17"/>
      <c r="D2" s="17"/>
      <c r="E2" s="17"/>
      <c r="F2" s="17"/>
      <c r="G2" s="17"/>
      <c r="H2" s="273"/>
      <c r="I2" s="273"/>
    </row>
    <row r="3" spans="2:9" s="18" customFormat="1" ht="34.500000" customHeight="1">
      <c r="B3" s="274" t="s">
        <v>16</v>
      </c>
      <c r="C3" s="275"/>
      <c r="D3" s="280" t="str">
        <f>"일금"&amp;NUMBERSTRING(H25,1)&amp;"원정 (₩"&amp;TEXT(H25,"#,##0")&amp;") - VAT별도"</f>
        <v>일금칠십만원정 (₩700,000) - VAT별도</v>
      </c>
      <c r="E3" s="281"/>
      <c r="F3" s="281"/>
      <c r="G3" s="281"/>
      <c r="H3" s="281"/>
      <c r="I3" s="282"/>
    </row>
    <row r="4" spans="2:9" s="18" customFormat="1" ht="38.250000" hidden="1" customHeight="1">
      <c r="B4" s="276" t="s">
        <v>17</v>
      </c>
      <c r="C4" s="277"/>
      <c r="D4" s="278" t="str">
        <f>"일금 "&amp;NUMBERSTRING(H25,1)&amp;"원정"&amp;TEXT(H25,"(￦ #,##0)")&amp;" "</f>
        <v xml:space="preserve">일금 칠십만원정(₩ 700,000) </v>
      </c>
      <c r="E4" s="278"/>
      <c r="F4" s="278"/>
      <c r="G4" s="278"/>
      <c r="H4" s="278"/>
      <c r="I4" s="279"/>
    </row>
    <row r="5" spans="2:9" s="18" customFormat="1" ht="38.250000" hidden="1" customHeight="1">
      <c r="B5" s="261" t="s">
        <v>18</v>
      </c>
      <c r="C5" s="262"/>
      <c r="D5" s="263">
        <f>"일금 "&amp;NUMBERSTRING(H26,1)&amp;"원정"&amp;TEXT(H26,"(￦ #,##0)")&amp;" "</f>
        <v/>
      </c>
      <c r="E5" s="263"/>
      <c r="F5" s="263"/>
      <c r="G5" s="263"/>
      <c r="H5" s="263"/>
      <c r="I5" s="264"/>
    </row>
    <row r="6" spans="2:9" s="18" customFormat="1" ht="31.500000" customHeight="1">
      <c r="B6" s="265" t="s">
        <v>19</v>
      </c>
      <c r="C6" s="266"/>
      <c r="D6" s="266"/>
      <c r="E6" s="266"/>
      <c r="F6" s="266"/>
      <c r="G6" s="266"/>
      <c r="H6" s="266"/>
      <c r="I6" s="267"/>
    </row>
    <row r="7" spans="2:9" s="21" customFormat="1" ht="30.000000" customHeight="1">
      <c r="B7" s="268" t="s">
        <v>20</v>
      </c>
      <c r="C7" s="19"/>
      <c r="D7" s="19" t="s">
        <v>21</v>
      </c>
      <c r="E7" s="19" t="s">
        <v>22</v>
      </c>
      <c r="F7" s="19" t="s">
        <v>23</v>
      </c>
      <c r="G7" s="19" t="s">
        <v>24</v>
      </c>
      <c r="H7" s="19" t="s">
        <v>25</v>
      </c>
      <c r="I7" s="20" t="s">
        <v>26</v>
      </c>
    </row>
    <row r="8" spans="2:9" s="21" customFormat="1" ht="28.000000" customHeight="1">
      <c r="B8" s="269" t="s">
        <v>162</v>
      </c>
      <c r="C8" s="270"/>
      <c r="D8" s="22"/>
      <c r="E8" s="22"/>
      <c r="F8" s="22"/>
      <c r="G8" s="22"/>
      <c r="H8" s="23">
        <f>INT(SUM(H9,H10,H11,H12))</f>
        <v>766056</v>
      </c>
      <c r="I8" s="24" t="s">
        <v>27</v>
      </c>
    </row>
    <row r="9" spans="2:9" s="21" customFormat="1" ht="18.000000" customHeight="1">
      <c r="B9" s="33"/>
      <c r="C9" s="34" t="s">
        <v>169</v>
      </c>
      <c r="D9" s="30" t="s">
        <v>28</v>
      </c>
      <c r="E9" s="35">
        <v>373353</v>
      </c>
      <c r="F9" s="30" t="s">
        <v>29</v>
      </c>
      <c r="G9" s="32">
        <v>0</v>
      </c>
      <c r="H9" s="26">
        <f>INT(E9*G9)</f>
        <v>0</v>
      </c>
      <c r="I9" s="27"/>
    </row>
    <row r="10" spans="2:9" s="21" customFormat="1" ht="18.000000" customHeight="1">
      <c r="B10" s="28"/>
      <c r="C10" s="29"/>
      <c r="D10" s="30" t="s">
        <v>30</v>
      </c>
      <c r="E10" s="31">
        <v>310884</v>
      </c>
      <c r="F10" s="30" t="s">
        <v>29</v>
      </c>
      <c r="G10" s="32">
        <v>0</v>
      </c>
      <c r="H10" s="26">
        <f>INT(E10*G10)</f>
        <v>0</v>
      </c>
      <c r="I10" s="27"/>
    </row>
    <row r="11" spans="2:9" s="21" customFormat="1" ht="18.000000" customHeight="1">
      <c r="B11" s="28"/>
      <c r="C11" s="29"/>
      <c r="D11" s="30" t="s">
        <v>31</v>
      </c>
      <c r="E11" s="31">
        <v>295138</v>
      </c>
      <c r="F11" s="30" t="s">
        <v>29</v>
      </c>
      <c r="G11" s="32">
        <v>1</v>
      </c>
      <c r="H11" s="26">
        <f>INT(E11*G11)</f>
        <v>295138</v>
      </c>
      <c r="I11" s="27"/>
    </row>
    <row r="12" spans="2:9" s="21" customFormat="1" ht="18.000000" customHeight="1">
      <c r="B12" s="28"/>
      <c r="C12" s="29"/>
      <c r="D12" s="30" t="s">
        <v>32</v>
      </c>
      <c r="E12" s="31">
        <v>235459</v>
      </c>
      <c r="F12" s="30" t="s">
        <v>29</v>
      </c>
      <c r="G12" s="32">
        <v>2</v>
      </c>
      <c r="H12" s="26">
        <f>INT(E12*G12)</f>
        <v>470918</v>
      </c>
      <c r="I12" s="27"/>
    </row>
    <row r="13" spans="2:9" s="21" customFormat="1" ht="28.000000" customHeight="1">
      <c r="B13" s="257" t="s">
        <v>33</v>
      </c>
      <c r="C13" s="258"/>
      <c r="D13" s="36"/>
      <c r="E13" s="37"/>
      <c r="F13" s="38" t="s">
        <v>34</v>
      </c>
      <c r="G13" s="38">
        <v>0</v>
      </c>
      <c r="H13" s="39">
        <f>ROUND(H8*G13%,0)</f>
        <v>0</v>
      </c>
      <c r="I13" s="40" t="s">
        <v>117</v>
      </c>
    </row>
    <row r="14" spans="2:9" s="21" customFormat="1" ht="28.000000" customHeight="1">
      <c r="B14" s="257" t="s">
        <v>35</v>
      </c>
      <c r="C14" s="258"/>
      <c r="D14" s="36"/>
      <c r="E14" s="37"/>
      <c r="F14" s="38" t="s">
        <v>36</v>
      </c>
      <c r="G14" s="38">
        <v>0</v>
      </c>
      <c r="H14" s="41">
        <f>ROUND((H8+H13)*G14%,0)</f>
        <v>0</v>
      </c>
      <c r="I14" s="40" t="s">
        <v>118</v>
      </c>
    </row>
    <row r="15" spans="2:9" s="21" customFormat="1" ht="28.000000" customHeight="1">
      <c r="B15" s="257" t="s">
        <v>37</v>
      </c>
      <c r="C15" s="258"/>
      <c r="D15" s="42"/>
      <c r="E15" s="43"/>
      <c r="F15" s="44"/>
      <c r="G15" s="44"/>
      <c r="H15" s="41">
        <f>INT(SUM(H17,H18,H19,H20,H21,))</f>
        <v>30000</v>
      </c>
      <c r="I15" s="40"/>
    </row>
    <row r="16" spans="2:9" s="21" customFormat="1" ht="18.000000" customHeight="1">
      <c r="B16" s="45" t="s">
        <v>38</v>
      </c>
      <c r="C16" s="46"/>
      <c r="D16" s="46"/>
      <c r="E16" s="47"/>
      <c r="F16" s="48"/>
      <c r="G16" s="48"/>
      <c r="H16" s="49"/>
      <c r="I16" s="50"/>
    </row>
    <row r="17" spans="2:13" s="21" customFormat="1" ht="18.000000" customHeight="1">
      <c r="B17" s="51" t="s">
        <v>39</v>
      </c>
      <c r="C17" s="52"/>
      <c r="D17" s="52"/>
      <c r="E17" s="53">
        <v>20000</v>
      </c>
      <c r="F17" s="25">
        <v>1</v>
      </c>
      <c r="G17" s="25">
        <v>0</v>
      </c>
      <c r="H17" s="54">
        <f>G17*E17*F17</f>
        <v>0</v>
      </c>
      <c r="I17" s="55"/>
      <c r="M17" s="56"/>
    </row>
    <row r="18" spans="2:13" s="21" customFormat="1" ht="18.000000" customHeight="1">
      <c r="B18" s="57" t="s">
        <v>40</v>
      </c>
      <c r="C18" s="58"/>
      <c r="D18" s="58"/>
      <c r="E18" s="53">
        <v>20000</v>
      </c>
      <c r="F18" s="30">
        <v>1</v>
      </c>
      <c r="G18" s="25">
        <v>0</v>
      </c>
      <c r="H18" s="59">
        <f>G18*E18*F18</f>
        <v>0</v>
      </c>
      <c r="I18" s="55"/>
    </row>
    <row r="19" spans="2:13" s="21" customFormat="1" ht="18.000000" customHeight="1">
      <c r="B19" s="57" t="s">
        <v>41</v>
      </c>
      <c r="C19" s="30"/>
      <c r="D19" s="58"/>
      <c r="E19" s="60"/>
      <c r="F19" s="30" t="s">
        <v>42</v>
      </c>
      <c r="G19" s="61">
        <v>0</v>
      </c>
      <c r="H19" s="59">
        <f>ROUND((SUM(0))*G19%,0)</f>
        <v>0</v>
      </c>
      <c r="I19" s="55" t="s">
        <v>110</v>
      </c>
    </row>
    <row r="20" spans="2:13" s="21" customFormat="1" ht="18.000000" customHeight="1">
      <c r="B20" s="57" t="s">
        <v>43</v>
      </c>
      <c r="C20" s="30"/>
      <c r="D20" s="58"/>
      <c r="E20" s="60"/>
      <c r="F20" s="30" t="s">
        <v>42</v>
      </c>
      <c r="G20" s="62">
        <v>0</v>
      </c>
      <c r="H20" s="59">
        <f>ROUND(H8*G20%,0)</f>
        <v>0</v>
      </c>
      <c r="I20" s="55" t="s">
        <v>111</v>
      </c>
    </row>
    <row r="21" spans="2:13" s="21" customFormat="1" ht="18.000000" customHeight="1">
      <c r="B21" s="63" t="s">
        <v>44</v>
      </c>
      <c r="C21" s="64"/>
      <c r="D21" s="65"/>
      <c r="E21" s="66">
        <v>30000</v>
      </c>
      <c r="F21" s="32" t="s">
        <v>45</v>
      </c>
      <c r="G21" s="67">
        <v>1</v>
      </c>
      <c r="H21" s="68">
        <f>INT(G21*E21)</f>
        <v>30000</v>
      </c>
      <c r="I21" s="27"/>
    </row>
    <row r="22" spans="2:13" s="21" customFormat="1" ht="28.000000" customHeight="1">
      <c r="B22" s="257" t="s">
        <v>46</v>
      </c>
      <c r="C22" s="258"/>
      <c r="D22" s="36"/>
      <c r="E22" s="69"/>
      <c r="F22" s="38"/>
      <c r="G22" s="38"/>
      <c r="H22" s="70">
        <f>INT(SUM(H8,H13,H14,H15)*0)</f>
        <v>0</v>
      </c>
      <c r="I22" s="71" t="s">
        <v>47</v>
      </c>
    </row>
    <row r="23" spans="2:13" s="21" customFormat="1" ht="28.000000" customHeight="1">
      <c r="B23" s="259" t="s">
        <v>163</v>
      </c>
      <c r="C23" s="260"/>
      <c r="D23" s="249" t="s">
        <v>48</v>
      </c>
      <c r="E23" s="249"/>
      <c r="F23" s="249"/>
      <c r="G23" s="249"/>
      <c r="H23" s="72">
        <f>(SUM(H8,H13,H14,H15,H22))</f>
        <v>796056</v>
      </c>
      <c r="I23" s="73"/>
    </row>
    <row r="24" spans="2:13" s="21" customFormat="1" ht="18.000000" customHeight="1">
      <c r="B24" s="248" t="s">
        <v>49</v>
      </c>
      <c r="C24" s="249"/>
      <c r="D24" s="249"/>
      <c r="E24" s="249"/>
      <c r="F24" s="249"/>
      <c r="G24" s="249"/>
      <c r="H24" s="72">
        <v>96056</v>
      </c>
      <c r="I24" s="74"/>
    </row>
    <row r="25" spans="2:13" s="21" customFormat="1" ht="18.000000" customHeight="1">
      <c r="B25" s="255" t="s">
        <v>50</v>
      </c>
      <c r="C25" s="256"/>
      <c r="D25" s="256"/>
      <c r="E25" s="256"/>
      <c r="F25" s="256"/>
      <c r="G25" s="256"/>
      <c r="H25" s="75">
        <f>H23-H24</f>
        <v>700000</v>
      </c>
      <c r="I25" s="76"/>
    </row>
    <row r="26" spans="2:13" s="21" customFormat="1" ht="18.000000" customHeight="1">
      <c r="B26" s="248" t="s">
        <v>51</v>
      </c>
      <c r="C26" s="249"/>
      <c r="D26" s="249"/>
      <c r="E26" s="249"/>
      <c r="F26" s="249"/>
      <c r="G26" s="249"/>
      <c r="H26" s="77" t="s">
        <v>52</v>
      </c>
      <c r="I26" s="74"/>
    </row>
    <row r="27" spans="2:13" s="21" customFormat="1" ht="28.000000" customHeight="1">
      <c r="B27" s="250" t="s">
        <v>164</v>
      </c>
      <c r="C27" s="251"/>
      <c r="D27" s="252"/>
      <c r="E27" s="252"/>
      <c r="F27" s="252"/>
      <c r="G27" s="252"/>
      <c r="H27" s="86">
        <f>H25</f>
        <v>700000</v>
      </c>
      <c r="I27" s="78" t="s">
        <v>53</v>
      </c>
    </row>
    <row r="28" spans="2:13" s="21" customFormat="1" ht="16.000000" customHeight="1">
      <c r="B28" s="253" t="s">
        <v>165</v>
      </c>
      <c r="C28" s="254"/>
      <c r="D28" s="105"/>
      <c r="E28" s="105"/>
      <c r="F28" s="105"/>
      <c r="G28" s="105"/>
      <c r="H28" s="106"/>
      <c r="I28" s="107"/>
    </row>
    <row r="29" spans="2:13" s="21" customFormat="1" ht="34.500000" customHeight="1">
      <c r="B29" s="233" t="s">
        <v>166</v>
      </c>
      <c r="C29" s="234"/>
      <c r="D29" s="234"/>
      <c r="E29" s="234"/>
      <c r="F29" s="234"/>
      <c r="G29" s="234"/>
      <c r="H29" s="234"/>
      <c r="I29" s="235"/>
    </row>
    <row r="30" spans="2:13" s="21" customFormat="1" ht="30.000000" customHeight="1">
      <c r="B30" s="233" t="s">
        <v>167</v>
      </c>
      <c r="C30" s="234"/>
      <c r="D30" s="234"/>
      <c r="E30" s="234"/>
      <c r="F30" s="234"/>
      <c r="G30" s="234"/>
      <c r="H30" s="234"/>
      <c r="I30" s="235"/>
    </row>
    <row r="31" spans="2:13" s="21" customFormat="1" ht="19.500000" customHeight="1">
      <c r="B31" s="236" t="s">
        <v>168</v>
      </c>
      <c r="C31" s="237"/>
      <c r="D31" s="237"/>
      <c r="E31" s="237"/>
      <c r="F31" s="237"/>
      <c r="G31" s="237"/>
      <c r="H31" s="237"/>
      <c r="I31" s="238"/>
    </row>
    <row r="32" spans="2:13" s="80" customFormat="1" ht="23.000000" customHeight="1">
      <c r="B32" s="239"/>
      <c r="C32" s="240"/>
      <c r="D32" s="245" t="s">
        <v>54</v>
      </c>
      <c r="E32" s="245"/>
      <c r="F32" s="245"/>
      <c r="G32" s="245"/>
      <c r="H32" s="245"/>
      <c r="I32" s="79"/>
    </row>
    <row r="33" spans="2:9" s="80" customFormat="1" ht="23.000000" customHeight="1">
      <c r="B33" s="241"/>
      <c r="C33" s="242"/>
      <c r="D33" s="246" t="s">
        <v>55</v>
      </c>
      <c r="E33" s="246"/>
      <c r="F33" s="246"/>
      <c r="G33" s="246"/>
      <c r="H33" s="246"/>
      <c r="I33" s="81" t="s">
        <v>56</v>
      </c>
    </row>
    <row r="34" spans="2:9" s="80" customFormat="1" ht="23.000000" customHeight="1">
      <c r="B34" s="241"/>
      <c r="C34" s="242"/>
      <c r="D34" s="246" t="s">
        <v>57</v>
      </c>
      <c r="E34" s="246"/>
      <c r="F34" s="246"/>
      <c r="G34" s="246"/>
      <c r="H34" s="246"/>
      <c r="I34" s="81" t="s">
        <v>58</v>
      </c>
    </row>
    <row r="35" spans="2:9" s="80" customFormat="1" ht="23.000000" customHeight="1">
      <c r="B35" s="241"/>
      <c r="C35" s="242"/>
      <c r="D35" s="246" t="s">
        <v>59</v>
      </c>
      <c r="E35" s="246"/>
      <c r="F35" s="246"/>
      <c r="G35" s="246"/>
      <c r="H35" s="246"/>
      <c r="I35" s="81" t="s">
        <v>60</v>
      </c>
    </row>
    <row r="36" spans="2:9" s="80" customFormat="1" ht="23.000000" customHeight="1">
      <c r="B36" s="243"/>
      <c r="C36" s="244"/>
      <c r="D36" s="247" t="s">
        <v>61</v>
      </c>
      <c r="E36" s="247"/>
      <c r="F36" s="247"/>
      <c r="G36" s="247"/>
      <c r="H36" s="247"/>
      <c r="I36" s="82" t="s">
        <v>62</v>
      </c>
    </row>
  </sheetData>
  <mergeCells count="35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3:C13"/>
    <mergeCell ref="B14:C14"/>
    <mergeCell ref="B15:C15"/>
    <mergeCell ref="B22:C22"/>
    <mergeCell ref="B23:C23"/>
    <mergeCell ref="D23:G23"/>
    <mergeCell ref="B24:C24"/>
    <mergeCell ref="D24:G24"/>
    <mergeCell ref="B25:C25"/>
    <mergeCell ref="D25:G25"/>
    <mergeCell ref="B26:C26"/>
    <mergeCell ref="D26:G26"/>
    <mergeCell ref="B27:C27"/>
    <mergeCell ref="D27:G27"/>
    <mergeCell ref="B28:C28"/>
    <mergeCell ref="B29:I29"/>
    <mergeCell ref="B30:I30"/>
    <mergeCell ref="B31:I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E1:X114"/>
  <sheetViews>
    <sheetView topLeftCell="D31" view="pageBreakPreview" zoomScaleNormal="100" zoomScaleSheetLayoutView="100" workbookViewId="0">
      <selection activeCell="H51" sqref="H51:X51"/>
    </sheetView>
  </sheetViews>
  <sheetFormatPr defaultColWidth="11.33203125" defaultRowHeight="20.000000" customHeight="1"/>
  <cols>
    <col min="1" max="4" style="83" width="11.29071413" customWidth="1" outlineLevel="0"/>
    <col min="5" max="9" style="83" width="5.14785705" customWidth="1" outlineLevel="0"/>
    <col min="10" max="10" style="84" width="5.14785705" customWidth="1" outlineLevel="0"/>
    <col min="11" max="12" style="88" width="5.14785705" customWidth="1" outlineLevel="0"/>
    <col min="13" max="13" style="83" width="5.14785705" customWidth="1" outlineLevel="0"/>
    <col min="14" max="14" style="85" width="5.14785705" customWidth="1" outlineLevel="0"/>
    <col min="15" max="24" style="83" width="5.14785705" customWidth="1" outlineLevel="0"/>
    <col min="25" max="252" style="83" width="11.29071413" customWidth="1" outlineLevel="0"/>
    <col min="253" max="258" style="83" width="4.86214290" customWidth="1" outlineLevel="0"/>
    <col min="259" max="259" style="83" width="7.43357120" customWidth="1" outlineLevel="0"/>
    <col min="260" max="272" style="83" width="4.86214290" customWidth="1" outlineLevel="0"/>
    <col min="273" max="508" style="83" width="11.29071413" customWidth="1" outlineLevel="0"/>
    <col min="509" max="514" style="83" width="4.86214290" customWidth="1" outlineLevel="0"/>
    <col min="515" max="515" style="83" width="7.43357120" customWidth="1" outlineLevel="0"/>
    <col min="516" max="528" style="83" width="4.86214290" customWidth="1" outlineLevel="0"/>
    <col min="529" max="764" style="83" width="11.29071413" customWidth="1" outlineLevel="0"/>
    <col min="765" max="770" style="83" width="4.86214290" customWidth="1" outlineLevel="0"/>
    <col min="771" max="771" style="83" width="7.43357120" customWidth="1" outlineLevel="0"/>
    <col min="772" max="784" style="83" width="4.86214290" customWidth="1" outlineLevel="0"/>
    <col min="785" max="1020" style="83" width="11.29071413" customWidth="1" outlineLevel="0"/>
    <col min="1021" max="1026" style="83" width="4.86214290" customWidth="1" outlineLevel="0"/>
    <col min="1027" max="1027" style="83" width="7.43357120" customWidth="1" outlineLevel="0"/>
    <col min="1028" max="1040" style="83" width="4.86214290" customWidth="1" outlineLevel="0"/>
    <col min="1041" max="1276" style="83" width="11.29071413" customWidth="1" outlineLevel="0"/>
    <col min="1277" max="1282" style="83" width="4.86214290" customWidth="1" outlineLevel="0"/>
    <col min="1283" max="1283" style="83" width="7.43357120" customWidth="1" outlineLevel="0"/>
    <col min="1284" max="1296" style="83" width="4.86214290" customWidth="1" outlineLevel="0"/>
    <col min="1297" max="1532" style="83" width="11.29071413" customWidth="1" outlineLevel="0"/>
    <col min="1533" max="1538" style="83" width="4.86214290" customWidth="1" outlineLevel="0"/>
    <col min="1539" max="1539" style="83" width="7.43357120" customWidth="1" outlineLevel="0"/>
    <col min="1540" max="1552" style="83" width="4.86214290" customWidth="1" outlineLevel="0"/>
    <col min="1553" max="1788" style="83" width="11.29071413" customWidth="1" outlineLevel="0"/>
    <col min="1789" max="1794" style="83" width="4.86214290" customWidth="1" outlineLevel="0"/>
    <col min="1795" max="1795" style="83" width="7.43357120" customWidth="1" outlineLevel="0"/>
    <col min="1796" max="1808" style="83" width="4.86214290" customWidth="1" outlineLevel="0"/>
    <col min="1809" max="2044" style="83" width="11.29071413" customWidth="1" outlineLevel="0"/>
    <col min="2045" max="2050" style="83" width="4.86214290" customWidth="1" outlineLevel="0"/>
    <col min="2051" max="2051" style="83" width="7.43357120" customWidth="1" outlineLevel="0"/>
    <col min="2052" max="2064" style="83" width="4.86214290" customWidth="1" outlineLevel="0"/>
    <col min="2065" max="2300" style="83" width="11.29071413" customWidth="1" outlineLevel="0"/>
    <col min="2301" max="2306" style="83" width="4.86214290" customWidth="1" outlineLevel="0"/>
    <col min="2307" max="2307" style="83" width="7.43357120" customWidth="1" outlineLevel="0"/>
    <col min="2308" max="2320" style="83" width="4.86214290" customWidth="1" outlineLevel="0"/>
    <col min="2321" max="2556" style="83" width="11.29071413" customWidth="1" outlineLevel="0"/>
    <col min="2557" max="2562" style="83" width="4.86214290" customWidth="1" outlineLevel="0"/>
    <col min="2563" max="2563" style="83" width="7.43357120" customWidth="1" outlineLevel="0"/>
    <col min="2564" max="2576" style="83" width="4.86214290" customWidth="1" outlineLevel="0"/>
    <col min="2577" max="2812" style="83" width="11.29071413" customWidth="1" outlineLevel="0"/>
    <col min="2813" max="2818" style="83" width="4.86214290" customWidth="1" outlineLevel="0"/>
    <col min="2819" max="2819" style="83" width="7.43357120" customWidth="1" outlineLevel="0"/>
    <col min="2820" max="2832" style="83" width="4.86214290" customWidth="1" outlineLevel="0"/>
    <col min="2833" max="3068" style="83" width="11.29071413" customWidth="1" outlineLevel="0"/>
    <col min="3069" max="3074" style="83" width="4.86214290" customWidth="1" outlineLevel="0"/>
    <col min="3075" max="3075" style="83" width="7.43357120" customWidth="1" outlineLevel="0"/>
    <col min="3076" max="3088" style="83" width="4.86214290" customWidth="1" outlineLevel="0"/>
    <col min="3089" max="3324" style="83" width="11.29071413" customWidth="1" outlineLevel="0"/>
    <col min="3325" max="3330" style="83" width="4.86214290" customWidth="1" outlineLevel="0"/>
    <col min="3331" max="3331" style="83" width="7.43357120" customWidth="1" outlineLevel="0"/>
    <col min="3332" max="3344" style="83" width="4.86214290" customWidth="1" outlineLevel="0"/>
    <col min="3345" max="3580" style="83" width="11.29071413" customWidth="1" outlineLevel="0"/>
    <col min="3581" max="3586" style="83" width="4.86214290" customWidth="1" outlineLevel="0"/>
    <col min="3587" max="3587" style="83" width="7.43357120" customWidth="1" outlineLevel="0"/>
    <col min="3588" max="3600" style="83" width="4.86214290" customWidth="1" outlineLevel="0"/>
    <col min="3601" max="3836" style="83" width="11.29071413" customWidth="1" outlineLevel="0"/>
    <col min="3837" max="3842" style="83" width="4.86214290" customWidth="1" outlineLevel="0"/>
    <col min="3843" max="3843" style="83" width="7.43357120" customWidth="1" outlineLevel="0"/>
    <col min="3844" max="3856" style="83" width="4.86214290" customWidth="1" outlineLevel="0"/>
    <col min="3857" max="4092" style="83" width="11.29071413" customWidth="1" outlineLevel="0"/>
    <col min="4093" max="4098" style="83" width="4.86214290" customWidth="1" outlineLevel="0"/>
    <col min="4099" max="4099" style="83" width="7.43357120" customWidth="1" outlineLevel="0"/>
    <col min="4100" max="4112" style="83" width="4.86214290" customWidth="1" outlineLevel="0"/>
    <col min="4113" max="4348" style="83" width="11.29071413" customWidth="1" outlineLevel="0"/>
    <col min="4349" max="4354" style="83" width="4.86214290" customWidth="1" outlineLevel="0"/>
    <col min="4355" max="4355" style="83" width="7.43357120" customWidth="1" outlineLevel="0"/>
    <col min="4356" max="4368" style="83" width="4.86214290" customWidth="1" outlineLevel="0"/>
    <col min="4369" max="4604" style="83" width="11.29071413" customWidth="1" outlineLevel="0"/>
    <col min="4605" max="4610" style="83" width="4.86214290" customWidth="1" outlineLevel="0"/>
    <col min="4611" max="4611" style="83" width="7.43357120" customWidth="1" outlineLevel="0"/>
    <col min="4612" max="4624" style="83" width="4.86214290" customWidth="1" outlineLevel="0"/>
    <col min="4625" max="4860" style="83" width="11.29071413" customWidth="1" outlineLevel="0"/>
    <col min="4861" max="4866" style="83" width="4.86214290" customWidth="1" outlineLevel="0"/>
    <col min="4867" max="4867" style="83" width="7.43357120" customWidth="1" outlineLevel="0"/>
    <col min="4868" max="4880" style="83" width="4.86214290" customWidth="1" outlineLevel="0"/>
    <col min="4881" max="5116" style="83" width="11.29071413" customWidth="1" outlineLevel="0"/>
    <col min="5117" max="5122" style="83" width="4.86214290" customWidth="1" outlineLevel="0"/>
    <col min="5123" max="5123" style="83" width="7.43357120" customWidth="1" outlineLevel="0"/>
    <col min="5124" max="5136" style="83" width="4.86214290" customWidth="1" outlineLevel="0"/>
    <col min="5137" max="5372" style="83" width="11.29071413" customWidth="1" outlineLevel="0"/>
    <col min="5373" max="5378" style="83" width="4.86214290" customWidth="1" outlineLevel="0"/>
    <col min="5379" max="5379" style="83" width="7.43357120" customWidth="1" outlineLevel="0"/>
    <col min="5380" max="5392" style="83" width="4.86214290" customWidth="1" outlineLevel="0"/>
    <col min="5393" max="5628" style="83" width="11.29071413" customWidth="1" outlineLevel="0"/>
    <col min="5629" max="5634" style="83" width="4.86214290" customWidth="1" outlineLevel="0"/>
    <col min="5635" max="5635" style="83" width="7.43357120" customWidth="1" outlineLevel="0"/>
    <col min="5636" max="5648" style="83" width="4.86214290" customWidth="1" outlineLevel="0"/>
    <col min="5649" max="5884" style="83" width="11.29071413" customWidth="1" outlineLevel="0"/>
    <col min="5885" max="5890" style="83" width="4.86214290" customWidth="1" outlineLevel="0"/>
    <col min="5891" max="5891" style="83" width="7.43357120" customWidth="1" outlineLevel="0"/>
    <col min="5892" max="5904" style="83" width="4.86214290" customWidth="1" outlineLevel="0"/>
    <col min="5905" max="6140" style="83" width="11.29071413" customWidth="1" outlineLevel="0"/>
    <col min="6141" max="6146" style="83" width="4.86214290" customWidth="1" outlineLevel="0"/>
    <col min="6147" max="6147" style="83" width="7.43357120" customWidth="1" outlineLevel="0"/>
    <col min="6148" max="6160" style="83" width="4.86214290" customWidth="1" outlineLevel="0"/>
    <col min="6161" max="6396" style="83" width="11.29071413" customWidth="1" outlineLevel="0"/>
    <col min="6397" max="6402" style="83" width="4.86214290" customWidth="1" outlineLevel="0"/>
    <col min="6403" max="6403" style="83" width="7.43357120" customWidth="1" outlineLevel="0"/>
    <col min="6404" max="6416" style="83" width="4.86214290" customWidth="1" outlineLevel="0"/>
    <col min="6417" max="6652" style="83" width="11.29071413" customWidth="1" outlineLevel="0"/>
    <col min="6653" max="6658" style="83" width="4.86214290" customWidth="1" outlineLevel="0"/>
    <col min="6659" max="6659" style="83" width="7.43357120" customWidth="1" outlineLevel="0"/>
    <col min="6660" max="6672" style="83" width="4.86214290" customWidth="1" outlineLevel="0"/>
    <col min="6673" max="6908" style="83" width="11.29071413" customWidth="1" outlineLevel="0"/>
    <col min="6909" max="6914" style="83" width="4.86214290" customWidth="1" outlineLevel="0"/>
    <col min="6915" max="6915" style="83" width="7.43357120" customWidth="1" outlineLevel="0"/>
    <col min="6916" max="6928" style="83" width="4.86214290" customWidth="1" outlineLevel="0"/>
    <col min="6929" max="7164" style="83" width="11.29071413" customWidth="1" outlineLevel="0"/>
    <col min="7165" max="7170" style="83" width="4.86214290" customWidth="1" outlineLevel="0"/>
    <col min="7171" max="7171" style="83" width="7.43357120" customWidth="1" outlineLevel="0"/>
    <col min="7172" max="7184" style="83" width="4.86214290" customWidth="1" outlineLevel="0"/>
    <col min="7185" max="7420" style="83" width="11.29071413" customWidth="1" outlineLevel="0"/>
    <col min="7421" max="7426" style="83" width="4.86214290" customWidth="1" outlineLevel="0"/>
    <col min="7427" max="7427" style="83" width="7.43357120" customWidth="1" outlineLevel="0"/>
    <col min="7428" max="7440" style="83" width="4.86214290" customWidth="1" outlineLevel="0"/>
    <col min="7441" max="7676" style="83" width="11.29071413" customWidth="1" outlineLevel="0"/>
    <col min="7677" max="7682" style="83" width="4.86214290" customWidth="1" outlineLevel="0"/>
    <col min="7683" max="7683" style="83" width="7.43357120" customWidth="1" outlineLevel="0"/>
    <col min="7684" max="7696" style="83" width="4.86214290" customWidth="1" outlineLevel="0"/>
    <col min="7697" max="7932" style="83" width="11.29071413" customWidth="1" outlineLevel="0"/>
    <col min="7933" max="7938" style="83" width="4.86214290" customWidth="1" outlineLevel="0"/>
    <col min="7939" max="7939" style="83" width="7.43357120" customWidth="1" outlineLevel="0"/>
    <col min="7940" max="7952" style="83" width="4.86214290" customWidth="1" outlineLevel="0"/>
    <col min="7953" max="8188" style="83" width="11.29071413" customWidth="1" outlineLevel="0"/>
    <col min="8189" max="8194" style="83" width="4.86214290" customWidth="1" outlineLevel="0"/>
    <col min="8195" max="8195" style="83" width="7.43357120" customWidth="1" outlineLevel="0"/>
    <col min="8196" max="8208" style="83" width="4.86214290" customWidth="1" outlineLevel="0"/>
    <col min="8209" max="8444" style="83" width="11.29071413" customWidth="1" outlineLevel="0"/>
    <col min="8445" max="8450" style="83" width="4.86214290" customWidth="1" outlineLevel="0"/>
    <col min="8451" max="8451" style="83" width="7.43357120" customWidth="1" outlineLevel="0"/>
    <col min="8452" max="8464" style="83" width="4.86214290" customWidth="1" outlineLevel="0"/>
    <col min="8465" max="8700" style="83" width="11.29071413" customWidth="1" outlineLevel="0"/>
    <col min="8701" max="8706" style="83" width="4.86214290" customWidth="1" outlineLevel="0"/>
    <col min="8707" max="8707" style="83" width="7.43357120" customWidth="1" outlineLevel="0"/>
    <col min="8708" max="8720" style="83" width="4.86214290" customWidth="1" outlineLevel="0"/>
    <col min="8721" max="8956" style="83" width="11.29071413" customWidth="1" outlineLevel="0"/>
    <col min="8957" max="8962" style="83" width="4.86214290" customWidth="1" outlineLevel="0"/>
    <col min="8963" max="8963" style="83" width="7.43357120" customWidth="1" outlineLevel="0"/>
    <col min="8964" max="8976" style="83" width="4.86214290" customWidth="1" outlineLevel="0"/>
    <col min="8977" max="9212" style="83" width="11.29071413" customWidth="1" outlineLevel="0"/>
    <col min="9213" max="9218" style="83" width="4.86214290" customWidth="1" outlineLevel="0"/>
    <col min="9219" max="9219" style="83" width="7.43357120" customWidth="1" outlineLevel="0"/>
    <col min="9220" max="9232" style="83" width="4.86214290" customWidth="1" outlineLevel="0"/>
    <col min="9233" max="9468" style="83" width="11.29071413" customWidth="1" outlineLevel="0"/>
    <col min="9469" max="9474" style="83" width="4.86214290" customWidth="1" outlineLevel="0"/>
    <col min="9475" max="9475" style="83" width="7.43357120" customWidth="1" outlineLevel="0"/>
    <col min="9476" max="9488" style="83" width="4.86214290" customWidth="1" outlineLevel="0"/>
    <col min="9489" max="9724" style="83" width="11.29071413" customWidth="1" outlineLevel="0"/>
    <col min="9725" max="9730" style="83" width="4.86214290" customWidth="1" outlineLevel="0"/>
    <col min="9731" max="9731" style="83" width="7.43357120" customWidth="1" outlineLevel="0"/>
    <col min="9732" max="9744" style="83" width="4.86214290" customWidth="1" outlineLevel="0"/>
    <col min="9745" max="9980" style="83" width="11.29071413" customWidth="1" outlineLevel="0"/>
    <col min="9981" max="9986" style="83" width="4.86214290" customWidth="1" outlineLevel="0"/>
    <col min="9987" max="9987" style="83" width="7.43357120" customWidth="1" outlineLevel="0"/>
    <col min="9988" max="10000" style="83" width="4.86214290" customWidth="1" outlineLevel="0"/>
    <col min="10001" max="10236" style="83" width="11.29071413" customWidth="1" outlineLevel="0"/>
    <col min="10237" max="10242" style="83" width="4.86214290" customWidth="1" outlineLevel="0"/>
    <col min="10243" max="10243" style="83" width="7.43357120" customWidth="1" outlineLevel="0"/>
    <col min="10244" max="10256" style="83" width="4.86214290" customWidth="1" outlineLevel="0"/>
    <col min="10257" max="10492" style="83" width="11.29071413" customWidth="1" outlineLevel="0"/>
    <col min="10493" max="10498" style="83" width="4.86214290" customWidth="1" outlineLevel="0"/>
    <col min="10499" max="10499" style="83" width="7.43357120" customWidth="1" outlineLevel="0"/>
    <col min="10500" max="10512" style="83" width="4.86214290" customWidth="1" outlineLevel="0"/>
    <col min="10513" max="10748" style="83" width="11.29071413" customWidth="1" outlineLevel="0"/>
    <col min="10749" max="10754" style="83" width="4.86214290" customWidth="1" outlineLevel="0"/>
    <col min="10755" max="10755" style="83" width="7.43357120" customWidth="1" outlineLevel="0"/>
    <col min="10756" max="10768" style="83" width="4.86214290" customWidth="1" outlineLevel="0"/>
    <col min="10769" max="11004" style="83" width="11.29071413" customWidth="1" outlineLevel="0"/>
    <col min="11005" max="11010" style="83" width="4.86214290" customWidth="1" outlineLevel="0"/>
    <col min="11011" max="11011" style="83" width="7.43357120" customWidth="1" outlineLevel="0"/>
    <col min="11012" max="11024" style="83" width="4.86214290" customWidth="1" outlineLevel="0"/>
    <col min="11025" max="11260" style="83" width="11.29071413" customWidth="1" outlineLevel="0"/>
    <col min="11261" max="11266" style="83" width="4.86214290" customWidth="1" outlineLevel="0"/>
    <col min="11267" max="11267" style="83" width="7.43357120" customWidth="1" outlineLevel="0"/>
    <col min="11268" max="11280" style="83" width="4.86214290" customWidth="1" outlineLevel="0"/>
    <col min="11281" max="11516" style="83" width="11.29071413" customWidth="1" outlineLevel="0"/>
    <col min="11517" max="11522" style="83" width="4.86214290" customWidth="1" outlineLevel="0"/>
    <col min="11523" max="11523" style="83" width="7.43357120" customWidth="1" outlineLevel="0"/>
    <col min="11524" max="11536" style="83" width="4.86214290" customWidth="1" outlineLevel="0"/>
    <col min="11537" max="11772" style="83" width="11.29071413" customWidth="1" outlineLevel="0"/>
    <col min="11773" max="11778" style="83" width="4.86214290" customWidth="1" outlineLevel="0"/>
    <col min="11779" max="11779" style="83" width="7.43357120" customWidth="1" outlineLevel="0"/>
    <col min="11780" max="11792" style="83" width="4.86214290" customWidth="1" outlineLevel="0"/>
    <col min="11793" max="12028" style="83" width="11.29071413" customWidth="1" outlineLevel="0"/>
    <col min="12029" max="12034" style="83" width="4.86214290" customWidth="1" outlineLevel="0"/>
    <col min="12035" max="12035" style="83" width="7.43357120" customWidth="1" outlineLevel="0"/>
    <col min="12036" max="12048" style="83" width="4.86214290" customWidth="1" outlineLevel="0"/>
    <col min="12049" max="12284" style="83" width="11.29071413" customWidth="1" outlineLevel="0"/>
    <col min="12285" max="12290" style="83" width="4.86214290" customWidth="1" outlineLevel="0"/>
    <col min="12291" max="12291" style="83" width="7.43357120" customWidth="1" outlineLevel="0"/>
    <col min="12292" max="12304" style="83" width="4.86214290" customWidth="1" outlineLevel="0"/>
    <col min="12305" max="12540" style="83" width="11.29071413" customWidth="1" outlineLevel="0"/>
    <col min="12541" max="12546" style="83" width="4.86214290" customWidth="1" outlineLevel="0"/>
    <col min="12547" max="12547" style="83" width="7.43357120" customWidth="1" outlineLevel="0"/>
    <col min="12548" max="12560" style="83" width="4.86214290" customWidth="1" outlineLevel="0"/>
    <col min="12561" max="12796" style="83" width="11.29071413" customWidth="1" outlineLevel="0"/>
    <col min="12797" max="12802" style="83" width="4.86214290" customWidth="1" outlineLevel="0"/>
    <col min="12803" max="12803" style="83" width="7.43357120" customWidth="1" outlineLevel="0"/>
    <col min="12804" max="12816" style="83" width="4.86214290" customWidth="1" outlineLevel="0"/>
    <col min="12817" max="13052" style="83" width="11.29071413" customWidth="1" outlineLevel="0"/>
    <col min="13053" max="13058" style="83" width="4.86214290" customWidth="1" outlineLevel="0"/>
    <col min="13059" max="13059" style="83" width="7.43357120" customWidth="1" outlineLevel="0"/>
    <col min="13060" max="13072" style="83" width="4.86214290" customWidth="1" outlineLevel="0"/>
    <col min="13073" max="13308" style="83" width="11.29071413" customWidth="1" outlineLevel="0"/>
    <col min="13309" max="13314" style="83" width="4.86214290" customWidth="1" outlineLevel="0"/>
    <col min="13315" max="13315" style="83" width="7.43357120" customWidth="1" outlineLevel="0"/>
    <col min="13316" max="13328" style="83" width="4.86214290" customWidth="1" outlineLevel="0"/>
    <col min="13329" max="13564" style="83" width="11.29071413" customWidth="1" outlineLevel="0"/>
    <col min="13565" max="13570" style="83" width="4.86214290" customWidth="1" outlineLevel="0"/>
    <col min="13571" max="13571" style="83" width="7.43357120" customWidth="1" outlineLevel="0"/>
    <col min="13572" max="13584" style="83" width="4.86214290" customWidth="1" outlineLevel="0"/>
    <col min="13585" max="13820" style="83" width="11.29071413" customWidth="1" outlineLevel="0"/>
    <col min="13821" max="13826" style="83" width="4.86214290" customWidth="1" outlineLevel="0"/>
    <col min="13827" max="13827" style="83" width="7.43357120" customWidth="1" outlineLevel="0"/>
    <col min="13828" max="13840" style="83" width="4.86214290" customWidth="1" outlineLevel="0"/>
    <col min="13841" max="14076" style="83" width="11.29071413" customWidth="1" outlineLevel="0"/>
    <col min="14077" max="14082" style="83" width="4.86214290" customWidth="1" outlineLevel="0"/>
    <col min="14083" max="14083" style="83" width="7.43357120" customWidth="1" outlineLevel="0"/>
    <col min="14084" max="14096" style="83" width="4.86214290" customWidth="1" outlineLevel="0"/>
    <col min="14097" max="14332" style="83" width="11.29071413" customWidth="1" outlineLevel="0"/>
    <col min="14333" max="14338" style="83" width="4.86214290" customWidth="1" outlineLevel="0"/>
    <col min="14339" max="14339" style="83" width="7.43357120" customWidth="1" outlineLevel="0"/>
    <col min="14340" max="14352" style="83" width="4.86214290" customWidth="1" outlineLevel="0"/>
    <col min="14353" max="14588" style="83" width="11.29071413" customWidth="1" outlineLevel="0"/>
    <col min="14589" max="14594" style="83" width="4.86214290" customWidth="1" outlineLevel="0"/>
    <col min="14595" max="14595" style="83" width="7.43357120" customWidth="1" outlineLevel="0"/>
    <col min="14596" max="14608" style="83" width="4.86214290" customWidth="1" outlineLevel="0"/>
    <col min="14609" max="14844" style="83" width="11.29071413" customWidth="1" outlineLevel="0"/>
    <col min="14845" max="14850" style="83" width="4.86214290" customWidth="1" outlineLevel="0"/>
    <col min="14851" max="14851" style="83" width="7.43357120" customWidth="1" outlineLevel="0"/>
    <col min="14852" max="14864" style="83" width="4.86214290" customWidth="1" outlineLevel="0"/>
    <col min="14865" max="15100" style="83" width="11.29071413" customWidth="1" outlineLevel="0"/>
    <col min="15101" max="15106" style="83" width="4.86214290" customWidth="1" outlineLevel="0"/>
    <col min="15107" max="15107" style="83" width="7.43357120" customWidth="1" outlineLevel="0"/>
    <col min="15108" max="15120" style="83" width="4.86214290" customWidth="1" outlineLevel="0"/>
    <col min="15121" max="15356" style="83" width="11.29071413" customWidth="1" outlineLevel="0"/>
    <col min="15357" max="15362" style="83" width="4.86214290" customWidth="1" outlineLevel="0"/>
    <col min="15363" max="15363" style="83" width="7.43357120" customWidth="1" outlineLevel="0"/>
    <col min="15364" max="15376" style="83" width="4.86214290" customWidth="1" outlineLevel="0"/>
    <col min="15377" max="15612" style="83" width="11.29071413" customWidth="1" outlineLevel="0"/>
    <col min="15613" max="15618" style="83" width="4.86214290" customWidth="1" outlineLevel="0"/>
    <col min="15619" max="15619" style="83" width="7.43357120" customWidth="1" outlineLevel="0"/>
    <col min="15620" max="15632" style="83" width="4.86214290" customWidth="1" outlineLevel="0"/>
    <col min="15633" max="15868" style="83" width="11.29071413" customWidth="1" outlineLevel="0"/>
    <col min="15869" max="15874" style="83" width="4.86214290" customWidth="1" outlineLevel="0"/>
    <col min="15875" max="15875" style="83" width="7.43357120" customWidth="1" outlineLevel="0"/>
    <col min="15876" max="15888" style="83" width="4.86214290" customWidth="1" outlineLevel="0"/>
    <col min="15889" max="16124" style="83" width="11.29071413" customWidth="1" outlineLevel="0"/>
    <col min="16125" max="16130" style="83" width="4.86214290" customWidth="1" outlineLevel="0"/>
    <col min="16131" max="16131" style="83" width="7.43357120" customWidth="1" outlineLevel="0"/>
    <col min="16132" max="16144" style="83" width="4.86214290" customWidth="1" outlineLevel="0"/>
    <col min="16145" max="16384" style="83" width="11.29071413" customWidth="1" outlineLevel="0"/>
  </cols>
  <sheetData>
    <row r="1" spans="5:24" ht="14.000000">
      <c r="E1" s="87"/>
      <c r="F1" s="87"/>
    </row>
    <row r="2" spans="5:24" ht="14.000000">
      <c r="E2" s="87"/>
      <c r="F2" s="87"/>
    </row>
    <row r="3" spans="5:24" ht="14.000000">
      <c r="E3" s="87"/>
      <c r="F3" s="87"/>
    </row>
    <row r="4" spans="5:24" ht="14.000000">
      <c r="E4" s="87"/>
      <c r="F4" s="87"/>
    </row>
    <row r="5" spans="5:24" ht="14.000000">
      <c r="E5" s="87"/>
      <c r="F5" s="87"/>
    </row>
    <row r="6" spans="5:24" ht="14.000000">
      <c r="E6" s="87"/>
      <c r="F6" s="87"/>
    </row>
    <row r="7" spans="5:24" ht="4.000000" customHeight="1">
      <c r="E7" s="175" t="s">
        <v>64</v>
      </c>
      <c r="F7" s="176"/>
      <c r="G7" s="176"/>
      <c r="H7" s="176"/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</row>
    <row r="8" spans="5:24" ht="66.000000" customHeight="1">
      <c r="E8" s="177" t="s">
        <v>98</v>
      </c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</row>
    <row r="9" spans="5:24" ht="44.000000" customHeight="1">
      <c r="E9" s="178" t="str">
        <f>갑지!P20</f>
        <v>래미안길음뉴타운9단지아파트</v>
      </c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</row>
    <row r="10" spans="5:24" ht="4.000000" customHeight="1">
      <c r="E10" s="179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</row>
    <row r="11" spans="5:24" ht="40.000000" customHeight="1">
      <c r="E11" s="89"/>
      <c r="F11" s="89"/>
    </row>
    <row r="12" spans="5:24" ht="40.000000" customHeight="1">
      <c r="E12" s="89"/>
      <c r="F12" s="89"/>
    </row>
    <row r="13" spans="5:24" ht="40.000000" customHeight="1">
      <c r="E13" s="89"/>
      <c r="F13" s="89"/>
    </row>
    <row r="14" spans="5:24" ht="40.000000" customHeight="1">
      <c r="E14" s="89"/>
      <c r="F14" s="89"/>
    </row>
    <row r="15" spans="5:24" ht="40.000000" customHeight="1">
      <c r="E15" s="89"/>
      <c r="F15" s="89"/>
    </row>
    <row r="16" spans="5:24" ht="24.000000">
      <c r="E16" s="181" t="str">
        <f>갑지!J10</f>
        <v>2026년 상반기</v>
      </c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</row>
    <row r="17" spans="5:24" ht="40.000000" customHeight="1">
      <c r="E17" s="89"/>
      <c r="F17" s="89"/>
    </row>
    <row r="18" spans="5:24" ht="40.000000" customHeight="1">
      <c r="E18" s="89"/>
      <c r="F18" s="89"/>
    </row>
    <row r="19" spans="5:24" ht="40.000000" customHeight="1">
      <c r="E19" s="89"/>
      <c r="F19" s="89"/>
    </row>
    <row r="20" spans="5:24" ht="40.000000" customHeight="1">
      <c r="E20" s="89"/>
      <c r="F20" s="89"/>
    </row>
    <row r="21" spans="5:24" ht="40.000000" customHeight="1">
      <c r="E21" s="87"/>
      <c r="F21" s="87"/>
    </row>
    <row r="22" spans="5:24" ht="53.250000" customHeight="1">
      <c r="G22" s="90"/>
      <c r="H22" s="90"/>
      <c r="L22" s="182" t="s">
        <v>65</v>
      </c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2"/>
      <c r="X22" s="182"/>
    </row>
    <row r="23" spans="5:24" ht="24.000000" customHeight="1">
      <c r="G23" s="91"/>
      <c r="H23" s="91"/>
      <c r="I23" s="91"/>
      <c r="L23" s="98" t="s">
        <v>66</v>
      </c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</row>
    <row r="24" spans="5:24" ht="24.000000" customHeight="1">
      <c r="G24" s="91"/>
      <c r="H24" s="91"/>
      <c r="I24" s="91"/>
      <c r="L24" s="98" t="s">
        <v>67</v>
      </c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</row>
    <row r="25" spans="5:24" ht="24.000000" customHeight="1">
      <c r="G25" s="91"/>
      <c r="H25" s="91"/>
      <c r="I25" s="91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</row>
    <row r="26" spans="5:24" ht="24.000000" customHeight="1">
      <c r="G26" s="91"/>
      <c r="H26" s="91"/>
      <c r="I26" s="91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</row>
    <row r="27" spans="5:24" ht="43.500000" customHeight="1">
      <c r="E27" s="183" t="s">
        <v>115</v>
      </c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5"/>
    </row>
    <row r="28" spans="5:24" ht="24.950000" customHeight="1">
      <c r="E28" s="196" t="s">
        <v>68</v>
      </c>
      <c r="F28" s="197"/>
      <c r="G28" s="200" t="s">
        <v>69</v>
      </c>
      <c r="H28" s="200"/>
      <c r="I28" s="200"/>
      <c r="J28" s="201" t="str">
        <f>E9</f>
        <v>래미안길음뉴타운9단지아파트</v>
      </c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2"/>
    </row>
    <row r="29" spans="5:24" ht="24.950000" customHeight="1">
      <c r="E29" s="198"/>
      <c r="F29" s="199"/>
      <c r="G29" s="203" t="s">
        <v>70</v>
      </c>
      <c r="H29" s="203"/>
      <c r="I29" s="203"/>
      <c r="J29" s="204" t="s">
        <v>152</v>
      </c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5"/>
    </row>
    <row r="30" spans="5:24" ht="24.950000" customHeight="1">
      <c r="E30" s="198"/>
      <c r="F30" s="199"/>
      <c r="G30" s="203"/>
      <c r="H30" s="203"/>
      <c r="I30" s="203"/>
      <c r="J30" s="204" t="s">
        <v>153</v>
      </c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5"/>
    </row>
    <row r="31" spans="5:24" ht="24.950000" customHeight="1">
      <c r="E31" s="198"/>
      <c r="F31" s="199"/>
      <c r="G31" s="203"/>
      <c r="H31" s="203"/>
      <c r="I31" s="203"/>
      <c r="J31" s="204" t="s">
        <v>157</v>
      </c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5"/>
    </row>
    <row r="32" spans="5:24" ht="24.950000" customHeight="1">
      <c r="E32" s="198"/>
      <c r="F32" s="199"/>
      <c r="G32" s="203"/>
      <c r="H32" s="203"/>
      <c r="I32" s="203"/>
      <c r="J32" s="204" t="s">
        <v>154</v>
      </c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5"/>
    </row>
    <row r="33" spans="5:24" ht="24.950000" customHeight="1">
      <c r="E33" s="198"/>
      <c r="F33" s="199"/>
      <c r="G33" s="203"/>
      <c r="H33" s="203"/>
      <c r="I33" s="203"/>
      <c r="J33" s="206" t="s">
        <v>155</v>
      </c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6"/>
      <c r="X33" s="207"/>
    </row>
    <row r="34" spans="5:24" ht="24.950000" customHeight="1">
      <c r="E34" s="189" t="s">
        <v>71</v>
      </c>
      <c r="F34" s="190"/>
      <c r="G34" s="195" t="s">
        <v>72</v>
      </c>
      <c r="H34" s="195"/>
      <c r="I34" s="195"/>
      <c r="J34" s="186" t="str">
        <f>J28&amp;" 점검프로그램 사용"</f>
        <v>래미안길음뉴타운9단지아파트 점검프로그램 사용</v>
      </c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8"/>
    </row>
    <row r="35" spans="5:24" ht="24.950000" customHeight="1">
      <c r="E35" s="191"/>
      <c r="F35" s="192"/>
      <c r="G35" s="203" t="s">
        <v>73</v>
      </c>
      <c r="H35" s="203"/>
      <c r="I35" s="203"/>
      <c r="J35" s="208" t="str">
        <f>갑지!P29&amp;" - VAT별도"</f>
        <v>일금칠십만원정 (₩700,000) - VAT별도</v>
      </c>
      <c r="K35" s="209"/>
      <c r="L35" s="209"/>
      <c r="M35" s="209"/>
      <c r="N35" s="209"/>
      <c r="O35" s="209"/>
      <c r="P35" s="209"/>
      <c r="Q35" s="209"/>
      <c r="R35" s="209"/>
      <c r="S35" s="209"/>
      <c r="T35" s="209"/>
      <c r="U35" s="210"/>
      <c r="V35" s="209"/>
      <c r="W35" s="209"/>
      <c r="X35" s="211"/>
    </row>
    <row r="36" spans="5:24" ht="24.950000" customHeight="1">
      <c r="E36" s="191"/>
      <c r="F36" s="192"/>
      <c r="G36" s="203" t="s">
        <v>74</v>
      </c>
      <c r="H36" s="203"/>
      <c r="I36" s="203"/>
      <c r="J36" s="212" t="str">
        <f>J35</f>
        <v>일금칠십만원정 (₩700,000) - VAT별도</v>
      </c>
      <c r="K36" s="212"/>
      <c r="L36" s="212"/>
      <c r="M36" s="212"/>
      <c r="N36" s="212"/>
      <c r="O36" s="212"/>
      <c r="P36" s="212"/>
      <c r="Q36" s="212"/>
      <c r="R36" s="212"/>
      <c r="S36" s="212"/>
      <c r="T36" s="212"/>
      <c r="U36" s="212"/>
      <c r="V36" s="212"/>
      <c r="W36" s="212"/>
      <c r="X36" s="213"/>
    </row>
    <row r="37" spans="5:24" ht="24.950000" customHeight="1">
      <c r="E37" s="191"/>
      <c r="F37" s="192"/>
      <c r="G37" s="203" t="s">
        <v>75</v>
      </c>
      <c r="H37" s="203"/>
      <c r="I37" s="203"/>
      <c r="J37" s="214" t="s">
        <v>76</v>
      </c>
      <c r="K37" s="214"/>
      <c r="L37" s="214"/>
      <c r="M37" s="214"/>
      <c r="N37" s="214"/>
      <c r="O37" s="214"/>
      <c r="P37" s="214"/>
      <c r="Q37" s="214"/>
      <c r="R37" s="214"/>
      <c r="S37" s="214"/>
      <c r="T37" s="214"/>
      <c r="U37" s="214"/>
      <c r="V37" s="214"/>
      <c r="W37" s="214"/>
      <c r="X37" s="215"/>
    </row>
    <row r="38" spans="5:24" ht="24.950000" customHeight="1">
      <c r="E38" s="191"/>
      <c r="F38" s="192"/>
      <c r="G38" s="203" t="s">
        <v>77</v>
      </c>
      <c r="H38" s="203"/>
      <c r="I38" s="203"/>
      <c r="J38" s="214" t="s">
        <v>78</v>
      </c>
      <c r="K38" s="214"/>
      <c r="L38" s="214"/>
      <c r="M38" s="214"/>
      <c r="N38" s="214"/>
      <c r="O38" s="214"/>
      <c r="P38" s="214"/>
      <c r="Q38" s="214"/>
      <c r="R38" s="214"/>
      <c r="S38" s="214"/>
      <c r="T38" s="214"/>
      <c r="U38" s="214"/>
      <c r="V38" s="214"/>
      <c r="W38" s="214"/>
      <c r="X38" s="215"/>
    </row>
    <row r="39" spans="5:24" ht="24.950000" customHeight="1">
      <c r="E39" s="191"/>
      <c r="F39" s="192"/>
      <c r="G39" s="203" t="s">
        <v>79</v>
      </c>
      <c r="H39" s="203"/>
      <c r="I39" s="203"/>
      <c r="J39" s="214" t="str">
        <f>갑지!P21</f>
        <v>서울 성북구 길음로9길 50 (길음동)</v>
      </c>
      <c r="K39" s="214"/>
      <c r="L39" s="214"/>
      <c r="M39" s="214"/>
      <c r="N39" s="214"/>
      <c r="O39" s="214"/>
      <c r="P39" s="214"/>
      <c r="Q39" s="214"/>
      <c r="R39" s="214"/>
      <c r="S39" s="214"/>
      <c r="T39" s="214"/>
      <c r="U39" s="214"/>
      <c r="V39" s="214"/>
      <c r="W39" s="214"/>
      <c r="X39" s="215"/>
    </row>
    <row r="40" spans="5:24" ht="24.950000" customHeight="1">
      <c r="E40" s="191"/>
      <c r="F40" s="192"/>
      <c r="G40" s="203"/>
      <c r="H40" s="203"/>
      <c r="I40" s="203"/>
      <c r="J40" s="155" t="s">
        <v>80</v>
      </c>
      <c r="K40" s="123"/>
      <c r="L40" s="123" t="s">
        <v>159</v>
      </c>
      <c r="M40" s="123"/>
      <c r="N40" s="123"/>
      <c r="O40" s="123"/>
      <c r="P40" s="123"/>
      <c r="Q40" s="123" t="s">
        <v>160</v>
      </c>
      <c r="R40" s="123" t="s">
        <v>81</v>
      </c>
      <c r="S40" s="123"/>
      <c r="T40" s="123" t="s">
        <v>159</v>
      </c>
      <c r="U40" s="123"/>
      <c r="V40" s="123"/>
      <c r="W40" s="123"/>
      <c r="X40" s="156"/>
    </row>
    <row r="41" spans="5:24" ht="24.950000" customHeight="1">
      <c r="E41" s="191"/>
      <c r="F41" s="192"/>
      <c r="G41" s="157" t="s">
        <v>82</v>
      </c>
      <c r="H41" s="158"/>
      <c r="I41" s="159"/>
      <c r="J41" s="160" t="s">
        <v>171</v>
      </c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2"/>
    </row>
    <row r="42" spans="5:24" ht="24.950000" customHeight="1">
      <c r="E42" s="191"/>
      <c r="F42" s="192"/>
      <c r="G42" s="163" t="s">
        <v>83</v>
      </c>
      <c r="H42" s="164"/>
      <c r="I42" s="165"/>
      <c r="J42" s="172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4"/>
    </row>
    <row r="43" spans="5:24" ht="24.950000" customHeight="1">
      <c r="E43" s="193"/>
      <c r="F43" s="194"/>
      <c r="G43" s="166"/>
      <c r="H43" s="167"/>
      <c r="I43" s="168"/>
      <c r="J43" s="169" t="s">
        <v>99</v>
      </c>
      <c r="K43" s="170"/>
      <c r="L43" s="170"/>
      <c r="M43" s="170"/>
      <c r="N43" s="170"/>
      <c r="O43" s="170"/>
      <c r="P43" s="170"/>
      <c r="Q43" s="170"/>
      <c r="R43" s="170"/>
      <c r="S43" s="170"/>
      <c r="T43" s="170"/>
      <c r="U43" s="170"/>
      <c r="V43" s="170"/>
      <c r="W43" s="170"/>
      <c r="X43" s="171"/>
    </row>
    <row r="44" spans="5:24" ht="14.000000">
      <c r="E44" s="145"/>
      <c r="F44" s="146"/>
      <c r="G44" s="146"/>
      <c r="H44" s="146"/>
      <c r="X44" s="93"/>
    </row>
    <row r="45" spans="5:24" ht="55.500000" customHeight="1">
      <c r="E45" s="147" t="s">
        <v>84</v>
      </c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148"/>
    </row>
    <row r="46" spans="5:24" ht="14.000000">
      <c r="E46" s="94"/>
      <c r="F46" s="95"/>
      <c r="G46" s="95"/>
      <c r="H46" s="95"/>
      <c r="X46" s="93"/>
    </row>
    <row r="47" spans="5:24" ht="24.950000" customHeight="1">
      <c r="E47" s="149" t="s">
        <v>85</v>
      </c>
      <c r="F47" s="150"/>
      <c r="G47" s="150"/>
      <c r="H47" s="98" t="s">
        <v>113</v>
      </c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148"/>
    </row>
    <row r="48" spans="5:24" ht="14.250000" customHeight="1">
      <c r="E48" s="96"/>
      <c r="F48" s="91"/>
      <c r="G48" s="91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148"/>
    </row>
    <row r="49" spans="5:24" ht="24.950000" customHeight="1">
      <c r="E49" s="96"/>
      <c r="F49" s="91"/>
      <c r="G49" s="91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148"/>
    </row>
    <row r="50" spans="5:24" ht="14.000000">
      <c r="E50" s="145"/>
      <c r="F50" s="146"/>
      <c r="G50" s="146"/>
      <c r="H50" s="146"/>
      <c r="X50" s="93"/>
    </row>
    <row r="51" spans="5:24" ht="24.950000" customHeight="1">
      <c r="E51" s="151" t="s">
        <v>86</v>
      </c>
      <c r="F51" s="152"/>
      <c r="G51" s="152"/>
      <c r="H51" s="153" t="s">
        <v>119</v>
      </c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4"/>
    </row>
    <row r="52" spans="5:24" ht="26.250000" customHeight="1">
      <c r="E52" s="136" t="s">
        <v>100</v>
      </c>
      <c r="F52" s="137"/>
      <c r="G52" s="137"/>
      <c r="H52" s="137"/>
      <c r="I52" s="137"/>
      <c r="J52" s="137"/>
      <c r="K52" s="137"/>
      <c r="L52" s="137"/>
      <c r="M52" s="137"/>
      <c r="N52" s="137"/>
      <c r="O52" s="137" t="s">
        <v>101</v>
      </c>
      <c r="P52" s="137"/>
      <c r="Q52" s="137"/>
      <c r="R52" s="137"/>
      <c r="S52" s="137"/>
      <c r="T52" s="137"/>
      <c r="U52" s="137"/>
      <c r="V52" s="137"/>
      <c r="W52" s="137"/>
      <c r="X52" s="138"/>
    </row>
    <row r="53" spans="5:24" ht="40.500000" customHeight="1">
      <c r="E53" s="136" t="s">
        <v>87</v>
      </c>
      <c r="F53" s="137"/>
      <c r="G53" s="137"/>
      <c r="H53" s="139" t="str">
        <f>E9</f>
        <v>래미안길음뉴타운9단지아파트</v>
      </c>
      <c r="I53" s="139"/>
      <c r="J53" s="139"/>
      <c r="K53" s="139"/>
      <c r="L53" s="139"/>
      <c r="M53" s="139"/>
      <c r="N53" s="139"/>
      <c r="O53" s="137" t="s">
        <v>88</v>
      </c>
      <c r="P53" s="137"/>
      <c r="Q53" s="137"/>
      <c r="R53" s="140" t="s">
        <v>89</v>
      </c>
      <c r="S53" s="140"/>
      <c r="T53" s="140"/>
      <c r="U53" s="140"/>
      <c r="V53" s="140"/>
      <c r="W53" s="140"/>
      <c r="X53" s="141"/>
    </row>
    <row r="54" spans="5:24" ht="40.500000" customHeight="1">
      <c r="E54" s="136" t="s">
        <v>90</v>
      </c>
      <c r="F54" s="137"/>
      <c r="G54" s="137"/>
      <c r="H54" s="142" t="str">
        <f>J39</f>
        <v>서울 성북구 길음로9길 50 (길음동)</v>
      </c>
      <c r="I54" s="142"/>
      <c r="J54" s="142"/>
      <c r="K54" s="142"/>
      <c r="L54" s="142"/>
      <c r="M54" s="142"/>
      <c r="N54" s="142"/>
      <c r="O54" s="137" t="s">
        <v>91</v>
      </c>
      <c r="P54" s="137"/>
      <c r="Q54" s="137"/>
      <c r="R54" s="143" t="s">
        <v>181</v>
      </c>
      <c r="S54" s="143"/>
      <c r="T54" s="143"/>
      <c r="U54" s="143"/>
      <c r="V54" s="143"/>
      <c r="W54" s="143"/>
      <c r="X54" s="144"/>
    </row>
    <row r="55" spans="5:24" ht="40.500000" customHeight="1">
      <c r="E55" s="127" t="s">
        <v>92</v>
      </c>
      <c r="F55" s="128"/>
      <c r="G55" s="128"/>
      <c r="H55" s="129" t="s">
        <v>93</v>
      </c>
      <c r="I55" s="129"/>
      <c r="J55" s="129"/>
      <c r="K55" s="129"/>
      <c r="L55" s="129"/>
      <c r="M55" s="129"/>
      <c r="N55" s="129"/>
      <c r="O55" s="128" t="s">
        <v>94</v>
      </c>
      <c r="P55" s="128"/>
      <c r="Q55" s="128"/>
      <c r="R55" s="130" t="s">
        <v>95</v>
      </c>
      <c r="S55" s="130"/>
      <c r="T55" s="130"/>
      <c r="U55" s="130"/>
      <c r="V55" s="130"/>
      <c r="W55" s="130"/>
      <c r="X55" s="131"/>
    </row>
    <row r="56" spans="5:24" ht="16.000000">
      <c r="E56" s="132" t="s">
        <v>96</v>
      </c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</row>
    <row r="57" spans="5:24" ht="26.000000">
      <c r="E57" s="133" t="s">
        <v>112</v>
      </c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</row>
    <row r="58" spans="5:24" ht="15.000000">
      <c r="E58" s="97"/>
      <c r="I58" s="84"/>
      <c r="J58" s="88"/>
      <c r="L58" s="85"/>
    </row>
    <row r="59" spans="5:24" ht="24.950000" customHeight="1">
      <c r="F59" s="135" t="s">
        <v>173</v>
      </c>
      <c r="G59" s="135"/>
      <c r="H59" s="134" t="str">
        <f>H53</f>
        <v>래미안길음뉴타운9단지아파트</v>
      </c>
      <c r="I59" s="134"/>
      <c r="J59" s="134"/>
      <c r="K59" s="134"/>
      <c r="L59" s="134"/>
      <c r="M59" s="134"/>
      <c r="N59" s="134"/>
      <c r="O59" s="134"/>
      <c r="P59" s="135" t="s">
        <v>174</v>
      </c>
      <c r="Q59" s="135"/>
      <c r="R59" s="135"/>
      <c r="S59" s="135"/>
      <c r="T59" s="135"/>
      <c r="U59" s="135"/>
      <c r="V59" s="135"/>
      <c r="W59" s="135"/>
      <c r="X59" s="135"/>
    </row>
    <row r="60" spans="5:24" ht="24.950000" customHeight="1">
      <c r="F60" s="126" t="s">
        <v>175</v>
      </c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</row>
    <row r="61" spans="5:24" ht="20.000000" customHeight="1">
      <c r="E61" s="98"/>
      <c r="F61" s="98"/>
      <c r="G61" s="98"/>
      <c r="H61" s="98"/>
      <c r="I61" s="98"/>
      <c r="J61" s="98"/>
      <c r="K61" s="98"/>
      <c r="L61" s="98"/>
      <c r="M61" s="98"/>
    </row>
    <row r="62" spans="5:24" ht="20.000000" customHeight="1">
      <c r="E62" s="122" t="s">
        <v>141</v>
      </c>
      <c r="F62" s="122"/>
      <c r="G62" s="122"/>
      <c r="H62" s="122"/>
      <c r="I62" s="122"/>
      <c r="J62" s="122"/>
      <c r="K62" s="122"/>
      <c r="L62" s="122"/>
      <c r="M62" s="122"/>
    </row>
    <row r="63" spans="5:24" ht="66.750000" customHeight="1">
      <c r="F63" s="98" t="s">
        <v>161</v>
      </c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</row>
    <row r="64" spans="5:24" ht="20.000000" customHeight="1">
      <c r="E64" s="99"/>
      <c r="I64" s="84"/>
      <c r="J64" s="88"/>
      <c r="L64" s="85"/>
    </row>
    <row r="65" spans="5:24" ht="20.000000" customHeight="1">
      <c r="E65" s="122" t="s">
        <v>142</v>
      </c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</row>
    <row r="66" spans="5:24" ht="20.000000" customHeight="1">
      <c r="F66" s="103" t="str">
        <f>"① 시설물명 : "&amp;H53</f>
        <v>① 시설물명 : 래미안길음뉴타운9단지아파트</v>
      </c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</row>
    <row r="67" spans="5:24" ht="20.000000" customHeight="1">
      <c r="F67" s="103" t="str">
        <f>"② 위      치 : "&amp;H54</f>
        <v>② 위      치 : 서울 성북구 길음로9길 50 (길음동)</v>
      </c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</row>
    <row r="68" spans="5:24" ht="20.000000" customHeight="1">
      <c r="F68" s="103" t="s">
        <v>170</v>
      </c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</row>
    <row r="69" spans="5:24" ht="20.000000" customHeight="1">
      <c r="F69" s="103" t="str">
        <f>"④ 점검프로그램 대상시설물의 범위 : "&amp;갑지!P22</f>
        <v>④ 점검프로그램 대상시설물의 범위 : 아파트 15개동 1012세대 (해당동 : 15개동)</v>
      </c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</row>
    <row r="70" spans="5:24" ht="20.000000" customHeight="1">
      <c r="E70" s="99"/>
      <c r="I70" s="84"/>
      <c r="J70" s="88"/>
      <c r="L70" s="85"/>
    </row>
    <row r="71" spans="5:24" ht="17.000000">
      <c r="E71" s="122" t="s">
        <v>143</v>
      </c>
      <c r="F71" s="122"/>
      <c r="G71" s="122"/>
      <c r="H71" s="122"/>
      <c r="I71" s="122"/>
      <c r="J71" s="122"/>
      <c r="K71" s="122"/>
      <c r="L71" s="122"/>
      <c r="M71" s="122"/>
    </row>
    <row r="72" spans="5:24" ht="35.250000" customHeight="1">
      <c r="F72" s="98" t="s">
        <v>126</v>
      </c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</row>
    <row r="73" spans="5:24" ht="52.500000" customHeight="1">
      <c r="F73" s="98" t="s">
        <v>102</v>
      </c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</row>
    <row r="74" spans="5:24" ht="32.250000" customHeight="1">
      <c r="F74" s="98" t="s">
        <v>103</v>
      </c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</row>
    <row r="75" spans="5:24" ht="47.250000" customHeight="1">
      <c r="E75" s="99"/>
      <c r="F75" s="98" t="s">
        <v>121</v>
      </c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</row>
    <row r="76" spans="5:24" ht="20.000000" customHeight="1">
      <c r="E76" s="99"/>
      <c r="I76" s="84"/>
      <c r="J76" s="88"/>
      <c r="L76" s="85"/>
    </row>
    <row r="77" spans="5:24" ht="17.000000">
      <c r="E77" s="122" t="s">
        <v>144</v>
      </c>
      <c r="F77" s="122"/>
      <c r="G77" s="122"/>
      <c r="H77" s="122"/>
      <c r="I77" s="122"/>
      <c r="J77" s="122"/>
      <c r="K77" s="122"/>
      <c r="L77" s="122"/>
      <c r="M77" s="122"/>
    </row>
    <row r="78" spans="5:24" ht="20.000000" customHeight="1">
      <c r="F78" s="110" t="s">
        <v>122</v>
      </c>
      <c r="G78" s="100"/>
      <c r="H78" s="100"/>
      <c r="I78" s="100"/>
      <c r="J78" s="100"/>
      <c r="K78" s="100"/>
      <c r="L78" s="100"/>
      <c r="M78" s="100"/>
    </row>
    <row r="79" spans="5:24" ht="40.000000" customHeight="1">
      <c r="F79" s="98" t="s">
        <v>104</v>
      </c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</row>
    <row r="80" spans="5:24" ht="20.000000" customHeight="1">
      <c r="E80" s="99"/>
      <c r="I80" s="84"/>
      <c r="J80" s="88"/>
      <c r="L80" s="85"/>
    </row>
    <row r="81" spans="5:24" ht="20.000000" customHeight="1">
      <c r="E81" s="122" t="s">
        <v>145</v>
      </c>
      <c r="F81" s="122"/>
      <c r="G81" s="122"/>
      <c r="H81" s="122"/>
      <c r="I81" s="122"/>
      <c r="J81" s="122"/>
      <c r="K81" s="122"/>
      <c r="L81" s="122"/>
      <c r="M81" s="122"/>
    </row>
    <row r="82" spans="5:24" ht="20.000000" customHeight="1">
      <c r="F82" s="98" t="s">
        <v>105</v>
      </c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</row>
    <row r="83" spans="5:24" ht="20.000000" customHeight="1">
      <c r="E83" s="101"/>
      <c r="F83" s="98" t="s">
        <v>123</v>
      </c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</row>
    <row r="84" spans="5:24" ht="34.500000" customHeight="1">
      <c r="E84" s="102"/>
      <c r="F84" s="98" t="s">
        <v>120</v>
      </c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</row>
    <row r="85" spans="5:24" ht="20.000000" customHeight="1">
      <c r="F85" s="100"/>
      <c r="G85" s="100"/>
      <c r="H85" s="100"/>
      <c r="I85" s="100"/>
      <c r="J85" s="100"/>
      <c r="K85" s="100"/>
      <c r="L85" s="100"/>
      <c r="M85" s="100"/>
    </row>
    <row r="86" spans="5:24" ht="20.000000" customHeight="1">
      <c r="E86" s="122" t="s">
        <v>146</v>
      </c>
      <c r="F86" s="122"/>
      <c r="G86" s="122"/>
      <c r="H86" s="122"/>
      <c r="I86" s="122"/>
      <c r="J86" s="122"/>
      <c r="K86" s="122"/>
      <c r="L86" s="122"/>
      <c r="M86" s="122"/>
    </row>
    <row r="87" spans="5:24" ht="40.000000" customHeight="1">
      <c r="F87" s="98" t="s">
        <v>106</v>
      </c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</row>
    <row r="88" spans="5:24" ht="40.000000" customHeight="1">
      <c r="F88" s="98" t="s">
        <v>107</v>
      </c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</row>
    <row r="89" spans="5:24" ht="38.250000" customHeight="1">
      <c r="F89" s="98" t="s">
        <v>108</v>
      </c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</row>
    <row r="90" spans="5:24" ht="20.000000" customHeight="1">
      <c r="E90" s="99"/>
      <c r="I90" s="84"/>
      <c r="J90" s="88"/>
      <c r="L90" s="85"/>
    </row>
    <row r="91" spans="5:24" ht="20.000000" customHeight="1">
      <c r="E91" s="122" t="s">
        <v>147</v>
      </c>
      <c r="F91" s="122"/>
      <c r="G91" s="122"/>
      <c r="H91" s="122"/>
      <c r="I91" s="122"/>
      <c r="J91" s="122"/>
      <c r="K91" s="122"/>
      <c r="L91" s="122"/>
      <c r="M91" s="122"/>
    </row>
    <row r="92" spans="5:24" ht="40.000000" customHeight="1">
      <c r="F92" s="98" t="s">
        <v>127</v>
      </c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</row>
    <row r="93" spans="5:24" ht="40.000000" customHeight="1">
      <c r="F93" s="98" t="s">
        <v>124</v>
      </c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</row>
    <row r="94" spans="5:24" ht="20.000000" customHeight="1">
      <c r="E94" s="99"/>
      <c r="I94" s="84"/>
      <c r="J94" s="88"/>
      <c r="L94" s="85"/>
    </row>
    <row r="95" spans="5:24" ht="20.000000" customHeight="1">
      <c r="E95" s="122" t="s">
        <v>148</v>
      </c>
      <c r="F95" s="122"/>
      <c r="G95" s="122"/>
      <c r="H95" s="122"/>
      <c r="I95" s="122"/>
      <c r="J95" s="122"/>
      <c r="K95" s="122"/>
      <c r="L95" s="122"/>
      <c r="M95" s="122"/>
    </row>
    <row r="96" spans="5:24" ht="60.000000" customHeight="1">
      <c r="F96" s="98" t="s">
        <v>128</v>
      </c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</row>
    <row r="97" spans="5:24" ht="20.000000" customHeight="1">
      <c r="E97" s="99"/>
      <c r="I97" s="84"/>
      <c r="J97" s="88"/>
      <c r="L97" s="85"/>
    </row>
    <row r="98" spans="5:24" ht="20.000000" customHeight="1">
      <c r="E98" s="122" t="s">
        <v>149</v>
      </c>
      <c r="F98" s="103"/>
      <c r="G98" s="103"/>
      <c r="H98" s="103"/>
      <c r="I98" s="103"/>
      <c r="J98" s="103"/>
      <c r="K98" s="103"/>
      <c r="L98" s="103"/>
      <c r="M98" s="103"/>
    </row>
    <row r="99" spans="5:24" ht="20.000000" customHeight="1">
      <c r="F99" s="103" t="s">
        <v>97</v>
      </c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</row>
    <row r="100" spans="5:24" ht="20.000000" customHeight="1">
      <c r="E100" s="104"/>
      <c r="F100" s="103" t="s">
        <v>137</v>
      </c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</row>
    <row r="101" spans="5:24" ht="20.000000" customHeight="1">
      <c r="E101" s="104"/>
      <c r="F101" s="126" t="s">
        <v>138</v>
      </c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</row>
    <row r="102" spans="5:24" ht="20.000000" customHeight="1">
      <c r="E102" s="104"/>
      <c r="F102" s="126" t="s">
        <v>139</v>
      </c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</row>
    <row r="103" spans="5:24" ht="20.000000" customHeight="1">
      <c r="E103" s="104"/>
      <c r="F103" s="126" t="s">
        <v>140</v>
      </c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</row>
    <row r="104" spans="5:24" ht="20.000000" customHeight="1">
      <c r="E104" s="99"/>
      <c r="I104" s="84"/>
      <c r="J104" s="88"/>
      <c r="L104" s="85"/>
    </row>
    <row r="105" spans="5:24" ht="20.000000" customHeight="1">
      <c r="E105" s="122" t="s">
        <v>150</v>
      </c>
      <c r="F105" s="103"/>
      <c r="G105" s="103"/>
      <c r="H105" s="103"/>
      <c r="I105" s="103"/>
      <c r="J105" s="103"/>
      <c r="K105" s="103"/>
      <c r="L105" s="103"/>
      <c r="M105" s="103"/>
    </row>
    <row r="106" spans="5:24" ht="40.000000" customHeight="1">
      <c r="F106" s="98" t="s">
        <v>156</v>
      </c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</row>
    <row r="107" spans="5:24" ht="20.000000" customHeight="1">
      <c r="E107" s="99"/>
      <c r="I107" s="84"/>
      <c r="J107" s="88"/>
      <c r="L107" s="85"/>
    </row>
    <row r="108" spans="5:24" ht="20.000000" customHeight="1">
      <c r="E108" s="122" t="s">
        <v>151</v>
      </c>
      <c r="F108" s="122"/>
      <c r="G108" s="122"/>
      <c r="H108" s="122"/>
      <c r="I108" s="122"/>
      <c r="J108" s="122"/>
      <c r="K108" s="122"/>
      <c r="L108" s="122"/>
      <c r="M108" s="122"/>
    </row>
    <row r="109" spans="5:24" ht="40.000000" customHeight="1">
      <c r="F109" s="98" t="s">
        <v>125</v>
      </c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</row>
    <row r="110" spans="5:24" ht="40.000000" customHeight="1">
      <c r="F110" s="98" t="s">
        <v>109</v>
      </c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</row>
    <row r="112" spans="5:24" ht="20.000000" customHeight="1">
      <c r="E112" s="124" t="s">
        <v>130</v>
      </c>
      <c r="F112" s="125"/>
      <c r="G112" s="125"/>
      <c r="H112" s="125"/>
      <c r="I112" s="125"/>
      <c r="J112" s="125"/>
      <c r="K112" s="125"/>
      <c r="L112" s="125"/>
      <c r="M112" s="125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</row>
    <row r="113" spans="5:24" ht="45.000000" customHeight="1">
      <c r="E113" s="100"/>
      <c r="F113" s="98" t="s">
        <v>129</v>
      </c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</row>
    <row r="114" ht="24.950000" customHeight="1"/>
  </sheetData>
  <mergeCells count="108"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E34:F43"/>
    <mergeCell ref="G34:I34"/>
    <mergeCell ref="J34:X34"/>
    <mergeCell ref="G35:I35"/>
    <mergeCell ref="J35:T35"/>
    <mergeCell ref="U35:X35"/>
    <mergeCell ref="G36:I36"/>
    <mergeCell ref="J36:X36"/>
    <mergeCell ref="G37:I37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G41:I41"/>
    <mergeCell ref="J41:X41"/>
    <mergeCell ref="G42:I43"/>
    <mergeCell ref="J42:X42"/>
    <mergeCell ref="J43:X43"/>
    <mergeCell ref="E44:H44"/>
    <mergeCell ref="E45:X45"/>
    <mergeCell ref="E47:G47"/>
    <mergeCell ref="H47:X47"/>
    <mergeCell ref="H48:X48"/>
    <mergeCell ref="H49:X49"/>
    <mergeCell ref="E50:H50"/>
    <mergeCell ref="E51:G51"/>
    <mergeCell ref="H51:X51"/>
    <mergeCell ref="E52:N52"/>
    <mergeCell ref="O52:X52"/>
    <mergeCell ref="E53:G53"/>
    <mergeCell ref="H53:N53"/>
    <mergeCell ref="O53:Q53"/>
    <mergeCell ref="R53:X53"/>
    <mergeCell ref="E54:G54"/>
    <mergeCell ref="H54:N54"/>
    <mergeCell ref="O54:Q54"/>
    <mergeCell ref="R54:X54"/>
    <mergeCell ref="E55:G55"/>
    <mergeCell ref="H55:N55"/>
    <mergeCell ref="O55:Q55"/>
    <mergeCell ref="R55:X55"/>
    <mergeCell ref="E56:X56"/>
    <mergeCell ref="E57:X57"/>
    <mergeCell ref="F59:G59"/>
    <mergeCell ref="H59:O59"/>
    <mergeCell ref="P59:X59"/>
    <mergeCell ref="F60:X60"/>
    <mergeCell ref="E62:M62"/>
    <mergeCell ref="F63:X63"/>
    <mergeCell ref="E65:X65"/>
    <mergeCell ref="F66:X66"/>
    <mergeCell ref="F67:X67"/>
    <mergeCell ref="F68:X68"/>
    <mergeCell ref="F69:X69"/>
    <mergeCell ref="E71:M71"/>
    <mergeCell ref="F72:X72"/>
    <mergeCell ref="F73:X73"/>
    <mergeCell ref="F74:X74"/>
    <mergeCell ref="F75:X75"/>
    <mergeCell ref="E77:M77"/>
    <mergeCell ref="F79:X79"/>
    <mergeCell ref="E81:M81"/>
    <mergeCell ref="F82:X82"/>
    <mergeCell ref="F83:X83"/>
    <mergeCell ref="F84:X84"/>
    <mergeCell ref="E86:M86"/>
    <mergeCell ref="F87:X87"/>
    <mergeCell ref="F88:X88"/>
    <mergeCell ref="F89:X89"/>
    <mergeCell ref="E91:M91"/>
    <mergeCell ref="F92:X92"/>
    <mergeCell ref="F93:X93"/>
    <mergeCell ref="E95:M95"/>
    <mergeCell ref="F96:X96"/>
    <mergeCell ref="F99:X99"/>
    <mergeCell ref="F100:X100"/>
    <mergeCell ref="F101:X101"/>
    <mergeCell ref="F102:X102"/>
    <mergeCell ref="F103:X103"/>
    <mergeCell ref="F106:X106"/>
    <mergeCell ref="E108:M108"/>
    <mergeCell ref="F109:X109"/>
    <mergeCell ref="F110:X110"/>
    <mergeCell ref="E112:M112"/>
    <mergeCell ref="F113:X113"/>
  </mergeCells>
  <phoneticPr fontId="1" type="noConversion"/>
  <printOptions horizontalCentered="1" verticalCentered="1"/>
  <pageMargins left="0.25" right="0.25" top="0.75" bottom="0.75" header="0.30" footer="0.30"/>
  <pageSetup paperSize="9" scale="90" fitToWidth="0" fitToHeight="0" orientation="portrait"/>
  <rowBreaks count="3" manualBreakCount="3">
    <brk id="26" min="4" max="23" man="1"/>
    <brk id="55" min="4" max="23" man="1"/>
    <brk id="85" min="4" max="2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2026-05-08T07:49:50Z</dcterms:modified>
</cp:coreProperties>
</file>