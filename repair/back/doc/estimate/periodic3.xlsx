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8D03B42B-28CC-0746-A4A6-D73A60AB8528}" xr6:coauthVersionLast="47" xr6:coauthVersionMax="47" xr10:uidLastSave="{00000000-0000-0000-0000-000000000000}"/>
  <bookViews>
    <workbookView xWindow="17100" yWindow="680" windowWidth="17100" windowHeight="19800" tabRatio="731" activeTab="1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갑지!$D$1:$AE$44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" i="22" l="1"/>
  <c r="H25" i="19" l="1"/>
  <c r="H23" i="19"/>
  <c r="H22" i="19"/>
  <c r="H21" i="19"/>
  <c r="H16" i="19"/>
  <c r="H8" i="19" s="1"/>
  <c r="H15" i="19"/>
  <c r="H14" i="19"/>
  <c r="H13" i="19"/>
  <c r="H12" i="19"/>
  <c r="H11" i="19"/>
  <c r="H10" i="19"/>
  <c r="H9" i="19"/>
  <c r="D5" i="19"/>
  <c r="N21" i="21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J42" i="22"/>
  <c r="G39" i="22"/>
  <c r="R35" i="22"/>
  <c r="B16" i="22"/>
  <c r="B9" i="22"/>
  <c r="F68" i="22" s="1"/>
  <c r="E55" i="22" l="1"/>
  <c r="F69" i="22"/>
  <c r="H24" i="19"/>
  <c r="H19" i="19" s="1"/>
  <c r="H17" i="19"/>
  <c r="R153" i="22"/>
  <c r="R138" i="22"/>
  <c r="J61" i="22"/>
  <c r="E54" i="22"/>
  <c r="G28" i="22"/>
  <c r="G34" i="22" s="1"/>
  <c r="R147" i="22" l="1"/>
  <c r="R148" i="22" s="1"/>
  <c r="R154" i="22"/>
  <c r="R149" i="22" s="1"/>
  <c r="H18" i="19"/>
  <c r="H26" i="19" s="1"/>
  <c r="R157" i="22" l="1"/>
  <c r="H27" i="19"/>
  <c r="H29" i="19" s="1"/>
  <c r="D3" i="19" s="1"/>
  <c r="J44" i="22" s="1"/>
  <c r="H31" i="19" l="1"/>
  <c r="R159" i="22"/>
  <c r="H32" i="19" l="1"/>
  <c r="D4" i="19" s="1"/>
  <c r="J43" i="22" s="1"/>
  <c r="R161" i="22"/>
  <c r="N31" i="21"/>
  <c r="G35" i="22" l="1"/>
  <c r="G36" i="22" s="1"/>
</calcChain>
</file>

<file path=xl/sharedStrings.xml><?xml version="1.0" encoding="utf-8"?>
<sst xmlns="http://schemas.openxmlformats.org/spreadsheetml/2006/main" count="299" uniqueCount="256">
  <si>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</si>
  <si>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</si>
  <si>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</si>
  <si>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</si>
  <si>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</si>
  <si>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</si>
  <si>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</si>
  <si>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</si>
  <si>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</si>
  <si>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</si>
  <si>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</si>
  <si>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</si>
  <si>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</si>
  <si>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</si>
  <si>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</si>
  <si>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</si>
  <si>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</si>
  <si>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</si>
  <si>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</si>
  <si>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</si>
  <si>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</si>
  <si>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</si>
  <si>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</si>
  <si>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</si>
  <si>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</si>
  <si>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</si>
  <si>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</si>
  <si>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</si>
  <si>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</si>
  <si>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</si>
  <si>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</si>
  <si>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</si>
  <si>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</si>
  <si>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</si>
  <si>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</si>
  <si>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</si>
  <si>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</si>
  <si>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</si>
  <si>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</si>
  <si>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</si>
  <si>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</si>
  <si>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</si>
  <si>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</si>
  <si>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</si>
  <si>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</si>
  <si>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</si>
  <si>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</si>
  <si>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</si>
  <si>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</si>
  <si>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</si>
  <si>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</si>
  <si>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</si>
  <si>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</si>
  <si>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</si>
  <si>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</si>
  <si>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</si>
  <si>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</si>
  <si>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</si>
  <si>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</si>
  <si>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</si>
  <si>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</si>
  <si>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</si>
  <si>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</si>
  <si>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</si>
  <si>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</si>
  <si>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</si>
  <si>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</si>
  <si>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</si>
  <si>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</si>
  <si>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</si>
  <si>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</si>
  <si>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</si>
  <si>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</si>
  <si>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</si>
  <si>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</si>
  <si>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</si>
  <si>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</si>
  <si>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</si>
  <si>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</si>
  <si>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</si>
  <si>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</si>
  <si>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</si>
  <si>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</si>
  <si>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</si>
  <si>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</si>
  <si>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</si>
  <si>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</si>
  <si>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</si>
  <si>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</si>
  <si>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</si>
  <si>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</si>
  <si>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</si>
  <si>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</si>
  <si>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</si>
  <si>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</si>
  <si>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</si>
  <si>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</si>
  <si>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</si>
  <si>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</si>
  <si>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</si>
  <si>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</si>
  <si>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</si>
  <si>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</si>
  <si>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</si>
  <si>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</si>
  <si>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</si>
  <si>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</si>
  <si>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</si>
  <si>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</si>
  <si>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</si>
  <si>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</si>
  <si>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</si>
  <si>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</si>
  <si>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</si>
  <si>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</si>
  <si>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</si>
  <si>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</si>
  <si>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</si>
  <si>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</si>
  <si>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</si>
  <si>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</si>
  <si>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</si>
  <si>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</si>
  <si>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</si>
  <si>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상태평가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</si>
  <si>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</si>
  <si>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</si>
  <si>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</si>
  <si>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</si>
  <si>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</si>
  <si>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</si>
  <si>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</si>
  <si>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</si>
  <si>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</si>
  <si>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</si>
  <si>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</si>
  <si>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</si>
  <si>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</si>
  <si>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</si>
  <si>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</si>
  <si>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</si>
  <si>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</si>
  <si>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</si>
  <si>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</si>
  <si>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</si>
  <si>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</si>
  <si>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</si>
  <si>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</si>
  <si>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</si>
  <si>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t xml:space="preserve">③ 용      도 : </t>
  </si>
  <si>
    <t xml:space="preserve">② 위      치 : </t>
  </si>
  <si>
    <t xml:space="preserve">① 시설물명 : </t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</si>
  <si>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</si>
  <si>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 xml:space="preserve">제8조 및 동법 제12조의 규정에 따라 </t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</si>
  <si>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</si>
  <si>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</si>
  <si>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</si>
  <si>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</si>
  <si>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</si>
  <si>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</si>
  <si>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</si>
  <si>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</si>
  <si>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</si>
  <si>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</si>
  <si>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</si>
  <si>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</si>
  <si>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</si>
  <si>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</si>
  <si>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</si>
  <si>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</si>
  <si>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</si>
  <si>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</si>
  <si>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</si>
  <si>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</si>
  <si>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</si>
  <si>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</si>
  <si>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</si>
  <si>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</si>
  <si>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</si>
  <si>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</si>
  <si>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</si>
  <si>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전  화 :</t>
  </si>
  <si>
    <t>팩  스 :</t>
  </si>
  <si>
    <t>-VAT별도</t>
  </si>
  <si>
    <t xml:space="preserve">상기 금액은 </t>
  </si>
  <si>
    <t>시설물의 정기안전점검 대가산출 내역서 (1회분)</t>
  </si>
  <si>
    <t>정기안전점검 용역(1회 적용금액)</t>
  </si>
  <si>
    <t>나.정기안전점검 보고서 제출 및 FMS등록</t>
  </si>
  <si>
    <t>(직접인건비+제경비) * 10%</t>
  </si>
  <si>
    <t>정기안전점검보고서 납품(FMS등록)후 10일 이내 지불조건</t>
  </si>
  <si>
    <t>(우)16910  경기도 용인시 기흥구 마북로 159 한성프라자 207호 (마북동) 전화 : 031-283-3328  팩스 : 031-284-3328</t>
  </si>
  <si>
    <t xml:space="preserve">   2026 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</si>
  <si>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</si>
  <si>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(1회)</t>
  </si>
  <si>
    <t xml:space="preserve"> 정기안전점검 용역대가임.</t>
  </si>
  <si>
    <t>총  사  용  료</t>
  </si>
  <si>
    <t>총  용  역  비</t>
  </si>
  <si>
    <t>/</t>
  </si>
  <si>
    <t>가.시설물의 안전 및 유지관리에 관한 특별법 제11조에 의거한 건축물 정기안전점검</t>
  </si>
  <si>
    <t xml:space="preserve">(이하 "발주자"라 한다)와 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</si>
  <si>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</si>
  <si>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</si>
  <si>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</si>
  <si>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</si>
  <si>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∙콘크리트 구조물 : 균열, 누수, 박리, 박락, 층분리, 백태, 철근노출 등</t>
  </si>
  <si>
    <t>∙외관조사 결과 분석</t>
  </si>
  <si>
    <r>
      <t>∙대상 시설물</t>
    </r>
    <r>
      <rPr>
        <sz val="9"/>
        <color rgb="FF000000"/>
        <rFont val="돋움"/>
        <family val="2"/>
        <charset val="129"/>
      </rPr>
      <t>(부재)의 현재와 이전의 상태 비교검토</t>
    </r>
  </si>
  <si>
    <t>정기안전점검 견적의 건</t>
    <phoneticPr fontId="1" type="noConversion"/>
  </si>
  <si>
    <t xml:space="preserve">2026년 연간/2027년 연간/2028년 상반기 </t>
    <phoneticPr fontId="1" type="noConversion"/>
  </si>
  <si>
    <t xml:space="preserve"> 6. 합 계 금 액</t>
    <phoneticPr fontId="1" type="noConversion"/>
  </si>
  <si>
    <t>※  첨    부 :  1. 견적서   1부   끝.</t>
  </si>
  <si>
    <t>1.천재지변, 전쟁, 기타 불가항력의 사유로 인하여 정기안전점검 업무의 수행이 불가능한 때</t>
    <phoneticPr fontId="1" type="noConversion"/>
  </si>
  <si>
    <t>2."발주자" 와"수주자"가 정기안전점검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</si>
  <si>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</si>
  <si>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</si>
  <si>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총 용역비</t>
    <phoneticPr fontId="1" type="noConversion"/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</si>
  <si>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</si>
  <si>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</si>
  <si>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</si>
  <si>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</si>
  <si>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 xml:space="preserve">「시설물의 안전 및 유지관리에 관한 특별법」(이하 “시설물안전법”이라 한다) 제11조, 시행령 </t>
  </si>
  <si>
    <r>
      <t xml:space="preserve">정기안전점검의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</si>
  <si>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</si>
  <si>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</si>
  <si>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</si>
  <si>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</si>
  <si>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</si>
  <si>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</si>
  <si>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</si>
  <si>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</si>
  <si>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</si>
  <si>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</si>
  <si>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</si>
  <si>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</si>
  <si>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</si>
  <si>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r>
      <t xml:space="preserve">     </t>
    </r>
    <r>
      <rPr>
        <b/>
        <sz val="11"/>
        <color rgb="FF000000"/>
        <rFont val="바탕체"/>
        <family val="1"/>
        <charset val="129"/>
      </rPr>
      <t xml:space="preserve">   </t>
    </r>
    <r>
      <rPr>
        <b/>
        <sz val="12"/>
        <color rgb="FF000000"/>
        <rFont val="바탕체"/>
        <family val="1"/>
        <charset val="129"/>
      </rPr>
      <t xml:space="preserve"> 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</si>
  <si>
    <t xml:space="preserve">           1. 귀 아파트(사)의 무궁한 발전을 기원합니다.</t>
    <phoneticPr fontId="1" type="noConversion"/>
  </si>
  <si>
    <r>
      <t xml:space="preserve">          </t>
    </r>
    <r>
      <rPr>
        <sz val="10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  <phoneticPr fontId="1" type="noConversion"/>
  </si>
  <si>
    <r>
      <t xml:space="preserve">          </t>
    </r>
    <r>
      <rPr>
        <sz val="10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</si>
  <si>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t xml:space="preserve">           4. 시설물 개요</t>
    <phoneticPr fontId="1" type="noConversion"/>
  </si>
  <si>
    <r>
      <t xml:space="preserve">          </t>
    </r>
    <r>
      <rPr>
        <sz val="10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</si>
  <si>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t xml:space="preserve">           7. 지 불 조 건  :</t>
    <phoneticPr fontId="1" type="noConversion"/>
  </si>
  <si>
    <t>●   주 소 : 경기도 용인시 기흥구 마북로 159 한성프라자 207호</t>
    <phoneticPr fontId="1" type="noConversion"/>
  </si>
  <si>
    <t xml:space="preserve">-1회당 : 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</si>
  <si>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</si>
  <si>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</si>
  <si>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</si>
  <si>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 xml:space="preserve">④ 정기안전점검 대상시설물의 범위 : 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</si>
  <si>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</si>
  <si>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</si>
  <si>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</si>
  <si>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</si>
  <si>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</si>
  <si>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 xml:space="preserve"> 1. 직 접 인 건 비</t>
    <phoneticPr fontId="1" type="noConversion"/>
  </si>
  <si>
    <t>가. 외업</t>
    <phoneticPr fontId="1" type="noConversion"/>
  </si>
  <si>
    <t>나.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</si>
</sst>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9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2"/>
      <color theme="1"/>
      <name val="돋움"/>
      <family val="2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1"/>
      <color rgb="FF000000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1"/>
      <color rgb="FF00000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2" fillId="0" borderId="0" applyFont="0" applyFill="0" applyBorder="0" applyProtection="0">
      <alignment vertical="center"/>
    </xf>
    <xf numFmtId="185" fontId="102" fillId="0" borderId="0">
      <alignment vertical="center"/>
    </xf>
    <xf numFmtId="186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2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2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4" fontId="102" fillId="0" borderId="0" applyFont="0" applyFill="0" applyBorder="0" applyAlignment="0" applyProtection="0">
      <alignment vertical="center"/>
    </xf>
    <xf numFmtId="205" fontId="102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2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424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79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3" xfId="0" applyBorder="1" applyAlignment="1">
      <alignment horizontal="right" vertical="center"/>
    </xf>
    <xf numFmtId="0" fontId="0" fillId="0" borderId="83" xfId="0" applyBorder="1">
      <alignment vertical="center"/>
    </xf>
    <xf numFmtId="0" fontId="0" fillId="0" borderId="83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3" fillId="0" borderId="86" xfId="0" applyFont="1" applyBorder="1">
      <alignment vertical="center"/>
    </xf>
    <xf numFmtId="0" fontId="53" fillId="0" borderId="86" xfId="0" applyFont="1" applyBorder="1" applyAlignment="1">
      <alignment horizontal="center" vertical="center"/>
    </xf>
    <xf numFmtId="0" fontId="53" fillId="0" borderId="86" xfId="0" applyFont="1" applyBorder="1" applyAlignment="1">
      <alignment vertical="center" shrinkToFit="1"/>
    </xf>
    <xf numFmtId="0" fontId="53" fillId="0" borderId="86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0" fillId="0" borderId="78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181" fontId="71" fillId="8" borderId="53" xfId="0" quotePrefix="1" applyNumberFormat="1" applyFont="1" applyFill="1" applyBorder="1" applyAlignment="1">
      <alignment vertical="center" shrinkToFit="1"/>
    </xf>
    <xf numFmtId="0" fontId="0" fillId="0" borderId="79" xfId="0" applyBorder="1" applyAlignment="1">
      <alignment horizontal="center" vertical="center"/>
    </xf>
    <xf numFmtId="0" fontId="61" fillId="0" borderId="79" xfId="0" applyFon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0" fontId="61" fillId="0" borderId="0" xfId="0" applyFont="1" applyAlignment="1">
      <alignment horizontal="right" vertical="center"/>
    </xf>
    <xf numFmtId="182" fontId="0" fillId="0" borderId="0" xfId="0" applyNumberFormat="1" applyAlignment="1">
      <alignment horizontal="center" vertical="center"/>
    </xf>
    <xf numFmtId="182" fontId="61" fillId="0" borderId="0" xfId="0" applyNumberFormat="1" applyFont="1" applyAlignment="1">
      <alignment horizontal="center" vertical="center"/>
    </xf>
    <xf numFmtId="49" fontId="89" fillId="0" borderId="78" xfId="0" quotePrefix="1" applyNumberFormat="1" applyFont="1" applyBorder="1" applyAlignment="1">
      <alignment vertical="center" textRotation="255"/>
    </xf>
    <xf numFmtId="49" fontId="0" fillId="0" borderId="96" xfId="0" quotePrefix="1" applyNumberFormat="1" applyBorder="1">
      <alignment vertical="center"/>
    </xf>
    <xf numFmtId="182" fontId="61" fillId="0" borderId="16" xfId="0" applyNumberFormat="1" applyFon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1" fontId="70" fillId="7" borderId="98" xfId="0" applyNumberFormat="1" applyFont="1" applyFill="1" applyBorder="1" applyAlignment="1">
      <alignment horizontal="left" vertical="center" shrinkToFit="1"/>
    </xf>
    <xf numFmtId="0" fontId="70" fillId="8" borderId="0" xfId="0" applyFont="1" applyFill="1" applyAlignment="1">
      <alignment horizontal="center" vertical="center"/>
    </xf>
    <xf numFmtId="0" fontId="70" fillId="8" borderId="25" xfId="0" applyFont="1" applyFill="1" applyBorder="1" applyAlignment="1">
      <alignment horizontal="center" vertical="center"/>
    </xf>
    <xf numFmtId="0" fontId="60" fillId="8" borderId="25" xfId="0" applyFont="1" applyFill="1" applyBorder="1" applyAlignment="1">
      <alignment horizontal="center" vertical="center"/>
    </xf>
    <xf numFmtId="176" fontId="70" fillId="8" borderId="0" xfId="0" applyNumberFormat="1" applyFont="1" applyFill="1" applyAlignment="1">
      <alignment vertical="center" shrinkToFit="1"/>
    </xf>
    <xf numFmtId="0" fontId="70" fillId="8" borderId="0" xfId="0" applyFont="1" applyFill="1" applyAlignment="1">
      <alignment horizontal="center" vertical="center" shrinkToFit="1"/>
    </xf>
    <xf numFmtId="181" fontId="71" fillId="7" borderId="99" xfId="0" applyNumberFormat="1" applyFont="1" applyFill="1" applyBorder="1" applyAlignment="1">
      <alignment vertical="center" shrinkToFit="1"/>
    </xf>
    <xf numFmtId="0" fontId="6" fillId="0" borderId="0" xfId="3112" applyFont="1">
      <alignment vertical="center"/>
    </xf>
    <xf numFmtId="0" fontId="106" fillId="0" borderId="0" xfId="3112" applyFont="1">
      <alignment vertical="center"/>
    </xf>
    <xf numFmtId="0" fontId="6" fillId="11" borderId="0" xfId="3112" applyFont="1" applyFill="1">
      <alignment vertical="center"/>
    </xf>
    <xf numFmtId="0" fontId="106" fillId="11" borderId="0" xfId="3112" applyFont="1" applyFill="1">
      <alignment vertical="center"/>
    </xf>
    <xf numFmtId="0" fontId="108" fillId="0" borderId="0" xfId="3112" applyFont="1">
      <alignment vertical="center"/>
    </xf>
    <xf numFmtId="0" fontId="109" fillId="0" borderId="0" xfId="3112" applyFont="1">
      <alignment vertical="center"/>
    </xf>
    <xf numFmtId="0" fontId="6" fillId="0" borderId="8" xfId="3112" applyFont="1" applyBorder="1">
      <alignment vertical="center"/>
    </xf>
    <xf numFmtId="0" fontId="107" fillId="0" borderId="0" xfId="3112" applyFont="1" applyAlignment="1">
      <alignment vertical="center" shrinkToFit="1"/>
    </xf>
    <xf numFmtId="0" fontId="6" fillId="0" borderId="0" xfId="3112" quotePrefix="1" applyFont="1">
      <alignment vertical="center"/>
    </xf>
    <xf numFmtId="0" fontId="103" fillId="0" borderId="0" xfId="0" applyFont="1">
      <alignment vertical="center"/>
    </xf>
    <xf numFmtId="0" fontId="103" fillId="0" borderId="0" xfId="0" applyFont="1" applyAlignment="1">
      <alignment shrinkToFit="1"/>
    </xf>
    <xf numFmtId="0" fontId="103" fillId="0" borderId="0" xfId="0" applyFont="1" applyAlignment="1"/>
    <xf numFmtId="0" fontId="4" fillId="0" borderId="0" xfId="0" applyFont="1" applyAlignment="1"/>
    <xf numFmtId="0" fontId="69" fillId="0" borderId="0" xfId="0" applyFont="1" applyAlignment="1">
      <alignment horizontal="left" vertical="center"/>
    </xf>
    <xf numFmtId="0" fontId="114" fillId="0" borderId="0" xfId="3112" applyFont="1" applyAlignment="1">
      <alignment vertical="center" shrinkToFit="1"/>
    </xf>
    <xf numFmtId="0" fontId="107" fillId="0" borderId="0" xfId="3112" applyFont="1" applyAlignment="1">
      <alignment horizontal="center" vertical="center" shrinkToFit="1"/>
    </xf>
    <xf numFmtId="0" fontId="108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181" fontId="116" fillId="0" borderId="7" xfId="0" applyNumberFormat="1" applyFont="1" applyBorder="1" applyAlignment="1">
      <alignment vertical="center" shrinkToFit="1"/>
    </xf>
    <xf numFmtId="181" fontId="116" fillId="0" borderId="67" xfId="0" applyNumberFormat="1" applyFont="1" applyBorder="1" applyAlignment="1">
      <alignment vertical="center" shrinkToFit="1"/>
    </xf>
    <xf numFmtId="0" fontId="116" fillId="0" borderId="7" xfId="0" applyFont="1" applyBorder="1" applyAlignment="1">
      <alignment vertical="center" wrapText="1"/>
    </xf>
    <xf numFmtId="0" fontId="116" fillId="0" borderId="67" xfId="0" applyFont="1" applyBorder="1" applyAlignment="1">
      <alignment vertical="center" wrapText="1"/>
    </xf>
    <xf numFmtId="0" fontId="116" fillId="0" borderId="7" xfId="0" applyFont="1" applyBorder="1" applyAlignment="1">
      <alignment horizontal="center" vertical="center" wrapText="1"/>
    </xf>
    <xf numFmtId="176" fontId="6" fillId="0" borderId="0" xfId="3112" applyNumberFormat="1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applyFont="1" applyAlignment="1">
      <alignment vertical="center" shrinkToFit="1"/>
    </xf>
    <xf numFmtId="0" fontId="107" fillId="0" borderId="0" xfId="3112" applyFont="1" applyAlignment="1">
      <alignment horizontal="center" vertical="center" shrinkToFit="1"/>
    </xf>
    <xf numFmtId="0" fontId="108" fillId="0" borderId="0" xfId="3112" applyFont="1" applyAlignment="1">
      <alignment horizontal="left" vertical="center"/>
    </xf>
    <xf numFmtId="0" fontId="105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244" fontId="108" fillId="0" borderId="0" xfId="3112" applyNumberFormat="1" applyFont="1" applyAlignment="1">
      <alignment horizontal="left" vertical="center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113" fillId="0" borderId="0" xfId="3112" applyFont="1" applyAlignment="1">
      <alignment horizontal="left" vertical="center"/>
    </xf>
    <xf numFmtId="0" fontId="113" fillId="0" borderId="0" xfId="3112" applyFont="1" applyAlignment="1">
      <alignment horizontal="left" vertical="center" shrinkToFit="1"/>
    </xf>
    <xf numFmtId="0" fontId="113" fillId="0" borderId="0" xfId="3112" quotePrefix="1" applyFont="1" applyAlignment="1">
      <alignment horizontal="center" vertical="center" shrinkToFit="1"/>
    </xf>
    <xf numFmtId="0" fontId="113" fillId="0" borderId="0" xfId="3112" applyFont="1" applyAlignment="1">
      <alignment horizontal="center" vertical="center" shrinkToFit="1"/>
    </xf>
    <xf numFmtId="176" fontId="6" fillId="0" borderId="0" xfId="3112" applyNumberFormat="1" applyFont="1" applyAlignment="1">
      <alignment horizontal="left" vertical="center"/>
    </xf>
    <xf numFmtId="0" fontId="107" fillId="0" borderId="0" xfId="3112" applyFont="1" applyAlignment="1">
      <alignment horizontal="left" vertical="center"/>
    </xf>
    <xf numFmtId="0" fontId="6" fillId="0" borderId="0" xfId="3112" quotePrefix="1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applyFont="1">
      <alignment vertical="center"/>
    </xf>
    <xf numFmtId="0" fontId="110" fillId="0" borderId="0" xfId="3112" applyFont="1" applyAlignment="1">
      <alignment horizontal="center" vertical="top"/>
    </xf>
    <xf numFmtId="176" fontId="107" fillId="0" borderId="0" xfId="3112" applyNumberFormat="1" applyFont="1" applyAlignment="1">
      <alignment horizontal="left" vertical="center"/>
    </xf>
    <xf numFmtId="176" fontId="107" fillId="0" borderId="0" xfId="3112" applyNumberFormat="1" applyFont="1" applyAlignment="1">
      <alignment horizontal="left" vertical="center" shrinkToFit="1"/>
    </xf>
    <xf numFmtId="176" fontId="6" fillId="0" borderId="0" xfId="3112" applyNumberFormat="1" applyFont="1" applyAlignment="1">
      <alignment horizontal="left" vertical="center" shrinkToFit="1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176" fontId="71" fillId="8" borderId="59" xfId="0" applyNumberFormat="1" applyFont="1" applyFill="1" applyBorder="1" applyAlignment="1">
      <alignment horizontal="center" vertical="center" shrinkToFit="1"/>
    </xf>
    <xf numFmtId="181" fontId="71" fillId="8" borderId="6" xfId="0" applyNumberFormat="1" applyFont="1" applyFill="1" applyBorder="1" applyAlignment="1">
      <alignment horizontal="center" vertical="center" shrinkToFit="1"/>
    </xf>
    <xf numFmtId="0" fontId="71" fillId="7" borderId="97" xfId="0" applyFont="1" applyFill="1" applyBorder="1" applyAlignment="1">
      <alignment horizontal="center" vertical="center"/>
    </xf>
    <xf numFmtId="0" fontId="71" fillId="7" borderId="11" xfId="0" applyFont="1" applyFill="1" applyBorder="1" applyAlignment="1">
      <alignment horizontal="center" vertical="center"/>
    </xf>
    <xf numFmtId="176" fontId="71" fillId="7" borderId="101" xfId="0" applyNumberFormat="1" applyFont="1" applyFill="1" applyBorder="1" applyAlignment="1">
      <alignment horizontal="center" vertical="center" shrinkToFit="1"/>
    </xf>
    <xf numFmtId="181" fontId="71" fillId="7" borderId="102" xfId="0" applyNumberFormat="1" applyFont="1" applyFill="1" applyBorder="1" applyAlignment="1">
      <alignment horizontal="center" vertical="center" shrinkToFit="1"/>
    </xf>
    <xf numFmtId="181" fontId="71" fillId="7" borderId="64" xfId="0" applyNumberFormat="1" applyFont="1" applyFill="1" applyBorder="1" applyAlignment="1">
      <alignment horizontal="center" vertical="center" shrinkToFit="1"/>
    </xf>
    <xf numFmtId="0" fontId="70" fillId="7" borderId="89" xfId="0" applyFont="1" applyFill="1" applyBorder="1" applyAlignment="1">
      <alignment horizontal="center" vertical="center"/>
    </xf>
    <xf numFmtId="0" fontId="70" fillId="7" borderId="98" xfId="0" applyFont="1" applyFill="1" applyBorder="1" applyAlignment="1">
      <alignment horizontal="center" vertical="center"/>
    </xf>
    <xf numFmtId="181" fontId="70" fillId="7" borderId="74" xfId="0" applyNumberFormat="1" applyFont="1" applyFill="1" applyBorder="1" applyAlignment="1">
      <alignment horizontal="center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3" xfId="2637" applyFont="1" applyFill="1" applyBorder="1" applyAlignment="1">
      <alignment horizontal="left" vertical="center"/>
    </xf>
    <xf numFmtId="0" fontId="70" fillId="2" borderId="64" xfId="2637" applyFont="1" applyFill="1" applyBorder="1" applyAlignment="1">
      <alignment horizontal="left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0" borderId="2" xfId="0" applyFont="1" applyBorder="1" applyAlignment="1">
      <alignment horizontal="center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60" fillId="8" borderId="100" xfId="0" applyFont="1" applyFill="1" applyBorder="1" applyAlignment="1">
      <alignment horizontal="center" vertical="center"/>
    </xf>
    <xf numFmtId="0" fontId="60" fillId="8" borderId="6" xfId="0" applyFont="1" applyFill="1" applyBorder="1" applyAlignment="1">
      <alignment horizontal="center" vertical="center"/>
    </xf>
    <xf numFmtId="0" fontId="60" fillId="8" borderId="53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98" fillId="12" borderId="71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1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69" fillId="0" borderId="65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6" fillId="0" borderId="36" xfId="0" applyFont="1" applyBorder="1" applyAlignment="1">
      <alignment horizontal="left" vertical="center" wrapText="1"/>
    </xf>
    <xf numFmtId="0" fontId="116" fillId="0" borderId="52" xfId="0" applyFont="1" applyBorder="1" applyAlignment="1">
      <alignment horizontal="left" vertical="center" wrapText="1"/>
    </xf>
    <xf numFmtId="0" fontId="117" fillId="0" borderId="2" xfId="0" applyFont="1" applyBorder="1" applyAlignment="1">
      <alignment horizontal="center" vertical="center" wrapText="1"/>
    </xf>
    <xf numFmtId="0" fontId="116" fillId="0" borderId="0" xfId="0" applyFont="1" applyAlignment="1">
      <alignment horizontal="left" vertical="center" wrapText="1"/>
    </xf>
    <xf numFmtId="0" fontId="116" fillId="0" borderId="25" xfId="0" applyFont="1" applyBorder="1" applyAlignment="1">
      <alignment horizontal="left" vertical="center" wrapText="1"/>
    </xf>
    <xf numFmtId="0" fontId="116" fillId="0" borderId="13" xfId="0" applyFont="1" applyBorder="1" applyAlignment="1">
      <alignment horizontal="left" vertical="center" wrapText="1"/>
    </xf>
    <xf numFmtId="0" fontId="116" fillId="0" borderId="66" xfId="0" applyFont="1" applyBorder="1" applyAlignment="1">
      <alignment horizontal="left" vertical="center" wrapText="1"/>
    </xf>
    <xf numFmtId="0" fontId="115" fillId="0" borderId="68" xfId="0" applyFont="1" applyBorder="1" applyAlignment="1">
      <alignment horizontal="left" vertical="center" wrapText="1"/>
    </xf>
    <xf numFmtId="0" fontId="115" fillId="0" borderId="69" xfId="0" applyFont="1" applyBorder="1" applyAlignment="1">
      <alignment horizontal="left" vertical="center" wrapText="1"/>
    </xf>
    <xf numFmtId="0" fontId="115" fillId="0" borderId="70" xfId="0" applyFont="1" applyBorder="1" applyAlignment="1">
      <alignment horizontal="left" vertical="center" wrapText="1"/>
    </xf>
    <xf numFmtId="0" fontId="117" fillId="0" borderId="68" xfId="0" applyFont="1" applyBorder="1" applyAlignment="1">
      <alignment horizontal="center" vertical="center" wrapText="1"/>
    </xf>
    <xf numFmtId="0" fontId="117" fillId="0" borderId="69" xfId="0" applyFont="1" applyBorder="1" applyAlignment="1">
      <alignment horizontal="center" vertical="center" wrapText="1"/>
    </xf>
    <xf numFmtId="0" fontId="117" fillId="0" borderId="93" xfId="0" applyFont="1" applyBorder="1" applyAlignment="1">
      <alignment horizontal="center" vertical="center" wrapText="1"/>
    </xf>
    <xf numFmtId="0" fontId="117" fillId="0" borderId="71" xfId="0" applyFont="1" applyBorder="1" applyAlignment="1">
      <alignment horizontal="center" vertical="center" wrapText="1"/>
    </xf>
    <xf numFmtId="0" fontId="117" fillId="0" borderId="0" xfId="0" applyFont="1" applyAlignment="1">
      <alignment horizontal="center" vertical="center" wrapText="1"/>
    </xf>
    <xf numFmtId="0" fontId="117" fillId="0" borderId="90" xfId="0" applyFont="1" applyBorder="1" applyAlignment="1">
      <alignment horizontal="center" vertical="center" wrapText="1"/>
    </xf>
    <xf numFmtId="0" fontId="117" fillId="0" borderId="105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17" fillId="0" borderId="104" xfId="0" applyFont="1" applyBorder="1" applyAlignment="1">
      <alignment horizontal="center" vertical="center" wrapText="1"/>
    </xf>
    <xf numFmtId="0" fontId="115" fillId="0" borderId="68" xfId="0" applyFont="1" applyBorder="1" applyAlignment="1">
      <alignment horizontal="center" vertical="center" wrapText="1"/>
    </xf>
    <xf numFmtId="0" fontId="115" fillId="0" borderId="69" xfId="0" applyFont="1" applyBorder="1" applyAlignment="1">
      <alignment horizontal="center" vertical="center" wrapText="1"/>
    </xf>
    <xf numFmtId="0" fontId="116" fillId="0" borderId="69" xfId="0" applyFont="1" applyBorder="1" applyAlignment="1">
      <alignment horizontal="center" vertical="center" shrinkToFit="1"/>
    </xf>
    <xf numFmtId="0" fontId="115" fillId="0" borderId="70" xfId="0" applyFont="1" applyBorder="1" applyAlignment="1">
      <alignment horizontal="center" vertical="center" wrapText="1"/>
    </xf>
    <xf numFmtId="0" fontId="115" fillId="0" borderId="71" xfId="0" applyFont="1" applyBorder="1" applyAlignment="1">
      <alignment horizontal="center" vertical="center"/>
    </xf>
    <xf numFmtId="0" fontId="115" fillId="0" borderId="0" xfId="0" applyFont="1" applyAlignment="1">
      <alignment horizontal="center" vertical="center"/>
    </xf>
    <xf numFmtId="176" fontId="115" fillId="0" borderId="0" xfId="0" applyNumberFormat="1" applyFont="1" applyAlignment="1">
      <alignment horizontal="left" vertical="center"/>
    </xf>
    <xf numFmtId="0" fontId="115" fillId="0" borderId="0" xfId="0" applyFont="1" applyAlignment="1">
      <alignment horizontal="left" vertical="center" shrinkToFit="1"/>
    </xf>
    <xf numFmtId="0" fontId="115" fillId="0" borderId="0" xfId="0" applyFont="1" applyAlignment="1">
      <alignment horizontal="left" vertical="center"/>
    </xf>
    <xf numFmtId="0" fontId="115" fillId="0" borderId="103" xfId="0" applyFont="1" applyBorder="1" applyAlignment="1">
      <alignment horizontal="left" vertical="center"/>
    </xf>
    <xf numFmtId="0" fontId="115" fillId="0" borderId="105" xfId="0" quotePrefix="1" applyFont="1" applyBorder="1" applyAlignment="1">
      <alignment horizontal="center" vertical="center" wrapText="1"/>
    </xf>
    <xf numFmtId="0" fontId="115" fillId="0" borderId="8" xfId="0" quotePrefix="1" applyFont="1" applyBorder="1" applyAlignment="1">
      <alignment horizontal="center" vertical="center" wrapText="1"/>
    </xf>
    <xf numFmtId="0" fontId="115" fillId="0" borderId="8" xfId="0" applyFont="1" applyBorder="1" applyAlignment="1">
      <alignment horizontal="left" vertical="center"/>
    </xf>
    <xf numFmtId="0" fontId="115" fillId="0" borderId="27" xfId="0" applyFont="1" applyBorder="1" applyAlignment="1">
      <alignment horizontal="left" vertical="center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4" xfId="0" applyFont="1" applyBorder="1" applyAlignment="1">
      <alignment horizontal="center" vertical="center" textRotation="255" wrapText="1"/>
    </xf>
    <xf numFmtId="0" fontId="69" fillId="0" borderId="93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90" xfId="0" applyFont="1" applyBorder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104" xfId="0" applyFont="1" applyBorder="1" applyAlignment="1">
      <alignment horizontal="center" vertical="center" textRotation="255" wrapText="1"/>
    </xf>
    <xf numFmtId="0" fontId="117" fillId="0" borderId="50" xfId="0" applyFont="1" applyBorder="1" applyAlignment="1">
      <alignment horizontal="center" vertical="center" wrapText="1"/>
    </xf>
    <xf numFmtId="0" fontId="116" fillId="0" borderId="49" xfId="0" applyFont="1" applyBorder="1" applyAlignment="1">
      <alignment horizontal="left" vertical="center" wrapText="1"/>
    </xf>
    <xf numFmtId="0" fontId="116" fillId="0" borderId="7" xfId="0" applyFont="1" applyBorder="1" applyAlignment="1">
      <alignment horizontal="left" vertical="center" wrapText="1"/>
    </xf>
    <xf numFmtId="0" fontId="116" fillId="0" borderId="67" xfId="0" applyFont="1" applyBorder="1" applyAlignment="1">
      <alignment horizontal="left" vertical="center" wrapText="1"/>
    </xf>
    <xf numFmtId="176" fontId="116" fillId="0" borderId="49" xfId="0" applyNumberFormat="1" applyFont="1" applyBorder="1">
      <alignment vertical="center"/>
    </xf>
    <xf numFmtId="176" fontId="116" fillId="0" borderId="7" xfId="0" applyNumberFormat="1" applyFont="1" applyBorder="1">
      <alignment vertical="center"/>
    </xf>
    <xf numFmtId="181" fontId="116" fillId="0" borderId="49" xfId="0" applyNumberFormat="1" applyFont="1" applyBorder="1" applyAlignment="1">
      <alignment horizontal="left" vertical="center"/>
    </xf>
    <xf numFmtId="181" fontId="116" fillId="0" borderId="7" xfId="0" applyNumberFormat="1" applyFont="1" applyBorder="1" applyAlignment="1">
      <alignment horizontal="left" vertical="center"/>
    </xf>
    <xf numFmtId="0" fontId="116" fillId="0" borderId="49" xfId="0" applyFont="1" applyBorder="1" applyAlignment="1">
      <alignment vertical="center" wrapText="1"/>
    </xf>
    <xf numFmtId="0" fontId="116" fillId="0" borderId="7" xfId="0" applyFont="1" applyBorder="1" applyAlignment="1">
      <alignment vertical="center" wrapText="1"/>
    </xf>
    <xf numFmtId="0" fontId="116" fillId="0" borderId="2" xfId="0" applyFont="1" applyBorder="1" applyAlignment="1">
      <alignment horizontal="left" vertical="center" wrapText="1"/>
    </xf>
    <xf numFmtId="0" fontId="116" fillId="0" borderId="32" xfId="0" applyFont="1" applyBorder="1" applyAlignment="1">
      <alignment horizontal="left" vertical="center" wrapText="1"/>
    </xf>
    <xf numFmtId="0" fontId="116" fillId="0" borderId="49" xfId="0" applyFont="1" applyBorder="1" applyAlignment="1">
      <alignment horizontal="center" vertical="center" wrapText="1"/>
    </xf>
    <xf numFmtId="0" fontId="116" fillId="0" borderId="7" xfId="0" applyFont="1" applyBorder="1" applyAlignment="1">
      <alignment horizontal="center" vertical="center" wrapText="1"/>
    </xf>
    <xf numFmtId="0" fontId="116" fillId="0" borderId="67" xfId="0" applyFont="1" applyBorder="1" applyAlignment="1">
      <alignment horizontal="center" vertical="center" wrapText="1"/>
    </xf>
    <xf numFmtId="0" fontId="117" fillId="0" borderId="7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03" fillId="0" borderId="2" xfId="0" applyFont="1" applyBorder="1" applyAlignment="1">
      <alignment horizontal="left" vertical="center" shrinkToFi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67" xfId="0" applyFont="1" applyBorder="1" applyAlignment="1">
      <alignment horizontal="left" vertical="center" wrapText="1"/>
    </xf>
    <xf numFmtId="0" fontId="4" fillId="0" borderId="6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9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shrinkToFit="1"/>
    </xf>
    <xf numFmtId="0" fontId="111" fillId="0" borderId="0" xfId="0" applyFont="1" applyAlignment="1">
      <alignment horizontal="center" vertical="center" wrapText="1"/>
    </xf>
    <xf numFmtId="0" fontId="69" fillId="0" borderId="0" xfId="0" applyFont="1" applyAlignment="1">
      <alignment horizontal="left" vertical="center"/>
    </xf>
    <xf numFmtId="0" fontId="10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5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69" xfId="0" applyFont="1" applyBorder="1" applyAlignment="1">
      <alignment horizontal="center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92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68" xfId="0" applyFont="1" applyBorder="1" applyAlignment="1">
      <alignment horizontal="left" vertical="center" wrapText="1"/>
    </xf>
    <xf numFmtId="0" fontId="92" fillId="0" borderId="69" xfId="0" applyFont="1" applyBorder="1" applyAlignment="1">
      <alignment horizontal="left" vertical="center" wrapText="1"/>
    </xf>
    <xf numFmtId="0" fontId="92" fillId="0" borderId="93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0" xfId="0" applyFont="1" applyBorder="1" applyAlignment="1">
      <alignment horizontal="left" vertical="center" wrapText="1"/>
    </xf>
    <xf numFmtId="0" fontId="92" fillId="0" borderId="72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92" fillId="0" borderId="71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0" xfId="0" quotePrefix="1" applyFont="1" applyBorder="1" applyAlignment="1">
      <alignment horizontal="left" vertical="center" wrapText="1"/>
    </xf>
    <xf numFmtId="0" fontId="92" fillId="0" borderId="91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89" xfId="0" applyFont="1" applyBorder="1" applyAlignment="1">
      <alignment horizontal="center" vertical="center" wrapText="1"/>
    </xf>
    <xf numFmtId="0" fontId="92" fillId="0" borderId="74" xfId="0" applyFont="1" applyBorder="1" applyAlignment="1">
      <alignment horizontal="center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88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2" xfId="0" applyFont="1" applyBorder="1" applyAlignment="1">
      <alignment horizontal="left" vertical="center" wrapText="1"/>
    </xf>
    <xf numFmtId="0" fontId="86" fillId="0" borderId="75" xfId="2637" applyFont="1" applyFill="1" applyBorder="1" applyAlignment="1">
      <alignment horizontal="left" vertical="center"/>
    </xf>
    <xf numFmtId="0" fontId="86" fillId="0" borderId="76" xfId="2637" applyFont="1" applyFill="1" applyBorder="1" applyAlignment="1">
      <alignment horizontal="left" vertical="center"/>
    </xf>
    <xf numFmtId="0" fontId="0" fillId="0" borderId="76" xfId="0" applyBorder="1" applyAlignment="1">
      <alignment horizontal="center"/>
    </xf>
    <xf numFmtId="0" fontId="0" fillId="0" borderId="76" xfId="2637" applyFont="1" applyFill="1" applyBorder="1" applyAlignment="1">
      <alignment horizontal="center" vertical="center"/>
    </xf>
    <xf numFmtId="176" fontId="53" fillId="0" borderId="76" xfId="0" applyNumberFormat="1" applyFont="1" applyBorder="1" applyAlignment="1">
      <alignment horizontal="center" vertical="center" shrinkToFit="1"/>
    </xf>
    <xf numFmtId="176" fontId="53" fillId="0" borderId="77" xfId="0" applyNumberFormat="1" applyFont="1" applyBorder="1" applyAlignment="1">
      <alignment horizontal="center" vertical="center" shrinkToFit="1"/>
    </xf>
    <xf numFmtId="182" fontId="0" fillId="0" borderId="79" xfId="0" applyNumberFormat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0" fontId="61" fillId="0" borderId="79" xfId="0" applyFont="1" applyBorder="1" applyAlignment="1">
      <alignment horizontal="center" vertical="center"/>
    </xf>
    <xf numFmtId="176" fontId="0" fillId="0" borderId="79" xfId="2791" applyFont="1" applyFill="1" applyBorder="1" applyAlignment="1">
      <alignment horizontal="center" vertical="center" shrinkToFit="1"/>
    </xf>
    <xf numFmtId="176" fontId="0" fillId="0" borderId="80" xfId="279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61" fillId="0" borderId="0" xfId="0" applyFont="1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1" xfId="2791" applyFont="1" applyFill="1" applyBorder="1" applyAlignment="1">
      <alignment horizontal="center" vertical="center" shrinkToFit="1"/>
    </xf>
    <xf numFmtId="0" fontId="86" fillId="0" borderId="82" xfId="0" applyFont="1" applyBorder="1" applyAlignment="1">
      <alignment horizontal="left" vertical="center"/>
    </xf>
    <xf numFmtId="0" fontId="86" fillId="0" borderId="83" xfId="0" applyFont="1" applyBorder="1" applyAlignment="1">
      <alignment horizontal="left" vertical="center"/>
    </xf>
    <xf numFmtId="0" fontId="0" fillId="0" borderId="83" xfId="0" applyBorder="1" applyAlignment="1">
      <alignment horizontal="center" vertical="center"/>
    </xf>
    <xf numFmtId="0" fontId="61" fillId="0" borderId="83" xfId="0" applyFont="1" applyBorder="1" applyAlignment="1">
      <alignment horizontal="center" vertical="center"/>
    </xf>
    <xf numFmtId="186" fontId="0" fillId="0" borderId="83" xfId="2791" applyNumberFormat="1" applyFont="1" applyFill="1" applyBorder="1" applyAlignment="1">
      <alignment horizontal="center" vertical="center" shrinkToFit="1"/>
    </xf>
    <xf numFmtId="186" fontId="0" fillId="0" borderId="84" xfId="2791" applyNumberFormat="1" applyFont="1" applyFill="1" applyBorder="1" applyAlignment="1">
      <alignment horizontal="center" vertical="center" shrinkToFit="1"/>
    </xf>
    <xf numFmtId="0" fontId="0" fillId="0" borderId="83" xfId="0" applyBorder="1" applyAlignment="1">
      <alignment horizontal="center" vertical="center" shrinkToFit="1"/>
    </xf>
    <xf numFmtId="176" fontId="0" fillId="0" borderId="83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0" fontId="86" fillId="0" borderId="24" xfId="0" applyFont="1" applyBorder="1" applyAlignment="1">
      <alignment horizontal="left" vertical="center"/>
    </xf>
    <xf numFmtId="0" fontId="86" fillId="0" borderId="0" xfId="0" applyFont="1" applyAlignment="1">
      <alignment horizontal="left" vertical="center"/>
    </xf>
    <xf numFmtId="176" fontId="53" fillId="0" borderId="0" xfId="2791" applyFont="1" applyFill="1" applyBorder="1" applyAlignment="1">
      <alignment horizontal="center" vertical="center" shrinkToFit="1"/>
    </xf>
    <xf numFmtId="176" fontId="53" fillId="0" borderId="25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176" fontId="0" fillId="0" borderId="83" xfId="2791" applyFont="1" applyFill="1" applyBorder="1" applyAlignment="1">
      <alignment horizontal="right" vertical="center" shrinkToFit="1"/>
    </xf>
    <xf numFmtId="176" fontId="0" fillId="0" borderId="84" xfId="2791" applyFont="1" applyFill="1" applyBorder="1" applyAlignment="1">
      <alignment horizontal="right" vertical="center" shrinkToFit="1"/>
    </xf>
    <xf numFmtId="0" fontId="69" fillId="0" borderId="87" xfId="0" applyFont="1" applyBorder="1" applyAlignment="1">
      <alignment horizontal="center" vertical="center"/>
    </xf>
    <xf numFmtId="0" fontId="69" fillId="0" borderId="86" xfId="0" applyFont="1" applyBorder="1" applyAlignment="1">
      <alignment horizontal="center" vertical="center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5" xfId="2791" applyFont="1" applyFill="1" applyBorder="1" applyAlignment="1">
      <alignment horizontal="center" vertical="center" shrinkToFit="1"/>
    </xf>
    <xf numFmtId="176" fontId="53" fillId="0" borderId="83" xfId="2791" applyFont="1" applyFill="1" applyBorder="1" applyAlignment="1">
      <alignment horizontal="center" vertical="center" shrinkToFit="1"/>
    </xf>
    <xf numFmtId="176" fontId="53" fillId="0" borderId="84" xfId="2791" applyFont="1" applyFill="1" applyBorder="1" applyAlignment="1">
      <alignment horizontal="center" vertical="center" shrinkToFit="1"/>
    </xf>
  </cellXfs>
  <cellStyles count="3117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1" xr:uid="{00000000-0005-0000-0000-0000BE0A0000}"/>
    <cellStyle name="고정소숫점" xfId="2752" xr:uid="{00000000-0005-0000-0000-0000BF0A0000}"/>
    <cellStyle name="고정출력1" xfId="2753" xr:uid="{00000000-0005-0000-0000-0000C00A0000}"/>
    <cellStyle name="고정출력2" xfId="2754" xr:uid="{00000000-0005-0000-0000-0000C10A0000}"/>
    <cellStyle name="공사원가계산서(조경)" xfId="2755" xr:uid="{00000000-0005-0000-0000-0000C20A0000}"/>
    <cellStyle name="공종" xfId="2756" xr:uid="{00000000-0005-0000-0000-0000C30A0000}"/>
    <cellStyle name="괘선" xfId="2757" xr:uid="{00000000-0005-0000-0000-0000C40A0000}"/>
    <cellStyle name="괘선1" xfId="2758" xr:uid="{00000000-0005-0000-0000-0000C50A0000}"/>
    <cellStyle name="기계" xfId="2759" xr:uid="{00000000-0005-0000-0000-0000C60A0000}"/>
    <cellStyle name="기본숫자" xfId="2760" xr:uid="{00000000-0005-0000-0000-0000C70A0000}"/>
    <cellStyle name="날짜" xfId="2761" xr:uid="{00000000-0005-0000-0000-0000C80A0000}"/>
    <cellStyle name="내역서" xfId="2762" xr:uid="{00000000-0005-0000-0000-0000C90A0000}"/>
    <cellStyle name="네모제목" xfId="2763" xr:uid="{00000000-0005-0000-0000-0000CA0A0000}"/>
    <cellStyle name="달러" xfId="2764" xr:uid="{00000000-0005-0000-0000-0000CB0A0000}"/>
    <cellStyle name="뒤에 오는 하이퍼링크" xfId="2765" xr:uid="{00000000-0005-0000-0000-0000CC0A0000}"/>
    <cellStyle name="똿뗦먛귟 [0.00]_laroux" xfId="2766" xr:uid="{00000000-0005-0000-0000-0000CD0A0000}"/>
    <cellStyle name="똿뗦먛귟_laroux" xfId="2767" xr:uid="{00000000-0005-0000-0000-0000CE0A0000}"/>
    <cellStyle name="마이너스키" xfId="2768" xr:uid="{00000000-0005-0000-0000-0000CF0A0000}"/>
    <cellStyle name="믅됞 [0.00]_laroux" xfId="2769" xr:uid="{00000000-0005-0000-0000-0000D00A0000}"/>
    <cellStyle name="믅됞_laroux" xfId="2770" xr:uid="{00000000-0005-0000-0000-0000D10A0000}"/>
    <cellStyle name="배분" xfId="2771" xr:uid="{00000000-0005-0000-0000-0000D20A0000}"/>
    <cellStyle name="백" xfId="2772" xr:uid="{00000000-0005-0000-0000-0000D30A0000}"/>
    <cellStyle name="백_22수량산출서(총괄)" xfId="2774" xr:uid="{00000000-0005-0000-0000-0000D50A0000}"/>
    <cellStyle name="백_22bl3lot수량산출" xfId="2773" xr:uid="{00000000-0005-0000-0000-0000D40A0000}"/>
    <cellStyle name="백분율 [△1]" xfId="2775" xr:uid="{00000000-0005-0000-0000-0000D60A0000}"/>
    <cellStyle name="백분율 [△2]" xfId="2776" xr:uid="{00000000-0005-0000-0000-0000D70A0000}"/>
    <cellStyle name="백분율 [0]" xfId="2777" xr:uid="{00000000-0005-0000-0000-0000D80A0000}"/>
    <cellStyle name="백분율 [2]" xfId="2778" xr:uid="{00000000-0005-0000-0000-0000D90A0000}"/>
    <cellStyle name="백분율［△1］" xfId="2779" xr:uid="{00000000-0005-0000-0000-0000DA0A0000}"/>
    <cellStyle name="백분율［△2］" xfId="2780" xr:uid="{00000000-0005-0000-0000-0000DB0A0000}"/>
    <cellStyle name="병합 후 가운데 맞춤" xfId="2781" xr:uid="{00000000-0005-0000-0000-0000DC0A0000}"/>
    <cellStyle name="병합 후 가운데 정열" xfId="2782" xr:uid="{00000000-0005-0000-0000-0000DD0A0000}"/>
    <cellStyle name="분수" xfId="2783" xr:uid="{00000000-0005-0000-0000-0000DE0A0000}"/>
    <cellStyle name="뷭?" xfId="2784" xr:uid="{00000000-0005-0000-0000-0000DF0A0000}"/>
    <cellStyle name="빨간색" xfId="2785" xr:uid="{00000000-0005-0000-0000-0000E00A0000}"/>
    <cellStyle name="선택영역의 가운데로" xfId="2786" xr:uid="{00000000-0005-0000-0000-0000E10A0000}"/>
    <cellStyle name="설계서" xfId="2787" xr:uid="{00000000-0005-0000-0000-0000E20A0000}"/>
    <cellStyle name="수량1" xfId="2788" xr:uid="{00000000-0005-0000-0000-0000E30A0000}"/>
    <cellStyle name="수목명" xfId="2789" xr:uid="{00000000-0005-0000-0000-0000E40A0000}"/>
    <cellStyle name="숫자(R)" xfId="2790" xr:uid="{00000000-0005-0000-0000-0000E50A0000}"/>
    <cellStyle name="쉼표 [0]" xfId="2793" builtinId="6"/>
    <cellStyle name="쉼표 [0] 2" xfId="2791" xr:uid="{00000000-0005-0000-0000-0000E70A0000}"/>
    <cellStyle name="쉼표 [0] 2 2" xfId="2792" xr:uid="{00000000-0005-0000-0000-0000E80A0000}"/>
    <cellStyle name="쉼표 [0] 2 3" xfId="2793" xr:uid="{00000000-0005-0000-0000-0000E90A0000}"/>
    <cellStyle name="쉼표 [0] 3" xfId="2794" xr:uid="{00000000-0005-0000-0000-0000EA0A0000}"/>
    <cellStyle name="쉼표 [0] 3 2" xfId="2795" xr:uid="{00000000-0005-0000-0000-0000EB0A0000}"/>
    <cellStyle name="쉼표 [0] 3 3" xfId="2796" xr:uid="{00000000-0005-0000-0000-0000EC0A0000}"/>
    <cellStyle name="쉼표 [0] 4" xfId="3113" xr:uid="{00000000-0005-0000-0000-0000ED0A0000}"/>
    <cellStyle name="스타일 1" xfId="2797" xr:uid="{00000000-0005-0000-0000-0000EE0A0000}"/>
    <cellStyle name="스타일 1 2" xfId="2798" xr:uid="{00000000-0005-0000-0000-0000EF0A0000}"/>
    <cellStyle name="스타일 10" xfId="2799" xr:uid="{00000000-0005-0000-0000-0000F00A0000}"/>
    <cellStyle name="스타일 100" xfId="2800" xr:uid="{00000000-0005-0000-0000-0000F10A0000}"/>
    <cellStyle name="스타일 101" xfId="2801" xr:uid="{00000000-0005-0000-0000-0000F20A0000}"/>
    <cellStyle name="스타일 102" xfId="2802" xr:uid="{00000000-0005-0000-0000-0000F30A0000}"/>
    <cellStyle name="스타일 103" xfId="2803" xr:uid="{00000000-0005-0000-0000-0000F40A0000}"/>
    <cellStyle name="스타일 104" xfId="2804" xr:uid="{00000000-0005-0000-0000-0000F50A0000}"/>
    <cellStyle name="스타일 105" xfId="2805" xr:uid="{00000000-0005-0000-0000-0000F60A0000}"/>
    <cellStyle name="스타일 106" xfId="2806" xr:uid="{00000000-0005-0000-0000-0000F70A0000}"/>
    <cellStyle name="스타일 107" xfId="2807" xr:uid="{00000000-0005-0000-0000-0000F80A0000}"/>
    <cellStyle name="스타일 108" xfId="2808" xr:uid="{00000000-0005-0000-0000-0000F90A0000}"/>
    <cellStyle name="스타일 109" xfId="2809" xr:uid="{00000000-0005-0000-0000-0000FA0A0000}"/>
    <cellStyle name="스타일 11" xfId="2810" xr:uid="{00000000-0005-0000-0000-0000FB0A0000}"/>
    <cellStyle name="스타일 110" xfId="2811" xr:uid="{00000000-0005-0000-0000-0000FC0A0000}"/>
    <cellStyle name="스타일 111" xfId="2812" xr:uid="{00000000-0005-0000-0000-0000FD0A0000}"/>
    <cellStyle name="스타일 112" xfId="2813" xr:uid="{00000000-0005-0000-0000-0000FE0A0000}"/>
    <cellStyle name="스타일 113" xfId="2814" xr:uid="{00000000-0005-0000-0000-0000FF0A0000}"/>
    <cellStyle name="스타일 114" xfId="2815" xr:uid="{00000000-0005-0000-0000-0000000B0000}"/>
    <cellStyle name="스타일 115" xfId="2816" xr:uid="{00000000-0005-0000-0000-0000010B0000}"/>
    <cellStyle name="스타일 116" xfId="2817" xr:uid="{00000000-0005-0000-0000-0000020B0000}"/>
    <cellStyle name="스타일 117" xfId="2818" xr:uid="{00000000-0005-0000-0000-0000030B0000}"/>
    <cellStyle name="스타일 118" xfId="2819" xr:uid="{00000000-0005-0000-0000-0000040B0000}"/>
    <cellStyle name="스타일 119" xfId="2820" xr:uid="{00000000-0005-0000-0000-0000050B0000}"/>
    <cellStyle name="스타일 12" xfId="2821" xr:uid="{00000000-0005-0000-0000-0000060B0000}"/>
    <cellStyle name="스타일 120" xfId="2822" xr:uid="{00000000-0005-0000-0000-0000070B0000}"/>
    <cellStyle name="스타일 121" xfId="2823" xr:uid="{00000000-0005-0000-0000-0000080B0000}"/>
    <cellStyle name="스타일 122" xfId="2824" xr:uid="{00000000-0005-0000-0000-0000090B0000}"/>
    <cellStyle name="스타일 123" xfId="2825" xr:uid="{00000000-0005-0000-0000-00000A0B0000}"/>
    <cellStyle name="스타일 124" xfId="2826" xr:uid="{00000000-0005-0000-0000-00000B0B0000}"/>
    <cellStyle name="스타일 125" xfId="2827" xr:uid="{00000000-0005-0000-0000-00000C0B0000}"/>
    <cellStyle name="스타일 126" xfId="2828" xr:uid="{00000000-0005-0000-0000-00000D0B0000}"/>
    <cellStyle name="스타일 127" xfId="2829" xr:uid="{00000000-0005-0000-0000-00000E0B0000}"/>
    <cellStyle name="스타일 128" xfId="2830" xr:uid="{00000000-0005-0000-0000-00000F0B0000}"/>
    <cellStyle name="스타일 129" xfId="2831" xr:uid="{00000000-0005-0000-0000-0000100B0000}"/>
    <cellStyle name="스타일 13" xfId="2832" xr:uid="{00000000-0005-0000-0000-0000110B0000}"/>
    <cellStyle name="스타일 130" xfId="2833" xr:uid="{00000000-0005-0000-0000-0000120B0000}"/>
    <cellStyle name="스타일 131" xfId="2834" xr:uid="{00000000-0005-0000-0000-0000130B0000}"/>
    <cellStyle name="스타일 132" xfId="2835" xr:uid="{00000000-0005-0000-0000-0000140B0000}"/>
    <cellStyle name="스타일 133" xfId="2836" xr:uid="{00000000-0005-0000-0000-0000150B0000}"/>
    <cellStyle name="스타일 134" xfId="2837" xr:uid="{00000000-0005-0000-0000-0000160B0000}"/>
    <cellStyle name="스타일 135" xfId="2838" xr:uid="{00000000-0005-0000-0000-0000170B0000}"/>
    <cellStyle name="스타일 136" xfId="2839" xr:uid="{00000000-0005-0000-0000-0000180B0000}"/>
    <cellStyle name="스타일 137" xfId="2840" xr:uid="{00000000-0005-0000-0000-0000190B0000}"/>
    <cellStyle name="스타일 138" xfId="2841" xr:uid="{00000000-0005-0000-0000-00001A0B0000}"/>
    <cellStyle name="스타일 139" xfId="2842" xr:uid="{00000000-0005-0000-0000-00001B0B0000}"/>
    <cellStyle name="스타일 14" xfId="2843" xr:uid="{00000000-0005-0000-0000-00001C0B0000}"/>
    <cellStyle name="스타일 140" xfId="2844" xr:uid="{00000000-0005-0000-0000-00001D0B0000}"/>
    <cellStyle name="스타일 141" xfId="2845" xr:uid="{00000000-0005-0000-0000-00001E0B0000}"/>
    <cellStyle name="스타일 142" xfId="2846" xr:uid="{00000000-0005-0000-0000-00001F0B0000}"/>
    <cellStyle name="스타일 143" xfId="2847" xr:uid="{00000000-0005-0000-0000-0000200B0000}"/>
    <cellStyle name="스타일 144" xfId="2848" xr:uid="{00000000-0005-0000-0000-0000210B0000}"/>
    <cellStyle name="스타일 145" xfId="2849" xr:uid="{00000000-0005-0000-0000-0000220B0000}"/>
    <cellStyle name="스타일 146" xfId="2850" xr:uid="{00000000-0005-0000-0000-0000230B0000}"/>
    <cellStyle name="스타일 147" xfId="2851" xr:uid="{00000000-0005-0000-0000-0000240B0000}"/>
    <cellStyle name="스타일 148" xfId="2852" xr:uid="{00000000-0005-0000-0000-0000250B0000}"/>
    <cellStyle name="스타일 149" xfId="2853" xr:uid="{00000000-0005-0000-0000-0000260B0000}"/>
    <cellStyle name="스타일 15" xfId="2854" xr:uid="{00000000-0005-0000-0000-0000270B0000}"/>
    <cellStyle name="스타일 150" xfId="2855" xr:uid="{00000000-0005-0000-0000-0000280B0000}"/>
    <cellStyle name="스타일 151" xfId="2856" xr:uid="{00000000-0005-0000-0000-0000290B0000}"/>
    <cellStyle name="스타일 152" xfId="2857" xr:uid="{00000000-0005-0000-0000-00002A0B0000}"/>
    <cellStyle name="스타일 153" xfId="2858" xr:uid="{00000000-0005-0000-0000-00002B0B0000}"/>
    <cellStyle name="스타일 154" xfId="2859" xr:uid="{00000000-0005-0000-0000-00002C0B0000}"/>
    <cellStyle name="스타일 155" xfId="2860" xr:uid="{00000000-0005-0000-0000-00002D0B0000}"/>
    <cellStyle name="스타일 156" xfId="2861" xr:uid="{00000000-0005-0000-0000-00002E0B0000}"/>
    <cellStyle name="스타일 157" xfId="2862" xr:uid="{00000000-0005-0000-0000-00002F0B0000}"/>
    <cellStyle name="스타일 158" xfId="2863" xr:uid="{00000000-0005-0000-0000-0000300B0000}"/>
    <cellStyle name="스타일 159" xfId="2864" xr:uid="{00000000-0005-0000-0000-0000310B0000}"/>
    <cellStyle name="스타일 16" xfId="2865" xr:uid="{00000000-0005-0000-0000-0000320B0000}"/>
    <cellStyle name="스타일 160" xfId="2866" xr:uid="{00000000-0005-0000-0000-0000330B0000}"/>
    <cellStyle name="스타일 161" xfId="2867" xr:uid="{00000000-0005-0000-0000-0000340B0000}"/>
    <cellStyle name="스타일 162" xfId="2868" xr:uid="{00000000-0005-0000-0000-0000350B0000}"/>
    <cellStyle name="스타일 163" xfId="2869" xr:uid="{00000000-0005-0000-0000-0000360B0000}"/>
    <cellStyle name="스타일 164" xfId="2870" xr:uid="{00000000-0005-0000-0000-0000370B0000}"/>
    <cellStyle name="스타일 165" xfId="2871" xr:uid="{00000000-0005-0000-0000-0000380B0000}"/>
    <cellStyle name="스타일 166" xfId="2872" xr:uid="{00000000-0005-0000-0000-0000390B0000}"/>
    <cellStyle name="스타일 167" xfId="2873" xr:uid="{00000000-0005-0000-0000-00003A0B0000}"/>
    <cellStyle name="스타일 168" xfId="2874" xr:uid="{00000000-0005-0000-0000-00003B0B0000}"/>
    <cellStyle name="스타일 169" xfId="2875" xr:uid="{00000000-0005-0000-0000-00003C0B0000}"/>
    <cellStyle name="스타일 17" xfId="2876" xr:uid="{00000000-0005-0000-0000-00003D0B0000}"/>
    <cellStyle name="스타일 170" xfId="2877" xr:uid="{00000000-0005-0000-0000-00003E0B0000}"/>
    <cellStyle name="스타일 171" xfId="2878" xr:uid="{00000000-0005-0000-0000-00003F0B0000}"/>
    <cellStyle name="스타일 172" xfId="2879" xr:uid="{00000000-0005-0000-0000-0000400B0000}"/>
    <cellStyle name="스타일 173" xfId="2880" xr:uid="{00000000-0005-0000-0000-0000410B0000}"/>
    <cellStyle name="스타일 174" xfId="2881" xr:uid="{00000000-0005-0000-0000-0000420B0000}"/>
    <cellStyle name="스타일 175" xfId="2882" xr:uid="{00000000-0005-0000-0000-0000430B0000}"/>
    <cellStyle name="스타일 176" xfId="2883" xr:uid="{00000000-0005-0000-0000-0000440B0000}"/>
    <cellStyle name="스타일 177" xfId="2884" xr:uid="{00000000-0005-0000-0000-0000450B0000}"/>
    <cellStyle name="스타일 178" xfId="2885" xr:uid="{00000000-0005-0000-0000-0000460B0000}"/>
    <cellStyle name="스타일 179" xfId="2886" xr:uid="{00000000-0005-0000-0000-0000470B0000}"/>
    <cellStyle name="스타일 18" xfId="2887" xr:uid="{00000000-0005-0000-0000-0000480B0000}"/>
    <cellStyle name="스타일 180" xfId="2888" xr:uid="{00000000-0005-0000-0000-0000490B0000}"/>
    <cellStyle name="스타일 181" xfId="2889" xr:uid="{00000000-0005-0000-0000-00004A0B0000}"/>
    <cellStyle name="스타일 182" xfId="2890" xr:uid="{00000000-0005-0000-0000-00004B0B0000}"/>
    <cellStyle name="스타일 183" xfId="2891" xr:uid="{00000000-0005-0000-0000-00004C0B0000}"/>
    <cellStyle name="스타일 184" xfId="2892" xr:uid="{00000000-0005-0000-0000-00004D0B0000}"/>
    <cellStyle name="스타일 185" xfId="2893" xr:uid="{00000000-0005-0000-0000-00004E0B0000}"/>
    <cellStyle name="스타일 186" xfId="2894" xr:uid="{00000000-0005-0000-0000-00004F0B0000}"/>
    <cellStyle name="스타일 187" xfId="2895" xr:uid="{00000000-0005-0000-0000-0000500B0000}"/>
    <cellStyle name="스타일 188" xfId="2896" xr:uid="{00000000-0005-0000-0000-0000510B0000}"/>
    <cellStyle name="스타일 189" xfId="2897" xr:uid="{00000000-0005-0000-0000-0000520B0000}"/>
    <cellStyle name="스타일 19" xfId="2898" xr:uid="{00000000-0005-0000-0000-0000530B0000}"/>
    <cellStyle name="스타일 190" xfId="2899" xr:uid="{00000000-0005-0000-0000-0000540B0000}"/>
    <cellStyle name="스타일 191" xfId="2900" xr:uid="{00000000-0005-0000-0000-0000550B0000}"/>
    <cellStyle name="스타일 192" xfId="2901" xr:uid="{00000000-0005-0000-0000-0000560B0000}"/>
    <cellStyle name="스타일 193" xfId="2902" xr:uid="{00000000-0005-0000-0000-0000570B0000}"/>
    <cellStyle name="스타일 194" xfId="2903" xr:uid="{00000000-0005-0000-0000-0000580B0000}"/>
    <cellStyle name="스타일 195" xfId="2904" xr:uid="{00000000-0005-0000-0000-0000590B0000}"/>
    <cellStyle name="스타일 196" xfId="2905" xr:uid="{00000000-0005-0000-0000-00005A0B0000}"/>
    <cellStyle name="스타일 197" xfId="2906" xr:uid="{00000000-0005-0000-0000-00005B0B0000}"/>
    <cellStyle name="스타일 198" xfId="2907" xr:uid="{00000000-0005-0000-0000-00005C0B0000}"/>
    <cellStyle name="스타일 199" xfId="2908" xr:uid="{00000000-0005-0000-0000-00005D0B0000}"/>
    <cellStyle name="스타일 2" xfId="2909" xr:uid="{00000000-0005-0000-0000-00005E0B0000}"/>
    <cellStyle name="스타일 20" xfId="2910" xr:uid="{00000000-0005-0000-0000-00005F0B0000}"/>
    <cellStyle name="스타일 200" xfId="2911" xr:uid="{00000000-0005-0000-0000-0000600B0000}"/>
    <cellStyle name="스타일 201" xfId="2912" xr:uid="{00000000-0005-0000-0000-0000610B0000}"/>
    <cellStyle name="스타일 202" xfId="2913" xr:uid="{00000000-0005-0000-0000-0000620B0000}"/>
    <cellStyle name="스타일 203" xfId="2914" xr:uid="{00000000-0005-0000-0000-0000630B0000}"/>
    <cellStyle name="스타일 204" xfId="2915" xr:uid="{00000000-0005-0000-0000-0000640B0000}"/>
    <cellStyle name="스타일 205" xfId="2916" xr:uid="{00000000-0005-0000-0000-0000650B0000}"/>
    <cellStyle name="스타일 206" xfId="2917" xr:uid="{00000000-0005-0000-0000-0000660B0000}"/>
    <cellStyle name="스타일 207" xfId="2918" xr:uid="{00000000-0005-0000-0000-0000670B0000}"/>
    <cellStyle name="스타일 208" xfId="2919" xr:uid="{00000000-0005-0000-0000-0000680B0000}"/>
    <cellStyle name="스타일 209" xfId="2920" xr:uid="{00000000-0005-0000-0000-0000690B0000}"/>
    <cellStyle name="스타일 21" xfId="2921" xr:uid="{00000000-0005-0000-0000-00006A0B0000}"/>
    <cellStyle name="스타일 210" xfId="2922" xr:uid="{00000000-0005-0000-0000-00006B0B0000}"/>
    <cellStyle name="스타일 211" xfId="2923" xr:uid="{00000000-0005-0000-0000-00006C0B0000}"/>
    <cellStyle name="스타일 212" xfId="2924" xr:uid="{00000000-0005-0000-0000-00006D0B0000}"/>
    <cellStyle name="스타일 213" xfId="2925" xr:uid="{00000000-0005-0000-0000-00006E0B0000}"/>
    <cellStyle name="스타일 214" xfId="2926" xr:uid="{00000000-0005-0000-0000-00006F0B0000}"/>
    <cellStyle name="스타일 215" xfId="2927" xr:uid="{00000000-0005-0000-0000-0000700B0000}"/>
    <cellStyle name="스타일 216" xfId="2928" xr:uid="{00000000-0005-0000-0000-0000710B0000}"/>
    <cellStyle name="스타일 217" xfId="2929" xr:uid="{00000000-0005-0000-0000-0000720B0000}"/>
    <cellStyle name="스타일 218" xfId="2930" xr:uid="{00000000-0005-0000-0000-0000730B0000}"/>
    <cellStyle name="스타일 219" xfId="2931" xr:uid="{00000000-0005-0000-0000-0000740B0000}"/>
    <cellStyle name="스타일 22" xfId="2932" xr:uid="{00000000-0005-0000-0000-0000750B0000}"/>
    <cellStyle name="스타일 220" xfId="2933" xr:uid="{00000000-0005-0000-0000-0000760B0000}"/>
    <cellStyle name="스타일 221" xfId="2934" xr:uid="{00000000-0005-0000-0000-0000770B0000}"/>
    <cellStyle name="스타일 222" xfId="2935" xr:uid="{00000000-0005-0000-0000-0000780B0000}"/>
    <cellStyle name="스타일 223" xfId="2936" xr:uid="{00000000-0005-0000-0000-0000790B0000}"/>
    <cellStyle name="스타일 224" xfId="2937" xr:uid="{00000000-0005-0000-0000-00007A0B0000}"/>
    <cellStyle name="스타일 225" xfId="2938" xr:uid="{00000000-0005-0000-0000-00007B0B0000}"/>
    <cellStyle name="스타일 226" xfId="2939" xr:uid="{00000000-0005-0000-0000-00007C0B0000}"/>
    <cellStyle name="스타일 227" xfId="2940" xr:uid="{00000000-0005-0000-0000-00007D0B0000}"/>
    <cellStyle name="스타일 228" xfId="2941" xr:uid="{00000000-0005-0000-0000-00007E0B0000}"/>
    <cellStyle name="스타일 229" xfId="2942" xr:uid="{00000000-0005-0000-0000-00007F0B0000}"/>
    <cellStyle name="스타일 23" xfId="2943" xr:uid="{00000000-0005-0000-0000-0000800B0000}"/>
    <cellStyle name="스타일 230" xfId="2944" xr:uid="{00000000-0005-0000-0000-0000810B0000}"/>
    <cellStyle name="스타일 231" xfId="2945" xr:uid="{00000000-0005-0000-0000-0000820B0000}"/>
    <cellStyle name="스타일 232" xfId="2946" xr:uid="{00000000-0005-0000-0000-0000830B0000}"/>
    <cellStyle name="스타일 233" xfId="2947" xr:uid="{00000000-0005-0000-0000-0000840B0000}"/>
    <cellStyle name="스타일 234" xfId="2948" xr:uid="{00000000-0005-0000-0000-0000850B0000}"/>
    <cellStyle name="스타일 235" xfId="2949" xr:uid="{00000000-0005-0000-0000-0000860B0000}"/>
    <cellStyle name="스타일 236" xfId="2950" xr:uid="{00000000-0005-0000-0000-0000870B0000}"/>
    <cellStyle name="스타일 237" xfId="2951" xr:uid="{00000000-0005-0000-0000-0000880B0000}"/>
    <cellStyle name="스타일 238" xfId="2952" xr:uid="{00000000-0005-0000-0000-0000890B0000}"/>
    <cellStyle name="스타일 239" xfId="2953" xr:uid="{00000000-0005-0000-0000-00008A0B0000}"/>
    <cellStyle name="스타일 24" xfId="2954" xr:uid="{00000000-0005-0000-0000-00008B0B0000}"/>
    <cellStyle name="스타일 240" xfId="2955" xr:uid="{00000000-0005-0000-0000-00008C0B0000}"/>
    <cellStyle name="스타일 241" xfId="2956" xr:uid="{00000000-0005-0000-0000-00008D0B0000}"/>
    <cellStyle name="스타일 242" xfId="2957" xr:uid="{00000000-0005-0000-0000-00008E0B0000}"/>
    <cellStyle name="스타일 243" xfId="2958" xr:uid="{00000000-0005-0000-0000-00008F0B0000}"/>
    <cellStyle name="스타일 244" xfId="2959" xr:uid="{00000000-0005-0000-0000-0000900B0000}"/>
    <cellStyle name="스타일 245" xfId="2960" xr:uid="{00000000-0005-0000-0000-0000910B0000}"/>
    <cellStyle name="스타일 246" xfId="2961" xr:uid="{00000000-0005-0000-0000-0000920B0000}"/>
    <cellStyle name="스타일 247" xfId="2962" xr:uid="{00000000-0005-0000-0000-0000930B0000}"/>
    <cellStyle name="스타일 248" xfId="2963" xr:uid="{00000000-0005-0000-0000-0000940B0000}"/>
    <cellStyle name="스타일 249" xfId="2964" xr:uid="{00000000-0005-0000-0000-0000950B0000}"/>
    <cellStyle name="스타일 25" xfId="2965" xr:uid="{00000000-0005-0000-0000-0000960B0000}"/>
    <cellStyle name="스타일 250" xfId="2966" xr:uid="{00000000-0005-0000-0000-0000970B0000}"/>
    <cellStyle name="스타일 251" xfId="2967" xr:uid="{00000000-0005-0000-0000-0000980B0000}"/>
    <cellStyle name="스타일 252" xfId="2968" xr:uid="{00000000-0005-0000-0000-0000990B0000}"/>
    <cellStyle name="스타일 253" xfId="2969" xr:uid="{00000000-0005-0000-0000-00009A0B0000}"/>
    <cellStyle name="스타일 254" xfId="2970" xr:uid="{00000000-0005-0000-0000-00009B0B0000}"/>
    <cellStyle name="스타일 255" xfId="2971" xr:uid="{00000000-0005-0000-0000-00009C0B0000}"/>
    <cellStyle name="스타일 26" xfId="2972" xr:uid="{00000000-0005-0000-0000-00009D0B0000}"/>
    <cellStyle name="스타일 27" xfId="2973" xr:uid="{00000000-0005-0000-0000-00009E0B0000}"/>
    <cellStyle name="스타일 28" xfId="2974" xr:uid="{00000000-0005-0000-0000-00009F0B0000}"/>
    <cellStyle name="스타일 29" xfId="2975" xr:uid="{00000000-0005-0000-0000-0000A00B0000}"/>
    <cellStyle name="스타일 3" xfId="2976" xr:uid="{00000000-0005-0000-0000-0000A10B0000}"/>
    <cellStyle name="스타일 30" xfId="2977" xr:uid="{00000000-0005-0000-0000-0000A20B0000}"/>
    <cellStyle name="스타일 31" xfId="2978" xr:uid="{00000000-0005-0000-0000-0000A30B0000}"/>
    <cellStyle name="스타일 32" xfId="2979" xr:uid="{00000000-0005-0000-0000-0000A40B0000}"/>
    <cellStyle name="스타일 33" xfId="2980" xr:uid="{00000000-0005-0000-0000-0000A50B0000}"/>
    <cellStyle name="스타일 34" xfId="2981" xr:uid="{00000000-0005-0000-0000-0000A60B0000}"/>
    <cellStyle name="스타일 35" xfId="2982" xr:uid="{00000000-0005-0000-0000-0000A70B0000}"/>
    <cellStyle name="스타일 36" xfId="2983" xr:uid="{00000000-0005-0000-0000-0000A80B0000}"/>
    <cellStyle name="스타일 37" xfId="2984" xr:uid="{00000000-0005-0000-0000-0000A90B0000}"/>
    <cellStyle name="스타일 38" xfId="2985" xr:uid="{00000000-0005-0000-0000-0000AA0B0000}"/>
    <cellStyle name="스타일 39" xfId="2986" xr:uid="{00000000-0005-0000-0000-0000AB0B0000}"/>
    <cellStyle name="스타일 4" xfId="2987" xr:uid="{00000000-0005-0000-0000-0000AC0B0000}"/>
    <cellStyle name="스타일 40" xfId="2988" xr:uid="{00000000-0005-0000-0000-0000AD0B0000}"/>
    <cellStyle name="스타일 41" xfId="2989" xr:uid="{00000000-0005-0000-0000-0000AE0B0000}"/>
    <cellStyle name="스타일 42" xfId="2990" xr:uid="{00000000-0005-0000-0000-0000AF0B0000}"/>
    <cellStyle name="스타일 43" xfId="2991" xr:uid="{00000000-0005-0000-0000-0000B00B0000}"/>
    <cellStyle name="스타일 44" xfId="2992" xr:uid="{00000000-0005-0000-0000-0000B10B0000}"/>
    <cellStyle name="스타일 45" xfId="2993" xr:uid="{00000000-0005-0000-0000-0000B20B0000}"/>
    <cellStyle name="스타일 46" xfId="2994" xr:uid="{00000000-0005-0000-0000-0000B30B0000}"/>
    <cellStyle name="스타일 47" xfId="2995" xr:uid="{00000000-0005-0000-0000-0000B40B0000}"/>
    <cellStyle name="스타일 48" xfId="2996" xr:uid="{00000000-0005-0000-0000-0000B50B0000}"/>
    <cellStyle name="스타일 49" xfId="2997" xr:uid="{00000000-0005-0000-0000-0000B60B0000}"/>
    <cellStyle name="스타일 5" xfId="2998" xr:uid="{00000000-0005-0000-0000-0000B70B0000}"/>
    <cellStyle name="스타일 50" xfId="2999" xr:uid="{00000000-0005-0000-0000-0000B80B0000}"/>
    <cellStyle name="스타일 51" xfId="3000" xr:uid="{00000000-0005-0000-0000-0000B90B0000}"/>
    <cellStyle name="스타일 52" xfId="3001" xr:uid="{00000000-0005-0000-0000-0000BA0B0000}"/>
    <cellStyle name="스타일 53" xfId="3002" xr:uid="{00000000-0005-0000-0000-0000BB0B0000}"/>
    <cellStyle name="스타일 54" xfId="3003" xr:uid="{00000000-0005-0000-0000-0000BC0B0000}"/>
    <cellStyle name="스타일 55" xfId="3004" xr:uid="{00000000-0005-0000-0000-0000BD0B0000}"/>
    <cellStyle name="스타일 56" xfId="3005" xr:uid="{00000000-0005-0000-0000-0000BE0B0000}"/>
    <cellStyle name="스타일 57" xfId="3006" xr:uid="{00000000-0005-0000-0000-0000BF0B0000}"/>
    <cellStyle name="스타일 58" xfId="3007" xr:uid="{00000000-0005-0000-0000-0000C00B0000}"/>
    <cellStyle name="스타일 59" xfId="3008" xr:uid="{00000000-0005-0000-0000-0000C10B0000}"/>
    <cellStyle name="스타일 6" xfId="3009" xr:uid="{00000000-0005-0000-0000-0000C20B0000}"/>
    <cellStyle name="스타일 60" xfId="3010" xr:uid="{00000000-0005-0000-0000-0000C30B0000}"/>
    <cellStyle name="스타일 61" xfId="3011" xr:uid="{00000000-0005-0000-0000-0000C40B0000}"/>
    <cellStyle name="스타일 62" xfId="3012" xr:uid="{00000000-0005-0000-0000-0000C50B0000}"/>
    <cellStyle name="스타일 63" xfId="3013" xr:uid="{00000000-0005-0000-0000-0000C60B0000}"/>
    <cellStyle name="스타일 64" xfId="3014" xr:uid="{00000000-0005-0000-0000-0000C70B0000}"/>
    <cellStyle name="스타일 65" xfId="3015" xr:uid="{00000000-0005-0000-0000-0000C80B0000}"/>
    <cellStyle name="스타일 66" xfId="3016" xr:uid="{00000000-0005-0000-0000-0000C90B0000}"/>
    <cellStyle name="스타일 67" xfId="3017" xr:uid="{00000000-0005-0000-0000-0000CA0B0000}"/>
    <cellStyle name="스타일 68" xfId="3018" xr:uid="{00000000-0005-0000-0000-0000CB0B0000}"/>
    <cellStyle name="스타일 69" xfId="3019" xr:uid="{00000000-0005-0000-0000-0000CC0B0000}"/>
    <cellStyle name="스타일 7" xfId="3020" xr:uid="{00000000-0005-0000-0000-0000CD0B0000}"/>
    <cellStyle name="스타일 70" xfId="3021" xr:uid="{00000000-0005-0000-0000-0000CE0B0000}"/>
    <cellStyle name="스타일 71" xfId="3022" xr:uid="{00000000-0005-0000-0000-0000CF0B0000}"/>
    <cellStyle name="스타일 72" xfId="3023" xr:uid="{00000000-0005-0000-0000-0000D00B0000}"/>
    <cellStyle name="스타일 73" xfId="3024" xr:uid="{00000000-0005-0000-0000-0000D10B0000}"/>
    <cellStyle name="스타일 74" xfId="3025" xr:uid="{00000000-0005-0000-0000-0000D20B0000}"/>
    <cellStyle name="스타일 75" xfId="3026" xr:uid="{00000000-0005-0000-0000-0000D30B0000}"/>
    <cellStyle name="스타일 76" xfId="3027" xr:uid="{00000000-0005-0000-0000-0000D40B0000}"/>
    <cellStyle name="스타일 77" xfId="3028" xr:uid="{00000000-0005-0000-0000-0000D50B0000}"/>
    <cellStyle name="스타일 78" xfId="3029" xr:uid="{00000000-0005-0000-0000-0000D60B0000}"/>
    <cellStyle name="스타일 79" xfId="3030" xr:uid="{00000000-0005-0000-0000-0000D70B0000}"/>
    <cellStyle name="스타일 8" xfId="3031" xr:uid="{00000000-0005-0000-0000-0000D80B0000}"/>
    <cellStyle name="스타일 80" xfId="3032" xr:uid="{00000000-0005-0000-0000-0000D90B0000}"/>
    <cellStyle name="스타일 81" xfId="3033" xr:uid="{00000000-0005-0000-0000-0000DA0B0000}"/>
    <cellStyle name="스타일 82" xfId="3034" xr:uid="{00000000-0005-0000-0000-0000DB0B0000}"/>
    <cellStyle name="스타일 83" xfId="3035" xr:uid="{00000000-0005-0000-0000-0000DC0B0000}"/>
    <cellStyle name="스타일 84" xfId="3036" xr:uid="{00000000-0005-0000-0000-0000DD0B0000}"/>
    <cellStyle name="스타일 85" xfId="3037" xr:uid="{00000000-0005-0000-0000-0000DE0B0000}"/>
    <cellStyle name="스타일 86" xfId="3038" xr:uid="{00000000-0005-0000-0000-0000DF0B0000}"/>
    <cellStyle name="스타일 87" xfId="3039" xr:uid="{00000000-0005-0000-0000-0000E00B0000}"/>
    <cellStyle name="스타일 88" xfId="3040" xr:uid="{00000000-0005-0000-0000-0000E10B0000}"/>
    <cellStyle name="스타일 89" xfId="3041" xr:uid="{00000000-0005-0000-0000-0000E20B0000}"/>
    <cellStyle name="스타일 9" xfId="3042" xr:uid="{00000000-0005-0000-0000-0000E30B0000}"/>
    <cellStyle name="스타일 90" xfId="3043" xr:uid="{00000000-0005-0000-0000-0000E40B0000}"/>
    <cellStyle name="스타일 91" xfId="3044" xr:uid="{00000000-0005-0000-0000-0000E50B0000}"/>
    <cellStyle name="스타일 92" xfId="3045" xr:uid="{00000000-0005-0000-0000-0000E60B0000}"/>
    <cellStyle name="스타일 93" xfId="3046" xr:uid="{00000000-0005-0000-0000-0000E70B0000}"/>
    <cellStyle name="스타일 94" xfId="3047" xr:uid="{00000000-0005-0000-0000-0000E80B0000}"/>
    <cellStyle name="스타일 95" xfId="3048" xr:uid="{00000000-0005-0000-0000-0000E90B0000}"/>
    <cellStyle name="스타일 96" xfId="3049" xr:uid="{00000000-0005-0000-0000-0000EA0B0000}"/>
    <cellStyle name="스타일 97" xfId="3050" xr:uid="{00000000-0005-0000-0000-0000EB0B0000}"/>
    <cellStyle name="스타일 98" xfId="3051" xr:uid="{00000000-0005-0000-0000-0000EC0B0000}"/>
    <cellStyle name="스타일 99" xfId="3052" xr:uid="{00000000-0005-0000-0000-0000ED0B0000}"/>
    <cellStyle name="안건회계법인" xfId="3053" xr:uid="{00000000-0005-0000-0000-0000EE0B0000}"/>
    <cellStyle name="열어 본 하이퍼링크" xfId="3115" builtinId="9" hidden="1"/>
    <cellStyle name="왼쪽2" xfId="3054" xr:uid="{00000000-0005-0000-0000-0000F00B0000}"/>
    <cellStyle name="원" xfId="3055" xr:uid="{00000000-0005-0000-0000-0000F10B0000}"/>
    <cellStyle name="유1" xfId="3056" xr:uid="{00000000-0005-0000-0000-0000F20B0000}"/>
    <cellStyle name="유영" xfId="3057" xr:uid="{00000000-0005-0000-0000-0000F30B0000}"/>
    <cellStyle name="자리수" xfId="3058" xr:uid="{00000000-0005-0000-0000-0000F40B0000}"/>
    <cellStyle name="자리수 - 유형1" xfId="3059" xr:uid="{00000000-0005-0000-0000-0000F50B0000}"/>
    <cellStyle name="자리수_~MGaE" xfId="3060" xr:uid="{00000000-0005-0000-0000-0000F60B0000}"/>
    <cellStyle name="자리수0" xfId="3061" xr:uid="{00000000-0005-0000-0000-0000F70B0000}"/>
    <cellStyle name="정기수 - 유형1" xfId="3062" xr:uid="{00000000-0005-0000-0000-0000F80B0000}"/>
    <cellStyle name="제목 1(左)" xfId="3063" xr:uid="{00000000-0005-0000-0000-0000F90B0000}"/>
    <cellStyle name="제목 1(中)" xfId="3064" xr:uid="{00000000-0005-0000-0000-0000FA0B0000}"/>
    <cellStyle name="제목[1 줄]" xfId="3065" xr:uid="{00000000-0005-0000-0000-0000FB0B0000}"/>
    <cellStyle name="제목[2줄 아래]" xfId="3066" xr:uid="{00000000-0005-0000-0000-0000FC0B0000}"/>
    <cellStyle name="제목[2줄 위]" xfId="3067" xr:uid="{00000000-0005-0000-0000-0000FD0B0000}"/>
    <cellStyle name="제목1" xfId="3068" xr:uid="{00000000-0005-0000-0000-0000FE0B0000}"/>
    <cellStyle name="제목2" xfId="3069" xr:uid="{00000000-0005-0000-0000-0000FF0B0000}"/>
    <cellStyle name="좋음 2" xfId="3070" xr:uid="{00000000-0005-0000-0000-0000000C0000}"/>
    <cellStyle name="지정되지 않음" xfId="3071" xr:uid="{00000000-0005-0000-0000-0000010C0000}"/>
    <cellStyle name="콤" xfId="3072" xr:uid="{00000000-0005-0000-0000-0000020C0000}"/>
    <cellStyle name="콤마 [" xfId="3073" xr:uid="{00000000-0005-0000-0000-0000030C0000}"/>
    <cellStyle name="콤마 []" xfId="3075" xr:uid="{00000000-0005-0000-0000-0000050C0000}"/>
    <cellStyle name="콤마 [#]" xfId="3074" xr:uid="{00000000-0005-0000-0000-0000040C0000}"/>
    <cellStyle name="콤마 [0]" xfId="3076" xr:uid="{00000000-0005-0000-0000-0000060C0000}"/>
    <cellStyle name="콤마 [1]" xfId="3077" xr:uid="{00000000-0005-0000-0000-0000070C0000}"/>
    <cellStyle name="콤마 [2]" xfId="3078" xr:uid="{00000000-0005-0000-0000-0000080C0000}"/>
    <cellStyle name="콤마 [금액]" xfId="3079" xr:uid="{00000000-0005-0000-0000-0000090C0000}"/>
    <cellStyle name="콤마 [소수]" xfId="3080" xr:uid="{00000000-0005-0000-0000-00000A0C0000}"/>
    <cellStyle name="콤마 [수량]" xfId="3081" xr:uid="{00000000-0005-0000-0000-00000B0C0000}"/>
    <cellStyle name="콤마 1" xfId="3082" xr:uid="{00000000-0005-0000-0000-00000C0C0000}"/>
    <cellStyle name="콤마_  종  합  " xfId="3088" xr:uid="{00000000-0005-0000-0000-0000120C0000}"/>
    <cellStyle name="콤마[ ]" xfId="3083" xr:uid="{00000000-0005-0000-0000-00000D0C0000}"/>
    <cellStyle name="콤마[,]" xfId="3085" xr:uid="{00000000-0005-0000-0000-00000F0C0000}"/>
    <cellStyle name="콤마[.]" xfId="3086" xr:uid="{00000000-0005-0000-0000-0000100C0000}"/>
    <cellStyle name="콤마[*]" xfId="3084" xr:uid="{00000000-0005-0000-0000-00000E0C0000}"/>
    <cellStyle name="콤마[0]" xfId="3087" xr:uid="{00000000-0005-0000-0000-0000110C0000}"/>
    <cellStyle name="통" xfId="3089" xr:uid="{00000000-0005-0000-0000-0000130C0000}"/>
    <cellStyle name="통화 [" xfId="3090" xr:uid="{00000000-0005-0000-0000-0000140C0000}"/>
    <cellStyle name="통화 [0㉝〸" xfId="3091" xr:uid="{00000000-0005-0000-0000-0000150C0000}"/>
    <cellStyle name="퍼센트" xfId="3092" xr:uid="{00000000-0005-0000-0000-0000160C0000}"/>
    <cellStyle name="표" xfId="3093" xr:uid="{00000000-0005-0000-0000-0000170C0000}"/>
    <cellStyle name="표(가는선,가운데,중앙)" xfId="3094" xr:uid="{00000000-0005-0000-0000-0000180C0000}"/>
    <cellStyle name="표(가는선,왼쪽,중앙)" xfId="3095" xr:uid="{00000000-0005-0000-0000-0000190C0000}"/>
    <cellStyle name="표(세로쓰기)" xfId="3096" xr:uid="{00000000-0005-0000-0000-00001A0C0000}"/>
    <cellStyle name="표머릿글(上)" xfId="3097" xr:uid="{00000000-0005-0000-0000-00001B0C0000}"/>
    <cellStyle name="표머릿글(中)" xfId="3098" xr:uid="{00000000-0005-0000-0000-00001C0C0000}"/>
    <cellStyle name="표머릿글(下)" xfId="3099" xr:uid="{00000000-0005-0000-0000-00001D0C0000}"/>
    <cellStyle name="표준" xfId="0" builtinId="0"/>
    <cellStyle name="표준 2" xfId="3100" xr:uid="{00000000-0005-0000-0000-00001F0C0000}"/>
    <cellStyle name="표준 2 2" xfId="3101" xr:uid="{00000000-0005-0000-0000-0000200C0000}"/>
    <cellStyle name="표준 3" xfId="3102" xr:uid="{00000000-0005-0000-0000-0000210C0000}"/>
    <cellStyle name="표준 4" xfId="3103" xr:uid="{00000000-0005-0000-0000-0000220C0000}"/>
    <cellStyle name="표준 5" xfId="3104" xr:uid="{00000000-0005-0000-0000-0000230C0000}"/>
    <cellStyle name="표준 6" xfId="3112" xr:uid="{00000000-0005-0000-0000-0000240C0000}"/>
    <cellStyle name="標準_Akia(F）-8" xfId="3105" xr:uid="{00000000-0005-0000-0000-0000250C0000}"/>
    <cellStyle name="표준℘Sheet8 (3)" xfId="3108" xr:uid="{00000000-0005-0000-0000-0000280C0000}"/>
    <cellStyle name="표준1" xfId="3106" xr:uid="{00000000-0005-0000-0000-0000260C0000}"/>
    <cellStyle name="표준2" xfId="3107" xr:uid="{00000000-0005-0000-0000-0000270C0000}"/>
    <cellStyle name="하이퍼링크" xfId="3114" builtinId="8" hidden="1"/>
    <cellStyle name="합산" xfId="3109" xr:uid="{00000000-0005-0000-0000-00002A0C0000}"/>
    <cellStyle name="화폐기호" xfId="3110" xr:uid="{00000000-0005-0000-0000-00002B0C0000}"/>
    <cellStyle name="화폐기호0" xfId="3111" xr:uid="{00000000-0005-0000-0000-00002C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_ 2ÆAAþº° " xfId="2659" xr:uid="{00000000-0005-0000-0000-0000620A0000}"/>
    <cellStyle name="ÄÞ¸¶_¸ðÇü¸·" xfId="2660" xr:uid="{00000000-0005-0000-0000-0000630A0000}"/>
    <cellStyle name="AÞ¸¶_95³aAN°y¼o·R " xfId="2661" xr:uid="{00000000-0005-0000-0000-0000640A0000}"/>
    <cellStyle name="ÄÞ¸¶_Á¤»ê¼­°©Áö" xfId="2662" xr:uid="{00000000-0005-0000-0000-0000650A0000}"/>
    <cellStyle name="AÞ¸¶_A¾CO½A¼³ " xfId="2663" xr:uid="{00000000-0005-0000-0000-0000660A0000}"/>
    <cellStyle name="C¡IA¨ª_¡ic¨u¡A¨￢I¨￢¡Æ AN¡Æe " xfId="2664" xr:uid="{00000000-0005-0000-0000-0000670A0000}"/>
    <cellStyle name="C￥AØ_ °u¸R½CCa1" xfId="2665" xr:uid="{00000000-0005-0000-0000-0000680A0000}"/>
    <cellStyle name="Ç¥ÁØ_»óºÎ¼ö·®Áý°è " xfId="2666" xr:uid="{00000000-0005-0000-0000-0000690A0000}"/>
    <cellStyle name="C￥AØ_°­´c (2)" xfId="2667" xr:uid="{00000000-0005-0000-0000-00006A0A0000}"/>
    <cellStyle name="Ç¥ÁØ_°­´ç (2)" xfId="2668" xr:uid="{00000000-0005-0000-0000-00006B0A0000}"/>
    <cellStyle name="C￥AØ_¼³°e¿e¿ª" xfId="2669" xr:uid="{00000000-0005-0000-0000-00006C0A0000}"/>
    <cellStyle name="Ç¥ÁØ_¼öÀÍ¼º " xfId="2670" xr:uid="{00000000-0005-0000-0000-00006D0A0000}"/>
    <cellStyle name="C￥AØ_95³aAN°y¼o·R " xfId="2671" xr:uid="{00000000-0005-0000-0000-00006E0A0000}"/>
    <cellStyle name="Calc Currency (0)" xfId="2672" xr:uid="{00000000-0005-0000-0000-00006F0A0000}"/>
    <cellStyle name="category" xfId="2673" xr:uid="{00000000-0005-0000-0000-0000700A0000}"/>
    <cellStyle name="CIAIÆU¸μAⓒ" xfId="2674" xr:uid="{00000000-0005-0000-0000-0000710A0000}"/>
    <cellStyle name="comma zerodec" xfId="2675" xr:uid="{00000000-0005-0000-0000-0000720A0000}"/>
    <cellStyle name="Comma0" xfId="2676" xr:uid="{00000000-0005-0000-0000-0000730A0000}"/>
    <cellStyle name="Copied" xfId="2677" xr:uid="{00000000-0005-0000-0000-0000740A0000}"/>
    <cellStyle name="COST1" xfId="2678" xr:uid="{00000000-0005-0000-0000-0000750A0000}"/>
    <cellStyle name="Curre~cy [0]_MATERAL2" xfId="2679" xr:uid="{00000000-0005-0000-0000-0000760A0000}"/>
    <cellStyle name="Curren?_x0012_퐀_x0017_?" xfId="2680" xr:uid="{00000000-0005-0000-0000-0000770A0000}"/>
    <cellStyle name="Currency [0]͢laroux_1" xfId="2681" xr:uid="{00000000-0005-0000-0000-0000780A0000}"/>
    <cellStyle name="currency-$" xfId="2682" xr:uid="{00000000-0005-0000-0000-0000790A0000}"/>
    <cellStyle name="Currency0" xfId="2683" xr:uid="{00000000-0005-0000-0000-00007A0A0000}"/>
    <cellStyle name="Currency1" xfId="2684" xr:uid="{00000000-0005-0000-0000-00007B0A0000}"/>
    <cellStyle name="Date" xfId="2685" xr:uid="{00000000-0005-0000-0000-00007C0A0000}"/>
    <cellStyle name="Dezimal [0]_laroux" xfId="2686" xr:uid="{00000000-0005-0000-0000-00007D0A0000}"/>
    <cellStyle name="Dezimal_laroux" xfId="2687" xr:uid="{00000000-0005-0000-0000-00007E0A0000}"/>
    <cellStyle name="Dollar (zero dec)" xfId="2688" xr:uid="{00000000-0005-0000-0000-00007F0A0000}"/>
    <cellStyle name="EA" xfId="2689" xr:uid="{00000000-0005-0000-0000-0000800A0000}"/>
    <cellStyle name="Entered" xfId="2690" xr:uid="{00000000-0005-0000-0000-0000810A0000}"/>
    <cellStyle name="ÊÝ [0.00]_Region Orders (2)" xfId="1101" xr:uid="{00000000-0005-0000-0000-00004C040000}"/>
    <cellStyle name="ÊÝ_Region Orders (2)" xfId="1102" xr:uid="{00000000-0005-0000-0000-00004D040000}"/>
    <cellStyle name="F2" xfId="2691" xr:uid="{00000000-0005-0000-0000-0000820A0000}"/>
    <cellStyle name="F3" xfId="2692" xr:uid="{00000000-0005-0000-0000-0000830A0000}"/>
    <cellStyle name="F4" xfId="2693" xr:uid="{00000000-0005-0000-0000-0000840A0000}"/>
    <cellStyle name="F5" xfId="2694" xr:uid="{00000000-0005-0000-0000-0000850A0000}"/>
    <cellStyle name="F6" xfId="2695" xr:uid="{00000000-0005-0000-0000-0000860A0000}"/>
    <cellStyle name="F7" xfId="2696" xr:uid="{00000000-0005-0000-0000-0000870A0000}"/>
    <cellStyle name="F8" xfId="2697" xr:uid="{00000000-0005-0000-0000-0000880A0000}"/>
    <cellStyle name="Fixed" xfId="2698" xr:uid="{00000000-0005-0000-0000-0000890A0000}"/>
    <cellStyle name="Grey" xfId="2699" xr:uid="{00000000-0005-0000-0000-00008A0A0000}"/>
    <cellStyle name="H1" xfId="2700" xr:uid="{00000000-0005-0000-0000-00008B0A0000}"/>
    <cellStyle name="H2" xfId="2701" xr:uid="{00000000-0005-0000-0000-00008C0A0000}"/>
    <cellStyle name="HEADER" xfId="2702" xr:uid="{00000000-0005-0000-0000-00008D0A0000}"/>
    <cellStyle name="Header1" xfId="2703" xr:uid="{00000000-0005-0000-0000-00008E0A0000}"/>
    <cellStyle name="Header2" xfId="2704" xr:uid="{00000000-0005-0000-0000-00008F0A0000}"/>
    <cellStyle name="Heading 1" xfId="2705" xr:uid="{00000000-0005-0000-0000-0000900A0000}"/>
    <cellStyle name="Heading 2" xfId="2706" xr:uid="{00000000-0005-0000-0000-0000910A0000}"/>
    <cellStyle name="Heading1" xfId="2707" xr:uid="{00000000-0005-0000-0000-0000920A0000}"/>
    <cellStyle name="Heading2" xfId="2708" xr:uid="{00000000-0005-0000-0000-0000930A0000}"/>
    <cellStyle name="Input [yellow]" xfId="2709" xr:uid="{00000000-0005-0000-0000-0000940A0000}"/>
    <cellStyle name="Input Cells" xfId="2710" xr:uid="{00000000-0005-0000-0000-0000950A0000}"/>
    <cellStyle name="kg" xfId="2711" xr:uid="{00000000-0005-0000-0000-0000960A0000}"/>
    <cellStyle name="Linked Cells" xfId="2712" xr:uid="{00000000-0005-0000-0000-0000970A0000}"/>
    <cellStyle name="M" xfId="2713" xr:uid="{00000000-0005-0000-0000-0000980A0000}"/>
    <cellStyle name="M2" xfId="2714" xr:uid="{00000000-0005-0000-0000-0000990A0000}"/>
    <cellStyle name="M3" xfId="2715" xr:uid="{00000000-0005-0000-0000-00009A0A0000}"/>
    <cellStyle name="Milliers [0]_Arabian Spec" xfId="2716" xr:uid="{00000000-0005-0000-0000-00009B0A0000}"/>
    <cellStyle name="Milliers_Arabian Spec" xfId="2717" xr:uid="{00000000-0005-0000-0000-00009C0A0000}"/>
    <cellStyle name="mma_CASH &amp; DSO" xfId="2718" xr:uid="{00000000-0005-0000-0000-00009D0A0000}"/>
    <cellStyle name="Model" xfId="2719" xr:uid="{00000000-0005-0000-0000-00009E0A0000}"/>
    <cellStyle name="Mon?aire [0]_Arabian Spec" xfId="2720" xr:uid="{00000000-0005-0000-0000-00009F0A0000}"/>
    <cellStyle name="Mon?aire_Arabian Spec" xfId="2721" xr:uid="{00000000-0005-0000-0000-0000A00A0000}"/>
    <cellStyle name="Monétaire [0]_CTC" xfId="2722" xr:uid="{00000000-0005-0000-0000-0000A10A0000}"/>
    <cellStyle name="Monétaire_CTC" xfId="2723" xr:uid="{00000000-0005-0000-0000-0000A20A0000}"/>
    <cellStyle name="no dec" xfId="2724" xr:uid="{00000000-0005-0000-0000-0000A30A0000}"/>
    <cellStyle name="Normal - 유형1" xfId="2726" xr:uid="{00000000-0005-0000-0000-0000A50A0000}"/>
    <cellStyle name="Normal - Style1" xfId="2725" xr:uid="{00000000-0005-0000-0000-0000A40A0000}"/>
    <cellStyle name="Œ…?æ맖?e [0.00]_laroux" xfId="2727" xr:uid="{00000000-0005-0000-0000-0000A60A0000}"/>
    <cellStyle name="Œ…?æ맖?e_laroux" xfId="2728" xr:uid="{00000000-0005-0000-0000-0000A70A0000}"/>
    <cellStyle name="oft Excel]_x000d__x000a_Comment=The open=/f lines load custom functions into the Paste Function list._x000d__x000a_Maximized=3_x000d__x000a_AutoFormat=" xfId="2729" xr:uid="{00000000-0005-0000-0000-0000A80A0000}"/>
    <cellStyle name="oh" xfId="2730" xr:uid="{00000000-0005-0000-0000-0000A90A0000}"/>
    <cellStyle name="per.style" xfId="2731" xr:uid="{00000000-0005-0000-0000-0000AA0A0000}"/>
    <cellStyle name="Percent [2]" xfId="2732" xr:uid="{00000000-0005-0000-0000-0000AB0A0000}"/>
    <cellStyle name="pricing" xfId="2733" xr:uid="{00000000-0005-0000-0000-0000AC0A0000}"/>
    <cellStyle name="PSChar" xfId="2734" xr:uid="{00000000-0005-0000-0000-0000AD0A0000}"/>
    <cellStyle name="RevList" xfId="2735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AF0A0000}"/>
    <cellStyle name="sh" xfId="2737" xr:uid="{00000000-0005-0000-0000-0000B00A0000}"/>
    <cellStyle name="ssh" xfId="2738" xr:uid="{00000000-0005-0000-0000-0000B10A0000}"/>
    <cellStyle name="STANDARD" xfId="2739" xr:uid="{00000000-0005-0000-0000-0000B20A0000}"/>
    <cellStyle name="STD" xfId="2740" xr:uid="{00000000-0005-0000-0000-0000B30A0000}"/>
    <cellStyle name="subhead" xfId="2741" xr:uid="{00000000-0005-0000-0000-0000B40A0000}"/>
    <cellStyle name="Subtotal" xfId="2742" xr:uid="{00000000-0005-0000-0000-0000B50A0000}"/>
    <cellStyle name="Title" xfId="2743" xr:uid="{00000000-0005-0000-0000-0000B60A0000}"/>
    <cellStyle name="title [1]" xfId="2744" xr:uid="{00000000-0005-0000-0000-0000B70A0000}"/>
    <cellStyle name="title [2]" xfId="2745" xr:uid="{00000000-0005-0000-0000-0000B80A0000}"/>
    <cellStyle name="Total" xfId="2746" xr:uid="{00000000-0005-0000-0000-0000B90A0000}"/>
    <cellStyle name="UM" xfId="2747" xr:uid="{00000000-0005-0000-0000-0000BA0A0000}"/>
    <cellStyle name="W_Pacific Region P&amp;L" xfId="1103" xr:uid="{00000000-0005-0000-0000-00004E040000}"/>
    <cellStyle name="W?rung [0]_laroux" xfId="2748" xr:uid="{00000000-0005-0000-0000-0000BB0A0000}"/>
    <cellStyle name="W?rung_laroux" xfId="2749" xr:uid="{00000000-0005-0000-0000-0000BC0A0000}"/>
    <cellStyle name="μU¿¡ ¿A´A CIAIÆU¸μAⓒ" xfId="2750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41</xdr:row>
      <xdr:rowOff>200025</xdr:rowOff>
    </xdr:from>
    <xdr:to>
      <xdr:col>27</xdr:col>
      <xdr:colOff>109855</xdr:colOff>
      <xdr:row>43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565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id="{00000000-0008-0000-0100-0000EE3A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330200</xdr:colOff>
      <xdr:row>33</xdr:row>
      <xdr:rowOff>190500</xdr:rowOff>
    </xdr:from>
    <xdr:to>
      <xdr:col>7</xdr:col>
      <xdr:colOff>659765</xdr:colOff>
      <xdr:row>36</xdr:row>
      <xdr:rowOff>214630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43805" y="87604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7"/>
  <sheetViews>
    <sheetView view="pageBreakPreview" topLeftCell="C1" zoomScaleNormal="100" zoomScaleSheetLayoutView="100" workbookViewId="0">
      <selection activeCell="H26" sqref="H26"/>
    </sheetView>
  </sheetViews>
  <sheetFormatPr baseColWidth="10" defaultColWidth="8.83203125" defaultRowHeight="14"/>
  <cols>
    <col min="1" max="3" width="8.83203125" style="87" customWidth="1"/>
    <col min="4" max="5" width="3.33203125" style="89" customWidth="1"/>
    <col min="6" max="12" width="3.33203125" style="88" customWidth="1"/>
    <col min="13" max="31" width="3.33203125" style="87" customWidth="1"/>
    <col min="32" max="32" width="2.33203125" style="87" customWidth="1"/>
    <col min="33" max="259" width="6.83203125" style="87" customWidth="1"/>
    <col min="260" max="260" width="8.83203125" style="87" customWidth="1"/>
    <col min="261" max="16384" width="8.83203125" style="87"/>
  </cols>
  <sheetData>
    <row r="1" spans="4:31" s="93" customFormat="1" ht="42" customHeight="1">
      <c r="D1" s="168" t="s">
        <v>84</v>
      </c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</row>
    <row r="2" spans="4:31" s="93" customFormat="1" ht="12" customHeight="1"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40"/>
      <c r="AC2" s="140"/>
      <c r="AD2" s="140"/>
      <c r="AE2" s="140"/>
    </row>
    <row r="3" spans="4:31" s="93" customFormat="1" ht="18" customHeight="1">
      <c r="D3" s="169" t="s">
        <v>190</v>
      </c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</row>
    <row r="4" spans="4:31" s="93" customFormat="1" ht="7.5" customHeight="1"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2"/>
      <c r="AC4" s="142"/>
      <c r="AD4" s="142"/>
      <c r="AE4" s="142"/>
    </row>
    <row r="5" spans="4:31" s="93" customFormat="1" ht="5" customHeight="1"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40"/>
      <c r="AC5" s="140"/>
      <c r="AD5" s="140"/>
      <c r="AE5" s="140"/>
    </row>
    <row r="6" spans="4:31" s="93" customFormat="1" ht="20" customHeight="1">
      <c r="D6" s="166" t="s">
        <v>83</v>
      </c>
      <c r="E6" s="166"/>
      <c r="F6" s="166"/>
      <c r="G6" s="166"/>
      <c r="H6" s="167" t="s">
        <v>82</v>
      </c>
      <c r="I6" s="167"/>
      <c r="J6" s="167"/>
      <c r="K6" s="167"/>
      <c r="L6" s="167"/>
      <c r="M6" s="167"/>
      <c r="N6" s="167"/>
      <c r="O6" s="143"/>
      <c r="P6" s="143"/>
      <c r="Q6" s="143"/>
      <c r="R6" s="143"/>
      <c r="S6" s="143"/>
      <c r="T6" s="143"/>
      <c r="U6" s="143"/>
      <c r="V6" s="139"/>
      <c r="W6" s="139"/>
      <c r="X6" s="139"/>
      <c r="Y6" s="139"/>
      <c r="Z6" s="139"/>
      <c r="AA6" s="139"/>
      <c r="AB6" s="139"/>
      <c r="AC6" s="139"/>
      <c r="AD6" s="139"/>
      <c r="AE6" s="139"/>
    </row>
    <row r="7" spans="4:31" s="93" customFormat="1" ht="20" customHeight="1">
      <c r="D7" s="166" t="s">
        <v>81</v>
      </c>
      <c r="E7" s="166"/>
      <c r="F7" s="166"/>
      <c r="G7" s="166"/>
      <c r="H7" s="170">
        <v>46072</v>
      </c>
      <c r="I7" s="170"/>
      <c r="J7" s="170"/>
      <c r="K7" s="170"/>
      <c r="L7" s="170"/>
      <c r="M7" s="170"/>
      <c r="N7" s="170"/>
      <c r="O7" s="170"/>
      <c r="P7" s="143"/>
      <c r="Q7" s="143"/>
      <c r="R7" s="143"/>
      <c r="S7" s="143"/>
      <c r="T7" s="143"/>
      <c r="U7" s="143"/>
      <c r="V7" s="139"/>
      <c r="W7" s="139"/>
      <c r="X7" s="139"/>
      <c r="Y7" s="139"/>
      <c r="Z7" s="139"/>
      <c r="AA7" s="139"/>
      <c r="AB7" s="139"/>
      <c r="AC7" s="139"/>
      <c r="AD7" s="139"/>
      <c r="AE7" s="139"/>
    </row>
    <row r="8" spans="4:31" s="93" customFormat="1" ht="20" customHeight="1">
      <c r="D8" s="166" t="s">
        <v>80</v>
      </c>
      <c r="E8" s="166"/>
      <c r="F8" s="166"/>
      <c r="G8" s="166"/>
      <c r="H8" s="167" t="s">
        <v>86</v>
      </c>
      <c r="I8" s="167"/>
      <c r="J8" s="167"/>
      <c r="K8" s="167"/>
      <c r="L8" s="167"/>
      <c r="M8" s="167"/>
      <c r="N8" s="167"/>
      <c r="O8" s="167"/>
      <c r="P8" s="143" t="s">
        <v>85</v>
      </c>
      <c r="Q8" s="143"/>
      <c r="R8" s="143"/>
      <c r="S8" s="143"/>
      <c r="T8" s="143"/>
      <c r="U8" s="143"/>
      <c r="V8" s="139"/>
      <c r="W8" s="139"/>
      <c r="X8" s="139"/>
      <c r="Y8" s="139"/>
      <c r="Z8" s="139"/>
      <c r="AA8" s="139"/>
      <c r="AB8" s="139"/>
      <c r="AC8" s="139"/>
      <c r="AD8" s="139"/>
      <c r="AE8" s="139"/>
    </row>
    <row r="9" spans="4:31" s="93" customFormat="1" ht="20" customHeight="1">
      <c r="D9" s="166" t="s">
        <v>79</v>
      </c>
      <c r="E9" s="166"/>
      <c r="F9" s="166"/>
      <c r="G9" s="166"/>
      <c r="H9" s="143" t="s">
        <v>78</v>
      </c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39"/>
      <c r="W9" s="139"/>
      <c r="X9" s="139"/>
      <c r="Y9" s="139"/>
      <c r="Z9" s="139"/>
      <c r="AA9" s="139"/>
      <c r="AB9" s="139"/>
      <c r="AC9" s="139"/>
      <c r="AD9" s="139"/>
      <c r="AE9" s="139"/>
    </row>
    <row r="10" spans="4:31" s="93" customFormat="1" ht="20" customHeight="1">
      <c r="D10" s="166" t="s">
        <v>77</v>
      </c>
      <c r="E10" s="166"/>
      <c r="F10" s="166"/>
      <c r="G10" s="166"/>
      <c r="H10" s="167" t="s">
        <v>208</v>
      </c>
      <c r="I10" s="167"/>
      <c r="J10" s="167"/>
      <c r="K10" s="167"/>
      <c r="L10" s="167"/>
      <c r="M10" s="167"/>
      <c r="N10" s="167"/>
      <c r="O10" s="167"/>
      <c r="P10" s="167"/>
      <c r="Q10" s="167"/>
      <c r="R10" s="167"/>
      <c r="S10" s="167"/>
      <c r="T10" s="167"/>
      <c r="U10" s="143" t="s">
        <v>207</v>
      </c>
      <c r="V10" s="144"/>
      <c r="W10" s="144"/>
      <c r="X10" s="139"/>
      <c r="Y10" s="139"/>
      <c r="Z10" s="139"/>
      <c r="AA10" s="139"/>
      <c r="AB10" s="139"/>
      <c r="AC10" s="139"/>
      <c r="AD10" s="139"/>
      <c r="AE10" s="139"/>
    </row>
    <row r="11" spans="4:31" s="93" customFormat="1" ht="13.5" hidden="1" customHeight="1"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</row>
    <row r="12" spans="4:31" s="93" customFormat="1" ht="7.5" customHeight="1"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</row>
    <row r="13" spans="4:31" s="93" customFormat="1" ht="5" customHeight="1"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</row>
    <row r="14" spans="4:31" s="93" customFormat="1" ht="16" customHeight="1">
      <c r="D14" s="171" t="s">
        <v>236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</row>
    <row r="15" spans="4:31" s="93" customFormat="1" ht="5" customHeight="1"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</row>
    <row r="16" spans="4:31" s="93" customFormat="1" ht="60" customHeight="1">
      <c r="D16" s="172" t="s">
        <v>237</v>
      </c>
      <c r="E16" s="172"/>
      <c r="F16" s="172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</row>
    <row r="17" spans="4:31" s="93" customFormat="1" ht="5" customHeight="1"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</row>
    <row r="18" spans="4:31" s="93" customFormat="1" ht="33" customHeight="1">
      <c r="D18" s="172" t="s">
        <v>238</v>
      </c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</row>
    <row r="19" spans="4:31" s="93" customFormat="1" ht="5" customHeight="1"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</row>
    <row r="20" spans="4:31" s="93" customFormat="1" ht="16" customHeight="1">
      <c r="D20" s="171" t="s">
        <v>239</v>
      </c>
      <c r="E20" s="171"/>
      <c r="F20" s="171"/>
      <c r="G20" s="171"/>
      <c r="H20" s="171"/>
      <c r="I20" s="171"/>
      <c r="J20" s="171"/>
      <c r="K20" s="171"/>
      <c r="L20" s="171"/>
      <c r="M20" s="171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</row>
    <row r="21" spans="4:31" s="93" customFormat="1" ht="16" customHeight="1">
      <c r="D21" s="139"/>
      <c r="E21" s="139"/>
      <c r="F21" s="139"/>
      <c r="G21" s="139"/>
      <c r="H21" s="171" t="s">
        <v>248</v>
      </c>
      <c r="I21" s="171"/>
      <c r="J21" s="171"/>
      <c r="K21" s="171"/>
      <c r="L21" s="171"/>
      <c r="M21" s="171"/>
      <c r="N21" s="167" t="str">
        <f>H8</f>
        <v>효성뉴서울5차아파트</v>
      </c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</row>
    <row r="22" spans="4:31" s="93" customFormat="1" ht="16" customHeight="1">
      <c r="D22" s="139"/>
      <c r="E22" s="139"/>
      <c r="F22" s="139"/>
      <c r="G22" s="139"/>
      <c r="H22" s="173" t="s">
        <v>249</v>
      </c>
      <c r="I22" s="173"/>
      <c r="J22" s="173"/>
      <c r="K22" s="173"/>
      <c r="L22" s="173"/>
      <c r="M22" s="173"/>
      <c r="N22" s="167" t="s">
        <v>87</v>
      </c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</row>
    <row r="23" spans="4:31" s="93" customFormat="1" ht="16" customHeight="1">
      <c r="D23" s="139"/>
      <c r="E23" s="139"/>
      <c r="F23" s="139"/>
      <c r="G23" s="139"/>
      <c r="H23" s="171" t="s">
        <v>250</v>
      </c>
      <c r="I23" s="171"/>
      <c r="J23" s="171"/>
      <c r="K23" s="171"/>
      <c r="L23" s="171"/>
      <c r="M23" s="171"/>
      <c r="N23" s="167" t="s">
        <v>88</v>
      </c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</row>
    <row r="24" spans="4:31" s="93" customFormat="1" ht="16" customHeight="1">
      <c r="D24" s="139"/>
      <c r="E24" s="139"/>
      <c r="F24" s="139"/>
      <c r="G24" s="139"/>
      <c r="H24" s="171" t="s">
        <v>251</v>
      </c>
      <c r="I24" s="171"/>
      <c r="J24" s="171"/>
      <c r="K24" s="171"/>
      <c r="L24" s="171"/>
      <c r="M24" s="171"/>
      <c r="N24" s="167" t="s">
        <v>89</v>
      </c>
      <c r="O24" s="167"/>
      <c r="P24" s="167"/>
      <c r="Q24" s="167"/>
      <c r="R24" s="167"/>
      <c r="S24" s="167"/>
      <c r="T24" s="167"/>
      <c r="U24" s="167"/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</row>
    <row r="25" spans="4:31" s="93" customFormat="1" ht="16" customHeight="1">
      <c r="D25" s="139"/>
      <c r="E25" s="139"/>
      <c r="F25" s="139"/>
      <c r="G25" s="139"/>
      <c r="H25" s="171" t="s">
        <v>252</v>
      </c>
      <c r="I25" s="171"/>
      <c r="J25" s="171"/>
      <c r="K25" s="171"/>
      <c r="L25" s="171"/>
      <c r="M25" s="171"/>
      <c r="N25" s="167" t="s">
        <v>244</v>
      </c>
      <c r="O25" s="167"/>
      <c r="P25" s="167"/>
      <c r="Q25" s="167"/>
      <c r="R25" s="167"/>
      <c r="S25" s="167"/>
      <c r="T25" s="167"/>
      <c r="U25" s="167"/>
      <c r="V25" s="143"/>
      <c r="W25" s="143"/>
      <c r="X25" s="143"/>
      <c r="Y25" s="143"/>
      <c r="Z25" s="143"/>
      <c r="AA25" s="143"/>
      <c r="AB25" s="143"/>
      <c r="AC25" s="143"/>
      <c r="AD25" s="155"/>
      <c r="AE25" s="155"/>
    </row>
    <row r="26" spans="4:31" s="93" customFormat="1" ht="5" customHeight="1"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</row>
    <row r="27" spans="4:31" s="93" customFormat="1" ht="16" customHeight="1">
      <c r="D27" s="171" t="s">
        <v>240</v>
      </c>
      <c r="E27" s="171"/>
      <c r="F27" s="171"/>
      <c r="G27" s="171"/>
      <c r="H27" s="171"/>
      <c r="I27" s="171"/>
      <c r="J27" s="171"/>
      <c r="K27" s="171"/>
      <c r="L27" s="171"/>
      <c r="M27" s="171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</row>
    <row r="28" spans="4:31" s="93" customFormat="1" ht="16" customHeight="1">
      <c r="D28" s="139"/>
      <c r="E28" s="139"/>
      <c r="F28" s="139"/>
      <c r="G28" s="139"/>
      <c r="H28" s="173" t="s">
        <v>198</v>
      </c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</row>
    <row r="29" spans="4:31" s="93" customFormat="1" ht="16" customHeight="1">
      <c r="D29" s="139"/>
      <c r="E29" s="139"/>
      <c r="F29" s="139"/>
      <c r="G29" s="139"/>
      <c r="H29" s="173" t="s">
        <v>187</v>
      </c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</row>
    <row r="30" spans="4:31" s="93" customFormat="1" ht="5" customHeight="1"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</row>
    <row r="31" spans="4:31" s="93" customFormat="1" ht="19.5" customHeight="1">
      <c r="D31" s="174" t="s">
        <v>235</v>
      </c>
      <c r="E31" s="174"/>
      <c r="F31" s="174"/>
      <c r="G31" s="174"/>
      <c r="H31" s="174"/>
      <c r="I31" s="174"/>
      <c r="J31" s="174"/>
      <c r="K31" s="174"/>
      <c r="L31" s="174"/>
      <c r="M31" s="174"/>
      <c r="N31" s="175" t="str">
        <f>대가산출!D3</f>
        <v xml:space="preserve">일금일백오십만원정 (₩1,500,000) </v>
      </c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6" t="s">
        <v>183</v>
      </c>
      <c r="AA31" s="177"/>
      <c r="AB31" s="177"/>
      <c r="AC31" s="177" t="s">
        <v>193</v>
      </c>
      <c r="AD31" s="177"/>
      <c r="AE31" s="153"/>
    </row>
    <row r="32" spans="4:31" s="93" customFormat="1" ht="16" customHeight="1">
      <c r="D32" s="139"/>
      <c r="E32" s="139"/>
      <c r="F32" s="139"/>
      <c r="G32" s="139"/>
      <c r="H32" s="156"/>
      <c r="I32" s="171"/>
      <c r="J32" s="171"/>
      <c r="K32" s="171"/>
      <c r="L32" s="171"/>
      <c r="M32" s="171"/>
      <c r="N32" s="178"/>
      <c r="O32" s="171"/>
      <c r="P32" s="171"/>
      <c r="Q32" s="171"/>
      <c r="R32" s="171"/>
      <c r="S32" s="171"/>
      <c r="T32" s="171"/>
      <c r="U32" s="171"/>
      <c r="V32" s="171"/>
      <c r="W32" s="171"/>
      <c r="X32" s="179"/>
      <c r="Y32" s="156"/>
      <c r="Z32" s="173"/>
      <c r="AA32" s="173"/>
      <c r="AB32" s="180"/>
      <c r="AC32" s="164"/>
      <c r="AD32" s="164"/>
      <c r="AE32" s="154"/>
    </row>
    <row r="33" spans="4:32" s="93" customFormat="1" ht="16" customHeight="1">
      <c r="D33" s="139"/>
      <c r="E33" s="139"/>
      <c r="F33" s="139"/>
      <c r="G33" s="139"/>
      <c r="H33" s="156"/>
      <c r="I33" s="171"/>
      <c r="J33" s="171"/>
      <c r="K33" s="171"/>
      <c r="L33" s="171"/>
      <c r="M33" s="171"/>
      <c r="N33" s="178"/>
      <c r="O33" s="171"/>
      <c r="P33" s="171"/>
      <c r="Q33" s="171"/>
      <c r="R33" s="171"/>
      <c r="S33" s="171"/>
      <c r="T33" s="171"/>
      <c r="U33" s="171"/>
      <c r="V33" s="171"/>
      <c r="W33" s="171"/>
      <c r="X33" s="179"/>
      <c r="Y33" s="156"/>
      <c r="Z33" s="173"/>
      <c r="AA33" s="173"/>
      <c r="AB33" s="180"/>
      <c r="AC33" s="181"/>
      <c r="AD33" s="181"/>
      <c r="AE33" s="154"/>
    </row>
    <row r="34" spans="4:32" s="93" customFormat="1" ht="16" customHeight="1">
      <c r="D34" s="139"/>
      <c r="E34" s="139"/>
      <c r="F34" s="139"/>
      <c r="G34" s="139"/>
      <c r="H34" s="156"/>
      <c r="I34" s="171"/>
      <c r="J34" s="171"/>
      <c r="K34" s="171"/>
      <c r="L34" s="171"/>
      <c r="M34" s="171"/>
      <c r="N34" s="178"/>
      <c r="O34" s="171"/>
      <c r="P34" s="171"/>
      <c r="Q34" s="171"/>
      <c r="R34" s="171"/>
      <c r="S34" s="171"/>
      <c r="T34" s="171"/>
      <c r="U34" s="171"/>
      <c r="V34" s="171"/>
      <c r="W34" s="171"/>
      <c r="X34" s="179"/>
      <c r="Y34" s="156"/>
      <c r="Z34" s="173"/>
      <c r="AA34" s="173"/>
      <c r="AB34" s="180"/>
      <c r="AC34" s="181"/>
      <c r="AD34" s="181"/>
      <c r="AE34" s="154"/>
    </row>
    <row r="35" spans="4:32" s="93" customFormat="1" ht="16" customHeight="1">
      <c r="D35" s="139"/>
      <c r="E35" s="139"/>
      <c r="F35" s="139"/>
      <c r="G35" s="139"/>
      <c r="H35" s="156"/>
      <c r="I35" s="171"/>
      <c r="J35" s="171"/>
      <c r="K35" s="171"/>
      <c r="L35" s="171"/>
      <c r="M35" s="171"/>
      <c r="N35" s="178"/>
      <c r="O35" s="171"/>
      <c r="P35" s="171"/>
      <c r="Q35" s="171"/>
      <c r="R35" s="171"/>
      <c r="S35" s="171"/>
      <c r="T35" s="171"/>
      <c r="U35" s="171"/>
      <c r="V35" s="171"/>
      <c r="W35" s="171"/>
      <c r="X35" s="179"/>
      <c r="Y35" s="156"/>
      <c r="Z35" s="173"/>
      <c r="AA35" s="173"/>
      <c r="AB35" s="180"/>
      <c r="AC35" s="181"/>
      <c r="AD35" s="181"/>
      <c r="AE35" s="154"/>
    </row>
    <row r="36" spans="4:32" s="93" customFormat="1" ht="16" customHeight="1">
      <c r="D36" s="139"/>
      <c r="E36" s="139"/>
      <c r="F36" s="139"/>
      <c r="G36" s="139"/>
      <c r="H36" s="156"/>
      <c r="I36" s="171"/>
      <c r="J36" s="171"/>
      <c r="K36" s="171"/>
      <c r="L36" s="171"/>
      <c r="M36" s="171"/>
      <c r="N36" s="178"/>
      <c r="O36" s="171"/>
      <c r="P36" s="171"/>
      <c r="Q36" s="171"/>
      <c r="R36" s="171"/>
      <c r="S36" s="171"/>
      <c r="T36" s="171"/>
      <c r="U36" s="171"/>
      <c r="V36" s="171"/>
      <c r="W36" s="171"/>
      <c r="X36" s="179"/>
      <c r="Y36" s="156"/>
      <c r="Z36" s="173"/>
      <c r="AA36" s="173"/>
      <c r="AB36" s="180"/>
      <c r="AC36" s="181"/>
      <c r="AD36" s="181"/>
      <c r="AE36" s="154"/>
    </row>
    <row r="37" spans="4:32" s="93" customFormat="1" ht="16" customHeight="1">
      <c r="D37" s="139"/>
      <c r="E37" s="139"/>
      <c r="F37" s="139"/>
      <c r="G37" s="139"/>
      <c r="H37" s="156"/>
      <c r="I37" s="179"/>
      <c r="J37" s="179"/>
      <c r="K37" s="179"/>
      <c r="L37" s="179"/>
      <c r="M37" s="179"/>
      <c r="N37" s="184"/>
      <c r="O37" s="184"/>
      <c r="P37" s="184"/>
      <c r="Q37" s="184"/>
      <c r="R37" s="184"/>
      <c r="S37" s="179"/>
      <c r="T37" s="171"/>
      <c r="U37" s="171"/>
      <c r="V37" s="171"/>
      <c r="W37" s="171"/>
      <c r="X37" s="179"/>
      <c r="Y37" s="156"/>
      <c r="Z37" s="173"/>
      <c r="AA37" s="173"/>
      <c r="AB37" s="180"/>
      <c r="AC37" s="165"/>
      <c r="AD37" s="164"/>
      <c r="AE37" s="154"/>
    </row>
    <row r="38" spans="4:32" s="93" customFormat="1" ht="16" customHeight="1">
      <c r="D38" s="139"/>
      <c r="E38" s="139"/>
      <c r="F38" s="139"/>
      <c r="G38" s="139"/>
      <c r="H38" s="156"/>
      <c r="I38" s="179"/>
      <c r="J38" s="179"/>
      <c r="K38" s="179"/>
      <c r="L38" s="179"/>
      <c r="M38" s="179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63"/>
      <c r="Z38" s="186"/>
      <c r="AA38" s="186"/>
      <c r="AB38" s="173"/>
      <c r="AC38" s="165"/>
      <c r="AD38" s="165"/>
      <c r="AE38" s="146"/>
    </row>
    <row r="39" spans="4:32" s="93" customFormat="1" ht="5" customHeight="1"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</row>
    <row r="40" spans="4:32" s="93" customFormat="1" ht="16" customHeight="1">
      <c r="D40" s="182" t="s">
        <v>241</v>
      </c>
      <c r="E40" s="182"/>
      <c r="F40" s="182"/>
      <c r="G40" s="182"/>
      <c r="H40" s="182"/>
      <c r="I40" s="182"/>
      <c r="J40" s="182"/>
      <c r="K40" s="182"/>
      <c r="L40" s="182"/>
      <c r="M40" s="182"/>
      <c r="N40" s="173" t="s">
        <v>189</v>
      </c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  <c r="AA40" s="173"/>
      <c r="AB40" s="173"/>
      <c r="AC40" s="173"/>
      <c r="AD40" s="173"/>
      <c r="AE40" s="173"/>
    </row>
    <row r="41" spans="4:32" s="93" customFormat="1" ht="5" customHeight="1"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</row>
    <row r="42" spans="4:32" s="93" customFormat="1" ht="19.5" customHeight="1">
      <c r="D42" s="171" t="s">
        <v>210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</row>
    <row r="43" spans="4:32" s="93" customFormat="1" ht="19.5" customHeight="1">
      <c r="D43" s="139"/>
      <c r="E43" s="139"/>
      <c r="F43" s="139"/>
      <c r="G43" s="139"/>
      <c r="H43" s="139"/>
      <c r="I43" s="139"/>
      <c r="J43" s="147"/>
      <c r="K43" s="147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  <c r="AD43" s="139"/>
      <c r="AE43" s="139"/>
    </row>
    <row r="44" spans="4:32" s="93" customFormat="1" ht="46.5" customHeight="1">
      <c r="D44" s="183" t="s">
        <v>76</v>
      </c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94"/>
    </row>
    <row r="45" spans="4:32">
      <c r="D45" s="87"/>
      <c r="E45" s="87"/>
      <c r="F45" s="92"/>
      <c r="G45" s="92"/>
      <c r="H45" s="92"/>
      <c r="I45" s="92"/>
      <c r="J45" s="92"/>
      <c r="K45" s="92"/>
      <c r="L45" s="92"/>
    </row>
    <row r="46" spans="4:32">
      <c r="D46" s="87"/>
      <c r="E46" s="87"/>
      <c r="F46" s="92"/>
      <c r="G46" s="92"/>
      <c r="H46" s="92"/>
      <c r="I46" s="92"/>
      <c r="J46" s="92"/>
      <c r="K46" s="92"/>
      <c r="L46" s="92"/>
    </row>
    <row r="47" spans="4:32">
      <c r="D47" s="87"/>
      <c r="E47" s="87"/>
      <c r="F47" s="92"/>
      <c r="G47" s="92"/>
      <c r="H47" s="92"/>
      <c r="I47" s="92"/>
      <c r="J47" s="92"/>
      <c r="K47" s="92"/>
      <c r="L47" s="92"/>
    </row>
    <row r="48" spans="4:32">
      <c r="D48" s="87"/>
      <c r="E48" s="87"/>
      <c r="F48" s="92"/>
      <c r="G48" s="92"/>
      <c r="H48" s="92"/>
      <c r="I48" s="92"/>
      <c r="J48" s="92"/>
      <c r="K48" s="92"/>
      <c r="L48" s="92"/>
    </row>
    <row r="49" spans="6:12" s="87" customFormat="1">
      <c r="F49" s="92"/>
      <c r="G49" s="92"/>
      <c r="H49" s="92"/>
      <c r="I49" s="92"/>
      <c r="J49" s="92"/>
      <c r="K49" s="92"/>
      <c r="L49" s="92"/>
    </row>
    <row r="50" spans="6:12" s="87" customFormat="1">
      <c r="F50" s="92"/>
      <c r="G50" s="92"/>
      <c r="H50" s="92"/>
      <c r="I50" s="92"/>
      <c r="J50" s="92"/>
      <c r="K50" s="92"/>
      <c r="L50" s="92"/>
    </row>
    <row r="51" spans="6:12" s="87" customFormat="1">
      <c r="F51" s="92"/>
      <c r="G51" s="92"/>
      <c r="H51" s="92"/>
      <c r="I51" s="92"/>
      <c r="J51" s="92"/>
      <c r="K51" s="92"/>
      <c r="L51" s="92"/>
    </row>
    <row r="52" spans="6:12" s="87" customFormat="1">
      <c r="F52" s="92"/>
      <c r="G52" s="92"/>
      <c r="H52" s="92"/>
      <c r="I52" s="92"/>
      <c r="J52" s="92"/>
      <c r="K52" s="92"/>
      <c r="L52" s="92"/>
    </row>
    <row r="53" spans="6:12" s="87" customFormat="1">
      <c r="F53" s="92"/>
      <c r="G53" s="92"/>
      <c r="H53" s="92"/>
      <c r="I53" s="92"/>
      <c r="J53" s="92"/>
      <c r="K53" s="92"/>
      <c r="L53" s="92"/>
    </row>
    <row r="54" spans="6:12" s="87" customFormat="1">
      <c r="F54" s="92"/>
      <c r="G54" s="92"/>
      <c r="H54" s="92"/>
      <c r="I54" s="92"/>
      <c r="J54" s="92"/>
      <c r="K54" s="92"/>
      <c r="L54" s="92"/>
    </row>
    <row r="55" spans="6:12" s="87" customFormat="1">
      <c r="F55" s="92"/>
      <c r="G55" s="92"/>
      <c r="H55" s="92"/>
      <c r="I55" s="92"/>
      <c r="J55" s="92"/>
      <c r="K55" s="92"/>
      <c r="L55" s="92"/>
    </row>
    <row r="56" spans="6:12" s="87" customFormat="1">
      <c r="F56" s="92"/>
      <c r="G56" s="92"/>
      <c r="H56" s="92"/>
      <c r="I56" s="92"/>
      <c r="J56" s="92"/>
      <c r="K56" s="92"/>
      <c r="L56" s="92"/>
    </row>
    <row r="57" spans="6:12" s="87" customFormat="1">
      <c r="F57" s="92"/>
      <c r="G57" s="92"/>
      <c r="H57" s="92"/>
      <c r="I57" s="92"/>
      <c r="J57" s="92"/>
      <c r="K57" s="92"/>
      <c r="L57" s="92"/>
    </row>
    <row r="58" spans="6:12" s="87" customFormat="1">
      <c r="F58" s="92"/>
      <c r="G58" s="92"/>
      <c r="H58" s="92"/>
      <c r="I58" s="92"/>
      <c r="J58" s="92"/>
      <c r="K58" s="92"/>
      <c r="L58" s="92"/>
    </row>
    <row r="59" spans="6:12" s="87" customFormat="1">
      <c r="F59" s="92"/>
      <c r="G59" s="92"/>
      <c r="H59" s="92"/>
      <c r="I59" s="92"/>
      <c r="J59" s="92"/>
      <c r="K59" s="92"/>
      <c r="L59" s="92"/>
    </row>
    <row r="60" spans="6:12" s="87" customFormat="1">
      <c r="F60" s="92"/>
      <c r="G60" s="92"/>
      <c r="H60" s="92"/>
      <c r="I60" s="92"/>
      <c r="J60" s="92"/>
      <c r="K60" s="92"/>
      <c r="L60" s="92"/>
    </row>
    <row r="61" spans="6:12" s="87" customFormat="1">
      <c r="F61" s="92"/>
      <c r="G61" s="92"/>
      <c r="H61" s="92"/>
      <c r="I61" s="92"/>
      <c r="J61" s="92"/>
      <c r="K61" s="92"/>
      <c r="L61" s="92"/>
    </row>
    <row r="62" spans="6:12" s="87" customFormat="1">
      <c r="F62" s="92"/>
      <c r="G62" s="92"/>
      <c r="H62" s="92"/>
      <c r="I62" s="92"/>
      <c r="J62" s="92"/>
      <c r="K62" s="92"/>
      <c r="L62" s="92"/>
    </row>
    <row r="63" spans="6:12" s="87" customFormat="1">
      <c r="F63" s="92"/>
      <c r="G63" s="92"/>
      <c r="H63" s="92"/>
      <c r="I63" s="92"/>
      <c r="J63" s="92"/>
      <c r="K63" s="92"/>
      <c r="L63" s="92"/>
    </row>
    <row r="64" spans="6:12" s="87" customFormat="1">
      <c r="F64" s="92"/>
      <c r="G64" s="92"/>
      <c r="H64" s="92"/>
      <c r="I64" s="92"/>
      <c r="J64" s="92"/>
      <c r="K64" s="92"/>
      <c r="L64" s="92"/>
    </row>
    <row r="65" spans="6:12" s="87" customFormat="1">
      <c r="F65" s="92"/>
      <c r="G65" s="92"/>
      <c r="H65" s="92"/>
      <c r="I65" s="92"/>
      <c r="J65" s="92"/>
      <c r="K65" s="92"/>
      <c r="L65" s="92"/>
    </row>
    <row r="66" spans="6:12" s="87" customFormat="1">
      <c r="F66" s="92"/>
      <c r="G66" s="92"/>
      <c r="H66" s="92"/>
      <c r="I66" s="92"/>
      <c r="J66" s="92"/>
      <c r="K66" s="92"/>
      <c r="L66" s="92"/>
    </row>
    <row r="67" spans="6:12" s="87" customFormat="1">
      <c r="F67" s="92"/>
      <c r="G67" s="92"/>
      <c r="H67" s="92"/>
      <c r="I67" s="92"/>
      <c r="J67" s="92"/>
      <c r="K67" s="92"/>
      <c r="L67" s="92"/>
    </row>
    <row r="68" spans="6:12" s="87" customFormat="1">
      <c r="F68" s="92"/>
      <c r="G68" s="92"/>
      <c r="H68" s="92"/>
      <c r="I68" s="92"/>
      <c r="J68" s="92"/>
      <c r="K68" s="92"/>
      <c r="L68" s="92"/>
    </row>
    <row r="69" spans="6:12" s="87" customFormat="1">
      <c r="F69" s="92"/>
      <c r="G69" s="92"/>
      <c r="H69" s="92"/>
      <c r="I69" s="92"/>
      <c r="J69" s="92"/>
      <c r="K69" s="92"/>
      <c r="L69" s="92"/>
    </row>
    <row r="70" spans="6:12" s="87" customFormat="1">
      <c r="F70" s="92"/>
      <c r="G70" s="92"/>
      <c r="H70" s="92"/>
      <c r="I70" s="92"/>
      <c r="J70" s="92"/>
      <c r="K70" s="92"/>
      <c r="L70" s="92"/>
    </row>
    <row r="71" spans="6:12" s="87" customFormat="1">
      <c r="F71" s="92"/>
      <c r="G71" s="92"/>
      <c r="H71" s="92"/>
      <c r="I71" s="92"/>
      <c r="J71" s="92"/>
      <c r="K71" s="92"/>
      <c r="L71" s="92"/>
    </row>
    <row r="72" spans="6:12" s="87" customFormat="1">
      <c r="F72" s="92"/>
      <c r="G72" s="92"/>
      <c r="H72" s="92"/>
      <c r="I72" s="92"/>
      <c r="J72" s="92"/>
      <c r="K72" s="92"/>
      <c r="L72" s="92"/>
    </row>
    <row r="73" spans="6:12" s="87" customFormat="1">
      <c r="F73" s="92"/>
      <c r="G73" s="92"/>
      <c r="H73" s="92"/>
      <c r="I73" s="92"/>
      <c r="J73" s="92"/>
      <c r="K73" s="92"/>
      <c r="L73" s="92"/>
    </row>
    <row r="74" spans="6:12" s="87" customFormat="1">
      <c r="F74" s="92"/>
      <c r="G74" s="92"/>
      <c r="H74" s="92"/>
      <c r="I74" s="92"/>
      <c r="J74" s="92"/>
      <c r="K74" s="92"/>
      <c r="L74" s="92"/>
    </row>
    <row r="75" spans="6:12" s="87" customFormat="1">
      <c r="F75" s="92"/>
      <c r="G75" s="92"/>
      <c r="H75" s="92"/>
      <c r="I75" s="92"/>
      <c r="J75" s="92"/>
      <c r="K75" s="92"/>
      <c r="L75" s="92"/>
    </row>
    <row r="76" spans="6:12" s="87" customFormat="1">
      <c r="F76" s="92"/>
      <c r="G76" s="92"/>
      <c r="H76" s="92"/>
      <c r="I76" s="92"/>
      <c r="J76" s="92"/>
      <c r="K76" s="92"/>
      <c r="L76" s="92"/>
    </row>
    <row r="77" spans="6:12" s="87" customFormat="1">
      <c r="F77" s="92"/>
      <c r="G77" s="92"/>
      <c r="H77" s="92"/>
      <c r="I77" s="92"/>
      <c r="J77" s="92"/>
      <c r="K77" s="92"/>
      <c r="L77" s="92"/>
    </row>
    <row r="78" spans="6:12" s="87" customFormat="1">
      <c r="F78" s="92"/>
      <c r="G78" s="92"/>
      <c r="H78" s="92"/>
      <c r="I78" s="92"/>
      <c r="J78" s="92"/>
      <c r="K78" s="92"/>
      <c r="L78" s="92"/>
    </row>
    <row r="79" spans="6:12" s="87" customFormat="1">
      <c r="F79" s="92"/>
      <c r="G79" s="92"/>
      <c r="H79" s="92"/>
      <c r="I79" s="92"/>
      <c r="J79" s="92"/>
      <c r="K79" s="92"/>
      <c r="L79" s="92"/>
    </row>
    <row r="80" spans="6:12" s="87" customFormat="1">
      <c r="F80" s="92"/>
      <c r="G80" s="92"/>
      <c r="H80" s="92"/>
      <c r="I80" s="92"/>
      <c r="J80" s="92"/>
      <c r="K80" s="92"/>
      <c r="L80" s="92"/>
    </row>
    <row r="81" spans="6:12" s="87" customFormat="1">
      <c r="F81" s="92"/>
      <c r="G81" s="92"/>
      <c r="H81" s="92"/>
      <c r="I81" s="92"/>
      <c r="J81" s="92"/>
      <c r="K81" s="92"/>
      <c r="L81" s="92"/>
    </row>
    <row r="82" spans="6:12" s="87" customFormat="1">
      <c r="F82" s="92"/>
      <c r="G82" s="92"/>
      <c r="H82" s="92"/>
      <c r="I82" s="92"/>
      <c r="J82" s="92"/>
      <c r="K82" s="92"/>
      <c r="L82" s="92"/>
    </row>
    <row r="83" spans="6:12" s="87" customFormat="1">
      <c r="F83" s="92"/>
      <c r="G83" s="92"/>
      <c r="H83" s="92"/>
      <c r="I83" s="92"/>
      <c r="J83" s="92"/>
      <c r="K83" s="92"/>
      <c r="L83" s="92"/>
    </row>
    <row r="84" spans="6:12" s="87" customFormat="1">
      <c r="F84" s="92"/>
      <c r="G84" s="92"/>
      <c r="H84" s="92"/>
      <c r="I84" s="92"/>
      <c r="J84" s="92"/>
      <c r="K84" s="92"/>
      <c r="L84" s="92"/>
    </row>
    <row r="85" spans="6:12" s="87" customFormat="1">
      <c r="F85" s="92"/>
      <c r="G85" s="92"/>
      <c r="H85" s="92"/>
      <c r="I85" s="92"/>
      <c r="J85" s="92"/>
      <c r="K85" s="92"/>
      <c r="L85" s="92"/>
    </row>
    <row r="86" spans="6:12" s="87" customFormat="1">
      <c r="F86" s="92"/>
      <c r="G86" s="92"/>
      <c r="H86" s="92"/>
      <c r="I86" s="92"/>
      <c r="J86" s="92"/>
      <c r="K86" s="92"/>
      <c r="L86" s="92"/>
    </row>
    <row r="87" spans="6:12" s="87" customFormat="1">
      <c r="F87" s="92"/>
      <c r="G87" s="92"/>
      <c r="H87" s="92"/>
      <c r="I87" s="92"/>
      <c r="J87" s="92"/>
      <c r="K87" s="92"/>
      <c r="L87" s="92"/>
    </row>
    <row r="88" spans="6:12" s="87" customFormat="1">
      <c r="F88" s="92"/>
      <c r="G88" s="92"/>
      <c r="H88" s="92"/>
      <c r="I88" s="92"/>
      <c r="J88" s="92"/>
      <c r="K88" s="92"/>
      <c r="L88" s="92"/>
    </row>
    <row r="89" spans="6:12" s="87" customFormat="1">
      <c r="F89" s="92"/>
      <c r="G89" s="92"/>
      <c r="H89" s="92"/>
      <c r="I89" s="92"/>
      <c r="J89" s="92"/>
      <c r="K89" s="92"/>
      <c r="L89" s="92"/>
    </row>
    <row r="90" spans="6:12" s="87" customFormat="1">
      <c r="F90" s="92"/>
      <c r="G90" s="92"/>
      <c r="H90" s="92"/>
      <c r="I90" s="92"/>
      <c r="J90" s="92"/>
      <c r="K90" s="92"/>
      <c r="L90" s="92"/>
    </row>
    <row r="91" spans="6:12" s="87" customFormat="1">
      <c r="F91" s="92"/>
      <c r="G91" s="92"/>
      <c r="H91" s="92"/>
      <c r="I91" s="92"/>
      <c r="J91" s="92"/>
      <c r="K91" s="92"/>
      <c r="L91" s="92"/>
    </row>
    <row r="92" spans="6:12" s="87" customFormat="1">
      <c r="F92" s="92"/>
      <c r="G92" s="92"/>
      <c r="H92" s="92"/>
      <c r="I92" s="92"/>
      <c r="J92" s="92"/>
      <c r="K92" s="92"/>
      <c r="L92" s="92"/>
    </row>
    <row r="93" spans="6:12" s="87" customFormat="1">
      <c r="F93" s="92"/>
      <c r="G93" s="92"/>
      <c r="H93" s="92"/>
      <c r="I93" s="92"/>
      <c r="J93" s="92"/>
      <c r="K93" s="92"/>
      <c r="L93" s="92"/>
    </row>
    <row r="94" spans="6:12" s="87" customFormat="1">
      <c r="F94" s="92"/>
      <c r="G94" s="92"/>
      <c r="H94" s="92"/>
      <c r="I94" s="92"/>
      <c r="J94" s="92"/>
      <c r="K94" s="92"/>
      <c r="L94" s="92"/>
    </row>
    <row r="95" spans="6:12" s="87" customFormat="1">
      <c r="F95" s="92"/>
      <c r="G95" s="92"/>
      <c r="H95" s="92"/>
      <c r="I95" s="92"/>
      <c r="J95" s="92"/>
      <c r="K95" s="92"/>
      <c r="L95" s="92"/>
    </row>
    <row r="96" spans="6:12" s="87" customFormat="1">
      <c r="F96" s="92"/>
      <c r="G96" s="92"/>
      <c r="H96" s="92"/>
      <c r="I96" s="92"/>
      <c r="J96" s="92"/>
      <c r="K96" s="92"/>
      <c r="L96" s="92"/>
    </row>
    <row r="97" spans="6:12" s="87" customFormat="1">
      <c r="F97" s="92"/>
      <c r="G97" s="92"/>
      <c r="H97" s="92"/>
      <c r="I97" s="92"/>
      <c r="J97" s="92"/>
      <c r="K97" s="92"/>
      <c r="L97" s="92"/>
    </row>
    <row r="98" spans="6:12" s="87" customFormat="1">
      <c r="F98" s="92"/>
      <c r="G98" s="92"/>
      <c r="H98" s="92"/>
      <c r="I98" s="92"/>
      <c r="J98" s="92"/>
      <c r="K98" s="92"/>
      <c r="L98" s="92"/>
    </row>
    <row r="99" spans="6:12" s="87" customFormat="1">
      <c r="F99" s="92"/>
      <c r="G99" s="92"/>
      <c r="H99" s="92"/>
      <c r="I99" s="92"/>
      <c r="J99" s="92"/>
      <c r="K99" s="92"/>
      <c r="L99" s="92"/>
    </row>
    <row r="100" spans="6:12" s="87" customFormat="1">
      <c r="F100" s="92"/>
      <c r="G100" s="92"/>
      <c r="H100" s="92"/>
      <c r="I100" s="92"/>
      <c r="J100" s="92"/>
      <c r="K100" s="92"/>
      <c r="L100" s="92"/>
    </row>
    <row r="101" spans="6:12" s="87" customFormat="1">
      <c r="F101" s="92"/>
      <c r="G101" s="92"/>
      <c r="H101" s="92"/>
      <c r="I101" s="92"/>
      <c r="J101" s="92"/>
      <c r="K101" s="92"/>
      <c r="L101" s="92"/>
    </row>
    <row r="102" spans="6:12" s="87" customFormat="1">
      <c r="F102" s="92"/>
      <c r="G102" s="92"/>
      <c r="H102" s="92"/>
      <c r="I102" s="92"/>
      <c r="J102" s="92"/>
      <c r="K102" s="92"/>
      <c r="L102" s="92"/>
    </row>
    <row r="103" spans="6:12" s="87" customFormat="1">
      <c r="F103" s="92"/>
      <c r="G103" s="92"/>
      <c r="H103" s="92"/>
      <c r="I103" s="92"/>
      <c r="J103" s="92"/>
      <c r="K103" s="92"/>
      <c r="L103" s="92"/>
    </row>
    <row r="104" spans="6:12" s="87" customFormat="1">
      <c r="F104" s="92"/>
      <c r="G104" s="92"/>
      <c r="H104" s="92"/>
      <c r="I104" s="92"/>
      <c r="J104" s="92"/>
      <c r="K104" s="92"/>
      <c r="L104" s="92"/>
    </row>
    <row r="105" spans="6:12" s="87" customFormat="1">
      <c r="F105" s="92"/>
      <c r="G105" s="92"/>
      <c r="H105" s="92"/>
      <c r="I105" s="92"/>
      <c r="J105" s="92"/>
      <c r="K105" s="92"/>
      <c r="L105" s="92"/>
    </row>
    <row r="106" spans="6:12" s="87" customFormat="1">
      <c r="F106" s="92"/>
      <c r="G106" s="92"/>
      <c r="H106" s="92"/>
      <c r="I106" s="92"/>
      <c r="J106" s="92"/>
      <c r="K106" s="92"/>
      <c r="L106" s="92"/>
    </row>
    <row r="107" spans="6:12" s="87" customFormat="1">
      <c r="F107" s="92"/>
      <c r="G107" s="92"/>
      <c r="H107" s="92"/>
      <c r="I107" s="92"/>
      <c r="J107" s="92"/>
      <c r="K107" s="92"/>
      <c r="L107" s="92"/>
    </row>
    <row r="108" spans="6:12" s="87" customFormat="1">
      <c r="F108" s="92"/>
      <c r="G108" s="92"/>
      <c r="H108" s="92"/>
      <c r="I108" s="92"/>
      <c r="J108" s="92"/>
      <c r="K108" s="92"/>
      <c r="L108" s="92"/>
    </row>
    <row r="109" spans="6:12" s="87" customFormat="1">
      <c r="F109" s="92"/>
      <c r="G109" s="92"/>
      <c r="H109" s="92"/>
      <c r="I109" s="92"/>
      <c r="J109" s="92"/>
      <c r="K109" s="92"/>
      <c r="L109" s="92"/>
    </row>
    <row r="110" spans="6:12" s="87" customFormat="1">
      <c r="F110" s="92"/>
      <c r="G110" s="92"/>
      <c r="H110" s="92"/>
      <c r="I110" s="92"/>
      <c r="J110" s="92"/>
      <c r="K110" s="92"/>
      <c r="L110" s="92"/>
    </row>
    <row r="111" spans="6:12" s="87" customFormat="1">
      <c r="F111" s="92"/>
      <c r="G111" s="92"/>
      <c r="H111" s="92"/>
      <c r="I111" s="92"/>
      <c r="J111" s="92"/>
      <c r="K111" s="92"/>
      <c r="L111" s="92"/>
    </row>
    <row r="112" spans="6:12" s="87" customFormat="1">
      <c r="F112" s="92"/>
      <c r="G112" s="92"/>
      <c r="H112" s="92"/>
      <c r="I112" s="92"/>
      <c r="J112" s="92"/>
      <c r="K112" s="92"/>
      <c r="L112" s="92"/>
    </row>
    <row r="113" spans="6:12" s="87" customFormat="1">
      <c r="F113" s="92"/>
      <c r="G113" s="92"/>
      <c r="H113" s="92"/>
      <c r="I113" s="92"/>
      <c r="J113" s="92"/>
      <c r="K113" s="92"/>
      <c r="L113" s="92"/>
    </row>
    <row r="114" spans="6:12" s="87" customFormat="1">
      <c r="F114" s="92"/>
      <c r="G114" s="92"/>
      <c r="H114" s="92"/>
      <c r="I114" s="92"/>
      <c r="J114" s="92"/>
      <c r="K114" s="92"/>
      <c r="L114" s="92"/>
    </row>
    <row r="115" spans="6:12" s="87" customFormat="1">
      <c r="F115" s="92"/>
      <c r="G115" s="92"/>
      <c r="H115" s="92"/>
      <c r="I115" s="92"/>
      <c r="J115" s="92"/>
      <c r="K115" s="92"/>
      <c r="L115" s="92"/>
    </row>
    <row r="116" spans="6:12" s="87" customFormat="1">
      <c r="F116" s="92"/>
      <c r="G116" s="92"/>
      <c r="H116" s="92"/>
      <c r="I116" s="92"/>
      <c r="J116" s="92"/>
      <c r="K116" s="92"/>
      <c r="L116" s="92"/>
    </row>
    <row r="117" spans="6:12" s="87" customFormat="1">
      <c r="F117" s="92"/>
      <c r="G117" s="92"/>
      <c r="H117" s="92"/>
      <c r="I117" s="92"/>
      <c r="J117" s="92"/>
      <c r="K117" s="92"/>
      <c r="L117" s="92"/>
    </row>
    <row r="118" spans="6:12" s="87" customFormat="1">
      <c r="F118" s="92"/>
      <c r="G118" s="92"/>
      <c r="H118" s="92"/>
      <c r="I118" s="92"/>
      <c r="J118" s="92"/>
      <c r="K118" s="92"/>
      <c r="L118" s="92"/>
    </row>
    <row r="119" spans="6:12" s="87" customFormat="1">
      <c r="F119" s="92"/>
      <c r="G119" s="92"/>
      <c r="H119" s="92"/>
      <c r="I119" s="92"/>
      <c r="J119" s="92"/>
      <c r="K119" s="92"/>
      <c r="L119" s="92"/>
    </row>
    <row r="120" spans="6:12" s="87" customFormat="1">
      <c r="F120" s="92"/>
      <c r="G120" s="92"/>
      <c r="H120" s="92"/>
      <c r="I120" s="92"/>
      <c r="J120" s="92"/>
      <c r="K120" s="92"/>
      <c r="L120" s="92"/>
    </row>
    <row r="121" spans="6:12" s="87" customFormat="1">
      <c r="F121" s="92"/>
      <c r="G121" s="92"/>
      <c r="H121" s="92"/>
      <c r="I121" s="92"/>
      <c r="J121" s="92"/>
      <c r="K121" s="92"/>
      <c r="L121" s="92"/>
    </row>
    <row r="122" spans="6:12" s="87" customFormat="1">
      <c r="F122" s="92"/>
      <c r="G122" s="92"/>
      <c r="H122" s="92"/>
      <c r="I122" s="92"/>
      <c r="J122" s="92"/>
      <c r="K122" s="92"/>
      <c r="L122" s="92"/>
    </row>
    <row r="123" spans="6:12" s="87" customFormat="1">
      <c r="F123" s="92"/>
      <c r="G123" s="92"/>
      <c r="H123" s="92"/>
      <c r="I123" s="92"/>
      <c r="J123" s="92"/>
      <c r="K123" s="92"/>
      <c r="L123" s="92"/>
    </row>
    <row r="124" spans="6:12" s="87" customFormat="1">
      <c r="F124" s="92"/>
      <c r="G124" s="92"/>
      <c r="H124" s="92"/>
      <c r="I124" s="92"/>
      <c r="J124" s="92"/>
      <c r="K124" s="92"/>
      <c r="L124" s="92"/>
    </row>
    <row r="125" spans="6:12" s="87" customFormat="1">
      <c r="F125" s="92"/>
      <c r="G125" s="92"/>
      <c r="H125" s="92"/>
      <c r="I125" s="92"/>
      <c r="J125" s="92"/>
      <c r="K125" s="92"/>
      <c r="L125" s="92"/>
    </row>
    <row r="126" spans="6:12" s="87" customFormat="1">
      <c r="F126" s="92"/>
      <c r="G126" s="92"/>
      <c r="H126" s="92"/>
      <c r="I126" s="92"/>
      <c r="J126" s="92"/>
      <c r="K126" s="92"/>
      <c r="L126" s="92"/>
    </row>
    <row r="127" spans="6:12" s="87" customFormat="1">
      <c r="F127" s="92"/>
      <c r="G127" s="92"/>
      <c r="H127" s="92"/>
      <c r="I127" s="92"/>
      <c r="J127" s="92"/>
      <c r="K127" s="92"/>
      <c r="L127" s="92"/>
    </row>
    <row r="128" spans="6:12" s="87" customFormat="1">
      <c r="F128" s="92"/>
      <c r="G128" s="92"/>
      <c r="H128" s="92"/>
      <c r="I128" s="92"/>
      <c r="J128" s="92"/>
      <c r="K128" s="92"/>
      <c r="L128" s="92"/>
    </row>
    <row r="129" spans="6:12" s="87" customFormat="1">
      <c r="F129" s="92"/>
      <c r="G129" s="92"/>
      <c r="H129" s="92"/>
      <c r="I129" s="92"/>
      <c r="J129" s="92"/>
      <c r="K129" s="92"/>
      <c r="L129" s="92"/>
    </row>
    <row r="130" spans="6:12" s="87" customFormat="1">
      <c r="F130" s="92"/>
      <c r="G130" s="92"/>
      <c r="H130" s="92"/>
      <c r="I130" s="92"/>
      <c r="J130" s="92"/>
      <c r="K130" s="92"/>
      <c r="L130" s="92"/>
    </row>
    <row r="131" spans="6:12" s="87" customFormat="1">
      <c r="F131" s="92"/>
      <c r="G131" s="92"/>
      <c r="H131" s="92"/>
      <c r="I131" s="92"/>
      <c r="J131" s="92"/>
      <c r="K131" s="92"/>
      <c r="L131" s="92"/>
    </row>
    <row r="132" spans="6:12" s="87" customFormat="1">
      <c r="F132" s="92"/>
      <c r="G132" s="92"/>
      <c r="H132" s="92"/>
      <c r="I132" s="92"/>
      <c r="J132" s="92"/>
      <c r="K132" s="92"/>
      <c r="L132" s="92"/>
    </row>
    <row r="133" spans="6:12" s="87" customFormat="1">
      <c r="F133" s="92"/>
      <c r="G133" s="92"/>
      <c r="H133" s="92"/>
      <c r="I133" s="92"/>
      <c r="J133" s="92"/>
      <c r="K133" s="92"/>
      <c r="L133" s="92"/>
    </row>
    <row r="134" spans="6:12" s="87" customFormat="1">
      <c r="F134" s="92"/>
      <c r="G134" s="92"/>
      <c r="H134" s="92"/>
      <c r="I134" s="92"/>
      <c r="J134" s="92"/>
      <c r="K134" s="92"/>
      <c r="L134" s="92"/>
    </row>
    <row r="135" spans="6:12" s="87" customFormat="1">
      <c r="F135" s="92"/>
      <c r="G135" s="92"/>
      <c r="H135" s="92"/>
      <c r="I135" s="92"/>
      <c r="J135" s="92"/>
      <c r="K135" s="92"/>
      <c r="L135" s="92"/>
    </row>
    <row r="136" spans="6:12" s="87" customFormat="1">
      <c r="F136" s="92"/>
      <c r="G136" s="92"/>
      <c r="H136" s="92"/>
      <c r="I136" s="92"/>
      <c r="J136" s="92"/>
      <c r="K136" s="92"/>
      <c r="L136" s="92"/>
    </row>
    <row r="137" spans="6:12" s="87" customFormat="1">
      <c r="F137" s="92"/>
      <c r="G137" s="92"/>
      <c r="H137" s="92"/>
      <c r="I137" s="92"/>
      <c r="J137" s="92"/>
      <c r="K137" s="92"/>
      <c r="L137" s="92"/>
    </row>
    <row r="138" spans="6:12" s="87" customFormat="1">
      <c r="F138" s="92"/>
      <c r="G138" s="92"/>
      <c r="H138" s="92"/>
      <c r="I138" s="92"/>
      <c r="J138" s="92"/>
      <c r="K138" s="92"/>
      <c r="L138" s="92"/>
    </row>
    <row r="139" spans="6:12" s="87" customFormat="1">
      <c r="F139" s="92"/>
      <c r="G139" s="92"/>
      <c r="H139" s="92"/>
      <c r="I139" s="92"/>
      <c r="J139" s="92"/>
      <c r="K139" s="92"/>
      <c r="L139" s="92"/>
    </row>
    <row r="140" spans="6:12" s="87" customFormat="1">
      <c r="F140" s="92"/>
      <c r="G140" s="92"/>
      <c r="H140" s="92"/>
      <c r="I140" s="92"/>
      <c r="J140" s="92"/>
      <c r="K140" s="92"/>
      <c r="L140" s="92"/>
    </row>
    <row r="141" spans="6:12" s="87" customFormat="1">
      <c r="F141" s="92"/>
      <c r="G141" s="92"/>
      <c r="H141" s="92"/>
      <c r="I141" s="92"/>
      <c r="J141" s="92"/>
      <c r="K141" s="92"/>
      <c r="L141" s="92"/>
    </row>
    <row r="142" spans="6:12" s="87" customFormat="1">
      <c r="F142" s="92"/>
      <c r="G142" s="92"/>
      <c r="H142" s="92"/>
      <c r="I142" s="92"/>
      <c r="J142" s="92"/>
      <c r="K142" s="92"/>
      <c r="L142" s="92"/>
    </row>
    <row r="143" spans="6:12" s="87" customFormat="1">
      <c r="F143" s="92"/>
      <c r="G143" s="92"/>
      <c r="H143" s="92"/>
      <c r="I143" s="92"/>
      <c r="J143" s="92"/>
      <c r="K143" s="92"/>
      <c r="L143" s="92"/>
    </row>
    <row r="144" spans="6:12" s="87" customFormat="1">
      <c r="F144" s="92"/>
      <c r="G144" s="92"/>
      <c r="H144" s="92"/>
      <c r="I144" s="92"/>
      <c r="J144" s="92"/>
      <c r="K144" s="92"/>
      <c r="L144" s="92"/>
    </row>
    <row r="145" spans="6:12" s="87" customFormat="1">
      <c r="F145" s="92"/>
      <c r="G145" s="92"/>
      <c r="H145" s="92"/>
      <c r="I145" s="92"/>
      <c r="J145" s="92"/>
      <c r="K145" s="92"/>
      <c r="L145" s="92"/>
    </row>
    <row r="146" spans="6:12" s="87" customFormat="1">
      <c r="F146" s="92"/>
      <c r="G146" s="92"/>
      <c r="H146" s="92"/>
      <c r="I146" s="92"/>
      <c r="J146" s="92"/>
      <c r="K146" s="92"/>
      <c r="L146" s="92"/>
    </row>
    <row r="147" spans="6:12" s="87" customFormat="1">
      <c r="F147" s="92"/>
      <c r="G147" s="92"/>
      <c r="H147" s="92"/>
      <c r="I147" s="92"/>
      <c r="J147" s="92"/>
      <c r="K147" s="92"/>
      <c r="L147" s="92"/>
    </row>
    <row r="148" spans="6:12" s="87" customFormat="1">
      <c r="F148" s="92"/>
      <c r="G148" s="92"/>
      <c r="H148" s="92"/>
      <c r="I148" s="92"/>
      <c r="J148" s="92"/>
      <c r="K148" s="92"/>
      <c r="L148" s="92"/>
    </row>
    <row r="149" spans="6:12" s="87" customFormat="1">
      <c r="F149" s="92"/>
      <c r="G149" s="92"/>
      <c r="H149" s="92"/>
      <c r="I149" s="92"/>
      <c r="J149" s="92"/>
      <c r="K149" s="92"/>
      <c r="L149" s="92"/>
    </row>
    <row r="150" spans="6:12" s="87" customFormat="1">
      <c r="F150" s="92"/>
      <c r="G150" s="92"/>
      <c r="H150" s="92"/>
      <c r="I150" s="92"/>
      <c r="J150" s="92"/>
      <c r="K150" s="92"/>
      <c r="L150" s="92"/>
    </row>
    <row r="151" spans="6:12" s="87" customFormat="1">
      <c r="F151" s="92"/>
      <c r="G151" s="92"/>
      <c r="H151" s="92"/>
      <c r="I151" s="92"/>
      <c r="J151" s="92"/>
      <c r="K151" s="92"/>
      <c r="L151" s="92"/>
    </row>
    <row r="152" spans="6:12" s="87" customFormat="1">
      <c r="F152" s="92"/>
      <c r="G152" s="92"/>
      <c r="H152" s="92"/>
      <c r="I152" s="92"/>
      <c r="J152" s="92"/>
      <c r="K152" s="92"/>
      <c r="L152" s="92"/>
    </row>
    <row r="153" spans="6:12" s="87" customFormat="1">
      <c r="F153" s="92"/>
      <c r="G153" s="92"/>
      <c r="H153" s="92"/>
      <c r="I153" s="92"/>
      <c r="J153" s="92"/>
      <c r="K153" s="92"/>
      <c r="L153" s="92"/>
    </row>
    <row r="154" spans="6:12" s="87" customFormat="1">
      <c r="F154" s="92"/>
      <c r="G154" s="92"/>
      <c r="H154" s="92"/>
      <c r="I154" s="92"/>
      <c r="J154" s="92"/>
      <c r="K154" s="92"/>
      <c r="L154" s="92"/>
    </row>
    <row r="155" spans="6:12" s="87" customFormat="1">
      <c r="F155" s="92"/>
      <c r="G155" s="92"/>
      <c r="H155" s="92"/>
      <c r="I155" s="92"/>
      <c r="J155" s="92"/>
      <c r="K155" s="92"/>
      <c r="L155" s="92"/>
    </row>
    <row r="156" spans="6:12" s="87" customFormat="1">
      <c r="F156" s="92"/>
      <c r="G156" s="92"/>
      <c r="H156" s="92"/>
      <c r="I156" s="92"/>
      <c r="J156" s="92"/>
      <c r="K156" s="92"/>
      <c r="L156" s="92"/>
    </row>
    <row r="157" spans="6:12" s="87" customFormat="1">
      <c r="F157" s="92"/>
      <c r="G157" s="92"/>
      <c r="H157" s="92"/>
      <c r="I157" s="92"/>
      <c r="J157" s="92"/>
      <c r="K157" s="92"/>
      <c r="L157" s="92"/>
    </row>
    <row r="158" spans="6:12" s="87" customFormat="1">
      <c r="F158" s="92"/>
      <c r="G158" s="92"/>
      <c r="H158" s="92"/>
      <c r="I158" s="92"/>
      <c r="J158" s="92"/>
      <c r="K158" s="92"/>
      <c r="L158" s="92"/>
    </row>
    <row r="159" spans="6:12" s="87" customFormat="1">
      <c r="F159" s="92"/>
      <c r="G159" s="92"/>
      <c r="H159" s="92"/>
      <c r="I159" s="92"/>
      <c r="J159" s="92"/>
      <c r="K159" s="92"/>
      <c r="L159" s="92"/>
    </row>
    <row r="160" spans="6:12" s="87" customFormat="1">
      <c r="F160" s="92"/>
      <c r="G160" s="92"/>
      <c r="H160" s="92"/>
      <c r="I160" s="92"/>
      <c r="J160" s="92"/>
      <c r="K160" s="92"/>
      <c r="L160" s="92"/>
    </row>
    <row r="161" spans="6:12" s="87" customFormat="1">
      <c r="F161" s="92"/>
      <c r="G161" s="92"/>
      <c r="H161" s="92"/>
      <c r="I161" s="92"/>
      <c r="J161" s="92"/>
      <c r="K161" s="92"/>
      <c r="L161" s="92"/>
    </row>
    <row r="162" spans="6:12" s="87" customFormat="1">
      <c r="F162" s="92"/>
      <c r="G162" s="92"/>
      <c r="H162" s="92"/>
      <c r="I162" s="92"/>
      <c r="J162" s="92"/>
      <c r="K162" s="92"/>
      <c r="L162" s="92"/>
    </row>
    <row r="163" spans="6:12" s="87" customFormat="1">
      <c r="F163" s="92"/>
      <c r="G163" s="92"/>
      <c r="H163" s="92"/>
      <c r="I163" s="92"/>
      <c r="J163" s="92"/>
      <c r="K163" s="92"/>
      <c r="L163" s="92"/>
    </row>
    <row r="164" spans="6:12" s="87" customFormat="1">
      <c r="F164" s="92"/>
      <c r="G164" s="92"/>
      <c r="H164" s="92"/>
      <c r="I164" s="92"/>
      <c r="J164" s="92"/>
      <c r="K164" s="92"/>
      <c r="L164" s="92"/>
    </row>
    <row r="165" spans="6:12" s="87" customFormat="1">
      <c r="F165" s="92"/>
      <c r="G165" s="92"/>
      <c r="H165" s="92"/>
      <c r="I165" s="92"/>
      <c r="J165" s="92"/>
      <c r="K165" s="92"/>
      <c r="L165" s="92"/>
    </row>
    <row r="166" spans="6:12" s="87" customFormat="1">
      <c r="F166" s="92"/>
      <c r="G166" s="92"/>
      <c r="H166" s="92"/>
      <c r="I166" s="92"/>
      <c r="J166" s="92"/>
      <c r="K166" s="92"/>
      <c r="L166" s="92"/>
    </row>
    <row r="167" spans="6:12" s="87" customFormat="1">
      <c r="F167" s="92"/>
      <c r="G167" s="92"/>
      <c r="H167" s="92"/>
      <c r="I167" s="92"/>
      <c r="J167" s="92"/>
      <c r="K167" s="92"/>
      <c r="L167" s="92"/>
    </row>
    <row r="168" spans="6:12" s="87" customFormat="1">
      <c r="F168" s="92"/>
      <c r="G168" s="92"/>
      <c r="H168" s="92"/>
      <c r="I168" s="92"/>
      <c r="J168" s="92"/>
      <c r="K168" s="92"/>
      <c r="L168" s="92"/>
    </row>
    <row r="169" spans="6:12" s="87" customFormat="1">
      <c r="F169" s="92"/>
      <c r="G169" s="92"/>
      <c r="H169" s="92"/>
      <c r="I169" s="92"/>
      <c r="J169" s="92"/>
      <c r="K169" s="92"/>
      <c r="L169" s="92"/>
    </row>
    <row r="170" spans="6:12" s="87" customFormat="1">
      <c r="F170" s="92"/>
      <c r="G170" s="92"/>
      <c r="H170" s="92"/>
      <c r="I170" s="92"/>
      <c r="J170" s="92"/>
      <c r="K170" s="92"/>
      <c r="L170" s="92"/>
    </row>
    <row r="171" spans="6:12" s="87" customFormat="1">
      <c r="F171" s="92"/>
      <c r="G171" s="92"/>
      <c r="H171" s="92"/>
      <c r="I171" s="92"/>
      <c r="J171" s="92"/>
      <c r="K171" s="92"/>
      <c r="L171" s="92"/>
    </row>
    <row r="172" spans="6:12" s="87" customFormat="1">
      <c r="F172" s="92"/>
      <c r="G172" s="92"/>
      <c r="H172" s="92"/>
      <c r="I172" s="92"/>
      <c r="J172" s="92"/>
      <c r="K172" s="92"/>
      <c r="L172" s="92"/>
    </row>
    <row r="173" spans="6:12" s="87" customFormat="1">
      <c r="F173" s="92"/>
      <c r="G173" s="92"/>
      <c r="H173" s="92"/>
      <c r="I173" s="92"/>
      <c r="J173" s="92"/>
      <c r="K173" s="92"/>
      <c r="L173" s="92"/>
    </row>
    <row r="174" spans="6:12" s="87" customFormat="1">
      <c r="F174" s="92"/>
      <c r="G174" s="92"/>
      <c r="H174" s="92"/>
      <c r="I174" s="92"/>
      <c r="J174" s="92"/>
      <c r="K174" s="92"/>
      <c r="L174" s="92"/>
    </row>
    <row r="175" spans="6:12" s="87" customFormat="1">
      <c r="F175" s="92"/>
      <c r="G175" s="92"/>
      <c r="H175" s="92"/>
      <c r="I175" s="92"/>
      <c r="J175" s="92"/>
      <c r="K175" s="92"/>
      <c r="L175" s="92"/>
    </row>
    <row r="176" spans="6:12" s="87" customFormat="1">
      <c r="F176" s="92"/>
      <c r="G176" s="92"/>
      <c r="H176" s="92"/>
      <c r="I176" s="92"/>
      <c r="J176" s="92"/>
      <c r="K176" s="92"/>
      <c r="L176" s="92"/>
    </row>
    <row r="177" spans="6:12" s="87" customFormat="1">
      <c r="F177" s="92"/>
      <c r="G177" s="92"/>
      <c r="H177" s="92"/>
      <c r="I177" s="92"/>
      <c r="J177" s="92"/>
      <c r="K177" s="92"/>
      <c r="L177" s="92"/>
    </row>
    <row r="178" spans="6:12" s="87" customFormat="1">
      <c r="F178" s="92"/>
      <c r="G178" s="92"/>
      <c r="H178" s="92"/>
      <c r="I178" s="92"/>
      <c r="J178" s="92"/>
      <c r="K178" s="92"/>
      <c r="L178" s="92"/>
    </row>
    <row r="179" spans="6:12" s="87" customFormat="1">
      <c r="F179" s="92"/>
      <c r="G179" s="92"/>
      <c r="H179" s="92"/>
      <c r="I179" s="92"/>
      <c r="J179" s="92"/>
      <c r="K179" s="92"/>
      <c r="L179" s="92"/>
    </row>
    <row r="180" spans="6:12" s="87" customFormat="1">
      <c r="F180" s="92"/>
      <c r="G180" s="92"/>
      <c r="H180" s="92"/>
      <c r="I180" s="92"/>
      <c r="J180" s="92"/>
      <c r="K180" s="92"/>
      <c r="L180" s="92"/>
    </row>
    <row r="181" spans="6:12" s="87" customFormat="1">
      <c r="F181" s="92"/>
      <c r="G181" s="92"/>
      <c r="H181" s="92"/>
      <c r="I181" s="92"/>
      <c r="J181" s="92"/>
      <c r="K181" s="92"/>
      <c r="L181" s="92"/>
    </row>
    <row r="182" spans="6:12" s="87" customFormat="1">
      <c r="F182" s="92"/>
      <c r="G182" s="92"/>
      <c r="H182" s="92"/>
      <c r="I182" s="92"/>
      <c r="J182" s="92"/>
      <c r="K182" s="92"/>
      <c r="L182" s="92"/>
    </row>
    <row r="183" spans="6:12" s="87" customFormat="1">
      <c r="F183" s="92"/>
      <c r="G183" s="92"/>
      <c r="H183" s="92"/>
      <c r="I183" s="92"/>
      <c r="J183" s="92"/>
      <c r="K183" s="92"/>
      <c r="L183" s="92"/>
    </row>
    <row r="184" spans="6:12" s="87" customFormat="1">
      <c r="F184" s="92"/>
      <c r="G184" s="92"/>
      <c r="H184" s="92"/>
      <c r="I184" s="92"/>
      <c r="J184" s="92"/>
      <c r="K184" s="92"/>
      <c r="L184" s="92"/>
    </row>
    <row r="185" spans="6:12" s="87" customFormat="1">
      <c r="F185" s="92"/>
      <c r="G185" s="92"/>
      <c r="H185" s="92"/>
      <c r="I185" s="92"/>
      <c r="J185" s="92"/>
      <c r="K185" s="92"/>
      <c r="L185" s="92"/>
    </row>
    <row r="186" spans="6:12" s="87" customFormat="1">
      <c r="F186" s="92"/>
      <c r="G186" s="92"/>
      <c r="H186" s="92"/>
      <c r="I186" s="92"/>
      <c r="J186" s="92"/>
      <c r="K186" s="92"/>
      <c r="L186" s="92"/>
    </row>
    <row r="187" spans="6:12" s="87" customFormat="1">
      <c r="F187" s="92"/>
      <c r="G187" s="92"/>
      <c r="H187" s="92"/>
      <c r="I187" s="92"/>
      <c r="J187" s="92"/>
      <c r="K187" s="92"/>
      <c r="L187" s="92"/>
    </row>
    <row r="188" spans="6:12" s="87" customFormat="1">
      <c r="F188" s="92"/>
      <c r="G188" s="92"/>
      <c r="H188" s="92"/>
      <c r="I188" s="92"/>
      <c r="J188" s="92"/>
      <c r="K188" s="92"/>
      <c r="L188" s="92"/>
    </row>
    <row r="189" spans="6:12" s="87" customFormat="1">
      <c r="F189" s="92"/>
      <c r="G189" s="92"/>
      <c r="H189" s="92"/>
      <c r="I189" s="92"/>
      <c r="J189" s="92"/>
      <c r="K189" s="92"/>
      <c r="L189" s="92"/>
    </row>
    <row r="190" spans="6:12" s="87" customFormat="1">
      <c r="F190" s="92"/>
      <c r="G190" s="92"/>
      <c r="H190" s="92"/>
      <c r="I190" s="92"/>
      <c r="J190" s="92"/>
      <c r="K190" s="92"/>
      <c r="L190" s="92"/>
    </row>
    <row r="191" spans="6:12" s="87" customFormat="1">
      <c r="F191" s="92"/>
      <c r="G191" s="92"/>
      <c r="H191" s="92"/>
      <c r="I191" s="92"/>
      <c r="J191" s="92"/>
      <c r="K191" s="92"/>
      <c r="L191" s="92"/>
    </row>
    <row r="192" spans="6:12" s="87" customFormat="1">
      <c r="F192" s="92"/>
      <c r="G192" s="92"/>
      <c r="H192" s="92"/>
      <c r="I192" s="92"/>
      <c r="J192" s="92"/>
      <c r="K192" s="92"/>
      <c r="L192" s="92"/>
    </row>
    <row r="193" spans="6:12" s="87" customFormat="1">
      <c r="F193" s="92"/>
      <c r="G193" s="92"/>
      <c r="H193" s="92"/>
      <c r="I193" s="92"/>
      <c r="J193" s="92"/>
      <c r="K193" s="92"/>
      <c r="L193" s="92"/>
    </row>
    <row r="194" spans="6:12" s="87" customFormat="1">
      <c r="F194" s="92"/>
      <c r="G194" s="92"/>
      <c r="H194" s="92"/>
      <c r="I194" s="92"/>
      <c r="J194" s="92"/>
      <c r="K194" s="92"/>
      <c r="L194" s="92"/>
    </row>
    <row r="195" spans="6:12" s="87" customFormat="1">
      <c r="F195" s="92"/>
      <c r="G195" s="92"/>
      <c r="H195" s="92"/>
      <c r="I195" s="92"/>
      <c r="J195" s="92"/>
      <c r="K195" s="92"/>
      <c r="L195" s="92"/>
    </row>
    <row r="196" spans="6:12" s="87" customFormat="1">
      <c r="F196" s="92"/>
      <c r="G196" s="92"/>
      <c r="H196" s="92"/>
      <c r="I196" s="92"/>
      <c r="J196" s="92"/>
      <c r="K196" s="92"/>
      <c r="L196" s="92"/>
    </row>
    <row r="197" spans="6:12" s="87" customFormat="1">
      <c r="F197" s="92"/>
      <c r="G197" s="92"/>
      <c r="H197" s="92"/>
      <c r="I197" s="92"/>
      <c r="J197" s="92"/>
      <c r="K197" s="92"/>
      <c r="L197" s="92"/>
    </row>
    <row r="198" spans="6:12" s="87" customFormat="1">
      <c r="F198" s="92"/>
      <c r="G198" s="92"/>
      <c r="H198" s="92"/>
      <c r="I198" s="92"/>
      <c r="J198" s="92"/>
      <c r="K198" s="92"/>
      <c r="L198" s="92"/>
    </row>
    <row r="199" spans="6:12" s="87" customFormat="1">
      <c r="F199" s="92"/>
      <c r="G199" s="92"/>
      <c r="H199" s="92"/>
      <c r="I199" s="92"/>
      <c r="J199" s="92"/>
      <c r="K199" s="92"/>
      <c r="L199" s="92"/>
    </row>
    <row r="200" spans="6:12" s="87" customFormat="1">
      <c r="F200" s="92"/>
      <c r="G200" s="92"/>
      <c r="H200" s="92"/>
      <c r="I200" s="92"/>
      <c r="J200" s="92"/>
      <c r="K200" s="92"/>
      <c r="L200" s="92"/>
    </row>
    <row r="201" spans="6:12" s="87" customFormat="1">
      <c r="F201" s="92"/>
      <c r="G201" s="92"/>
      <c r="H201" s="92"/>
      <c r="I201" s="92"/>
      <c r="J201" s="92"/>
      <c r="K201" s="92"/>
      <c r="L201" s="92"/>
    </row>
    <row r="202" spans="6:12" s="87" customFormat="1">
      <c r="F202" s="92"/>
      <c r="G202" s="92"/>
      <c r="H202" s="92"/>
      <c r="I202" s="92"/>
      <c r="J202" s="92"/>
      <c r="K202" s="92"/>
      <c r="L202" s="92"/>
    </row>
    <row r="203" spans="6:12" s="87" customFormat="1">
      <c r="F203" s="92"/>
      <c r="G203" s="92"/>
      <c r="H203" s="92"/>
      <c r="I203" s="92"/>
      <c r="J203" s="92"/>
      <c r="K203" s="92"/>
      <c r="L203" s="92"/>
    </row>
    <row r="204" spans="6:12" s="87" customFormat="1">
      <c r="F204" s="92"/>
      <c r="G204" s="92"/>
      <c r="H204" s="92"/>
      <c r="I204" s="92"/>
      <c r="J204" s="92"/>
      <c r="K204" s="92"/>
      <c r="L204" s="92"/>
    </row>
    <row r="205" spans="6:12" s="87" customFormat="1">
      <c r="F205" s="92"/>
      <c r="G205" s="92"/>
      <c r="H205" s="92"/>
      <c r="I205" s="92"/>
      <c r="J205" s="92"/>
      <c r="K205" s="92"/>
      <c r="L205" s="92"/>
    </row>
    <row r="206" spans="6:12" s="87" customFormat="1">
      <c r="F206" s="92"/>
      <c r="G206" s="92"/>
      <c r="H206" s="92"/>
      <c r="I206" s="92"/>
      <c r="J206" s="92"/>
      <c r="K206" s="92"/>
      <c r="L206" s="92"/>
    </row>
    <row r="207" spans="6:12" s="87" customFormat="1">
      <c r="F207" s="92"/>
      <c r="G207" s="92"/>
      <c r="H207" s="92"/>
      <c r="I207" s="92"/>
      <c r="J207" s="92"/>
      <c r="K207" s="92"/>
      <c r="L207" s="92"/>
    </row>
    <row r="208" spans="6:12" s="87" customFormat="1">
      <c r="F208" s="92"/>
      <c r="G208" s="92"/>
      <c r="H208" s="92"/>
      <c r="I208" s="92"/>
      <c r="J208" s="92"/>
      <c r="K208" s="92"/>
      <c r="L208" s="92"/>
    </row>
    <row r="209" spans="6:12" s="87" customFormat="1">
      <c r="F209" s="92"/>
      <c r="G209" s="92"/>
      <c r="H209" s="92"/>
      <c r="I209" s="92"/>
      <c r="J209" s="92"/>
      <c r="K209" s="92"/>
      <c r="L209" s="92"/>
    </row>
    <row r="210" spans="6:12" s="87" customFormat="1">
      <c r="F210" s="92"/>
      <c r="G210" s="92"/>
      <c r="H210" s="92"/>
      <c r="I210" s="92"/>
      <c r="J210" s="92"/>
      <c r="K210" s="92"/>
      <c r="L210" s="92"/>
    </row>
    <row r="211" spans="6:12" s="87" customFormat="1">
      <c r="F211" s="92"/>
      <c r="G211" s="92"/>
      <c r="H211" s="92"/>
      <c r="I211" s="92"/>
      <c r="J211" s="92"/>
      <c r="K211" s="92"/>
      <c r="L211" s="92"/>
    </row>
    <row r="212" spans="6:12" s="87" customFormat="1">
      <c r="F212" s="92"/>
      <c r="G212" s="92"/>
      <c r="H212" s="92"/>
      <c r="I212" s="92"/>
      <c r="J212" s="92"/>
      <c r="K212" s="92"/>
      <c r="L212" s="92"/>
    </row>
    <row r="213" spans="6:12" s="87" customFormat="1">
      <c r="F213" s="92"/>
      <c r="G213" s="92"/>
      <c r="H213" s="92"/>
      <c r="I213" s="92"/>
      <c r="J213" s="92"/>
      <c r="K213" s="92"/>
      <c r="L213" s="92"/>
    </row>
    <row r="214" spans="6:12" s="87" customFormat="1">
      <c r="F214" s="92"/>
      <c r="G214" s="92"/>
      <c r="H214" s="92"/>
      <c r="I214" s="92"/>
      <c r="J214" s="92"/>
      <c r="K214" s="92"/>
      <c r="L214" s="92"/>
    </row>
    <row r="215" spans="6:12" s="87" customFormat="1">
      <c r="F215" s="92"/>
      <c r="G215" s="92"/>
      <c r="H215" s="92"/>
      <c r="I215" s="92"/>
      <c r="J215" s="92"/>
      <c r="K215" s="92"/>
      <c r="L215" s="92"/>
    </row>
    <row r="216" spans="6:12" s="87" customFormat="1">
      <c r="F216" s="92"/>
      <c r="G216" s="92"/>
      <c r="H216" s="92"/>
      <c r="I216" s="92"/>
      <c r="J216" s="92"/>
      <c r="K216" s="92"/>
      <c r="L216" s="92"/>
    </row>
    <row r="217" spans="6:12" s="87" customFormat="1">
      <c r="F217" s="92"/>
      <c r="G217" s="92"/>
      <c r="H217" s="92"/>
      <c r="I217" s="92"/>
      <c r="J217" s="92"/>
      <c r="K217" s="92"/>
      <c r="L217" s="92"/>
    </row>
    <row r="218" spans="6:12" s="87" customFormat="1">
      <c r="F218" s="92"/>
      <c r="G218" s="92"/>
      <c r="H218" s="92"/>
      <c r="I218" s="92"/>
      <c r="J218" s="92"/>
      <c r="K218" s="92"/>
      <c r="L218" s="92"/>
    </row>
    <row r="219" spans="6:12" s="87" customFormat="1">
      <c r="F219" s="92"/>
      <c r="G219" s="92"/>
      <c r="H219" s="92"/>
      <c r="I219" s="92"/>
      <c r="J219" s="92"/>
      <c r="K219" s="92"/>
      <c r="L219" s="92"/>
    </row>
    <row r="220" spans="6:12" s="87" customFormat="1">
      <c r="F220" s="92"/>
      <c r="G220" s="92"/>
      <c r="H220" s="92"/>
      <c r="I220" s="92"/>
      <c r="J220" s="92"/>
      <c r="K220" s="92"/>
      <c r="L220" s="92"/>
    </row>
    <row r="221" spans="6:12" s="87" customFormat="1">
      <c r="F221" s="92"/>
      <c r="G221" s="92"/>
      <c r="H221" s="92"/>
      <c r="I221" s="92"/>
      <c r="J221" s="92"/>
      <c r="K221" s="92"/>
      <c r="L221" s="92"/>
    </row>
    <row r="222" spans="6:12" s="87" customFormat="1">
      <c r="F222" s="92"/>
      <c r="G222" s="92"/>
      <c r="H222" s="92"/>
      <c r="I222" s="92"/>
      <c r="J222" s="92"/>
      <c r="K222" s="92"/>
      <c r="L222" s="92"/>
    </row>
    <row r="223" spans="6:12" s="87" customFormat="1">
      <c r="F223" s="92"/>
      <c r="G223" s="92"/>
      <c r="H223" s="92"/>
      <c r="I223" s="92"/>
      <c r="J223" s="92"/>
      <c r="K223" s="92"/>
      <c r="L223" s="92"/>
    </row>
    <row r="224" spans="6:12" s="87" customFormat="1">
      <c r="F224" s="92"/>
      <c r="G224" s="92"/>
      <c r="H224" s="92"/>
      <c r="I224" s="92"/>
      <c r="J224" s="92"/>
      <c r="K224" s="92"/>
      <c r="L224" s="92"/>
    </row>
    <row r="225" spans="6:12" s="87" customFormat="1">
      <c r="F225" s="92"/>
      <c r="G225" s="92"/>
      <c r="H225" s="92"/>
      <c r="I225" s="92"/>
      <c r="J225" s="92"/>
      <c r="K225" s="92"/>
      <c r="L225" s="92"/>
    </row>
    <row r="226" spans="6:12" s="87" customFormat="1">
      <c r="F226" s="92"/>
      <c r="G226" s="92"/>
      <c r="H226" s="92"/>
      <c r="I226" s="92"/>
      <c r="J226" s="92"/>
      <c r="K226" s="92"/>
      <c r="L226" s="92"/>
    </row>
    <row r="227" spans="6:12" s="87" customFormat="1">
      <c r="F227" s="92"/>
      <c r="G227" s="92"/>
      <c r="H227" s="92"/>
      <c r="I227" s="92"/>
      <c r="J227" s="92"/>
      <c r="K227" s="92"/>
      <c r="L227" s="92"/>
    </row>
    <row r="228" spans="6:12" s="87" customFormat="1">
      <c r="F228" s="92"/>
      <c r="G228" s="92"/>
      <c r="H228" s="92"/>
      <c r="I228" s="92"/>
      <c r="J228" s="92"/>
      <c r="K228" s="92"/>
      <c r="L228" s="92"/>
    </row>
    <row r="229" spans="6:12" s="87" customFormat="1">
      <c r="F229" s="92"/>
      <c r="G229" s="92"/>
      <c r="H229" s="92"/>
      <c r="I229" s="92"/>
      <c r="J229" s="92"/>
      <c r="K229" s="92"/>
      <c r="L229" s="92"/>
    </row>
    <row r="230" spans="6:12" s="87" customFormat="1">
      <c r="F230" s="92"/>
      <c r="G230" s="92"/>
      <c r="H230" s="92"/>
      <c r="I230" s="92"/>
      <c r="J230" s="92"/>
      <c r="K230" s="92"/>
      <c r="L230" s="92"/>
    </row>
    <row r="231" spans="6:12" s="87" customFormat="1">
      <c r="F231" s="92"/>
      <c r="G231" s="92"/>
      <c r="H231" s="92"/>
      <c r="I231" s="92"/>
      <c r="J231" s="92"/>
      <c r="K231" s="92"/>
      <c r="L231" s="92"/>
    </row>
    <row r="232" spans="6:12" s="87" customFormat="1">
      <c r="F232" s="92"/>
      <c r="G232" s="92"/>
      <c r="H232" s="92"/>
      <c r="I232" s="92"/>
      <c r="J232" s="92"/>
      <c r="K232" s="92"/>
      <c r="L232" s="92"/>
    </row>
    <row r="233" spans="6:12" s="87" customFormat="1">
      <c r="F233" s="92"/>
      <c r="G233" s="92"/>
      <c r="H233" s="92"/>
      <c r="I233" s="92"/>
      <c r="J233" s="92"/>
      <c r="K233" s="92"/>
      <c r="L233" s="92"/>
    </row>
    <row r="234" spans="6:12" s="87" customFormat="1">
      <c r="F234" s="92"/>
      <c r="G234" s="92"/>
      <c r="H234" s="92"/>
      <c r="I234" s="92"/>
      <c r="J234" s="92"/>
      <c r="K234" s="92"/>
      <c r="L234" s="92"/>
    </row>
    <row r="235" spans="6:12" s="87" customFormat="1">
      <c r="F235" s="92"/>
      <c r="G235" s="92"/>
      <c r="H235" s="92"/>
      <c r="I235" s="92"/>
      <c r="J235" s="92"/>
      <c r="K235" s="92"/>
      <c r="L235" s="92"/>
    </row>
    <row r="236" spans="6:12" s="87" customFormat="1">
      <c r="F236" s="92"/>
      <c r="G236" s="92"/>
      <c r="H236" s="92"/>
      <c r="I236" s="92"/>
      <c r="J236" s="92"/>
      <c r="K236" s="92"/>
      <c r="L236" s="92"/>
    </row>
    <row r="237" spans="6:12" s="87" customFormat="1">
      <c r="F237" s="92"/>
      <c r="G237" s="92"/>
      <c r="H237" s="92"/>
      <c r="I237" s="92"/>
      <c r="J237" s="92"/>
      <c r="K237" s="92"/>
      <c r="L237" s="92"/>
    </row>
    <row r="238" spans="6:12" s="87" customFormat="1">
      <c r="F238" s="92"/>
      <c r="G238" s="92"/>
      <c r="H238" s="92"/>
      <c r="I238" s="92"/>
      <c r="J238" s="92"/>
      <c r="K238" s="92"/>
      <c r="L238" s="92"/>
    </row>
    <row r="239" spans="6:12" s="87" customFormat="1">
      <c r="F239" s="92"/>
      <c r="G239" s="92"/>
      <c r="H239" s="92"/>
      <c r="I239" s="92"/>
      <c r="J239" s="92"/>
      <c r="K239" s="92"/>
      <c r="L239" s="92"/>
    </row>
    <row r="240" spans="6:12" s="87" customFormat="1">
      <c r="F240" s="92"/>
      <c r="G240" s="92"/>
      <c r="H240" s="92"/>
      <c r="I240" s="92"/>
      <c r="J240" s="92"/>
      <c r="K240" s="92"/>
      <c r="L240" s="92"/>
    </row>
    <row r="241" spans="6:12" s="87" customFormat="1">
      <c r="F241" s="92"/>
      <c r="G241" s="92"/>
      <c r="H241" s="92"/>
      <c r="I241" s="92"/>
      <c r="J241" s="92"/>
      <c r="K241" s="92"/>
      <c r="L241" s="92"/>
    </row>
    <row r="242" spans="6:12" s="87" customFormat="1">
      <c r="F242" s="92"/>
      <c r="G242" s="92"/>
      <c r="H242" s="92"/>
      <c r="I242" s="92"/>
      <c r="J242" s="92"/>
      <c r="K242" s="92"/>
      <c r="L242" s="92"/>
    </row>
    <row r="243" spans="6:12" s="87" customFormat="1">
      <c r="F243" s="92"/>
      <c r="G243" s="92"/>
      <c r="H243" s="92"/>
      <c r="I243" s="92"/>
      <c r="J243" s="92"/>
      <c r="K243" s="92"/>
      <c r="L243" s="92"/>
    </row>
    <row r="244" spans="6:12" s="87" customFormat="1">
      <c r="F244" s="92"/>
      <c r="G244" s="92"/>
      <c r="H244" s="92"/>
      <c r="I244" s="92"/>
      <c r="J244" s="92"/>
      <c r="K244" s="92"/>
      <c r="L244" s="92"/>
    </row>
    <row r="245" spans="6:12" s="87" customFormat="1">
      <c r="F245" s="92"/>
      <c r="G245" s="92"/>
      <c r="H245" s="92"/>
      <c r="I245" s="92"/>
      <c r="J245" s="92"/>
      <c r="K245" s="92"/>
      <c r="L245" s="92"/>
    </row>
    <row r="246" spans="6:12" s="87" customFormat="1">
      <c r="F246" s="92"/>
      <c r="G246" s="92"/>
      <c r="H246" s="92"/>
      <c r="I246" s="92"/>
      <c r="J246" s="92"/>
      <c r="K246" s="92"/>
      <c r="L246" s="92"/>
    </row>
    <row r="247" spans="6:12" s="87" customFormat="1">
      <c r="F247" s="92"/>
      <c r="G247" s="92"/>
      <c r="H247" s="92"/>
      <c r="I247" s="92"/>
      <c r="J247" s="92"/>
      <c r="K247" s="92"/>
      <c r="L247" s="92"/>
    </row>
    <row r="248" spans="6:12" s="87" customFormat="1">
      <c r="F248" s="92"/>
      <c r="G248" s="92"/>
      <c r="H248" s="92"/>
      <c r="I248" s="92"/>
      <c r="J248" s="92"/>
      <c r="K248" s="92"/>
      <c r="L248" s="92"/>
    </row>
    <row r="249" spans="6:12" s="87" customFormat="1">
      <c r="F249" s="92"/>
      <c r="G249" s="92"/>
      <c r="H249" s="92"/>
      <c r="I249" s="92"/>
      <c r="J249" s="92"/>
      <c r="K249" s="92"/>
      <c r="L249" s="92"/>
    </row>
    <row r="250" spans="6:12" s="87" customFormat="1">
      <c r="F250" s="92"/>
      <c r="G250" s="92"/>
      <c r="H250" s="92"/>
      <c r="I250" s="92"/>
      <c r="J250" s="92"/>
      <c r="K250" s="92"/>
      <c r="L250" s="92"/>
    </row>
    <row r="251" spans="6:12" s="87" customFormat="1">
      <c r="F251" s="92"/>
      <c r="G251" s="92"/>
      <c r="H251" s="92"/>
      <c r="I251" s="92"/>
      <c r="J251" s="92"/>
      <c r="K251" s="92"/>
      <c r="L251" s="92"/>
    </row>
    <row r="252" spans="6:12" s="87" customFormat="1">
      <c r="F252" s="92"/>
      <c r="G252" s="92"/>
      <c r="H252" s="92"/>
      <c r="I252" s="92"/>
      <c r="J252" s="92"/>
      <c r="K252" s="92"/>
      <c r="L252" s="92"/>
    </row>
    <row r="253" spans="6:12" s="87" customFormat="1">
      <c r="F253" s="92"/>
      <c r="G253" s="92"/>
      <c r="H253" s="92"/>
      <c r="I253" s="92"/>
      <c r="J253" s="92"/>
      <c r="K253" s="92"/>
      <c r="L253" s="92"/>
    </row>
    <row r="254" spans="6:12" s="87" customFormat="1">
      <c r="F254" s="92"/>
      <c r="G254" s="92"/>
      <c r="H254" s="92"/>
      <c r="I254" s="92"/>
      <c r="J254" s="92"/>
      <c r="K254" s="92"/>
      <c r="L254" s="92"/>
    </row>
    <row r="255" spans="6:12" s="87" customFormat="1">
      <c r="F255" s="92"/>
      <c r="G255" s="92"/>
      <c r="H255" s="92"/>
      <c r="I255" s="92"/>
      <c r="J255" s="92"/>
      <c r="K255" s="92"/>
      <c r="L255" s="92"/>
    </row>
    <row r="256" spans="6:12" s="87" customFormat="1">
      <c r="F256" s="92"/>
      <c r="G256" s="92"/>
      <c r="H256" s="92"/>
      <c r="I256" s="92"/>
      <c r="J256" s="92"/>
      <c r="K256" s="92"/>
      <c r="L256" s="92"/>
    </row>
    <row r="257" spans="6:12" s="87" customFormat="1">
      <c r="F257" s="92"/>
      <c r="G257" s="92"/>
      <c r="H257" s="92"/>
      <c r="I257" s="92"/>
      <c r="J257" s="92"/>
      <c r="K257" s="92"/>
      <c r="L257" s="92"/>
    </row>
    <row r="258" spans="6:12" s="87" customFormat="1">
      <c r="F258" s="92"/>
      <c r="G258" s="92"/>
      <c r="H258" s="92"/>
      <c r="I258" s="92"/>
      <c r="J258" s="92"/>
      <c r="K258" s="92"/>
      <c r="L258" s="92"/>
    </row>
    <row r="259" spans="6:12" s="87" customFormat="1">
      <c r="F259" s="92"/>
      <c r="G259" s="92"/>
      <c r="H259" s="92"/>
      <c r="I259" s="92"/>
      <c r="J259" s="92"/>
      <c r="K259" s="92"/>
      <c r="L259" s="92"/>
    </row>
    <row r="260" spans="6:12" s="87" customFormat="1">
      <c r="F260" s="92"/>
      <c r="G260" s="92"/>
      <c r="H260" s="92"/>
      <c r="I260" s="92"/>
      <c r="J260" s="92"/>
      <c r="K260" s="92"/>
      <c r="L260" s="92"/>
    </row>
    <row r="261" spans="6:12" s="87" customFormat="1">
      <c r="F261" s="92"/>
      <c r="G261" s="92"/>
      <c r="H261" s="92"/>
      <c r="I261" s="92"/>
      <c r="J261" s="92"/>
      <c r="K261" s="92"/>
      <c r="L261" s="92"/>
    </row>
    <row r="262" spans="6:12" s="87" customFormat="1">
      <c r="F262" s="92"/>
      <c r="G262" s="92"/>
      <c r="H262" s="92"/>
      <c r="I262" s="92"/>
      <c r="J262" s="92"/>
      <c r="K262" s="92"/>
      <c r="L262" s="92"/>
    </row>
    <row r="263" spans="6:12" s="87" customFormat="1">
      <c r="F263" s="92"/>
      <c r="G263" s="92"/>
      <c r="H263" s="92"/>
      <c r="I263" s="92"/>
      <c r="J263" s="92"/>
      <c r="K263" s="92"/>
      <c r="L263" s="92"/>
    </row>
    <row r="264" spans="6:12" s="87" customFormat="1">
      <c r="F264" s="92"/>
      <c r="G264" s="92"/>
      <c r="H264" s="92"/>
      <c r="I264" s="92"/>
      <c r="J264" s="92"/>
      <c r="K264" s="92"/>
      <c r="L264" s="92"/>
    </row>
    <row r="265" spans="6:12" s="87" customFormat="1">
      <c r="F265" s="92"/>
      <c r="G265" s="92"/>
      <c r="H265" s="92"/>
      <c r="I265" s="92"/>
      <c r="J265" s="92"/>
      <c r="K265" s="92"/>
      <c r="L265" s="92"/>
    </row>
    <row r="266" spans="6:12" s="87" customFormat="1">
      <c r="F266" s="92"/>
      <c r="G266" s="92"/>
      <c r="H266" s="92"/>
      <c r="I266" s="92"/>
      <c r="J266" s="92"/>
      <c r="K266" s="92"/>
      <c r="L266" s="92"/>
    </row>
    <row r="267" spans="6:12" s="87" customFormat="1">
      <c r="F267" s="92"/>
      <c r="G267" s="92"/>
      <c r="H267" s="92"/>
      <c r="I267" s="92"/>
      <c r="J267" s="92"/>
      <c r="K267" s="92"/>
      <c r="L267" s="92"/>
    </row>
    <row r="268" spans="6:12" s="87" customFormat="1">
      <c r="F268" s="92"/>
      <c r="G268" s="92"/>
      <c r="H268" s="92"/>
      <c r="I268" s="92"/>
      <c r="J268" s="92"/>
      <c r="K268" s="92"/>
      <c r="L268" s="92"/>
    </row>
    <row r="269" spans="6:12" s="87" customFormat="1">
      <c r="F269" s="92"/>
      <c r="G269" s="92"/>
      <c r="H269" s="92"/>
      <c r="I269" s="92"/>
      <c r="J269" s="92"/>
      <c r="K269" s="92"/>
      <c r="L269" s="92"/>
    </row>
    <row r="270" spans="6:12" s="87" customFormat="1">
      <c r="F270" s="92"/>
      <c r="G270" s="92"/>
      <c r="H270" s="92"/>
      <c r="I270" s="92"/>
      <c r="J270" s="92"/>
      <c r="K270" s="92"/>
      <c r="L270" s="92"/>
    </row>
    <row r="271" spans="6:12" s="87" customFormat="1">
      <c r="F271" s="92"/>
      <c r="G271" s="92"/>
      <c r="H271" s="92"/>
      <c r="I271" s="92"/>
      <c r="J271" s="92"/>
      <c r="K271" s="92"/>
      <c r="L271" s="92"/>
    </row>
    <row r="272" spans="6:12" s="87" customFormat="1">
      <c r="F272" s="92"/>
      <c r="G272" s="92"/>
      <c r="H272" s="92"/>
      <c r="I272" s="92"/>
      <c r="J272" s="92"/>
      <c r="K272" s="92"/>
      <c r="L272" s="92"/>
    </row>
    <row r="273" spans="6:12" s="87" customFormat="1">
      <c r="F273" s="92"/>
      <c r="G273" s="92"/>
      <c r="H273" s="92"/>
      <c r="I273" s="92"/>
      <c r="J273" s="92"/>
      <c r="K273" s="92"/>
      <c r="L273" s="92"/>
    </row>
    <row r="274" spans="6:12" s="87" customFormat="1">
      <c r="F274" s="92"/>
      <c r="G274" s="92"/>
      <c r="H274" s="92"/>
      <c r="I274" s="92"/>
      <c r="J274" s="92"/>
      <c r="K274" s="92"/>
      <c r="L274" s="92"/>
    </row>
    <row r="275" spans="6:12" s="87" customFormat="1">
      <c r="F275" s="92"/>
      <c r="G275" s="92"/>
      <c r="H275" s="92"/>
      <c r="I275" s="92"/>
      <c r="J275" s="92"/>
      <c r="K275" s="92"/>
      <c r="L275" s="92"/>
    </row>
    <row r="276" spans="6:12" s="87" customFormat="1">
      <c r="F276" s="92"/>
      <c r="G276" s="92"/>
      <c r="H276" s="92"/>
      <c r="I276" s="92"/>
      <c r="J276" s="92"/>
      <c r="K276" s="92"/>
      <c r="L276" s="92"/>
    </row>
    <row r="277" spans="6:12" s="87" customFormat="1">
      <c r="F277" s="92"/>
      <c r="G277" s="92"/>
      <c r="H277" s="92"/>
      <c r="I277" s="92"/>
      <c r="J277" s="92"/>
      <c r="K277" s="92"/>
      <c r="L277" s="92"/>
    </row>
    <row r="278" spans="6:12" s="87" customFormat="1">
      <c r="F278" s="92"/>
      <c r="G278" s="92"/>
      <c r="H278" s="92"/>
      <c r="I278" s="92"/>
      <c r="J278" s="92"/>
      <c r="K278" s="92"/>
      <c r="L278" s="92"/>
    </row>
    <row r="279" spans="6:12" s="87" customFormat="1">
      <c r="F279" s="92"/>
      <c r="G279" s="92"/>
      <c r="H279" s="92"/>
      <c r="I279" s="92"/>
      <c r="J279" s="92"/>
      <c r="K279" s="92"/>
      <c r="L279" s="92"/>
    </row>
    <row r="280" spans="6:12" s="87" customFormat="1">
      <c r="F280" s="92"/>
      <c r="G280" s="92"/>
      <c r="H280" s="92"/>
      <c r="I280" s="92"/>
      <c r="J280" s="92"/>
      <c r="K280" s="92"/>
      <c r="L280" s="92"/>
    </row>
    <row r="281" spans="6:12" s="87" customFormat="1">
      <c r="F281" s="92"/>
      <c r="G281" s="92"/>
      <c r="H281" s="92"/>
      <c r="I281" s="92"/>
      <c r="J281" s="92"/>
      <c r="K281" s="92"/>
      <c r="L281" s="92"/>
    </row>
    <row r="282" spans="6:12" s="87" customFormat="1">
      <c r="F282" s="92"/>
      <c r="G282" s="92"/>
      <c r="H282" s="92"/>
      <c r="I282" s="92"/>
      <c r="J282" s="92"/>
      <c r="K282" s="92"/>
      <c r="L282" s="92"/>
    </row>
    <row r="283" spans="6:12" s="87" customFormat="1">
      <c r="F283" s="92"/>
      <c r="G283" s="92"/>
      <c r="H283" s="92"/>
      <c r="I283" s="92"/>
      <c r="J283" s="92"/>
      <c r="K283" s="92"/>
      <c r="L283" s="92"/>
    </row>
    <row r="284" spans="6:12" s="87" customFormat="1">
      <c r="F284" s="92"/>
      <c r="G284" s="92"/>
      <c r="H284" s="92"/>
      <c r="I284" s="92"/>
      <c r="J284" s="92"/>
      <c r="K284" s="92"/>
      <c r="L284" s="92"/>
    </row>
    <row r="285" spans="6:12" s="87" customFormat="1">
      <c r="F285" s="92"/>
      <c r="G285" s="92"/>
      <c r="H285" s="92"/>
      <c r="I285" s="92"/>
      <c r="J285" s="92"/>
      <c r="K285" s="92"/>
      <c r="L285" s="92"/>
    </row>
    <row r="286" spans="6:12" s="87" customFormat="1">
      <c r="F286" s="92"/>
      <c r="G286" s="92"/>
      <c r="H286" s="92"/>
      <c r="I286" s="92"/>
      <c r="J286" s="92"/>
      <c r="K286" s="92"/>
      <c r="L286" s="92"/>
    </row>
    <row r="287" spans="6:12" s="87" customFormat="1">
      <c r="F287" s="92"/>
      <c r="G287" s="92"/>
      <c r="H287" s="92"/>
      <c r="I287" s="92"/>
      <c r="J287" s="92"/>
      <c r="K287" s="92"/>
      <c r="L287" s="92"/>
    </row>
    <row r="288" spans="6:12" s="87" customFormat="1">
      <c r="F288" s="92"/>
      <c r="G288" s="92"/>
      <c r="H288" s="92"/>
      <c r="I288" s="92"/>
      <c r="J288" s="92"/>
      <c r="K288" s="92"/>
      <c r="L288" s="92"/>
    </row>
    <row r="289" spans="6:12" s="87" customFormat="1">
      <c r="F289" s="92"/>
      <c r="G289" s="92"/>
      <c r="H289" s="92"/>
      <c r="I289" s="92"/>
      <c r="J289" s="92"/>
      <c r="K289" s="92"/>
      <c r="L289" s="92"/>
    </row>
    <row r="290" spans="6:12" s="87" customFormat="1">
      <c r="F290" s="92"/>
      <c r="G290" s="92"/>
      <c r="H290" s="92"/>
      <c r="I290" s="92"/>
      <c r="J290" s="92"/>
      <c r="K290" s="92"/>
      <c r="L290" s="92"/>
    </row>
    <row r="291" spans="6:12" s="87" customFormat="1">
      <c r="F291" s="92"/>
      <c r="G291" s="92"/>
      <c r="H291" s="92"/>
      <c r="I291" s="92"/>
      <c r="J291" s="92"/>
      <c r="K291" s="92"/>
      <c r="L291" s="92"/>
    </row>
    <row r="292" spans="6:12" s="87" customFormat="1">
      <c r="F292" s="92"/>
      <c r="G292" s="92"/>
      <c r="H292" s="92"/>
      <c r="I292" s="92"/>
      <c r="J292" s="92"/>
      <c r="K292" s="92"/>
      <c r="L292" s="92"/>
    </row>
    <row r="293" spans="6:12" s="87" customFormat="1">
      <c r="F293" s="92"/>
      <c r="G293" s="92"/>
      <c r="H293" s="92"/>
      <c r="I293" s="92"/>
      <c r="J293" s="92"/>
      <c r="K293" s="92"/>
      <c r="L293" s="92"/>
    </row>
    <row r="294" spans="6:12" s="87" customFormat="1">
      <c r="F294" s="92"/>
      <c r="G294" s="92"/>
      <c r="H294" s="92"/>
      <c r="I294" s="92"/>
      <c r="J294" s="92"/>
      <c r="K294" s="92"/>
      <c r="L294" s="92"/>
    </row>
    <row r="295" spans="6:12" s="87" customFormat="1">
      <c r="F295" s="92"/>
      <c r="G295" s="92"/>
      <c r="H295" s="92"/>
      <c r="I295" s="92"/>
      <c r="J295" s="92"/>
      <c r="K295" s="92"/>
      <c r="L295" s="92"/>
    </row>
    <row r="296" spans="6:12" s="87" customFormat="1">
      <c r="F296" s="92"/>
      <c r="G296" s="92"/>
      <c r="H296" s="92"/>
      <c r="I296" s="92"/>
      <c r="J296" s="92"/>
      <c r="K296" s="92"/>
      <c r="L296" s="92"/>
    </row>
    <row r="297" spans="6:12" s="87" customFormat="1">
      <c r="F297" s="92"/>
      <c r="G297" s="92"/>
      <c r="H297" s="92"/>
      <c r="I297" s="92"/>
      <c r="J297" s="92"/>
      <c r="K297" s="92"/>
      <c r="L297" s="92"/>
    </row>
    <row r="298" spans="6:12" s="87" customFormat="1">
      <c r="F298" s="92"/>
      <c r="G298" s="92"/>
      <c r="H298" s="92"/>
      <c r="I298" s="92"/>
      <c r="J298" s="92"/>
      <c r="K298" s="92"/>
      <c r="L298" s="92"/>
    </row>
    <row r="299" spans="6:12" s="87" customFormat="1">
      <c r="F299" s="92"/>
      <c r="G299" s="92"/>
      <c r="H299" s="92"/>
      <c r="I299" s="92"/>
      <c r="J299" s="92"/>
      <c r="K299" s="92"/>
      <c r="L299" s="92"/>
    </row>
    <row r="300" spans="6:12" s="87" customFormat="1">
      <c r="F300" s="92"/>
      <c r="G300" s="92"/>
      <c r="H300" s="92"/>
      <c r="I300" s="92"/>
      <c r="J300" s="92"/>
      <c r="K300" s="92"/>
      <c r="L300" s="92"/>
    </row>
    <row r="301" spans="6:12" s="87" customFormat="1">
      <c r="F301" s="92"/>
      <c r="G301" s="92"/>
      <c r="H301" s="92"/>
      <c r="I301" s="92"/>
      <c r="J301" s="92"/>
      <c r="K301" s="92"/>
      <c r="L301" s="92"/>
    </row>
    <row r="302" spans="6:12" s="87" customFormat="1">
      <c r="F302" s="92"/>
      <c r="G302" s="92"/>
      <c r="H302" s="92"/>
      <c r="I302" s="92"/>
      <c r="J302" s="92"/>
      <c r="K302" s="92"/>
      <c r="L302" s="92"/>
    </row>
    <row r="303" spans="6:12" s="87" customFormat="1">
      <c r="F303" s="92"/>
      <c r="G303" s="92"/>
      <c r="H303" s="92"/>
      <c r="I303" s="92"/>
      <c r="J303" s="92"/>
      <c r="K303" s="92"/>
      <c r="L303" s="92"/>
    </row>
    <row r="304" spans="6:12" s="87" customFormat="1">
      <c r="F304" s="92"/>
      <c r="G304" s="92"/>
      <c r="H304" s="92"/>
      <c r="I304" s="92"/>
      <c r="J304" s="92"/>
      <c r="K304" s="92"/>
      <c r="L304" s="92"/>
    </row>
    <row r="305" spans="6:12" s="87" customFormat="1">
      <c r="F305" s="92"/>
      <c r="G305" s="92"/>
      <c r="H305" s="92"/>
      <c r="I305" s="92"/>
      <c r="J305" s="92"/>
      <c r="K305" s="92"/>
      <c r="L305" s="92"/>
    </row>
    <row r="306" spans="6:12" s="87" customFormat="1">
      <c r="F306" s="92"/>
      <c r="G306" s="92"/>
      <c r="H306" s="92"/>
      <c r="I306" s="92"/>
      <c r="J306" s="92"/>
      <c r="K306" s="92"/>
      <c r="L306" s="92"/>
    </row>
    <row r="307" spans="6:12" s="87" customFormat="1">
      <c r="F307" s="92"/>
      <c r="G307" s="92"/>
      <c r="H307" s="92"/>
      <c r="I307" s="92"/>
      <c r="J307" s="92"/>
      <c r="K307" s="92"/>
      <c r="L307" s="92"/>
    </row>
    <row r="308" spans="6:12" s="87" customFormat="1">
      <c r="F308" s="92"/>
      <c r="G308" s="92"/>
      <c r="H308" s="92"/>
      <c r="I308" s="92"/>
      <c r="J308" s="92"/>
      <c r="K308" s="92"/>
      <c r="L308" s="92"/>
    </row>
    <row r="309" spans="6:12" s="87" customFormat="1">
      <c r="F309" s="92"/>
      <c r="G309" s="92"/>
      <c r="H309" s="92"/>
      <c r="I309" s="92"/>
      <c r="J309" s="92"/>
      <c r="K309" s="92"/>
      <c r="L309" s="92"/>
    </row>
    <row r="310" spans="6:12" s="87" customFormat="1">
      <c r="F310" s="92"/>
      <c r="G310" s="92"/>
      <c r="H310" s="92"/>
      <c r="I310" s="92"/>
      <c r="J310" s="92"/>
      <c r="K310" s="92"/>
      <c r="L310" s="92"/>
    </row>
    <row r="311" spans="6:12" s="87" customFormat="1">
      <c r="F311" s="92"/>
      <c r="G311" s="92"/>
      <c r="H311" s="92"/>
      <c r="I311" s="92"/>
      <c r="J311" s="92"/>
      <c r="K311" s="92"/>
      <c r="L311" s="92"/>
    </row>
    <row r="312" spans="6:12" s="87" customFormat="1">
      <c r="F312" s="92"/>
      <c r="G312" s="92"/>
      <c r="H312" s="92"/>
      <c r="I312" s="92"/>
      <c r="J312" s="92"/>
      <c r="K312" s="92"/>
      <c r="L312" s="92"/>
    </row>
    <row r="313" spans="6:12" s="87" customFormat="1">
      <c r="F313" s="92"/>
      <c r="G313" s="92"/>
      <c r="H313" s="92"/>
      <c r="I313" s="92"/>
      <c r="J313" s="92"/>
      <c r="K313" s="92"/>
      <c r="L313" s="92"/>
    </row>
    <row r="314" spans="6:12" s="87" customFormat="1">
      <c r="F314" s="92"/>
      <c r="G314" s="92"/>
      <c r="H314" s="92"/>
      <c r="I314" s="92"/>
      <c r="J314" s="92"/>
      <c r="K314" s="92"/>
      <c r="L314" s="92"/>
    </row>
    <row r="315" spans="6:12" s="87" customFormat="1">
      <c r="F315" s="92"/>
      <c r="G315" s="92"/>
      <c r="H315" s="92"/>
      <c r="I315" s="92"/>
      <c r="J315" s="92"/>
      <c r="K315" s="92"/>
      <c r="L315" s="92"/>
    </row>
    <row r="316" spans="6:12" s="87" customFormat="1">
      <c r="F316" s="92"/>
      <c r="G316" s="92"/>
      <c r="H316" s="92"/>
      <c r="I316" s="92"/>
      <c r="J316" s="92"/>
      <c r="K316" s="92"/>
      <c r="L316" s="92"/>
    </row>
    <row r="317" spans="6:12" s="87" customFormat="1">
      <c r="F317" s="92"/>
      <c r="G317" s="92"/>
      <c r="H317" s="92"/>
      <c r="I317" s="92"/>
      <c r="J317" s="92"/>
      <c r="K317" s="92"/>
      <c r="L317" s="92"/>
    </row>
    <row r="318" spans="6:12" s="87" customFormat="1">
      <c r="F318" s="92"/>
      <c r="G318" s="92"/>
      <c r="H318" s="92"/>
      <c r="I318" s="92"/>
      <c r="J318" s="92"/>
      <c r="K318" s="92"/>
      <c r="L318" s="92"/>
    </row>
    <row r="319" spans="6:12" s="87" customFormat="1">
      <c r="F319" s="92"/>
      <c r="G319" s="92"/>
      <c r="H319" s="92"/>
      <c r="I319" s="92"/>
      <c r="J319" s="92"/>
      <c r="K319" s="92"/>
      <c r="L319" s="92"/>
    </row>
    <row r="320" spans="6:12" s="87" customFormat="1">
      <c r="F320" s="92"/>
      <c r="G320" s="92"/>
      <c r="H320" s="92"/>
      <c r="I320" s="92"/>
      <c r="J320" s="92"/>
      <c r="K320" s="92"/>
      <c r="L320" s="92"/>
    </row>
    <row r="321" spans="6:12" s="87" customFormat="1">
      <c r="F321" s="92"/>
      <c r="G321" s="92"/>
      <c r="H321" s="92"/>
      <c r="I321" s="92"/>
      <c r="J321" s="92"/>
      <c r="K321" s="92"/>
      <c r="L321" s="92"/>
    </row>
    <row r="322" spans="6:12" s="87" customFormat="1">
      <c r="F322" s="92"/>
      <c r="G322" s="92"/>
      <c r="H322" s="92"/>
      <c r="I322" s="92"/>
      <c r="J322" s="92"/>
      <c r="K322" s="92"/>
      <c r="L322" s="92"/>
    </row>
    <row r="323" spans="6:12" s="87" customFormat="1">
      <c r="F323" s="92"/>
      <c r="G323" s="92"/>
      <c r="H323" s="92"/>
      <c r="I323" s="92"/>
      <c r="J323" s="92"/>
      <c r="K323" s="92"/>
      <c r="L323" s="92"/>
    </row>
    <row r="324" spans="6:12" s="87" customFormat="1">
      <c r="F324" s="92"/>
      <c r="G324" s="92"/>
      <c r="H324" s="92"/>
      <c r="I324" s="92"/>
      <c r="J324" s="92"/>
      <c r="K324" s="92"/>
      <c r="L324" s="92"/>
    </row>
    <row r="325" spans="6:12" s="87" customFormat="1">
      <c r="F325" s="92"/>
      <c r="G325" s="92"/>
      <c r="H325" s="92"/>
      <c r="I325" s="92"/>
      <c r="J325" s="92"/>
      <c r="K325" s="92"/>
      <c r="L325" s="92"/>
    </row>
    <row r="326" spans="6:12" s="87" customFormat="1">
      <c r="F326" s="92"/>
      <c r="G326" s="92"/>
      <c r="H326" s="92"/>
      <c r="I326" s="92"/>
      <c r="J326" s="92"/>
      <c r="K326" s="92"/>
      <c r="L326" s="92"/>
    </row>
    <row r="327" spans="6:12" s="87" customFormat="1">
      <c r="F327" s="92"/>
      <c r="G327" s="92"/>
      <c r="H327" s="92"/>
      <c r="I327" s="92"/>
      <c r="J327" s="92"/>
      <c r="K327" s="92"/>
      <c r="L327" s="92"/>
    </row>
    <row r="328" spans="6:12" s="87" customFormat="1">
      <c r="F328" s="92"/>
      <c r="G328" s="92"/>
      <c r="H328" s="92"/>
      <c r="I328" s="92"/>
      <c r="J328" s="92"/>
      <c r="K328" s="92"/>
      <c r="L328" s="92"/>
    </row>
    <row r="329" spans="6:12" s="87" customFormat="1">
      <c r="F329" s="92"/>
      <c r="G329" s="92"/>
      <c r="H329" s="92"/>
      <c r="I329" s="92"/>
      <c r="J329" s="92"/>
      <c r="K329" s="92"/>
      <c r="L329" s="92"/>
    </row>
    <row r="330" spans="6:12" s="87" customFormat="1">
      <c r="F330" s="92"/>
      <c r="G330" s="92"/>
      <c r="H330" s="92"/>
      <c r="I330" s="92"/>
      <c r="J330" s="92"/>
      <c r="K330" s="92"/>
      <c r="L330" s="92"/>
    </row>
    <row r="331" spans="6:12" s="87" customFormat="1">
      <c r="F331" s="92"/>
      <c r="G331" s="92"/>
      <c r="H331" s="92"/>
      <c r="I331" s="92"/>
      <c r="J331" s="92"/>
      <c r="K331" s="92"/>
      <c r="L331" s="92"/>
    </row>
    <row r="332" spans="6:12" s="87" customFormat="1">
      <c r="F332" s="92"/>
      <c r="G332" s="92"/>
      <c r="H332" s="92"/>
      <c r="I332" s="92"/>
      <c r="J332" s="92"/>
      <c r="K332" s="92"/>
      <c r="L332" s="92"/>
    </row>
    <row r="333" spans="6:12" s="87" customFormat="1">
      <c r="F333" s="92"/>
      <c r="G333" s="92"/>
      <c r="H333" s="92"/>
      <c r="I333" s="92"/>
      <c r="J333" s="92"/>
      <c r="K333" s="92"/>
      <c r="L333" s="92"/>
    </row>
    <row r="334" spans="6:12" s="87" customFormat="1">
      <c r="F334" s="92"/>
      <c r="G334" s="92"/>
      <c r="H334" s="92"/>
      <c r="I334" s="92"/>
      <c r="J334" s="92"/>
      <c r="K334" s="92"/>
      <c r="L334" s="92"/>
    </row>
    <row r="335" spans="6:12" s="87" customFormat="1">
      <c r="F335" s="92"/>
      <c r="G335" s="92"/>
      <c r="H335" s="92"/>
      <c r="I335" s="92"/>
      <c r="J335" s="92"/>
      <c r="K335" s="92"/>
      <c r="L335" s="92"/>
    </row>
    <row r="336" spans="6:12" s="87" customFormat="1">
      <c r="F336" s="92"/>
      <c r="G336" s="92"/>
      <c r="H336" s="92"/>
      <c r="I336" s="92"/>
      <c r="J336" s="92"/>
      <c r="K336" s="92"/>
      <c r="L336" s="92"/>
    </row>
    <row r="337" spans="6:12" s="87" customFormat="1">
      <c r="F337" s="92"/>
      <c r="G337" s="92"/>
      <c r="H337" s="92"/>
      <c r="I337" s="92"/>
      <c r="J337" s="92"/>
      <c r="K337" s="92"/>
      <c r="L337" s="92"/>
    </row>
    <row r="338" spans="6:12" s="87" customFormat="1">
      <c r="F338" s="92"/>
      <c r="G338" s="92"/>
      <c r="H338" s="92"/>
      <c r="I338" s="92"/>
      <c r="J338" s="92"/>
      <c r="K338" s="92"/>
      <c r="L338" s="92"/>
    </row>
    <row r="339" spans="6:12" s="87" customFormat="1">
      <c r="F339" s="92"/>
      <c r="G339" s="92"/>
      <c r="H339" s="92"/>
      <c r="I339" s="92"/>
      <c r="J339" s="92"/>
      <c r="K339" s="92"/>
      <c r="L339" s="92"/>
    </row>
    <row r="340" spans="6:12" s="87" customFormat="1">
      <c r="F340" s="92"/>
      <c r="G340" s="92"/>
      <c r="H340" s="92"/>
      <c r="I340" s="92"/>
      <c r="J340" s="92"/>
      <c r="K340" s="92"/>
      <c r="L340" s="92"/>
    </row>
    <row r="341" spans="6:12" s="87" customFormat="1">
      <c r="F341" s="92"/>
      <c r="G341" s="92"/>
      <c r="H341" s="92"/>
      <c r="I341" s="92"/>
      <c r="J341" s="92"/>
      <c r="K341" s="92"/>
      <c r="L341" s="92"/>
    </row>
    <row r="342" spans="6:12" s="87" customFormat="1">
      <c r="F342" s="92"/>
      <c r="G342" s="92"/>
      <c r="H342" s="92"/>
      <c r="I342" s="92"/>
      <c r="J342" s="92"/>
      <c r="K342" s="92"/>
      <c r="L342" s="92"/>
    </row>
    <row r="343" spans="6:12" s="87" customFormat="1">
      <c r="F343" s="92"/>
      <c r="G343" s="92"/>
      <c r="H343" s="92"/>
      <c r="I343" s="92"/>
      <c r="J343" s="92"/>
      <c r="K343" s="92"/>
      <c r="L343" s="92"/>
    </row>
    <row r="344" spans="6:12" s="87" customFormat="1">
      <c r="F344" s="92"/>
      <c r="G344" s="92"/>
      <c r="H344" s="92"/>
      <c r="I344" s="92"/>
      <c r="J344" s="92"/>
      <c r="K344" s="92"/>
      <c r="L344" s="92"/>
    </row>
    <row r="345" spans="6:12" s="87" customFormat="1">
      <c r="F345" s="92"/>
      <c r="G345" s="92"/>
      <c r="H345" s="92"/>
      <c r="I345" s="92"/>
      <c r="J345" s="92"/>
      <c r="K345" s="92"/>
      <c r="L345" s="92"/>
    </row>
    <row r="346" spans="6:12" s="87" customFormat="1">
      <c r="F346" s="92"/>
      <c r="G346" s="92"/>
      <c r="H346" s="92"/>
      <c r="I346" s="92"/>
      <c r="J346" s="92"/>
      <c r="K346" s="92"/>
      <c r="L346" s="92"/>
    </row>
    <row r="347" spans="6:12" s="87" customFormat="1">
      <c r="F347" s="92"/>
      <c r="G347" s="92"/>
      <c r="H347" s="92"/>
      <c r="I347" s="92"/>
      <c r="J347" s="92"/>
      <c r="K347" s="92"/>
      <c r="L347" s="92"/>
    </row>
    <row r="348" spans="6:12" s="87" customFormat="1">
      <c r="F348" s="92"/>
      <c r="G348" s="92"/>
      <c r="H348" s="92"/>
      <c r="I348" s="92"/>
      <c r="J348" s="92"/>
      <c r="K348" s="92"/>
      <c r="L348" s="92"/>
    </row>
    <row r="349" spans="6:12" s="87" customFormat="1">
      <c r="F349" s="92"/>
      <c r="G349" s="92"/>
      <c r="H349" s="92"/>
      <c r="I349" s="92"/>
      <c r="J349" s="92"/>
      <c r="K349" s="92"/>
      <c r="L349" s="92"/>
    </row>
    <row r="350" spans="6:12" s="87" customFormat="1">
      <c r="F350" s="92"/>
      <c r="G350" s="92"/>
      <c r="H350" s="92"/>
      <c r="I350" s="92"/>
      <c r="J350" s="92"/>
      <c r="K350" s="92"/>
      <c r="L350" s="92"/>
    </row>
    <row r="351" spans="6:12" s="87" customFormat="1">
      <c r="F351" s="92"/>
      <c r="G351" s="92"/>
      <c r="H351" s="92"/>
      <c r="I351" s="92"/>
      <c r="J351" s="92"/>
      <c r="K351" s="92"/>
      <c r="L351" s="92"/>
    </row>
    <row r="352" spans="6:12" s="87" customFormat="1">
      <c r="F352" s="92"/>
      <c r="G352" s="92"/>
      <c r="H352" s="92"/>
      <c r="I352" s="92"/>
      <c r="J352" s="92"/>
      <c r="K352" s="92"/>
      <c r="L352" s="92"/>
    </row>
    <row r="353" spans="6:12" s="87" customFormat="1">
      <c r="F353" s="92"/>
      <c r="G353" s="92"/>
      <c r="H353" s="92"/>
      <c r="I353" s="92"/>
      <c r="J353" s="92"/>
      <c r="K353" s="92"/>
      <c r="L353" s="92"/>
    </row>
    <row r="354" spans="6:12" s="87" customFormat="1">
      <c r="F354" s="92"/>
      <c r="G354" s="92"/>
      <c r="H354" s="92"/>
      <c r="I354" s="92"/>
      <c r="J354" s="92"/>
      <c r="K354" s="92"/>
      <c r="L354" s="92"/>
    </row>
    <row r="355" spans="6:12" s="87" customFormat="1">
      <c r="F355" s="92"/>
      <c r="G355" s="92"/>
      <c r="H355" s="92"/>
      <c r="I355" s="92"/>
      <c r="J355" s="92"/>
      <c r="K355" s="92"/>
      <c r="L355" s="92"/>
    </row>
    <row r="356" spans="6:12" s="87" customFormat="1">
      <c r="F356" s="92"/>
      <c r="G356" s="92"/>
      <c r="H356" s="92"/>
      <c r="I356" s="92"/>
      <c r="J356" s="92"/>
      <c r="K356" s="92"/>
      <c r="L356" s="92"/>
    </row>
    <row r="357" spans="6:12" s="87" customFormat="1">
      <c r="F357" s="92"/>
      <c r="G357" s="92"/>
      <c r="H357" s="92"/>
      <c r="I357" s="92"/>
      <c r="J357" s="92"/>
      <c r="K357" s="92"/>
      <c r="L357" s="92"/>
    </row>
    <row r="358" spans="6:12" s="87" customFormat="1">
      <c r="F358" s="92"/>
      <c r="G358" s="92"/>
      <c r="H358" s="92"/>
      <c r="I358" s="92"/>
      <c r="J358" s="92"/>
      <c r="K358" s="92"/>
      <c r="L358" s="92"/>
    </row>
    <row r="359" spans="6:12" s="87" customFormat="1">
      <c r="F359" s="92"/>
      <c r="G359" s="92"/>
      <c r="H359" s="92"/>
      <c r="I359" s="92"/>
      <c r="J359" s="92"/>
      <c r="K359" s="92"/>
      <c r="L359" s="92"/>
    </row>
    <row r="360" spans="6:12" s="87" customFormat="1">
      <c r="F360" s="92"/>
      <c r="G360" s="92"/>
      <c r="H360" s="92"/>
      <c r="I360" s="92"/>
      <c r="J360" s="92"/>
      <c r="K360" s="92"/>
      <c r="L360" s="92"/>
    </row>
    <row r="361" spans="6:12" s="87" customFormat="1">
      <c r="F361" s="92"/>
      <c r="G361" s="92"/>
      <c r="H361" s="92"/>
      <c r="I361" s="92"/>
      <c r="J361" s="92"/>
      <c r="K361" s="92"/>
      <c r="L361" s="92"/>
    </row>
    <row r="362" spans="6:12" s="87" customFormat="1">
      <c r="F362" s="92"/>
      <c r="G362" s="92"/>
      <c r="H362" s="92"/>
      <c r="I362" s="92"/>
      <c r="J362" s="92"/>
      <c r="K362" s="92"/>
      <c r="L362" s="92"/>
    </row>
    <row r="363" spans="6:12" s="87" customFormat="1">
      <c r="F363" s="92"/>
      <c r="G363" s="92"/>
      <c r="H363" s="92"/>
      <c r="I363" s="92"/>
      <c r="J363" s="92"/>
      <c r="K363" s="92"/>
      <c r="L363" s="92"/>
    </row>
    <row r="364" spans="6:12" s="87" customFormat="1">
      <c r="F364" s="92"/>
      <c r="G364" s="92"/>
      <c r="H364" s="92"/>
      <c r="I364" s="92"/>
      <c r="J364" s="92"/>
      <c r="K364" s="92"/>
      <c r="L364" s="92"/>
    </row>
    <row r="365" spans="6:12" s="87" customFormat="1">
      <c r="F365" s="92"/>
      <c r="G365" s="92"/>
      <c r="H365" s="92"/>
      <c r="I365" s="92"/>
      <c r="J365" s="92"/>
      <c r="K365" s="92"/>
      <c r="L365" s="92"/>
    </row>
    <row r="366" spans="6:12" s="87" customFormat="1">
      <c r="F366" s="92"/>
      <c r="G366" s="92"/>
      <c r="H366" s="92"/>
      <c r="I366" s="92"/>
      <c r="J366" s="92"/>
      <c r="K366" s="92"/>
      <c r="L366" s="92"/>
    </row>
    <row r="367" spans="6:12" s="87" customFormat="1">
      <c r="F367" s="92"/>
      <c r="G367" s="92"/>
      <c r="H367" s="92"/>
      <c r="I367" s="92"/>
      <c r="J367" s="92"/>
      <c r="K367" s="92"/>
      <c r="L367" s="92"/>
    </row>
    <row r="368" spans="6:12" s="87" customFormat="1">
      <c r="F368" s="92"/>
      <c r="G368" s="92"/>
      <c r="H368" s="92"/>
      <c r="I368" s="92"/>
      <c r="J368" s="92"/>
      <c r="K368" s="92"/>
      <c r="L368" s="92"/>
    </row>
    <row r="369" spans="6:12" s="87" customFormat="1">
      <c r="F369" s="92"/>
      <c r="G369" s="92"/>
      <c r="H369" s="92"/>
      <c r="I369" s="92"/>
      <c r="J369" s="92"/>
      <c r="K369" s="92"/>
      <c r="L369" s="92"/>
    </row>
    <row r="370" spans="6:12" s="87" customFormat="1">
      <c r="F370" s="92"/>
      <c r="G370" s="92"/>
      <c r="H370" s="92"/>
      <c r="I370" s="92"/>
      <c r="J370" s="92"/>
      <c r="K370" s="92"/>
      <c r="L370" s="92"/>
    </row>
    <row r="371" spans="6:12" s="87" customFormat="1">
      <c r="F371" s="92"/>
      <c r="G371" s="92"/>
      <c r="H371" s="92"/>
      <c r="I371" s="92"/>
      <c r="J371" s="92"/>
      <c r="K371" s="92"/>
      <c r="L371" s="92"/>
    </row>
    <row r="372" spans="6:12" s="87" customFormat="1">
      <c r="F372" s="92"/>
      <c r="G372" s="92"/>
      <c r="H372" s="92"/>
      <c r="I372" s="92"/>
      <c r="J372" s="92"/>
      <c r="K372" s="92"/>
      <c r="L372" s="92"/>
    </row>
    <row r="373" spans="6:12" s="87" customFormat="1">
      <c r="F373" s="92"/>
      <c r="G373" s="92"/>
      <c r="H373" s="92"/>
      <c r="I373" s="92"/>
      <c r="J373" s="92"/>
      <c r="K373" s="92"/>
      <c r="L373" s="92"/>
    </row>
    <row r="374" spans="6:12" s="87" customFormat="1">
      <c r="F374" s="92"/>
      <c r="G374" s="92"/>
      <c r="H374" s="92"/>
      <c r="I374" s="92"/>
      <c r="J374" s="92"/>
      <c r="K374" s="92"/>
      <c r="L374" s="92"/>
    </row>
    <row r="375" spans="6:12" s="87" customFormat="1">
      <c r="F375" s="92"/>
      <c r="G375" s="92"/>
      <c r="H375" s="92"/>
      <c r="I375" s="92"/>
      <c r="J375" s="92"/>
      <c r="K375" s="92"/>
      <c r="L375" s="92"/>
    </row>
    <row r="376" spans="6:12" s="87" customFormat="1">
      <c r="F376" s="92"/>
      <c r="G376" s="92"/>
      <c r="H376" s="92"/>
      <c r="I376" s="92"/>
      <c r="J376" s="92"/>
      <c r="K376" s="92"/>
      <c r="L376" s="92"/>
    </row>
    <row r="377" spans="6:12" s="87" customFormat="1">
      <c r="F377" s="92"/>
      <c r="G377" s="92"/>
      <c r="H377" s="92"/>
      <c r="I377" s="92"/>
      <c r="J377" s="92"/>
      <c r="K377" s="92"/>
      <c r="L377" s="92"/>
    </row>
    <row r="378" spans="6:12" s="87" customFormat="1">
      <c r="F378" s="92"/>
      <c r="G378" s="92"/>
      <c r="H378" s="92"/>
      <c r="I378" s="92"/>
      <c r="J378" s="92"/>
      <c r="K378" s="92"/>
      <c r="L378" s="92"/>
    </row>
    <row r="379" spans="6:12" s="87" customFormat="1">
      <c r="F379" s="92"/>
      <c r="G379" s="92"/>
      <c r="H379" s="92"/>
      <c r="I379" s="92"/>
      <c r="J379" s="92"/>
      <c r="K379" s="92"/>
      <c r="L379" s="92"/>
    </row>
    <row r="380" spans="6:12" s="87" customFormat="1">
      <c r="F380" s="92"/>
      <c r="G380" s="92"/>
      <c r="H380" s="92"/>
      <c r="I380" s="92"/>
      <c r="J380" s="92"/>
      <c r="K380" s="92"/>
      <c r="L380" s="92"/>
    </row>
    <row r="381" spans="6:12" s="87" customFormat="1">
      <c r="F381" s="92"/>
      <c r="G381" s="92"/>
      <c r="H381" s="92"/>
      <c r="I381" s="92"/>
      <c r="J381" s="92"/>
      <c r="K381" s="92"/>
      <c r="L381" s="92"/>
    </row>
    <row r="382" spans="6:12" s="87" customFormat="1">
      <c r="F382" s="92"/>
      <c r="G382" s="92"/>
      <c r="H382" s="92"/>
      <c r="I382" s="92"/>
      <c r="J382" s="92"/>
      <c r="K382" s="92"/>
      <c r="L382" s="92"/>
    </row>
    <row r="383" spans="6:12" s="87" customFormat="1">
      <c r="F383" s="92"/>
      <c r="G383" s="92"/>
      <c r="H383" s="92"/>
      <c r="I383" s="92"/>
      <c r="J383" s="92"/>
      <c r="K383" s="92"/>
      <c r="L383" s="92"/>
    </row>
    <row r="384" spans="6:12" s="87" customFormat="1">
      <c r="F384" s="92"/>
      <c r="G384" s="92"/>
      <c r="H384" s="92"/>
      <c r="I384" s="92"/>
      <c r="J384" s="92"/>
      <c r="K384" s="92"/>
      <c r="L384" s="92"/>
    </row>
    <row r="385" spans="6:12" s="87" customFormat="1">
      <c r="F385" s="92"/>
      <c r="G385" s="92"/>
      <c r="H385" s="92"/>
      <c r="I385" s="92"/>
      <c r="J385" s="92"/>
      <c r="K385" s="92"/>
      <c r="L385" s="92"/>
    </row>
    <row r="386" spans="6:12" s="87" customFormat="1">
      <c r="F386" s="92"/>
      <c r="G386" s="92"/>
      <c r="H386" s="92"/>
      <c r="I386" s="92"/>
      <c r="J386" s="92"/>
      <c r="K386" s="92"/>
      <c r="L386" s="92"/>
    </row>
    <row r="387" spans="6:12" s="87" customFormat="1">
      <c r="F387" s="92"/>
      <c r="G387" s="92"/>
      <c r="H387" s="92"/>
      <c r="I387" s="92"/>
      <c r="J387" s="92"/>
      <c r="K387" s="92"/>
      <c r="L387" s="92"/>
    </row>
    <row r="388" spans="6:12" s="87" customFormat="1">
      <c r="F388" s="92"/>
      <c r="G388" s="92"/>
      <c r="H388" s="92"/>
      <c r="I388" s="92"/>
      <c r="J388" s="92"/>
      <c r="K388" s="92"/>
      <c r="L388" s="92"/>
    </row>
    <row r="389" spans="6:12" s="87" customFormat="1">
      <c r="F389" s="92"/>
      <c r="G389" s="92"/>
      <c r="H389" s="92"/>
      <c r="I389" s="92"/>
      <c r="J389" s="92"/>
      <c r="K389" s="92"/>
      <c r="L389" s="92"/>
    </row>
    <row r="390" spans="6:12" s="87" customFormat="1">
      <c r="F390" s="92"/>
      <c r="G390" s="92"/>
      <c r="H390" s="92"/>
      <c r="I390" s="92"/>
      <c r="J390" s="92"/>
      <c r="K390" s="92"/>
      <c r="L390" s="92"/>
    </row>
    <row r="391" spans="6:12" s="87" customFormat="1">
      <c r="F391" s="92"/>
      <c r="G391" s="92"/>
      <c r="H391" s="92"/>
      <c r="I391" s="92"/>
      <c r="J391" s="92"/>
      <c r="K391" s="92"/>
      <c r="L391" s="92"/>
    </row>
    <row r="392" spans="6:12" s="87" customFormat="1">
      <c r="F392" s="92"/>
      <c r="G392" s="92"/>
      <c r="H392" s="92"/>
      <c r="I392" s="92"/>
      <c r="J392" s="92"/>
      <c r="K392" s="92"/>
      <c r="L392" s="92"/>
    </row>
    <row r="393" spans="6:12" s="87" customFormat="1">
      <c r="F393" s="92"/>
      <c r="G393" s="92"/>
      <c r="H393" s="92"/>
      <c r="I393" s="92"/>
      <c r="J393" s="92"/>
      <c r="K393" s="92"/>
      <c r="L393" s="92"/>
    </row>
    <row r="394" spans="6:12" s="87" customFormat="1">
      <c r="F394" s="92"/>
      <c r="G394" s="92"/>
      <c r="H394" s="92"/>
      <c r="I394" s="92"/>
      <c r="J394" s="92"/>
      <c r="K394" s="92"/>
      <c r="L394" s="92"/>
    </row>
    <row r="395" spans="6:12" s="87" customFormat="1">
      <c r="F395" s="92"/>
      <c r="G395" s="92"/>
      <c r="H395" s="92"/>
      <c r="I395" s="92"/>
      <c r="J395" s="92"/>
      <c r="K395" s="92"/>
      <c r="L395" s="92"/>
    </row>
    <row r="396" spans="6:12" s="87" customFormat="1">
      <c r="F396" s="92"/>
      <c r="G396" s="92"/>
      <c r="H396" s="92"/>
      <c r="I396" s="92"/>
      <c r="J396" s="92"/>
      <c r="K396" s="92"/>
      <c r="L396" s="92"/>
    </row>
    <row r="397" spans="6:12" s="87" customFormat="1">
      <c r="F397" s="92"/>
      <c r="G397" s="92"/>
      <c r="H397" s="92"/>
      <c r="I397" s="92"/>
      <c r="J397" s="92"/>
      <c r="K397" s="92"/>
      <c r="L397" s="92"/>
    </row>
    <row r="398" spans="6:12" s="87" customFormat="1">
      <c r="F398" s="92"/>
      <c r="G398" s="92"/>
      <c r="H398" s="92"/>
      <c r="I398" s="92"/>
      <c r="J398" s="92"/>
      <c r="K398" s="92"/>
      <c r="L398" s="92"/>
    </row>
    <row r="399" spans="6:12" s="87" customFormat="1">
      <c r="F399" s="92"/>
      <c r="G399" s="92"/>
      <c r="H399" s="92"/>
      <c r="I399" s="92"/>
      <c r="J399" s="92"/>
      <c r="K399" s="92"/>
      <c r="L399" s="92"/>
    </row>
    <row r="400" spans="6:12" s="87" customFormat="1">
      <c r="F400" s="92"/>
      <c r="G400" s="92"/>
      <c r="H400" s="92"/>
      <c r="I400" s="92"/>
      <c r="J400" s="92"/>
      <c r="K400" s="92"/>
      <c r="L400" s="92"/>
    </row>
    <row r="401" spans="6:12" s="87" customFormat="1">
      <c r="F401" s="92"/>
      <c r="G401" s="92"/>
      <c r="H401" s="92"/>
      <c r="I401" s="92"/>
      <c r="J401" s="92"/>
      <c r="K401" s="92"/>
      <c r="L401" s="92"/>
    </row>
    <row r="402" spans="6:12" s="87" customFormat="1">
      <c r="F402" s="92"/>
      <c r="G402" s="92"/>
      <c r="H402" s="92"/>
      <c r="I402" s="92"/>
      <c r="J402" s="92"/>
      <c r="K402" s="92"/>
      <c r="L402" s="92"/>
    </row>
    <row r="403" spans="6:12" s="87" customFormat="1">
      <c r="F403" s="92"/>
      <c r="G403" s="92"/>
      <c r="H403" s="92"/>
      <c r="I403" s="92"/>
      <c r="J403" s="92"/>
      <c r="K403" s="92"/>
      <c r="L403" s="92"/>
    </row>
    <row r="404" spans="6:12" s="87" customFormat="1">
      <c r="F404" s="92"/>
      <c r="G404" s="92"/>
      <c r="H404" s="92"/>
      <c r="I404" s="92"/>
      <c r="J404" s="92"/>
      <c r="K404" s="92"/>
      <c r="L404" s="92"/>
    </row>
    <row r="405" spans="6:12" s="87" customFormat="1">
      <c r="F405" s="92"/>
      <c r="G405" s="92"/>
      <c r="H405" s="92"/>
      <c r="I405" s="92"/>
      <c r="J405" s="92"/>
      <c r="K405" s="92"/>
      <c r="L405" s="92"/>
    </row>
    <row r="406" spans="6:12" s="87" customFormat="1">
      <c r="F406" s="92"/>
      <c r="G406" s="92"/>
      <c r="H406" s="92"/>
      <c r="I406" s="92"/>
      <c r="J406" s="92"/>
      <c r="K406" s="92"/>
      <c r="L406" s="92"/>
    </row>
    <row r="407" spans="6:12" s="87" customFormat="1">
      <c r="F407" s="92"/>
      <c r="G407" s="92"/>
      <c r="H407" s="92"/>
      <c r="I407" s="92"/>
      <c r="J407" s="92"/>
      <c r="K407" s="92"/>
      <c r="L407" s="92"/>
    </row>
    <row r="408" spans="6:12" s="87" customFormat="1">
      <c r="F408" s="92"/>
      <c r="G408" s="92"/>
      <c r="H408" s="92"/>
      <c r="I408" s="92"/>
      <c r="J408" s="92"/>
      <c r="K408" s="92"/>
      <c r="L408" s="92"/>
    </row>
    <row r="409" spans="6:12" s="87" customFormat="1">
      <c r="F409" s="92"/>
      <c r="G409" s="92"/>
      <c r="H409" s="92"/>
      <c r="I409" s="92"/>
      <c r="J409" s="92"/>
      <c r="K409" s="92"/>
      <c r="L409" s="92"/>
    </row>
    <row r="410" spans="6:12" s="87" customFormat="1">
      <c r="F410" s="92"/>
      <c r="G410" s="92"/>
      <c r="H410" s="92"/>
      <c r="I410" s="92"/>
      <c r="J410" s="92"/>
      <c r="K410" s="92"/>
      <c r="L410" s="92"/>
    </row>
    <row r="411" spans="6:12" s="87" customFormat="1">
      <c r="F411" s="92"/>
      <c r="G411" s="92"/>
      <c r="H411" s="92"/>
      <c r="I411" s="92"/>
      <c r="J411" s="92"/>
      <c r="K411" s="92"/>
      <c r="L411" s="92"/>
    </row>
    <row r="412" spans="6:12" s="87" customFormat="1">
      <c r="F412" s="92"/>
      <c r="G412" s="92"/>
      <c r="H412" s="92"/>
      <c r="I412" s="92"/>
      <c r="J412" s="92"/>
      <c r="K412" s="92"/>
      <c r="L412" s="92"/>
    </row>
    <row r="413" spans="6:12" s="87" customFormat="1">
      <c r="F413" s="92"/>
      <c r="G413" s="92"/>
      <c r="H413" s="92"/>
      <c r="I413" s="92"/>
      <c r="J413" s="92"/>
      <c r="K413" s="92"/>
      <c r="L413" s="92"/>
    </row>
    <row r="414" spans="6:12" s="87" customFormat="1">
      <c r="F414" s="92"/>
      <c r="G414" s="92"/>
      <c r="H414" s="92"/>
      <c r="I414" s="92"/>
      <c r="J414" s="92"/>
      <c r="K414" s="92"/>
      <c r="L414" s="92"/>
    </row>
    <row r="415" spans="6:12" s="87" customFormat="1">
      <c r="F415" s="92"/>
      <c r="G415" s="92"/>
      <c r="H415" s="92"/>
      <c r="I415" s="92"/>
      <c r="J415" s="92"/>
      <c r="K415" s="92"/>
      <c r="L415" s="92"/>
    </row>
    <row r="416" spans="6:12" s="87" customFormat="1">
      <c r="F416" s="92"/>
      <c r="G416" s="92"/>
      <c r="H416" s="92"/>
      <c r="I416" s="92"/>
      <c r="J416" s="92"/>
      <c r="K416" s="92"/>
      <c r="L416" s="92"/>
    </row>
    <row r="417" spans="6:12" s="87" customFormat="1">
      <c r="F417" s="92"/>
      <c r="G417" s="92"/>
      <c r="H417" s="92"/>
      <c r="I417" s="92"/>
      <c r="J417" s="92"/>
      <c r="K417" s="92"/>
      <c r="L417" s="92"/>
    </row>
    <row r="418" spans="6:12" s="87" customFormat="1">
      <c r="F418" s="92"/>
      <c r="G418" s="92"/>
      <c r="H418" s="92"/>
      <c r="I418" s="92"/>
      <c r="J418" s="92"/>
      <c r="K418" s="92"/>
      <c r="L418" s="92"/>
    </row>
    <row r="419" spans="6:12" s="87" customFormat="1">
      <c r="F419" s="92"/>
      <c r="G419" s="92"/>
      <c r="H419" s="92"/>
      <c r="I419" s="92"/>
      <c r="J419" s="92"/>
      <c r="K419" s="92"/>
      <c r="L419" s="92"/>
    </row>
    <row r="420" spans="6:12" s="87" customFormat="1">
      <c r="F420" s="92"/>
      <c r="G420" s="92"/>
      <c r="H420" s="92"/>
      <c r="I420" s="92"/>
      <c r="J420" s="92"/>
      <c r="K420" s="92"/>
      <c r="L420" s="92"/>
    </row>
    <row r="421" spans="6:12" s="87" customFormat="1">
      <c r="F421" s="92"/>
      <c r="G421" s="92"/>
      <c r="H421" s="92"/>
      <c r="I421" s="92"/>
      <c r="J421" s="92"/>
      <c r="K421" s="92"/>
      <c r="L421" s="92"/>
    </row>
    <row r="422" spans="6:12" s="87" customFormat="1">
      <c r="F422" s="92"/>
      <c r="G422" s="92"/>
      <c r="H422" s="92"/>
      <c r="I422" s="92"/>
      <c r="J422" s="92"/>
      <c r="K422" s="92"/>
      <c r="L422" s="92"/>
    </row>
    <row r="423" spans="6:12" s="87" customFormat="1">
      <c r="F423" s="92"/>
      <c r="G423" s="92"/>
      <c r="H423" s="92"/>
      <c r="I423" s="92"/>
      <c r="J423" s="92"/>
      <c r="K423" s="92"/>
      <c r="L423" s="92"/>
    </row>
    <row r="424" spans="6:12" s="87" customFormat="1">
      <c r="F424" s="92"/>
      <c r="G424" s="92"/>
      <c r="H424" s="92"/>
      <c r="I424" s="92"/>
      <c r="J424" s="92"/>
      <c r="K424" s="92"/>
      <c r="L424" s="92"/>
    </row>
    <row r="425" spans="6:12" s="87" customFormat="1">
      <c r="F425" s="92"/>
      <c r="G425" s="92"/>
      <c r="H425" s="92"/>
      <c r="I425" s="92"/>
      <c r="J425" s="92"/>
      <c r="K425" s="92"/>
      <c r="L425" s="92"/>
    </row>
    <row r="426" spans="6:12" s="87" customFormat="1">
      <c r="F426" s="92"/>
      <c r="G426" s="92"/>
      <c r="H426" s="92"/>
      <c r="I426" s="92"/>
      <c r="J426" s="92"/>
      <c r="K426" s="92"/>
      <c r="L426" s="92"/>
    </row>
    <row r="427" spans="6:12" s="87" customFormat="1">
      <c r="F427" s="92"/>
      <c r="G427" s="92"/>
      <c r="H427" s="92"/>
      <c r="I427" s="92"/>
      <c r="J427" s="92"/>
      <c r="K427" s="92"/>
      <c r="L427" s="92"/>
    </row>
    <row r="428" spans="6:12" s="87" customFormat="1">
      <c r="F428" s="92"/>
      <c r="G428" s="92"/>
      <c r="H428" s="92"/>
      <c r="I428" s="92"/>
      <c r="J428" s="92"/>
      <c r="K428" s="92"/>
      <c r="L428" s="92"/>
    </row>
    <row r="429" spans="6:12" s="87" customFormat="1">
      <c r="F429" s="92"/>
      <c r="G429" s="92"/>
      <c r="H429" s="92"/>
      <c r="I429" s="92"/>
      <c r="J429" s="92"/>
      <c r="K429" s="92"/>
      <c r="L429" s="92"/>
    </row>
    <row r="430" spans="6:12" s="87" customFormat="1">
      <c r="F430" s="92"/>
      <c r="G430" s="92"/>
      <c r="H430" s="92"/>
      <c r="I430" s="92"/>
      <c r="J430" s="92"/>
      <c r="K430" s="92"/>
      <c r="L430" s="92"/>
    </row>
    <row r="431" spans="6:12" s="87" customFormat="1">
      <c r="F431" s="92"/>
      <c r="G431" s="92"/>
      <c r="H431" s="92"/>
      <c r="I431" s="92"/>
      <c r="J431" s="92"/>
      <c r="K431" s="92"/>
      <c r="L431" s="92"/>
    </row>
    <row r="432" spans="6:12" s="87" customFormat="1">
      <c r="F432" s="92"/>
      <c r="G432" s="92"/>
      <c r="H432" s="92"/>
      <c r="I432" s="92"/>
      <c r="J432" s="92"/>
      <c r="K432" s="92"/>
      <c r="L432" s="92"/>
    </row>
    <row r="433" spans="6:12" s="87" customFormat="1">
      <c r="F433" s="92"/>
      <c r="G433" s="92"/>
      <c r="H433" s="92"/>
      <c r="I433" s="92"/>
      <c r="J433" s="92"/>
      <c r="K433" s="92"/>
      <c r="L433" s="92"/>
    </row>
    <row r="434" spans="6:12" s="87" customFormat="1">
      <c r="F434" s="92"/>
      <c r="G434" s="92"/>
      <c r="H434" s="92"/>
      <c r="I434" s="92"/>
      <c r="J434" s="92"/>
      <c r="K434" s="92"/>
      <c r="L434" s="92"/>
    </row>
    <row r="435" spans="6:12" s="87" customFormat="1">
      <c r="F435" s="92"/>
      <c r="G435" s="92"/>
      <c r="H435" s="92"/>
      <c r="I435" s="92"/>
      <c r="J435" s="92"/>
      <c r="K435" s="92"/>
      <c r="L435" s="92"/>
    </row>
    <row r="436" spans="6:12" s="87" customFormat="1">
      <c r="F436" s="92"/>
      <c r="G436" s="92"/>
      <c r="H436" s="92"/>
      <c r="I436" s="92"/>
      <c r="J436" s="92"/>
      <c r="K436" s="92"/>
      <c r="L436" s="92"/>
    </row>
    <row r="437" spans="6:12" s="87" customFormat="1">
      <c r="F437" s="92"/>
      <c r="G437" s="92"/>
      <c r="H437" s="92"/>
      <c r="I437" s="92"/>
      <c r="J437" s="92"/>
      <c r="K437" s="92"/>
      <c r="L437" s="92"/>
    </row>
    <row r="438" spans="6:12" s="87" customFormat="1">
      <c r="F438" s="92"/>
      <c r="G438" s="92"/>
      <c r="H438" s="92"/>
      <c r="I438" s="92"/>
      <c r="J438" s="92"/>
      <c r="K438" s="92"/>
      <c r="L438" s="92"/>
    </row>
    <row r="439" spans="6:12" s="87" customFormat="1">
      <c r="F439" s="92"/>
      <c r="G439" s="92"/>
      <c r="H439" s="92"/>
      <c r="I439" s="92"/>
      <c r="J439" s="92"/>
      <c r="K439" s="92"/>
      <c r="L439" s="92"/>
    </row>
    <row r="440" spans="6:12" s="87" customFormat="1">
      <c r="F440" s="92"/>
      <c r="G440" s="92"/>
      <c r="H440" s="92"/>
      <c r="I440" s="92"/>
      <c r="J440" s="92"/>
      <c r="K440" s="92"/>
      <c r="L440" s="92"/>
    </row>
    <row r="441" spans="6:12" s="87" customFormat="1">
      <c r="F441" s="92"/>
      <c r="G441" s="92"/>
      <c r="H441" s="92"/>
      <c r="I441" s="92"/>
      <c r="J441" s="92"/>
      <c r="K441" s="92"/>
      <c r="L441" s="92"/>
    </row>
    <row r="442" spans="6:12" s="87" customFormat="1">
      <c r="F442" s="92"/>
      <c r="G442" s="92"/>
      <c r="H442" s="92"/>
      <c r="I442" s="92"/>
      <c r="J442" s="92"/>
      <c r="K442" s="92"/>
      <c r="L442" s="92"/>
    </row>
    <row r="443" spans="6:12" s="87" customFormat="1">
      <c r="F443" s="92"/>
      <c r="G443" s="92"/>
      <c r="H443" s="92"/>
      <c r="I443" s="92"/>
      <c r="J443" s="92"/>
      <c r="K443" s="92"/>
      <c r="L443" s="92"/>
    </row>
    <row r="444" spans="6:12" s="87" customFormat="1">
      <c r="F444" s="92"/>
      <c r="G444" s="92"/>
      <c r="H444" s="92"/>
      <c r="I444" s="92"/>
      <c r="J444" s="92"/>
      <c r="K444" s="92"/>
      <c r="L444" s="92"/>
    </row>
    <row r="445" spans="6:12" s="87" customFormat="1">
      <c r="F445" s="92"/>
      <c r="G445" s="92"/>
      <c r="H445" s="92"/>
      <c r="I445" s="92"/>
      <c r="J445" s="92"/>
      <c r="K445" s="92"/>
      <c r="L445" s="92"/>
    </row>
    <row r="446" spans="6:12" s="87" customFormat="1">
      <c r="F446" s="92"/>
      <c r="G446" s="92"/>
      <c r="H446" s="92"/>
      <c r="I446" s="92"/>
      <c r="J446" s="92"/>
      <c r="K446" s="92"/>
      <c r="L446" s="92"/>
    </row>
    <row r="447" spans="6:12" s="87" customFormat="1">
      <c r="F447" s="92"/>
      <c r="G447" s="92"/>
      <c r="H447" s="92"/>
      <c r="I447" s="92"/>
      <c r="J447" s="92"/>
      <c r="K447" s="92"/>
      <c r="L447" s="92"/>
    </row>
    <row r="448" spans="6:12" s="87" customFormat="1">
      <c r="F448" s="92"/>
      <c r="G448" s="92"/>
      <c r="H448" s="92"/>
      <c r="I448" s="92"/>
      <c r="J448" s="92"/>
      <c r="K448" s="92"/>
      <c r="L448" s="92"/>
    </row>
    <row r="449" spans="6:12" s="87" customFormat="1">
      <c r="F449" s="92"/>
      <c r="G449" s="92"/>
      <c r="H449" s="92"/>
      <c r="I449" s="92"/>
      <c r="J449" s="92"/>
      <c r="K449" s="92"/>
      <c r="L449" s="92"/>
    </row>
    <row r="450" spans="6:12" s="87" customFormat="1">
      <c r="F450" s="92"/>
      <c r="G450" s="92"/>
      <c r="H450" s="92"/>
      <c r="I450" s="92"/>
      <c r="J450" s="92"/>
      <c r="K450" s="92"/>
      <c r="L450" s="92"/>
    </row>
    <row r="451" spans="6:12" s="87" customFormat="1">
      <c r="F451" s="92"/>
      <c r="G451" s="92"/>
      <c r="H451" s="92"/>
      <c r="I451" s="92"/>
      <c r="J451" s="92"/>
      <c r="K451" s="92"/>
      <c r="L451" s="92"/>
    </row>
    <row r="452" spans="6:12" s="87" customFormat="1">
      <c r="F452" s="92"/>
      <c r="G452" s="92"/>
      <c r="H452" s="92"/>
      <c r="I452" s="92"/>
      <c r="J452" s="92"/>
      <c r="K452" s="92"/>
      <c r="L452" s="92"/>
    </row>
    <row r="453" spans="6:12" s="87" customFormat="1">
      <c r="F453" s="92"/>
      <c r="G453" s="92"/>
      <c r="H453" s="92"/>
      <c r="I453" s="92"/>
      <c r="J453" s="92"/>
      <c r="K453" s="92"/>
      <c r="L453" s="92"/>
    </row>
    <row r="454" spans="6:12" s="87" customFormat="1">
      <c r="F454" s="92"/>
      <c r="G454" s="92"/>
      <c r="H454" s="92"/>
      <c r="I454" s="92"/>
      <c r="J454" s="92"/>
      <c r="K454" s="92"/>
      <c r="L454" s="92"/>
    </row>
    <row r="455" spans="6:12" s="87" customFormat="1">
      <c r="F455" s="92"/>
      <c r="G455" s="92"/>
      <c r="H455" s="92"/>
      <c r="I455" s="92"/>
      <c r="J455" s="92"/>
      <c r="K455" s="92"/>
      <c r="L455" s="92"/>
    </row>
    <row r="456" spans="6:12" s="87" customFormat="1">
      <c r="F456" s="92"/>
      <c r="G456" s="92"/>
      <c r="H456" s="92"/>
      <c r="I456" s="92"/>
      <c r="J456" s="92"/>
      <c r="K456" s="92"/>
      <c r="L456" s="92"/>
    </row>
    <row r="457" spans="6:12" s="87" customFormat="1">
      <c r="F457" s="92"/>
      <c r="G457" s="92"/>
      <c r="H457" s="92"/>
      <c r="I457" s="92"/>
      <c r="J457" s="92"/>
      <c r="K457" s="92"/>
      <c r="L457" s="92"/>
    </row>
    <row r="458" spans="6:12" s="87" customFormat="1">
      <c r="F458" s="92"/>
      <c r="G458" s="92"/>
      <c r="H458" s="92"/>
      <c r="I458" s="92"/>
      <c r="J458" s="92"/>
      <c r="K458" s="92"/>
      <c r="L458" s="92"/>
    </row>
    <row r="459" spans="6:12" s="87" customFormat="1">
      <c r="F459" s="92"/>
      <c r="G459" s="92"/>
      <c r="H459" s="92"/>
      <c r="I459" s="92"/>
      <c r="J459" s="92"/>
      <c r="K459" s="92"/>
      <c r="L459" s="92"/>
    </row>
    <row r="460" spans="6:12" s="87" customFormat="1">
      <c r="F460" s="92"/>
      <c r="G460" s="92"/>
      <c r="H460" s="92"/>
      <c r="I460" s="92"/>
      <c r="J460" s="92"/>
      <c r="K460" s="92"/>
      <c r="L460" s="92"/>
    </row>
    <row r="461" spans="6:12" s="87" customFormat="1">
      <c r="F461" s="92"/>
      <c r="G461" s="92"/>
      <c r="H461" s="92"/>
      <c r="I461" s="92"/>
      <c r="J461" s="92"/>
      <c r="K461" s="92"/>
      <c r="L461" s="92"/>
    </row>
    <row r="462" spans="6:12" s="87" customFormat="1">
      <c r="F462" s="92"/>
      <c r="G462" s="92"/>
      <c r="H462" s="92"/>
      <c r="I462" s="92"/>
      <c r="J462" s="92"/>
      <c r="K462" s="92"/>
      <c r="L462" s="92"/>
    </row>
    <row r="463" spans="6:12" s="87" customFormat="1">
      <c r="F463" s="92"/>
      <c r="G463" s="92"/>
      <c r="H463" s="92"/>
      <c r="I463" s="92"/>
      <c r="J463" s="92"/>
      <c r="K463" s="92"/>
      <c r="L463" s="92"/>
    </row>
    <row r="464" spans="6:12" s="87" customFormat="1">
      <c r="F464" s="92"/>
      <c r="G464" s="92"/>
      <c r="H464" s="92"/>
      <c r="I464" s="92"/>
      <c r="J464" s="92"/>
      <c r="K464" s="92"/>
      <c r="L464" s="92"/>
    </row>
    <row r="465" spans="6:12" s="87" customFormat="1">
      <c r="F465" s="92"/>
      <c r="G465" s="92"/>
      <c r="H465" s="92"/>
      <c r="I465" s="92"/>
      <c r="J465" s="92"/>
      <c r="K465" s="92"/>
      <c r="L465" s="92"/>
    </row>
    <row r="466" spans="6:12" s="87" customFormat="1">
      <c r="F466" s="92"/>
      <c r="G466" s="92"/>
      <c r="H466" s="92"/>
      <c r="I466" s="92"/>
      <c r="J466" s="92"/>
      <c r="K466" s="92"/>
      <c r="L466" s="92"/>
    </row>
    <row r="467" spans="6:12" s="87" customFormat="1">
      <c r="F467" s="92"/>
      <c r="G467" s="92"/>
      <c r="H467" s="92"/>
      <c r="I467" s="92"/>
      <c r="J467" s="92"/>
      <c r="K467" s="92"/>
      <c r="L467" s="92"/>
    </row>
    <row r="468" spans="6:12" s="87" customFormat="1">
      <c r="F468" s="92"/>
      <c r="G468" s="92"/>
      <c r="H468" s="92"/>
      <c r="I468" s="92"/>
      <c r="J468" s="92"/>
      <c r="K468" s="92"/>
      <c r="L468" s="92"/>
    </row>
    <row r="469" spans="6:12" s="87" customFormat="1">
      <c r="F469" s="92"/>
      <c r="G469" s="92"/>
      <c r="H469" s="92"/>
      <c r="I469" s="92"/>
      <c r="J469" s="92"/>
      <c r="K469" s="92"/>
      <c r="L469" s="92"/>
    </row>
    <row r="470" spans="6:12" s="87" customFormat="1">
      <c r="F470" s="92"/>
      <c r="G470" s="92"/>
      <c r="H470" s="92"/>
      <c r="I470" s="92"/>
      <c r="J470" s="92"/>
      <c r="K470" s="92"/>
      <c r="L470" s="92"/>
    </row>
    <row r="471" spans="6:12" s="87" customFormat="1">
      <c r="F471" s="92"/>
      <c r="G471" s="92"/>
      <c r="H471" s="92"/>
      <c r="I471" s="92"/>
      <c r="J471" s="92"/>
      <c r="K471" s="92"/>
      <c r="L471" s="92"/>
    </row>
    <row r="472" spans="6:12" s="87" customFormat="1">
      <c r="F472" s="92"/>
      <c r="G472" s="92"/>
      <c r="H472" s="92"/>
      <c r="I472" s="92"/>
      <c r="J472" s="92"/>
      <c r="K472" s="92"/>
      <c r="L472" s="92"/>
    </row>
    <row r="473" spans="6:12" s="87" customFormat="1">
      <c r="F473" s="92"/>
      <c r="G473" s="92"/>
      <c r="H473" s="92"/>
      <c r="I473" s="92"/>
      <c r="J473" s="92"/>
      <c r="K473" s="92"/>
      <c r="L473" s="92"/>
    </row>
    <row r="474" spans="6:12" s="87" customFormat="1">
      <c r="F474" s="92"/>
      <c r="G474" s="92"/>
      <c r="H474" s="92"/>
      <c r="I474" s="92"/>
      <c r="J474" s="92"/>
      <c r="K474" s="92"/>
      <c r="L474" s="92"/>
    </row>
    <row r="475" spans="6:12" s="87" customFormat="1">
      <c r="F475" s="92"/>
      <c r="G475" s="92"/>
      <c r="H475" s="92"/>
      <c r="I475" s="92"/>
      <c r="J475" s="92"/>
      <c r="K475" s="92"/>
      <c r="L475" s="92"/>
    </row>
    <row r="476" spans="6:12" s="87" customFormat="1">
      <c r="F476" s="92"/>
      <c r="G476" s="92"/>
      <c r="H476" s="92"/>
      <c r="I476" s="92"/>
      <c r="J476" s="92"/>
      <c r="K476" s="92"/>
      <c r="L476" s="92"/>
    </row>
    <row r="477" spans="6:12" s="87" customFormat="1">
      <c r="F477" s="92"/>
      <c r="G477" s="92"/>
      <c r="H477" s="92"/>
      <c r="I477" s="92"/>
      <c r="J477" s="92"/>
      <c r="K477" s="92"/>
      <c r="L477" s="92"/>
    </row>
    <row r="478" spans="6:12" s="87" customFormat="1">
      <c r="F478" s="92"/>
      <c r="G478" s="92"/>
      <c r="H478" s="92"/>
      <c r="I478" s="92"/>
      <c r="J478" s="92"/>
      <c r="K478" s="92"/>
      <c r="L478" s="92"/>
    </row>
    <row r="479" spans="6:12" s="87" customFormat="1">
      <c r="F479" s="92"/>
      <c r="G479" s="92"/>
      <c r="H479" s="92"/>
      <c r="I479" s="92"/>
      <c r="J479" s="92"/>
      <c r="K479" s="92"/>
      <c r="L479" s="92"/>
    </row>
    <row r="480" spans="6:12" s="87" customFormat="1">
      <c r="F480" s="92"/>
      <c r="G480" s="92"/>
      <c r="H480" s="92"/>
      <c r="I480" s="92"/>
      <c r="J480" s="92"/>
      <c r="K480" s="92"/>
      <c r="L480" s="92"/>
    </row>
    <row r="481" spans="6:12" s="87" customFormat="1">
      <c r="F481" s="92"/>
      <c r="G481" s="92"/>
      <c r="H481" s="92"/>
      <c r="I481" s="92"/>
      <c r="J481" s="92"/>
      <c r="K481" s="92"/>
      <c r="L481" s="92"/>
    </row>
    <row r="482" spans="6:12" s="87" customFormat="1">
      <c r="F482" s="92"/>
      <c r="G482" s="92"/>
      <c r="H482" s="92"/>
      <c r="I482" s="92"/>
      <c r="J482" s="92"/>
      <c r="K482" s="92"/>
      <c r="L482" s="92"/>
    </row>
    <row r="483" spans="6:12" s="87" customFormat="1">
      <c r="F483" s="92"/>
      <c r="G483" s="92"/>
      <c r="H483" s="92"/>
      <c r="I483" s="92"/>
      <c r="J483" s="92"/>
      <c r="K483" s="92"/>
      <c r="L483" s="92"/>
    </row>
    <row r="484" spans="6:12" s="87" customFormat="1">
      <c r="F484" s="92"/>
      <c r="G484" s="92"/>
      <c r="H484" s="92"/>
      <c r="I484" s="92"/>
      <c r="J484" s="92"/>
      <c r="K484" s="92"/>
      <c r="L484" s="92"/>
    </row>
    <row r="485" spans="6:12" s="87" customFormat="1">
      <c r="F485" s="92"/>
      <c r="G485" s="92"/>
      <c r="H485" s="92"/>
      <c r="I485" s="92"/>
      <c r="J485" s="92"/>
      <c r="K485" s="92"/>
      <c r="L485" s="92"/>
    </row>
    <row r="486" spans="6:12" s="87" customFormat="1">
      <c r="F486" s="92"/>
      <c r="G486" s="92"/>
      <c r="H486" s="92"/>
      <c r="I486" s="92"/>
      <c r="J486" s="92"/>
      <c r="K486" s="92"/>
      <c r="L486" s="92"/>
    </row>
    <row r="487" spans="6:12" s="87" customFormat="1">
      <c r="F487" s="92"/>
      <c r="G487" s="92"/>
      <c r="H487" s="92"/>
      <c r="I487" s="92"/>
      <c r="J487" s="92"/>
      <c r="K487" s="92"/>
      <c r="L487" s="92"/>
    </row>
    <row r="488" spans="6:12" s="87" customFormat="1">
      <c r="F488" s="92"/>
      <c r="G488" s="92"/>
      <c r="H488" s="92"/>
      <c r="I488" s="92"/>
      <c r="J488" s="92"/>
      <c r="K488" s="92"/>
      <c r="L488" s="92"/>
    </row>
    <row r="489" spans="6:12" s="87" customFormat="1">
      <c r="F489" s="92"/>
      <c r="G489" s="92"/>
      <c r="H489" s="92"/>
      <c r="I489" s="92"/>
      <c r="J489" s="92"/>
      <c r="K489" s="92"/>
      <c r="L489" s="92"/>
    </row>
    <row r="490" spans="6:12" s="87" customFormat="1">
      <c r="F490" s="92"/>
      <c r="G490" s="92"/>
      <c r="H490" s="92"/>
      <c r="I490" s="92"/>
      <c r="J490" s="92"/>
      <c r="K490" s="92"/>
      <c r="L490" s="92"/>
    </row>
    <row r="491" spans="6:12" s="87" customFormat="1">
      <c r="F491" s="92"/>
      <c r="G491" s="92"/>
      <c r="H491" s="92"/>
      <c r="I491" s="92"/>
      <c r="J491" s="92"/>
      <c r="K491" s="92"/>
      <c r="L491" s="92"/>
    </row>
    <row r="492" spans="6:12" s="87" customFormat="1">
      <c r="F492" s="92"/>
      <c r="G492" s="92"/>
      <c r="H492" s="92"/>
      <c r="I492" s="92"/>
      <c r="J492" s="92"/>
      <c r="K492" s="92"/>
      <c r="L492" s="92"/>
    </row>
    <row r="493" spans="6:12" s="87" customFormat="1">
      <c r="F493" s="92"/>
      <c r="G493" s="92"/>
      <c r="H493" s="92"/>
      <c r="I493" s="92"/>
      <c r="J493" s="92"/>
      <c r="K493" s="92"/>
      <c r="L493" s="92"/>
    </row>
    <row r="494" spans="6:12" s="87" customFormat="1">
      <c r="F494" s="92"/>
      <c r="G494" s="92"/>
      <c r="H494" s="92"/>
      <c r="I494" s="92"/>
      <c r="J494" s="92"/>
      <c r="K494" s="92"/>
      <c r="L494" s="92"/>
    </row>
    <row r="495" spans="6:12" s="87" customFormat="1">
      <c r="F495" s="92"/>
      <c r="G495" s="92"/>
      <c r="H495" s="92"/>
      <c r="I495" s="92"/>
      <c r="J495" s="92"/>
      <c r="K495" s="92"/>
      <c r="L495" s="92"/>
    </row>
    <row r="496" spans="6:12" s="87" customFormat="1">
      <c r="F496" s="92"/>
      <c r="G496" s="92"/>
      <c r="H496" s="92"/>
      <c r="I496" s="92"/>
      <c r="J496" s="92"/>
      <c r="K496" s="92"/>
      <c r="L496" s="92"/>
    </row>
    <row r="497" spans="6:12" s="87" customFormat="1">
      <c r="F497" s="92"/>
      <c r="G497" s="92"/>
      <c r="H497" s="92"/>
      <c r="I497" s="92"/>
      <c r="J497" s="92"/>
      <c r="K497" s="92"/>
      <c r="L497" s="92"/>
    </row>
    <row r="498" spans="6:12" s="87" customFormat="1">
      <c r="F498" s="92"/>
      <c r="G498" s="92"/>
      <c r="H498" s="92"/>
      <c r="I498" s="92"/>
      <c r="J498" s="92"/>
      <c r="K498" s="92"/>
      <c r="L498" s="92"/>
    </row>
    <row r="499" spans="6:12" s="87" customFormat="1">
      <c r="F499" s="92"/>
      <c r="G499" s="92"/>
      <c r="H499" s="92"/>
      <c r="I499" s="92"/>
      <c r="J499" s="92"/>
      <c r="K499" s="92"/>
      <c r="L499" s="92"/>
    </row>
    <row r="500" spans="6:12" s="87" customFormat="1">
      <c r="F500" s="92"/>
      <c r="G500" s="92"/>
      <c r="H500" s="92"/>
      <c r="I500" s="92"/>
      <c r="J500" s="92"/>
      <c r="K500" s="92"/>
      <c r="L500" s="92"/>
    </row>
    <row r="501" spans="6:12" s="87" customFormat="1">
      <c r="F501" s="92"/>
      <c r="G501" s="92"/>
      <c r="H501" s="92"/>
      <c r="I501" s="92"/>
      <c r="J501" s="92"/>
      <c r="K501" s="92"/>
      <c r="L501" s="92"/>
    </row>
    <row r="502" spans="6:12" s="87" customFormat="1">
      <c r="F502" s="92"/>
      <c r="G502" s="92"/>
      <c r="H502" s="92"/>
      <c r="I502" s="92"/>
      <c r="J502" s="92"/>
      <c r="K502" s="92"/>
      <c r="L502" s="92"/>
    </row>
    <row r="503" spans="6:12" s="87" customFormat="1">
      <c r="F503" s="92"/>
      <c r="G503" s="92"/>
      <c r="H503" s="92"/>
      <c r="I503" s="92"/>
      <c r="J503" s="92"/>
      <c r="K503" s="92"/>
      <c r="L503" s="92"/>
    </row>
    <row r="504" spans="6:12" s="87" customFormat="1">
      <c r="F504" s="92"/>
      <c r="G504" s="92"/>
      <c r="H504" s="92"/>
      <c r="I504" s="92"/>
      <c r="J504" s="92"/>
      <c r="K504" s="92"/>
      <c r="L504" s="92"/>
    </row>
    <row r="505" spans="6:12" s="87" customFormat="1">
      <c r="F505" s="92"/>
      <c r="G505" s="92"/>
      <c r="H505" s="92"/>
      <c r="I505" s="92"/>
      <c r="J505" s="92"/>
      <c r="K505" s="92"/>
      <c r="L505" s="92"/>
    </row>
    <row r="506" spans="6:12" s="87" customFormat="1">
      <c r="F506" s="92"/>
      <c r="G506" s="92"/>
      <c r="H506" s="92"/>
      <c r="I506" s="92"/>
      <c r="J506" s="92"/>
      <c r="K506" s="92"/>
      <c r="L506" s="92"/>
    </row>
    <row r="507" spans="6:12" s="87" customFormat="1">
      <c r="F507" s="92"/>
      <c r="G507" s="92"/>
      <c r="H507" s="92"/>
      <c r="I507" s="92"/>
      <c r="J507" s="92"/>
      <c r="K507" s="92"/>
      <c r="L507" s="92"/>
    </row>
    <row r="508" spans="6:12" s="87" customFormat="1">
      <c r="F508" s="92"/>
      <c r="G508" s="92"/>
      <c r="H508" s="92"/>
      <c r="I508" s="92"/>
      <c r="J508" s="92"/>
      <c r="K508" s="92"/>
      <c r="L508" s="92"/>
    </row>
    <row r="509" spans="6:12" s="87" customFormat="1">
      <c r="F509" s="92"/>
      <c r="G509" s="92"/>
      <c r="H509" s="92"/>
      <c r="I509" s="92"/>
      <c r="J509" s="92"/>
      <c r="K509" s="92"/>
      <c r="L509" s="92"/>
    </row>
    <row r="510" spans="6:12" s="87" customFormat="1">
      <c r="F510" s="92"/>
      <c r="G510" s="92"/>
      <c r="H510" s="92"/>
      <c r="I510" s="92"/>
      <c r="J510" s="92"/>
      <c r="K510" s="92"/>
      <c r="L510" s="92"/>
    </row>
    <row r="511" spans="6:12" s="87" customFormat="1">
      <c r="F511" s="92"/>
      <c r="G511" s="92"/>
      <c r="H511" s="92"/>
      <c r="I511" s="92"/>
      <c r="J511" s="92"/>
      <c r="K511" s="92"/>
      <c r="L511" s="92"/>
    </row>
    <row r="512" spans="6:12" s="87" customFormat="1">
      <c r="F512" s="92"/>
      <c r="G512" s="92"/>
      <c r="H512" s="92"/>
      <c r="I512" s="92"/>
      <c r="J512" s="92"/>
      <c r="K512" s="92"/>
      <c r="L512" s="92"/>
    </row>
    <row r="513" spans="6:12" s="87" customFormat="1">
      <c r="F513" s="92"/>
      <c r="G513" s="92"/>
      <c r="H513" s="92"/>
      <c r="I513" s="92"/>
      <c r="J513" s="92"/>
      <c r="K513" s="92"/>
      <c r="L513" s="92"/>
    </row>
    <row r="514" spans="6:12" s="87" customFormat="1">
      <c r="F514" s="92"/>
      <c r="G514" s="92"/>
      <c r="H514" s="92"/>
      <c r="I514" s="92"/>
      <c r="J514" s="92"/>
      <c r="K514" s="92"/>
      <c r="L514" s="92"/>
    </row>
    <row r="515" spans="6:12" s="87" customFormat="1">
      <c r="F515" s="92"/>
      <c r="G515" s="92"/>
      <c r="H515" s="92"/>
      <c r="I515" s="92"/>
      <c r="J515" s="92"/>
      <c r="K515" s="92"/>
      <c r="L515" s="92"/>
    </row>
    <row r="516" spans="6:12" s="87" customFormat="1">
      <c r="F516" s="92"/>
      <c r="G516" s="92"/>
      <c r="H516" s="92"/>
      <c r="I516" s="92"/>
      <c r="J516" s="92"/>
      <c r="K516" s="92"/>
      <c r="L516" s="92"/>
    </row>
    <row r="517" spans="6:12" s="87" customFormat="1">
      <c r="F517" s="92"/>
      <c r="G517" s="92"/>
      <c r="H517" s="92"/>
      <c r="I517" s="92"/>
      <c r="J517" s="92"/>
      <c r="K517" s="92"/>
      <c r="L517" s="92"/>
    </row>
    <row r="518" spans="6:12" s="87" customFormat="1">
      <c r="F518" s="92"/>
      <c r="G518" s="92"/>
      <c r="H518" s="92"/>
      <c r="I518" s="92"/>
      <c r="J518" s="92"/>
      <c r="K518" s="92"/>
      <c r="L518" s="92"/>
    </row>
    <row r="519" spans="6:12" s="87" customFormat="1">
      <c r="F519" s="92"/>
      <c r="G519" s="92"/>
      <c r="H519" s="92"/>
      <c r="I519" s="92"/>
      <c r="J519" s="92"/>
      <c r="K519" s="92"/>
      <c r="L519" s="92"/>
    </row>
    <row r="520" spans="6:12" s="87" customFormat="1">
      <c r="F520" s="92"/>
      <c r="G520" s="92"/>
      <c r="H520" s="92"/>
      <c r="I520" s="92"/>
      <c r="J520" s="92"/>
      <c r="K520" s="92"/>
      <c r="L520" s="92"/>
    </row>
    <row r="521" spans="6:12" s="87" customFormat="1">
      <c r="F521" s="92"/>
      <c r="G521" s="92"/>
      <c r="H521" s="92"/>
      <c r="I521" s="92"/>
      <c r="J521" s="92"/>
      <c r="K521" s="92"/>
      <c r="L521" s="92"/>
    </row>
    <row r="522" spans="6:12" s="87" customFormat="1">
      <c r="F522" s="92"/>
      <c r="G522" s="92"/>
      <c r="H522" s="92"/>
      <c r="I522" s="92"/>
      <c r="J522" s="92"/>
      <c r="K522" s="92"/>
      <c r="L522" s="92"/>
    </row>
    <row r="523" spans="6:12" s="87" customFormat="1">
      <c r="F523" s="92"/>
      <c r="G523" s="92"/>
      <c r="H523" s="92"/>
      <c r="I523" s="92"/>
      <c r="J523" s="92"/>
      <c r="K523" s="92"/>
      <c r="L523" s="92"/>
    </row>
    <row r="524" spans="6:12" s="87" customFormat="1">
      <c r="F524" s="92"/>
      <c r="G524" s="92"/>
      <c r="H524" s="92"/>
      <c r="I524" s="92"/>
      <c r="J524" s="92"/>
      <c r="K524" s="92"/>
      <c r="L524" s="92"/>
    </row>
    <row r="525" spans="6:12" s="87" customFormat="1">
      <c r="F525" s="92"/>
      <c r="G525" s="92"/>
      <c r="H525" s="92"/>
      <c r="I525" s="92"/>
      <c r="J525" s="92"/>
      <c r="K525" s="92"/>
      <c r="L525" s="92"/>
    </row>
    <row r="526" spans="6:12" s="87" customFormat="1">
      <c r="F526" s="92"/>
      <c r="G526" s="92"/>
      <c r="H526" s="92"/>
      <c r="I526" s="92"/>
      <c r="J526" s="92"/>
      <c r="K526" s="92"/>
      <c r="L526" s="92"/>
    </row>
    <row r="527" spans="6:12" s="87" customFormat="1">
      <c r="F527" s="92"/>
      <c r="G527" s="92"/>
      <c r="H527" s="92"/>
      <c r="I527" s="92"/>
      <c r="J527" s="92"/>
      <c r="K527" s="92"/>
      <c r="L527" s="92"/>
    </row>
    <row r="528" spans="6:12" s="87" customFormat="1">
      <c r="F528" s="92"/>
      <c r="G528" s="92"/>
      <c r="H528" s="92"/>
      <c r="I528" s="92"/>
      <c r="J528" s="92"/>
      <c r="K528" s="92"/>
      <c r="L528" s="92"/>
    </row>
    <row r="529" spans="6:12" s="87" customFormat="1">
      <c r="F529" s="92"/>
      <c r="G529" s="92"/>
      <c r="H529" s="92"/>
      <c r="I529" s="92"/>
      <c r="J529" s="92"/>
      <c r="K529" s="92"/>
      <c r="L529" s="92"/>
    </row>
    <row r="530" spans="6:12" s="87" customFormat="1">
      <c r="F530" s="92"/>
      <c r="G530" s="92"/>
      <c r="H530" s="92"/>
      <c r="I530" s="92"/>
      <c r="J530" s="92"/>
      <c r="K530" s="92"/>
      <c r="L530" s="92"/>
    </row>
    <row r="531" spans="6:12" s="87" customFormat="1">
      <c r="F531" s="92"/>
      <c r="G531" s="92"/>
      <c r="H531" s="92"/>
      <c r="I531" s="92"/>
      <c r="J531" s="92"/>
      <c r="K531" s="92"/>
      <c r="L531" s="92"/>
    </row>
    <row r="532" spans="6:12" s="87" customFormat="1">
      <c r="F532" s="92"/>
      <c r="G532" s="92"/>
      <c r="H532" s="92"/>
      <c r="I532" s="92"/>
      <c r="J532" s="92"/>
      <c r="K532" s="92"/>
      <c r="L532" s="92"/>
    </row>
    <row r="533" spans="6:12" s="87" customFormat="1">
      <c r="F533" s="92"/>
      <c r="G533" s="92"/>
      <c r="H533" s="92"/>
      <c r="I533" s="92"/>
      <c r="J533" s="92"/>
      <c r="K533" s="92"/>
      <c r="L533" s="92"/>
    </row>
    <row r="534" spans="6:12" s="87" customFormat="1">
      <c r="F534" s="92"/>
      <c r="G534" s="92"/>
      <c r="H534" s="92"/>
      <c r="I534" s="92"/>
      <c r="J534" s="92"/>
      <c r="K534" s="92"/>
      <c r="L534" s="92"/>
    </row>
    <row r="535" spans="6:12" s="87" customFormat="1">
      <c r="F535" s="92"/>
      <c r="G535" s="92"/>
      <c r="H535" s="92"/>
      <c r="I535" s="92"/>
      <c r="J535" s="92"/>
      <c r="K535" s="92"/>
      <c r="L535" s="92"/>
    </row>
    <row r="536" spans="6:12" s="87" customFormat="1">
      <c r="F536" s="92"/>
      <c r="G536" s="92"/>
      <c r="H536" s="92"/>
      <c r="I536" s="92"/>
      <c r="J536" s="92"/>
      <c r="K536" s="92"/>
      <c r="L536" s="92"/>
    </row>
    <row r="537" spans="6:12" s="87" customFormat="1">
      <c r="F537" s="92"/>
      <c r="G537" s="92"/>
      <c r="H537" s="92"/>
      <c r="I537" s="92"/>
      <c r="J537" s="92"/>
      <c r="K537" s="92"/>
      <c r="L537" s="92"/>
    </row>
    <row r="538" spans="6:12" s="87" customFormat="1">
      <c r="F538" s="92"/>
      <c r="G538" s="92"/>
      <c r="H538" s="92"/>
      <c r="I538" s="92"/>
      <c r="J538" s="92"/>
      <c r="K538" s="92"/>
      <c r="L538" s="92"/>
    </row>
    <row r="539" spans="6:12" s="87" customFormat="1">
      <c r="F539" s="92"/>
      <c r="G539" s="92"/>
      <c r="H539" s="92"/>
      <c r="I539" s="92"/>
      <c r="J539" s="92"/>
      <c r="K539" s="92"/>
      <c r="L539" s="92"/>
    </row>
    <row r="540" spans="6:12" s="87" customFormat="1">
      <c r="F540" s="92"/>
      <c r="G540" s="92"/>
      <c r="H540" s="92"/>
      <c r="I540" s="92"/>
      <c r="J540" s="92"/>
      <c r="K540" s="92"/>
      <c r="L540" s="92"/>
    </row>
    <row r="541" spans="6:12" s="87" customFormat="1">
      <c r="F541" s="92"/>
      <c r="G541" s="92"/>
      <c r="H541" s="92"/>
      <c r="I541" s="92"/>
      <c r="J541" s="92"/>
      <c r="K541" s="92"/>
      <c r="L541" s="92"/>
    </row>
    <row r="542" spans="6:12" s="87" customFormat="1">
      <c r="F542" s="92"/>
      <c r="G542" s="92"/>
      <c r="H542" s="92"/>
      <c r="I542" s="92"/>
      <c r="J542" s="92"/>
      <c r="K542" s="92"/>
      <c r="L542" s="92"/>
    </row>
    <row r="543" spans="6:12" s="87" customFormat="1">
      <c r="F543" s="92"/>
      <c r="G543" s="92"/>
      <c r="H543" s="92"/>
      <c r="I543" s="92"/>
      <c r="J543" s="92"/>
      <c r="K543" s="92"/>
      <c r="L543" s="92"/>
    </row>
    <row r="544" spans="6:12" s="87" customFormat="1">
      <c r="F544" s="92"/>
      <c r="G544" s="92"/>
      <c r="H544" s="92"/>
      <c r="I544" s="92"/>
      <c r="J544" s="92"/>
      <c r="K544" s="92"/>
      <c r="L544" s="92"/>
    </row>
    <row r="545" spans="6:12" s="87" customFormat="1">
      <c r="F545" s="92"/>
      <c r="G545" s="92"/>
      <c r="H545" s="92"/>
      <c r="I545" s="92"/>
      <c r="J545" s="92"/>
      <c r="K545" s="92"/>
      <c r="L545" s="92"/>
    </row>
    <row r="546" spans="6:12" s="87" customFormat="1">
      <c r="F546" s="92"/>
      <c r="G546" s="92"/>
      <c r="H546" s="92"/>
      <c r="I546" s="92"/>
      <c r="J546" s="92"/>
      <c r="K546" s="92"/>
      <c r="L546" s="92"/>
    </row>
    <row r="547" spans="6:12" s="87" customFormat="1">
      <c r="F547" s="92"/>
      <c r="G547" s="92"/>
      <c r="H547" s="92"/>
      <c r="I547" s="92"/>
      <c r="J547" s="92"/>
      <c r="K547" s="92"/>
      <c r="L547" s="92"/>
    </row>
    <row r="548" spans="6:12" s="87" customFormat="1">
      <c r="F548" s="92"/>
      <c r="G548" s="92"/>
      <c r="H548" s="92"/>
      <c r="I548" s="92"/>
      <c r="J548" s="92"/>
      <c r="K548" s="92"/>
      <c r="L548" s="92"/>
    </row>
    <row r="549" spans="6:12" s="87" customFormat="1">
      <c r="F549" s="92"/>
      <c r="G549" s="92"/>
      <c r="H549" s="92"/>
      <c r="I549" s="92"/>
      <c r="J549" s="92"/>
      <c r="K549" s="92"/>
      <c r="L549" s="92"/>
    </row>
    <row r="550" spans="6:12" s="87" customFormat="1">
      <c r="F550" s="92"/>
      <c r="G550" s="92"/>
      <c r="H550" s="92"/>
      <c r="I550" s="92"/>
      <c r="J550" s="92"/>
      <c r="K550" s="92"/>
      <c r="L550" s="92"/>
    </row>
    <row r="551" spans="6:12" s="87" customFormat="1">
      <c r="F551" s="92"/>
      <c r="G551" s="92"/>
      <c r="H551" s="92"/>
      <c r="I551" s="92"/>
      <c r="J551" s="92"/>
      <c r="K551" s="92"/>
      <c r="L551" s="92"/>
    </row>
    <row r="552" spans="6:12" s="87" customFormat="1">
      <c r="F552" s="92"/>
      <c r="G552" s="92"/>
      <c r="H552" s="92"/>
      <c r="I552" s="92"/>
      <c r="J552" s="92"/>
      <c r="K552" s="92"/>
      <c r="L552" s="92"/>
    </row>
    <row r="553" spans="6:12" s="87" customFormat="1">
      <c r="F553" s="92"/>
      <c r="G553" s="92"/>
      <c r="H553" s="92"/>
      <c r="I553" s="92"/>
      <c r="J553" s="92"/>
      <c r="K553" s="92"/>
      <c r="L553" s="92"/>
    </row>
    <row r="554" spans="6:12" s="87" customFormat="1">
      <c r="F554" s="92"/>
      <c r="G554" s="92"/>
      <c r="H554" s="92"/>
      <c r="I554" s="92"/>
      <c r="J554" s="92"/>
      <c r="K554" s="92"/>
      <c r="L554" s="92"/>
    </row>
    <row r="555" spans="6:12" s="87" customFormat="1">
      <c r="F555" s="92"/>
      <c r="G555" s="92"/>
      <c r="H555" s="92"/>
      <c r="I555" s="92"/>
      <c r="J555" s="92"/>
      <c r="K555" s="92"/>
      <c r="L555" s="92"/>
    </row>
    <row r="556" spans="6:12" s="87" customFormat="1">
      <c r="F556" s="92"/>
      <c r="G556" s="92"/>
      <c r="H556" s="92"/>
      <c r="I556" s="92"/>
      <c r="J556" s="92"/>
      <c r="K556" s="92"/>
      <c r="L556" s="92"/>
    </row>
    <row r="557" spans="6:12" s="87" customFormat="1">
      <c r="F557" s="92"/>
      <c r="G557" s="92"/>
      <c r="H557" s="92"/>
      <c r="I557" s="92"/>
      <c r="J557" s="92"/>
      <c r="K557" s="92"/>
      <c r="L557" s="92"/>
    </row>
    <row r="558" spans="6:12" s="87" customFormat="1">
      <c r="F558" s="92"/>
      <c r="G558" s="92"/>
      <c r="H558" s="92"/>
      <c r="I558" s="92"/>
      <c r="J558" s="92"/>
      <c r="K558" s="92"/>
      <c r="L558" s="92"/>
    </row>
    <row r="559" spans="6:12" s="87" customFormat="1">
      <c r="F559" s="92"/>
      <c r="G559" s="92"/>
      <c r="H559" s="92"/>
      <c r="I559" s="92"/>
      <c r="J559" s="92"/>
      <c r="K559" s="92"/>
      <c r="L559" s="92"/>
    </row>
    <row r="560" spans="6:12" s="87" customFormat="1">
      <c r="F560" s="92"/>
      <c r="G560" s="92"/>
      <c r="H560" s="92"/>
      <c r="I560" s="92"/>
      <c r="J560" s="92"/>
      <c r="K560" s="92"/>
      <c r="L560" s="92"/>
    </row>
    <row r="561" spans="6:12" s="87" customFormat="1">
      <c r="F561" s="92"/>
      <c r="G561" s="92"/>
      <c r="H561" s="92"/>
      <c r="I561" s="92"/>
      <c r="J561" s="92"/>
      <c r="K561" s="92"/>
      <c r="L561" s="92"/>
    </row>
    <row r="562" spans="6:12" s="87" customFormat="1">
      <c r="F562" s="92"/>
      <c r="G562" s="92"/>
      <c r="H562" s="92"/>
      <c r="I562" s="92"/>
      <c r="J562" s="92"/>
      <c r="K562" s="92"/>
      <c r="L562" s="92"/>
    </row>
    <row r="563" spans="6:12" s="87" customFormat="1">
      <c r="F563" s="92"/>
      <c r="G563" s="92"/>
      <c r="H563" s="92"/>
      <c r="I563" s="92"/>
      <c r="J563" s="92"/>
      <c r="K563" s="92"/>
      <c r="L563" s="92"/>
    </row>
    <row r="564" spans="6:12" s="87" customFormat="1">
      <c r="F564" s="92"/>
      <c r="G564" s="92"/>
      <c r="H564" s="92"/>
      <c r="I564" s="92"/>
      <c r="J564" s="92"/>
      <c r="K564" s="92"/>
      <c r="L564" s="92"/>
    </row>
    <row r="565" spans="6:12" s="87" customFormat="1">
      <c r="F565" s="92"/>
      <c r="G565" s="92"/>
      <c r="H565" s="92"/>
      <c r="I565" s="92"/>
      <c r="J565" s="92"/>
      <c r="K565" s="92"/>
      <c r="L565" s="92"/>
    </row>
    <row r="566" spans="6:12" s="87" customFormat="1">
      <c r="F566" s="92"/>
      <c r="G566" s="92"/>
      <c r="H566" s="92"/>
      <c r="I566" s="92"/>
      <c r="J566" s="92"/>
      <c r="K566" s="92"/>
      <c r="L566" s="92"/>
    </row>
    <row r="567" spans="6:12" s="87" customFormat="1">
      <c r="F567" s="92"/>
      <c r="G567" s="92"/>
      <c r="H567" s="92"/>
      <c r="I567" s="92"/>
      <c r="J567" s="92"/>
      <c r="K567" s="92"/>
      <c r="L567" s="92"/>
    </row>
    <row r="568" spans="6:12" s="87" customFormat="1">
      <c r="F568" s="92"/>
      <c r="G568" s="92"/>
      <c r="H568" s="92"/>
      <c r="I568" s="92"/>
      <c r="J568" s="92"/>
      <c r="K568" s="92"/>
      <c r="L568" s="92"/>
    </row>
    <row r="569" spans="6:12" s="87" customFormat="1">
      <c r="F569" s="92"/>
      <c r="G569" s="92"/>
      <c r="H569" s="92"/>
      <c r="I569" s="92"/>
      <c r="J569" s="92"/>
      <c r="K569" s="92"/>
      <c r="L569" s="92"/>
    </row>
    <row r="570" spans="6:12" s="87" customFormat="1">
      <c r="F570" s="92"/>
      <c r="G570" s="92"/>
      <c r="H570" s="92"/>
      <c r="I570" s="92"/>
      <c r="J570" s="92"/>
      <c r="K570" s="92"/>
      <c r="L570" s="92"/>
    </row>
    <row r="571" spans="6:12" s="87" customFormat="1">
      <c r="F571" s="92"/>
      <c r="G571" s="92"/>
      <c r="H571" s="92"/>
      <c r="I571" s="92"/>
      <c r="J571" s="92"/>
      <c r="K571" s="92"/>
      <c r="L571" s="92"/>
    </row>
    <row r="572" spans="6:12" s="87" customFormat="1">
      <c r="F572" s="92"/>
      <c r="G572" s="92"/>
      <c r="H572" s="92"/>
      <c r="I572" s="92"/>
      <c r="J572" s="92"/>
      <c r="K572" s="92"/>
      <c r="L572" s="92"/>
    </row>
    <row r="573" spans="6:12" s="87" customFormat="1">
      <c r="F573" s="92"/>
      <c r="G573" s="92"/>
      <c r="H573" s="92"/>
      <c r="I573" s="92"/>
      <c r="J573" s="92"/>
      <c r="K573" s="92"/>
      <c r="L573" s="92"/>
    </row>
    <row r="574" spans="6:12" s="87" customFormat="1">
      <c r="F574" s="92"/>
      <c r="G574" s="92"/>
      <c r="H574" s="92"/>
      <c r="I574" s="92"/>
      <c r="J574" s="92"/>
      <c r="K574" s="92"/>
      <c r="L574" s="92"/>
    </row>
    <row r="575" spans="6:12" s="87" customFormat="1">
      <c r="F575" s="92"/>
      <c r="G575" s="92"/>
      <c r="H575" s="92"/>
      <c r="I575" s="92"/>
      <c r="J575" s="92"/>
      <c r="K575" s="92"/>
      <c r="L575" s="92"/>
    </row>
    <row r="576" spans="6:12" s="87" customFormat="1">
      <c r="F576" s="92"/>
      <c r="G576" s="92"/>
      <c r="H576" s="92"/>
      <c r="I576" s="92"/>
      <c r="J576" s="92"/>
      <c r="K576" s="92"/>
      <c r="L576" s="92"/>
    </row>
    <row r="577" spans="6:12" s="87" customFormat="1">
      <c r="F577" s="92"/>
      <c r="G577" s="92"/>
      <c r="H577" s="92"/>
      <c r="I577" s="92"/>
      <c r="J577" s="92"/>
      <c r="K577" s="92"/>
      <c r="L577" s="92"/>
    </row>
    <row r="578" spans="6:12" s="87" customFormat="1">
      <c r="F578" s="92"/>
      <c r="G578" s="92"/>
      <c r="H578" s="92"/>
      <c r="I578" s="92"/>
      <c r="J578" s="92"/>
      <c r="K578" s="92"/>
      <c r="L578" s="92"/>
    </row>
    <row r="579" spans="6:12" s="87" customFormat="1">
      <c r="F579" s="92"/>
      <c r="G579" s="92"/>
      <c r="H579" s="92"/>
      <c r="I579" s="92"/>
      <c r="J579" s="92"/>
      <c r="K579" s="92"/>
      <c r="L579" s="92"/>
    </row>
    <row r="580" spans="6:12" s="87" customFormat="1">
      <c r="F580" s="92"/>
      <c r="G580" s="92"/>
      <c r="H580" s="92"/>
      <c r="I580" s="92"/>
      <c r="J580" s="92"/>
      <c r="K580" s="92"/>
      <c r="L580" s="92"/>
    </row>
    <row r="581" spans="6:12" s="87" customFormat="1">
      <c r="F581" s="92"/>
      <c r="G581" s="92"/>
      <c r="H581" s="92"/>
      <c r="I581" s="92"/>
      <c r="J581" s="92"/>
      <c r="K581" s="92"/>
      <c r="L581" s="92"/>
    </row>
    <row r="582" spans="6:12" s="87" customFormat="1">
      <c r="F582" s="92"/>
      <c r="G582" s="92"/>
      <c r="H582" s="92"/>
      <c r="I582" s="92"/>
      <c r="J582" s="92"/>
      <c r="K582" s="92"/>
      <c r="L582" s="92"/>
    </row>
    <row r="583" spans="6:12" s="87" customFormat="1">
      <c r="F583" s="92"/>
      <c r="G583" s="92"/>
      <c r="H583" s="92"/>
      <c r="I583" s="92"/>
      <c r="J583" s="92"/>
      <c r="K583" s="92"/>
      <c r="L583" s="92"/>
    </row>
    <row r="584" spans="6:12" s="87" customFormat="1">
      <c r="F584" s="92"/>
      <c r="G584" s="92"/>
      <c r="H584" s="92"/>
      <c r="I584" s="92"/>
      <c r="J584" s="92"/>
      <c r="K584" s="92"/>
      <c r="L584" s="92"/>
    </row>
    <row r="585" spans="6:12" s="87" customFormat="1">
      <c r="F585" s="92"/>
      <c r="G585" s="92"/>
      <c r="H585" s="92"/>
      <c r="I585" s="92"/>
      <c r="J585" s="92"/>
      <c r="K585" s="92"/>
      <c r="L585" s="92"/>
    </row>
    <row r="586" spans="6:12" s="87" customFormat="1">
      <c r="F586" s="92"/>
      <c r="G586" s="92"/>
      <c r="H586" s="92"/>
      <c r="I586" s="92"/>
      <c r="J586" s="92"/>
      <c r="K586" s="92"/>
      <c r="L586" s="92"/>
    </row>
    <row r="587" spans="6:12" s="87" customFormat="1">
      <c r="F587" s="92"/>
      <c r="G587" s="92"/>
      <c r="H587" s="92"/>
      <c r="I587" s="92"/>
      <c r="J587" s="92"/>
      <c r="K587" s="92"/>
      <c r="L587" s="92"/>
    </row>
    <row r="588" spans="6:12" s="87" customFormat="1">
      <c r="F588" s="92"/>
      <c r="G588" s="92"/>
      <c r="H588" s="92"/>
      <c r="I588" s="92"/>
      <c r="J588" s="92"/>
      <c r="K588" s="92"/>
      <c r="L588" s="92"/>
    </row>
    <row r="589" spans="6:12" s="87" customFormat="1">
      <c r="F589" s="92"/>
      <c r="G589" s="92"/>
      <c r="H589" s="92"/>
      <c r="I589" s="92"/>
      <c r="J589" s="92"/>
      <c r="K589" s="92"/>
      <c r="L589" s="92"/>
    </row>
    <row r="590" spans="6:12" s="87" customFormat="1">
      <c r="F590" s="92"/>
      <c r="G590" s="92"/>
      <c r="H590" s="92"/>
      <c r="I590" s="92"/>
      <c r="J590" s="92"/>
      <c r="K590" s="92"/>
      <c r="L590" s="92"/>
    </row>
    <row r="591" spans="6:12" s="87" customFormat="1">
      <c r="F591" s="92"/>
      <c r="G591" s="92"/>
      <c r="H591" s="92"/>
      <c r="I591" s="92"/>
      <c r="J591" s="92"/>
      <c r="K591" s="92"/>
      <c r="L591" s="92"/>
    </row>
    <row r="592" spans="6:12" s="87" customFormat="1">
      <c r="F592" s="92"/>
      <c r="G592" s="92"/>
      <c r="H592" s="92"/>
      <c r="I592" s="92"/>
      <c r="J592" s="92"/>
      <c r="K592" s="92"/>
      <c r="L592" s="92"/>
    </row>
    <row r="593" spans="6:12" s="87" customFormat="1">
      <c r="F593" s="92"/>
      <c r="G593" s="92"/>
      <c r="H593" s="92"/>
      <c r="I593" s="92"/>
      <c r="J593" s="92"/>
      <c r="K593" s="92"/>
      <c r="L593" s="92"/>
    </row>
    <row r="594" spans="6:12" s="87" customFormat="1">
      <c r="F594" s="92"/>
      <c r="G594" s="92"/>
      <c r="H594" s="92"/>
      <c r="I594" s="92"/>
      <c r="J594" s="92"/>
      <c r="K594" s="92"/>
      <c r="L594" s="92"/>
    </row>
    <row r="595" spans="6:12" s="87" customFormat="1">
      <c r="F595" s="92"/>
      <c r="G595" s="92"/>
      <c r="H595" s="92"/>
      <c r="I595" s="92"/>
      <c r="J595" s="92"/>
      <c r="K595" s="92"/>
      <c r="L595" s="92"/>
    </row>
    <row r="596" spans="6:12" s="87" customFormat="1">
      <c r="F596" s="92"/>
      <c r="G596" s="92"/>
      <c r="H596" s="92"/>
      <c r="I596" s="92"/>
      <c r="J596" s="92"/>
      <c r="K596" s="92"/>
      <c r="L596" s="92"/>
    </row>
    <row r="597" spans="6:12" s="87" customFormat="1">
      <c r="F597" s="92"/>
      <c r="G597" s="92"/>
      <c r="H597" s="92"/>
      <c r="I597" s="92"/>
      <c r="J597" s="92"/>
      <c r="K597" s="92"/>
      <c r="L597" s="92"/>
    </row>
    <row r="598" spans="6:12" s="87" customFormat="1">
      <c r="F598" s="92"/>
      <c r="G598" s="92"/>
      <c r="H598" s="92"/>
      <c r="I598" s="92"/>
      <c r="J598" s="92"/>
      <c r="K598" s="92"/>
      <c r="L598" s="92"/>
    </row>
    <row r="599" spans="6:12" s="87" customFormat="1">
      <c r="F599" s="92"/>
      <c r="G599" s="92"/>
      <c r="H599" s="92"/>
      <c r="I599" s="92"/>
      <c r="J599" s="92"/>
      <c r="K599" s="92"/>
      <c r="L599" s="92"/>
    </row>
    <row r="600" spans="6:12" s="87" customFormat="1">
      <c r="F600" s="92"/>
      <c r="G600" s="92"/>
      <c r="H600" s="92"/>
      <c r="I600" s="92"/>
      <c r="J600" s="92"/>
      <c r="K600" s="92"/>
      <c r="L600" s="92"/>
    </row>
    <row r="601" spans="6:12" s="87" customFormat="1">
      <c r="F601" s="92"/>
      <c r="G601" s="92"/>
      <c r="H601" s="92"/>
      <c r="I601" s="92"/>
      <c r="J601" s="92"/>
      <c r="K601" s="92"/>
      <c r="L601" s="92"/>
    </row>
    <row r="602" spans="6:12" s="87" customFormat="1">
      <c r="F602" s="92"/>
      <c r="G602" s="92"/>
      <c r="H602" s="92"/>
      <c r="I602" s="92"/>
      <c r="J602" s="92"/>
      <c r="K602" s="92"/>
      <c r="L602" s="92"/>
    </row>
    <row r="603" spans="6:12" s="87" customFormat="1">
      <c r="F603" s="92"/>
      <c r="G603" s="92"/>
      <c r="H603" s="92"/>
      <c r="I603" s="92"/>
      <c r="J603" s="92"/>
      <c r="K603" s="92"/>
      <c r="L603" s="92"/>
    </row>
    <row r="604" spans="6:12" s="87" customFormat="1">
      <c r="F604" s="92"/>
      <c r="G604" s="92"/>
      <c r="H604" s="92"/>
      <c r="I604" s="92"/>
      <c r="J604" s="92"/>
      <c r="K604" s="92"/>
      <c r="L604" s="92"/>
    </row>
    <row r="605" spans="6:12" s="87" customFormat="1">
      <c r="F605" s="92"/>
      <c r="G605" s="92"/>
      <c r="H605" s="92"/>
      <c r="I605" s="92"/>
      <c r="J605" s="92"/>
      <c r="K605" s="92"/>
      <c r="L605" s="92"/>
    </row>
    <row r="606" spans="6:12" s="87" customFormat="1">
      <c r="F606" s="92"/>
      <c r="G606" s="92"/>
      <c r="H606" s="92"/>
      <c r="I606" s="92"/>
      <c r="J606" s="92"/>
      <c r="K606" s="92"/>
      <c r="L606" s="92"/>
    </row>
    <row r="607" spans="6:12" s="87" customFormat="1">
      <c r="F607" s="92"/>
      <c r="G607" s="92"/>
      <c r="H607" s="92"/>
      <c r="I607" s="92"/>
      <c r="J607" s="92"/>
      <c r="K607" s="92"/>
      <c r="L607" s="92"/>
    </row>
    <row r="608" spans="6:12" s="87" customFormat="1">
      <c r="F608" s="92"/>
      <c r="G608" s="92"/>
      <c r="H608" s="92"/>
      <c r="I608" s="92"/>
      <c r="J608" s="92"/>
      <c r="K608" s="92"/>
      <c r="L608" s="92"/>
    </row>
    <row r="609" spans="6:12" s="87" customFormat="1">
      <c r="F609" s="92"/>
      <c r="G609" s="92"/>
      <c r="H609" s="92"/>
      <c r="I609" s="92"/>
      <c r="J609" s="92"/>
      <c r="K609" s="92"/>
      <c r="L609" s="92"/>
    </row>
    <row r="610" spans="6:12" s="87" customFormat="1">
      <c r="F610" s="92"/>
      <c r="G610" s="92"/>
      <c r="H610" s="92"/>
      <c r="I610" s="92"/>
      <c r="J610" s="92"/>
      <c r="K610" s="92"/>
      <c r="L610" s="92"/>
    </row>
    <row r="611" spans="6:12" s="87" customFormat="1">
      <c r="F611" s="92"/>
      <c r="G611" s="92"/>
      <c r="H611" s="92"/>
      <c r="I611" s="92"/>
      <c r="J611" s="92"/>
      <c r="K611" s="92"/>
      <c r="L611" s="92"/>
    </row>
    <row r="612" spans="6:12" s="87" customFormat="1">
      <c r="F612" s="92"/>
      <c r="G612" s="92"/>
      <c r="H612" s="92"/>
      <c r="I612" s="92"/>
      <c r="J612" s="92"/>
      <c r="K612" s="92"/>
      <c r="L612" s="92"/>
    </row>
    <row r="613" spans="6:12" s="87" customFormat="1">
      <c r="F613" s="92"/>
      <c r="G613" s="92"/>
      <c r="H613" s="92"/>
      <c r="I613" s="92"/>
      <c r="J613" s="92"/>
      <c r="K613" s="92"/>
      <c r="L613" s="92"/>
    </row>
    <row r="614" spans="6:12" s="87" customFormat="1">
      <c r="F614" s="92"/>
      <c r="G614" s="92"/>
      <c r="H614" s="92"/>
      <c r="I614" s="92"/>
      <c r="J614" s="92"/>
      <c r="K614" s="92"/>
      <c r="L614" s="92"/>
    </row>
    <row r="615" spans="6:12" s="87" customFormat="1">
      <c r="F615" s="92"/>
      <c r="G615" s="92"/>
      <c r="H615" s="92"/>
      <c r="I615" s="92"/>
      <c r="J615" s="92"/>
      <c r="K615" s="92"/>
      <c r="L615" s="92"/>
    </row>
    <row r="616" spans="6:12" s="87" customFormat="1">
      <c r="F616" s="92"/>
      <c r="G616" s="92"/>
      <c r="H616" s="92"/>
      <c r="I616" s="92"/>
      <c r="J616" s="92"/>
      <c r="K616" s="92"/>
      <c r="L616" s="92"/>
    </row>
    <row r="617" spans="6:12" s="87" customFormat="1">
      <c r="F617" s="92"/>
      <c r="G617" s="92"/>
      <c r="H617" s="92"/>
      <c r="I617" s="92"/>
      <c r="J617" s="92"/>
      <c r="K617" s="92"/>
      <c r="L617" s="92"/>
    </row>
    <row r="618" spans="6:12" s="87" customFormat="1">
      <c r="F618" s="92"/>
      <c r="G618" s="92"/>
      <c r="H618" s="92"/>
      <c r="I618" s="92"/>
      <c r="J618" s="92"/>
      <c r="K618" s="92"/>
      <c r="L618" s="92"/>
    </row>
    <row r="619" spans="6:12" s="87" customFormat="1">
      <c r="F619" s="92"/>
      <c r="G619" s="92"/>
      <c r="H619" s="92"/>
      <c r="I619" s="92"/>
      <c r="J619" s="92"/>
      <c r="K619" s="92"/>
      <c r="L619" s="92"/>
    </row>
    <row r="620" spans="6:12" s="87" customFormat="1">
      <c r="F620" s="92"/>
      <c r="G620" s="92"/>
      <c r="H620" s="92"/>
      <c r="I620" s="92"/>
      <c r="J620" s="92"/>
      <c r="K620" s="92"/>
      <c r="L620" s="92"/>
    </row>
    <row r="621" spans="6:12" s="87" customFormat="1">
      <c r="F621" s="92"/>
      <c r="G621" s="92"/>
      <c r="H621" s="92"/>
      <c r="I621" s="92"/>
      <c r="J621" s="92"/>
      <c r="K621" s="92"/>
      <c r="L621" s="92"/>
    </row>
    <row r="622" spans="6:12" s="87" customFormat="1">
      <c r="F622" s="92"/>
      <c r="G622" s="92"/>
      <c r="H622" s="92"/>
      <c r="I622" s="92"/>
      <c r="J622" s="92"/>
      <c r="K622" s="92"/>
      <c r="L622" s="92"/>
    </row>
    <row r="623" spans="6:12" s="87" customFormat="1">
      <c r="F623" s="92"/>
      <c r="G623" s="92"/>
      <c r="H623" s="92"/>
      <c r="I623" s="92"/>
      <c r="J623" s="92"/>
      <c r="K623" s="92"/>
      <c r="L623" s="92"/>
    </row>
    <row r="624" spans="6:12" s="87" customFormat="1">
      <c r="F624" s="92"/>
      <c r="G624" s="92"/>
      <c r="H624" s="92"/>
      <c r="I624" s="92"/>
      <c r="J624" s="92"/>
      <c r="K624" s="92"/>
      <c r="L624" s="92"/>
    </row>
    <row r="625" spans="6:12" s="87" customFormat="1">
      <c r="F625" s="92"/>
      <c r="G625" s="92"/>
      <c r="H625" s="92"/>
      <c r="I625" s="92"/>
      <c r="J625" s="92"/>
      <c r="K625" s="92"/>
      <c r="L625" s="92"/>
    </row>
    <row r="626" spans="6:12" s="87" customFormat="1">
      <c r="F626" s="92"/>
      <c r="G626" s="92"/>
      <c r="H626" s="92"/>
      <c r="I626" s="92"/>
      <c r="J626" s="92"/>
      <c r="K626" s="92"/>
      <c r="L626" s="92"/>
    </row>
    <row r="627" spans="6:12" s="87" customFormat="1">
      <c r="F627" s="92"/>
      <c r="G627" s="92"/>
      <c r="H627" s="92"/>
      <c r="I627" s="92"/>
      <c r="J627" s="92"/>
      <c r="K627" s="92"/>
      <c r="L627" s="92"/>
    </row>
    <row r="628" spans="6:12" s="87" customFormat="1">
      <c r="F628" s="92"/>
      <c r="G628" s="92"/>
      <c r="H628" s="92"/>
      <c r="I628" s="92"/>
      <c r="J628" s="92"/>
      <c r="K628" s="92"/>
      <c r="L628" s="92"/>
    </row>
    <row r="629" spans="6:12" s="87" customFormat="1">
      <c r="F629" s="92"/>
      <c r="G629" s="92"/>
      <c r="H629" s="92"/>
      <c r="I629" s="92"/>
      <c r="J629" s="92"/>
      <c r="K629" s="92"/>
      <c r="L629" s="92"/>
    </row>
    <row r="630" spans="6:12" s="87" customFormat="1">
      <c r="F630" s="92"/>
      <c r="G630" s="92"/>
      <c r="H630" s="92"/>
      <c r="I630" s="92"/>
      <c r="J630" s="92"/>
      <c r="K630" s="92"/>
      <c r="L630" s="92"/>
    </row>
    <row r="631" spans="6:12" s="87" customFormat="1">
      <c r="F631" s="92"/>
      <c r="G631" s="92"/>
      <c r="H631" s="92"/>
      <c r="I631" s="92"/>
      <c r="J631" s="92"/>
      <c r="K631" s="92"/>
      <c r="L631" s="92"/>
    </row>
    <row r="632" spans="6:12" s="87" customFormat="1">
      <c r="F632" s="92"/>
      <c r="G632" s="92"/>
      <c r="H632" s="92"/>
      <c r="I632" s="92"/>
      <c r="J632" s="92"/>
      <c r="K632" s="92"/>
      <c r="L632" s="92"/>
    </row>
    <row r="633" spans="6:12" s="87" customFormat="1">
      <c r="F633" s="92"/>
      <c r="G633" s="92"/>
      <c r="H633" s="92"/>
      <c r="I633" s="92"/>
      <c r="J633" s="92"/>
      <c r="K633" s="92"/>
      <c r="L633" s="92"/>
    </row>
    <row r="634" spans="6:12" s="87" customFormat="1">
      <c r="F634" s="92"/>
      <c r="G634" s="92"/>
      <c r="H634" s="92"/>
      <c r="I634" s="92"/>
      <c r="J634" s="92"/>
      <c r="K634" s="92"/>
      <c r="L634" s="92"/>
    </row>
    <row r="635" spans="6:12" s="87" customFormat="1">
      <c r="F635" s="92"/>
      <c r="G635" s="92"/>
      <c r="H635" s="92"/>
      <c r="I635" s="92"/>
      <c r="J635" s="92"/>
      <c r="K635" s="92"/>
      <c r="L635" s="92"/>
    </row>
    <row r="636" spans="6:12" s="87" customFormat="1">
      <c r="F636" s="92"/>
      <c r="G636" s="92"/>
      <c r="H636" s="92"/>
      <c r="I636" s="92"/>
      <c r="J636" s="92"/>
      <c r="K636" s="92"/>
      <c r="L636" s="92"/>
    </row>
    <row r="637" spans="6:12" s="87" customFormat="1">
      <c r="F637" s="92"/>
      <c r="G637" s="92"/>
      <c r="H637" s="92"/>
      <c r="I637" s="92"/>
      <c r="J637" s="92"/>
      <c r="K637" s="92"/>
      <c r="L637" s="92"/>
    </row>
    <row r="638" spans="6:12" s="87" customFormat="1">
      <c r="F638" s="92"/>
      <c r="G638" s="92"/>
      <c r="H638" s="92"/>
      <c r="I638" s="92"/>
      <c r="J638" s="92"/>
      <c r="K638" s="92"/>
      <c r="L638" s="92"/>
    </row>
    <row r="639" spans="6:12" s="87" customFormat="1">
      <c r="F639" s="92"/>
      <c r="G639" s="92"/>
      <c r="H639" s="92"/>
      <c r="I639" s="92"/>
      <c r="J639" s="92"/>
      <c r="K639" s="92"/>
      <c r="L639" s="92"/>
    </row>
    <row r="640" spans="6:12" s="87" customFormat="1">
      <c r="F640" s="92"/>
      <c r="G640" s="92"/>
      <c r="H640" s="92"/>
      <c r="I640" s="92"/>
      <c r="J640" s="92"/>
      <c r="K640" s="92"/>
      <c r="L640" s="92"/>
    </row>
    <row r="641" spans="6:12" s="87" customFormat="1">
      <c r="F641" s="92"/>
      <c r="G641" s="92"/>
      <c r="H641" s="92"/>
      <c r="I641" s="92"/>
      <c r="J641" s="92"/>
      <c r="K641" s="92"/>
      <c r="L641" s="92"/>
    </row>
    <row r="642" spans="6:12" s="87" customFormat="1">
      <c r="F642" s="92"/>
      <c r="G642" s="92"/>
      <c r="H642" s="92"/>
      <c r="I642" s="92"/>
      <c r="J642" s="92"/>
      <c r="K642" s="92"/>
      <c r="L642" s="92"/>
    </row>
    <row r="643" spans="6:12" s="87" customFormat="1">
      <c r="F643" s="92"/>
      <c r="G643" s="92"/>
      <c r="H643" s="92"/>
      <c r="I643" s="92"/>
      <c r="J643" s="92"/>
      <c r="K643" s="92"/>
      <c r="L643" s="92"/>
    </row>
    <row r="644" spans="6:12" s="87" customFormat="1">
      <c r="F644" s="92"/>
      <c r="G644" s="92"/>
      <c r="H644" s="92"/>
      <c r="I644" s="92"/>
      <c r="J644" s="92"/>
      <c r="K644" s="92"/>
      <c r="L644" s="92"/>
    </row>
    <row r="645" spans="6:12" s="87" customFormat="1">
      <c r="F645" s="92"/>
      <c r="G645" s="92"/>
      <c r="H645" s="92"/>
      <c r="I645" s="92"/>
      <c r="J645" s="92"/>
      <c r="K645" s="92"/>
      <c r="L645" s="92"/>
    </row>
    <row r="646" spans="6:12" s="87" customFormat="1">
      <c r="F646" s="92"/>
      <c r="G646" s="92"/>
      <c r="H646" s="92"/>
      <c r="I646" s="92"/>
      <c r="J646" s="92"/>
      <c r="K646" s="92"/>
      <c r="L646" s="92"/>
    </row>
    <row r="647" spans="6:12" s="87" customFormat="1">
      <c r="F647" s="92"/>
      <c r="G647" s="92"/>
      <c r="H647" s="92"/>
      <c r="I647" s="92"/>
      <c r="J647" s="92"/>
      <c r="K647" s="92"/>
      <c r="L647" s="92"/>
    </row>
    <row r="648" spans="6:12" s="87" customFormat="1">
      <c r="F648" s="92"/>
      <c r="G648" s="92"/>
      <c r="H648" s="92"/>
      <c r="I648" s="92"/>
      <c r="J648" s="92"/>
      <c r="K648" s="92"/>
      <c r="L648" s="92"/>
    </row>
    <row r="649" spans="6:12" s="87" customFormat="1">
      <c r="F649" s="92"/>
      <c r="G649" s="92"/>
      <c r="H649" s="92"/>
      <c r="I649" s="92"/>
      <c r="J649" s="92"/>
      <c r="K649" s="92"/>
      <c r="L649" s="92"/>
    </row>
    <row r="650" spans="6:12" s="87" customFormat="1">
      <c r="F650" s="92"/>
      <c r="G650" s="92"/>
      <c r="H650" s="92"/>
      <c r="I650" s="92"/>
      <c r="J650" s="92"/>
      <c r="K650" s="92"/>
      <c r="L650" s="92"/>
    </row>
    <row r="651" spans="6:12" s="87" customFormat="1">
      <c r="F651" s="92"/>
      <c r="G651" s="92"/>
      <c r="H651" s="92"/>
      <c r="I651" s="92"/>
      <c r="J651" s="92"/>
      <c r="K651" s="92"/>
      <c r="L651" s="92"/>
    </row>
    <row r="652" spans="6:12" s="87" customFormat="1">
      <c r="F652" s="92"/>
      <c r="G652" s="92"/>
      <c r="H652" s="92"/>
      <c r="I652" s="92"/>
      <c r="J652" s="92"/>
      <c r="K652" s="92"/>
      <c r="L652" s="92"/>
    </row>
    <row r="653" spans="6:12" s="87" customFormat="1">
      <c r="F653" s="92"/>
      <c r="G653" s="92"/>
      <c r="H653" s="92"/>
      <c r="I653" s="92"/>
      <c r="J653" s="92"/>
      <c r="K653" s="92"/>
      <c r="L653" s="92"/>
    </row>
    <row r="654" spans="6:12" s="87" customFormat="1">
      <c r="F654" s="92"/>
      <c r="G654" s="92"/>
      <c r="H654" s="92"/>
      <c r="I654" s="92"/>
      <c r="J654" s="92"/>
      <c r="K654" s="92"/>
      <c r="L654" s="92"/>
    </row>
    <row r="655" spans="6:12" s="87" customFormat="1">
      <c r="F655" s="92"/>
      <c r="G655" s="92"/>
      <c r="H655" s="92"/>
      <c r="I655" s="92"/>
      <c r="J655" s="92"/>
      <c r="K655" s="92"/>
      <c r="L655" s="92"/>
    </row>
    <row r="656" spans="6:12" s="87" customFormat="1">
      <c r="F656" s="92"/>
      <c r="G656" s="92"/>
      <c r="H656" s="92"/>
      <c r="I656" s="92"/>
      <c r="J656" s="92"/>
      <c r="K656" s="92"/>
      <c r="L656" s="92"/>
    </row>
    <row r="657" spans="6:12" s="87" customFormat="1">
      <c r="F657" s="92"/>
      <c r="G657" s="92"/>
      <c r="H657" s="92"/>
      <c r="I657" s="92"/>
      <c r="J657" s="92"/>
      <c r="K657" s="92"/>
      <c r="L657" s="92"/>
    </row>
    <row r="658" spans="6:12" s="87" customFormat="1">
      <c r="F658" s="92"/>
      <c r="G658" s="92"/>
      <c r="H658" s="92"/>
      <c r="I658" s="92"/>
      <c r="J658" s="92"/>
      <c r="K658" s="92"/>
      <c r="L658" s="92"/>
    </row>
    <row r="659" spans="6:12" s="87" customFormat="1">
      <c r="F659" s="92"/>
      <c r="G659" s="92"/>
      <c r="H659" s="92"/>
      <c r="I659" s="92"/>
      <c r="J659" s="92"/>
      <c r="K659" s="92"/>
      <c r="L659" s="92"/>
    </row>
    <row r="660" spans="6:12" s="87" customFormat="1">
      <c r="F660" s="92"/>
      <c r="G660" s="92"/>
      <c r="H660" s="92"/>
      <c r="I660" s="92"/>
      <c r="J660" s="92"/>
      <c r="K660" s="92"/>
      <c r="L660" s="92"/>
    </row>
    <row r="661" spans="6:12" s="87" customFormat="1">
      <c r="F661" s="92"/>
      <c r="G661" s="92"/>
      <c r="H661" s="92"/>
      <c r="I661" s="92"/>
      <c r="J661" s="92"/>
      <c r="K661" s="92"/>
      <c r="L661" s="92"/>
    </row>
    <row r="662" spans="6:12" s="87" customFormat="1">
      <c r="F662" s="92"/>
      <c r="G662" s="92"/>
      <c r="H662" s="92"/>
      <c r="I662" s="92"/>
      <c r="J662" s="92"/>
      <c r="K662" s="92"/>
      <c r="L662" s="92"/>
    </row>
    <row r="663" spans="6:12" s="87" customFormat="1">
      <c r="F663" s="92"/>
      <c r="G663" s="92"/>
      <c r="H663" s="92"/>
      <c r="I663" s="92"/>
      <c r="J663" s="92"/>
      <c r="K663" s="92"/>
      <c r="L663" s="92"/>
    </row>
    <row r="664" spans="6:12" s="87" customFormat="1">
      <c r="F664" s="92"/>
      <c r="G664" s="92"/>
      <c r="H664" s="92"/>
      <c r="I664" s="92"/>
      <c r="J664" s="92"/>
      <c r="K664" s="92"/>
      <c r="L664" s="92"/>
    </row>
    <row r="665" spans="6:12" s="87" customFormat="1">
      <c r="F665" s="92"/>
      <c r="G665" s="92"/>
      <c r="H665" s="92"/>
      <c r="I665" s="92"/>
      <c r="J665" s="92"/>
      <c r="K665" s="92"/>
      <c r="L665" s="92"/>
    </row>
    <row r="666" spans="6:12" s="87" customFormat="1">
      <c r="F666" s="92"/>
      <c r="G666" s="92"/>
      <c r="H666" s="92"/>
      <c r="I666" s="92"/>
      <c r="J666" s="92"/>
      <c r="K666" s="92"/>
      <c r="L666" s="92"/>
    </row>
    <row r="667" spans="6:12" s="87" customFormat="1">
      <c r="F667" s="92"/>
      <c r="G667" s="92"/>
      <c r="H667" s="92"/>
      <c r="I667" s="92"/>
      <c r="J667" s="92"/>
      <c r="K667" s="92"/>
      <c r="L667" s="92"/>
    </row>
    <row r="668" spans="6:12" s="87" customFormat="1">
      <c r="F668" s="92"/>
      <c r="G668" s="92"/>
      <c r="H668" s="92"/>
      <c r="I668" s="92"/>
      <c r="J668" s="92"/>
      <c r="K668" s="92"/>
      <c r="L668" s="92"/>
    </row>
    <row r="669" spans="6:12" s="87" customFormat="1">
      <c r="F669" s="92"/>
      <c r="G669" s="92"/>
      <c r="H669" s="92"/>
      <c r="I669" s="92"/>
      <c r="J669" s="92"/>
      <c r="K669" s="92"/>
      <c r="L669" s="92"/>
    </row>
    <row r="670" spans="6:12" s="87" customFormat="1">
      <c r="F670" s="92"/>
      <c r="G670" s="92"/>
      <c r="H670" s="92"/>
      <c r="I670" s="92"/>
      <c r="J670" s="92"/>
      <c r="K670" s="92"/>
      <c r="L670" s="92"/>
    </row>
    <row r="671" spans="6:12" s="87" customFormat="1">
      <c r="F671" s="92"/>
      <c r="G671" s="92"/>
      <c r="H671" s="92"/>
      <c r="I671" s="92"/>
      <c r="J671" s="92"/>
      <c r="K671" s="92"/>
      <c r="L671" s="92"/>
    </row>
    <row r="672" spans="6:12" s="87" customFormat="1">
      <c r="F672" s="92"/>
      <c r="G672" s="92"/>
      <c r="H672" s="92"/>
      <c r="I672" s="92"/>
      <c r="J672" s="92"/>
      <c r="K672" s="92"/>
      <c r="L672" s="92"/>
    </row>
    <row r="673" spans="6:12" s="87" customFormat="1">
      <c r="F673" s="92"/>
      <c r="G673" s="92"/>
      <c r="H673" s="92"/>
      <c r="I673" s="92"/>
      <c r="J673" s="92"/>
      <c r="K673" s="92"/>
      <c r="L673" s="92"/>
    </row>
    <row r="674" spans="6:12" s="87" customFormat="1">
      <c r="F674" s="92"/>
      <c r="G674" s="92"/>
      <c r="H674" s="92"/>
      <c r="I674" s="92"/>
      <c r="J674" s="92"/>
      <c r="K674" s="92"/>
      <c r="L674" s="92"/>
    </row>
    <row r="675" spans="6:12" s="87" customFormat="1">
      <c r="F675" s="92"/>
      <c r="G675" s="92"/>
      <c r="H675" s="92"/>
      <c r="I675" s="92"/>
      <c r="J675" s="92"/>
      <c r="K675" s="92"/>
      <c r="L675" s="92"/>
    </row>
    <row r="676" spans="6:12" s="87" customFormat="1">
      <c r="F676" s="92"/>
      <c r="G676" s="92"/>
      <c r="H676" s="92"/>
      <c r="I676" s="92"/>
      <c r="J676" s="92"/>
      <c r="K676" s="92"/>
      <c r="L676" s="92"/>
    </row>
    <row r="677" spans="6:12" s="87" customFormat="1">
      <c r="F677" s="92"/>
      <c r="G677" s="92"/>
      <c r="H677" s="92"/>
      <c r="I677" s="92"/>
      <c r="J677" s="92"/>
      <c r="K677" s="92"/>
      <c r="L677" s="92"/>
    </row>
    <row r="678" spans="6:12" s="87" customFormat="1">
      <c r="F678" s="92"/>
      <c r="G678" s="92"/>
      <c r="H678" s="92"/>
      <c r="I678" s="92"/>
      <c r="J678" s="92"/>
      <c r="K678" s="92"/>
      <c r="L678" s="92"/>
    </row>
    <row r="679" spans="6:12" s="87" customFormat="1">
      <c r="F679" s="92"/>
      <c r="G679" s="92"/>
      <c r="H679" s="92"/>
      <c r="I679" s="92"/>
      <c r="J679" s="92"/>
      <c r="K679" s="92"/>
      <c r="L679" s="92"/>
    </row>
    <row r="680" spans="6:12" s="87" customFormat="1">
      <c r="F680" s="92"/>
      <c r="G680" s="92"/>
      <c r="H680" s="92"/>
      <c r="I680" s="92"/>
      <c r="J680" s="92"/>
      <c r="K680" s="92"/>
      <c r="L680" s="92"/>
    </row>
    <row r="681" spans="6:12" s="87" customFormat="1">
      <c r="F681" s="92"/>
      <c r="G681" s="92"/>
      <c r="H681" s="92"/>
      <c r="I681" s="92"/>
      <c r="J681" s="92"/>
      <c r="K681" s="92"/>
      <c r="L681" s="92"/>
    </row>
    <row r="682" spans="6:12" s="87" customFormat="1">
      <c r="F682" s="92"/>
      <c r="G682" s="92"/>
      <c r="H682" s="92"/>
      <c r="I682" s="92"/>
      <c r="J682" s="92"/>
      <c r="K682" s="92"/>
      <c r="L682" s="92"/>
    </row>
    <row r="683" spans="6:12" s="87" customFormat="1">
      <c r="F683" s="92"/>
      <c r="G683" s="92"/>
      <c r="H683" s="92"/>
      <c r="I683" s="92"/>
      <c r="J683" s="92"/>
      <c r="K683" s="92"/>
      <c r="L683" s="92"/>
    </row>
    <row r="684" spans="6:12" s="87" customFormat="1">
      <c r="F684" s="92"/>
      <c r="G684" s="92"/>
      <c r="H684" s="92"/>
      <c r="I684" s="92"/>
      <c r="J684" s="92"/>
      <c r="K684" s="92"/>
      <c r="L684" s="92"/>
    </row>
    <row r="685" spans="6:12" s="87" customFormat="1">
      <c r="F685" s="92"/>
      <c r="G685" s="92"/>
      <c r="H685" s="92"/>
      <c r="I685" s="92"/>
      <c r="J685" s="92"/>
      <c r="K685" s="92"/>
      <c r="L685" s="92"/>
    </row>
    <row r="686" spans="6:12" s="87" customFormat="1">
      <c r="F686" s="92"/>
      <c r="G686" s="92"/>
      <c r="H686" s="92"/>
      <c r="I686" s="92"/>
      <c r="J686" s="92"/>
      <c r="K686" s="92"/>
      <c r="L686" s="92"/>
    </row>
    <row r="687" spans="6:12" s="87" customFormat="1">
      <c r="F687" s="92"/>
      <c r="G687" s="92"/>
      <c r="H687" s="92"/>
      <c r="I687" s="92"/>
      <c r="J687" s="92"/>
      <c r="K687" s="92"/>
      <c r="L687" s="92"/>
    </row>
    <row r="688" spans="6:12" s="87" customFormat="1">
      <c r="F688" s="92"/>
      <c r="G688" s="92"/>
      <c r="H688" s="92"/>
      <c r="I688" s="92"/>
      <c r="J688" s="92"/>
      <c r="K688" s="92"/>
      <c r="L688" s="92"/>
    </row>
    <row r="689" spans="6:12" s="87" customFormat="1">
      <c r="F689" s="92"/>
      <c r="G689" s="92"/>
      <c r="H689" s="92"/>
      <c r="I689" s="92"/>
      <c r="J689" s="92"/>
      <c r="K689" s="92"/>
      <c r="L689" s="92"/>
    </row>
    <row r="690" spans="6:12" s="87" customFormat="1">
      <c r="F690" s="92"/>
      <c r="G690" s="92"/>
      <c r="H690" s="92"/>
      <c r="I690" s="92"/>
      <c r="J690" s="92"/>
      <c r="K690" s="92"/>
      <c r="L690" s="92"/>
    </row>
    <row r="691" spans="6:12" s="87" customFormat="1">
      <c r="F691" s="92"/>
      <c r="G691" s="92"/>
      <c r="H691" s="92"/>
      <c r="I691" s="92"/>
      <c r="J691" s="92"/>
      <c r="K691" s="92"/>
      <c r="L691" s="92"/>
    </row>
    <row r="692" spans="6:12" s="87" customFormat="1">
      <c r="F692" s="92"/>
      <c r="G692" s="92"/>
      <c r="H692" s="92"/>
      <c r="I692" s="92"/>
      <c r="J692" s="92"/>
      <c r="K692" s="92"/>
      <c r="L692" s="92"/>
    </row>
    <row r="693" spans="6:12" s="87" customFormat="1">
      <c r="F693" s="92"/>
      <c r="G693" s="92"/>
      <c r="H693" s="92"/>
      <c r="I693" s="92"/>
      <c r="J693" s="92"/>
      <c r="K693" s="92"/>
      <c r="L693" s="92"/>
    </row>
    <row r="694" spans="6:12" s="87" customFormat="1">
      <c r="F694" s="92"/>
      <c r="G694" s="92"/>
      <c r="H694" s="92"/>
      <c r="I694" s="92"/>
      <c r="J694" s="92"/>
      <c r="K694" s="92"/>
      <c r="L694" s="92"/>
    </row>
    <row r="695" spans="6:12" s="87" customFormat="1">
      <c r="F695" s="92"/>
      <c r="G695" s="92"/>
      <c r="H695" s="92"/>
      <c r="I695" s="92"/>
      <c r="J695" s="92"/>
      <c r="K695" s="92"/>
      <c r="L695" s="92"/>
    </row>
    <row r="696" spans="6:12" s="87" customFormat="1">
      <c r="F696" s="92"/>
      <c r="G696" s="92"/>
      <c r="H696" s="92"/>
      <c r="I696" s="92"/>
      <c r="J696" s="92"/>
      <c r="K696" s="92"/>
      <c r="L696" s="92"/>
    </row>
    <row r="697" spans="6:12" s="87" customFormat="1">
      <c r="F697" s="92"/>
      <c r="G697" s="92"/>
      <c r="H697" s="92"/>
      <c r="I697" s="92"/>
      <c r="J697" s="92"/>
      <c r="K697" s="92"/>
      <c r="L697" s="92"/>
    </row>
    <row r="698" spans="6:12" s="87" customFormat="1">
      <c r="F698" s="92"/>
      <c r="G698" s="92"/>
      <c r="H698" s="92"/>
      <c r="I698" s="92"/>
      <c r="J698" s="92"/>
      <c r="K698" s="92"/>
      <c r="L698" s="92"/>
    </row>
    <row r="699" spans="6:12" s="87" customFormat="1">
      <c r="F699" s="92"/>
      <c r="G699" s="92"/>
      <c r="H699" s="92"/>
      <c r="I699" s="92"/>
      <c r="J699" s="92"/>
      <c r="K699" s="92"/>
      <c r="L699" s="92"/>
    </row>
    <row r="700" spans="6:12" s="87" customFormat="1">
      <c r="F700" s="92"/>
      <c r="G700" s="92"/>
      <c r="H700" s="92"/>
      <c r="I700" s="92"/>
      <c r="J700" s="92"/>
      <c r="K700" s="92"/>
      <c r="L700" s="92"/>
    </row>
    <row r="701" spans="6:12" s="87" customFormat="1">
      <c r="F701" s="92"/>
      <c r="G701" s="92"/>
      <c r="H701" s="92"/>
      <c r="I701" s="92"/>
      <c r="J701" s="92"/>
      <c r="K701" s="92"/>
      <c r="L701" s="92"/>
    </row>
    <row r="702" spans="6:12" s="87" customFormat="1">
      <c r="F702" s="92"/>
      <c r="G702" s="92"/>
      <c r="H702" s="92"/>
      <c r="I702" s="92"/>
      <c r="J702" s="92"/>
      <c r="K702" s="92"/>
      <c r="L702" s="92"/>
    </row>
    <row r="703" spans="6:12" s="87" customFormat="1">
      <c r="F703" s="92"/>
      <c r="G703" s="92"/>
      <c r="H703" s="92"/>
      <c r="I703" s="92"/>
      <c r="J703" s="92"/>
      <c r="K703" s="92"/>
      <c r="L703" s="92"/>
    </row>
    <row r="704" spans="6:12" s="87" customFormat="1">
      <c r="F704" s="92"/>
      <c r="G704" s="92"/>
      <c r="H704" s="92"/>
      <c r="I704" s="92"/>
      <c r="J704" s="92"/>
      <c r="K704" s="92"/>
      <c r="L704" s="92"/>
    </row>
    <row r="705" spans="6:12" s="87" customFormat="1">
      <c r="F705" s="92"/>
      <c r="G705" s="92"/>
      <c r="H705" s="92"/>
      <c r="I705" s="92"/>
      <c r="J705" s="92"/>
      <c r="K705" s="92"/>
      <c r="L705" s="92"/>
    </row>
    <row r="706" spans="6:12" s="87" customFormat="1">
      <c r="F706" s="92"/>
      <c r="G706" s="92"/>
      <c r="H706" s="92"/>
      <c r="I706" s="92"/>
      <c r="J706" s="92"/>
      <c r="K706" s="92"/>
      <c r="L706" s="92"/>
    </row>
    <row r="707" spans="6:12" s="87" customFormat="1">
      <c r="F707" s="92"/>
      <c r="G707" s="92"/>
      <c r="H707" s="92"/>
      <c r="I707" s="92"/>
      <c r="J707" s="92"/>
      <c r="K707" s="92"/>
      <c r="L707" s="92"/>
    </row>
    <row r="708" spans="6:12" s="87" customFormat="1">
      <c r="F708" s="92"/>
      <c r="G708" s="92"/>
      <c r="H708" s="92"/>
      <c r="I708" s="92"/>
      <c r="J708" s="92"/>
      <c r="K708" s="92"/>
      <c r="L708" s="92"/>
    </row>
    <row r="709" spans="6:12" s="87" customFormat="1">
      <c r="F709" s="92"/>
      <c r="G709" s="92"/>
      <c r="H709" s="92"/>
      <c r="I709" s="92"/>
      <c r="J709" s="92"/>
      <c r="K709" s="92"/>
      <c r="L709" s="92"/>
    </row>
    <row r="710" spans="6:12" s="87" customFormat="1">
      <c r="F710" s="92"/>
      <c r="G710" s="92"/>
      <c r="H710" s="92"/>
      <c r="I710" s="92"/>
      <c r="J710" s="92"/>
      <c r="K710" s="92"/>
      <c r="L710" s="92"/>
    </row>
    <row r="711" spans="6:12" s="87" customFormat="1">
      <c r="F711" s="92"/>
      <c r="G711" s="92"/>
      <c r="H711" s="92"/>
      <c r="I711" s="92"/>
      <c r="J711" s="92"/>
      <c r="K711" s="92"/>
      <c r="L711" s="92"/>
    </row>
    <row r="712" spans="6:12" s="87" customFormat="1">
      <c r="F712" s="92"/>
      <c r="G712" s="92"/>
      <c r="H712" s="92"/>
      <c r="I712" s="92"/>
      <c r="J712" s="92"/>
      <c r="K712" s="92"/>
      <c r="L712" s="92"/>
    </row>
    <row r="713" spans="6:12" s="87" customFormat="1">
      <c r="F713" s="92"/>
      <c r="G713" s="92"/>
      <c r="H713" s="92"/>
      <c r="I713" s="92"/>
      <c r="J713" s="92"/>
      <c r="K713" s="92"/>
      <c r="L713" s="92"/>
    </row>
    <row r="714" spans="6:12" s="87" customFormat="1">
      <c r="F714" s="92"/>
      <c r="G714" s="92"/>
      <c r="H714" s="92"/>
      <c r="I714" s="92"/>
      <c r="J714" s="92"/>
      <c r="K714" s="92"/>
      <c r="L714" s="92"/>
    </row>
    <row r="715" spans="6:12" s="87" customFormat="1">
      <c r="F715" s="92"/>
      <c r="G715" s="92"/>
      <c r="H715" s="92"/>
      <c r="I715" s="92"/>
      <c r="J715" s="92"/>
      <c r="K715" s="92"/>
      <c r="L715" s="92"/>
    </row>
    <row r="716" spans="6:12" s="87" customFormat="1">
      <c r="F716" s="92"/>
      <c r="G716" s="92"/>
      <c r="H716" s="92"/>
      <c r="I716" s="92"/>
      <c r="J716" s="92"/>
      <c r="K716" s="92"/>
      <c r="L716" s="92"/>
    </row>
    <row r="717" spans="6:12" s="87" customFormat="1">
      <c r="F717" s="92"/>
      <c r="G717" s="92"/>
      <c r="H717" s="92"/>
      <c r="I717" s="92"/>
      <c r="J717" s="92"/>
      <c r="K717" s="92"/>
      <c r="L717" s="92"/>
    </row>
    <row r="718" spans="6:12" s="87" customFormat="1">
      <c r="F718" s="92"/>
      <c r="G718" s="92"/>
      <c r="H718" s="92"/>
      <c r="I718" s="92"/>
      <c r="J718" s="92"/>
      <c r="K718" s="92"/>
      <c r="L718" s="92"/>
    </row>
    <row r="719" spans="6:12" s="87" customFormat="1">
      <c r="F719" s="92"/>
      <c r="G719" s="92"/>
      <c r="H719" s="92"/>
      <c r="I719" s="92"/>
      <c r="J719" s="92"/>
      <c r="K719" s="92"/>
      <c r="L719" s="92"/>
    </row>
    <row r="720" spans="6:12" s="87" customFormat="1">
      <c r="F720" s="92"/>
      <c r="G720" s="92"/>
      <c r="H720" s="92"/>
      <c r="I720" s="92"/>
      <c r="J720" s="92"/>
      <c r="K720" s="92"/>
      <c r="L720" s="92"/>
    </row>
    <row r="721" spans="6:12" s="87" customFormat="1">
      <c r="F721" s="92"/>
      <c r="G721" s="92"/>
      <c r="H721" s="92"/>
      <c r="I721" s="92"/>
      <c r="J721" s="92"/>
      <c r="K721" s="92"/>
      <c r="L721" s="92"/>
    </row>
    <row r="722" spans="6:12" s="87" customFormat="1">
      <c r="F722" s="92"/>
      <c r="G722" s="92"/>
      <c r="H722" s="92"/>
      <c r="I722" s="92"/>
      <c r="J722" s="92"/>
      <c r="K722" s="92"/>
      <c r="L722" s="92"/>
    </row>
    <row r="723" spans="6:12" s="87" customFormat="1">
      <c r="F723" s="92"/>
      <c r="G723" s="92"/>
      <c r="H723" s="92"/>
      <c r="I723" s="92"/>
      <c r="J723" s="92"/>
      <c r="K723" s="92"/>
      <c r="L723" s="92"/>
    </row>
    <row r="724" spans="6:12" s="87" customFormat="1">
      <c r="F724" s="92"/>
      <c r="G724" s="92"/>
      <c r="H724" s="92"/>
      <c r="I724" s="92"/>
      <c r="J724" s="92"/>
      <c r="K724" s="92"/>
      <c r="L724" s="92"/>
    </row>
    <row r="725" spans="6:12" s="87" customFormat="1">
      <c r="F725" s="92"/>
      <c r="G725" s="92"/>
      <c r="H725" s="92"/>
      <c r="I725" s="92"/>
      <c r="J725" s="92"/>
      <c r="K725" s="92"/>
      <c r="L725" s="92"/>
    </row>
    <row r="726" spans="6:12" s="87" customFormat="1">
      <c r="F726" s="92"/>
      <c r="G726" s="92"/>
      <c r="H726" s="92"/>
      <c r="I726" s="92"/>
      <c r="J726" s="92"/>
      <c r="K726" s="92"/>
      <c r="L726" s="92"/>
    </row>
    <row r="727" spans="6:12" s="87" customFormat="1">
      <c r="F727" s="92"/>
      <c r="G727" s="92"/>
      <c r="H727" s="92"/>
      <c r="I727" s="92"/>
      <c r="J727" s="92"/>
      <c r="K727" s="92"/>
      <c r="L727" s="92"/>
    </row>
    <row r="728" spans="6:12" s="87" customFormat="1">
      <c r="F728" s="92"/>
      <c r="G728" s="92"/>
      <c r="H728" s="92"/>
      <c r="I728" s="92"/>
      <c r="J728" s="92"/>
      <c r="K728" s="92"/>
      <c r="L728" s="92"/>
    </row>
    <row r="729" spans="6:12" s="87" customFormat="1">
      <c r="F729" s="92"/>
      <c r="G729" s="92"/>
      <c r="H729" s="92"/>
      <c r="I729" s="92"/>
      <c r="J729" s="92"/>
      <c r="K729" s="92"/>
      <c r="L729" s="92"/>
    </row>
    <row r="730" spans="6:12" s="87" customFormat="1">
      <c r="F730" s="92"/>
      <c r="G730" s="92"/>
      <c r="H730" s="92"/>
      <c r="I730" s="92"/>
      <c r="J730" s="92"/>
      <c r="K730" s="92"/>
      <c r="L730" s="92"/>
    </row>
    <row r="731" spans="6:12" s="87" customFormat="1">
      <c r="F731" s="92"/>
      <c r="G731" s="92"/>
      <c r="H731" s="92"/>
      <c r="I731" s="92"/>
      <c r="J731" s="92"/>
      <c r="K731" s="92"/>
      <c r="L731" s="92"/>
    </row>
    <row r="732" spans="6:12" s="87" customFormat="1">
      <c r="F732" s="92"/>
      <c r="G732" s="92"/>
      <c r="H732" s="92"/>
      <c r="I732" s="92"/>
      <c r="J732" s="92"/>
      <c r="K732" s="92"/>
      <c r="L732" s="92"/>
    </row>
    <row r="733" spans="6:12" s="87" customFormat="1">
      <c r="F733" s="92"/>
      <c r="G733" s="92"/>
      <c r="H733" s="92"/>
      <c r="I733" s="92"/>
      <c r="J733" s="92"/>
      <c r="K733" s="92"/>
      <c r="L733" s="92"/>
    </row>
    <row r="734" spans="6:12" s="87" customFormat="1">
      <c r="F734" s="92"/>
      <c r="G734" s="92"/>
      <c r="H734" s="92"/>
      <c r="I734" s="92"/>
      <c r="J734" s="92"/>
      <c r="K734" s="92"/>
      <c r="L734" s="92"/>
    </row>
    <row r="735" spans="6:12" s="87" customFormat="1">
      <c r="F735" s="92"/>
      <c r="G735" s="92"/>
      <c r="H735" s="92"/>
      <c r="I735" s="92"/>
      <c r="J735" s="92"/>
      <c r="K735" s="92"/>
      <c r="L735" s="92"/>
    </row>
    <row r="736" spans="6:12" s="87" customFormat="1">
      <c r="F736" s="92"/>
      <c r="G736" s="92"/>
      <c r="H736" s="92"/>
      <c r="I736" s="92"/>
      <c r="J736" s="92"/>
      <c r="K736" s="92"/>
      <c r="L736" s="92"/>
    </row>
    <row r="737" spans="6:12" s="87" customFormat="1">
      <c r="F737" s="92"/>
      <c r="G737" s="92"/>
      <c r="H737" s="92"/>
      <c r="I737" s="92"/>
      <c r="J737" s="92"/>
      <c r="K737" s="92"/>
      <c r="L737" s="92"/>
    </row>
    <row r="738" spans="6:12" s="87" customFormat="1">
      <c r="F738" s="92"/>
      <c r="G738" s="92"/>
      <c r="H738" s="92"/>
      <c r="I738" s="92"/>
      <c r="J738" s="92"/>
      <c r="K738" s="92"/>
      <c r="L738" s="92"/>
    </row>
    <row r="739" spans="6:12" s="87" customFormat="1">
      <c r="F739" s="92"/>
      <c r="G739" s="92"/>
      <c r="H739" s="92"/>
      <c r="I739" s="92"/>
      <c r="J739" s="92"/>
      <c r="K739" s="92"/>
      <c r="L739" s="92"/>
    </row>
    <row r="740" spans="6:12" s="87" customFormat="1">
      <c r="F740" s="92"/>
      <c r="G740" s="92"/>
      <c r="H740" s="92"/>
      <c r="I740" s="92"/>
      <c r="J740" s="92"/>
      <c r="K740" s="92"/>
      <c r="L740" s="92"/>
    </row>
    <row r="741" spans="6:12" s="87" customFormat="1">
      <c r="F741" s="92"/>
      <c r="G741" s="92"/>
      <c r="H741" s="92"/>
      <c r="I741" s="92"/>
      <c r="J741" s="92"/>
      <c r="K741" s="92"/>
      <c r="L741" s="92"/>
    </row>
    <row r="742" spans="6:12" s="87" customFormat="1">
      <c r="F742" s="92"/>
      <c r="G742" s="92"/>
      <c r="H742" s="92"/>
      <c r="I742" s="92"/>
      <c r="J742" s="92"/>
      <c r="K742" s="92"/>
      <c r="L742" s="92"/>
    </row>
    <row r="743" spans="6:12" s="87" customFormat="1">
      <c r="F743" s="92"/>
      <c r="G743" s="92"/>
      <c r="H743" s="92"/>
      <c r="I743" s="92"/>
      <c r="J743" s="92"/>
      <c r="K743" s="92"/>
      <c r="L743" s="92"/>
    </row>
    <row r="744" spans="6:12" s="87" customFormat="1">
      <c r="F744" s="92"/>
      <c r="G744" s="92"/>
      <c r="H744" s="92"/>
      <c r="I744" s="92"/>
      <c r="J744" s="92"/>
      <c r="K744" s="92"/>
      <c r="L744" s="92"/>
    </row>
    <row r="745" spans="6:12" s="87" customFormat="1">
      <c r="F745" s="92"/>
      <c r="G745" s="92"/>
      <c r="H745" s="92"/>
      <c r="I745" s="92"/>
      <c r="J745" s="92"/>
      <c r="K745" s="92"/>
      <c r="L745" s="92"/>
    </row>
    <row r="746" spans="6:12" s="87" customFormat="1">
      <c r="F746" s="92"/>
      <c r="G746" s="92"/>
      <c r="H746" s="92"/>
      <c r="I746" s="92"/>
      <c r="J746" s="92"/>
      <c r="K746" s="92"/>
      <c r="L746" s="92"/>
    </row>
    <row r="747" spans="6:12" s="87" customFormat="1">
      <c r="F747" s="92"/>
      <c r="G747" s="92"/>
      <c r="H747" s="92"/>
      <c r="I747" s="92"/>
      <c r="J747" s="92"/>
      <c r="K747" s="92"/>
      <c r="L747" s="92"/>
    </row>
    <row r="748" spans="6:12" s="87" customFormat="1">
      <c r="F748" s="92"/>
      <c r="G748" s="92"/>
      <c r="H748" s="92"/>
      <c r="I748" s="92"/>
      <c r="J748" s="92"/>
      <c r="K748" s="92"/>
      <c r="L748" s="92"/>
    </row>
    <row r="749" spans="6:12" s="87" customFormat="1">
      <c r="F749" s="92"/>
      <c r="G749" s="92"/>
      <c r="H749" s="92"/>
      <c r="I749" s="92"/>
      <c r="J749" s="92"/>
      <c r="K749" s="92"/>
      <c r="L749" s="92"/>
    </row>
    <row r="750" spans="6:12" s="87" customFormat="1">
      <c r="F750" s="92"/>
      <c r="G750" s="92"/>
      <c r="H750" s="92"/>
      <c r="I750" s="92"/>
      <c r="J750" s="92"/>
      <c r="K750" s="92"/>
      <c r="L750" s="92"/>
    </row>
    <row r="751" spans="6:12" s="87" customFormat="1">
      <c r="F751" s="92"/>
      <c r="G751" s="92"/>
      <c r="H751" s="92"/>
      <c r="I751" s="92"/>
      <c r="J751" s="92"/>
      <c r="K751" s="92"/>
      <c r="L751" s="92"/>
    </row>
    <row r="752" spans="6:12" s="87" customFormat="1">
      <c r="F752" s="92"/>
      <c r="G752" s="92"/>
      <c r="H752" s="92"/>
      <c r="I752" s="92"/>
      <c r="J752" s="92"/>
      <c r="K752" s="92"/>
      <c r="L752" s="92"/>
    </row>
    <row r="753" spans="6:12" s="87" customFormat="1">
      <c r="F753" s="92"/>
      <c r="G753" s="92"/>
      <c r="H753" s="92"/>
      <c r="I753" s="92"/>
      <c r="J753" s="92"/>
      <c r="K753" s="92"/>
      <c r="L753" s="92"/>
    </row>
    <row r="754" spans="6:12" s="87" customFormat="1">
      <c r="F754" s="92"/>
      <c r="G754" s="92"/>
      <c r="H754" s="92"/>
      <c r="I754" s="92"/>
      <c r="J754" s="92"/>
      <c r="K754" s="92"/>
      <c r="L754" s="92"/>
    </row>
    <row r="755" spans="6:12" s="87" customFormat="1">
      <c r="F755" s="92"/>
      <c r="G755" s="92"/>
      <c r="H755" s="92"/>
      <c r="I755" s="92"/>
      <c r="J755" s="92"/>
      <c r="K755" s="92"/>
      <c r="L755" s="92"/>
    </row>
    <row r="756" spans="6:12" s="87" customFormat="1">
      <c r="F756" s="92"/>
      <c r="G756" s="92"/>
      <c r="H756" s="92"/>
      <c r="I756" s="92"/>
      <c r="J756" s="92"/>
      <c r="K756" s="92"/>
      <c r="L756" s="92"/>
    </row>
    <row r="757" spans="6:12" s="87" customFormat="1">
      <c r="F757" s="92"/>
      <c r="G757" s="92"/>
      <c r="H757" s="92"/>
      <c r="I757" s="92"/>
      <c r="J757" s="92"/>
      <c r="K757" s="92"/>
      <c r="L757" s="92"/>
    </row>
    <row r="758" spans="6:12" s="87" customFormat="1">
      <c r="F758" s="92"/>
      <c r="G758" s="92"/>
      <c r="H758" s="92"/>
      <c r="I758" s="92"/>
      <c r="J758" s="92"/>
      <c r="K758" s="92"/>
      <c r="L758" s="92"/>
    </row>
    <row r="759" spans="6:12" s="87" customFormat="1">
      <c r="F759" s="92"/>
      <c r="G759" s="92"/>
      <c r="H759" s="92"/>
      <c r="I759" s="92"/>
      <c r="J759" s="92"/>
      <c r="K759" s="92"/>
      <c r="L759" s="92"/>
    </row>
    <row r="760" spans="6:12" s="87" customFormat="1">
      <c r="F760" s="92"/>
      <c r="G760" s="92"/>
      <c r="H760" s="92"/>
      <c r="I760" s="92"/>
      <c r="J760" s="92"/>
      <c r="K760" s="92"/>
      <c r="L760" s="92"/>
    </row>
    <row r="761" spans="6:12" s="87" customFormat="1">
      <c r="F761" s="92"/>
      <c r="G761" s="92"/>
      <c r="H761" s="92"/>
      <c r="I761" s="92"/>
      <c r="J761" s="92"/>
      <c r="K761" s="92"/>
      <c r="L761" s="92"/>
    </row>
    <row r="762" spans="6:12" s="87" customFormat="1">
      <c r="F762" s="92"/>
      <c r="G762" s="92"/>
      <c r="H762" s="92"/>
      <c r="I762" s="92"/>
      <c r="J762" s="92"/>
      <c r="K762" s="92"/>
      <c r="L762" s="92"/>
    </row>
    <row r="763" spans="6:12" s="87" customFormat="1">
      <c r="F763" s="92"/>
      <c r="G763" s="92"/>
      <c r="H763" s="92"/>
      <c r="I763" s="92"/>
      <c r="J763" s="92"/>
      <c r="K763" s="92"/>
      <c r="L763" s="92"/>
    </row>
    <row r="764" spans="6:12" s="87" customFormat="1">
      <c r="F764" s="92"/>
      <c r="G764" s="92"/>
      <c r="H764" s="92"/>
      <c r="I764" s="92"/>
      <c r="J764" s="92"/>
      <c r="K764" s="92"/>
      <c r="L764" s="92"/>
    </row>
    <row r="765" spans="6:12" s="87" customFormat="1">
      <c r="F765" s="92"/>
      <c r="G765" s="92"/>
      <c r="H765" s="92"/>
      <c r="I765" s="92"/>
      <c r="J765" s="92"/>
      <c r="K765" s="92"/>
      <c r="L765" s="92"/>
    </row>
    <row r="766" spans="6:12" s="87" customFormat="1">
      <c r="F766" s="92"/>
      <c r="G766" s="92"/>
      <c r="H766" s="92"/>
      <c r="I766" s="92"/>
      <c r="J766" s="92"/>
      <c r="K766" s="92"/>
      <c r="L766" s="92"/>
    </row>
    <row r="767" spans="6:12" s="87" customFormat="1">
      <c r="F767" s="92"/>
      <c r="G767" s="92"/>
      <c r="H767" s="92"/>
      <c r="I767" s="92"/>
      <c r="J767" s="92"/>
      <c r="K767" s="92"/>
      <c r="L767" s="92"/>
    </row>
    <row r="768" spans="6:12" s="87" customFormat="1">
      <c r="F768" s="92"/>
      <c r="G768" s="92"/>
      <c r="H768" s="92"/>
      <c r="I768" s="92"/>
      <c r="J768" s="92"/>
      <c r="K768" s="92"/>
      <c r="L768" s="92"/>
    </row>
    <row r="769" spans="6:12" s="87" customFormat="1">
      <c r="F769" s="92"/>
      <c r="G769" s="92"/>
      <c r="H769" s="92"/>
      <c r="I769" s="92"/>
      <c r="J769" s="92"/>
      <c r="K769" s="92"/>
      <c r="L769" s="92"/>
    </row>
    <row r="770" spans="6:12" s="87" customFormat="1">
      <c r="F770" s="92"/>
      <c r="G770" s="92"/>
      <c r="H770" s="92"/>
      <c r="I770" s="92"/>
      <c r="J770" s="92"/>
      <c r="K770" s="92"/>
      <c r="L770" s="92"/>
    </row>
    <row r="771" spans="6:12" s="87" customFormat="1">
      <c r="F771" s="92"/>
      <c r="G771" s="92"/>
      <c r="H771" s="92"/>
      <c r="I771" s="92"/>
      <c r="J771" s="92"/>
      <c r="K771" s="92"/>
      <c r="L771" s="92"/>
    </row>
    <row r="772" spans="6:12" s="87" customFormat="1">
      <c r="F772" s="92"/>
      <c r="G772" s="92"/>
      <c r="H772" s="92"/>
      <c r="I772" s="92"/>
      <c r="J772" s="92"/>
      <c r="K772" s="92"/>
      <c r="L772" s="92"/>
    </row>
    <row r="773" spans="6:12" s="87" customFormat="1">
      <c r="F773" s="92"/>
      <c r="G773" s="92"/>
      <c r="H773" s="92"/>
      <c r="I773" s="92"/>
      <c r="J773" s="92"/>
      <c r="K773" s="92"/>
      <c r="L773" s="92"/>
    </row>
    <row r="774" spans="6:12" s="87" customFormat="1">
      <c r="F774" s="92"/>
      <c r="G774" s="92"/>
      <c r="H774" s="92"/>
      <c r="I774" s="92"/>
      <c r="J774" s="92"/>
      <c r="K774" s="92"/>
      <c r="L774" s="92"/>
    </row>
    <row r="775" spans="6:12" s="87" customFormat="1">
      <c r="F775" s="92"/>
      <c r="G775" s="92"/>
      <c r="H775" s="92"/>
      <c r="I775" s="92"/>
      <c r="J775" s="92"/>
      <c r="K775" s="92"/>
      <c r="L775" s="92"/>
    </row>
    <row r="776" spans="6:12" s="87" customFormat="1">
      <c r="F776" s="92"/>
      <c r="G776" s="92"/>
      <c r="H776" s="92"/>
      <c r="I776" s="92"/>
      <c r="J776" s="92"/>
      <c r="K776" s="92"/>
      <c r="L776" s="92"/>
    </row>
    <row r="777" spans="6:12" s="87" customFormat="1">
      <c r="F777" s="92"/>
      <c r="G777" s="92"/>
      <c r="H777" s="92"/>
      <c r="I777" s="92"/>
      <c r="J777" s="92"/>
      <c r="K777" s="92"/>
      <c r="L777" s="92"/>
    </row>
    <row r="778" spans="6:12" s="87" customFormat="1">
      <c r="F778" s="92"/>
      <c r="G778" s="92"/>
      <c r="H778" s="92"/>
      <c r="I778" s="92"/>
      <c r="J778" s="92"/>
      <c r="K778" s="92"/>
      <c r="L778" s="92"/>
    </row>
    <row r="779" spans="6:12" s="87" customFormat="1">
      <c r="F779" s="92"/>
      <c r="G779" s="92"/>
      <c r="H779" s="92"/>
      <c r="I779" s="92"/>
      <c r="J779" s="92"/>
      <c r="K779" s="92"/>
      <c r="L779" s="92"/>
    </row>
    <row r="780" spans="6:12" s="87" customFormat="1">
      <c r="F780" s="92"/>
      <c r="G780" s="92"/>
      <c r="H780" s="92"/>
      <c r="I780" s="92"/>
      <c r="J780" s="92"/>
      <c r="K780" s="92"/>
      <c r="L780" s="92"/>
    </row>
    <row r="781" spans="6:12" s="87" customFormat="1">
      <c r="F781" s="92"/>
      <c r="G781" s="92"/>
      <c r="H781" s="92"/>
      <c r="I781" s="92"/>
      <c r="J781" s="92"/>
      <c r="K781" s="92"/>
      <c r="L781" s="92"/>
    </row>
    <row r="782" spans="6:12" s="87" customFormat="1">
      <c r="F782" s="92"/>
      <c r="G782" s="92"/>
      <c r="H782" s="92"/>
      <c r="I782" s="92"/>
      <c r="J782" s="92"/>
      <c r="K782" s="92"/>
      <c r="L782" s="92"/>
    </row>
    <row r="783" spans="6:12" s="87" customFormat="1">
      <c r="F783" s="92"/>
      <c r="G783" s="92"/>
      <c r="H783" s="92"/>
      <c r="I783" s="92"/>
      <c r="J783" s="92"/>
      <c r="K783" s="92"/>
      <c r="L783" s="92"/>
    </row>
    <row r="784" spans="6:12" s="87" customFormat="1">
      <c r="F784" s="92"/>
      <c r="G784" s="92"/>
      <c r="H784" s="92"/>
      <c r="I784" s="92"/>
      <c r="J784" s="92"/>
      <c r="K784" s="92"/>
      <c r="L784" s="92"/>
    </row>
    <row r="785" spans="6:12" s="87" customFormat="1">
      <c r="F785" s="92"/>
      <c r="G785" s="92"/>
      <c r="H785" s="92"/>
      <c r="I785" s="92"/>
      <c r="J785" s="92"/>
      <c r="K785" s="92"/>
      <c r="L785" s="92"/>
    </row>
    <row r="786" spans="6:12" s="87" customFormat="1">
      <c r="F786" s="92"/>
      <c r="G786" s="92"/>
      <c r="H786" s="92"/>
      <c r="I786" s="92"/>
      <c r="J786" s="92"/>
      <c r="K786" s="92"/>
      <c r="L786" s="92"/>
    </row>
    <row r="787" spans="6:12" s="87" customFormat="1">
      <c r="F787" s="92"/>
      <c r="G787" s="92"/>
      <c r="H787" s="92"/>
      <c r="I787" s="92"/>
      <c r="J787" s="92"/>
      <c r="K787" s="92"/>
      <c r="L787" s="92"/>
    </row>
    <row r="788" spans="6:12" s="87" customFormat="1">
      <c r="F788" s="92"/>
      <c r="G788" s="92"/>
      <c r="H788" s="92"/>
      <c r="I788" s="92"/>
      <c r="J788" s="92"/>
      <c r="K788" s="92"/>
      <c r="L788" s="92"/>
    </row>
    <row r="789" spans="6:12" s="87" customFormat="1">
      <c r="F789" s="92"/>
      <c r="G789" s="92"/>
      <c r="H789" s="92"/>
      <c r="I789" s="92"/>
      <c r="J789" s="92"/>
      <c r="K789" s="92"/>
      <c r="L789" s="92"/>
    </row>
    <row r="790" spans="6:12" s="87" customFormat="1">
      <c r="F790" s="92"/>
      <c r="G790" s="92"/>
      <c r="H790" s="92"/>
      <c r="I790" s="92"/>
      <c r="J790" s="92"/>
      <c r="K790" s="92"/>
      <c r="L790" s="92"/>
    </row>
    <row r="791" spans="6:12" s="87" customFormat="1">
      <c r="F791" s="92"/>
      <c r="G791" s="92"/>
      <c r="H791" s="92"/>
      <c r="I791" s="92"/>
      <c r="J791" s="92"/>
      <c r="K791" s="92"/>
      <c r="L791" s="92"/>
    </row>
    <row r="792" spans="6:12" s="87" customFormat="1">
      <c r="F792" s="92"/>
      <c r="G792" s="92"/>
      <c r="H792" s="92"/>
      <c r="I792" s="92"/>
      <c r="J792" s="92"/>
      <c r="K792" s="92"/>
      <c r="L792" s="92"/>
    </row>
    <row r="793" spans="6:12" s="87" customFormat="1">
      <c r="F793" s="92"/>
      <c r="G793" s="92"/>
      <c r="H793" s="92"/>
      <c r="I793" s="92"/>
      <c r="J793" s="92"/>
      <c r="K793" s="92"/>
      <c r="L793" s="92"/>
    </row>
    <row r="794" spans="6:12" s="87" customFormat="1">
      <c r="F794" s="92"/>
      <c r="G794" s="92"/>
      <c r="H794" s="92"/>
      <c r="I794" s="92"/>
      <c r="J794" s="92"/>
      <c r="K794" s="92"/>
      <c r="L794" s="92"/>
    </row>
    <row r="795" spans="6:12" s="87" customFormat="1">
      <c r="F795" s="92"/>
      <c r="G795" s="92"/>
      <c r="H795" s="92"/>
      <c r="I795" s="92"/>
      <c r="J795" s="92"/>
      <c r="K795" s="92"/>
      <c r="L795" s="92"/>
    </row>
    <row r="796" spans="6:12" s="87" customFormat="1">
      <c r="F796" s="92"/>
      <c r="G796" s="92"/>
      <c r="H796" s="92"/>
      <c r="I796" s="92"/>
      <c r="J796" s="92"/>
      <c r="K796" s="92"/>
      <c r="L796" s="92"/>
    </row>
    <row r="797" spans="6:12" s="87" customFormat="1">
      <c r="F797" s="92"/>
      <c r="G797" s="92"/>
      <c r="H797" s="92"/>
      <c r="I797" s="92"/>
      <c r="J797" s="92"/>
      <c r="K797" s="92"/>
      <c r="L797" s="92"/>
    </row>
    <row r="798" spans="6:12" s="87" customFormat="1">
      <c r="F798" s="92"/>
      <c r="G798" s="92"/>
      <c r="H798" s="92"/>
      <c r="I798" s="92"/>
      <c r="J798" s="92"/>
      <c r="K798" s="92"/>
      <c r="L798" s="92"/>
    </row>
    <row r="799" spans="6:12" s="87" customFormat="1">
      <c r="F799" s="92"/>
      <c r="G799" s="92"/>
      <c r="H799" s="92"/>
      <c r="I799" s="92"/>
      <c r="J799" s="92"/>
      <c r="K799" s="92"/>
      <c r="L799" s="92"/>
    </row>
    <row r="800" spans="6:12" s="87" customFormat="1">
      <c r="F800" s="92"/>
      <c r="G800" s="92"/>
      <c r="H800" s="92"/>
      <c r="I800" s="92"/>
      <c r="J800" s="92"/>
      <c r="K800" s="92"/>
      <c r="L800" s="92"/>
    </row>
    <row r="801" spans="6:12" s="87" customFormat="1">
      <c r="F801" s="92"/>
      <c r="G801" s="92"/>
      <c r="H801" s="92"/>
      <c r="I801" s="92"/>
      <c r="J801" s="92"/>
      <c r="K801" s="92"/>
      <c r="L801" s="92"/>
    </row>
    <row r="802" spans="6:12" s="87" customFormat="1">
      <c r="F802" s="92"/>
      <c r="G802" s="92"/>
      <c r="H802" s="92"/>
      <c r="I802" s="92"/>
      <c r="J802" s="92"/>
      <c r="K802" s="92"/>
      <c r="L802" s="92"/>
    </row>
    <row r="803" spans="6:12" s="87" customFormat="1">
      <c r="F803" s="92"/>
      <c r="G803" s="92"/>
      <c r="H803" s="92"/>
      <c r="I803" s="92"/>
      <c r="J803" s="92"/>
      <c r="K803" s="92"/>
      <c r="L803" s="92"/>
    </row>
    <row r="804" spans="6:12" s="87" customFormat="1">
      <c r="F804" s="92"/>
      <c r="G804" s="92"/>
      <c r="H804" s="92"/>
      <c r="I804" s="92"/>
      <c r="J804" s="92"/>
      <c r="K804" s="92"/>
      <c r="L804" s="92"/>
    </row>
    <row r="805" spans="6:12" s="87" customFormat="1">
      <c r="F805" s="92"/>
      <c r="G805" s="92"/>
      <c r="H805" s="92"/>
      <c r="I805" s="92"/>
      <c r="J805" s="92"/>
      <c r="K805" s="92"/>
      <c r="L805" s="92"/>
    </row>
    <row r="806" spans="6:12" s="87" customFormat="1">
      <c r="F806" s="92"/>
      <c r="G806" s="92"/>
      <c r="H806" s="92"/>
      <c r="I806" s="92"/>
      <c r="J806" s="92"/>
      <c r="K806" s="92"/>
      <c r="L806" s="92"/>
    </row>
    <row r="807" spans="6:12" s="87" customFormat="1">
      <c r="F807" s="92"/>
      <c r="G807" s="92"/>
      <c r="H807" s="92"/>
      <c r="I807" s="92"/>
      <c r="J807" s="92"/>
      <c r="K807" s="92"/>
      <c r="L807" s="92"/>
    </row>
    <row r="808" spans="6:12" s="87" customFormat="1">
      <c r="F808" s="92"/>
      <c r="G808" s="92"/>
      <c r="H808" s="92"/>
      <c r="I808" s="92"/>
      <c r="J808" s="92"/>
      <c r="K808" s="92"/>
      <c r="L808" s="92"/>
    </row>
    <row r="809" spans="6:12" s="87" customFormat="1">
      <c r="F809" s="92"/>
      <c r="G809" s="92"/>
      <c r="H809" s="92"/>
      <c r="I809" s="92"/>
      <c r="J809" s="92"/>
      <c r="K809" s="92"/>
      <c r="L809" s="92"/>
    </row>
    <row r="810" spans="6:12" s="87" customFormat="1">
      <c r="F810" s="92"/>
      <c r="G810" s="92"/>
      <c r="H810" s="92"/>
      <c r="I810" s="92"/>
      <c r="J810" s="92"/>
      <c r="K810" s="92"/>
      <c r="L810" s="92"/>
    </row>
    <row r="811" spans="6:12" s="87" customFormat="1">
      <c r="F811" s="92"/>
      <c r="G811" s="92"/>
      <c r="H811" s="92"/>
      <c r="I811" s="92"/>
      <c r="J811" s="92"/>
      <c r="K811" s="92"/>
      <c r="L811" s="92"/>
    </row>
    <row r="812" spans="6:12" s="87" customFormat="1">
      <c r="F812" s="92"/>
      <c r="G812" s="92"/>
      <c r="H812" s="92"/>
      <c r="I812" s="92"/>
      <c r="J812" s="92"/>
      <c r="K812" s="92"/>
      <c r="L812" s="92"/>
    </row>
    <row r="813" spans="6:12" s="87" customFormat="1">
      <c r="F813" s="92"/>
      <c r="G813" s="92"/>
      <c r="H813" s="92"/>
      <c r="I813" s="92"/>
      <c r="J813" s="92"/>
      <c r="K813" s="92"/>
      <c r="L813" s="92"/>
    </row>
    <row r="814" spans="6:12" s="87" customFormat="1">
      <c r="F814" s="92"/>
      <c r="G814" s="92"/>
      <c r="H814" s="92"/>
      <c r="I814" s="92"/>
      <c r="J814" s="92"/>
      <c r="K814" s="92"/>
      <c r="L814" s="92"/>
    </row>
    <row r="815" spans="6:12" s="87" customFormat="1">
      <c r="F815" s="92"/>
      <c r="G815" s="92"/>
      <c r="H815" s="92"/>
      <c r="I815" s="92"/>
      <c r="J815" s="92"/>
      <c r="K815" s="92"/>
      <c r="L815" s="92"/>
    </row>
    <row r="816" spans="6:12" s="87" customFormat="1">
      <c r="F816" s="92"/>
      <c r="G816" s="92"/>
      <c r="H816" s="92"/>
      <c r="I816" s="92"/>
      <c r="J816" s="92"/>
      <c r="K816" s="92"/>
      <c r="L816" s="92"/>
    </row>
    <row r="817" spans="6:12" s="87" customFormat="1">
      <c r="F817" s="92"/>
      <c r="G817" s="92"/>
      <c r="H817" s="92"/>
      <c r="I817" s="92"/>
      <c r="J817" s="92"/>
      <c r="K817" s="92"/>
      <c r="L817" s="92"/>
    </row>
    <row r="818" spans="6:12" s="87" customFormat="1">
      <c r="F818" s="92"/>
      <c r="G818" s="92"/>
      <c r="H818" s="92"/>
      <c r="I818" s="92"/>
      <c r="J818" s="92"/>
      <c r="K818" s="92"/>
      <c r="L818" s="92"/>
    </row>
    <row r="819" spans="6:12" s="87" customFormat="1">
      <c r="F819" s="92"/>
      <c r="G819" s="92"/>
      <c r="H819" s="92"/>
      <c r="I819" s="92"/>
      <c r="J819" s="92"/>
      <c r="K819" s="92"/>
      <c r="L819" s="92"/>
    </row>
    <row r="820" spans="6:12" s="87" customFormat="1">
      <c r="F820" s="92"/>
      <c r="G820" s="92"/>
      <c r="H820" s="92"/>
      <c r="I820" s="92"/>
      <c r="J820" s="92"/>
      <c r="K820" s="92"/>
      <c r="L820" s="92"/>
    </row>
    <row r="821" spans="6:12" s="87" customFormat="1">
      <c r="F821" s="92"/>
      <c r="G821" s="92"/>
      <c r="H821" s="92"/>
      <c r="I821" s="92"/>
      <c r="J821" s="92"/>
      <c r="K821" s="92"/>
      <c r="L821" s="92"/>
    </row>
    <row r="822" spans="6:12" s="87" customFormat="1">
      <c r="F822" s="92"/>
      <c r="G822" s="92"/>
      <c r="H822" s="92"/>
      <c r="I822" s="92"/>
      <c r="J822" s="92"/>
      <c r="K822" s="92"/>
      <c r="L822" s="92"/>
    </row>
    <row r="823" spans="6:12" s="87" customFormat="1">
      <c r="F823" s="92"/>
      <c r="G823" s="92"/>
      <c r="H823" s="92"/>
      <c r="I823" s="92"/>
      <c r="J823" s="92"/>
      <c r="K823" s="92"/>
      <c r="L823" s="92"/>
    </row>
    <row r="824" spans="6:12" s="87" customFormat="1">
      <c r="F824" s="92"/>
      <c r="G824" s="92"/>
      <c r="H824" s="92"/>
      <c r="I824" s="92"/>
      <c r="J824" s="92"/>
      <c r="K824" s="92"/>
      <c r="L824" s="92"/>
    </row>
    <row r="825" spans="6:12" s="87" customFormat="1">
      <c r="F825" s="92"/>
      <c r="G825" s="92"/>
      <c r="H825" s="92"/>
      <c r="I825" s="92"/>
      <c r="J825" s="92"/>
      <c r="K825" s="92"/>
      <c r="L825" s="92"/>
    </row>
    <row r="826" spans="6:12" s="87" customFormat="1">
      <c r="F826" s="92"/>
      <c r="G826" s="92"/>
      <c r="H826" s="92"/>
      <c r="I826" s="92"/>
      <c r="J826" s="92"/>
      <c r="K826" s="92"/>
      <c r="L826" s="92"/>
    </row>
    <row r="827" spans="6:12" s="87" customFormat="1">
      <c r="F827" s="92"/>
      <c r="G827" s="92"/>
      <c r="H827" s="92"/>
      <c r="I827" s="92"/>
      <c r="J827" s="92"/>
      <c r="K827" s="92"/>
      <c r="L827" s="92"/>
    </row>
    <row r="828" spans="6:12" s="87" customFormat="1">
      <c r="F828" s="92"/>
      <c r="G828" s="92"/>
      <c r="H828" s="92"/>
      <c r="I828" s="92"/>
      <c r="J828" s="92"/>
      <c r="K828" s="92"/>
      <c r="L828" s="92"/>
    </row>
    <row r="829" spans="6:12" s="87" customFormat="1">
      <c r="F829" s="92"/>
      <c r="G829" s="92"/>
      <c r="H829" s="92"/>
      <c r="I829" s="92"/>
      <c r="J829" s="92"/>
      <c r="K829" s="92"/>
      <c r="L829" s="92"/>
    </row>
    <row r="830" spans="6:12" s="87" customFormat="1">
      <c r="F830" s="92"/>
      <c r="G830" s="92"/>
      <c r="H830" s="92"/>
      <c r="I830" s="92"/>
      <c r="J830" s="92"/>
      <c r="K830" s="92"/>
      <c r="L830" s="92"/>
    </row>
    <row r="831" spans="6:12" s="87" customFormat="1">
      <c r="F831" s="92"/>
      <c r="G831" s="92"/>
      <c r="H831" s="92"/>
      <c r="I831" s="92"/>
      <c r="J831" s="92"/>
      <c r="K831" s="92"/>
      <c r="L831" s="92"/>
    </row>
    <row r="832" spans="6:12" s="87" customFormat="1">
      <c r="F832" s="92"/>
      <c r="G832" s="92"/>
      <c r="H832" s="92"/>
      <c r="I832" s="92"/>
      <c r="J832" s="92"/>
      <c r="K832" s="92"/>
      <c r="L832" s="92"/>
    </row>
    <row r="833" spans="6:12" s="87" customFormat="1">
      <c r="F833" s="92"/>
      <c r="G833" s="92"/>
      <c r="H833" s="92"/>
      <c r="I833" s="92"/>
      <c r="J833" s="92"/>
      <c r="K833" s="92"/>
      <c r="L833" s="92"/>
    </row>
    <row r="834" spans="6:12" s="87" customFormat="1">
      <c r="F834" s="92"/>
      <c r="G834" s="92"/>
      <c r="H834" s="92"/>
      <c r="I834" s="92"/>
      <c r="J834" s="92"/>
      <c r="K834" s="92"/>
      <c r="L834" s="92"/>
    </row>
    <row r="835" spans="6:12" s="87" customFormat="1">
      <c r="F835" s="92"/>
      <c r="G835" s="92"/>
      <c r="H835" s="92"/>
      <c r="I835" s="92"/>
      <c r="J835" s="92"/>
      <c r="K835" s="92"/>
      <c r="L835" s="92"/>
    </row>
    <row r="836" spans="6:12" s="87" customFormat="1">
      <c r="F836" s="92"/>
      <c r="G836" s="92"/>
      <c r="H836" s="92"/>
      <c r="I836" s="92"/>
      <c r="J836" s="92"/>
      <c r="K836" s="92"/>
      <c r="L836" s="92"/>
    </row>
    <row r="837" spans="6:12" s="87" customFormat="1">
      <c r="F837" s="92"/>
      <c r="G837" s="92"/>
      <c r="H837" s="92"/>
      <c r="I837" s="92"/>
      <c r="J837" s="92"/>
      <c r="K837" s="92"/>
      <c r="L837" s="92"/>
    </row>
    <row r="838" spans="6:12" s="87" customFormat="1">
      <c r="F838" s="92"/>
      <c r="G838" s="92"/>
      <c r="H838" s="92"/>
      <c r="I838" s="92"/>
      <c r="J838" s="92"/>
      <c r="K838" s="92"/>
      <c r="L838" s="92"/>
    </row>
    <row r="839" spans="6:12" s="87" customFormat="1">
      <c r="F839" s="92"/>
      <c r="G839" s="92"/>
      <c r="H839" s="92"/>
      <c r="I839" s="92"/>
      <c r="J839" s="92"/>
      <c r="K839" s="92"/>
      <c r="L839" s="92"/>
    </row>
    <row r="840" spans="6:12" s="87" customFormat="1">
      <c r="F840" s="92"/>
      <c r="G840" s="92"/>
      <c r="H840" s="92"/>
      <c r="I840" s="92"/>
      <c r="J840" s="92"/>
      <c r="K840" s="92"/>
      <c r="L840" s="92"/>
    </row>
    <row r="841" spans="6:12" s="87" customFormat="1">
      <c r="F841" s="92"/>
      <c r="G841" s="92"/>
      <c r="H841" s="92"/>
      <c r="I841" s="92"/>
      <c r="J841" s="92"/>
      <c r="K841" s="92"/>
      <c r="L841" s="92"/>
    </row>
    <row r="842" spans="6:12" s="87" customFormat="1">
      <c r="F842" s="92"/>
      <c r="G842" s="92"/>
      <c r="H842" s="92"/>
      <c r="I842" s="92"/>
      <c r="J842" s="92"/>
      <c r="K842" s="92"/>
      <c r="L842" s="92"/>
    </row>
    <row r="843" spans="6:12" s="87" customFormat="1">
      <c r="F843" s="92"/>
      <c r="G843" s="92"/>
      <c r="H843" s="92"/>
      <c r="I843" s="92"/>
      <c r="J843" s="92"/>
      <c r="K843" s="92"/>
      <c r="L843" s="92"/>
    </row>
    <row r="844" spans="6:12" s="87" customFormat="1">
      <c r="F844" s="92"/>
      <c r="G844" s="92"/>
      <c r="H844" s="92"/>
      <c r="I844" s="92"/>
      <c r="J844" s="92"/>
      <c r="K844" s="92"/>
      <c r="L844" s="92"/>
    </row>
    <row r="845" spans="6:12" s="87" customFormat="1">
      <c r="F845" s="92"/>
      <c r="G845" s="92"/>
      <c r="H845" s="92"/>
      <c r="I845" s="92"/>
      <c r="J845" s="92"/>
      <c r="K845" s="92"/>
      <c r="L845" s="92"/>
    </row>
    <row r="846" spans="6:12" s="87" customFormat="1">
      <c r="F846" s="92"/>
      <c r="G846" s="92"/>
      <c r="H846" s="92"/>
      <c r="I846" s="92"/>
      <c r="J846" s="92"/>
      <c r="K846" s="92"/>
      <c r="L846" s="92"/>
    </row>
    <row r="847" spans="6:12" s="87" customFormat="1">
      <c r="F847" s="92"/>
      <c r="G847" s="92"/>
      <c r="H847" s="92"/>
      <c r="I847" s="92"/>
      <c r="J847" s="92"/>
      <c r="K847" s="92"/>
      <c r="L847" s="92"/>
    </row>
    <row r="848" spans="6:12" s="87" customFormat="1">
      <c r="F848" s="92"/>
      <c r="G848" s="92"/>
      <c r="H848" s="92"/>
      <c r="I848" s="92"/>
      <c r="J848" s="92"/>
      <c r="K848" s="92"/>
      <c r="L848" s="92"/>
    </row>
    <row r="849" spans="6:12" s="87" customFormat="1">
      <c r="F849" s="92"/>
      <c r="G849" s="92"/>
      <c r="H849" s="92"/>
      <c r="I849" s="92"/>
      <c r="J849" s="92"/>
      <c r="K849" s="92"/>
      <c r="L849" s="92"/>
    </row>
    <row r="850" spans="6:12" s="87" customFormat="1">
      <c r="F850" s="92"/>
      <c r="G850" s="92"/>
      <c r="H850" s="92"/>
      <c r="I850" s="92"/>
      <c r="J850" s="92"/>
      <c r="K850" s="92"/>
      <c r="L850" s="92"/>
    </row>
    <row r="851" spans="6:12" s="87" customFormat="1">
      <c r="F851" s="92"/>
      <c r="G851" s="92"/>
      <c r="H851" s="92"/>
      <c r="I851" s="92"/>
      <c r="J851" s="92"/>
      <c r="K851" s="92"/>
      <c r="L851" s="92"/>
    </row>
    <row r="852" spans="6:12" s="87" customFormat="1">
      <c r="F852" s="92"/>
      <c r="G852" s="92"/>
      <c r="H852" s="92"/>
      <c r="I852" s="92"/>
      <c r="J852" s="92"/>
      <c r="K852" s="92"/>
      <c r="L852" s="92"/>
    </row>
    <row r="853" spans="6:12" s="87" customFormat="1">
      <c r="F853" s="92"/>
      <c r="G853" s="92"/>
      <c r="H853" s="92"/>
      <c r="I853" s="92"/>
      <c r="J853" s="92"/>
      <c r="K853" s="92"/>
      <c r="L853" s="92"/>
    </row>
    <row r="854" spans="6:12" s="87" customFormat="1">
      <c r="F854" s="92"/>
      <c r="G854" s="92"/>
      <c r="H854" s="92"/>
      <c r="I854" s="92"/>
      <c r="J854" s="92"/>
      <c r="K854" s="92"/>
      <c r="L854" s="92"/>
    </row>
    <row r="855" spans="6:12" s="87" customFormat="1">
      <c r="F855" s="92"/>
      <c r="G855" s="92"/>
      <c r="H855" s="92"/>
      <c r="I855" s="92"/>
      <c r="J855" s="92"/>
      <c r="K855" s="92"/>
      <c r="L855" s="92"/>
    </row>
    <row r="856" spans="6:12" s="87" customFormat="1">
      <c r="F856" s="92"/>
      <c r="G856" s="92"/>
      <c r="H856" s="92"/>
      <c r="I856" s="92"/>
      <c r="J856" s="92"/>
      <c r="K856" s="92"/>
      <c r="L856" s="92"/>
    </row>
    <row r="857" spans="6:12" s="87" customFormat="1">
      <c r="F857" s="92"/>
      <c r="G857" s="92"/>
      <c r="H857" s="92"/>
      <c r="I857" s="92"/>
      <c r="J857" s="92"/>
      <c r="K857" s="92"/>
      <c r="L857" s="92"/>
    </row>
    <row r="858" spans="6:12" s="87" customFormat="1">
      <c r="F858" s="92"/>
      <c r="G858" s="92"/>
      <c r="H858" s="92"/>
      <c r="I858" s="92"/>
      <c r="J858" s="92"/>
      <c r="K858" s="92"/>
      <c r="L858" s="92"/>
    </row>
    <row r="859" spans="6:12" s="87" customFormat="1">
      <c r="F859" s="92"/>
      <c r="G859" s="92"/>
      <c r="H859" s="92"/>
      <c r="I859" s="92"/>
      <c r="J859" s="92"/>
      <c r="K859" s="92"/>
      <c r="L859" s="92"/>
    </row>
    <row r="860" spans="6:12" s="87" customFormat="1">
      <c r="F860" s="92"/>
      <c r="G860" s="92"/>
      <c r="H860" s="92"/>
      <c r="I860" s="92"/>
      <c r="J860" s="92"/>
      <c r="K860" s="92"/>
      <c r="L860" s="92"/>
    </row>
    <row r="861" spans="6:12" s="87" customFormat="1">
      <c r="F861" s="92"/>
      <c r="G861" s="92"/>
      <c r="H861" s="92"/>
      <c r="I861" s="92"/>
      <c r="J861" s="92"/>
      <c r="K861" s="92"/>
      <c r="L861" s="92"/>
    </row>
    <row r="862" spans="6:12" s="87" customFormat="1">
      <c r="F862" s="92"/>
      <c r="G862" s="92"/>
      <c r="H862" s="92"/>
      <c r="I862" s="92"/>
      <c r="J862" s="92"/>
      <c r="K862" s="92"/>
      <c r="L862" s="92"/>
    </row>
    <row r="863" spans="6:12" s="87" customFormat="1">
      <c r="F863" s="92"/>
      <c r="G863" s="92"/>
      <c r="H863" s="92"/>
      <c r="I863" s="92"/>
      <c r="J863" s="92"/>
      <c r="K863" s="92"/>
      <c r="L863" s="92"/>
    </row>
    <row r="864" spans="6:12" s="87" customFormat="1">
      <c r="F864" s="92"/>
      <c r="G864" s="92"/>
      <c r="H864" s="92"/>
      <c r="I864" s="92"/>
      <c r="J864" s="92"/>
      <c r="K864" s="92"/>
      <c r="L864" s="92"/>
    </row>
    <row r="865" spans="6:12" s="87" customFormat="1">
      <c r="F865" s="92"/>
      <c r="G865" s="92"/>
      <c r="H865" s="92"/>
      <c r="I865" s="92"/>
      <c r="J865" s="92"/>
      <c r="K865" s="92"/>
      <c r="L865" s="92"/>
    </row>
    <row r="866" spans="6:12" s="87" customFormat="1">
      <c r="F866" s="92"/>
      <c r="G866" s="92"/>
      <c r="H866" s="92"/>
      <c r="I866" s="92"/>
      <c r="J866" s="92"/>
      <c r="K866" s="92"/>
      <c r="L866" s="92"/>
    </row>
    <row r="867" spans="6:12" s="87" customFormat="1">
      <c r="F867" s="92"/>
      <c r="G867" s="92"/>
      <c r="H867" s="92"/>
      <c r="I867" s="92"/>
      <c r="J867" s="92"/>
      <c r="K867" s="92"/>
      <c r="L867" s="92"/>
    </row>
    <row r="868" spans="6:12" s="87" customFormat="1">
      <c r="F868" s="92"/>
      <c r="G868" s="92"/>
      <c r="H868" s="92"/>
      <c r="I868" s="92"/>
      <c r="J868" s="92"/>
      <c r="K868" s="92"/>
      <c r="L868" s="92"/>
    </row>
    <row r="869" spans="6:12" s="87" customFormat="1">
      <c r="F869" s="92"/>
      <c r="G869" s="92"/>
      <c r="H869" s="92"/>
      <c r="I869" s="92"/>
      <c r="J869" s="92"/>
      <c r="K869" s="92"/>
      <c r="L869" s="92"/>
    </row>
    <row r="870" spans="6:12" s="87" customFormat="1">
      <c r="F870" s="92"/>
      <c r="G870" s="92"/>
      <c r="H870" s="92"/>
      <c r="I870" s="92"/>
      <c r="J870" s="92"/>
      <c r="K870" s="92"/>
      <c r="L870" s="92"/>
    </row>
    <row r="871" spans="6:12" s="87" customFormat="1">
      <c r="F871" s="92"/>
      <c r="G871" s="92"/>
      <c r="H871" s="92"/>
      <c r="I871" s="92"/>
      <c r="J871" s="92"/>
      <c r="K871" s="92"/>
      <c r="L871" s="92"/>
    </row>
    <row r="872" spans="6:12" s="87" customFormat="1">
      <c r="F872" s="92"/>
      <c r="G872" s="92"/>
      <c r="H872" s="92"/>
      <c r="I872" s="92"/>
      <c r="J872" s="92"/>
      <c r="K872" s="92"/>
      <c r="L872" s="92"/>
    </row>
    <row r="873" spans="6:12" s="87" customFormat="1">
      <c r="F873" s="92"/>
      <c r="G873" s="92"/>
      <c r="H873" s="92"/>
      <c r="I873" s="92"/>
      <c r="J873" s="92"/>
      <c r="K873" s="92"/>
      <c r="L873" s="92"/>
    </row>
    <row r="874" spans="6:12" s="87" customFormat="1">
      <c r="F874" s="92"/>
      <c r="G874" s="92"/>
      <c r="H874" s="92"/>
      <c r="I874" s="92"/>
      <c r="J874" s="92"/>
      <c r="K874" s="92"/>
      <c r="L874" s="92"/>
    </row>
    <row r="875" spans="6:12" s="87" customFormat="1">
      <c r="F875" s="92"/>
      <c r="G875" s="92"/>
      <c r="H875" s="92"/>
      <c r="I875" s="92"/>
      <c r="J875" s="92"/>
      <c r="K875" s="92"/>
      <c r="L875" s="92"/>
    </row>
    <row r="876" spans="6:12" s="87" customFormat="1">
      <c r="F876" s="92"/>
      <c r="G876" s="92"/>
      <c r="H876" s="92"/>
      <c r="I876" s="92"/>
      <c r="J876" s="92"/>
      <c r="K876" s="92"/>
      <c r="L876" s="92"/>
    </row>
    <row r="877" spans="6:12" s="87" customFormat="1">
      <c r="F877" s="92"/>
      <c r="G877" s="92"/>
      <c r="H877" s="92"/>
      <c r="I877" s="92"/>
      <c r="J877" s="92"/>
      <c r="K877" s="92"/>
      <c r="L877" s="92"/>
    </row>
    <row r="878" spans="6:12" s="87" customFormat="1">
      <c r="F878" s="92"/>
      <c r="G878" s="92"/>
      <c r="H878" s="92"/>
      <c r="I878" s="92"/>
      <c r="J878" s="92"/>
      <c r="K878" s="92"/>
      <c r="L878" s="92"/>
    </row>
    <row r="879" spans="6:12" s="87" customFormat="1">
      <c r="F879" s="92"/>
      <c r="G879" s="92"/>
      <c r="H879" s="92"/>
      <c r="I879" s="92"/>
      <c r="J879" s="92"/>
      <c r="K879" s="92"/>
      <c r="L879" s="92"/>
    </row>
    <row r="880" spans="6:12" s="87" customFormat="1">
      <c r="F880" s="92"/>
      <c r="G880" s="92"/>
      <c r="H880" s="92"/>
      <c r="I880" s="92"/>
      <c r="J880" s="92"/>
      <c r="K880" s="92"/>
      <c r="L880" s="92"/>
    </row>
    <row r="881" spans="6:12" s="87" customFormat="1">
      <c r="F881" s="92"/>
      <c r="G881" s="92"/>
      <c r="H881" s="92"/>
      <c r="I881" s="92"/>
      <c r="J881" s="92"/>
      <c r="K881" s="92"/>
      <c r="L881" s="92"/>
    </row>
    <row r="882" spans="6:12" s="87" customFormat="1">
      <c r="F882" s="92"/>
      <c r="G882" s="92"/>
      <c r="H882" s="92"/>
      <c r="I882" s="92"/>
      <c r="J882" s="92"/>
      <c r="K882" s="92"/>
      <c r="L882" s="92"/>
    </row>
    <row r="883" spans="6:12" s="87" customFormat="1">
      <c r="F883" s="92"/>
      <c r="G883" s="92"/>
      <c r="H883" s="92"/>
      <c r="I883" s="92"/>
      <c r="J883" s="92"/>
      <c r="K883" s="92"/>
      <c r="L883" s="92"/>
    </row>
    <row r="884" spans="6:12" s="87" customFormat="1">
      <c r="F884" s="92"/>
      <c r="G884" s="92"/>
      <c r="H884" s="92"/>
      <c r="I884" s="92"/>
      <c r="J884" s="92"/>
      <c r="K884" s="92"/>
      <c r="L884" s="92"/>
    </row>
    <row r="885" spans="6:12" s="87" customFormat="1">
      <c r="F885" s="92"/>
      <c r="G885" s="92"/>
      <c r="H885" s="92"/>
      <c r="I885" s="92"/>
      <c r="J885" s="92"/>
      <c r="K885" s="92"/>
      <c r="L885" s="92"/>
    </row>
    <row r="886" spans="6:12" s="87" customFormat="1">
      <c r="F886" s="92"/>
      <c r="G886" s="92"/>
      <c r="H886" s="92"/>
      <c r="I886" s="92"/>
      <c r="J886" s="92"/>
      <c r="K886" s="92"/>
      <c r="L886" s="92"/>
    </row>
    <row r="887" spans="6:12" s="87" customFormat="1">
      <c r="F887" s="92"/>
      <c r="G887" s="92"/>
      <c r="H887" s="92"/>
      <c r="I887" s="92"/>
      <c r="J887" s="92"/>
      <c r="K887" s="92"/>
      <c r="L887" s="92"/>
    </row>
    <row r="888" spans="6:12" s="87" customFormat="1">
      <c r="F888" s="92"/>
      <c r="G888" s="92"/>
      <c r="H888" s="92"/>
      <c r="I888" s="92"/>
      <c r="J888" s="92"/>
      <c r="K888" s="92"/>
      <c r="L888" s="92"/>
    </row>
    <row r="889" spans="6:12" s="87" customFormat="1">
      <c r="F889" s="92"/>
      <c r="G889" s="92"/>
      <c r="H889" s="92"/>
      <c r="I889" s="92"/>
      <c r="J889" s="92"/>
      <c r="K889" s="92"/>
      <c r="L889" s="92"/>
    </row>
    <row r="890" spans="6:12" s="87" customFormat="1">
      <c r="F890" s="92"/>
      <c r="G890" s="92"/>
      <c r="H890" s="92"/>
      <c r="I890" s="92"/>
      <c r="J890" s="92"/>
      <c r="K890" s="92"/>
      <c r="L890" s="92"/>
    </row>
    <row r="891" spans="6:12" s="87" customFormat="1">
      <c r="F891" s="92"/>
      <c r="G891" s="92"/>
      <c r="H891" s="92"/>
      <c r="I891" s="92"/>
      <c r="J891" s="92"/>
      <c r="K891" s="92"/>
      <c r="L891" s="92"/>
    </row>
    <row r="892" spans="6:12" s="87" customFormat="1">
      <c r="F892" s="92"/>
      <c r="G892" s="92"/>
      <c r="H892" s="92"/>
      <c r="I892" s="92"/>
      <c r="J892" s="92"/>
      <c r="K892" s="92"/>
      <c r="L892" s="92"/>
    </row>
    <row r="893" spans="6:12" s="87" customFormat="1">
      <c r="F893" s="92"/>
      <c r="G893" s="92"/>
      <c r="H893" s="92"/>
      <c r="I893" s="92"/>
      <c r="J893" s="92"/>
      <c r="K893" s="92"/>
      <c r="L893" s="92"/>
    </row>
    <row r="894" spans="6:12" s="87" customFormat="1">
      <c r="F894" s="92"/>
      <c r="G894" s="92"/>
      <c r="H894" s="92"/>
      <c r="I894" s="92"/>
      <c r="J894" s="92"/>
      <c r="K894" s="92"/>
      <c r="L894" s="92"/>
    </row>
    <row r="895" spans="6:12" s="87" customFormat="1">
      <c r="F895" s="92"/>
      <c r="G895" s="92"/>
      <c r="H895" s="92"/>
      <c r="I895" s="92"/>
      <c r="J895" s="92"/>
      <c r="K895" s="92"/>
      <c r="L895" s="92"/>
    </row>
    <row r="896" spans="6:12" s="87" customFormat="1">
      <c r="F896" s="92"/>
      <c r="G896" s="92"/>
      <c r="H896" s="92"/>
      <c r="I896" s="92"/>
      <c r="J896" s="92"/>
      <c r="K896" s="92"/>
      <c r="L896" s="92"/>
    </row>
    <row r="897" spans="6:12" s="87" customFormat="1">
      <c r="F897" s="92"/>
      <c r="G897" s="92"/>
      <c r="H897" s="92"/>
      <c r="I897" s="92"/>
      <c r="J897" s="92"/>
      <c r="K897" s="92"/>
      <c r="L897" s="92"/>
    </row>
    <row r="898" spans="6:12" s="87" customFormat="1">
      <c r="F898" s="92"/>
      <c r="G898" s="92"/>
      <c r="H898" s="92"/>
      <c r="I898" s="92"/>
      <c r="J898" s="92"/>
      <c r="K898" s="92"/>
      <c r="L898" s="92"/>
    </row>
    <row r="899" spans="6:12" s="87" customFormat="1">
      <c r="F899" s="92"/>
      <c r="G899" s="92"/>
      <c r="H899" s="92"/>
      <c r="I899" s="92"/>
      <c r="J899" s="92"/>
      <c r="K899" s="92"/>
      <c r="L899" s="92"/>
    </row>
    <row r="900" spans="6:12" s="87" customFormat="1">
      <c r="F900" s="92"/>
      <c r="G900" s="92"/>
      <c r="H900" s="92"/>
      <c r="I900" s="92"/>
      <c r="J900" s="92"/>
      <c r="K900" s="92"/>
      <c r="L900" s="92"/>
    </row>
    <row r="901" spans="6:12" s="87" customFormat="1">
      <c r="F901" s="92"/>
      <c r="G901" s="92"/>
      <c r="H901" s="92"/>
      <c r="I901" s="92"/>
      <c r="J901" s="92"/>
      <c r="K901" s="92"/>
      <c r="L901" s="92"/>
    </row>
    <row r="902" spans="6:12" s="87" customFormat="1">
      <c r="F902" s="92"/>
      <c r="G902" s="92"/>
      <c r="H902" s="92"/>
      <c r="I902" s="92"/>
      <c r="J902" s="92"/>
      <c r="K902" s="92"/>
      <c r="L902" s="92"/>
    </row>
    <row r="903" spans="6:12" s="87" customFormat="1">
      <c r="F903" s="92"/>
      <c r="G903" s="92"/>
      <c r="H903" s="92"/>
      <c r="I903" s="92"/>
      <c r="J903" s="92"/>
      <c r="K903" s="92"/>
      <c r="L903" s="92"/>
    </row>
    <row r="904" spans="6:12" s="87" customFormat="1">
      <c r="F904" s="92"/>
      <c r="G904" s="92"/>
      <c r="H904" s="92"/>
      <c r="I904" s="92"/>
      <c r="J904" s="92"/>
      <c r="K904" s="92"/>
      <c r="L904" s="92"/>
    </row>
    <row r="905" spans="6:12" s="87" customFormat="1">
      <c r="F905" s="92"/>
      <c r="G905" s="92"/>
      <c r="H905" s="92"/>
      <c r="I905" s="92"/>
      <c r="J905" s="92"/>
      <c r="K905" s="92"/>
      <c r="L905" s="92"/>
    </row>
    <row r="906" spans="6:12" s="87" customFormat="1">
      <c r="F906" s="92"/>
      <c r="G906" s="92"/>
      <c r="H906" s="92"/>
      <c r="I906" s="92"/>
      <c r="J906" s="92"/>
      <c r="K906" s="92"/>
      <c r="L906" s="92"/>
    </row>
    <row r="907" spans="6:12" s="87" customFormat="1">
      <c r="F907" s="92"/>
      <c r="G907" s="92"/>
      <c r="H907" s="92"/>
      <c r="I907" s="92"/>
      <c r="J907" s="92"/>
      <c r="K907" s="92"/>
      <c r="L907" s="92"/>
    </row>
    <row r="908" spans="6:12" s="87" customFormat="1">
      <c r="F908" s="92"/>
      <c r="G908" s="92"/>
      <c r="H908" s="92"/>
      <c r="I908" s="92"/>
      <c r="J908" s="92"/>
      <c r="K908" s="92"/>
      <c r="L908" s="92"/>
    </row>
    <row r="909" spans="6:12" s="87" customFormat="1">
      <c r="F909" s="92"/>
      <c r="G909" s="92"/>
      <c r="H909" s="92"/>
      <c r="I909" s="92"/>
      <c r="J909" s="92"/>
      <c r="K909" s="92"/>
      <c r="L909" s="92"/>
    </row>
    <row r="910" spans="6:12" s="87" customFormat="1">
      <c r="F910" s="92"/>
      <c r="G910" s="92"/>
      <c r="H910" s="92"/>
      <c r="I910" s="92"/>
      <c r="J910" s="92"/>
      <c r="K910" s="92"/>
      <c r="L910" s="92"/>
    </row>
    <row r="911" spans="6:12" s="87" customFormat="1">
      <c r="F911" s="92"/>
      <c r="G911" s="92"/>
      <c r="H911" s="92"/>
      <c r="I911" s="92"/>
      <c r="J911" s="92"/>
      <c r="K911" s="92"/>
      <c r="L911" s="92"/>
    </row>
    <row r="912" spans="6:12" s="87" customFormat="1">
      <c r="F912" s="92"/>
      <c r="G912" s="92"/>
      <c r="H912" s="92"/>
      <c r="I912" s="92"/>
      <c r="J912" s="92"/>
      <c r="K912" s="92"/>
      <c r="L912" s="92"/>
    </row>
    <row r="913" spans="6:12" s="87" customFormat="1">
      <c r="F913" s="92"/>
      <c r="G913" s="92"/>
      <c r="H913" s="92"/>
      <c r="I913" s="92"/>
      <c r="J913" s="92"/>
      <c r="K913" s="92"/>
      <c r="L913" s="92"/>
    </row>
    <row r="914" spans="6:12" s="87" customFormat="1">
      <c r="F914" s="92"/>
      <c r="G914" s="92"/>
      <c r="H914" s="92"/>
      <c r="I914" s="92"/>
      <c r="J914" s="92"/>
      <c r="K914" s="92"/>
      <c r="L914" s="92"/>
    </row>
    <row r="915" spans="6:12" s="87" customFormat="1">
      <c r="F915" s="92"/>
      <c r="G915" s="92"/>
      <c r="H915" s="92"/>
      <c r="I915" s="92"/>
      <c r="J915" s="92"/>
      <c r="K915" s="92"/>
      <c r="L915" s="92"/>
    </row>
    <row r="916" spans="6:12" s="87" customFormat="1">
      <c r="F916" s="92"/>
      <c r="G916" s="92"/>
      <c r="H916" s="92"/>
      <c r="I916" s="92"/>
      <c r="J916" s="92"/>
      <c r="K916" s="92"/>
      <c r="L916" s="92"/>
    </row>
    <row r="917" spans="6:12" s="87" customFormat="1">
      <c r="F917" s="92"/>
      <c r="G917" s="92"/>
      <c r="H917" s="92"/>
      <c r="I917" s="92"/>
      <c r="J917" s="92"/>
      <c r="K917" s="92"/>
      <c r="L917" s="92"/>
    </row>
    <row r="918" spans="6:12" s="87" customFormat="1">
      <c r="F918" s="92"/>
      <c r="G918" s="92"/>
      <c r="H918" s="92"/>
      <c r="I918" s="92"/>
      <c r="J918" s="92"/>
      <c r="K918" s="92"/>
      <c r="L918" s="92"/>
    </row>
    <row r="919" spans="6:12" s="87" customFormat="1">
      <c r="F919" s="92"/>
      <c r="G919" s="92"/>
      <c r="H919" s="92"/>
      <c r="I919" s="92"/>
      <c r="J919" s="92"/>
      <c r="K919" s="92"/>
      <c r="L919" s="92"/>
    </row>
    <row r="920" spans="6:12" s="87" customFormat="1">
      <c r="F920" s="92"/>
      <c r="G920" s="92"/>
      <c r="H920" s="92"/>
      <c r="I920" s="92"/>
      <c r="J920" s="92"/>
      <c r="K920" s="92"/>
      <c r="L920" s="92"/>
    </row>
    <row r="921" spans="6:12" s="87" customFormat="1">
      <c r="F921" s="92"/>
      <c r="G921" s="92"/>
      <c r="H921" s="92"/>
      <c r="I921" s="92"/>
      <c r="J921" s="92"/>
      <c r="K921" s="92"/>
      <c r="L921" s="92"/>
    </row>
    <row r="922" spans="6:12" s="87" customFormat="1">
      <c r="F922" s="92"/>
      <c r="G922" s="92"/>
      <c r="H922" s="92"/>
      <c r="I922" s="92"/>
      <c r="J922" s="92"/>
      <c r="K922" s="92"/>
      <c r="L922" s="92"/>
    </row>
    <row r="923" spans="6:12" s="87" customFormat="1">
      <c r="F923" s="92"/>
      <c r="G923" s="92"/>
      <c r="H923" s="92"/>
      <c r="I923" s="92"/>
      <c r="J923" s="92"/>
      <c r="K923" s="92"/>
      <c r="L923" s="92"/>
    </row>
    <row r="924" spans="6:12" s="87" customFormat="1">
      <c r="F924" s="92"/>
      <c r="G924" s="92"/>
      <c r="H924" s="92"/>
      <c r="I924" s="92"/>
      <c r="J924" s="92"/>
      <c r="K924" s="92"/>
      <c r="L924" s="92"/>
    </row>
    <row r="925" spans="6:12" s="87" customFormat="1">
      <c r="F925" s="92"/>
      <c r="G925" s="92"/>
      <c r="H925" s="92"/>
      <c r="I925" s="92"/>
      <c r="J925" s="92"/>
      <c r="K925" s="92"/>
      <c r="L925" s="92"/>
    </row>
    <row r="926" spans="6:12" s="87" customFormat="1">
      <c r="F926" s="92"/>
      <c r="G926" s="92"/>
      <c r="H926" s="92"/>
      <c r="I926" s="92"/>
      <c r="J926" s="92"/>
      <c r="K926" s="92"/>
      <c r="L926" s="92"/>
    </row>
    <row r="927" spans="6:12" s="87" customFormat="1">
      <c r="F927" s="92"/>
      <c r="G927" s="92"/>
      <c r="H927" s="92"/>
      <c r="I927" s="92"/>
      <c r="J927" s="92"/>
      <c r="K927" s="92"/>
      <c r="L927" s="92"/>
    </row>
    <row r="928" spans="6:12" s="87" customFormat="1">
      <c r="F928" s="92"/>
      <c r="G928" s="92"/>
      <c r="H928" s="92"/>
      <c r="I928" s="92"/>
      <c r="J928" s="92"/>
      <c r="K928" s="92"/>
      <c r="L928" s="92"/>
    </row>
    <row r="929" spans="6:12" s="87" customFormat="1">
      <c r="F929" s="92"/>
      <c r="G929" s="92"/>
      <c r="H929" s="92"/>
      <c r="I929" s="92"/>
      <c r="J929" s="92"/>
      <c r="K929" s="92"/>
      <c r="L929" s="92"/>
    </row>
    <row r="930" spans="6:12" s="87" customFormat="1">
      <c r="F930" s="92"/>
      <c r="G930" s="92"/>
      <c r="H930" s="92"/>
      <c r="I930" s="92"/>
      <c r="J930" s="92"/>
      <c r="K930" s="92"/>
      <c r="L930" s="92"/>
    </row>
    <row r="931" spans="6:12" s="87" customFormat="1">
      <c r="F931" s="92"/>
      <c r="G931" s="92"/>
      <c r="H931" s="92"/>
      <c r="I931" s="92"/>
      <c r="J931" s="92"/>
      <c r="K931" s="92"/>
      <c r="L931" s="92"/>
    </row>
    <row r="932" spans="6:12" s="87" customFormat="1">
      <c r="F932" s="92"/>
      <c r="G932" s="92"/>
      <c r="H932" s="92"/>
      <c r="I932" s="92"/>
      <c r="J932" s="92"/>
      <c r="K932" s="92"/>
      <c r="L932" s="92"/>
    </row>
    <row r="933" spans="6:12" s="87" customFormat="1">
      <c r="F933" s="92"/>
      <c r="G933" s="92"/>
      <c r="H933" s="92"/>
      <c r="I933" s="92"/>
      <c r="J933" s="92"/>
      <c r="K933" s="92"/>
      <c r="L933" s="92"/>
    </row>
    <row r="934" spans="6:12" s="87" customFormat="1">
      <c r="F934" s="92"/>
      <c r="G934" s="92"/>
      <c r="H934" s="92"/>
      <c r="I934" s="92"/>
      <c r="J934" s="92"/>
      <c r="K934" s="92"/>
      <c r="L934" s="92"/>
    </row>
    <row r="935" spans="6:12" s="87" customFormat="1">
      <c r="F935" s="92"/>
      <c r="G935" s="92"/>
      <c r="H935" s="92"/>
      <c r="I935" s="92"/>
      <c r="J935" s="92"/>
      <c r="K935" s="92"/>
      <c r="L935" s="92"/>
    </row>
    <row r="936" spans="6:12" s="87" customFormat="1">
      <c r="F936" s="92"/>
      <c r="G936" s="92"/>
      <c r="H936" s="92"/>
      <c r="I936" s="92"/>
      <c r="J936" s="92"/>
      <c r="K936" s="92"/>
      <c r="L936" s="92"/>
    </row>
    <row r="937" spans="6:12" s="87" customFormat="1">
      <c r="F937" s="92"/>
      <c r="G937" s="92"/>
      <c r="H937" s="92"/>
      <c r="I937" s="92"/>
      <c r="J937" s="92"/>
      <c r="K937" s="92"/>
      <c r="L937" s="92"/>
    </row>
    <row r="938" spans="6:12" s="87" customFormat="1">
      <c r="F938" s="92"/>
      <c r="G938" s="92"/>
      <c r="H938" s="92"/>
      <c r="I938" s="92"/>
      <c r="J938" s="92"/>
      <c r="K938" s="92"/>
      <c r="L938" s="92"/>
    </row>
    <row r="939" spans="6:12" s="87" customFormat="1">
      <c r="F939" s="92"/>
      <c r="G939" s="92"/>
      <c r="H939" s="92"/>
      <c r="I939" s="92"/>
      <c r="J939" s="92"/>
      <c r="K939" s="92"/>
      <c r="L939" s="92"/>
    </row>
    <row r="940" spans="6:12" s="87" customFormat="1">
      <c r="F940" s="92"/>
      <c r="G940" s="92"/>
      <c r="H940" s="92"/>
      <c r="I940" s="92"/>
      <c r="J940" s="92"/>
      <c r="K940" s="92"/>
      <c r="L940" s="92"/>
    </row>
    <row r="941" spans="6:12" s="87" customFormat="1">
      <c r="F941" s="92"/>
      <c r="G941" s="92"/>
      <c r="H941" s="92"/>
      <c r="I941" s="92"/>
      <c r="J941" s="92"/>
      <c r="K941" s="92"/>
      <c r="L941" s="92"/>
    </row>
    <row r="942" spans="6:12" s="87" customFormat="1">
      <c r="F942" s="92"/>
      <c r="G942" s="92"/>
      <c r="H942" s="92"/>
      <c r="I942" s="92"/>
      <c r="J942" s="92"/>
      <c r="K942" s="92"/>
      <c r="L942" s="92"/>
    </row>
    <row r="943" spans="6:12" s="87" customFormat="1">
      <c r="F943" s="92"/>
      <c r="G943" s="92"/>
      <c r="H943" s="92"/>
      <c r="I943" s="92"/>
      <c r="J943" s="92"/>
      <c r="K943" s="92"/>
      <c r="L943" s="92"/>
    </row>
    <row r="944" spans="6:12" s="87" customFormat="1">
      <c r="F944" s="92"/>
      <c r="G944" s="92"/>
      <c r="H944" s="92"/>
      <c r="I944" s="92"/>
      <c r="J944" s="92"/>
      <c r="K944" s="92"/>
      <c r="L944" s="92"/>
    </row>
    <row r="945" spans="6:12" s="87" customFormat="1">
      <c r="F945" s="92"/>
      <c r="G945" s="92"/>
      <c r="H945" s="92"/>
      <c r="I945" s="92"/>
      <c r="J945" s="92"/>
      <c r="K945" s="92"/>
      <c r="L945" s="92"/>
    </row>
    <row r="946" spans="6:12" s="87" customFormat="1">
      <c r="F946" s="92"/>
      <c r="G946" s="92"/>
      <c r="H946" s="92"/>
      <c r="I946" s="92"/>
      <c r="J946" s="92"/>
      <c r="K946" s="92"/>
      <c r="L946" s="92"/>
    </row>
    <row r="947" spans="6:12" s="87" customFormat="1">
      <c r="F947" s="92"/>
      <c r="G947" s="92"/>
      <c r="H947" s="92"/>
      <c r="I947" s="92"/>
      <c r="J947" s="92"/>
      <c r="K947" s="92"/>
      <c r="L947" s="92"/>
    </row>
    <row r="948" spans="6:12" s="87" customFormat="1">
      <c r="F948" s="92"/>
      <c r="G948" s="92"/>
      <c r="H948" s="92"/>
      <c r="I948" s="92"/>
      <c r="J948" s="92"/>
      <c r="K948" s="92"/>
      <c r="L948" s="92"/>
    </row>
    <row r="949" spans="6:12" s="87" customFormat="1">
      <c r="F949" s="92"/>
      <c r="G949" s="92"/>
      <c r="H949" s="92"/>
      <c r="I949" s="92"/>
      <c r="J949" s="92"/>
      <c r="K949" s="92"/>
      <c r="L949" s="92"/>
    </row>
    <row r="950" spans="6:12" s="87" customFormat="1">
      <c r="F950" s="92"/>
      <c r="G950" s="92"/>
      <c r="H950" s="92"/>
      <c r="I950" s="92"/>
      <c r="J950" s="92"/>
      <c r="K950" s="92"/>
      <c r="L950" s="92"/>
    </row>
    <row r="951" spans="6:12" s="87" customFormat="1">
      <c r="F951" s="92"/>
      <c r="G951" s="92"/>
      <c r="H951" s="92"/>
      <c r="I951" s="92"/>
      <c r="J951" s="92"/>
      <c r="K951" s="92"/>
      <c r="L951" s="92"/>
    </row>
    <row r="952" spans="6:12" s="87" customFormat="1">
      <c r="F952" s="92"/>
      <c r="G952" s="92"/>
      <c r="H952" s="92"/>
      <c r="I952" s="92"/>
      <c r="J952" s="92"/>
      <c r="K952" s="92"/>
      <c r="L952" s="92"/>
    </row>
    <row r="953" spans="6:12" s="87" customFormat="1">
      <c r="F953" s="92"/>
      <c r="G953" s="92"/>
      <c r="H953" s="92"/>
      <c r="I953" s="92"/>
      <c r="J953" s="92"/>
      <c r="K953" s="92"/>
      <c r="L953" s="92"/>
    </row>
    <row r="954" spans="6:12" s="87" customFormat="1">
      <c r="F954" s="92"/>
      <c r="G954" s="92"/>
      <c r="H954" s="92"/>
      <c r="I954" s="92"/>
      <c r="J954" s="92"/>
      <c r="K954" s="92"/>
      <c r="L954" s="92"/>
    </row>
    <row r="955" spans="6:12" s="87" customFormat="1">
      <c r="F955" s="92"/>
      <c r="G955" s="92"/>
      <c r="H955" s="92"/>
      <c r="I955" s="92"/>
      <c r="J955" s="92"/>
      <c r="K955" s="92"/>
      <c r="L955" s="92"/>
    </row>
    <row r="956" spans="6:12" s="87" customFormat="1">
      <c r="F956" s="92"/>
      <c r="G956" s="92"/>
      <c r="H956" s="92"/>
      <c r="I956" s="92"/>
      <c r="J956" s="92"/>
      <c r="K956" s="92"/>
      <c r="L956" s="92"/>
    </row>
    <row r="957" spans="6:12" s="87" customFormat="1">
      <c r="F957" s="92"/>
      <c r="G957" s="92"/>
      <c r="H957" s="92"/>
      <c r="I957" s="92"/>
      <c r="J957" s="92"/>
      <c r="K957" s="92"/>
      <c r="L957" s="92"/>
    </row>
    <row r="958" spans="6:12" s="87" customFormat="1">
      <c r="F958" s="92"/>
      <c r="G958" s="92"/>
      <c r="H958" s="92"/>
      <c r="I958" s="92"/>
      <c r="J958" s="92"/>
      <c r="K958" s="92"/>
      <c r="L958" s="92"/>
    </row>
    <row r="959" spans="6:12" s="87" customFormat="1">
      <c r="F959" s="92"/>
      <c r="G959" s="92"/>
      <c r="H959" s="92"/>
      <c r="I959" s="92"/>
      <c r="J959" s="92"/>
      <c r="K959" s="92"/>
      <c r="L959" s="92"/>
    </row>
    <row r="960" spans="6:12" s="87" customFormat="1">
      <c r="F960" s="92"/>
      <c r="G960" s="92"/>
      <c r="H960" s="92"/>
      <c r="I960" s="92"/>
      <c r="J960" s="92"/>
      <c r="K960" s="92"/>
      <c r="L960" s="92"/>
    </row>
    <row r="961" spans="6:12" s="87" customFormat="1">
      <c r="F961" s="92"/>
      <c r="G961" s="92"/>
      <c r="H961" s="92"/>
      <c r="I961" s="92"/>
      <c r="J961" s="92"/>
      <c r="K961" s="92"/>
      <c r="L961" s="92"/>
    </row>
    <row r="962" spans="6:12" s="87" customFormat="1">
      <c r="F962" s="92"/>
      <c r="G962" s="92"/>
      <c r="H962" s="92"/>
      <c r="I962" s="92"/>
      <c r="J962" s="92"/>
      <c r="K962" s="92"/>
      <c r="L962" s="92"/>
    </row>
    <row r="963" spans="6:12" s="87" customFormat="1">
      <c r="F963" s="92"/>
      <c r="G963" s="92"/>
      <c r="H963" s="92"/>
      <c r="I963" s="92"/>
      <c r="J963" s="92"/>
      <c r="K963" s="92"/>
      <c r="L963" s="92"/>
    </row>
    <row r="964" spans="6:12" s="87" customFormat="1">
      <c r="F964" s="92"/>
      <c r="G964" s="92"/>
      <c r="H964" s="92"/>
      <c r="I964" s="92"/>
      <c r="J964" s="92"/>
      <c r="K964" s="92"/>
      <c r="L964" s="92"/>
    </row>
    <row r="965" spans="6:12" s="87" customFormat="1">
      <c r="F965" s="92"/>
      <c r="G965" s="92"/>
      <c r="H965" s="92"/>
      <c r="I965" s="92"/>
      <c r="J965" s="92"/>
      <c r="K965" s="92"/>
      <c r="L965" s="92"/>
    </row>
    <row r="966" spans="6:12" s="87" customFormat="1">
      <c r="F966" s="92"/>
      <c r="G966" s="92"/>
      <c r="H966" s="92"/>
      <c r="I966" s="92"/>
      <c r="J966" s="92"/>
      <c r="K966" s="92"/>
      <c r="L966" s="92"/>
    </row>
    <row r="967" spans="6:12" s="87" customFormat="1">
      <c r="F967" s="92"/>
      <c r="G967" s="92"/>
      <c r="H967" s="92"/>
      <c r="I967" s="92"/>
      <c r="J967" s="92"/>
      <c r="K967" s="92"/>
      <c r="L967" s="92"/>
    </row>
    <row r="968" spans="6:12" s="87" customFormat="1">
      <c r="F968" s="92"/>
      <c r="G968" s="92"/>
      <c r="H968" s="92"/>
      <c r="I968" s="92"/>
      <c r="J968" s="92"/>
      <c r="K968" s="92"/>
      <c r="L968" s="92"/>
    </row>
    <row r="969" spans="6:12" s="87" customFormat="1">
      <c r="F969" s="92"/>
      <c r="G969" s="92"/>
      <c r="H969" s="92"/>
      <c r="I969" s="92"/>
      <c r="J969" s="92"/>
      <c r="K969" s="92"/>
      <c r="L969" s="92"/>
    </row>
    <row r="970" spans="6:12" s="87" customFormat="1">
      <c r="F970" s="92"/>
      <c r="G970" s="92"/>
      <c r="H970" s="92"/>
      <c r="I970" s="92"/>
      <c r="J970" s="92"/>
      <c r="K970" s="92"/>
      <c r="L970" s="92"/>
    </row>
    <row r="971" spans="6:12" s="87" customFormat="1">
      <c r="F971" s="92"/>
      <c r="G971" s="92"/>
      <c r="H971" s="92"/>
      <c r="I971" s="92"/>
      <c r="J971" s="92"/>
      <c r="K971" s="92"/>
      <c r="L971" s="92"/>
    </row>
    <row r="972" spans="6:12" s="87" customFormat="1">
      <c r="F972" s="92"/>
      <c r="G972" s="92"/>
      <c r="H972" s="92"/>
      <c r="I972" s="92"/>
      <c r="J972" s="92"/>
      <c r="K972" s="92"/>
      <c r="L972" s="92"/>
    </row>
    <row r="973" spans="6:12" s="87" customFormat="1">
      <c r="F973" s="92"/>
      <c r="G973" s="92"/>
      <c r="H973" s="92"/>
      <c r="I973" s="92"/>
      <c r="J973" s="92"/>
      <c r="K973" s="92"/>
      <c r="L973" s="92"/>
    </row>
    <row r="974" spans="6:12" s="87" customFormat="1">
      <c r="F974" s="92"/>
      <c r="G974" s="92"/>
      <c r="H974" s="92"/>
      <c r="I974" s="92"/>
      <c r="J974" s="92"/>
      <c r="K974" s="92"/>
      <c r="L974" s="92"/>
    </row>
    <row r="975" spans="6:12" s="87" customFormat="1">
      <c r="F975" s="92"/>
      <c r="G975" s="92"/>
      <c r="H975" s="92"/>
      <c r="I975" s="92"/>
      <c r="J975" s="92"/>
      <c r="K975" s="92"/>
      <c r="L975" s="92"/>
    </row>
    <row r="976" spans="6:12" s="87" customFormat="1">
      <c r="F976" s="92"/>
      <c r="G976" s="92"/>
      <c r="H976" s="92"/>
      <c r="I976" s="92"/>
      <c r="J976" s="92"/>
      <c r="K976" s="92"/>
      <c r="L976" s="92"/>
    </row>
    <row r="977" spans="6:12" s="87" customFormat="1">
      <c r="F977" s="92"/>
      <c r="G977" s="92"/>
      <c r="H977" s="92"/>
      <c r="I977" s="92"/>
      <c r="J977" s="92"/>
      <c r="K977" s="92"/>
      <c r="L977" s="92"/>
    </row>
    <row r="978" spans="6:12" s="87" customFormat="1">
      <c r="F978" s="92"/>
      <c r="G978" s="92"/>
      <c r="H978" s="92"/>
      <c r="I978" s="92"/>
      <c r="J978" s="92"/>
      <c r="K978" s="92"/>
      <c r="L978" s="92"/>
    </row>
    <row r="979" spans="6:12" s="87" customFormat="1">
      <c r="F979" s="92"/>
      <c r="G979" s="92"/>
      <c r="H979" s="92"/>
      <c r="I979" s="92"/>
      <c r="J979" s="92"/>
      <c r="K979" s="92"/>
      <c r="L979" s="92"/>
    </row>
    <row r="980" spans="6:12" s="87" customFormat="1">
      <c r="F980" s="92"/>
      <c r="G980" s="92"/>
      <c r="H980" s="92"/>
      <c r="I980" s="92"/>
      <c r="J980" s="92"/>
      <c r="K980" s="92"/>
      <c r="L980" s="92"/>
    </row>
    <row r="981" spans="6:12" s="87" customFormat="1">
      <c r="F981" s="92"/>
      <c r="G981" s="92"/>
      <c r="H981" s="92"/>
      <c r="I981" s="92"/>
      <c r="J981" s="92"/>
      <c r="K981" s="92"/>
      <c r="L981" s="92"/>
    </row>
    <row r="982" spans="6:12" s="87" customFormat="1">
      <c r="F982" s="92"/>
      <c r="G982" s="92"/>
      <c r="H982" s="92"/>
      <c r="I982" s="92"/>
      <c r="J982" s="92"/>
      <c r="K982" s="92"/>
      <c r="L982" s="92"/>
    </row>
    <row r="983" spans="6:12" s="87" customFormat="1">
      <c r="F983" s="92"/>
      <c r="G983" s="92"/>
      <c r="H983" s="92"/>
      <c r="I983" s="92"/>
      <c r="J983" s="92"/>
      <c r="K983" s="92"/>
      <c r="L983" s="92"/>
    </row>
    <row r="984" spans="6:12" s="87" customFormat="1">
      <c r="F984" s="92"/>
      <c r="G984" s="92"/>
      <c r="H984" s="92"/>
      <c r="I984" s="92"/>
      <c r="J984" s="92"/>
      <c r="K984" s="92"/>
      <c r="L984" s="92"/>
    </row>
    <row r="985" spans="6:12" s="87" customFormat="1">
      <c r="F985" s="92"/>
      <c r="G985" s="92"/>
      <c r="H985" s="92"/>
      <c r="I985" s="92"/>
      <c r="J985" s="92"/>
      <c r="K985" s="92"/>
      <c r="L985" s="92"/>
    </row>
    <row r="986" spans="6:12" s="87" customFormat="1">
      <c r="F986" s="92"/>
      <c r="G986" s="92"/>
      <c r="H986" s="92"/>
      <c r="I986" s="92"/>
      <c r="J986" s="92"/>
      <c r="K986" s="92"/>
      <c r="L986" s="92"/>
    </row>
    <row r="987" spans="6:12" s="87" customFormat="1">
      <c r="F987" s="92"/>
      <c r="G987" s="92"/>
      <c r="H987" s="92"/>
      <c r="I987" s="92"/>
      <c r="J987" s="92"/>
      <c r="K987" s="92"/>
      <c r="L987" s="92"/>
    </row>
    <row r="988" spans="6:12" s="87" customFormat="1">
      <c r="F988" s="92"/>
      <c r="G988" s="92"/>
      <c r="H988" s="92"/>
      <c r="I988" s="92"/>
      <c r="J988" s="92"/>
      <c r="K988" s="92"/>
      <c r="L988" s="92"/>
    </row>
    <row r="989" spans="6:12" s="87" customFormat="1">
      <c r="F989" s="92"/>
      <c r="G989" s="92"/>
      <c r="H989" s="92"/>
      <c r="I989" s="92"/>
      <c r="J989" s="92"/>
      <c r="K989" s="92"/>
      <c r="L989" s="92"/>
    </row>
    <row r="990" spans="6:12" s="87" customFormat="1">
      <c r="F990" s="92"/>
      <c r="G990" s="92"/>
      <c r="H990" s="92"/>
      <c r="I990" s="92"/>
      <c r="J990" s="92"/>
      <c r="K990" s="92"/>
      <c r="L990" s="92"/>
    </row>
    <row r="991" spans="6:12" s="87" customFormat="1">
      <c r="F991" s="92"/>
      <c r="G991" s="92"/>
      <c r="H991" s="92"/>
      <c r="I991" s="92"/>
      <c r="J991" s="92"/>
      <c r="K991" s="92"/>
      <c r="L991" s="92"/>
    </row>
    <row r="992" spans="6:12" s="87" customFormat="1">
      <c r="F992" s="92"/>
      <c r="G992" s="92"/>
      <c r="H992" s="92"/>
      <c r="I992" s="92"/>
      <c r="J992" s="92"/>
      <c r="K992" s="92"/>
      <c r="L992" s="92"/>
    </row>
    <row r="993" spans="6:12" s="87" customFormat="1">
      <c r="F993" s="92"/>
      <c r="G993" s="92"/>
      <c r="H993" s="92"/>
      <c r="I993" s="92"/>
      <c r="J993" s="92"/>
      <c r="K993" s="92"/>
      <c r="L993" s="92"/>
    </row>
    <row r="994" spans="6:12" s="87" customFormat="1">
      <c r="F994" s="92"/>
      <c r="G994" s="92"/>
      <c r="H994" s="92"/>
      <c r="I994" s="92"/>
      <c r="J994" s="92"/>
      <c r="K994" s="92"/>
      <c r="L994" s="92"/>
    </row>
    <row r="995" spans="6:12" s="87" customFormat="1">
      <c r="F995" s="92"/>
      <c r="G995" s="92"/>
      <c r="H995" s="92"/>
      <c r="I995" s="92"/>
      <c r="J995" s="92"/>
      <c r="K995" s="92"/>
      <c r="L995" s="92"/>
    </row>
    <row r="996" spans="6:12" s="87" customFormat="1">
      <c r="F996" s="92"/>
      <c r="G996" s="92"/>
      <c r="H996" s="92"/>
      <c r="I996" s="92"/>
      <c r="J996" s="92"/>
      <c r="K996" s="92"/>
      <c r="L996" s="92"/>
    </row>
    <row r="997" spans="6:12" s="87" customFormat="1">
      <c r="F997" s="92"/>
      <c r="G997" s="92"/>
      <c r="H997" s="92"/>
      <c r="I997" s="92"/>
      <c r="J997" s="92"/>
      <c r="K997" s="92"/>
      <c r="L997" s="92"/>
    </row>
    <row r="998" spans="6:12" s="87" customFormat="1">
      <c r="F998" s="92"/>
      <c r="G998" s="92"/>
      <c r="H998" s="92"/>
      <c r="I998" s="92"/>
      <c r="J998" s="92"/>
      <c r="K998" s="92"/>
      <c r="L998" s="92"/>
    </row>
    <row r="999" spans="6:12" s="87" customFormat="1">
      <c r="F999" s="92"/>
      <c r="G999" s="92"/>
      <c r="H999" s="92"/>
      <c r="I999" s="92"/>
      <c r="J999" s="92"/>
      <c r="K999" s="92"/>
      <c r="L999" s="92"/>
    </row>
    <row r="1000" spans="6:12" s="87" customFormat="1">
      <c r="F1000" s="92"/>
      <c r="G1000" s="92"/>
      <c r="H1000" s="92"/>
      <c r="I1000" s="92"/>
      <c r="J1000" s="92"/>
      <c r="K1000" s="92"/>
      <c r="L1000" s="92"/>
    </row>
    <row r="1001" spans="6:12" s="87" customFormat="1">
      <c r="F1001" s="92"/>
      <c r="G1001" s="92"/>
      <c r="H1001" s="92"/>
      <c r="I1001" s="92"/>
      <c r="J1001" s="92"/>
      <c r="K1001" s="92"/>
      <c r="L1001" s="92"/>
    </row>
    <row r="1002" spans="6:12" s="87" customFormat="1">
      <c r="F1002" s="92"/>
      <c r="G1002" s="92"/>
      <c r="H1002" s="92"/>
      <c r="I1002" s="92"/>
      <c r="J1002" s="92"/>
      <c r="K1002" s="92"/>
      <c r="L1002" s="92"/>
    </row>
    <row r="1003" spans="6:12" s="87" customFormat="1">
      <c r="F1003" s="92"/>
      <c r="G1003" s="92"/>
      <c r="H1003" s="92"/>
      <c r="I1003" s="92"/>
      <c r="J1003" s="92"/>
      <c r="K1003" s="92"/>
      <c r="L1003" s="92"/>
    </row>
    <row r="1004" spans="6:12" s="87" customFormat="1">
      <c r="F1004" s="92"/>
      <c r="G1004" s="92"/>
      <c r="H1004" s="92"/>
      <c r="I1004" s="92"/>
      <c r="J1004" s="92"/>
      <c r="K1004" s="92"/>
      <c r="L1004" s="92"/>
    </row>
    <row r="1005" spans="6:12" s="87" customFormat="1">
      <c r="F1005" s="92"/>
      <c r="G1005" s="92"/>
      <c r="H1005" s="92"/>
      <c r="I1005" s="92"/>
      <c r="J1005" s="92"/>
      <c r="K1005" s="92"/>
      <c r="L1005" s="92"/>
    </row>
    <row r="1006" spans="6:12" s="87" customFormat="1">
      <c r="F1006" s="92"/>
      <c r="G1006" s="92"/>
      <c r="H1006" s="92"/>
      <c r="I1006" s="92"/>
      <c r="J1006" s="92"/>
      <c r="K1006" s="92"/>
      <c r="L1006" s="92"/>
    </row>
    <row r="1007" spans="6:12" s="87" customFormat="1">
      <c r="F1007" s="92"/>
      <c r="G1007" s="92"/>
      <c r="H1007" s="92"/>
      <c r="I1007" s="92"/>
      <c r="J1007" s="92"/>
      <c r="K1007" s="92"/>
      <c r="L1007" s="92"/>
    </row>
    <row r="1008" spans="6:12" s="87" customFormat="1">
      <c r="F1008" s="92"/>
      <c r="G1008" s="92"/>
      <c r="H1008" s="92"/>
      <c r="I1008" s="92"/>
      <c r="J1008" s="92"/>
      <c r="K1008" s="92"/>
      <c r="L1008" s="92"/>
    </row>
    <row r="1009" spans="6:12" s="87" customFormat="1">
      <c r="F1009" s="92"/>
      <c r="G1009" s="92"/>
      <c r="H1009" s="92"/>
      <c r="I1009" s="92"/>
      <c r="J1009" s="92"/>
      <c r="K1009" s="92"/>
      <c r="L1009" s="92"/>
    </row>
    <row r="1010" spans="6:12" s="87" customFormat="1">
      <c r="F1010" s="92"/>
      <c r="G1010" s="92"/>
      <c r="H1010" s="92"/>
      <c r="I1010" s="92"/>
      <c r="J1010" s="92"/>
      <c r="K1010" s="92"/>
      <c r="L1010" s="92"/>
    </row>
    <row r="1011" spans="6:12" s="87" customFormat="1">
      <c r="F1011" s="92"/>
      <c r="G1011" s="92"/>
      <c r="H1011" s="92"/>
      <c r="I1011" s="92"/>
      <c r="J1011" s="92"/>
      <c r="K1011" s="92"/>
      <c r="L1011" s="92"/>
    </row>
    <row r="1012" spans="6:12" s="87" customFormat="1">
      <c r="F1012" s="92"/>
      <c r="G1012" s="92"/>
      <c r="H1012" s="92"/>
      <c r="I1012" s="92"/>
      <c r="J1012" s="92"/>
      <c r="K1012" s="92"/>
      <c r="L1012" s="92"/>
    </row>
    <row r="1013" spans="6:12" s="87" customFormat="1">
      <c r="F1013" s="92"/>
      <c r="G1013" s="92"/>
      <c r="H1013" s="92"/>
      <c r="I1013" s="92"/>
      <c r="J1013" s="92"/>
      <c r="K1013" s="92"/>
      <c r="L1013" s="92"/>
    </row>
    <row r="1014" spans="6:12" s="87" customFormat="1">
      <c r="F1014" s="92"/>
      <c r="G1014" s="92"/>
      <c r="H1014" s="92"/>
      <c r="I1014" s="92"/>
      <c r="J1014" s="92"/>
      <c r="K1014" s="92"/>
      <c r="L1014" s="92"/>
    </row>
    <row r="1015" spans="6:12" s="87" customFormat="1">
      <c r="F1015" s="92"/>
      <c r="G1015" s="92"/>
      <c r="H1015" s="92"/>
      <c r="I1015" s="92"/>
      <c r="J1015" s="92"/>
      <c r="K1015" s="92"/>
      <c r="L1015" s="92"/>
    </row>
    <row r="1016" spans="6:12" s="87" customFormat="1">
      <c r="F1016" s="92"/>
      <c r="G1016" s="92"/>
      <c r="H1016" s="92"/>
      <c r="I1016" s="92"/>
      <c r="J1016" s="92"/>
      <c r="K1016" s="92"/>
      <c r="L1016" s="92"/>
    </row>
    <row r="1017" spans="6:12" s="87" customFormat="1">
      <c r="F1017" s="92"/>
      <c r="G1017" s="92"/>
      <c r="H1017" s="92"/>
      <c r="I1017" s="92"/>
      <c r="J1017" s="92"/>
      <c r="K1017" s="92"/>
      <c r="L1017" s="92"/>
    </row>
    <row r="1018" spans="6:12" s="87" customFormat="1">
      <c r="F1018" s="92"/>
      <c r="G1018" s="92"/>
      <c r="H1018" s="92"/>
      <c r="I1018" s="92"/>
      <c r="J1018" s="92"/>
      <c r="K1018" s="92"/>
      <c r="L1018" s="92"/>
    </row>
    <row r="1019" spans="6:12" s="87" customFormat="1">
      <c r="F1019" s="92"/>
      <c r="G1019" s="92"/>
      <c r="H1019" s="92"/>
      <c r="I1019" s="92"/>
      <c r="J1019" s="92"/>
      <c r="K1019" s="92"/>
      <c r="L1019" s="92"/>
    </row>
    <row r="1020" spans="6:12" s="87" customFormat="1">
      <c r="F1020" s="92"/>
      <c r="G1020" s="92"/>
      <c r="H1020" s="92"/>
      <c r="I1020" s="92"/>
      <c r="J1020" s="92"/>
      <c r="K1020" s="92"/>
      <c r="L1020" s="92"/>
    </row>
    <row r="1021" spans="6:12" s="87" customFormat="1">
      <c r="F1021" s="92"/>
      <c r="G1021" s="92"/>
      <c r="H1021" s="92"/>
      <c r="I1021" s="92"/>
      <c r="J1021" s="92"/>
      <c r="K1021" s="92"/>
      <c r="L1021" s="92"/>
    </row>
    <row r="1022" spans="6:12" s="87" customFormat="1">
      <c r="F1022" s="92"/>
      <c r="G1022" s="92"/>
      <c r="H1022" s="92"/>
      <c r="I1022" s="92"/>
      <c r="J1022" s="92"/>
      <c r="K1022" s="92"/>
      <c r="L1022" s="92"/>
    </row>
    <row r="1023" spans="6:12" s="87" customFormat="1">
      <c r="F1023" s="92"/>
      <c r="G1023" s="92"/>
      <c r="H1023" s="92"/>
      <c r="I1023" s="92"/>
      <c r="J1023" s="92"/>
      <c r="K1023" s="92"/>
      <c r="L1023" s="92"/>
    </row>
    <row r="1024" spans="6:12" s="87" customFormat="1">
      <c r="F1024" s="92"/>
      <c r="G1024" s="92"/>
      <c r="H1024" s="92"/>
      <c r="I1024" s="92"/>
      <c r="J1024" s="92"/>
      <c r="K1024" s="92"/>
      <c r="L1024" s="92"/>
    </row>
    <row r="1025" spans="6:12" s="87" customFormat="1">
      <c r="F1025" s="92"/>
      <c r="G1025" s="92"/>
      <c r="H1025" s="92"/>
      <c r="I1025" s="92"/>
      <c r="J1025" s="92"/>
      <c r="K1025" s="92"/>
      <c r="L1025" s="92"/>
    </row>
    <row r="1026" spans="6:12" s="87" customFormat="1">
      <c r="F1026" s="92"/>
      <c r="G1026" s="92"/>
      <c r="H1026" s="92"/>
      <c r="I1026" s="92"/>
      <c r="J1026" s="92"/>
      <c r="K1026" s="92"/>
      <c r="L1026" s="92"/>
    </row>
    <row r="1027" spans="6:12" s="87" customFormat="1">
      <c r="F1027" s="92"/>
      <c r="G1027" s="92"/>
      <c r="H1027" s="92"/>
      <c r="I1027" s="92"/>
      <c r="J1027" s="92"/>
      <c r="K1027" s="92"/>
      <c r="L1027" s="92"/>
    </row>
    <row r="1028" spans="6:12" s="87" customFormat="1">
      <c r="F1028" s="92"/>
      <c r="G1028" s="92"/>
      <c r="H1028" s="92"/>
      <c r="I1028" s="92"/>
      <c r="J1028" s="92"/>
      <c r="K1028" s="92"/>
      <c r="L1028" s="92"/>
    </row>
    <row r="1029" spans="6:12" s="87" customFormat="1">
      <c r="F1029" s="92"/>
      <c r="G1029" s="92"/>
      <c r="H1029" s="92"/>
      <c r="I1029" s="92"/>
      <c r="J1029" s="92"/>
      <c r="K1029" s="92"/>
      <c r="L1029" s="92"/>
    </row>
    <row r="1030" spans="6:12" s="87" customFormat="1">
      <c r="F1030" s="92"/>
      <c r="G1030" s="92"/>
      <c r="H1030" s="92"/>
      <c r="I1030" s="92"/>
      <c r="J1030" s="92"/>
      <c r="K1030" s="92"/>
      <c r="L1030" s="92"/>
    </row>
    <row r="1031" spans="6:12" s="87" customFormat="1">
      <c r="F1031" s="92"/>
      <c r="G1031" s="92"/>
      <c r="H1031" s="92"/>
      <c r="I1031" s="92"/>
      <c r="J1031" s="92"/>
      <c r="K1031" s="92"/>
      <c r="L1031" s="92"/>
    </row>
    <row r="1032" spans="6:12" s="87" customFormat="1">
      <c r="F1032" s="92"/>
      <c r="G1032" s="92"/>
      <c r="H1032" s="92"/>
      <c r="I1032" s="92"/>
      <c r="J1032" s="92"/>
      <c r="K1032" s="92"/>
      <c r="L1032" s="92"/>
    </row>
    <row r="1033" spans="6:12" s="87" customFormat="1">
      <c r="F1033" s="92"/>
      <c r="G1033" s="92"/>
      <c r="H1033" s="92"/>
      <c r="I1033" s="92"/>
      <c r="J1033" s="92"/>
      <c r="K1033" s="92"/>
      <c r="L1033" s="92"/>
    </row>
    <row r="1034" spans="6:12" s="87" customFormat="1">
      <c r="F1034" s="92"/>
      <c r="G1034" s="92"/>
      <c r="H1034" s="92"/>
      <c r="I1034" s="92"/>
      <c r="J1034" s="92"/>
      <c r="K1034" s="92"/>
      <c r="L1034" s="92"/>
    </row>
    <row r="1035" spans="6:12" s="87" customFormat="1">
      <c r="F1035" s="92"/>
      <c r="G1035" s="92"/>
      <c r="H1035" s="92"/>
      <c r="I1035" s="92"/>
      <c r="J1035" s="92"/>
      <c r="K1035" s="92"/>
      <c r="L1035" s="92"/>
    </row>
    <row r="1036" spans="6:12" s="87" customFormat="1">
      <c r="F1036" s="92"/>
      <c r="G1036" s="92"/>
      <c r="H1036" s="92"/>
      <c r="I1036" s="92"/>
      <c r="J1036" s="92"/>
      <c r="K1036" s="92"/>
      <c r="L1036" s="92"/>
    </row>
    <row r="1037" spans="6:12" s="87" customFormat="1">
      <c r="F1037" s="92"/>
      <c r="G1037" s="92"/>
      <c r="H1037" s="92"/>
      <c r="I1037" s="92"/>
      <c r="J1037" s="92"/>
      <c r="K1037" s="92"/>
      <c r="L1037" s="92"/>
    </row>
    <row r="1038" spans="6:12" s="87" customFormat="1">
      <c r="F1038" s="92"/>
      <c r="G1038" s="92"/>
      <c r="H1038" s="92"/>
      <c r="I1038" s="92"/>
      <c r="J1038" s="92"/>
      <c r="K1038" s="92"/>
      <c r="L1038" s="92"/>
    </row>
    <row r="1039" spans="6:12" s="87" customFormat="1">
      <c r="F1039" s="92"/>
      <c r="G1039" s="92"/>
      <c r="H1039" s="92"/>
      <c r="I1039" s="92"/>
      <c r="J1039" s="92"/>
      <c r="K1039" s="92"/>
      <c r="L1039" s="92"/>
    </row>
    <row r="1040" spans="6:12" s="87" customFormat="1">
      <c r="F1040" s="92"/>
      <c r="G1040" s="92"/>
      <c r="H1040" s="92"/>
      <c r="I1040" s="92"/>
      <c r="J1040" s="92"/>
      <c r="K1040" s="92"/>
      <c r="L1040" s="92"/>
    </row>
    <row r="1041" spans="6:12" s="87" customFormat="1">
      <c r="F1041" s="92"/>
      <c r="G1041" s="92"/>
      <c r="H1041" s="92"/>
      <c r="I1041" s="92"/>
      <c r="J1041" s="92"/>
      <c r="K1041" s="92"/>
      <c r="L1041" s="92"/>
    </row>
    <row r="1042" spans="6:12" s="87" customFormat="1">
      <c r="F1042" s="92"/>
      <c r="G1042" s="92"/>
      <c r="H1042" s="92"/>
      <c r="I1042" s="92"/>
      <c r="J1042" s="92"/>
      <c r="K1042" s="92"/>
      <c r="L1042" s="92"/>
    </row>
    <row r="1043" spans="6:12" s="87" customFormat="1">
      <c r="F1043" s="92"/>
      <c r="G1043" s="92"/>
      <c r="H1043" s="92"/>
      <c r="I1043" s="92"/>
      <c r="J1043" s="92"/>
      <c r="K1043" s="92"/>
      <c r="L1043" s="92"/>
    </row>
    <row r="1044" spans="6:12" s="87" customFormat="1">
      <c r="F1044" s="92"/>
      <c r="G1044" s="92"/>
      <c r="H1044" s="92"/>
      <c r="I1044" s="92"/>
      <c r="J1044" s="92"/>
      <c r="K1044" s="92"/>
      <c r="L1044" s="92"/>
    </row>
    <row r="1045" spans="6:12" s="87" customFormat="1">
      <c r="F1045" s="92"/>
      <c r="G1045" s="92"/>
      <c r="H1045" s="92"/>
      <c r="I1045" s="92"/>
      <c r="J1045" s="92"/>
      <c r="K1045" s="92"/>
      <c r="L1045" s="92"/>
    </row>
    <row r="1046" spans="6:12" s="87" customFormat="1">
      <c r="F1046" s="92"/>
      <c r="G1046" s="92"/>
      <c r="H1046" s="92"/>
      <c r="I1046" s="92"/>
      <c r="J1046" s="92"/>
      <c r="K1046" s="92"/>
      <c r="L1046" s="92"/>
    </row>
    <row r="1047" spans="6:12" s="87" customFormat="1">
      <c r="F1047" s="92"/>
      <c r="G1047" s="92"/>
      <c r="H1047" s="92"/>
      <c r="I1047" s="92"/>
      <c r="J1047" s="92"/>
      <c r="K1047" s="92"/>
      <c r="L1047" s="92"/>
    </row>
    <row r="1048" spans="6:12" s="87" customFormat="1">
      <c r="F1048" s="92"/>
      <c r="G1048" s="92"/>
      <c r="H1048" s="92"/>
      <c r="I1048" s="92"/>
      <c r="J1048" s="92"/>
      <c r="K1048" s="92"/>
      <c r="L1048" s="92"/>
    </row>
    <row r="1049" spans="6:12" s="87" customFormat="1">
      <c r="F1049" s="92"/>
      <c r="G1049" s="92"/>
      <c r="H1049" s="92"/>
      <c r="I1049" s="92"/>
      <c r="J1049" s="92"/>
      <c r="K1049" s="92"/>
      <c r="L1049" s="92"/>
    </row>
    <row r="1050" spans="6:12" s="87" customFormat="1">
      <c r="F1050" s="92"/>
      <c r="G1050" s="92"/>
      <c r="H1050" s="92"/>
      <c r="I1050" s="92"/>
      <c r="J1050" s="92"/>
      <c r="K1050" s="92"/>
      <c r="L1050" s="92"/>
    </row>
    <row r="1051" spans="6:12" s="87" customFormat="1">
      <c r="F1051" s="92"/>
      <c r="G1051" s="92"/>
      <c r="H1051" s="92"/>
      <c r="I1051" s="92"/>
      <c r="J1051" s="92"/>
      <c r="K1051" s="92"/>
      <c r="L1051" s="92"/>
    </row>
    <row r="1052" spans="6:12" s="87" customFormat="1">
      <c r="F1052" s="92"/>
      <c r="G1052" s="92"/>
      <c r="H1052" s="92"/>
      <c r="I1052" s="92"/>
      <c r="J1052" s="92"/>
      <c r="K1052" s="92"/>
      <c r="L1052" s="92"/>
    </row>
    <row r="1053" spans="6:12" s="87" customFormat="1">
      <c r="F1053" s="92"/>
      <c r="G1053" s="92"/>
      <c r="H1053" s="92"/>
      <c r="I1053" s="92"/>
      <c r="J1053" s="92"/>
      <c r="K1053" s="92"/>
      <c r="L1053" s="92"/>
    </row>
    <row r="1054" spans="6:12" s="87" customFormat="1">
      <c r="F1054" s="92"/>
      <c r="G1054" s="92"/>
      <c r="H1054" s="92"/>
      <c r="I1054" s="92"/>
      <c r="J1054" s="92"/>
      <c r="K1054" s="92"/>
      <c r="L1054" s="92"/>
    </row>
    <row r="1055" spans="6:12" s="87" customFormat="1">
      <c r="F1055" s="92"/>
      <c r="G1055" s="92"/>
      <c r="H1055" s="92"/>
      <c r="I1055" s="92"/>
      <c r="J1055" s="92"/>
      <c r="K1055" s="92"/>
      <c r="L1055" s="92"/>
    </row>
    <row r="1056" spans="6:12" s="87" customFormat="1">
      <c r="F1056" s="92"/>
      <c r="G1056" s="92"/>
      <c r="H1056" s="92"/>
      <c r="I1056" s="92"/>
      <c r="J1056" s="92"/>
      <c r="K1056" s="92"/>
      <c r="L1056" s="92"/>
    </row>
    <row r="1057" spans="6:12" s="87" customFormat="1">
      <c r="F1057" s="92"/>
      <c r="G1057" s="92"/>
      <c r="H1057" s="92"/>
      <c r="I1057" s="92"/>
      <c r="J1057" s="92"/>
      <c r="K1057" s="92"/>
      <c r="L1057" s="92"/>
    </row>
    <row r="1058" spans="6:12" s="87" customFormat="1">
      <c r="F1058" s="92"/>
      <c r="G1058" s="92"/>
      <c r="H1058" s="92"/>
      <c r="I1058" s="92"/>
      <c r="J1058" s="92"/>
      <c r="K1058" s="92"/>
      <c r="L1058" s="92"/>
    </row>
    <row r="1059" spans="6:12" s="87" customFormat="1">
      <c r="F1059" s="92"/>
      <c r="G1059" s="92"/>
      <c r="H1059" s="92"/>
      <c r="I1059" s="92"/>
      <c r="J1059" s="92"/>
      <c r="K1059" s="92"/>
      <c r="L1059" s="92"/>
    </row>
    <row r="1060" spans="6:12" s="87" customFormat="1">
      <c r="F1060" s="92"/>
      <c r="G1060" s="92"/>
      <c r="H1060" s="92"/>
      <c r="I1060" s="92"/>
      <c r="J1060" s="92"/>
      <c r="K1060" s="92"/>
      <c r="L1060" s="92"/>
    </row>
    <row r="1061" spans="6:12" s="87" customFormat="1">
      <c r="F1061" s="92"/>
      <c r="G1061" s="92"/>
      <c r="H1061" s="92"/>
      <c r="I1061" s="92"/>
      <c r="J1061" s="92"/>
      <c r="K1061" s="92"/>
      <c r="L1061" s="92"/>
    </row>
    <row r="1062" spans="6:12" s="87" customFormat="1">
      <c r="F1062" s="92"/>
      <c r="G1062" s="92"/>
      <c r="H1062" s="92"/>
      <c r="I1062" s="92"/>
      <c r="J1062" s="92"/>
      <c r="K1062" s="92"/>
      <c r="L1062" s="92"/>
    </row>
    <row r="1063" spans="6:12" s="87" customFormat="1">
      <c r="F1063" s="92"/>
      <c r="G1063" s="92"/>
      <c r="H1063" s="92"/>
      <c r="I1063" s="92"/>
      <c r="J1063" s="92"/>
      <c r="K1063" s="92"/>
      <c r="L1063" s="92"/>
    </row>
    <row r="1064" spans="6:12" s="87" customFormat="1">
      <c r="F1064" s="92"/>
      <c r="G1064" s="92"/>
      <c r="H1064" s="92"/>
      <c r="I1064" s="92"/>
      <c r="J1064" s="92"/>
      <c r="K1064" s="92"/>
      <c r="L1064" s="92"/>
    </row>
    <row r="1065" spans="6:12" s="87" customFormat="1">
      <c r="F1065" s="92"/>
      <c r="G1065" s="92"/>
      <c r="H1065" s="92"/>
      <c r="I1065" s="92"/>
      <c r="J1065" s="92"/>
      <c r="K1065" s="92"/>
      <c r="L1065" s="92"/>
    </row>
    <row r="1066" spans="6:12" s="87" customFormat="1">
      <c r="F1066" s="92"/>
      <c r="G1066" s="92"/>
      <c r="H1066" s="92"/>
      <c r="I1066" s="92"/>
      <c r="J1066" s="92"/>
      <c r="K1066" s="92"/>
      <c r="L1066" s="92"/>
    </row>
    <row r="1067" spans="6:12" s="87" customFormat="1">
      <c r="F1067" s="92"/>
      <c r="G1067" s="92"/>
      <c r="H1067" s="92"/>
      <c r="I1067" s="92"/>
      <c r="J1067" s="92"/>
      <c r="K1067" s="92"/>
      <c r="L1067" s="92"/>
    </row>
    <row r="1068" spans="6:12" s="87" customFormat="1">
      <c r="F1068" s="92"/>
      <c r="G1068" s="92"/>
      <c r="H1068" s="92"/>
      <c r="I1068" s="92"/>
      <c r="J1068" s="92"/>
      <c r="K1068" s="92"/>
      <c r="L1068" s="92"/>
    </row>
    <row r="1069" spans="6:12" s="87" customFormat="1">
      <c r="F1069" s="92"/>
      <c r="G1069" s="92"/>
      <c r="H1069" s="92"/>
      <c r="I1069" s="92"/>
      <c r="J1069" s="92"/>
      <c r="K1069" s="92"/>
      <c r="L1069" s="92"/>
    </row>
    <row r="1070" spans="6:12" s="87" customFormat="1">
      <c r="F1070" s="92"/>
      <c r="G1070" s="92"/>
      <c r="H1070" s="92"/>
      <c r="I1070" s="92"/>
      <c r="J1070" s="92"/>
      <c r="K1070" s="92"/>
      <c r="L1070" s="92"/>
    </row>
    <row r="1071" spans="6:12" s="87" customFormat="1">
      <c r="F1071" s="92"/>
      <c r="G1071" s="92"/>
      <c r="H1071" s="92"/>
      <c r="I1071" s="92"/>
      <c r="J1071" s="92"/>
      <c r="K1071" s="92"/>
      <c r="L1071" s="92"/>
    </row>
    <row r="1072" spans="6:12" s="87" customFormat="1">
      <c r="F1072" s="92"/>
      <c r="G1072" s="92"/>
      <c r="H1072" s="92"/>
      <c r="I1072" s="92"/>
      <c r="J1072" s="92"/>
      <c r="K1072" s="92"/>
      <c r="L1072" s="92"/>
    </row>
    <row r="1073" spans="6:12" s="87" customFormat="1">
      <c r="F1073" s="92"/>
      <c r="G1073" s="92"/>
      <c r="H1073" s="92"/>
      <c r="I1073" s="92"/>
      <c r="J1073" s="92"/>
      <c r="K1073" s="92"/>
      <c r="L1073" s="92"/>
    </row>
    <row r="1074" spans="6:12" s="87" customFormat="1">
      <c r="F1074" s="92"/>
      <c r="G1074" s="92"/>
      <c r="H1074" s="92"/>
      <c r="I1074" s="92"/>
      <c r="J1074" s="92"/>
      <c r="K1074" s="92"/>
      <c r="L1074" s="92"/>
    </row>
    <row r="1075" spans="6:12" s="87" customFormat="1">
      <c r="F1075" s="92"/>
      <c r="G1075" s="92"/>
      <c r="H1075" s="92"/>
      <c r="I1075" s="92"/>
      <c r="J1075" s="92"/>
      <c r="K1075" s="92"/>
      <c r="L1075" s="92"/>
    </row>
    <row r="1076" spans="6:12" s="87" customFormat="1">
      <c r="F1076" s="92"/>
      <c r="G1076" s="92"/>
      <c r="H1076" s="92"/>
      <c r="I1076" s="92"/>
      <c r="J1076" s="92"/>
      <c r="K1076" s="92"/>
      <c r="L1076" s="92"/>
    </row>
    <row r="1077" spans="6:12" s="87" customFormat="1">
      <c r="F1077" s="92"/>
      <c r="G1077" s="92"/>
      <c r="H1077" s="92"/>
      <c r="I1077" s="92"/>
      <c r="J1077" s="92"/>
      <c r="K1077" s="92"/>
      <c r="L1077" s="92"/>
    </row>
    <row r="1078" spans="6:12" s="87" customFormat="1">
      <c r="F1078" s="92"/>
      <c r="G1078" s="92"/>
      <c r="H1078" s="92"/>
      <c r="I1078" s="92"/>
      <c r="J1078" s="92"/>
      <c r="K1078" s="92"/>
      <c r="L1078" s="92"/>
    </row>
    <row r="1079" spans="6:12" s="87" customFormat="1">
      <c r="F1079" s="92"/>
      <c r="G1079" s="92"/>
      <c r="H1079" s="92"/>
      <c r="I1079" s="92"/>
      <c r="J1079" s="92"/>
      <c r="K1079" s="92"/>
      <c r="L1079" s="92"/>
    </row>
    <row r="1080" spans="6:12" s="87" customFormat="1">
      <c r="F1080" s="92"/>
      <c r="G1080" s="92"/>
      <c r="H1080" s="92"/>
      <c r="I1080" s="92"/>
      <c r="J1080" s="92"/>
      <c r="K1080" s="92"/>
      <c r="L1080" s="92"/>
    </row>
    <row r="1081" spans="6:12" s="87" customFormat="1">
      <c r="F1081" s="92"/>
      <c r="G1081" s="92"/>
      <c r="H1081" s="92"/>
      <c r="I1081" s="92"/>
      <c r="J1081" s="92"/>
      <c r="K1081" s="92"/>
      <c r="L1081" s="92"/>
    </row>
    <row r="1082" spans="6:12" s="87" customFormat="1">
      <c r="F1082" s="92"/>
      <c r="G1082" s="92"/>
      <c r="H1082" s="92"/>
      <c r="I1082" s="92"/>
      <c r="J1082" s="92"/>
      <c r="K1082" s="92"/>
      <c r="L1082" s="92"/>
    </row>
    <row r="1083" spans="6:12" s="87" customFormat="1">
      <c r="F1083" s="92"/>
      <c r="G1083" s="92"/>
      <c r="H1083" s="92"/>
      <c r="I1083" s="92"/>
      <c r="J1083" s="92"/>
      <c r="K1083" s="92"/>
      <c r="L1083" s="92"/>
    </row>
    <row r="1084" spans="6:12" s="87" customFormat="1">
      <c r="F1084" s="92"/>
      <c r="G1084" s="92"/>
      <c r="H1084" s="92"/>
      <c r="I1084" s="92"/>
      <c r="J1084" s="92"/>
      <c r="K1084" s="92"/>
      <c r="L1084" s="92"/>
    </row>
    <row r="1085" spans="6:12" s="87" customFormat="1">
      <c r="F1085" s="92"/>
      <c r="G1085" s="92"/>
      <c r="H1085" s="92"/>
      <c r="I1085" s="92"/>
      <c r="J1085" s="92"/>
      <c r="K1085" s="92"/>
      <c r="L1085" s="92"/>
    </row>
    <row r="1086" spans="6:12" s="87" customFormat="1">
      <c r="F1086" s="92"/>
      <c r="G1086" s="92"/>
      <c r="H1086" s="92"/>
      <c r="I1086" s="92"/>
      <c r="J1086" s="92"/>
      <c r="K1086" s="92"/>
      <c r="L1086" s="92"/>
    </row>
    <row r="1087" spans="6:12" s="87" customFormat="1">
      <c r="F1087" s="92"/>
      <c r="G1087" s="92"/>
      <c r="H1087" s="92"/>
      <c r="I1087" s="92"/>
      <c r="J1087" s="92"/>
      <c r="K1087" s="92"/>
      <c r="L1087" s="92"/>
    </row>
    <row r="1088" spans="6:12" s="87" customFormat="1">
      <c r="F1088" s="92"/>
      <c r="G1088" s="92"/>
      <c r="H1088" s="92"/>
      <c r="I1088" s="92"/>
      <c r="J1088" s="92"/>
      <c r="K1088" s="92"/>
      <c r="L1088" s="92"/>
    </row>
    <row r="1089" spans="6:12" s="87" customFormat="1">
      <c r="F1089" s="92"/>
      <c r="G1089" s="92"/>
      <c r="H1089" s="92"/>
      <c r="I1089" s="92"/>
      <c r="J1089" s="92"/>
      <c r="K1089" s="92"/>
      <c r="L1089" s="92"/>
    </row>
    <row r="1090" spans="6:12" s="87" customFormat="1">
      <c r="F1090" s="92"/>
      <c r="G1090" s="92"/>
      <c r="H1090" s="92"/>
      <c r="I1090" s="92"/>
      <c r="J1090" s="92"/>
      <c r="K1090" s="92"/>
      <c r="L1090" s="92"/>
    </row>
    <row r="1091" spans="6:12" s="87" customFormat="1">
      <c r="F1091" s="92"/>
      <c r="G1091" s="92"/>
      <c r="H1091" s="92"/>
      <c r="I1091" s="92"/>
      <c r="J1091" s="92"/>
      <c r="K1091" s="92"/>
      <c r="L1091" s="92"/>
    </row>
    <row r="1092" spans="6:12" s="87" customFormat="1">
      <c r="F1092" s="92"/>
      <c r="G1092" s="92"/>
      <c r="H1092" s="92"/>
      <c r="I1092" s="92"/>
      <c r="J1092" s="92"/>
      <c r="K1092" s="92"/>
      <c r="L1092" s="92"/>
    </row>
    <row r="1093" spans="6:12" s="87" customFormat="1">
      <c r="F1093" s="92"/>
      <c r="G1093" s="92"/>
      <c r="H1093" s="92"/>
      <c r="I1093" s="92"/>
      <c r="J1093" s="92"/>
      <c r="K1093" s="92"/>
      <c r="L1093" s="92"/>
    </row>
    <row r="1094" spans="6:12" s="87" customFormat="1">
      <c r="F1094" s="92"/>
      <c r="G1094" s="92"/>
      <c r="H1094" s="92"/>
      <c r="I1094" s="92"/>
      <c r="J1094" s="92"/>
      <c r="K1094" s="92"/>
      <c r="L1094" s="92"/>
    </row>
    <row r="1095" spans="6:12" s="87" customFormat="1">
      <c r="F1095" s="92"/>
      <c r="G1095" s="92"/>
      <c r="H1095" s="92"/>
      <c r="I1095" s="92"/>
      <c r="J1095" s="92"/>
      <c r="K1095" s="92"/>
      <c r="L1095" s="92"/>
    </row>
    <row r="1096" spans="6:12" s="87" customFormat="1">
      <c r="F1096" s="92"/>
      <c r="G1096" s="92"/>
      <c r="H1096" s="92"/>
      <c r="I1096" s="92"/>
      <c r="J1096" s="92"/>
      <c r="K1096" s="92"/>
      <c r="L1096" s="92"/>
    </row>
    <row r="1097" spans="6:12" s="87" customFormat="1">
      <c r="F1097" s="92"/>
      <c r="G1097" s="92"/>
      <c r="H1097" s="92"/>
      <c r="I1097" s="92"/>
      <c r="J1097" s="92"/>
      <c r="K1097" s="92"/>
      <c r="L1097" s="92"/>
    </row>
    <row r="1098" spans="6:12" s="87" customFormat="1">
      <c r="F1098" s="92"/>
      <c r="G1098" s="92"/>
      <c r="H1098" s="92"/>
      <c r="I1098" s="92"/>
      <c r="J1098" s="92"/>
      <c r="K1098" s="92"/>
      <c r="L1098" s="92"/>
    </row>
    <row r="1099" spans="6:12" s="87" customFormat="1">
      <c r="F1099" s="92"/>
      <c r="G1099" s="92"/>
      <c r="H1099" s="92"/>
      <c r="I1099" s="92"/>
      <c r="J1099" s="92"/>
      <c r="K1099" s="92"/>
      <c r="L1099" s="92"/>
    </row>
    <row r="1100" spans="6:12" s="87" customFormat="1">
      <c r="F1100" s="92"/>
      <c r="G1100" s="92"/>
      <c r="H1100" s="92"/>
      <c r="I1100" s="92"/>
      <c r="J1100" s="92"/>
      <c r="K1100" s="92"/>
      <c r="L1100" s="92"/>
    </row>
    <row r="1101" spans="6:12" s="87" customFormat="1">
      <c r="F1101" s="92"/>
      <c r="G1101" s="92"/>
      <c r="H1101" s="92"/>
      <c r="I1101" s="92"/>
      <c r="J1101" s="92"/>
      <c r="K1101" s="92"/>
      <c r="L1101" s="92"/>
    </row>
    <row r="1102" spans="6:12" s="87" customFormat="1">
      <c r="F1102" s="92"/>
      <c r="G1102" s="92"/>
      <c r="H1102" s="92"/>
      <c r="I1102" s="92"/>
      <c r="J1102" s="92"/>
      <c r="K1102" s="92"/>
      <c r="L1102" s="92"/>
    </row>
    <row r="1103" spans="6:12" s="87" customFormat="1">
      <c r="F1103" s="92"/>
      <c r="G1103" s="92"/>
      <c r="H1103" s="92"/>
      <c r="I1103" s="92"/>
      <c r="J1103" s="92"/>
      <c r="K1103" s="92"/>
      <c r="L1103" s="92"/>
    </row>
    <row r="1104" spans="6:12" s="87" customFormat="1">
      <c r="F1104" s="92"/>
      <c r="G1104" s="92"/>
      <c r="H1104" s="92"/>
      <c r="I1104" s="92"/>
      <c r="J1104" s="92"/>
      <c r="K1104" s="92"/>
      <c r="L1104" s="92"/>
    </row>
    <row r="1105" spans="6:12" s="87" customFormat="1">
      <c r="F1105" s="92"/>
      <c r="G1105" s="92"/>
      <c r="H1105" s="92"/>
      <c r="I1105" s="92"/>
      <c r="J1105" s="92"/>
      <c r="K1105" s="92"/>
      <c r="L1105" s="92"/>
    </row>
    <row r="1106" spans="6:12" s="87" customFormat="1">
      <c r="F1106" s="92"/>
      <c r="G1106" s="92"/>
      <c r="H1106" s="92"/>
      <c r="I1106" s="92"/>
      <c r="J1106" s="92"/>
      <c r="K1106" s="92"/>
      <c r="L1106" s="92"/>
    </row>
    <row r="1107" spans="6:12" s="87" customFormat="1">
      <c r="F1107" s="92"/>
      <c r="G1107" s="92"/>
      <c r="H1107" s="92"/>
      <c r="I1107" s="92"/>
      <c r="J1107" s="92"/>
      <c r="K1107" s="92"/>
      <c r="L1107" s="92"/>
    </row>
    <row r="1108" spans="6:12" s="87" customFormat="1">
      <c r="F1108" s="92"/>
      <c r="G1108" s="92"/>
      <c r="H1108" s="92"/>
      <c r="I1108" s="92"/>
      <c r="J1108" s="92"/>
      <c r="K1108" s="92"/>
      <c r="L1108" s="92"/>
    </row>
    <row r="1109" spans="6:12" s="87" customFormat="1">
      <c r="F1109" s="92"/>
      <c r="G1109" s="92"/>
      <c r="H1109" s="92"/>
      <c r="I1109" s="92"/>
      <c r="J1109" s="92"/>
      <c r="K1109" s="92"/>
      <c r="L1109" s="92"/>
    </row>
    <row r="1110" spans="6:12" s="87" customFormat="1">
      <c r="F1110" s="92"/>
      <c r="G1110" s="92"/>
      <c r="H1110" s="92"/>
      <c r="I1110" s="92"/>
      <c r="J1110" s="92"/>
      <c r="K1110" s="92"/>
      <c r="L1110" s="92"/>
    </row>
    <row r="1111" spans="6:12" s="87" customFormat="1">
      <c r="F1111" s="92"/>
      <c r="G1111" s="92"/>
      <c r="H1111" s="92"/>
      <c r="I1111" s="92"/>
      <c r="J1111" s="92"/>
      <c r="K1111" s="92"/>
      <c r="L1111" s="92"/>
    </row>
    <row r="1112" spans="6:12" s="87" customFormat="1">
      <c r="F1112" s="92"/>
      <c r="G1112" s="92"/>
      <c r="H1112" s="92"/>
      <c r="I1112" s="92"/>
      <c r="J1112" s="92"/>
      <c r="K1112" s="92"/>
      <c r="L1112" s="92"/>
    </row>
    <row r="1113" spans="6:12" s="87" customFormat="1">
      <c r="F1113" s="92"/>
      <c r="G1113" s="92"/>
      <c r="H1113" s="92"/>
      <c r="I1113" s="92"/>
      <c r="J1113" s="92"/>
      <c r="K1113" s="92"/>
      <c r="L1113" s="92"/>
    </row>
    <row r="1114" spans="6:12" s="87" customFormat="1">
      <c r="F1114" s="92"/>
      <c r="G1114" s="92"/>
      <c r="H1114" s="92"/>
      <c r="I1114" s="92"/>
      <c r="J1114" s="92"/>
      <c r="K1114" s="92"/>
      <c r="L1114" s="92"/>
    </row>
    <row r="1115" spans="6:12" s="87" customFormat="1">
      <c r="F1115" s="92"/>
      <c r="G1115" s="92"/>
      <c r="H1115" s="92"/>
      <c r="I1115" s="92"/>
      <c r="J1115" s="92"/>
      <c r="K1115" s="92"/>
      <c r="L1115" s="92"/>
    </row>
    <row r="1116" spans="6:12" s="87" customFormat="1">
      <c r="F1116" s="92"/>
      <c r="G1116" s="92"/>
      <c r="H1116" s="92"/>
      <c r="I1116" s="92"/>
      <c r="J1116" s="92"/>
      <c r="K1116" s="92"/>
      <c r="L1116" s="92"/>
    </row>
    <row r="1117" spans="6:12" s="87" customFormat="1">
      <c r="F1117" s="92"/>
      <c r="G1117" s="92"/>
      <c r="H1117" s="92"/>
      <c r="I1117" s="92"/>
      <c r="J1117" s="92"/>
      <c r="K1117" s="92"/>
      <c r="L1117" s="92"/>
    </row>
    <row r="1118" spans="6:12" s="87" customFormat="1">
      <c r="F1118" s="92"/>
      <c r="G1118" s="92"/>
      <c r="H1118" s="92"/>
      <c r="I1118" s="92"/>
      <c r="J1118" s="92"/>
      <c r="K1118" s="92"/>
      <c r="L1118" s="92"/>
    </row>
    <row r="1119" spans="6:12" s="87" customFormat="1">
      <c r="F1119" s="92"/>
      <c r="G1119" s="92"/>
      <c r="H1119" s="92"/>
      <c r="I1119" s="92"/>
      <c r="J1119" s="92"/>
      <c r="K1119" s="92"/>
      <c r="L1119" s="92"/>
    </row>
    <row r="1120" spans="6:12" s="87" customFormat="1">
      <c r="F1120" s="92"/>
      <c r="G1120" s="92"/>
      <c r="H1120" s="92"/>
      <c r="I1120" s="92"/>
      <c r="J1120" s="92"/>
      <c r="K1120" s="92"/>
      <c r="L1120" s="92"/>
    </row>
    <row r="1121" spans="6:12" s="87" customFormat="1">
      <c r="F1121" s="92"/>
      <c r="G1121" s="92"/>
      <c r="H1121" s="92"/>
      <c r="I1121" s="92"/>
      <c r="J1121" s="92"/>
      <c r="K1121" s="92"/>
      <c r="L1121" s="92"/>
    </row>
    <row r="1122" spans="6:12" s="87" customFormat="1">
      <c r="F1122" s="92"/>
      <c r="G1122" s="92"/>
      <c r="H1122" s="92"/>
      <c r="I1122" s="92"/>
      <c r="J1122" s="92"/>
      <c r="K1122" s="92"/>
      <c r="L1122" s="92"/>
    </row>
    <row r="1123" spans="6:12" s="87" customFormat="1">
      <c r="F1123" s="92"/>
      <c r="G1123" s="92"/>
      <c r="H1123" s="92"/>
      <c r="I1123" s="92"/>
      <c r="J1123" s="92"/>
      <c r="K1123" s="92"/>
      <c r="L1123" s="92"/>
    </row>
    <row r="1124" spans="6:12" s="87" customFormat="1">
      <c r="F1124" s="92"/>
      <c r="G1124" s="92"/>
      <c r="H1124" s="92"/>
      <c r="I1124" s="92"/>
      <c r="J1124" s="92"/>
      <c r="K1124" s="92"/>
      <c r="L1124" s="92"/>
    </row>
    <row r="1125" spans="6:12" s="87" customFormat="1">
      <c r="F1125" s="92"/>
      <c r="G1125" s="92"/>
      <c r="H1125" s="92"/>
      <c r="I1125" s="92"/>
      <c r="J1125" s="92"/>
      <c r="K1125" s="92"/>
      <c r="L1125" s="92"/>
    </row>
    <row r="1126" spans="6:12" s="87" customFormat="1">
      <c r="F1126" s="92"/>
      <c r="G1126" s="92"/>
      <c r="H1126" s="92"/>
      <c r="I1126" s="92"/>
      <c r="J1126" s="92"/>
      <c r="K1126" s="92"/>
      <c r="L1126" s="92"/>
    </row>
    <row r="1127" spans="6:12" s="87" customFormat="1">
      <c r="F1127" s="92"/>
      <c r="G1127" s="92"/>
      <c r="H1127" s="92"/>
      <c r="I1127" s="92"/>
      <c r="J1127" s="92"/>
      <c r="K1127" s="92"/>
      <c r="L1127" s="92"/>
    </row>
    <row r="1128" spans="6:12" s="87" customFormat="1">
      <c r="F1128" s="92"/>
      <c r="G1128" s="92"/>
      <c r="H1128" s="92"/>
      <c r="I1128" s="92"/>
      <c r="J1128" s="92"/>
      <c r="K1128" s="92"/>
      <c r="L1128" s="92"/>
    </row>
    <row r="1129" spans="6:12" s="87" customFormat="1">
      <c r="F1129" s="92"/>
      <c r="G1129" s="92"/>
      <c r="H1129" s="92"/>
      <c r="I1129" s="92"/>
      <c r="J1129" s="92"/>
      <c r="K1129" s="92"/>
      <c r="L1129" s="92"/>
    </row>
    <row r="1130" spans="6:12" s="87" customFormat="1">
      <c r="F1130" s="92"/>
      <c r="G1130" s="92"/>
      <c r="H1130" s="92"/>
      <c r="I1130" s="92"/>
      <c r="J1130" s="92"/>
      <c r="K1130" s="92"/>
      <c r="L1130" s="92"/>
    </row>
    <row r="1131" spans="6:12" s="87" customFormat="1">
      <c r="F1131" s="92"/>
      <c r="G1131" s="92"/>
      <c r="H1131" s="92"/>
      <c r="I1131" s="92"/>
      <c r="J1131" s="92"/>
      <c r="K1131" s="92"/>
      <c r="L1131" s="92"/>
    </row>
    <row r="1132" spans="6:12" s="87" customFormat="1">
      <c r="F1132" s="92"/>
      <c r="G1132" s="92"/>
      <c r="H1132" s="92"/>
      <c r="I1132" s="92"/>
      <c r="J1132" s="92"/>
      <c r="K1132" s="92"/>
      <c r="L1132" s="92"/>
    </row>
    <row r="1133" spans="6:12" s="87" customFormat="1">
      <c r="F1133" s="92"/>
      <c r="G1133" s="92"/>
      <c r="H1133" s="92"/>
      <c r="I1133" s="92"/>
      <c r="J1133" s="92"/>
      <c r="K1133" s="92"/>
      <c r="L1133" s="92"/>
    </row>
    <row r="1134" spans="6:12" s="87" customFormat="1">
      <c r="F1134" s="92"/>
      <c r="G1134" s="92"/>
      <c r="H1134" s="92"/>
      <c r="I1134" s="92"/>
      <c r="J1134" s="92"/>
      <c r="K1134" s="92"/>
      <c r="L1134" s="92"/>
    </row>
    <row r="1135" spans="6:12" s="87" customFormat="1">
      <c r="F1135" s="92"/>
      <c r="G1135" s="92"/>
      <c r="H1135" s="92"/>
      <c r="I1135" s="92"/>
      <c r="J1135" s="92"/>
      <c r="K1135" s="92"/>
      <c r="L1135" s="92"/>
    </row>
    <row r="1136" spans="6:12" s="87" customFormat="1">
      <c r="F1136" s="92"/>
      <c r="G1136" s="92"/>
      <c r="H1136" s="92"/>
      <c r="I1136" s="92"/>
      <c r="J1136" s="92"/>
      <c r="K1136" s="92"/>
      <c r="L1136" s="92"/>
    </row>
    <row r="1137" spans="6:12" s="87" customFormat="1">
      <c r="F1137" s="92"/>
      <c r="G1137" s="92"/>
      <c r="H1137" s="92"/>
      <c r="I1137" s="92"/>
      <c r="J1137" s="92"/>
      <c r="K1137" s="92"/>
      <c r="L1137" s="92"/>
    </row>
    <row r="1138" spans="6:12" s="87" customFormat="1">
      <c r="F1138" s="92"/>
      <c r="G1138" s="92"/>
      <c r="H1138" s="92"/>
      <c r="I1138" s="92"/>
      <c r="J1138" s="92"/>
      <c r="K1138" s="92"/>
      <c r="L1138" s="92"/>
    </row>
    <row r="1139" spans="6:12" s="87" customFormat="1">
      <c r="F1139" s="92"/>
      <c r="G1139" s="92"/>
      <c r="H1139" s="92"/>
      <c r="I1139" s="92"/>
      <c r="J1139" s="92"/>
      <c r="K1139" s="92"/>
      <c r="L1139" s="92"/>
    </row>
    <row r="1140" spans="6:12" s="87" customFormat="1">
      <c r="F1140" s="92"/>
      <c r="G1140" s="92"/>
      <c r="H1140" s="92"/>
      <c r="I1140" s="92"/>
      <c r="J1140" s="92"/>
      <c r="K1140" s="92"/>
      <c r="L1140" s="92"/>
    </row>
    <row r="1141" spans="6:12" s="87" customFormat="1">
      <c r="F1141" s="92"/>
      <c r="G1141" s="92"/>
      <c r="H1141" s="92"/>
      <c r="I1141" s="92"/>
      <c r="J1141" s="92"/>
      <c r="K1141" s="92"/>
      <c r="L1141" s="92"/>
    </row>
    <row r="1142" spans="6:12" s="87" customFormat="1">
      <c r="F1142" s="92"/>
      <c r="G1142" s="92"/>
      <c r="H1142" s="92"/>
      <c r="I1142" s="92"/>
      <c r="J1142" s="92"/>
      <c r="K1142" s="92"/>
      <c r="L1142" s="92"/>
    </row>
    <row r="1143" spans="6:12" s="87" customFormat="1">
      <c r="F1143" s="92"/>
      <c r="G1143" s="92"/>
      <c r="H1143" s="92"/>
      <c r="I1143" s="92"/>
      <c r="J1143" s="92"/>
      <c r="K1143" s="92"/>
      <c r="L1143" s="92"/>
    </row>
    <row r="1144" spans="6:12" s="87" customFormat="1">
      <c r="F1144" s="92"/>
      <c r="G1144" s="92"/>
      <c r="H1144" s="92"/>
      <c r="I1144" s="92"/>
      <c r="J1144" s="92"/>
      <c r="K1144" s="92"/>
      <c r="L1144" s="92"/>
    </row>
    <row r="1145" spans="6:12" s="87" customFormat="1">
      <c r="F1145" s="92"/>
      <c r="G1145" s="92"/>
      <c r="H1145" s="92"/>
      <c r="I1145" s="92"/>
      <c r="J1145" s="92"/>
      <c r="K1145" s="92"/>
      <c r="L1145" s="92"/>
    </row>
    <row r="1146" spans="6:12" s="87" customFormat="1">
      <c r="F1146" s="92"/>
      <c r="G1146" s="92"/>
      <c r="H1146" s="92"/>
      <c r="I1146" s="92"/>
      <c r="J1146" s="92"/>
      <c r="K1146" s="92"/>
      <c r="L1146" s="92"/>
    </row>
    <row r="1147" spans="6:12" s="87" customFormat="1">
      <c r="F1147" s="92"/>
      <c r="G1147" s="92"/>
      <c r="H1147" s="92"/>
      <c r="I1147" s="92"/>
      <c r="J1147" s="92"/>
      <c r="K1147" s="92"/>
      <c r="L1147" s="92"/>
    </row>
    <row r="1148" spans="6:12" s="87" customFormat="1">
      <c r="F1148" s="92"/>
      <c r="G1148" s="92"/>
      <c r="H1148" s="92"/>
      <c r="I1148" s="92"/>
      <c r="J1148" s="92"/>
      <c r="K1148" s="92"/>
      <c r="L1148" s="92"/>
    </row>
    <row r="1149" spans="6:12" s="87" customFormat="1">
      <c r="F1149" s="92"/>
      <c r="G1149" s="92"/>
      <c r="H1149" s="92"/>
      <c r="I1149" s="92"/>
      <c r="J1149" s="92"/>
      <c r="K1149" s="92"/>
      <c r="L1149" s="92"/>
    </row>
    <row r="1150" spans="6:12" s="87" customFormat="1">
      <c r="F1150" s="92"/>
      <c r="G1150" s="92"/>
      <c r="H1150" s="92"/>
      <c r="I1150" s="92"/>
      <c r="J1150" s="92"/>
      <c r="K1150" s="92"/>
      <c r="L1150" s="92"/>
    </row>
    <row r="1151" spans="6:12" s="87" customFormat="1">
      <c r="F1151" s="92"/>
      <c r="G1151" s="92"/>
      <c r="H1151" s="92"/>
      <c r="I1151" s="92"/>
      <c r="J1151" s="92"/>
      <c r="K1151" s="92"/>
      <c r="L1151" s="92"/>
    </row>
    <row r="1152" spans="6:12" s="87" customFormat="1">
      <c r="F1152" s="92"/>
      <c r="G1152" s="92"/>
      <c r="H1152" s="92"/>
      <c r="I1152" s="92"/>
      <c r="J1152" s="92"/>
      <c r="K1152" s="92"/>
      <c r="L1152" s="92"/>
    </row>
    <row r="1153" spans="6:12" s="87" customFormat="1">
      <c r="F1153" s="92"/>
      <c r="G1153" s="92"/>
      <c r="H1153" s="92"/>
      <c r="I1153" s="92"/>
      <c r="J1153" s="92"/>
      <c r="K1153" s="92"/>
      <c r="L1153" s="92"/>
    </row>
    <row r="1154" spans="6:12" s="87" customFormat="1">
      <c r="F1154" s="92"/>
      <c r="G1154" s="92"/>
      <c r="H1154" s="92"/>
      <c r="I1154" s="92"/>
      <c r="J1154" s="92"/>
      <c r="K1154" s="92"/>
      <c r="L1154" s="92"/>
    </row>
    <row r="1155" spans="6:12" s="87" customFormat="1">
      <c r="F1155" s="92"/>
      <c r="G1155" s="92"/>
      <c r="H1155" s="92"/>
      <c r="I1155" s="92"/>
      <c r="J1155" s="92"/>
      <c r="K1155" s="92"/>
      <c r="L1155" s="92"/>
    </row>
    <row r="1156" spans="6:12" s="87" customFormat="1">
      <c r="F1156" s="92"/>
      <c r="G1156" s="92"/>
      <c r="H1156" s="92"/>
      <c r="I1156" s="92"/>
      <c r="J1156" s="92"/>
      <c r="K1156" s="92"/>
      <c r="L1156" s="92"/>
    </row>
    <row r="1157" spans="6:12" s="87" customFormat="1">
      <c r="F1157" s="92"/>
      <c r="G1157" s="92"/>
      <c r="H1157" s="92"/>
      <c r="I1157" s="92"/>
      <c r="J1157" s="92"/>
      <c r="K1157" s="92"/>
      <c r="L1157" s="92"/>
    </row>
    <row r="1158" spans="6:12" s="87" customFormat="1">
      <c r="F1158" s="92"/>
      <c r="G1158" s="92"/>
      <c r="H1158" s="92"/>
      <c r="I1158" s="92"/>
      <c r="J1158" s="92"/>
      <c r="K1158" s="92"/>
      <c r="L1158" s="92"/>
    </row>
    <row r="1159" spans="6:12" s="87" customFormat="1">
      <c r="F1159" s="92"/>
      <c r="G1159" s="92"/>
      <c r="H1159" s="92"/>
      <c r="I1159" s="92"/>
      <c r="J1159" s="92"/>
      <c r="K1159" s="92"/>
      <c r="L1159" s="92"/>
    </row>
    <row r="1160" spans="6:12" s="87" customFormat="1">
      <c r="F1160" s="92"/>
      <c r="G1160" s="92"/>
      <c r="H1160" s="92"/>
      <c r="I1160" s="92"/>
      <c r="J1160" s="92"/>
      <c r="K1160" s="92"/>
      <c r="L1160" s="92"/>
    </row>
    <row r="1161" spans="6:12" s="87" customFormat="1">
      <c r="F1161" s="92"/>
      <c r="G1161" s="92"/>
      <c r="H1161" s="92"/>
      <c r="I1161" s="92"/>
      <c r="J1161" s="92"/>
      <c r="K1161" s="92"/>
      <c r="L1161" s="92"/>
    </row>
    <row r="1162" spans="6:12" s="87" customFormat="1">
      <c r="F1162" s="92"/>
      <c r="G1162" s="92"/>
      <c r="H1162" s="92"/>
      <c r="I1162" s="92"/>
      <c r="J1162" s="92"/>
      <c r="K1162" s="92"/>
      <c r="L1162" s="92"/>
    </row>
    <row r="1163" spans="6:12" s="87" customFormat="1">
      <c r="F1163" s="92"/>
      <c r="G1163" s="92"/>
      <c r="H1163" s="92"/>
      <c r="I1163" s="92"/>
      <c r="J1163" s="92"/>
      <c r="K1163" s="92"/>
      <c r="L1163" s="92"/>
    </row>
    <row r="1164" spans="6:12" s="87" customFormat="1">
      <c r="F1164" s="92"/>
      <c r="G1164" s="92"/>
      <c r="H1164" s="92"/>
      <c r="I1164" s="92"/>
      <c r="J1164" s="92"/>
      <c r="K1164" s="92"/>
      <c r="L1164" s="92"/>
    </row>
    <row r="1165" spans="6:12" s="87" customFormat="1">
      <c r="F1165" s="92"/>
      <c r="G1165" s="92"/>
      <c r="H1165" s="92"/>
      <c r="I1165" s="92"/>
      <c r="J1165" s="92"/>
      <c r="K1165" s="92"/>
      <c r="L1165" s="92"/>
    </row>
    <row r="1166" spans="6:12" s="87" customFormat="1">
      <c r="F1166" s="92"/>
      <c r="G1166" s="92"/>
      <c r="H1166" s="92"/>
      <c r="I1166" s="92"/>
      <c r="J1166" s="92"/>
      <c r="K1166" s="92"/>
      <c r="L1166" s="92"/>
    </row>
    <row r="1167" spans="6:12" s="87" customFormat="1">
      <c r="F1167" s="92"/>
      <c r="G1167" s="92"/>
      <c r="H1167" s="92"/>
      <c r="I1167" s="92"/>
      <c r="J1167" s="92"/>
      <c r="K1167" s="92"/>
      <c r="L1167" s="92"/>
    </row>
    <row r="1168" spans="6:12" s="87" customFormat="1">
      <c r="F1168" s="92"/>
      <c r="G1168" s="92"/>
      <c r="H1168" s="92"/>
      <c r="I1168" s="92"/>
      <c r="J1168" s="92"/>
      <c r="K1168" s="92"/>
      <c r="L1168" s="92"/>
    </row>
    <row r="1169" spans="6:12" s="87" customFormat="1">
      <c r="F1169" s="92"/>
      <c r="G1169" s="92"/>
      <c r="H1169" s="92"/>
      <c r="I1169" s="92"/>
      <c r="J1169" s="92"/>
      <c r="K1169" s="92"/>
      <c r="L1169" s="92"/>
    </row>
    <row r="1170" spans="6:12" s="87" customFormat="1">
      <c r="F1170" s="92"/>
      <c r="G1170" s="92"/>
      <c r="H1170" s="92"/>
      <c r="I1170" s="92"/>
      <c r="J1170" s="92"/>
      <c r="K1170" s="92"/>
      <c r="L1170" s="92"/>
    </row>
    <row r="1171" spans="6:12" s="87" customFormat="1">
      <c r="F1171" s="92"/>
      <c r="G1171" s="92"/>
      <c r="H1171" s="92"/>
      <c r="I1171" s="92"/>
      <c r="J1171" s="92"/>
      <c r="K1171" s="92"/>
      <c r="L1171" s="92"/>
    </row>
    <row r="1172" spans="6:12" s="87" customFormat="1">
      <c r="F1172" s="92"/>
      <c r="G1172" s="92"/>
      <c r="H1172" s="92"/>
      <c r="I1172" s="92"/>
      <c r="J1172" s="92"/>
      <c r="K1172" s="92"/>
      <c r="L1172" s="92"/>
    </row>
    <row r="1173" spans="6:12" s="87" customFormat="1">
      <c r="F1173" s="92"/>
      <c r="G1173" s="92"/>
      <c r="H1173" s="92"/>
      <c r="I1173" s="92"/>
      <c r="J1173" s="92"/>
      <c r="K1173" s="92"/>
      <c r="L1173" s="92"/>
    </row>
    <row r="1174" spans="6:12" s="87" customFormat="1">
      <c r="F1174" s="92"/>
      <c r="G1174" s="92"/>
      <c r="H1174" s="92"/>
      <c r="I1174" s="92"/>
      <c r="J1174" s="92"/>
      <c r="K1174" s="92"/>
      <c r="L1174" s="92"/>
    </row>
    <row r="1175" spans="6:12" s="87" customFormat="1">
      <c r="F1175" s="92"/>
      <c r="G1175" s="92"/>
      <c r="H1175" s="92"/>
      <c r="I1175" s="92"/>
      <c r="J1175" s="92"/>
      <c r="K1175" s="92"/>
      <c r="L1175" s="92"/>
    </row>
    <row r="1176" spans="6:12" s="87" customFormat="1">
      <c r="F1176" s="92"/>
      <c r="G1176" s="92"/>
      <c r="H1176" s="92"/>
      <c r="I1176" s="92"/>
      <c r="J1176" s="92"/>
      <c r="K1176" s="92"/>
      <c r="L1176" s="92"/>
    </row>
    <row r="1177" spans="6:12" s="87" customFormat="1">
      <c r="F1177" s="92"/>
      <c r="G1177" s="92"/>
      <c r="H1177" s="92"/>
      <c r="I1177" s="92"/>
      <c r="J1177" s="92"/>
      <c r="K1177" s="92"/>
      <c r="L1177" s="92"/>
    </row>
    <row r="1178" spans="6:12" s="87" customFormat="1">
      <c r="F1178" s="92"/>
      <c r="G1178" s="92"/>
      <c r="H1178" s="92"/>
      <c r="I1178" s="92"/>
      <c r="J1178" s="92"/>
      <c r="K1178" s="92"/>
      <c r="L1178" s="92"/>
    </row>
    <row r="1179" spans="6:12" s="87" customFormat="1">
      <c r="F1179" s="92"/>
      <c r="G1179" s="92"/>
      <c r="H1179" s="92"/>
      <c r="I1179" s="92"/>
      <c r="J1179" s="92"/>
      <c r="K1179" s="92"/>
      <c r="L1179" s="92"/>
    </row>
    <row r="1180" spans="6:12" s="87" customFormat="1">
      <c r="F1180" s="92"/>
      <c r="G1180" s="92"/>
      <c r="H1180" s="92"/>
      <c r="I1180" s="92"/>
      <c r="J1180" s="92"/>
      <c r="K1180" s="92"/>
      <c r="L1180" s="92"/>
    </row>
    <row r="1181" spans="6:12" s="87" customFormat="1">
      <c r="F1181" s="92"/>
      <c r="G1181" s="92"/>
      <c r="H1181" s="92"/>
      <c r="I1181" s="92"/>
      <c r="J1181" s="92"/>
      <c r="K1181" s="92"/>
      <c r="L1181" s="92"/>
    </row>
    <row r="1182" spans="6:12" s="87" customFormat="1">
      <c r="F1182" s="92"/>
      <c r="G1182" s="92"/>
      <c r="H1182" s="92"/>
      <c r="I1182" s="92"/>
      <c r="J1182" s="92"/>
      <c r="K1182" s="92"/>
      <c r="L1182" s="92"/>
    </row>
    <row r="1183" spans="6:12" s="87" customFormat="1">
      <c r="F1183" s="92"/>
      <c r="G1183" s="92"/>
      <c r="H1183" s="92"/>
      <c r="I1183" s="92"/>
      <c r="J1183" s="92"/>
      <c r="K1183" s="92"/>
      <c r="L1183" s="92"/>
    </row>
    <row r="1184" spans="6:12" s="87" customFormat="1">
      <c r="F1184" s="92"/>
      <c r="G1184" s="92"/>
      <c r="H1184" s="92"/>
      <c r="I1184" s="92"/>
      <c r="J1184" s="92"/>
      <c r="K1184" s="92"/>
      <c r="L1184" s="92"/>
    </row>
    <row r="1185" spans="6:12" s="87" customFormat="1">
      <c r="F1185" s="92"/>
      <c r="G1185" s="92"/>
      <c r="H1185" s="92"/>
      <c r="I1185" s="92"/>
      <c r="J1185" s="92"/>
      <c r="K1185" s="92"/>
      <c r="L1185" s="92"/>
    </row>
    <row r="1186" spans="6:12" s="87" customFormat="1">
      <c r="F1186" s="92"/>
      <c r="G1186" s="92"/>
      <c r="H1186" s="92"/>
      <c r="I1186" s="92"/>
      <c r="J1186" s="92"/>
      <c r="K1186" s="92"/>
      <c r="L1186" s="92"/>
    </row>
    <row r="1187" spans="6:12" s="87" customFormat="1">
      <c r="F1187" s="92"/>
      <c r="G1187" s="92"/>
      <c r="H1187" s="92"/>
      <c r="I1187" s="92"/>
      <c r="J1187" s="92"/>
      <c r="K1187" s="92"/>
      <c r="L1187" s="92"/>
    </row>
    <row r="1188" spans="6:12" s="87" customFormat="1">
      <c r="F1188" s="92"/>
      <c r="G1188" s="92"/>
      <c r="H1188" s="92"/>
      <c r="I1188" s="92"/>
      <c r="J1188" s="92"/>
      <c r="K1188" s="92"/>
      <c r="L1188" s="92"/>
    </row>
    <row r="1189" spans="6:12" s="87" customFormat="1">
      <c r="F1189" s="92"/>
      <c r="G1189" s="92"/>
      <c r="H1189" s="92"/>
      <c r="I1189" s="92"/>
      <c r="J1189" s="92"/>
      <c r="K1189" s="92"/>
      <c r="L1189" s="92"/>
    </row>
    <row r="1190" spans="6:12" s="87" customFormat="1">
      <c r="F1190" s="92"/>
      <c r="G1190" s="92"/>
      <c r="H1190" s="92"/>
      <c r="I1190" s="92"/>
      <c r="J1190" s="92"/>
      <c r="K1190" s="92"/>
      <c r="L1190" s="92"/>
    </row>
    <row r="1191" spans="6:12" s="87" customFormat="1">
      <c r="F1191" s="92"/>
      <c r="G1191" s="92"/>
      <c r="H1191" s="92"/>
      <c r="I1191" s="92"/>
      <c r="J1191" s="92"/>
      <c r="K1191" s="92"/>
      <c r="L1191" s="92"/>
    </row>
    <row r="1192" spans="6:12" s="87" customFormat="1">
      <c r="F1192" s="92"/>
      <c r="G1192" s="92"/>
      <c r="H1192" s="92"/>
      <c r="I1192" s="92"/>
      <c r="J1192" s="92"/>
      <c r="K1192" s="92"/>
      <c r="L1192" s="92"/>
    </row>
    <row r="1193" spans="6:12" s="87" customFormat="1">
      <c r="F1193" s="92"/>
      <c r="G1193" s="92"/>
      <c r="H1193" s="92"/>
      <c r="I1193" s="92"/>
      <c r="J1193" s="92"/>
      <c r="K1193" s="92"/>
      <c r="L1193" s="92"/>
    </row>
    <row r="1194" spans="6:12" s="87" customFormat="1">
      <c r="F1194" s="92"/>
      <c r="G1194" s="92"/>
      <c r="H1194" s="92"/>
      <c r="I1194" s="92"/>
      <c r="J1194" s="92"/>
      <c r="K1194" s="92"/>
      <c r="L1194" s="92"/>
    </row>
    <row r="1195" spans="6:12" s="87" customFormat="1">
      <c r="F1195" s="92"/>
      <c r="G1195" s="92"/>
      <c r="H1195" s="92"/>
      <c r="I1195" s="92"/>
      <c r="J1195" s="92"/>
      <c r="K1195" s="92"/>
      <c r="L1195" s="92"/>
    </row>
    <row r="1196" spans="6:12" s="87" customFormat="1">
      <c r="F1196" s="92"/>
      <c r="G1196" s="92"/>
      <c r="H1196" s="92"/>
      <c r="I1196" s="92"/>
      <c r="J1196" s="92"/>
      <c r="K1196" s="92"/>
      <c r="L1196" s="92"/>
    </row>
    <row r="1197" spans="6:12" s="87" customFormat="1">
      <c r="F1197" s="92"/>
      <c r="G1197" s="92"/>
      <c r="H1197" s="92"/>
      <c r="I1197" s="92"/>
      <c r="J1197" s="92"/>
      <c r="K1197" s="92"/>
      <c r="L1197" s="92"/>
    </row>
    <row r="1198" spans="6:12" s="87" customFormat="1">
      <c r="F1198" s="92"/>
      <c r="G1198" s="92"/>
      <c r="H1198" s="92"/>
      <c r="I1198" s="92"/>
      <c r="J1198" s="92"/>
      <c r="K1198" s="92"/>
      <c r="L1198" s="92"/>
    </row>
    <row r="1199" spans="6:12" s="87" customFormat="1">
      <c r="F1199" s="92"/>
      <c r="G1199" s="92"/>
      <c r="H1199" s="92"/>
      <c r="I1199" s="92"/>
      <c r="J1199" s="92"/>
      <c r="K1199" s="92"/>
      <c r="L1199" s="92"/>
    </row>
    <row r="1200" spans="6:12" s="87" customFormat="1">
      <c r="F1200" s="92"/>
      <c r="G1200" s="92"/>
      <c r="H1200" s="92"/>
      <c r="I1200" s="92"/>
      <c r="J1200" s="92"/>
      <c r="K1200" s="92"/>
      <c r="L1200" s="92"/>
    </row>
    <row r="1201" spans="6:12" s="87" customFormat="1">
      <c r="F1201" s="92"/>
      <c r="G1201" s="92"/>
      <c r="H1201" s="92"/>
      <c r="I1201" s="92"/>
      <c r="J1201" s="92"/>
      <c r="K1201" s="92"/>
      <c r="L1201" s="92"/>
    </row>
    <row r="1202" spans="6:12" s="87" customFormat="1">
      <c r="F1202" s="92"/>
      <c r="G1202" s="92"/>
      <c r="H1202" s="92"/>
      <c r="I1202" s="92"/>
      <c r="J1202" s="92"/>
      <c r="K1202" s="92"/>
      <c r="L1202" s="92"/>
    </row>
    <row r="1203" spans="6:12" s="87" customFormat="1">
      <c r="F1203" s="92"/>
      <c r="G1203" s="92"/>
      <c r="H1203" s="92"/>
      <c r="I1203" s="92"/>
      <c r="J1203" s="92"/>
      <c r="K1203" s="92"/>
      <c r="L1203" s="92"/>
    </row>
    <row r="1204" spans="6:12" s="87" customFormat="1">
      <c r="F1204" s="92"/>
      <c r="G1204" s="92"/>
      <c r="H1204" s="92"/>
      <c r="I1204" s="92"/>
      <c r="J1204" s="92"/>
      <c r="K1204" s="92"/>
      <c r="L1204" s="92"/>
    </row>
    <row r="1205" spans="6:12" s="87" customFormat="1">
      <c r="F1205" s="92"/>
      <c r="G1205" s="92"/>
      <c r="H1205" s="92"/>
      <c r="I1205" s="92"/>
      <c r="J1205" s="92"/>
      <c r="K1205" s="92"/>
      <c r="L1205" s="92"/>
    </row>
    <row r="1206" spans="6:12" s="87" customFormat="1">
      <c r="F1206" s="92"/>
      <c r="G1206" s="92"/>
      <c r="H1206" s="92"/>
      <c r="I1206" s="92"/>
      <c r="J1206" s="92"/>
      <c r="K1206" s="92"/>
      <c r="L1206" s="92"/>
    </row>
    <row r="1207" spans="6:12" s="87" customFormat="1">
      <c r="F1207" s="92"/>
      <c r="G1207" s="92"/>
      <c r="H1207" s="92"/>
      <c r="I1207" s="92"/>
      <c r="J1207" s="92"/>
      <c r="K1207" s="92"/>
      <c r="L1207" s="92"/>
    </row>
    <row r="1208" spans="6:12" s="87" customFormat="1">
      <c r="F1208" s="92"/>
      <c r="G1208" s="92"/>
      <c r="H1208" s="92"/>
      <c r="I1208" s="92"/>
      <c r="J1208" s="92"/>
      <c r="K1208" s="92"/>
      <c r="L1208" s="92"/>
    </row>
    <row r="1209" spans="6:12" s="87" customFormat="1">
      <c r="F1209" s="92"/>
      <c r="G1209" s="92"/>
      <c r="H1209" s="92"/>
      <c r="I1209" s="92"/>
      <c r="J1209" s="92"/>
      <c r="K1209" s="92"/>
      <c r="L1209" s="92"/>
    </row>
    <row r="1210" spans="6:12" s="87" customFormat="1">
      <c r="F1210" s="92"/>
      <c r="G1210" s="92"/>
      <c r="H1210" s="92"/>
      <c r="I1210" s="92"/>
      <c r="J1210" s="92"/>
      <c r="K1210" s="92"/>
      <c r="L1210" s="92"/>
    </row>
    <row r="1211" spans="6:12" s="87" customFormat="1">
      <c r="F1211" s="92"/>
      <c r="G1211" s="92"/>
      <c r="H1211" s="92"/>
      <c r="I1211" s="92"/>
      <c r="J1211" s="92"/>
      <c r="K1211" s="92"/>
      <c r="L1211" s="92"/>
    </row>
    <row r="1212" spans="6:12" s="87" customFormat="1">
      <c r="F1212" s="92"/>
      <c r="G1212" s="92"/>
      <c r="H1212" s="92"/>
      <c r="I1212" s="92"/>
      <c r="J1212" s="92"/>
      <c r="K1212" s="92"/>
      <c r="L1212" s="92"/>
    </row>
    <row r="1213" spans="6:12" s="87" customFormat="1">
      <c r="F1213" s="92"/>
      <c r="G1213" s="92"/>
      <c r="H1213" s="92"/>
      <c r="I1213" s="92"/>
      <c r="J1213" s="92"/>
      <c r="K1213" s="92"/>
      <c r="L1213" s="92"/>
    </row>
    <row r="1214" spans="6:12" s="87" customFormat="1">
      <c r="F1214" s="92"/>
      <c r="G1214" s="92"/>
      <c r="H1214" s="92"/>
      <c r="I1214" s="92"/>
      <c r="J1214" s="92"/>
      <c r="K1214" s="92"/>
      <c r="L1214" s="92"/>
    </row>
    <row r="1215" spans="6:12" s="87" customFormat="1">
      <c r="F1215" s="92"/>
      <c r="G1215" s="92"/>
      <c r="H1215" s="92"/>
      <c r="I1215" s="92"/>
      <c r="J1215" s="92"/>
      <c r="K1215" s="92"/>
      <c r="L1215" s="92"/>
    </row>
    <row r="1216" spans="6:12" s="87" customFormat="1">
      <c r="F1216" s="92"/>
      <c r="G1216" s="92"/>
      <c r="H1216" s="92"/>
      <c r="I1216" s="92"/>
      <c r="J1216" s="92"/>
      <c r="K1216" s="92"/>
      <c r="L1216" s="92"/>
    </row>
    <row r="1217" spans="6:12" s="87" customFormat="1">
      <c r="F1217" s="92"/>
      <c r="G1217" s="92"/>
      <c r="H1217" s="92"/>
      <c r="I1217" s="92"/>
      <c r="J1217" s="92"/>
      <c r="K1217" s="92"/>
      <c r="L1217" s="92"/>
    </row>
    <row r="1218" spans="6:12" s="87" customFormat="1">
      <c r="F1218" s="92"/>
      <c r="G1218" s="92"/>
      <c r="H1218" s="92"/>
      <c r="I1218" s="92"/>
      <c r="J1218" s="92"/>
      <c r="K1218" s="92"/>
      <c r="L1218" s="92"/>
    </row>
    <row r="1219" spans="6:12" s="87" customFormat="1">
      <c r="F1219" s="92"/>
      <c r="G1219" s="92"/>
      <c r="H1219" s="92"/>
      <c r="I1219" s="92"/>
      <c r="J1219" s="92"/>
      <c r="K1219" s="92"/>
      <c r="L1219" s="92"/>
    </row>
    <row r="1220" spans="6:12" s="87" customFormat="1">
      <c r="F1220" s="92"/>
      <c r="G1220" s="92"/>
      <c r="H1220" s="92"/>
      <c r="I1220" s="92"/>
      <c r="J1220" s="92"/>
      <c r="K1220" s="92"/>
      <c r="L1220" s="92"/>
    </row>
    <row r="1221" spans="6:12" s="87" customFormat="1">
      <c r="F1221" s="92"/>
      <c r="G1221" s="92"/>
      <c r="H1221" s="92"/>
      <c r="I1221" s="92"/>
      <c r="J1221" s="92"/>
      <c r="K1221" s="92"/>
      <c r="L1221" s="92"/>
    </row>
    <row r="1222" spans="6:12" s="87" customFormat="1">
      <c r="F1222" s="92"/>
      <c r="G1222" s="92"/>
      <c r="H1222" s="92"/>
      <c r="I1222" s="92"/>
      <c r="J1222" s="92"/>
      <c r="K1222" s="92"/>
      <c r="L1222" s="92"/>
    </row>
    <row r="1223" spans="6:12" s="87" customFormat="1">
      <c r="F1223" s="92"/>
      <c r="G1223" s="92"/>
      <c r="H1223" s="92"/>
      <c r="I1223" s="92"/>
      <c r="J1223" s="92"/>
      <c r="K1223" s="92"/>
      <c r="L1223" s="92"/>
    </row>
    <row r="1224" spans="6:12" s="87" customFormat="1">
      <c r="F1224" s="92"/>
      <c r="G1224" s="92"/>
      <c r="H1224" s="92"/>
      <c r="I1224" s="92"/>
      <c r="J1224" s="92"/>
      <c r="K1224" s="92"/>
      <c r="L1224" s="92"/>
    </row>
    <row r="1225" spans="6:12" s="87" customFormat="1">
      <c r="F1225" s="92"/>
      <c r="G1225" s="92"/>
      <c r="H1225" s="92"/>
      <c r="I1225" s="92"/>
      <c r="J1225" s="92"/>
      <c r="K1225" s="92"/>
      <c r="L1225" s="92"/>
    </row>
    <row r="1226" spans="6:12" s="87" customFormat="1">
      <c r="F1226" s="92"/>
      <c r="G1226" s="92"/>
      <c r="H1226" s="92"/>
      <c r="I1226" s="92"/>
      <c r="J1226" s="92"/>
      <c r="K1226" s="92"/>
      <c r="L1226" s="92"/>
    </row>
    <row r="1227" spans="6:12" s="87" customFormat="1">
      <c r="F1227" s="92"/>
      <c r="G1227" s="92"/>
      <c r="H1227" s="92"/>
      <c r="I1227" s="92"/>
      <c r="J1227" s="92"/>
      <c r="K1227" s="92"/>
      <c r="L1227" s="92"/>
    </row>
    <row r="1228" spans="6:12" s="87" customFormat="1">
      <c r="F1228" s="92"/>
      <c r="G1228" s="92"/>
      <c r="H1228" s="92"/>
      <c r="I1228" s="92"/>
      <c r="J1228" s="92"/>
      <c r="K1228" s="92"/>
      <c r="L1228" s="92"/>
    </row>
    <row r="1229" spans="6:12" s="87" customFormat="1">
      <c r="F1229" s="92"/>
      <c r="G1229" s="92"/>
      <c r="H1229" s="92"/>
      <c r="I1229" s="92"/>
      <c r="J1229" s="92"/>
      <c r="K1229" s="92"/>
      <c r="L1229" s="92"/>
    </row>
    <row r="1230" spans="6:12" s="87" customFormat="1">
      <c r="F1230" s="92"/>
      <c r="G1230" s="92"/>
      <c r="H1230" s="92"/>
      <c r="I1230" s="92"/>
      <c r="J1230" s="92"/>
      <c r="K1230" s="92"/>
      <c r="L1230" s="92"/>
    </row>
    <row r="1231" spans="6:12" s="87" customFormat="1">
      <c r="F1231" s="92"/>
      <c r="G1231" s="92"/>
      <c r="H1231" s="92"/>
      <c r="I1231" s="92"/>
      <c r="J1231" s="92"/>
      <c r="K1231" s="92"/>
      <c r="L1231" s="92"/>
    </row>
    <row r="1232" spans="6:12" s="87" customFormat="1">
      <c r="F1232" s="92"/>
      <c r="G1232" s="92"/>
      <c r="H1232" s="92"/>
      <c r="I1232" s="92"/>
      <c r="J1232" s="92"/>
      <c r="K1232" s="92"/>
      <c r="L1232" s="92"/>
    </row>
    <row r="1233" spans="6:12" s="87" customFormat="1">
      <c r="F1233" s="92"/>
      <c r="G1233" s="92"/>
      <c r="H1233" s="92"/>
      <c r="I1233" s="92"/>
      <c r="J1233" s="92"/>
      <c r="K1233" s="92"/>
      <c r="L1233" s="92"/>
    </row>
    <row r="1234" spans="6:12" s="87" customFormat="1">
      <c r="F1234" s="92"/>
      <c r="G1234" s="92"/>
      <c r="H1234" s="92"/>
      <c r="I1234" s="92"/>
      <c r="J1234" s="92"/>
      <c r="K1234" s="92"/>
      <c r="L1234" s="92"/>
    </row>
    <row r="1235" spans="6:12" s="87" customFormat="1">
      <c r="F1235" s="92"/>
      <c r="G1235" s="92"/>
      <c r="H1235" s="92"/>
      <c r="I1235" s="92"/>
      <c r="J1235" s="92"/>
      <c r="K1235" s="92"/>
      <c r="L1235" s="92"/>
    </row>
    <row r="1236" spans="6:12" s="87" customFormat="1">
      <c r="F1236" s="92"/>
      <c r="G1236" s="92"/>
      <c r="H1236" s="92"/>
      <c r="I1236" s="92"/>
      <c r="J1236" s="92"/>
      <c r="K1236" s="92"/>
      <c r="L1236" s="92"/>
    </row>
    <row r="1237" spans="6:12" s="87" customFormat="1">
      <c r="F1237" s="92"/>
      <c r="G1237" s="92"/>
      <c r="H1237" s="92"/>
      <c r="I1237" s="92"/>
      <c r="J1237" s="92"/>
      <c r="K1237" s="92"/>
      <c r="L1237" s="92"/>
    </row>
    <row r="1238" spans="6:12" s="87" customFormat="1">
      <c r="F1238" s="92"/>
      <c r="G1238" s="92"/>
      <c r="H1238" s="92"/>
      <c r="I1238" s="92"/>
      <c r="J1238" s="92"/>
      <c r="K1238" s="92"/>
      <c r="L1238" s="92"/>
    </row>
    <row r="1239" spans="6:12" s="87" customFormat="1">
      <c r="F1239" s="92"/>
      <c r="G1239" s="92"/>
      <c r="H1239" s="92"/>
      <c r="I1239" s="92"/>
      <c r="J1239" s="92"/>
      <c r="K1239" s="92"/>
      <c r="L1239" s="92"/>
    </row>
    <row r="1240" spans="6:12" s="87" customFormat="1">
      <c r="F1240" s="92"/>
      <c r="G1240" s="92"/>
      <c r="H1240" s="92"/>
      <c r="I1240" s="92"/>
      <c r="J1240" s="92"/>
      <c r="K1240" s="92"/>
      <c r="L1240" s="92"/>
    </row>
    <row r="1241" spans="6:12" s="87" customFormat="1">
      <c r="F1241" s="92"/>
      <c r="G1241" s="92"/>
      <c r="H1241" s="92"/>
      <c r="I1241" s="92"/>
      <c r="J1241" s="92"/>
      <c r="K1241" s="92"/>
      <c r="L1241" s="92"/>
    </row>
    <row r="1242" spans="6:12" s="87" customFormat="1">
      <c r="F1242" s="92"/>
      <c r="G1242" s="92"/>
      <c r="H1242" s="92"/>
      <c r="I1242" s="92"/>
      <c r="J1242" s="92"/>
      <c r="K1242" s="92"/>
      <c r="L1242" s="92"/>
    </row>
    <row r="1243" spans="6:12" s="87" customFormat="1">
      <c r="F1243" s="92"/>
      <c r="G1243" s="92"/>
      <c r="H1243" s="92"/>
      <c r="I1243" s="92"/>
      <c r="J1243" s="92"/>
      <c r="K1243" s="92"/>
      <c r="L1243" s="92"/>
    </row>
    <row r="1244" spans="6:12" s="87" customFormat="1">
      <c r="F1244" s="92"/>
      <c r="G1244" s="92"/>
      <c r="H1244" s="92"/>
      <c r="I1244" s="92"/>
      <c r="J1244" s="92"/>
      <c r="K1244" s="92"/>
      <c r="L1244" s="92"/>
    </row>
    <row r="1245" spans="6:12" s="87" customFormat="1">
      <c r="F1245" s="92"/>
      <c r="G1245" s="92"/>
      <c r="H1245" s="92"/>
      <c r="I1245" s="92"/>
      <c r="J1245" s="92"/>
      <c r="K1245" s="92"/>
      <c r="L1245" s="92"/>
    </row>
    <row r="1246" spans="6:12" s="87" customFormat="1">
      <c r="F1246" s="92"/>
      <c r="G1246" s="92"/>
      <c r="H1246" s="92"/>
      <c r="I1246" s="92"/>
      <c r="J1246" s="92"/>
      <c r="K1246" s="92"/>
      <c r="L1246" s="92"/>
    </row>
    <row r="1247" spans="6:12" s="87" customFormat="1">
      <c r="F1247" s="92"/>
      <c r="G1247" s="92"/>
      <c r="H1247" s="92"/>
      <c r="I1247" s="92"/>
      <c r="J1247" s="92"/>
      <c r="K1247" s="92"/>
      <c r="L1247" s="92"/>
    </row>
    <row r="1248" spans="6:12" s="87" customFormat="1">
      <c r="F1248" s="92"/>
      <c r="G1248" s="92"/>
      <c r="H1248" s="92"/>
      <c r="I1248" s="92"/>
      <c r="J1248" s="92"/>
      <c r="K1248" s="92"/>
      <c r="L1248" s="92"/>
    </row>
    <row r="1249" spans="6:12" s="87" customFormat="1">
      <c r="F1249" s="92"/>
      <c r="G1249" s="92"/>
      <c r="H1249" s="92"/>
      <c r="I1249" s="92"/>
      <c r="J1249" s="92"/>
      <c r="K1249" s="92"/>
      <c r="L1249" s="92"/>
    </row>
    <row r="1250" spans="6:12" s="87" customFormat="1">
      <c r="F1250" s="92"/>
      <c r="G1250" s="92"/>
      <c r="H1250" s="92"/>
      <c r="I1250" s="92"/>
      <c r="J1250" s="92"/>
      <c r="K1250" s="92"/>
      <c r="L1250" s="92"/>
    </row>
    <row r="1251" spans="6:12" s="87" customFormat="1">
      <c r="F1251" s="92"/>
      <c r="G1251" s="92"/>
      <c r="H1251" s="92"/>
      <c r="I1251" s="92"/>
      <c r="J1251" s="92"/>
      <c r="K1251" s="92"/>
      <c r="L1251" s="92"/>
    </row>
    <row r="1252" spans="6:12" s="87" customFormat="1">
      <c r="F1252" s="92"/>
      <c r="G1252" s="92"/>
      <c r="H1252" s="92"/>
      <c r="I1252" s="92"/>
      <c r="J1252" s="92"/>
      <c r="K1252" s="92"/>
      <c r="L1252" s="92"/>
    </row>
    <row r="1253" spans="6:12" s="87" customFormat="1">
      <c r="F1253" s="92"/>
      <c r="G1253" s="92"/>
      <c r="H1253" s="92"/>
      <c r="I1253" s="92"/>
      <c r="J1253" s="92"/>
      <c r="K1253" s="92"/>
      <c r="L1253" s="92"/>
    </row>
    <row r="1254" spans="6:12" s="87" customFormat="1">
      <c r="F1254" s="92"/>
      <c r="G1254" s="92"/>
      <c r="H1254" s="92"/>
      <c r="I1254" s="92"/>
      <c r="J1254" s="92"/>
      <c r="K1254" s="92"/>
      <c r="L1254" s="92"/>
    </row>
    <row r="1255" spans="6:12" s="87" customFormat="1">
      <c r="F1255" s="92"/>
      <c r="G1255" s="92"/>
      <c r="H1255" s="92"/>
      <c r="I1255" s="92"/>
      <c r="J1255" s="92"/>
      <c r="K1255" s="92"/>
      <c r="L1255" s="92"/>
    </row>
    <row r="1256" spans="6:12" s="87" customFormat="1">
      <c r="F1256" s="92"/>
      <c r="G1256" s="92"/>
      <c r="H1256" s="92"/>
      <c r="I1256" s="92"/>
      <c r="J1256" s="92"/>
      <c r="K1256" s="92"/>
      <c r="L1256" s="92"/>
    </row>
    <row r="1257" spans="6:12" s="87" customFormat="1">
      <c r="F1257" s="92"/>
      <c r="G1257" s="92"/>
      <c r="H1257" s="92"/>
      <c r="I1257" s="92"/>
      <c r="J1257" s="92"/>
      <c r="K1257" s="92"/>
      <c r="L1257" s="92"/>
    </row>
    <row r="1258" spans="6:12" s="87" customFormat="1">
      <c r="F1258" s="92"/>
      <c r="G1258" s="92"/>
      <c r="H1258" s="92"/>
      <c r="I1258" s="92"/>
      <c r="J1258" s="92"/>
      <c r="K1258" s="92"/>
      <c r="L1258" s="92"/>
    </row>
    <row r="1259" spans="6:12" s="87" customFormat="1">
      <c r="F1259" s="92"/>
      <c r="G1259" s="92"/>
      <c r="H1259" s="92"/>
      <c r="I1259" s="92"/>
      <c r="J1259" s="92"/>
      <c r="K1259" s="92"/>
      <c r="L1259" s="92"/>
    </row>
    <row r="1260" spans="6:12" s="87" customFormat="1">
      <c r="F1260" s="92"/>
      <c r="G1260" s="92"/>
      <c r="H1260" s="92"/>
      <c r="I1260" s="92"/>
      <c r="J1260" s="92"/>
      <c r="K1260" s="92"/>
      <c r="L1260" s="92"/>
    </row>
    <row r="1261" spans="6:12" s="87" customFormat="1">
      <c r="F1261" s="92"/>
      <c r="G1261" s="92"/>
      <c r="H1261" s="92"/>
      <c r="I1261" s="92"/>
      <c r="J1261" s="92"/>
      <c r="K1261" s="92"/>
      <c r="L1261" s="92"/>
    </row>
    <row r="1262" spans="6:12" s="87" customFormat="1">
      <c r="F1262" s="92"/>
      <c r="G1262" s="92"/>
      <c r="H1262" s="92"/>
      <c r="I1262" s="92"/>
      <c r="J1262" s="92"/>
      <c r="K1262" s="92"/>
      <c r="L1262" s="92"/>
    </row>
    <row r="1263" spans="6:12" s="87" customFormat="1">
      <c r="F1263" s="92"/>
      <c r="G1263" s="92"/>
      <c r="H1263" s="92"/>
      <c r="I1263" s="92"/>
      <c r="J1263" s="92"/>
      <c r="K1263" s="92"/>
      <c r="L1263" s="92"/>
    </row>
    <row r="1264" spans="6:12" s="87" customFormat="1">
      <c r="F1264" s="92"/>
      <c r="G1264" s="92"/>
      <c r="H1264" s="92"/>
      <c r="I1264" s="92"/>
      <c r="J1264" s="92"/>
      <c r="K1264" s="92"/>
      <c r="L1264" s="92"/>
    </row>
    <row r="1265" spans="6:12" s="87" customFormat="1">
      <c r="F1265" s="92"/>
      <c r="G1265" s="92"/>
      <c r="H1265" s="92"/>
      <c r="I1265" s="92"/>
      <c r="J1265" s="92"/>
      <c r="K1265" s="92"/>
      <c r="L1265" s="92"/>
    </row>
    <row r="1266" spans="6:12" s="87" customFormat="1">
      <c r="F1266" s="92"/>
      <c r="G1266" s="92"/>
      <c r="H1266" s="92"/>
      <c r="I1266" s="92"/>
      <c r="J1266" s="92"/>
      <c r="K1266" s="92"/>
      <c r="L1266" s="92"/>
    </row>
    <row r="1267" spans="6:12" s="87" customFormat="1">
      <c r="F1267" s="92"/>
      <c r="G1267" s="92"/>
      <c r="H1267" s="92"/>
      <c r="I1267" s="92"/>
      <c r="J1267" s="92"/>
      <c r="K1267" s="92"/>
      <c r="L1267" s="92"/>
    </row>
    <row r="1268" spans="6:12" s="87" customFormat="1">
      <c r="F1268" s="92"/>
      <c r="G1268" s="92"/>
      <c r="H1268" s="92"/>
      <c r="I1268" s="92"/>
      <c r="J1268" s="92"/>
      <c r="K1268" s="92"/>
      <c r="L1268" s="92"/>
    </row>
    <row r="1269" spans="6:12" s="87" customFormat="1">
      <c r="F1269" s="92"/>
      <c r="G1269" s="92"/>
      <c r="H1269" s="92"/>
      <c r="I1269" s="92"/>
      <c r="J1269" s="92"/>
      <c r="K1269" s="92"/>
      <c r="L1269" s="92"/>
    </row>
    <row r="1270" spans="6:12" s="87" customFormat="1">
      <c r="F1270" s="92"/>
      <c r="G1270" s="92"/>
      <c r="H1270" s="92"/>
      <c r="I1270" s="92"/>
      <c r="J1270" s="92"/>
      <c r="K1270" s="92"/>
      <c r="L1270" s="92"/>
    </row>
    <row r="1271" spans="6:12" s="87" customFormat="1">
      <c r="F1271" s="92"/>
      <c r="G1271" s="92"/>
      <c r="H1271" s="92"/>
      <c r="I1271" s="92"/>
      <c r="J1271" s="92"/>
      <c r="K1271" s="92"/>
      <c r="L1271" s="92"/>
    </row>
    <row r="1272" spans="6:12" s="87" customFormat="1">
      <c r="F1272" s="92"/>
      <c r="G1272" s="92"/>
      <c r="H1272" s="92"/>
      <c r="I1272" s="92"/>
      <c r="J1272" s="92"/>
      <c r="K1272" s="92"/>
      <c r="L1272" s="92"/>
    </row>
    <row r="1273" spans="6:12" s="87" customFormat="1">
      <c r="F1273" s="92"/>
      <c r="G1273" s="92"/>
      <c r="H1273" s="92"/>
      <c r="I1273" s="92"/>
      <c r="J1273" s="92"/>
      <c r="K1273" s="92"/>
      <c r="L1273" s="92"/>
    </row>
    <row r="1274" spans="6:12" s="87" customFormat="1">
      <c r="F1274" s="92"/>
      <c r="G1274" s="92"/>
      <c r="H1274" s="92"/>
      <c r="I1274" s="92"/>
      <c r="J1274" s="92"/>
      <c r="K1274" s="92"/>
      <c r="L1274" s="92"/>
    </row>
    <row r="1275" spans="6:12" s="87" customFormat="1">
      <c r="F1275" s="92"/>
      <c r="G1275" s="92"/>
      <c r="H1275" s="92"/>
      <c r="I1275" s="92"/>
      <c r="J1275" s="92"/>
      <c r="K1275" s="92"/>
      <c r="L1275" s="92"/>
    </row>
    <row r="1276" spans="6:12" s="87" customFormat="1">
      <c r="F1276" s="92"/>
      <c r="G1276" s="92"/>
      <c r="H1276" s="92"/>
      <c r="I1276" s="92"/>
      <c r="J1276" s="92"/>
      <c r="K1276" s="92"/>
      <c r="L1276" s="92"/>
    </row>
    <row r="1277" spans="6:12" s="87" customFormat="1">
      <c r="F1277" s="92"/>
      <c r="G1277" s="92"/>
      <c r="H1277" s="92"/>
      <c r="I1277" s="92"/>
      <c r="J1277" s="92"/>
      <c r="K1277" s="92"/>
      <c r="L1277" s="92"/>
    </row>
    <row r="1278" spans="6:12" s="87" customFormat="1">
      <c r="F1278" s="92"/>
      <c r="G1278" s="92"/>
      <c r="H1278" s="92"/>
      <c r="I1278" s="92"/>
      <c r="J1278" s="92"/>
      <c r="K1278" s="92"/>
      <c r="L1278" s="92"/>
    </row>
    <row r="1279" spans="6:12" s="87" customFormat="1">
      <c r="F1279" s="92"/>
      <c r="G1279" s="92"/>
      <c r="H1279" s="92"/>
      <c r="I1279" s="92"/>
      <c r="J1279" s="92"/>
      <c r="K1279" s="92"/>
      <c r="L1279" s="92"/>
    </row>
    <row r="1280" spans="6:12" s="87" customFormat="1">
      <c r="F1280" s="92"/>
      <c r="G1280" s="92"/>
      <c r="H1280" s="92"/>
      <c r="I1280" s="92"/>
      <c r="J1280" s="92"/>
      <c r="K1280" s="92"/>
      <c r="L1280" s="92"/>
    </row>
    <row r="1281" spans="6:12" s="87" customFormat="1">
      <c r="F1281" s="92"/>
      <c r="G1281" s="92"/>
      <c r="H1281" s="92"/>
      <c r="I1281" s="92"/>
      <c r="J1281" s="92"/>
      <c r="K1281" s="92"/>
      <c r="L1281" s="92"/>
    </row>
    <row r="1282" spans="6:12" s="87" customFormat="1">
      <c r="F1282" s="92"/>
      <c r="G1282" s="92"/>
      <c r="H1282" s="92"/>
      <c r="I1282" s="92"/>
      <c r="J1282" s="92"/>
      <c r="K1282" s="92"/>
      <c r="L1282" s="92"/>
    </row>
    <row r="1283" spans="6:12" s="87" customFormat="1">
      <c r="F1283" s="92"/>
      <c r="G1283" s="92"/>
      <c r="H1283" s="92"/>
      <c r="I1283" s="92"/>
      <c r="J1283" s="92"/>
      <c r="K1283" s="92"/>
      <c r="L1283" s="92"/>
    </row>
    <row r="1284" spans="6:12" s="87" customFormat="1">
      <c r="F1284" s="92"/>
      <c r="G1284" s="92"/>
      <c r="H1284" s="92"/>
      <c r="I1284" s="92"/>
      <c r="J1284" s="92"/>
      <c r="K1284" s="92"/>
      <c r="L1284" s="92"/>
    </row>
    <row r="1285" spans="6:12" s="87" customFormat="1">
      <c r="F1285" s="92"/>
      <c r="G1285" s="92"/>
      <c r="H1285" s="92"/>
      <c r="I1285" s="92"/>
      <c r="J1285" s="92"/>
      <c r="K1285" s="92"/>
      <c r="L1285" s="92"/>
    </row>
    <row r="1286" spans="6:12" s="87" customFormat="1">
      <c r="F1286" s="92"/>
      <c r="G1286" s="92"/>
      <c r="H1286" s="92"/>
      <c r="I1286" s="92"/>
      <c r="J1286" s="92"/>
      <c r="K1286" s="92"/>
      <c r="L1286" s="92"/>
    </row>
    <row r="1287" spans="6:12" s="87" customFormat="1">
      <c r="F1287" s="92"/>
      <c r="G1287" s="92"/>
      <c r="H1287" s="92"/>
      <c r="I1287" s="92"/>
      <c r="J1287" s="92"/>
      <c r="K1287" s="92"/>
      <c r="L1287" s="92"/>
    </row>
    <row r="1288" spans="6:12" s="87" customFormat="1">
      <c r="F1288" s="92"/>
      <c r="G1288" s="92"/>
      <c r="H1288" s="92"/>
      <c r="I1288" s="92"/>
      <c r="J1288" s="92"/>
      <c r="K1288" s="92"/>
      <c r="L1288" s="92"/>
    </row>
    <row r="1289" spans="6:12" s="87" customFormat="1">
      <c r="F1289" s="92"/>
      <c r="G1289" s="92"/>
      <c r="H1289" s="92"/>
      <c r="I1289" s="92"/>
      <c r="J1289" s="92"/>
      <c r="K1289" s="92"/>
      <c r="L1289" s="92"/>
    </row>
    <row r="1290" spans="6:12" s="87" customFormat="1">
      <c r="F1290" s="92"/>
      <c r="G1290" s="92"/>
      <c r="H1290" s="92"/>
      <c r="I1290" s="92"/>
      <c r="J1290" s="92"/>
      <c r="K1290" s="92"/>
      <c r="L1290" s="92"/>
    </row>
    <row r="1291" spans="6:12" s="87" customFormat="1">
      <c r="F1291" s="92"/>
      <c r="G1291" s="92"/>
      <c r="H1291" s="92"/>
      <c r="I1291" s="92"/>
      <c r="J1291" s="92"/>
      <c r="K1291" s="92"/>
      <c r="L1291" s="92"/>
    </row>
    <row r="1292" spans="6:12" s="87" customFormat="1">
      <c r="F1292" s="92"/>
      <c r="G1292" s="92"/>
      <c r="H1292" s="92"/>
      <c r="I1292" s="92"/>
      <c r="J1292" s="92"/>
      <c r="K1292" s="92"/>
      <c r="L1292" s="92"/>
    </row>
    <row r="1293" spans="6:12" s="87" customFormat="1">
      <c r="F1293" s="92"/>
      <c r="G1293" s="92"/>
      <c r="H1293" s="92"/>
      <c r="I1293" s="92"/>
      <c r="J1293" s="92"/>
      <c r="K1293" s="92"/>
      <c r="L1293" s="92"/>
    </row>
    <row r="1294" spans="6:12" s="87" customFormat="1">
      <c r="F1294" s="92"/>
      <c r="G1294" s="92"/>
      <c r="H1294" s="92"/>
      <c r="I1294" s="92"/>
      <c r="J1294" s="92"/>
      <c r="K1294" s="92"/>
      <c r="L1294" s="92"/>
    </row>
    <row r="1295" spans="6:12" s="87" customFormat="1">
      <c r="F1295" s="92"/>
      <c r="G1295" s="92"/>
      <c r="H1295" s="92"/>
      <c r="I1295" s="92"/>
      <c r="J1295" s="92"/>
      <c r="K1295" s="92"/>
      <c r="L1295" s="92"/>
    </row>
    <row r="1296" spans="6:12" s="87" customFormat="1">
      <c r="F1296" s="92"/>
      <c r="G1296" s="92"/>
      <c r="H1296" s="92"/>
      <c r="I1296" s="92"/>
      <c r="J1296" s="92"/>
      <c r="K1296" s="92"/>
      <c r="L1296" s="92"/>
    </row>
    <row r="1297" spans="6:12" s="87" customFormat="1">
      <c r="F1297" s="92"/>
      <c r="G1297" s="92"/>
      <c r="H1297" s="92"/>
      <c r="I1297" s="92"/>
      <c r="J1297" s="92"/>
      <c r="K1297" s="92"/>
      <c r="L1297" s="92"/>
    </row>
    <row r="1298" spans="6:12" s="87" customFormat="1">
      <c r="F1298" s="92"/>
      <c r="G1298" s="92"/>
      <c r="H1298" s="92"/>
      <c r="I1298" s="92"/>
      <c r="J1298" s="92"/>
      <c r="K1298" s="92"/>
      <c r="L1298" s="92"/>
    </row>
    <row r="1299" spans="6:12" s="87" customFormat="1">
      <c r="F1299" s="92"/>
      <c r="G1299" s="92"/>
      <c r="H1299" s="92"/>
      <c r="I1299" s="92"/>
      <c r="J1299" s="92"/>
      <c r="K1299" s="92"/>
      <c r="L1299" s="92"/>
    </row>
    <row r="1300" spans="6:12" s="87" customFormat="1">
      <c r="F1300" s="92"/>
      <c r="G1300" s="92"/>
      <c r="H1300" s="92"/>
      <c r="I1300" s="92"/>
      <c r="J1300" s="92"/>
      <c r="K1300" s="92"/>
      <c r="L1300" s="92"/>
    </row>
    <row r="1301" spans="6:12" s="87" customFormat="1">
      <c r="F1301" s="92"/>
      <c r="G1301" s="92"/>
      <c r="H1301" s="92"/>
      <c r="I1301" s="92"/>
      <c r="J1301" s="92"/>
      <c r="K1301" s="92"/>
      <c r="L1301" s="92"/>
    </row>
    <row r="1302" spans="6:12" s="87" customFormat="1">
      <c r="F1302" s="92"/>
      <c r="G1302" s="92"/>
      <c r="H1302" s="92"/>
      <c r="I1302" s="92"/>
      <c r="J1302" s="92"/>
      <c r="K1302" s="92"/>
      <c r="L1302" s="92"/>
    </row>
    <row r="1303" spans="6:12" s="87" customFormat="1">
      <c r="F1303" s="92"/>
      <c r="G1303" s="92"/>
      <c r="H1303" s="92"/>
      <c r="I1303" s="92"/>
      <c r="J1303" s="92"/>
      <c r="K1303" s="92"/>
      <c r="L1303" s="92"/>
    </row>
    <row r="1304" spans="6:12" s="87" customFormat="1">
      <c r="F1304" s="92"/>
      <c r="G1304" s="92"/>
      <c r="H1304" s="92"/>
      <c r="I1304" s="92"/>
      <c r="J1304" s="92"/>
      <c r="K1304" s="92"/>
      <c r="L1304" s="92"/>
    </row>
    <row r="1305" spans="6:12" s="87" customFormat="1">
      <c r="F1305" s="92"/>
      <c r="G1305" s="92"/>
      <c r="H1305" s="92"/>
      <c r="I1305" s="92"/>
      <c r="J1305" s="92"/>
      <c r="K1305" s="92"/>
      <c r="L1305" s="92"/>
    </row>
    <row r="1306" spans="6:12" s="87" customFormat="1">
      <c r="F1306" s="92"/>
      <c r="G1306" s="92"/>
      <c r="H1306" s="92"/>
      <c r="I1306" s="92"/>
      <c r="J1306" s="92"/>
      <c r="K1306" s="92"/>
      <c r="L1306" s="92"/>
    </row>
    <row r="1307" spans="6:12" s="87" customFormat="1">
      <c r="F1307" s="92"/>
      <c r="G1307" s="92"/>
      <c r="H1307" s="92"/>
      <c r="I1307" s="92"/>
      <c r="J1307" s="92"/>
      <c r="K1307" s="92"/>
      <c r="L1307" s="92"/>
    </row>
    <row r="1308" spans="6:12" s="87" customFormat="1">
      <c r="F1308" s="92"/>
      <c r="G1308" s="92"/>
      <c r="H1308" s="92"/>
      <c r="I1308" s="92"/>
      <c r="J1308" s="92"/>
      <c r="K1308" s="92"/>
      <c r="L1308" s="92"/>
    </row>
    <row r="1309" spans="6:12" s="87" customFormat="1">
      <c r="F1309" s="92"/>
      <c r="G1309" s="92"/>
      <c r="H1309" s="92"/>
      <c r="I1309" s="92"/>
      <c r="J1309" s="92"/>
      <c r="K1309" s="92"/>
      <c r="L1309" s="92"/>
    </row>
    <row r="1310" spans="6:12" s="87" customFormat="1">
      <c r="F1310" s="92"/>
      <c r="G1310" s="92"/>
      <c r="H1310" s="92"/>
      <c r="I1310" s="92"/>
      <c r="J1310" s="92"/>
      <c r="K1310" s="92"/>
      <c r="L1310" s="92"/>
    </row>
    <row r="1311" spans="6:12" s="87" customFormat="1">
      <c r="F1311" s="92"/>
      <c r="G1311" s="92"/>
      <c r="H1311" s="92"/>
      <c r="I1311" s="92"/>
      <c r="J1311" s="92"/>
      <c r="K1311" s="92"/>
      <c r="L1311" s="92"/>
    </row>
    <row r="1312" spans="6:12" s="87" customFormat="1">
      <c r="F1312" s="92"/>
      <c r="G1312" s="92"/>
      <c r="H1312" s="92"/>
      <c r="I1312" s="92"/>
      <c r="J1312" s="92"/>
      <c r="K1312" s="92"/>
      <c r="L1312" s="92"/>
    </row>
    <row r="1313" spans="6:12" s="87" customFormat="1">
      <c r="F1313" s="92"/>
      <c r="G1313" s="92"/>
      <c r="H1313" s="92"/>
      <c r="I1313" s="92"/>
      <c r="J1313" s="92"/>
      <c r="K1313" s="92"/>
      <c r="L1313" s="92"/>
    </row>
    <row r="1314" spans="6:12" s="87" customFormat="1">
      <c r="F1314" s="92"/>
      <c r="G1314" s="92"/>
      <c r="H1314" s="92"/>
      <c r="I1314" s="92"/>
      <c r="J1314" s="92"/>
      <c r="K1314" s="92"/>
      <c r="L1314" s="92"/>
    </row>
    <row r="1315" spans="6:12" s="87" customFormat="1">
      <c r="F1315" s="92"/>
      <c r="G1315" s="92"/>
      <c r="H1315" s="92"/>
      <c r="I1315" s="92"/>
      <c r="J1315" s="92"/>
      <c r="K1315" s="92"/>
      <c r="L1315" s="92"/>
    </row>
    <row r="1316" spans="6:12" s="87" customFormat="1">
      <c r="F1316" s="92"/>
      <c r="G1316" s="92"/>
      <c r="H1316" s="92"/>
      <c r="I1316" s="92"/>
      <c r="J1316" s="92"/>
      <c r="K1316" s="92"/>
      <c r="L1316" s="92"/>
    </row>
    <row r="1317" spans="6:12" s="87" customFormat="1">
      <c r="F1317" s="92"/>
      <c r="G1317" s="92"/>
      <c r="H1317" s="92"/>
      <c r="I1317" s="92"/>
      <c r="J1317" s="92"/>
      <c r="K1317" s="92"/>
      <c r="L1317" s="92"/>
    </row>
    <row r="1318" spans="6:12" s="87" customFormat="1">
      <c r="F1318" s="92"/>
      <c r="G1318" s="92"/>
      <c r="H1318" s="92"/>
      <c r="I1318" s="92"/>
      <c r="J1318" s="92"/>
      <c r="K1318" s="92"/>
      <c r="L1318" s="92"/>
    </row>
    <row r="1319" spans="6:12" s="87" customFormat="1">
      <c r="F1319" s="92"/>
      <c r="G1319" s="92"/>
      <c r="H1319" s="92"/>
      <c r="I1319" s="92"/>
      <c r="J1319" s="92"/>
      <c r="K1319" s="92"/>
      <c r="L1319" s="92"/>
    </row>
    <row r="1320" spans="6:12" s="87" customFormat="1">
      <c r="F1320" s="92"/>
      <c r="G1320" s="92"/>
      <c r="H1320" s="92"/>
      <c r="I1320" s="92"/>
      <c r="J1320" s="92"/>
      <c r="K1320" s="92"/>
      <c r="L1320" s="92"/>
    </row>
    <row r="1321" spans="6:12" s="87" customFormat="1">
      <c r="F1321" s="92"/>
      <c r="G1321" s="92"/>
      <c r="H1321" s="92"/>
      <c r="I1321" s="92"/>
      <c r="J1321" s="92"/>
      <c r="K1321" s="92"/>
      <c r="L1321" s="92"/>
    </row>
    <row r="1322" spans="6:12" s="87" customFormat="1">
      <c r="F1322" s="92"/>
      <c r="G1322" s="92"/>
      <c r="H1322" s="92"/>
      <c r="I1322" s="92"/>
      <c r="J1322" s="92"/>
      <c r="K1322" s="92"/>
      <c r="L1322" s="92"/>
    </row>
    <row r="1323" spans="6:12" s="87" customFormat="1">
      <c r="F1323" s="92"/>
      <c r="G1323" s="92"/>
      <c r="H1323" s="92"/>
      <c r="I1323" s="92"/>
      <c r="J1323" s="92"/>
      <c r="K1323" s="92"/>
      <c r="L1323" s="92"/>
    </row>
    <row r="1324" spans="6:12" s="87" customFormat="1">
      <c r="F1324" s="92"/>
      <c r="G1324" s="92"/>
      <c r="H1324" s="92"/>
      <c r="I1324" s="92"/>
      <c r="J1324" s="92"/>
      <c r="K1324" s="92"/>
      <c r="L1324" s="92"/>
    </row>
    <row r="1325" spans="6:12" s="87" customFormat="1">
      <c r="F1325" s="92"/>
      <c r="G1325" s="92"/>
      <c r="H1325" s="92"/>
      <c r="I1325" s="92"/>
      <c r="J1325" s="92"/>
      <c r="K1325" s="92"/>
      <c r="L1325" s="92"/>
    </row>
    <row r="1326" spans="6:12" s="87" customFormat="1">
      <c r="F1326" s="92"/>
      <c r="G1326" s="92"/>
      <c r="H1326" s="92"/>
      <c r="I1326" s="92"/>
      <c r="J1326" s="92"/>
      <c r="K1326" s="92"/>
      <c r="L1326" s="92"/>
    </row>
    <row r="1327" spans="6:12" s="87" customFormat="1">
      <c r="F1327" s="92"/>
      <c r="G1327" s="92"/>
      <c r="H1327" s="92"/>
      <c r="I1327" s="92"/>
      <c r="J1327" s="92"/>
      <c r="K1327" s="92"/>
      <c r="L1327" s="92"/>
    </row>
    <row r="1328" spans="6:12" s="87" customFormat="1">
      <c r="F1328" s="92"/>
      <c r="G1328" s="92"/>
      <c r="H1328" s="92"/>
      <c r="I1328" s="92"/>
      <c r="J1328" s="92"/>
      <c r="K1328" s="92"/>
      <c r="L1328" s="92"/>
    </row>
    <row r="1329" spans="6:12" s="87" customFormat="1">
      <c r="F1329" s="92"/>
      <c r="G1329" s="92"/>
      <c r="H1329" s="92"/>
      <c r="I1329" s="92"/>
      <c r="J1329" s="92"/>
      <c r="K1329" s="92"/>
      <c r="L1329" s="92"/>
    </row>
    <row r="1330" spans="6:12" s="87" customFormat="1">
      <c r="F1330" s="92"/>
      <c r="G1330" s="92"/>
      <c r="H1330" s="92"/>
      <c r="I1330" s="92"/>
      <c r="J1330" s="92"/>
      <c r="K1330" s="92"/>
      <c r="L1330" s="92"/>
    </row>
    <row r="1331" spans="6:12" s="87" customFormat="1">
      <c r="F1331" s="92"/>
      <c r="G1331" s="92"/>
      <c r="H1331" s="92"/>
      <c r="I1331" s="92"/>
      <c r="J1331" s="92"/>
      <c r="K1331" s="92"/>
      <c r="L1331" s="92"/>
    </row>
    <row r="1332" spans="6:12" s="87" customFormat="1">
      <c r="F1332" s="92"/>
      <c r="G1332" s="92"/>
      <c r="H1332" s="92"/>
      <c r="I1332" s="92"/>
      <c r="J1332" s="92"/>
      <c r="K1332" s="92"/>
      <c r="L1332" s="92"/>
    </row>
    <row r="1333" spans="6:12" s="87" customFormat="1">
      <c r="F1333" s="92"/>
      <c r="G1333" s="92"/>
      <c r="H1333" s="92"/>
      <c r="I1333" s="92"/>
      <c r="J1333" s="92"/>
      <c r="K1333" s="92"/>
      <c r="L1333" s="92"/>
    </row>
    <row r="1334" spans="6:12" s="87" customFormat="1">
      <c r="F1334" s="92"/>
      <c r="G1334" s="92"/>
      <c r="H1334" s="92"/>
      <c r="I1334" s="92"/>
      <c r="J1334" s="92"/>
      <c r="K1334" s="92"/>
      <c r="L1334" s="92"/>
    </row>
    <row r="1335" spans="6:12" s="87" customFormat="1">
      <c r="F1335" s="92"/>
      <c r="G1335" s="92"/>
      <c r="H1335" s="92"/>
      <c r="I1335" s="92"/>
      <c r="J1335" s="92"/>
      <c r="K1335" s="92"/>
      <c r="L1335" s="92"/>
    </row>
    <row r="1336" spans="6:12" s="87" customFormat="1">
      <c r="F1336" s="92"/>
      <c r="G1336" s="92"/>
      <c r="H1336" s="92"/>
      <c r="I1336" s="92"/>
      <c r="J1336" s="92"/>
      <c r="K1336" s="92"/>
      <c r="L1336" s="92"/>
    </row>
    <row r="1337" spans="6:12" s="87" customFormat="1">
      <c r="F1337" s="92"/>
      <c r="G1337" s="92"/>
      <c r="H1337" s="92"/>
      <c r="I1337" s="92"/>
      <c r="J1337" s="92"/>
      <c r="K1337" s="92"/>
      <c r="L1337" s="92"/>
    </row>
    <row r="1338" spans="6:12" s="87" customFormat="1">
      <c r="F1338" s="92"/>
      <c r="G1338" s="92"/>
      <c r="H1338" s="92"/>
      <c r="I1338" s="92"/>
      <c r="J1338" s="92"/>
      <c r="K1338" s="92"/>
      <c r="L1338" s="92"/>
    </row>
    <row r="1339" spans="6:12" s="87" customFormat="1">
      <c r="F1339" s="92"/>
      <c r="G1339" s="92"/>
      <c r="H1339" s="92"/>
      <c r="I1339" s="92"/>
      <c r="J1339" s="92"/>
      <c r="K1339" s="92"/>
      <c r="L1339" s="92"/>
    </row>
    <row r="1340" spans="6:12" s="87" customFormat="1">
      <c r="F1340" s="92"/>
      <c r="G1340" s="92"/>
      <c r="H1340" s="92"/>
      <c r="I1340" s="92"/>
      <c r="J1340" s="92"/>
      <c r="K1340" s="92"/>
      <c r="L1340" s="92"/>
    </row>
    <row r="1341" spans="6:12" s="87" customFormat="1">
      <c r="F1341" s="92"/>
      <c r="G1341" s="92"/>
      <c r="H1341" s="92"/>
      <c r="I1341" s="92"/>
      <c r="J1341" s="92"/>
      <c r="K1341" s="92"/>
      <c r="L1341" s="92"/>
    </row>
    <row r="1342" spans="6:12" s="87" customFormat="1">
      <c r="F1342" s="92"/>
      <c r="G1342" s="92"/>
      <c r="H1342" s="92"/>
      <c r="I1342" s="92"/>
      <c r="J1342" s="92"/>
      <c r="K1342" s="92"/>
      <c r="L1342" s="92"/>
    </row>
    <row r="1343" spans="6:12" s="87" customFormat="1">
      <c r="F1343" s="92"/>
      <c r="G1343" s="92"/>
      <c r="H1343" s="92"/>
      <c r="I1343" s="92"/>
      <c r="J1343" s="92"/>
      <c r="K1343" s="92"/>
      <c r="L1343" s="92"/>
    </row>
    <row r="1344" spans="6:12" s="87" customFormat="1">
      <c r="F1344" s="92"/>
      <c r="G1344" s="92"/>
      <c r="H1344" s="92"/>
      <c r="I1344" s="92"/>
      <c r="J1344" s="92"/>
      <c r="K1344" s="92"/>
      <c r="L1344" s="92"/>
    </row>
    <row r="1345" spans="6:12" s="87" customFormat="1">
      <c r="F1345" s="92"/>
      <c r="G1345" s="92"/>
      <c r="H1345" s="92"/>
      <c r="I1345" s="92"/>
      <c r="J1345" s="92"/>
      <c r="K1345" s="92"/>
      <c r="L1345" s="92"/>
    </row>
    <row r="1346" spans="6:12" s="87" customFormat="1">
      <c r="F1346" s="92"/>
      <c r="G1346" s="92"/>
      <c r="H1346" s="92"/>
      <c r="I1346" s="92"/>
      <c r="J1346" s="92"/>
      <c r="K1346" s="92"/>
      <c r="L1346" s="92"/>
    </row>
    <row r="1347" spans="6:12" s="87" customFormat="1">
      <c r="F1347" s="92"/>
      <c r="G1347" s="92"/>
      <c r="H1347" s="92"/>
      <c r="I1347" s="92"/>
      <c r="J1347" s="92"/>
      <c r="K1347" s="92"/>
      <c r="L1347" s="92"/>
    </row>
    <row r="1348" spans="6:12" s="87" customFormat="1">
      <c r="F1348" s="92"/>
      <c r="G1348" s="92"/>
      <c r="H1348" s="92"/>
      <c r="I1348" s="92"/>
      <c r="J1348" s="92"/>
      <c r="K1348" s="92"/>
      <c r="L1348" s="92"/>
    </row>
    <row r="1349" spans="6:12" s="87" customFormat="1">
      <c r="F1349" s="92"/>
      <c r="G1349" s="92"/>
      <c r="H1349" s="92"/>
      <c r="I1349" s="92"/>
      <c r="J1349" s="92"/>
      <c r="K1349" s="92"/>
      <c r="L1349" s="92"/>
    </row>
    <row r="1350" spans="6:12" s="87" customFormat="1">
      <c r="F1350" s="92"/>
      <c r="G1350" s="92"/>
      <c r="H1350" s="92"/>
      <c r="I1350" s="92"/>
      <c r="J1350" s="92"/>
      <c r="K1350" s="92"/>
      <c r="L1350" s="92"/>
    </row>
    <row r="1351" spans="6:12" s="87" customFormat="1">
      <c r="F1351" s="92"/>
      <c r="G1351" s="92"/>
      <c r="H1351" s="92"/>
      <c r="I1351" s="92"/>
      <c r="J1351" s="92"/>
      <c r="K1351" s="92"/>
      <c r="L1351" s="92"/>
    </row>
    <row r="1352" spans="6:12" s="87" customFormat="1">
      <c r="F1352" s="92"/>
      <c r="G1352" s="92"/>
      <c r="H1352" s="92"/>
      <c r="I1352" s="92"/>
      <c r="J1352" s="92"/>
      <c r="K1352" s="92"/>
      <c r="L1352" s="92"/>
    </row>
    <row r="1353" spans="6:12" s="87" customFormat="1">
      <c r="F1353" s="92"/>
      <c r="G1353" s="92"/>
      <c r="H1353" s="92"/>
      <c r="I1353" s="92"/>
      <c r="J1353" s="92"/>
      <c r="K1353" s="92"/>
      <c r="L1353" s="92"/>
    </row>
    <row r="1354" spans="6:12" s="87" customFormat="1">
      <c r="F1354" s="92"/>
      <c r="G1354" s="92"/>
      <c r="H1354" s="92"/>
      <c r="I1354" s="92"/>
      <c r="J1354" s="92"/>
      <c r="K1354" s="92"/>
      <c r="L1354" s="92"/>
    </row>
    <row r="1355" spans="6:12" s="87" customFormat="1">
      <c r="F1355" s="92"/>
      <c r="G1355" s="92"/>
      <c r="H1355" s="92"/>
      <c r="I1355" s="92"/>
      <c r="J1355" s="92"/>
      <c r="K1355" s="92"/>
      <c r="L1355" s="92"/>
    </row>
    <row r="1356" spans="6:12" s="87" customFormat="1">
      <c r="F1356" s="92"/>
      <c r="G1356" s="92"/>
      <c r="H1356" s="92"/>
      <c r="I1356" s="92"/>
      <c r="J1356" s="92"/>
      <c r="K1356" s="92"/>
      <c r="L1356" s="92"/>
    </row>
    <row r="1357" spans="6:12" s="87" customFormat="1">
      <c r="F1357" s="92"/>
      <c r="G1357" s="92"/>
      <c r="H1357" s="92"/>
      <c r="I1357" s="92"/>
      <c r="J1357" s="92"/>
      <c r="K1357" s="92"/>
      <c r="L1357" s="92"/>
    </row>
    <row r="1358" spans="6:12" s="87" customFormat="1">
      <c r="F1358" s="92"/>
      <c r="G1358" s="92"/>
      <c r="H1358" s="92"/>
      <c r="I1358" s="92"/>
      <c r="J1358" s="92"/>
      <c r="K1358" s="92"/>
      <c r="L1358" s="92"/>
    </row>
    <row r="1359" spans="6:12" s="87" customFormat="1">
      <c r="F1359" s="92"/>
      <c r="G1359" s="92"/>
      <c r="H1359" s="92"/>
      <c r="I1359" s="92"/>
      <c r="J1359" s="92"/>
      <c r="K1359" s="92"/>
      <c r="L1359" s="92"/>
    </row>
    <row r="1360" spans="6:12" s="87" customFormat="1">
      <c r="F1360" s="92"/>
      <c r="G1360" s="92"/>
      <c r="H1360" s="92"/>
      <c r="I1360" s="92"/>
      <c r="J1360" s="92"/>
      <c r="K1360" s="92"/>
      <c r="L1360" s="92"/>
    </row>
    <row r="1361" spans="6:12" s="87" customFormat="1">
      <c r="F1361" s="92"/>
      <c r="G1361" s="92"/>
      <c r="H1361" s="92"/>
      <c r="I1361" s="92"/>
      <c r="J1361" s="92"/>
      <c r="K1361" s="92"/>
      <c r="L1361" s="92"/>
    </row>
    <row r="1362" spans="6:12" s="87" customFormat="1">
      <c r="F1362" s="92"/>
      <c r="G1362" s="92"/>
      <c r="H1362" s="92"/>
      <c r="I1362" s="92"/>
      <c r="J1362" s="92"/>
      <c r="K1362" s="92"/>
      <c r="L1362" s="92"/>
    </row>
    <row r="1363" spans="6:12" s="87" customFormat="1">
      <c r="F1363" s="92"/>
      <c r="G1363" s="92"/>
      <c r="H1363" s="92"/>
      <c r="I1363" s="92"/>
      <c r="J1363" s="92"/>
      <c r="K1363" s="92"/>
      <c r="L1363" s="92"/>
    </row>
    <row r="1364" spans="6:12" s="87" customFormat="1">
      <c r="F1364" s="92"/>
      <c r="G1364" s="92"/>
      <c r="H1364" s="92"/>
      <c r="I1364" s="92"/>
      <c r="J1364" s="92"/>
      <c r="K1364" s="92"/>
      <c r="L1364" s="92"/>
    </row>
    <row r="1365" spans="6:12" s="87" customFormat="1">
      <c r="F1365" s="92"/>
      <c r="G1365" s="92"/>
      <c r="H1365" s="92"/>
      <c r="I1365" s="92"/>
      <c r="J1365" s="92"/>
      <c r="K1365" s="92"/>
      <c r="L1365" s="92"/>
    </row>
    <row r="1366" spans="6:12" s="87" customFormat="1">
      <c r="F1366" s="92"/>
      <c r="G1366" s="92"/>
      <c r="H1366" s="92"/>
      <c r="I1366" s="92"/>
      <c r="J1366" s="92"/>
      <c r="K1366" s="92"/>
      <c r="L1366" s="92"/>
    </row>
    <row r="1367" spans="6:12" s="87" customFormat="1">
      <c r="F1367" s="92"/>
      <c r="G1367" s="92"/>
      <c r="H1367" s="92"/>
      <c r="I1367" s="92"/>
      <c r="J1367" s="92"/>
      <c r="K1367" s="92"/>
      <c r="L1367" s="92"/>
    </row>
    <row r="1368" spans="6:12" s="87" customFormat="1">
      <c r="F1368" s="92"/>
      <c r="G1368" s="92"/>
      <c r="H1368" s="92"/>
      <c r="I1368" s="92"/>
      <c r="J1368" s="92"/>
      <c r="K1368" s="92"/>
      <c r="L1368" s="92"/>
    </row>
    <row r="1369" spans="6:12" s="87" customFormat="1">
      <c r="F1369" s="92"/>
      <c r="G1369" s="92"/>
      <c r="H1369" s="92"/>
      <c r="I1369" s="92"/>
      <c r="J1369" s="92"/>
      <c r="K1369" s="92"/>
      <c r="L1369" s="92"/>
    </row>
    <row r="1370" spans="6:12" s="87" customFormat="1">
      <c r="F1370" s="92"/>
      <c r="G1370" s="92"/>
      <c r="H1370" s="92"/>
      <c r="I1370" s="92"/>
      <c r="J1370" s="92"/>
      <c r="K1370" s="92"/>
      <c r="L1370" s="92"/>
    </row>
    <row r="1371" spans="6:12" s="87" customFormat="1">
      <c r="F1371" s="92"/>
      <c r="G1371" s="92"/>
      <c r="H1371" s="92"/>
      <c r="I1371" s="92"/>
      <c r="J1371" s="92"/>
      <c r="K1371" s="92"/>
      <c r="L1371" s="92"/>
    </row>
    <row r="1372" spans="6:12" s="87" customFormat="1">
      <c r="F1372" s="92"/>
      <c r="G1372" s="92"/>
      <c r="H1372" s="92"/>
      <c r="I1372" s="92"/>
      <c r="J1372" s="92"/>
      <c r="K1372" s="92"/>
      <c r="L1372" s="92"/>
    </row>
    <row r="1373" spans="6:12" s="87" customFormat="1">
      <c r="F1373" s="92"/>
      <c r="G1373" s="92"/>
      <c r="H1373" s="92"/>
      <c r="I1373" s="92"/>
      <c r="J1373" s="92"/>
      <c r="K1373" s="92"/>
      <c r="L1373" s="92"/>
    </row>
    <row r="1374" spans="6:12" s="87" customFormat="1">
      <c r="F1374" s="92"/>
      <c r="G1374" s="92"/>
      <c r="H1374" s="92"/>
      <c r="I1374" s="92"/>
      <c r="J1374" s="92"/>
      <c r="K1374" s="92"/>
      <c r="L1374" s="92"/>
    </row>
    <row r="1375" spans="6:12" s="87" customFormat="1">
      <c r="F1375" s="92"/>
      <c r="G1375" s="92"/>
      <c r="H1375" s="92"/>
      <c r="I1375" s="92"/>
      <c r="J1375" s="92"/>
      <c r="K1375" s="92"/>
      <c r="L1375" s="92"/>
    </row>
    <row r="1376" spans="6:12" s="87" customFormat="1">
      <c r="F1376" s="92"/>
      <c r="G1376" s="92"/>
      <c r="H1376" s="92"/>
      <c r="I1376" s="92"/>
      <c r="J1376" s="92"/>
      <c r="K1376" s="92"/>
      <c r="L1376" s="92"/>
    </row>
    <row r="1377" spans="6:12" s="87" customFormat="1">
      <c r="F1377" s="92"/>
      <c r="G1377" s="92"/>
      <c r="H1377" s="92"/>
      <c r="I1377" s="92"/>
      <c r="J1377" s="92"/>
      <c r="K1377" s="92"/>
      <c r="L1377" s="92"/>
    </row>
    <row r="1378" spans="6:12" s="87" customFormat="1">
      <c r="F1378" s="92"/>
      <c r="G1378" s="92"/>
      <c r="H1378" s="92"/>
      <c r="I1378" s="92"/>
      <c r="J1378" s="92"/>
      <c r="K1378" s="92"/>
      <c r="L1378" s="92"/>
    </row>
    <row r="1379" spans="6:12" s="87" customFormat="1">
      <c r="F1379" s="92"/>
      <c r="G1379" s="92"/>
      <c r="H1379" s="92"/>
      <c r="I1379" s="92"/>
      <c r="J1379" s="92"/>
      <c r="K1379" s="92"/>
      <c r="L1379" s="92"/>
    </row>
    <row r="1380" spans="6:12" s="87" customFormat="1">
      <c r="F1380" s="92"/>
      <c r="G1380" s="92"/>
      <c r="H1380" s="92"/>
      <c r="I1380" s="92"/>
      <c r="J1380" s="92"/>
      <c r="K1380" s="92"/>
      <c r="L1380" s="92"/>
    </row>
    <row r="1381" spans="6:12" s="87" customFormat="1">
      <c r="F1381" s="92"/>
      <c r="G1381" s="92"/>
      <c r="H1381" s="92"/>
      <c r="I1381" s="92"/>
      <c r="J1381" s="92"/>
      <c r="K1381" s="92"/>
      <c r="L1381" s="92"/>
    </row>
    <row r="1382" spans="6:12" s="87" customFormat="1">
      <c r="F1382" s="92"/>
      <c r="G1382" s="92"/>
      <c r="H1382" s="92"/>
      <c r="I1382" s="92"/>
      <c r="J1382" s="92"/>
      <c r="K1382" s="92"/>
      <c r="L1382" s="92"/>
    </row>
    <row r="1383" spans="6:12" s="87" customFormat="1">
      <c r="F1383" s="92"/>
      <c r="G1383" s="92"/>
      <c r="H1383" s="92"/>
      <c r="I1383" s="92"/>
      <c r="J1383" s="92"/>
      <c r="K1383" s="92"/>
      <c r="L1383" s="92"/>
    </row>
    <row r="1384" spans="6:12" s="87" customFormat="1">
      <c r="F1384" s="92"/>
      <c r="G1384" s="92"/>
      <c r="H1384" s="92"/>
      <c r="I1384" s="92"/>
      <c r="J1384" s="92"/>
      <c r="K1384" s="92"/>
      <c r="L1384" s="92"/>
    </row>
    <row r="1385" spans="6:12" s="87" customFormat="1">
      <c r="F1385" s="92"/>
      <c r="G1385" s="92"/>
      <c r="H1385" s="92"/>
      <c r="I1385" s="92"/>
      <c r="J1385" s="92"/>
      <c r="K1385" s="92"/>
      <c r="L1385" s="92"/>
    </row>
    <row r="1386" spans="6:12" s="87" customFormat="1">
      <c r="F1386" s="92"/>
      <c r="G1386" s="92"/>
      <c r="H1386" s="92"/>
      <c r="I1386" s="92"/>
      <c r="J1386" s="92"/>
      <c r="K1386" s="92"/>
      <c r="L1386" s="92"/>
    </row>
    <row r="1387" spans="6:12" s="87" customFormat="1">
      <c r="F1387" s="92"/>
      <c r="G1387" s="92"/>
      <c r="H1387" s="92"/>
      <c r="I1387" s="92"/>
      <c r="J1387" s="92"/>
      <c r="K1387" s="92"/>
      <c r="L1387" s="92"/>
    </row>
    <row r="1388" spans="6:12" s="87" customFormat="1">
      <c r="F1388" s="92"/>
      <c r="G1388" s="92"/>
      <c r="H1388" s="92"/>
      <c r="I1388" s="92"/>
      <c r="J1388" s="92"/>
      <c r="K1388" s="92"/>
      <c r="L1388" s="92"/>
    </row>
    <row r="1389" spans="6:12" s="87" customFormat="1">
      <c r="F1389" s="92"/>
      <c r="G1389" s="92"/>
      <c r="H1389" s="92"/>
      <c r="I1389" s="92"/>
      <c r="J1389" s="92"/>
      <c r="K1389" s="92"/>
      <c r="L1389" s="92"/>
    </row>
    <row r="1390" spans="6:12" s="87" customFormat="1">
      <c r="F1390" s="92"/>
      <c r="G1390" s="92"/>
      <c r="H1390" s="92"/>
      <c r="I1390" s="92"/>
      <c r="J1390" s="92"/>
      <c r="K1390" s="92"/>
      <c r="L1390" s="92"/>
    </row>
    <row r="1391" spans="6:12" s="87" customFormat="1">
      <c r="F1391" s="92"/>
      <c r="G1391" s="92"/>
      <c r="H1391" s="92"/>
      <c r="I1391" s="92"/>
      <c r="J1391" s="92"/>
      <c r="K1391" s="92"/>
      <c r="L1391" s="92"/>
    </row>
    <row r="1392" spans="6:12" s="87" customFormat="1">
      <c r="F1392" s="92"/>
      <c r="G1392" s="92"/>
      <c r="H1392" s="92"/>
      <c r="I1392" s="92"/>
      <c r="J1392" s="92"/>
      <c r="K1392" s="92"/>
      <c r="L1392" s="92"/>
    </row>
    <row r="1393" spans="6:12" s="87" customFormat="1">
      <c r="F1393" s="92"/>
      <c r="G1393" s="92"/>
      <c r="H1393" s="92"/>
      <c r="I1393" s="92"/>
      <c r="J1393" s="92"/>
      <c r="K1393" s="92"/>
      <c r="L1393" s="92"/>
    </row>
    <row r="1394" spans="6:12" s="87" customFormat="1">
      <c r="F1394" s="92"/>
      <c r="G1394" s="92"/>
      <c r="H1394" s="92"/>
      <c r="I1394" s="92"/>
      <c r="J1394" s="92"/>
      <c r="K1394" s="92"/>
      <c r="L1394" s="92"/>
    </row>
    <row r="1395" spans="6:12" s="87" customFormat="1">
      <c r="F1395" s="92"/>
      <c r="G1395" s="92"/>
      <c r="H1395" s="92"/>
      <c r="I1395" s="92"/>
      <c r="J1395" s="92"/>
      <c r="K1395" s="92"/>
      <c r="L1395" s="92"/>
    </row>
    <row r="1396" spans="6:12" s="87" customFormat="1">
      <c r="F1396" s="92"/>
      <c r="G1396" s="92"/>
      <c r="H1396" s="92"/>
      <c r="I1396" s="92"/>
      <c r="J1396" s="92"/>
      <c r="K1396" s="92"/>
      <c r="L1396" s="92"/>
    </row>
    <row r="1397" spans="6:12" s="87" customFormat="1">
      <c r="F1397" s="92"/>
      <c r="G1397" s="92"/>
      <c r="H1397" s="92"/>
      <c r="I1397" s="92"/>
      <c r="J1397" s="92"/>
      <c r="K1397" s="92"/>
      <c r="L1397" s="92"/>
    </row>
    <row r="1398" spans="6:12" s="87" customFormat="1">
      <c r="F1398" s="92"/>
      <c r="G1398" s="92"/>
      <c r="H1398" s="92"/>
      <c r="I1398" s="92"/>
      <c r="J1398" s="92"/>
      <c r="K1398" s="92"/>
      <c r="L1398" s="92"/>
    </row>
    <row r="1399" spans="6:12" s="87" customFormat="1">
      <c r="F1399" s="92"/>
      <c r="G1399" s="92"/>
      <c r="H1399" s="92"/>
      <c r="I1399" s="92"/>
      <c r="J1399" s="92"/>
      <c r="K1399" s="92"/>
      <c r="L1399" s="92"/>
    </row>
    <row r="1400" spans="6:12" s="87" customFormat="1">
      <c r="F1400" s="92"/>
      <c r="G1400" s="92"/>
      <c r="H1400" s="92"/>
      <c r="I1400" s="92"/>
      <c r="J1400" s="92"/>
      <c r="K1400" s="92"/>
      <c r="L1400" s="92"/>
    </row>
    <row r="1401" spans="6:12" s="87" customFormat="1">
      <c r="F1401" s="92"/>
      <c r="G1401" s="92"/>
      <c r="H1401" s="92"/>
      <c r="I1401" s="92"/>
      <c r="J1401" s="92"/>
      <c r="K1401" s="92"/>
      <c r="L1401" s="92"/>
    </row>
    <row r="1402" spans="6:12" s="87" customFormat="1">
      <c r="F1402" s="92"/>
      <c r="G1402" s="92"/>
      <c r="H1402" s="92"/>
      <c r="I1402" s="92"/>
      <c r="J1402" s="92"/>
      <c r="K1402" s="92"/>
      <c r="L1402" s="92"/>
    </row>
    <row r="1403" spans="6:12" s="87" customFormat="1">
      <c r="F1403" s="92"/>
      <c r="G1403" s="92"/>
      <c r="H1403" s="92"/>
      <c r="I1403" s="92"/>
      <c r="J1403" s="92"/>
      <c r="K1403" s="92"/>
      <c r="L1403" s="92"/>
    </row>
    <row r="1404" spans="6:12" s="87" customFormat="1">
      <c r="F1404" s="92"/>
      <c r="G1404" s="92"/>
      <c r="H1404" s="92"/>
      <c r="I1404" s="92"/>
      <c r="J1404" s="92"/>
      <c r="K1404" s="92"/>
      <c r="L1404" s="92"/>
    </row>
    <row r="1405" spans="6:12" s="87" customFormat="1">
      <c r="F1405" s="92"/>
      <c r="G1405" s="92"/>
      <c r="H1405" s="92"/>
      <c r="I1405" s="92"/>
      <c r="J1405" s="92"/>
      <c r="K1405" s="92"/>
      <c r="L1405" s="92"/>
    </row>
    <row r="1406" spans="6:12" s="87" customFormat="1">
      <c r="F1406" s="92"/>
      <c r="G1406" s="92"/>
      <c r="H1406" s="92"/>
      <c r="I1406" s="92"/>
      <c r="J1406" s="92"/>
      <c r="K1406" s="92"/>
      <c r="L1406" s="92"/>
    </row>
    <row r="1407" spans="6:12" s="87" customFormat="1">
      <c r="F1407" s="92"/>
      <c r="G1407" s="92"/>
      <c r="H1407" s="92"/>
      <c r="I1407" s="92"/>
      <c r="J1407" s="92"/>
      <c r="K1407" s="92"/>
      <c r="L1407" s="92"/>
    </row>
    <row r="1408" spans="6:12" s="87" customFormat="1">
      <c r="F1408" s="92"/>
      <c r="G1408" s="92"/>
      <c r="H1408" s="92"/>
      <c r="I1408" s="92"/>
      <c r="J1408" s="92"/>
      <c r="K1408" s="92"/>
      <c r="L1408" s="92"/>
    </row>
    <row r="1409" spans="6:12" s="87" customFormat="1">
      <c r="F1409" s="92"/>
      <c r="G1409" s="92"/>
      <c r="H1409" s="92"/>
      <c r="I1409" s="92"/>
      <c r="J1409" s="92"/>
      <c r="K1409" s="92"/>
      <c r="L1409" s="92"/>
    </row>
    <row r="1410" spans="6:12" s="87" customFormat="1">
      <c r="F1410" s="92"/>
      <c r="G1410" s="92"/>
      <c r="H1410" s="92"/>
      <c r="I1410" s="92"/>
      <c r="J1410" s="92"/>
      <c r="K1410" s="92"/>
      <c r="L1410" s="92"/>
    </row>
    <row r="1411" spans="6:12" s="87" customFormat="1">
      <c r="F1411" s="92"/>
      <c r="G1411" s="92"/>
      <c r="H1411" s="92"/>
      <c r="I1411" s="92"/>
      <c r="J1411" s="92"/>
      <c r="K1411" s="92"/>
      <c r="L1411" s="92"/>
    </row>
    <row r="1412" spans="6:12" s="87" customFormat="1">
      <c r="F1412" s="92"/>
      <c r="G1412" s="92"/>
      <c r="H1412" s="92"/>
      <c r="I1412" s="92"/>
      <c r="J1412" s="92"/>
      <c r="K1412" s="92"/>
      <c r="L1412" s="92"/>
    </row>
    <row r="1413" spans="6:12" s="87" customFormat="1">
      <c r="F1413" s="92"/>
      <c r="G1413" s="92"/>
      <c r="H1413" s="92"/>
      <c r="I1413" s="92"/>
      <c r="J1413" s="92"/>
      <c r="K1413" s="92"/>
      <c r="L1413" s="92"/>
    </row>
    <row r="1414" spans="6:12" s="87" customFormat="1">
      <c r="F1414" s="92"/>
      <c r="G1414" s="92"/>
      <c r="H1414" s="92"/>
      <c r="I1414" s="92"/>
      <c r="J1414" s="92"/>
      <c r="K1414" s="92"/>
      <c r="L1414" s="92"/>
    </row>
    <row r="1415" spans="6:12" s="87" customFormat="1">
      <c r="F1415" s="92"/>
      <c r="G1415" s="92"/>
      <c r="H1415" s="92"/>
      <c r="I1415" s="92"/>
      <c r="J1415" s="92"/>
      <c r="K1415" s="92"/>
      <c r="L1415" s="92"/>
    </row>
    <row r="1416" spans="6:12" s="87" customFormat="1">
      <c r="F1416" s="92"/>
      <c r="G1416" s="92"/>
      <c r="H1416" s="92"/>
      <c r="I1416" s="92"/>
      <c r="J1416" s="92"/>
      <c r="K1416" s="92"/>
      <c r="L1416" s="92"/>
    </row>
    <row r="1417" spans="6:12" s="87" customFormat="1">
      <c r="F1417" s="92"/>
      <c r="G1417" s="92"/>
      <c r="H1417" s="92"/>
      <c r="I1417" s="92"/>
      <c r="J1417" s="92"/>
      <c r="K1417" s="92"/>
      <c r="L1417" s="92"/>
    </row>
    <row r="1418" spans="6:12" s="87" customFormat="1">
      <c r="F1418" s="92"/>
      <c r="G1418" s="92"/>
      <c r="H1418" s="92"/>
      <c r="I1418" s="92"/>
      <c r="J1418" s="92"/>
      <c r="K1418" s="92"/>
      <c r="L1418" s="92"/>
    </row>
    <row r="1419" spans="6:12" s="87" customFormat="1">
      <c r="F1419" s="92"/>
      <c r="G1419" s="92"/>
      <c r="H1419" s="92"/>
      <c r="I1419" s="92"/>
      <c r="J1419" s="92"/>
      <c r="K1419" s="92"/>
      <c r="L1419" s="92"/>
    </row>
    <row r="1420" spans="6:12" s="87" customFormat="1">
      <c r="F1420" s="92"/>
      <c r="G1420" s="92"/>
      <c r="H1420" s="92"/>
      <c r="I1420" s="92"/>
      <c r="J1420" s="92"/>
      <c r="K1420" s="92"/>
      <c r="L1420" s="92"/>
    </row>
    <row r="1421" spans="6:12" s="87" customFormat="1">
      <c r="F1421" s="92"/>
      <c r="G1421" s="92"/>
      <c r="H1421" s="92"/>
      <c r="I1421" s="92"/>
      <c r="J1421" s="92"/>
      <c r="K1421" s="92"/>
      <c r="L1421" s="92"/>
    </row>
    <row r="1422" spans="6:12" s="87" customFormat="1">
      <c r="F1422" s="92"/>
      <c r="G1422" s="92"/>
      <c r="H1422" s="92"/>
      <c r="I1422" s="92"/>
      <c r="J1422" s="92"/>
      <c r="K1422" s="92"/>
      <c r="L1422" s="92"/>
    </row>
    <row r="1423" spans="6:12" s="87" customFormat="1">
      <c r="F1423" s="92"/>
      <c r="G1423" s="92"/>
      <c r="H1423" s="92"/>
      <c r="I1423" s="92"/>
      <c r="J1423" s="92"/>
      <c r="K1423" s="92"/>
      <c r="L1423" s="92"/>
    </row>
    <row r="1424" spans="6:12" s="87" customFormat="1">
      <c r="F1424" s="92"/>
      <c r="G1424" s="92"/>
      <c r="H1424" s="92"/>
      <c r="I1424" s="92"/>
      <c r="J1424" s="92"/>
      <c r="K1424" s="92"/>
      <c r="L1424" s="92"/>
    </row>
    <row r="1425" spans="6:12" s="87" customFormat="1">
      <c r="F1425" s="92"/>
      <c r="G1425" s="92"/>
      <c r="H1425" s="92"/>
      <c r="I1425" s="92"/>
      <c r="J1425" s="92"/>
      <c r="K1425" s="92"/>
      <c r="L1425" s="92"/>
    </row>
    <row r="1426" spans="6:12" s="87" customFormat="1">
      <c r="F1426" s="92"/>
      <c r="G1426" s="92"/>
      <c r="H1426" s="92"/>
      <c r="I1426" s="92"/>
      <c r="J1426" s="92"/>
      <c r="K1426" s="92"/>
      <c r="L1426" s="92"/>
    </row>
    <row r="1427" spans="6:12" s="87" customFormat="1">
      <c r="F1427" s="92"/>
      <c r="G1427" s="92"/>
      <c r="H1427" s="92"/>
      <c r="I1427" s="92"/>
      <c r="J1427" s="92"/>
      <c r="K1427" s="92"/>
      <c r="L1427" s="92"/>
    </row>
    <row r="1428" spans="6:12" s="87" customFormat="1">
      <c r="F1428" s="92"/>
      <c r="G1428" s="92"/>
      <c r="H1428" s="92"/>
      <c r="I1428" s="92"/>
      <c r="J1428" s="92"/>
      <c r="K1428" s="92"/>
      <c r="L1428" s="92"/>
    </row>
    <row r="1429" spans="6:12" s="87" customFormat="1">
      <c r="F1429" s="92"/>
      <c r="G1429" s="92"/>
      <c r="H1429" s="92"/>
      <c r="I1429" s="92"/>
      <c r="J1429" s="92"/>
      <c r="K1429" s="92"/>
      <c r="L1429" s="92"/>
    </row>
    <row r="1430" spans="6:12" s="87" customFormat="1">
      <c r="F1430" s="92"/>
      <c r="G1430" s="92"/>
      <c r="H1430" s="92"/>
      <c r="I1430" s="92"/>
      <c r="J1430" s="92"/>
      <c r="K1430" s="92"/>
      <c r="L1430" s="92"/>
    </row>
    <row r="1431" spans="6:12" s="87" customFormat="1">
      <c r="F1431" s="92"/>
      <c r="G1431" s="92"/>
      <c r="H1431" s="92"/>
      <c r="I1431" s="92"/>
      <c r="J1431" s="92"/>
      <c r="K1431" s="92"/>
      <c r="L1431" s="92"/>
    </row>
    <row r="1432" spans="6:12" s="87" customFormat="1">
      <c r="F1432" s="92"/>
      <c r="G1432" s="92"/>
      <c r="H1432" s="92"/>
      <c r="I1432" s="92"/>
      <c r="J1432" s="92"/>
      <c r="K1432" s="92"/>
      <c r="L1432" s="92"/>
    </row>
    <row r="1433" spans="6:12" s="87" customFormat="1">
      <c r="F1433" s="92"/>
      <c r="G1433" s="92"/>
      <c r="H1433" s="92"/>
      <c r="I1433" s="92"/>
      <c r="J1433" s="92"/>
      <c r="K1433" s="92"/>
      <c r="L1433" s="92"/>
    </row>
    <row r="1434" spans="6:12" s="87" customFormat="1">
      <c r="F1434" s="92"/>
      <c r="G1434" s="92"/>
      <c r="H1434" s="92"/>
      <c r="I1434" s="92"/>
      <c r="J1434" s="92"/>
      <c r="K1434" s="92"/>
      <c r="L1434" s="92"/>
    </row>
    <row r="1435" spans="6:12" s="87" customFormat="1">
      <c r="F1435" s="92"/>
      <c r="G1435" s="92"/>
      <c r="H1435" s="92"/>
      <c r="I1435" s="92"/>
      <c r="J1435" s="92"/>
      <c r="K1435" s="92"/>
      <c r="L1435" s="92"/>
    </row>
    <row r="1436" spans="6:12" s="87" customFormat="1">
      <c r="F1436" s="92"/>
      <c r="G1436" s="92"/>
      <c r="H1436" s="92"/>
      <c r="I1436" s="92"/>
      <c r="J1436" s="92"/>
      <c r="K1436" s="92"/>
      <c r="L1436" s="92"/>
    </row>
    <row r="1437" spans="6:12" s="87" customFormat="1">
      <c r="F1437" s="92"/>
      <c r="G1437" s="92"/>
      <c r="H1437" s="92"/>
      <c r="I1437" s="92"/>
      <c r="J1437" s="92"/>
      <c r="K1437" s="92"/>
      <c r="L1437" s="92"/>
    </row>
    <row r="1438" spans="6:12" s="87" customFormat="1">
      <c r="F1438" s="92"/>
      <c r="G1438" s="92"/>
      <c r="H1438" s="92"/>
      <c r="I1438" s="92"/>
      <c r="J1438" s="92"/>
      <c r="K1438" s="92"/>
      <c r="L1438" s="92"/>
    </row>
    <row r="1439" spans="6:12" s="87" customFormat="1">
      <c r="F1439" s="92"/>
      <c r="G1439" s="92"/>
      <c r="H1439" s="92"/>
      <c r="I1439" s="92"/>
      <c r="J1439" s="92"/>
      <c r="K1439" s="92"/>
      <c r="L1439" s="92"/>
    </row>
    <row r="1440" spans="6:12" s="87" customFormat="1">
      <c r="F1440" s="92"/>
      <c r="G1440" s="92"/>
      <c r="H1440" s="92"/>
      <c r="I1440" s="92"/>
      <c r="J1440" s="92"/>
      <c r="K1440" s="92"/>
      <c r="L1440" s="92"/>
    </row>
    <row r="1441" spans="6:12" s="87" customFormat="1">
      <c r="F1441" s="92"/>
      <c r="G1441" s="92"/>
      <c r="H1441" s="92"/>
      <c r="I1441" s="92"/>
      <c r="J1441" s="92"/>
      <c r="K1441" s="92"/>
      <c r="L1441" s="92"/>
    </row>
    <row r="1442" spans="6:12" s="87" customFormat="1">
      <c r="F1442" s="92"/>
      <c r="G1442" s="92"/>
      <c r="H1442" s="92"/>
      <c r="I1442" s="92"/>
      <c r="J1442" s="92"/>
      <c r="K1442" s="92"/>
      <c r="L1442" s="92"/>
    </row>
    <row r="1443" spans="6:12" s="87" customFormat="1">
      <c r="F1443" s="92"/>
      <c r="G1443" s="92"/>
      <c r="H1443" s="92"/>
      <c r="I1443" s="92"/>
      <c r="J1443" s="92"/>
      <c r="K1443" s="92"/>
      <c r="L1443" s="92"/>
    </row>
    <row r="1444" spans="6:12" s="87" customFormat="1">
      <c r="F1444" s="92"/>
      <c r="G1444" s="92"/>
      <c r="H1444" s="92"/>
      <c r="I1444" s="92"/>
      <c r="J1444" s="92"/>
      <c r="K1444" s="92"/>
      <c r="L1444" s="92"/>
    </row>
    <row r="1445" spans="6:12" s="87" customFormat="1">
      <c r="F1445" s="92"/>
      <c r="G1445" s="92"/>
      <c r="H1445" s="92"/>
      <c r="I1445" s="92"/>
      <c r="J1445" s="92"/>
      <c r="K1445" s="92"/>
      <c r="L1445" s="92"/>
    </row>
    <row r="1446" spans="6:12" s="87" customFormat="1">
      <c r="F1446" s="92"/>
      <c r="G1446" s="92"/>
      <c r="H1446" s="92"/>
      <c r="I1446" s="92"/>
      <c r="J1446" s="92"/>
      <c r="K1446" s="92"/>
      <c r="L1446" s="92"/>
    </row>
    <row r="1447" spans="6:12" s="87" customFormat="1">
      <c r="F1447" s="92"/>
      <c r="G1447" s="92"/>
      <c r="H1447" s="92"/>
      <c r="I1447" s="92"/>
      <c r="J1447" s="92"/>
      <c r="K1447" s="92"/>
      <c r="L1447" s="92"/>
    </row>
    <row r="1448" spans="6:12" s="87" customFormat="1">
      <c r="F1448" s="92"/>
      <c r="G1448" s="92"/>
      <c r="H1448" s="92"/>
      <c r="I1448" s="92"/>
      <c r="J1448" s="92"/>
      <c r="K1448" s="92"/>
      <c r="L1448" s="92"/>
    </row>
    <row r="1449" spans="6:12" s="87" customFormat="1">
      <c r="F1449" s="92"/>
      <c r="G1449" s="92"/>
      <c r="H1449" s="92"/>
      <c r="I1449" s="92"/>
      <c r="J1449" s="92"/>
      <c r="K1449" s="92"/>
      <c r="L1449" s="92"/>
    </row>
    <row r="1450" spans="6:12" s="87" customFormat="1">
      <c r="F1450" s="92"/>
      <c r="G1450" s="92"/>
      <c r="H1450" s="92"/>
      <c r="I1450" s="92"/>
      <c r="J1450" s="92"/>
      <c r="K1450" s="92"/>
      <c r="L1450" s="92"/>
    </row>
    <row r="1451" spans="6:12" s="87" customFormat="1">
      <c r="F1451" s="92"/>
      <c r="G1451" s="92"/>
      <c r="H1451" s="92"/>
      <c r="I1451" s="92"/>
      <c r="J1451" s="92"/>
      <c r="K1451" s="92"/>
      <c r="L1451" s="92"/>
    </row>
    <row r="1452" spans="6:12" s="87" customFormat="1">
      <c r="F1452" s="92"/>
      <c r="G1452" s="92"/>
      <c r="H1452" s="92"/>
      <c r="I1452" s="92"/>
      <c r="J1452" s="92"/>
      <c r="K1452" s="92"/>
      <c r="L1452" s="92"/>
    </row>
    <row r="1453" spans="6:12" s="87" customFormat="1">
      <c r="F1453" s="92"/>
      <c r="G1453" s="92"/>
      <c r="H1453" s="92"/>
      <c r="I1453" s="92"/>
      <c r="J1453" s="92"/>
      <c r="K1453" s="92"/>
      <c r="L1453" s="92"/>
    </row>
    <row r="1454" spans="6:12" s="87" customFormat="1">
      <c r="F1454" s="92"/>
      <c r="G1454" s="92"/>
      <c r="H1454" s="92"/>
      <c r="I1454" s="92"/>
      <c r="J1454" s="92"/>
      <c r="K1454" s="92"/>
      <c r="L1454" s="92"/>
    </row>
    <row r="1455" spans="6:12" s="87" customFormat="1">
      <c r="F1455" s="92"/>
      <c r="G1455" s="92"/>
      <c r="H1455" s="92"/>
      <c r="I1455" s="92"/>
      <c r="J1455" s="92"/>
      <c r="K1455" s="92"/>
      <c r="L1455" s="92"/>
    </row>
    <row r="1456" spans="6:12" s="87" customFormat="1">
      <c r="F1456" s="92"/>
      <c r="G1456" s="92"/>
      <c r="H1456" s="92"/>
      <c r="I1456" s="92"/>
      <c r="J1456" s="92"/>
      <c r="K1456" s="92"/>
      <c r="L1456" s="92"/>
    </row>
    <row r="1457" spans="6:12" s="87" customFormat="1">
      <c r="F1457" s="92"/>
      <c r="G1457" s="92"/>
      <c r="H1457" s="92"/>
      <c r="I1457" s="92"/>
      <c r="J1457" s="92"/>
      <c r="K1457" s="92"/>
      <c r="L1457" s="92"/>
    </row>
    <row r="1458" spans="6:12" s="87" customFormat="1">
      <c r="F1458" s="92"/>
      <c r="G1458" s="92"/>
      <c r="H1458" s="92"/>
      <c r="I1458" s="92"/>
      <c r="J1458" s="92"/>
      <c r="K1458" s="92"/>
      <c r="L1458" s="92"/>
    </row>
    <row r="1459" spans="6:12" s="87" customFormat="1">
      <c r="F1459" s="92"/>
      <c r="G1459" s="92"/>
      <c r="H1459" s="92"/>
      <c r="I1459" s="92"/>
      <c r="J1459" s="92"/>
      <c r="K1459" s="92"/>
      <c r="L1459" s="92"/>
    </row>
    <row r="1460" spans="6:12" s="87" customFormat="1">
      <c r="F1460" s="92"/>
      <c r="G1460" s="92"/>
      <c r="H1460" s="92"/>
      <c r="I1460" s="92"/>
      <c r="J1460" s="92"/>
      <c r="K1460" s="92"/>
      <c r="L1460" s="92"/>
    </row>
    <row r="1461" spans="6:12" s="87" customFormat="1">
      <c r="F1461" s="92"/>
      <c r="G1461" s="92"/>
      <c r="H1461" s="92"/>
      <c r="I1461" s="92"/>
      <c r="J1461" s="92"/>
      <c r="K1461" s="92"/>
      <c r="L1461" s="92"/>
    </row>
    <row r="1462" spans="6:12" s="87" customFormat="1">
      <c r="F1462" s="92"/>
      <c r="G1462" s="92"/>
      <c r="H1462" s="92"/>
      <c r="I1462" s="92"/>
      <c r="J1462" s="92"/>
      <c r="K1462" s="92"/>
      <c r="L1462" s="92"/>
    </row>
    <row r="1463" spans="6:12" s="87" customFormat="1">
      <c r="F1463" s="92"/>
      <c r="G1463" s="92"/>
      <c r="H1463" s="92"/>
      <c r="I1463" s="92"/>
      <c r="J1463" s="92"/>
      <c r="K1463" s="92"/>
      <c r="L1463" s="92"/>
    </row>
    <row r="1464" spans="6:12" s="87" customFormat="1">
      <c r="F1464" s="92"/>
      <c r="G1464" s="92"/>
      <c r="H1464" s="92"/>
      <c r="I1464" s="92"/>
      <c r="J1464" s="92"/>
      <c r="K1464" s="92"/>
      <c r="L1464" s="92"/>
    </row>
    <row r="1465" spans="6:12" s="87" customFormat="1">
      <c r="F1465" s="92"/>
      <c r="G1465" s="92"/>
      <c r="H1465" s="92"/>
      <c r="I1465" s="92"/>
      <c r="J1465" s="92"/>
      <c r="K1465" s="92"/>
      <c r="L1465" s="92"/>
    </row>
    <row r="1466" spans="6:12" s="87" customFormat="1">
      <c r="F1466" s="92"/>
      <c r="G1466" s="92"/>
      <c r="H1466" s="92"/>
      <c r="I1466" s="92"/>
      <c r="J1466" s="92"/>
      <c r="K1466" s="92"/>
      <c r="L1466" s="92"/>
    </row>
    <row r="1467" spans="6:12" s="87" customFormat="1">
      <c r="F1467" s="92"/>
      <c r="G1467" s="92"/>
      <c r="H1467" s="92"/>
      <c r="I1467" s="92"/>
      <c r="J1467" s="92"/>
      <c r="K1467" s="92"/>
      <c r="L1467" s="92"/>
    </row>
    <row r="1468" spans="6:12" s="87" customFormat="1">
      <c r="F1468" s="92"/>
      <c r="G1468" s="92"/>
      <c r="H1468" s="92"/>
      <c r="I1468" s="92"/>
      <c r="J1468" s="92"/>
      <c r="K1468" s="92"/>
      <c r="L1468" s="92"/>
    </row>
    <row r="1469" spans="6:12" s="87" customFormat="1">
      <c r="F1469" s="92"/>
      <c r="G1469" s="92"/>
      <c r="H1469" s="92"/>
      <c r="I1469" s="92"/>
      <c r="J1469" s="92"/>
      <c r="K1469" s="92"/>
      <c r="L1469" s="92"/>
    </row>
    <row r="1470" spans="6:12" s="87" customFormat="1">
      <c r="F1470" s="92"/>
      <c r="G1470" s="92"/>
      <c r="H1470" s="92"/>
      <c r="I1470" s="92"/>
      <c r="J1470" s="92"/>
      <c r="K1470" s="92"/>
      <c r="L1470" s="92"/>
    </row>
    <row r="1471" spans="6:12" s="87" customFormat="1">
      <c r="F1471" s="92"/>
      <c r="G1471" s="92"/>
      <c r="H1471" s="92"/>
      <c r="I1471" s="92"/>
      <c r="J1471" s="92"/>
      <c r="K1471" s="92"/>
      <c r="L1471" s="92"/>
    </row>
    <row r="1472" spans="6:12" s="87" customFormat="1">
      <c r="F1472" s="92"/>
      <c r="G1472" s="92"/>
      <c r="H1472" s="92"/>
      <c r="I1472" s="92"/>
      <c r="J1472" s="92"/>
      <c r="K1472" s="92"/>
      <c r="L1472" s="92"/>
    </row>
    <row r="1473" spans="6:12" s="87" customFormat="1">
      <c r="F1473" s="92"/>
      <c r="G1473" s="92"/>
      <c r="H1473" s="92"/>
      <c r="I1473" s="92"/>
      <c r="J1473" s="92"/>
      <c r="K1473" s="92"/>
      <c r="L1473" s="92"/>
    </row>
    <row r="1474" spans="6:12" s="87" customFormat="1">
      <c r="F1474" s="92"/>
      <c r="G1474" s="92"/>
      <c r="H1474" s="92"/>
      <c r="I1474" s="92"/>
      <c r="J1474" s="92"/>
      <c r="K1474" s="92"/>
      <c r="L1474" s="92"/>
    </row>
    <row r="1475" spans="6:12" s="87" customFormat="1">
      <c r="F1475" s="92"/>
      <c r="G1475" s="92"/>
      <c r="H1475" s="92"/>
      <c r="I1475" s="92"/>
      <c r="J1475" s="92"/>
      <c r="K1475" s="92"/>
      <c r="L1475" s="92"/>
    </row>
    <row r="1476" spans="6:12" s="87" customFormat="1">
      <c r="F1476" s="92"/>
      <c r="G1476" s="92"/>
      <c r="H1476" s="92"/>
      <c r="I1476" s="92"/>
      <c r="J1476" s="92"/>
      <c r="K1476" s="92"/>
      <c r="L1476" s="92"/>
    </row>
    <row r="1477" spans="6:12" s="87" customFormat="1">
      <c r="F1477" s="92"/>
      <c r="G1477" s="92"/>
      <c r="H1477" s="92"/>
      <c r="I1477" s="92"/>
      <c r="J1477" s="92"/>
      <c r="K1477" s="92"/>
      <c r="L1477" s="92"/>
    </row>
    <row r="1478" spans="6:12" s="87" customFormat="1">
      <c r="F1478" s="92"/>
      <c r="G1478" s="92"/>
      <c r="H1478" s="92"/>
      <c r="I1478" s="92"/>
      <c r="J1478" s="92"/>
      <c r="K1478" s="92"/>
      <c r="L1478" s="92"/>
    </row>
    <row r="1479" spans="6:12" s="87" customFormat="1">
      <c r="F1479" s="92"/>
      <c r="G1479" s="92"/>
      <c r="H1479" s="92"/>
      <c r="I1479" s="92"/>
      <c r="J1479" s="92"/>
      <c r="K1479" s="92"/>
      <c r="L1479" s="92"/>
    </row>
    <row r="1480" spans="6:12" s="87" customFormat="1">
      <c r="F1480" s="92"/>
      <c r="G1480" s="92"/>
      <c r="H1480" s="92"/>
      <c r="I1480" s="92"/>
      <c r="J1480" s="92"/>
      <c r="K1480" s="92"/>
      <c r="L1480" s="92"/>
    </row>
    <row r="1481" spans="6:12" s="87" customFormat="1">
      <c r="F1481" s="92"/>
      <c r="G1481" s="92"/>
      <c r="H1481" s="92"/>
      <c r="I1481" s="92"/>
      <c r="J1481" s="92"/>
      <c r="K1481" s="92"/>
      <c r="L1481" s="92"/>
    </row>
    <row r="1482" spans="6:12" s="87" customFormat="1">
      <c r="F1482" s="92"/>
      <c r="G1482" s="92"/>
      <c r="H1482" s="92"/>
      <c r="I1482" s="92"/>
      <c r="J1482" s="92"/>
      <c r="K1482" s="92"/>
      <c r="L1482" s="92"/>
    </row>
    <row r="1483" spans="6:12" s="87" customFormat="1">
      <c r="F1483" s="92"/>
      <c r="G1483" s="92"/>
      <c r="H1483" s="92"/>
      <c r="I1483" s="92"/>
      <c r="J1483" s="92"/>
      <c r="K1483" s="92"/>
      <c r="L1483" s="92"/>
    </row>
    <row r="1484" spans="6:12" s="87" customFormat="1">
      <c r="F1484" s="92"/>
      <c r="G1484" s="92"/>
      <c r="H1484" s="92"/>
      <c r="I1484" s="92"/>
      <c r="J1484" s="92"/>
      <c r="K1484" s="92"/>
      <c r="L1484" s="92"/>
    </row>
    <row r="1485" spans="6:12" s="87" customFormat="1">
      <c r="F1485" s="92"/>
      <c r="G1485" s="92"/>
      <c r="H1485" s="92"/>
      <c r="I1485" s="92"/>
      <c r="J1485" s="92"/>
      <c r="K1485" s="92"/>
      <c r="L1485" s="92"/>
    </row>
    <row r="1486" spans="6:12" s="87" customFormat="1">
      <c r="F1486" s="92"/>
      <c r="G1486" s="92"/>
      <c r="H1486" s="92"/>
      <c r="I1486" s="92"/>
      <c r="J1486" s="92"/>
      <c r="K1486" s="92"/>
      <c r="L1486" s="92"/>
    </row>
    <row r="1487" spans="6:12" s="87" customFormat="1">
      <c r="F1487" s="92"/>
      <c r="G1487" s="92"/>
      <c r="H1487" s="92"/>
      <c r="I1487" s="92"/>
      <c r="J1487" s="92"/>
      <c r="K1487" s="92"/>
      <c r="L1487" s="92"/>
    </row>
    <row r="1488" spans="6:12" s="87" customFormat="1">
      <c r="F1488" s="92"/>
      <c r="G1488" s="92"/>
      <c r="H1488" s="92"/>
      <c r="I1488" s="92"/>
      <c r="J1488" s="92"/>
      <c r="K1488" s="92"/>
      <c r="L1488" s="92"/>
    </row>
    <row r="1489" spans="6:12" s="87" customFormat="1">
      <c r="F1489" s="92"/>
      <c r="G1489" s="92"/>
      <c r="H1489" s="92"/>
      <c r="I1489" s="92"/>
      <c r="J1489" s="92"/>
      <c r="K1489" s="92"/>
      <c r="L1489" s="92"/>
    </row>
    <row r="1490" spans="6:12" s="87" customFormat="1">
      <c r="F1490" s="92"/>
      <c r="G1490" s="92"/>
      <c r="H1490" s="92"/>
      <c r="I1490" s="92"/>
      <c r="J1490" s="92"/>
      <c r="K1490" s="92"/>
      <c r="L1490" s="92"/>
    </row>
    <row r="1491" spans="6:12" s="87" customFormat="1">
      <c r="F1491" s="92"/>
      <c r="G1491" s="92"/>
      <c r="H1491" s="92"/>
      <c r="I1491" s="92"/>
      <c r="J1491" s="92"/>
      <c r="K1491" s="92"/>
      <c r="L1491" s="92"/>
    </row>
    <row r="1492" spans="6:12" s="87" customFormat="1">
      <c r="F1492" s="92"/>
      <c r="G1492" s="92"/>
      <c r="H1492" s="92"/>
      <c r="I1492" s="92"/>
      <c r="J1492" s="92"/>
      <c r="K1492" s="92"/>
      <c r="L1492" s="92"/>
    </row>
    <row r="1493" spans="6:12" s="87" customFormat="1">
      <c r="F1493" s="92"/>
      <c r="G1493" s="92"/>
      <c r="H1493" s="92"/>
      <c r="I1493" s="92"/>
      <c r="J1493" s="92"/>
      <c r="K1493" s="92"/>
      <c r="L1493" s="92"/>
    </row>
    <row r="1494" spans="6:12" s="87" customFormat="1">
      <c r="F1494" s="92"/>
      <c r="G1494" s="92"/>
      <c r="H1494" s="92"/>
      <c r="I1494" s="92"/>
      <c r="J1494" s="92"/>
      <c r="K1494" s="92"/>
      <c r="L1494" s="92"/>
    </row>
    <row r="1495" spans="6:12" s="87" customFormat="1">
      <c r="F1495" s="92"/>
      <c r="G1495" s="92"/>
      <c r="H1495" s="92"/>
      <c r="I1495" s="92"/>
      <c r="J1495" s="92"/>
      <c r="K1495" s="92"/>
      <c r="L1495" s="92"/>
    </row>
    <row r="1496" spans="6:12" s="87" customFormat="1">
      <c r="F1496" s="92"/>
      <c r="G1496" s="92"/>
      <c r="H1496" s="92"/>
      <c r="I1496" s="92"/>
      <c r="J1496" s="92"/>
      <c r="K1496" s="92"/>
      <c r="L1496" s="92"/>
    </row>
    <row r="1497" spans="6:12" s="87" customFormat="1">
      <c r="F1497" s="92"/>
      <c r="G1497" s="92"/>
      <c r="H1497" s="92"/>
      <c r="I1497" s="92"/>
      <c r="J1497" s="92"/>
      <c r="K1497" s="92"/>
      <c r="L1497" s="92"/>
    </row>
    <row r="1498" spans="6:12" s="87" customFormat="1">
      <c r="F1498" s="92"/>
      <c r="G1498" s="92"/>
      <c r="H1498" s="92"/>
      <c r="I1498" s="92"/>
      <c r="J1498" s="92"/>
      <c r="K1498" s="92"/>
      <c r="L1498" s="92"/>
    </row>
    <row r="1499" spans="6:12" s="87" customFormat="1">
      <c r="F1499" s="92"/>
      <c r="G1499" s="92"/>
      <c r="H1499" s="92"/>
      <c r="I1499" s="92"/>
      <c r="J1499" s="92"/>
      <c r="K1499" s="92"/>
      <c r="L1499" s="92"/>
    </row>
    <row r="1500" spans="6:12" s="87" customFormat="1">
      <c r="F1500" s="92"/>
      <c r="G1500" s="92"/>
      <c r="H1500" s="92"/>
      <c r="I1500" s="92"/>
      <c r="J1500" s="92"/>
      <c r="K1500" s="92"/>
      <c r="L1500" s="92"/>
    </row>
    <row r="1501" spans="6:12" s="87" customFormat="1">
      <c r="F1501" s="92"/>
      <c r="G1501" s="92"/>
      <c r="H1501" s="92"/>
      <c r="I1501" s="92"/>
      <c r="J1501" s="92"/>
      <c r="K1501" s="92"/>
      <c r="L1501" s="92"/>
    </row>
    <row r="1502" spans="6:12" s="87" customFormat="1">
      <c r="F1502" s="92"/>
      <c r="G1502" s="92"/>
      <c r="H1502" s="92"/>
      <c r="I1502" s="92"/>
      <c r="J1502" s="92"/>
      <c r="K1502" s="92"/>
      <c r="L1502" s="92"/>
    </row>
    <row r="1503" spans="6:12" s="87" customFormat="1">
      <c r="F1503" s="92"/>
      <c r="G1503" s="92"/>
      <c r="H1503" s="92"/>
      <c r="I1503" s="92"/>
      <c r="J1503" s="92"/>
      <c r="K1503" s="92"/>
      <c r="L1503" s="92"/>
    </row>
    <row r="1504" spans="6:12" s="87" customFormat="1">
      <c r="F1504" s="92"/>
      <c r="G1504" s="92"/>
      <c r="H1504" s="92"/>
      <c r="I1504" s="92"/>
      <c r="J1504" s="92"/>
      <c r="K1504" s="92"/>
      <c r="L1504" s="92"/>
    </row>
    <row r="1505" spans="6:12" s="87" customFormat="1">
      <c r="F1505" s="92"/>
      <c r="G1505" s="92"/>
      <c r="H1505" s="92"/>
      <c r="I1505" s="92"/>
      <c r="J1505" s="92"/>
      <c r="K1505" s="92"/>
      <c r="L1505" s="92"/>
    </row>
    <row r="1506" spans="6:12" s="87" customFormat="1">
      <c r="F1506" s="92"/>
      <c r="G1506" s="92"/>
      <c r="H1506" s="92"/>
      <c r="I1506" s="92"/>
      <c r="J1506" s="92"/>
      <c r="K1506" s="92"/>
      <c r="L1506" s="92"/>
    </row>
    <row r="1507" spans="6:12" s="87" customFormat="1">
      <c r="F1507" s="92"/>
      <c r="G1507" s="92"/>
      <c r="H1507" s="92"/>
      <c r="I1507" s="92"/>
      <c r="J1507" s="92"/>
      <c r="K1507" s="92"/>
      <c r="L1507" s="92"/>
    </row>
    <row r="1508" spans="6:12" s="87" customFormat="1">
      <c r="F1508" s="92"/>
      <c r="G1508" s="92"/>
      <c r="H1508" s="92"/>
      <c r="I1508" s="92"/>
      <c r="J1508" s="92"/>
      <c r="K1508" s="92"/>
      <c r="L1508" s="92"/>
    </row>
    <row r="1509" spans="6:12" s="87" customFormat="1">
      <c r="F1509" s="92"/>
      <c r="G1509" s="92"/>
      <c r="H1509" s="92"/>
      <c r="I1509" s="92"/>
      <c r="J1509" s="92"/>
      <c r="K1509" s="92"/>
      <c r="L1509" s="92"/>
    </row>
    <row r="1510" spans="6:12" s="87" customFormat="1">
      <c r="F1510" s="92"/>
      <c r="G1510" s="92"/>
      <c r="H1510" s="92"/>
      <c r="I1510" s="92"/>
      <c r="J1510" s="92"/>
      <c r="K1510" s="92"/>
      <c r="L1510" s="92"/>
    </row>
    <row r="1511" spans="6:12" s="87" customFormat="1">
      <c r="F1511" s="92"/>
      <c r="G1511" s="92"/>
      <c r="H1511" s="92"/>
      <c r="I1511" s="92"/>
      <c r="J1511" s="92"/>
      <c r="K1511" s="92"/>
      <c r="L1511" s="92"/>
    </row>
    <row r="1512" spans="6:12" s="87" customFormat="1">
      <c r="F1512" s="92"/>
      <c r="G1512" s="92"/>
      <c r="H1512" s="92"/>
      <c r="I1512" s="92"/>
      <c r="J1512" s="92"/>
      <c r="K1512" s="92"/>
      <c r="L1512" s="92"/>
    </row>
    <row r="1513" spans="6:12" s="87" customFormat="1">
      <c r="F1513" s="92"/>
      <c r="G1513" s="92"/>
      <c r="H1513" s="92"/>
      <c r="I1513" s="92"/>
      <c r="J1513" s="92"/>
      <c r="K1513" s="92"/>
      <c r="L1513" s="92"/>
    </row>
    <row r="1514" spans="6:12" s="87" customFormat="1">
      <c r="F1514" s="92"/>
      <c r="G1514" s="92"/>
      <c r="H1514" s="92"/>
      <c r="I1514" s="92"/>
      <c r="J1514" s="92"/>
      <c r="K1514" s="92"/>
      <c r="L1514" s="92"/>
    </row>
    <row r="1515" spans="6:12" s="87" customFormat="1">
      <c r="F1515" s="92"/>
      <c r="G1515" s="92"/>
      <c r="H1515" s="92"/>
      <c r="I1515" s="92"/>
      <c r="J1515" s="92"/>
      <c r="K1515" s="92"/>
      <c r="L1515" s="92"/>
    </row>
    <row r="1516" spans="6:12" s="87" customFormat="1">
      <c r="F1516" s="92"/>
      <c r="G1516" s="92"/>
      <c r="H1516" s="92"/>
      <c r="I1516" s="92"/>
      <c r="J1516" s="92"/>
      <c r="K1516" s="92"/>
      <c r="L1516" s="92"/>
    </row>
    <row r="1517" spans="6:12" s="87" customFormat="1">
      <c r="F1517" s="92"/>
      <c r="G1517" s="92"/>
      <c r="H1517" s="92"/>
      <c r="I1517" s="92"/>
      <c r="J1517" s="92"/>
      <c r="K1517" s="92"/>
      <c r="L1517" s="92"/>
    </row>
    <row r="1518" spans="6:12" s="87" customFormat="1">
      <c r="F1518" s="92"/>
      <c r="G1518" s="92"/>
      <c r="H1518" s="92"/>
      <c r="I1518" s="92"/>
      <c r="J1518" s="92"/>
      <c r="K1518" s="92"/>
      <c r="L1518" s="92"/>
    </row>
    <row r="1519" spans="6:12" s="87" customFormat="1">
      <c r="F1519" s="92"/>
      <c r="G1519" s="92"/>
      <c r="H1519" s="92"/>
      <c r="I1519" s="92"/>
      <c r="J1519" s="92"/>
      <c r="K1519" s="92"/>
      <c r="L1519" s="92"/>
    </row>
    <row r="1520" spans="6:12" s="87" customFormat="1">
      <c r="F1520" s="92"/>
      <c r="G1520" s="92"/>
      <c r="H1520" s="92"/>
      <c r="I1520" s="92"/>
      <c r="J1520" s="92"/>
      <c r="K1520" s="92"/>
      <c r="L1520" s="92"/>
    </row>
    <row r="1521" spans="6:12" s="87" customFormat="1">
      <c r="F1521" s="92"/>
      <c r="G1521" s="92"/>
      <c r="H1521" s="92"/>
      <c r="I1521" s="92"/>
      <c r="J1521" s="92"/>
      <c r="K1521" s="92"/>
      <c r="L1521" s="92"/>
    </row>
    <row r="1522" spans="6:12" s="87" customFormat="1">
      <c r="F1522" s="92"/>
      <c r="G1522" s="92"/>
      <c r="H1522" s="92"/>
      <c r="I1522" s="92"/>
      <c r="J1522" s="92"/>
      <c r="K1522" s="92"/>
      <c r="L1522" s="92"/>
    </row>
    <row r="1523" spans="6:12" s="87" customFormat="1">
      <c r="F1523" s="92"/>
      <c r="G1523" s="92"/>
      <c r="H1523" s="92"/>
      <c r="I1523" s="92"/>
      <c r="J1523" s="92"/>
      <c r="K1523" s="92"/>
      <c r="L1523" s="92"/>
    </row>
    <row r="1524" spans="6:12" s="87" customFormat="1">
      <c r="F1524" s="92"/>
      <c r="G1524" s="92"/>
      <c r="H1524" s="92"/>
      <c r="I1524" s="92"/>
      <c r="J1524" s="92"/>
      <c r="K1524" s="92"/>
      <c r="L1524" s="92"/>
    </row>
    <row r="1525" spans="6:12" s="87" customFormat="1">
      <c r="F1525" s="92"/>
      <c r="G1525" s="92"/>
      <c r="H1525" s="92"/>
      <c r="I1525" s="92"/>
      <c r="J1525" s="92"/>
      <c r="K1525" s="92"/>
      <c r="L1525" s="92"/>
    </row>
    <row r="1526" spans="6:12" s="87" customFormat="1">
      <c r="F1526" s="92"/>
      <c r="G1526" s="92"/>
      <c r="H1526" s="92"/>
      <c r="I1526" s="92"/>
      <c r="J1526" s="92"/>
      <c r="K1526" s="92"/>
      <c r="L1526" s="92"/>
    </row>
    <row r="1527" spans="6:12" s="87" customFormat="1">
      <c r="F1527" s="92"/>
      <c r="G1527" s="92"/>
      <c r="H1527" s="92"/>
      <c r="I1527" s="92"/>
      <c r="J1527" s="92"/>
      <c r="K1527" s="92"/>
      <c r="L1527" s="92"/>
    </row>
    <row r="1528" spans="6:12" s="87" customFormat="1">
      <c r="F1528" s="92"/>
      <c r="G1528" s="92"/>
      <c r="H1528" s="92"/>
      <c r="I1528" s="92"/>
      <c r="J1528" s="92"/>
      <c r="K1528" s="92"/>
      <c r="L1528" s="92"/>
    </row>
    <row r="1529" spans="6:12" s="87" customFormat="1">
      <c r="F1529" s="92"/>
      <c r="G1529" s="92"/>
      <c r="H1529" s="92"/>
      <c r="I1529" s="92"/>
      <c r="J1529" s="92"/>
      <c r="K1529" s="92"/>
      <c r="L1529" s="92"/>
    </row>
    <row r="1530" spans="6:12" s="87" customFormat="1">
      <c r="F1530" s="92"/>
      <c r="G1530" s="92"/>
      <c r="H1530" s="92"/>
      <c r="I1530" s="92"/>
      <c r="J1530" s="92"/>
      <c r="K1530" s="92"/>
      <c r="L1530" s="92"/>
    </row>
    <row r="1531" spans="6:12" s="87" customFormat="1">
      <c r="F1531" s="92"/>
      <c r="G1531" s="92"/>
      <c r="H1531" s="92"/>
      <c r="I1531" s="92"/>
      <c r="J1531" s="92"/>
      <c r="K1531" s="92"/>
      <c r="L1531" s="92"/>
    </row>
    <row r="1532" spans="6:12" s="87" customFormat="1">
      <c r="F1532" s="92"/>
      <c r="G1532" s="92"/>
      <c r="H1532" s="92"/>
      <c r="I1532" s="92"/>
      <c r="J1532" s="92"/>
      <c r="K1532" s="92"/>
      <c r="L1532" s="92"/>
    </row>
    <row r="1533" spans="6:12" s="87" customFormat="1">
      <c r="F1533" s="92"/>
      <c r="G1533" s="92"/>
      <c r="H1533" s="92"/>
      <c r="I1533" s="92"/>
      <c r="J1533" s="92"/>
      <c r="K1533" s="92"/>
      <c r="L1533" s="92"/>
    </row>
    <row r="1534" spans="6:12" s="87" customFormat="1">
      <c r="F1534" s="92"/>
      <c r="G1534" s="92"/>
      <c r="H1534" s="92"/>
      <c r="I1534" s="92"/>
      <c r="J1534" s="92"/>
      <c r="K1534" s="92"/>
      <c r="L1534" s="92"/>
    </row>
    <row r="1535" spans="6:12" s="87" customFormat="1">
      <c r="F1535" s="92"/>
      <c r="G1535" s="92"/>
      <c r="H1535" s="92"/>
      <c r="I1535" s="92"/>
      <c r="J1535" s="92"/>
      <c r="K1535" s="92"/>
      <c r="L1535" s="92"/>
    </row>
    <row r="1536" spans="6:12" s="87" customFormat="1">
      <c r="F1536" s="92"/>
      <c r="G1536" s="92"/>
      <c r="H1536" s="92"/>
      <c r="I1536" s="92"/>
      <c r="J1536" s="92"/>
      <c r="K1536" s="92"/>
      <c r="L1536" s="92"/>
    </row>
    <row r="1537" spans="6:12" s="87" customFormat="1">
      <c r="F1537" s="92"/>
      <c r="G1537" s="92"/>
      <c r="H1537" s="92"/>
      <c r="I1537" s="92"/>
      <c r="J1537" s="92"/>
      <c r="K1537" s="92"/>
      <c r="L1537" s="92"/>
    </row>
    <row r="1538" spans="6:12" s="87" customFormat="1">
      <c r="F1538" s="92"/>
      <c r="G1538" s="92"/>
      <c r="H1538" s="92"/>
      <c r="I1538" s="92"/>
      <c r="J1538" s="92"/>
      <c r="K1538" s="92"/>
      <c r="L1538" s="92"/>
    </row>
    <row r="1539" spans="6:12" s="87" customFormat="1">
      <c r="F1539" s="92"/>
      <c r="G1539" s="92"/>
      <c r="H1539" s="92"/>
      <c r="I1539" s="92"/>
      <c r="J1539" s="92"/>
      <c r="K1539" s="92"/>
      <c r="L1539" s="92"/>
    </row>
    <row r="1540" spans="6:12" s="87" customFormat="1">
      <c r="F1540" s="92"/>
      <c r="G1540" s="92"/>
      <c r="H1540" s="92"/>
      <c r="I1540" s="92"/>
      <c r="J1540" s="92"/>
      <c r="K1540" s="92"/>
      <c r="L1540" s="92"/>
    </row>
    <row r="1541" spans="6:12" s="87" customFormat="1">
      <c r="F1541" s="92"/>
      <c r="G1541" s="92"/>
      <c r="H1541" s="92"/>
      <c r="I1541" s="92"/>
      <c r="J1541" s="92"/>
      <c r="K1541" s="92"/>
      <c r="L1541" s="92"/>
    </row>
    <row r="1542" spans="6:12" s="87" customFormat="1">
      <c r="F1542" s="92"/>
      <c r="G1542" s="92"/>
      <c r="H1542" s="92"/>
      <c r="I1542" s="92"/>
      <c r="J1542" s="92"/>
      <c r="K1542" s="92"/>
      <c r="L1542" s="92"/>
    </row>
    <row r="1543" spans="6:12" s="87" customFormat="1">
      <c r="F1543" s="92"/>
      <c r="G1543" s="92"/>
      <c r="H1543" s="92"/>
      <c r="I1543" s="92"/>
      <c r="J1543" s="92"/>
      <c r="K1543" s="92"/>
      <c r="L1543" s="92"/>
    </row>
    <row r="1544" spans="6:12" s="87" customFormat="1">
      <c r="F1544" s="92"/>
      <c r="G1544" s="92"/>
      <c r="H1544" s="92"/>
      <c r="I1544" s="92"/>
      <c r="J1544" s="92"/>
      <c r="K1544" s="92"/>
      <c r="L1544" s="92"/>
    </row>
    <row r="1545" spans="6:12" s="87" customFormat="1">
      <c r="F1545" s="92"/>
      <c r="G1545" s="92"/>
      <c r="H1545" s="92"/>
      <c r="I1545" s="92"/>
      <c r="J1545" s="92"/>
      <c r="K1545" s="92"/>
      <c r="L1545" s="92"/>
    </row>
    <row r="1546" spans="6:12" s="87" customFormat="1">
      <c r="F1546" s="92"/>
      <c r="G1546" s="92"/>
      <c r="H1546" s="92"/>
      <c r="I1546" s="92"/>
      <c r="J1546" s="92"/>
      <c r="K1546" s="92"/>
      <c r="L1546" s="92"/>
    </row>
    <row r="1547" spans="6:12" s="87" customFormat="1">
      <c r="F1547" s="92"/>
      <c r="G1547" s="92"/>
      <c r="H1547" s="92"/>
      <c r="I1547" s="92"/>
      <c r="J1547" s="92"/>
      <c r="K1547" s="92"/>
      <c r="L1547" s="92"/>
    </row>
    <row r="1548" spans="6:12" s="87" customFormat="1">
      <c r="F1548" s="92"/>
      <c r="G1548" s="92"/>
      <c r="H1548" s="92"/>
      <c r="I1548" s="92"/>
      <c r="J1548" s="92"/>
      <c r="K1548" s="92"/>
      <c r="L1548" s="92"/>
    </row>
    <row r="1549" spans="6:12" s="87" customFormat="1">
      <c r="F1549" s="92"/>
      <c r="G1549" s="92"/>
      <c r="H1549" s="92"/>
      <c r="I1549" s="92"/>
      <c r="J1549" s="92"/>
      <c r="K1549" s="92"/>
      <c r="L1549" s="92"/>
    </row>
    <row r="1550" spans="6:12" s="87" customFormat="1">
      <c r="F1550" s="92"/>
      <c r="G1550" s="92"/>
      <c r="H1550" s="92"/>
      <c r="I1550" s="92"/>
      <c r="J1550" s="92"/>
      <c r="K1550" s="92"/>
      <c r="L1550" s="92"/>
    </row>
    <row r="1551" spans="6:12" s="87" customFormat="1">
      <c r="F1551" s="92"/>
      <c r="G1551" s="92"/>
      <c r="H1551" s="92"/>
      <c r="I1551" s="92"/>
      <c r="J1551" s="92"/>
      <c r="K1551" s="92"/>
      <c r="L1551" s="92"/>
    </row>
    <row r="1552" spans="6:12" s="87" customFormat="1">
      <c r="F1552" s="92"/>
      <c r="G1552" s="92"/>
      <c r="H1552" s="92"/>
      <c r="I1552" s="92"/>
      <c r="J1552" s="92"/>
      <c r="K1552" s="92"/>
      <c r="L1552" s="92"/>
    </row>
    <row r="1553" spans="6:12" s="87" customFormat="1">
      <c r="F1553" s="92"/>
      <c r="G1553" s="92"/>
      <c r="H1553" s="92"/>
      <c r="I1553" s="92"/>
      <c r="J1553" s="92"/>
      <c r="K1553" s="92"/>
      <c r="L1553" s="92"/>
    </row>
    <row r="1554" spans="6:12" s="87" customFormat="1">
      <c r="F1554" s="92"/>
      <c r="G1554" s="92"/>
      <c r="H1554" s="92"/>
      <c r="I1554" s="92"/>
      <c r="J1554" s="92"/>
      <c r="K1554" s="92"/>
      <c r="L1554" s="92"/>
    </row>
    <row r="1555" spans="6:12" s="87" customFormat="1">
      <c r="F1555" s="92"/>
      <c r="G1555" s="92"/>
      <c r="H1555" s="92"/>
      <c r="I1555" s="92"/>
      <c r="J1555" s="92"/>
      <c r="K1555" s="92"/>
      <c r="L1555" s="92"/>
    </row>
    <row r="1556" spans="6:12" s="87" customFormat="1">
      <c r="F1556" s="92"/>
      <c r="G1556" s="92"/>
      <c r="H1556" s="92"/>
      <c r="I1556" s="92"/>
      <c r="J1556" s="92"/>
      <c r="K1556" s="92"/>
      <c r="L1556" s="92"/>
    </row>
    <row r="1557" spans="6:12" s="87" customFormat="1">
      <c r="F1557" s="92"/>
      <c r="G1557" s="92"/>
      <c r="H1557" s="92"/>
      <c r="I1557" s="92"/>
      <c r="J1557" s="92"/>
      <c r="K1557" s="92"/>
      <c r="L1557" s="92"/>
    </row>
    <row r="1558" spans="6:12" s="87" customFormat="1">
      <c r="F1558" s="92"/>
      <c r="G1558" s="92"/>
      <c r="H1558" s="92"/>
      <c r="I1558" s="92"/>
      <c r="J1558" s="92"/>
      <c r="K1558" s="92"/>
      <c r="L1558" s="92"/>
    </row>
    <row r="1559" spans="6:12" s="87" customFormat="1">
      <c r="F1559" s="92"/>
      <c r="G1559" s="92"/>
      <c r="H1559" s="92"/>
      <c r="I1559" s="92"/>
      <c r="J1559" s="92"/>
      <c r="K1559" s="92"/>
      <c r="L1559" s="92"/>
    </row>
    <row r="1560" spans="6:12" s="87" customFormat="1">
      <c r="F1560" s="92"/>
      <c r="G1560" s="92"/>
      <c r="H1560" s="92"/>
      <c r="I1560" s="92"/>
      <c r="J1560" s="92"/>
      <c r="K1560" s="92"/>
      <c r="L1560" s="92"/>
    </row>
    <row r="1561" spans="6:12" s="87" customFormat="1">
      <c r="F1561" s="92"/>
      <c r="G1561" s="92"/>
      <c r="H1561" s="92"/>
      <c r="I1561" s="92"/>
      <c r="J1561" s="92"/>
      <c r="K1561" s="92"/>
      <c r="L1561" s="92"/>
    </row>
    <row r="1562" spans="6:12" s="87" customFormat="1">
      <c r="F1562" s="92"/>
      <c r="G1562" s="92"/>
      <c r="H1562" s="92"/>
      <c r="I1562" s="92"/>
      <c r="J1562" s="92"/>
      <c r="K1562" s="92"/>
      <c r="L1562" s="92"/>
    </row>
    <row r="1563" spans="6:12" s="87" customFormat="1">
      <c r="F1563" s="92"/>
      <c r="G1563" s="92"/>
      <c r="H1563" s="92"/>
      <c r="I1563" s="92"/>
      <c r="J1563" s="92"/>
      <c r="K1563" s="92"/>
      <c r="L1563" s="92"/>
    </row>
    <row r="1564" spans="6:12" s="87" customFormat="1">
      <c r="F1564" s="92"/>
      <c r="G1564" s="92"/>
      <c r="H1564" s="92"/>
      <c r="I1564" s="92"/>
      <c r="J1564" s="92"/>
      <c r="K1564" s="92"/>
      <c r="L1564" s="92"/>
    </row>
    <row r="1565" spans="6:12" s="87" customFormat="1">
      <c r="F1565" s="92"/>
      <c r="G1565" s="92"/>
      <c r="H1565" s="92"/>
      <c r="I1565" s="92"/>
      <c r="J1565" s="92"/>
      <c r="K1565" s="92"/>
      <c r="L1565" s="92"/>
    </row>
    <row r="1566" spans="6:12" s="87" customFormat="1">
      <c r="F1566" s="92"/>
      <c r="G1566" s="92"/>
      <c r="H1566" s="92"/>
      <c r="I1566" s="92"/>
      <c r="J1566" s="92"/>
      <c r="K1566" s="92"/>
      <c r="L1566" s="92"/>
    </row>
    <row r="1567" spans="6:12" s="87" customFormat="1">
      <c r="F1567" s="92"/>
      <c r="G1567" s="92"/>
      <c r="H1567" s="92"/>
      <c r="I1567" s="92"/>
      <c r="J1567" s="92"/>
      <c r="K1567" s="92"/>
      <c r="L1567" s="92"/>
    </row>
    <row r="1568" spans="6:12" s="87" customFormat="1">
      <c r="F1568" s="92"/>
      <c r="G1568" s="92"/>
      <c r="H1568" s="92"/>
      <c r="I1568" s="92"/>
      <c r="J1568" s="92"/>
      <c r="K1568" s="92"/>
      <c r="L1568" s="92"/>
    </row>
    <row r="1569" spans="6:12" s="87" customFormat="1">
      <c r="F1569" s="92"/>
      <c r="G1569" s="92"/>
      <c r="H1569" s="92"/>
      <c r="I1569" s="92"/>
      <c r="J1569" s="92"/>
      <c r="K1569" s="92"/>
      <c r="L1569" s="92"/>
    </row>
    <row r="1570" spans="6:12" s="87" customFormat="1">
      <c r="F1570" s="92"/>
      <c r="G1570" s="92"/>
      <c r="H1570" s="92"/>
      <c r="I1570" s="92"/>
      <c r="J1570" s="92"/>
      <c r="K1570" s="92"/>
      <c r="L1570" s="92"/>
    </row>
    <row r="1571" spans="6:12" s="87" customFormat="1">
      <c r="F1571" s="92"/>
      <c r="G1571" s="92"/>
      <c r="H1571" s="92"/>
      <c r="I1571" s="92"/>
      <c r="J1571" s="92"/>
      <c r="K1571" s="92"/>
      <c r="L1571" s="92"/>
    </row>
    <row r="1572" spans="6:12" s="87" customFormat="1">
      <c r="F1572" s="92"/>
      <c r="G1572" s="92"/>
      <c r="H1572" s="92"/>
      <c r="I1572" s="92"/>
      <c r="J1572" s="92"/>
      <c r="K1572" s="92"/>
      <c r="L1572" s="92"/>
    </row>
    <row r="1573" spans="6:12" s="87" customFormat="1">
      <c r="F1573" s="92"/>
      <c r="G1573" s="92"/>
      <c r="H1573" s="92"/>
      <c r="I1573" s="92"/>
      <c r="J1573" s="92"/>
      <c r="K1573" s="92"/>
      <c r="L1573" s="92"/>
    </row>
    <row r="1574" spans="6:12" s="87" customFormat="1">
      <c r="F1574" s="92"/>
      <c r="G1574" s="92"/>
      <c r="H1574" s="92"/>
      <c r="I1574" s="92"/>
      <c r="J1574" s="92"/>
      <c r="K1574" s="92"/>
      <c r="L1574" s="92"/>
    </row>
    <row r="1575" spans="6:12" s="87" customFormat="1">
      <c r="F1575" s="92"/>
      <c r="G1575" s="92"/>
      <c r="H1575" s="92"/>
      <c r="I1575" s="92"/>
      <c r="J1575" s="92"/>
      <c r="K1575" s="92"/>
      <c r="L1575" s="92"/>
    </row>
    <row r="1576" spans="6:12" s="87" customFormat="1">
      <c r="F1576" s="92"/>
      <c r="G1576" s="92"/>
      <c r="H1576" s="92"/>
      <c r="I1576" s="92"/>
      <c r="J1576" s="92"/>
      <c r="K1576" s="92"/>
      <c r="L1576" s="92"/>
    </row>
    <row r="1577" spans="6:12" s="87" customFormat="1">
      <c r="F1577" s="92"/>
      <c r="G1577" s="92"/>
      <c r="H1577" s="92"/>
      <c r="I1577" s="92"/>
      <c r="J1577" s="92"/>
      <c r="K1577" s="92"/>
      <c r="L1577" s="92"/>
    </row>
    <row r="1578" spans="6:12" s="87" customFormat="1">
      <c r="F1578" s="92"/>
      <c r="G1578" s="92"/>
      <c r="H1578" s="92"/>
      <c r="I1578" s="92"/>
      <c r="J1578" s="92"/>
      <c r="K1578" s="92"/>
      <c r="L1578" s="92"/>
    </row>
    <row r="1579" spans="6:12" s="87" customFormat="1">
      <c r="F1579" s="92"/>
      <c r="G1579" s="92"/>
      <c r="H1579" s="92"/>
      <c r="I1579" s="92"/>
      <c r="J1579" s="92"/>
      <c r="K1579" s="92"/>
      <c r="L1579" s="92"/>
    </row>
    <row r="1580" spans="6:12" s="87" customFormat="1">
      <c r="F1580" s="92"/>
      <c r="G1580" s="92"/>
      <c r="H1580" s="92"/>
      <c r="I1580" s="92"/>
      <c r="J1580" s="92"/>
      <c r="K1580" s="92"/>
      <c r="L1580" s="92"/>
    </row>
    <row r="1581" spans="6:12" s="87" customFormat="1">
      <c r="F1581" s="92"/>
      <c r="G1581" s="92"/>
      <c r="H1581" s="92"/>
      <c r="I1581" s="92"/>
      <c r="J1581" s="92"/>
      <c r="K1581" s="92"/>
      <c r="L1581" s="92"/>
    </row>
    <row r="1582" spans="6:12" s="87" customFormat="1">
      <c r="F1582" s="92"/>
      <c r="G1582" s="92"/>
      <c r="H1582" s="92"/>
      <c r="I1582" s="92"/>
      <c r="J1582" s="92"/>
      <c r="K1582" s="92"/>
      <c r="L1582" s="92"/>
    </row>
    <row r="1583" spans="6:12" s="87" customFormat="1">
      <c r="F1583" s="92"/>
      <c r="G1583" s="92"/>
      <c r="H1583" s="92"/>
      <c r="I1583" s="92"/>
      <c r="J1583" s="92"/>
      <c r="K1583" s="92"/>
      <c r="L1583" s="92"/>
    </row>
    <row r="1584" spans="6:12" s="87" customFormat="1">
      <c r="F1584" s="92"/>
      <c r="G1584" s="92"/>
      <c r="H1584" s="92"/>
      <c r="I1584" s="92"/>
      <c r="J1584" s="92"/>
      <c r="K1584" s="92"/>
      <c r="L1584" s="92"/>
    </row>
    <row r="1585" spans="4:12">
      <c r="D1585" s="87"/>
      <c r="E1585" s="87"/>
      <c r="F1585" s="92"/>
      <c r="G1585" s="92"/>
      <c r="H1585" s="92"/>
      <c r="I1585" s="92"/>
      <c r="J1585" s="92"/>
      <c r="K1585" s="92"/>
      <c r="L1585" s="92"/>
    </row>
    <row r="1586" spans="4:12">
      <c r="D1586" s="87"/>
      <c r="E1586" s="87"/>
      <c r="F1586" s="92"/>
      <c r="G1586" s="92"/>
      <c r="H1586" s="92"/>
      <c r="I1586" s="92"/>
      <c r="J1586" s="92"/>
      <c r="K1586" s="92"/>
      <c r="L1586" s="92"/>
    </row>
    <row r="1587" spans="4:12">
      <c r="D1587" s="87"/>
      <c r="E1587" s="87"/>
      <c r="F1587" s="92"/>
      <c r="G1587" s="92"/>
      <c r="H1587" s="92"/>
      <c r="I1587" s="92"/>
      <c r="J1587" s="92"/>
      <c r="K1587" s="92"/>
      <c r="L1587" s="92"/>
    </row>
    <row r="1588" spans="4:12">
      <c r="D1588" s="87"/>
      <c r="E1588" s="87"/>
      <c r="F1588" s="92"/>
      <c r="G1588" s="92"/>
      <c r="H1588" s="92"/>
      <c r="I1588" s="92"/>
      <c r="J1588" s="92"/>
      <c r="K1588" s="92"/>
      <c r="L1588" s="92"/>
    </row>
    <row r="1589" spans="4:12">
      <c r="D1589" s="87"/>
      <c r="E1589" s="87"/>
      <c r="F1589" s="92"/>
      <c r="G1589" s="92"/>
      <c r="H1589" s="92"/>
      <c r="I1589" s="92"/>
      <c r="J1589" s="92"/>
      <c r="K1589" s="92"/>
      <c r="L1589" s="92"/>
    </row>
    <row r="1590" spans="4:12">
      <c r="D1590" s="87"/>
      <c r="E1590" s="87"/>
      <c r="F1590" s="92"/>
      <c r="G1590" s="92"/>
      <c r="H1590" s="92"/>
      <c r="I1590" s="92"/>
      <c r="J1590" s="92"/>
      <c r="K1590" s="92"/>
      <c r="L1590" s="92"/>
    </row>
    <row r="1591" spans="4:12">
      <c r="D1591" s="87"/>
      <c r="E1591" s="87"/>
      <c r="F1591" s="92"/>
      <c r="G1591" s="92"/>
      <c r="H1591" s="92"/>
      <c r="I1591" s="92"/>
      <c r="J1591" s="92"/>
      <c r="K1591" s="92"/>
      <c r="L1591" s="92"/>
    </row>
    <row r="1592" spans="4:12">
      <c r="D1592" s="87"/>
      <c r="E1592" s="87"/>
      <c r="F1592" s="92"/>
      <c r="G1592" s="92"/>
      <c r="H1592" s="92"/>
      <c r="I1592" s="92"/>
      <c r="J1592" s="92"/>
      <c r="K1592" s="92"/>
      <c r="L1592" s="92"/>
    </row>
    <row r="1593" spans="4:12">
      <c r="D1593" s="87"/>
      <c r="E1593" s="87"/>
      <c r="F1593" s="92"/>
      <c r="G1593" s="92"/>
      <c r="H1593" s="92"/>
      <c r="I1593" s="92"/>
      <c r="J1593" s="92"/>
      <c r="K1593" s="92"/>
      <c r="L1593" s="92"/>
    </row>
    <row r="1594" spans="4:12">
      <c r="D1594" s="87"/>
      <c r="E1594" s="87"/>
      <c r="F1594" s="92"/>
      <c r="G1594" s="92"/>
      <c r="H1594" s="92"/>
      <c r="I1594" s="92"/>
      <c r="J1594" s="92"/>
      <c r="K1594" s="92"/>
      <c r="L1594" s="92"/>
    </row>
    <row r="1595" spans="4:12">
      <c r="D1595" s="87"/>
      <c r="E1595" s="87"/>
      <c r="F1595" s="92"/>
      <c r="G1595" s="92"/>
      <c r="H1595" s="92"/>
      <c r="I1595" s="92"/>
      <c r="J1595" s="92"/>
      <c r="K1595" s="92"/>
      <c r="L1595" s="92"/>
    </row>
    <row r="1596" spans="4:12">
      <c r="D1596" s="87"/>
      <c r="E1596" s="87"/>
      <c r="F1596" s="92"/>
      <c r="G1596" s="92"/>
      <c r="H1596" s="92"/>
      <c r="I1596" s="92"/>
      <c r="J1596" s="92"/>
      <c r="K1596" s="92"/>
      <c r="L1596" s="92"/>
    </row>
    <row r="1597" spans="4:12">
      <c r="D1597" s="91"/>
      <c r="E1597" s="91"/>
      <c r="F1597" s="90"/>
      <c r="G1597" s="90"/>
      <c r="H1597" s="90"/>
      <c r="I1597" s="90"/>
      <c r="J1597" s="90"/>
      <c r="K1597" s="90"/>
      <c r="L1597" s="90"/>
    </row>
  </sheetData>
  <mergeCells count="61">
    <mergeCell ref="D40:M40"/>
    <mergeCell ref="N40:AE40"/>
    <mergeCell ref="D42:AE42"/>
    <mergeCell ref="D44:AE44"/>
    <mergeCell ref="I37:M37"/>
    <mergeCell ref="N37:X37"/>
    <mergeCell ref="Z37:AB37"/>
    <mergeCell ref="I38:M38"/>
    <mergeCell ref="N38:X38"/>
    <mergeCell ref="Z38:AB38"/>
    <mergeCell ref="I35:M35"/>
    <mergeCell ref="N35:X35"/>
    <mergeCell ref="Z35:AB35"/>
    <mergeCell ref="AC35:AD35"/>
    <mergeCell ref="I36:M36"/>
    <mergeCell ref="N36:X36"/>
    <mergeCell ref="Z36:AB36"/>
    <mergeCell ref="AC36:AD36"/>
    <mergeCell ref="I33:M33"/>
    <mergeCell ref="N33:X33"/>
    <mergeCell ref="Z33:AB33"/>
    <mergeCell ref="AC33:AD33"/>
    <mergeCell ref="I34:M34"/>
    <mergeCell ref="N34:X34"/>
    <mergeCell ref="Z34:AB34"/>
    <mergeCell ref="AC34:AD34"/>
    <mergeCell ref="D31:M31"/>
    <mergeCell ref="N31:Y31"/>
    <mergeCell ref="Z31:AB31"/>
    <mergeCell ref="AC31:AD31"/>
    <mergeCell ref="I32:M32"/>
    <mergeCell ref="N32:X32"/>
    <mergeCell ref="Z32:AB32"/>
    <mergeCell ref="D27:M27"/>
    <mergeCell ref="N25:U25"/>
    <mergeCell ref="H25:M25"/>
    <mergeCell ref="H28:AE28"/>
    <mergeCell ref="H29:AE29"/>
    <mergeCell ref="N22:AE22"/>
    <mergeCell ref="N23:AE23"/>
    <mergeCell ref="N24:AE24"/>
    <mergeCell ref="H22:M22"/>
    <mergeCell ref="H23:M23"/>
    <mergeCell ref="H24:M24"/>
    <mergeCell ref="D14:AE14"/>
    <mergeCell ref="D16:AE16"/>
    <mergeCell ref="D18:AE18"/>
    <mergeCell ref="D20:M20"/>
    <mergeCell ref="N21:AE21"/>
    <mergeCell ref="H21:M21"/>
    <mergeCell ref="D8:G8"/>
    <mergeCell ref="H8:O8"/>
    <mergeCell ref="D9:G9"/>
    <mergeCell ref="D10:G10"/>
    <mergeCell ref="D1:AE1"/>
    <mergeCell ref="D3:AE3"/>
    <mergeCell ref="D6:G6"/>
    <mergeCell ref="H6:N6"/>
    <mergeCell ref="D7:G7"/>
    <mergeCell ref="H7:O7"/>
    <mergeCell ref="H10:T10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4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6"/>
  <sheetViews>
    <sheetView tabSelected="1" view="pageBreakPreview" zoomScaleNormal="100" zoomScaleSheetLayoutView="100" workbookViewId="0">
      <selection activeCell="C14" sqref="C14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87" t="s">
        <v>186</v>
      </c>
      <c r="C1" s="188"/>
      <c r="D1" s="188"/>
      <c r="E1" s="188"/>
      <c r="F1" s="188"/>
      <c r="G1" s="188"/>
      <c r="H1" s="188"/>
      <c r="I1" s="188"/>
    </row>
    <row r="2" spans="2:9" s="3" customFormat="1" ht="18" customHeight="1">
      <c r="B2" s="61"/>
      <c r="C2" s="61"/>
      <c r="D2" s="61"/>
      <c r="E2" s="61"/>
      <c r="F2" s="61"/>
      <c r="G2" s="61"/>
      <c r="H2" s="189"/>
      <c r="I2" s="189"/>
    </row>
    <row r="3" spans="2:9" s="1" customFormat="1" ht="34.5" customHeight="1">
      <c r="B3" s="190" t="s">
        <v>196</v>
      </c>
      <c r="C3" s="191"/>
      <c r="D3" s="192" t="str">
        <f>"일금"&amp;NUMBERSTRING(H29,1)&amp;"원정 (₩"&amp;TEXT(H29,"#,##0")&amp;") "</f>
        <v xml:space="preserve">일금일백오십만원정 (₩1,500,000) </v>
      </c>
      <c r="E3" s="193"/>
      <c r="F3" s="193"/>
      <c r="G3" s="193"/>
      <c r="H3" s="193"/>
      <c r="I3" s="119" t="s">
        <v>183</v>
      </c>
    </row>
    <row r="4" spans="2:9" s="1" customFormat="1" ht="38.25" hidden="1" customHeight="1">
      <c r="B4" s="194" t="s">
        <v>195</v>
      </c>
      <c r="C4" s="195"/>
      <c r="D4" s="196" t="str">
        <f>"일금"&amp;NUMBERSTRING(H32,1)&amp;"원정 (₩"&amp;TEXT(H32,"#,##0")&amp;") "</f>
        <v xml:space="preserve">일금칠백오십만원정 (₩7,500,000) </v>
      </c>
      <c r="E4" s="197"/>
      <c r="F4" s="197"/>
      <c r="G4" s="197"/>
      <c r="H4" s="198"/>
      <c r="I4" s="138"/>
    </row>
    <row r="5" spans="2:9" s="1" customFormat="1" ht="38.25" hidden="1" customHeight="1">
      <c r="B5" s="199" t="s">
        <v>71</v>
      </c>
      <c r="C5" s="200"/>
      <c r="D5" s="201" t="e">
        <f>"일금 "&amp;NUMBERSTRING(H30,1)&amp;"원정"&amp;TEXT(H30,"(￦ #,##0)")&amp;" "</f>
        <v>#VALUE!</v>
      </c>
      <c r="E5" s="201"/>
      <c r="F5" s="201"/>
      <c r="G5" s="201"/>
      <c r="H5" s="201"/>
      <c r="I5" s="132"/>
    </row>
    <row r="6" spans="2:9" s="1" customFormat="1" ht="31.5" customHeight="1">
      <c r="B6" s="202" t="s">
        <v>26</v>
      </c>
      <c r="C6" s="203"/>
      <c r="D6" s="203"/>
      <c r="E6" s="203"/>
      <c r="F6" s="203"/>
      <c r="G6" s="203"/>
      <c r="H6" s="203"/>
      <c r="I6" s="204"/>
    </row>
    <row r="7" spans="2:9" s="2" customFormat="1" ht="30" customHeight="1">
      <c r="B7" s="205" t="s">
        <v>8</v>
      </c>
      <c r="C7" s="206"/>
      <c r="D7" s="24" t="s">
        <v>5</v>
      </c>
      <c r="E7" s="24" t="s">
        <v>6</v>
      </c>
      <c r="F7" s="24" t="s">
        <v>21</v>
      </c>
      <c r="G7" s="24" t="s">
        <v>72</v>
      </c>
      <c r="H7" s="24" t="s">
        <v>1</v>
      </c>
      <c r="I7" s="25" t="s">
        <v>7</v>
      </c>
    </row>
    <row r="8" spans="2:9" s="2" customFormat="1" ht="28" customHeight="1">
      <c r="B8" s="207" t="s">
        <v>253</v>
      </c>
      <c r="C8" s="208"/>
      <c r="D8" s="27"/>
      <c r="E8" s="27"/>
      <c r="F8" s="27"/>
      <c r="G8" s="27"/>
      <c r="H8" s="28">
        <f>INT(SUM(H9,H10,H11,H12,H13,H14,H15,H16))</f>
        <v>1092686</v>
      </c>
      <c r="I8" s="68" t="s">
        <v>32</v>
      </c>
    </row>
    <row r="9" spans="2:9" s="2" customFormat="1" ht="18" customHeight="1">
      <c r="B9" s="26"/>
      <c r="C9" s="29" t="s">
        <v>254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255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209" t="s">
        <v>10</v>
      </c>
      <c r="C17" s="210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73</v>
      </c>
    </row>
    <row r="18" spans="2:13" s="2" customFormat="1" ht="28" customHeight="1">
      <c r="B18" s="209" t="s">
        <v>11</v>
      </c>
      <c r="C18" s="210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188</v>
      </c>
    </row>
    <row r="19" spans="2:13" s="2" customFormat="1" ht="28" customHeight="1">
      <c r="B19" s="209" t="s">
        <v>12</v>
      </c>
      <c r="C19" s="210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74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211" t="s">
        <v>19</v>
      </c>
      <c r="C26" s="212"/>
      <c r="D26" s="14"/>
      <c r="E26" s="60"/>
      <c r="F26" s="16"/>
      <c r="G26" s="16"/>
      <c r="H26" s="23">
        <f>INT(SUM(H8,H17,H18,H19)*0)</f>
        <v>0</v>
      </c>
      <c r="I26" s="62" t="s">
        <v>30</v>
      </c>
    </row>
    <row r="27" spans="2:13" s="2" customFormat="1" ht="28" customHeight="1">
      <c r="B27" s="213" t="s">
        <v>209</v>
      </c>
      <c r="C27" s="214"/>
      <c r="D27" s="215" t="s">
        <v>25</v>
      </c>
      <c r="E27" s="215"/>
      <c r="F27" s="215"/>
      <c r="G27" s="215"/>
      <c r="H27" s="67">
        <f>(SUM(H8,H17,H18,H19,H26))</f>
        <v>1541419</v>
      </c>
      <c r="I27" s="63"/>
    </row>
    <row r="28" spans="2:13" s="2" customFormat="1" ht="18" customHeight="1">
      <c r="B28" s="216" t="s">
        <v>31</v>
      </c>
      <c r="C28" s="217"/>
      <c r="D28" s="215"/>
      <c r="E28" s="215"/>
      <c r="F28" s="215"/>
      <c r="G28" s="215"/>
      <c r="H28" s="67">
        <v>41419</v>
      </c>
      <c r="I28" s="64"/>
    </row>
    <row r="29" spans="2:13" s="2" customFormat="1" ht="18" customHeight="1">
      <c r="B29" s="218" t="s">
        <v>29</v>
      </c>
      <c r="C29" s="219"/>
      <c r="D29" s="220"/>
      <c r="E29" s="220"/>
      <c r="F29" s="220"/>
      <c r="G29" s="220"/>
      <c r="H29" s="69">
        <f>H27-H28</f>
        <v>1500000</v>
      </c>
      <c r="I29" s="70"/>
    </row>
    <row r="30" spans="2:13" s="2" customFormat="1" ht="18" customHeight="1">
      <c r="B30" s="216" t="s">
        <v>2</v>
      </c>
      <c r="C30" s="217"/>
      <c r="D30" s="215"/>
      <c r="E30" s="215"/>
      <c r="F30" s="215"/>
      <c r="G30" s="215"/>
      <c r="H30" s="71" t="s">
        <v>33</v>
      </c>
      <c r="I30" s="64"/>
    </row>
    <row r="31" spans="2:13" s="2" customFormat="1" ht="28" customHeight="1">
      <c r="B31" s="221" t="s">
        <v>9</v>
      </c>
      <c r="C31" s="222"/>
      <c r="D31" s="223"/>
      <c r="E31" s="223"/>
      <c r="F31" s="223"/>
      <c r="G31" s="223"/>
      <c r="H31" s="65">
        <f>H29</f>
        <v>1500000</v>
      </c>
      <c r="I31" s="66"/>
    </row>
    <row r="32" spans="2:13" s="2" customFormat="1" ht="28" hidden="1" customHeight="1">
      <c r="B32" s="133"/>
      <c r="C32" s="134"/>
      <c r="D32" s="224"/>
      <c r="E32" s="225"/>
      <c r="F32" s="226"/>
      <c r="G32" s="135">
        <v>5</v>
      </c>
      <c r="H32" s="136">
        <f>G32*H31</f>
        <v>7500000</v>
      </c>
      <c r="I32" s="137"/>
    </row>
    <row r="33" spans="2:9" s="6" customFormat="1" ht="23" customHeight="1">
      <c r="B33" s="227"/>
      <c r="C33" s="228"/>
      <c r="D33" s="233" t="s">
        <v>34</v>
      </c>
      <c r="E33" s="233"/>
      <c r="F33" s="233"/>
      <c r="G33" s="233"/>
      <c r="H33" s="233"/>
      <c r="I33" s="75"/>
    </row>
    <row r="34" spans="2:9" s="6" customFormat="1" ht="23" customHeight="1">
      <c r="B34" s="229"/>
      <c r="C34" s="230"/>
      <c r="D34" s="234" t="s">
        <v>35</v>
      </c>
      <c r="E34" s="234"/>
      <c r="F34" s="234"/>
      <c r="G34" s="234"/>
      <c r="H34" s="234"/>
      <c r="I34" s="73" t="s">
        <v>36</v>
      </c>
    </row>
    <row r="35" spans="2:9" s="6" customFormat="1" ht="23" customHeight="1">
      <c r="B35" s="229"/>
      <c r="C35" s="230"/>
      <c r="D35" s="235" t="s">
        <v>37</v>
      </c>
      <c r="E35" s="235"/>
      <c r="F35" s="235"/>
      <c r="G35" s="235"/>
      <c r="H35" s="235"/>
      <c r="I35" s="73" t="s">
        <v>38</v>
      </c>
    </row>
    <row r="36" spans="2:9" s="6" customFormat="1" ht="23" customHeight="1">
      <c r="B36" s="229"/>
      <c r="C36" s="230"/>
      <c r="D36" s="234" t="s">
        <v>39</v>
      </c>
      <c r="E36" s="234"/>
      <c r="F36" s="234"/>
      <c r="G36" s="234"/>
      <c r="H36" s="234"/>
      <c r="I36" s="73" t="s">
        <v>40</v>
      </c>
    </row>
    <row r="37" spans="2:9" s="6" customFormat="1" ht="23" customHeight="1">
      <c r="B37" s="231"/>
      <c r="C37" s="232"/>
      <c r="D37" s="236" t="s">
        <v>41</v>
      </c>
      <c r="E37" s="236"/>
      <c r="F37" s="236"/>
      <c r="G37" s="236"/>
      <c r="H37" s="236"/>
      <c r="I37" s="74" t="s">
        <v>42</v>
      </c>
    </row>
    <row r="38" spans="2:9" ht="16">
      <c r="B38" s="6"/>
      <c r="C38" s="6"/>
      <c r="D38" s="6"/>
      <c r="E38" s="6"/>
      <c r="F38" s="6"/>
      <c r="G38" s="6"/>
      <c r="H38" s="6"/>
      <c r="I38" s="6"/>
    </row>
    <row r="39" spans="2:9" ht="16.5" customHeight="1"/>
    <row r="40" spans="2:9" ht="16.5" customHeight="1"/>
    <row r="41" spans="2:9" ht="16.5" customHeight="1"/>
    <row r="42" spans="2:9" ht="16.5" customHeight="1"/>
    <row r="43" spans="2:9" ht="16.5" customHeight="1"/>
    <row r="44" spans="2:9" ht="16.5" customHeight="1"/>
    <row r="45" spans="2:9" ht="16.5" customHeight="1"/>
    <row r="46" spans="2:9" ht="16.5" customHeight="1"/>
    <row r="47" spans="2:9" ht="16.5" customHeight="1"/>
    <row r="48" spans="2:9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ht="16.5" customHeight="1"/>
    <row r="1026" ht="16.5" customHeight="1"/>
    <row r="1027" ht="16.5" customHeight="1"/>
    <row r="1028" ht="16.5" customHeight="1"/>
    <row r="1029" ht="16.5" customHeight="1"/>
    <row r="1030" ht="16.5" customHeight="1"/>
    <row r="1031" ht="16.5" customHeight="1"/>
    <row r="1032" ht="16.5" customHeight="1"/>
    <row r="1033" ht="16.5" customHeight="1"/>
    <row r="1034" ht="16.5" customHeight="1"/>
    <row r="1035" ht="16.5" customHeight="1"/>
    <row r="1036" ht="16.5" customHeight="1"/>
    <row r="1037" ht="16.5" customHeight="1"/>
    <row r="1038" ht="16.5" customHeight="1"/>
    <row r="1039" ht="16.5" customHeight="1"/>
    <row r="1040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ht="16.5" customHeight="1"/>
    <row r="1058" ht="16.5" customHeight="1"/>
    <row r="1059" ht="16.5" customHeight="1"/>
    <row r="1060" ht="16.5" customHeight="1"/>
    <row r="1061" ht="16.5" customHeight="1"/>
    <row r="1062" ht="16.5" customHeight="1"/>
    <row r="1063" ht="16.5" customHeight="1"/>
    <row r="1064" ht="16.5" customHeight="1"/>
    <row r="1065" ht="16.5" customHeight="1"/>
    <row r="1066" ht="16.5" customHeight="1"/>
    <row r="1067" ht="16.5" customHeight="1"/>
    <row r="1068" ht="16.5" customHeight="1"/>
    <row r="1069" ht="16.5" customHeight="1"/>
    <row r="1070" ht="16.5" customHeight="1"/>
    <row r="1071" ht="16.5" customHeight="1"/>
    <row r="1072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ht="16.5" customHeight="1"/>
    <row r="1090" ht="16.5" customHeight="1"/>
    <row r="1091" ht="16.5" customHeight="1"/>
    <row r="1092" ht="16.5" customHeight="1"/>
    <row r="1093" ht="16.5" customHeight="1"/>
    <row r="1094" ht="16.5" customHeight="1"/>
    <row r="1095" ht="16.5" customHeight="1"/>
    <row r="1096" ht="16.5" customHeight="1"/>
    <row r="1097" ht="16.5" customHeight="1"/>
    <row r="1098" ht="16.5" customHeight="1"/>
    <row r="1099" ht="16.5" customHeight="1"/>
    <row r="1100" ht="16.5" customHeight="1"/>
    <row r="1101" ht="16.5" customHeight="1"/>
    <row r="1102" ht="16.5" customHeight="1"/>
    <row r="1103" ht="16.5" customHeight="1"/>
    <row r="1104" ht="16.5" customHeight="1"/>
    <row r="1105" ht="16.5" customHeight="1"/>
    <row r="1106" ht="16.5" customHeight="1"/>
    <row r="1107" ht="16.5" customHeight="1"/>
    <row r="1108" ht="16.5" customHeight="1"/>
    <row r="1109" ht="16.5" customHeight="1"/>
    <row r="1110" ht="16.5" customHeight="1"/>
    <row r="1111" ht="16.5" customHeight="1"/>
    <row r="1112" ht="16.5" customHeight="1"/>
    <row r="1113" ht="16.5" customHeight="1"/>
    <row r="1114" ht="16.5" customHeight="1"/>
    <row r="1115" ht="16.5" customHeight="1"/>
    <row r="1116" ht="16.5" customHeight="1"/>
    <row r="1117" ht="16.5" customHeight="1"/>
    <row r="1118" ht="16.5" customHeight="1"/>
    <row r="1119" ht="16.5" customHeight="1"/>
    <row r="1120" ht="16.5" customHeight="1"/>
    <row r="1121" ht="16.5" customHeight="1"/>
    <row r="1122" ht="16.5" customHeight="1"/>
    <row r="1123" ht="16.5" customHeight="1"/>
    <row r="1124" ht="16.5" customHeight="1"/>
    <row r="1125" ht="16.5" customHeight="1"/>
    <row r="1126" ht="16.5" customHeight="1"/>
    <row r="1127" ht="16.5" customHeight="1"/>
    <row r="1128" ht="16.5" customHeight="1"/>
    <row r="1129" ht="16.5" customHeight="1"/>
    <row r="1130" ht="16.5" customHeight="1"/>
    <row r="1131" ht="16.5" customHeight="1"/>
    <row r="1132" ht="16.5" customHeight="1"/>
    <row r="1133" ht="16.5" customHeight="1"/>
    <row r="1134" ht="16.5" customHeight="1"/>
    <row r="1135" ht="16.5" customHeight="1"/>
    <row r="1136" ht="16.5" customHeight="1"/>
    <row r="1137" ht="16.5" customHeight="1"/>
    <row r="1138" ht="16.5" customHeight="1"/>
    <row r="1139" ht="16.5" customHeight="1"/>
    <row r="1140" ht="16.5" customHeight="1"/>
    <row r="1141" ht="16.5" customHeight="1"/>
    <row r="1142" ht="16.5" customHeight="1"/>
    <row r="1143" ht="16.5" customHeight="1"/>
    <row r="1144" ht="16.5" customHeight="1"/>
    <row r="1145" ht="16.5" customHeight="1"/>
    <row r="1146" ht="16.5" customHeight="1"/>
    <row r="1147" ht="16.5" customHeight="1"/>
    <row r="1148" ht="16.5" customHeight="1"/>
    <row r="1149" ht="16.5" customHeight="1"/>
    <row r="1150" ht="16.5" customHeight="1"/>
    <row r="1151" ht="16.5" customHeight="1"/>
    <row r="1152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ht="16.5" customHeight="1"/>
    <row r="1170" ht="16.5" customHeight="1"/>
    <row r="1171" ht="16.5" customHeight="1"/>
    <row r="1172" ht="16.5" customHeight="1"/>
    <row r="1173" ht="16.5" customHeight="1"/>
    <row r="1174" ht="16.5" customHeight="1"/>
    <row r="1175" ht="16.5" customHeight="1"/>
    <row r="1176" ht="16.5" customHeight="1"/>
    <row r="1177" ht="16.5" customHeight="1"/>
    <row r="1178" ht="16.5" customHeight="1"/>
    <row r="1179" ht="16.5" customHeight="1"/>
    <row r="1180" ht="16.5" customHeight="1"/>
    <row r="1181" ht="16.5" customHeight="1"/>
    <row r="1182" ht="16.5" customHeight="1"/>
    <row r="1183" ht="16.5" customHeight="1"/>
    <row r="1184" ht="16.5" customHeight="1"/>
    <row r="1185" ht="16.5" customHeight="1"/>
    <row r="1186" ht="16.5" customHeight="1"/>
    <row r="1187" ht="16.5" customHeight="1"/>
    <row r="1188" ht="16.5" customHeight="1"/>
    <row r="1189" ht="16.5" customHeight="1"/>
    <row r="1190" ht="16.5" customHeight="1"/>
    <row r="1191" ht="16.5" customHeight="1"/>
    <row r="1192" ht="16.5" customHeight="1"/>
    <row r="1193" ht="16.5" customHeight="1"/>
    <row r="1194" ht="16.5" customHeight="1"/>
    <row r="1195" ht="16.5" customHeight="1"/>
    <row r="1196" ht="16.5" customHeight="1"/>
    <row r="1197" ht="16.5" customHeight="1"/>
    <row r="1198" ht="16.5" customHeight="1"/>
    <row r="1199" ht="16.5" customHeight="1"/>
    <row r="1200" ht="16.5" customHeight="1"/>
    <row r="1201" ht="16.5" customHeight="1"/>
    <row r="1202" ht="16.5" customHeight="1"/>
    <row r="1203" ht="16.5" customHeight="1"/>
    <row r="1204" ht="16.5" customHeight="1"/>
    <row r="1205" ht="16.5" customHeight="1"/>
    <row r="1206" ht="16.5" customHeight="1"/>
    <row r="1207" ht="16.5" customHeight="1"/>
    <row r="1208" ht="16.5" customHeight="1"/>
    <row r="1209" ht="16.5" customHeight="1"/>
    <row r="1210" ht="16.5" customHeight="1"/>
    <row r="1211" ht="16.5" customHeight="1"/>
    <row r="1212" ht="16.5" customHeight="1"/>
    <row r="1213" ht="16.5" customHeight="1"/>
    <row r="1214" ht="16.5" customHeight="1"/>
    <row r="1215" ht="16.5" customHeight="1"/>
    <row r="1216" ht="16.5" customHeight="1"/>
    <row r="1217" ht="16.5" customHeight="1"/>
    <row r="1218" ht="16.5" customHeight="1"/>
    <row r="1219" ht="16.5" customHeight="1"/>
    <row r="1220" ht="16.5" customHeight="1"/>
    <row r="1221" ht="16.5" customHeight="1"/>
    <row r="1222" ht="16.5" customHeight="1"/>
    <row r="1223" ht="16.5" customHeight="1"/>
    <row r="1224" ht="16.5" customHeight="1"/>
    <row r="1225" ht="16.5" customHeight="1"/>
    <row r="1226" ht="16.5" customHeight="1"/>
    <row r="1227" ht="16.5" customHeight="1"/>
    <row r="1228" ht="16.5" customHeight="1"/>
    <row r="1229" ht="16.5" customHeight="1"/>
    <row r="1230" ht="16.5" customHeight="1"/>
    <row r="1231" ht="16.5" customHeight="1"/>
    <row r="1232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  <row r="1358" ht="16.5" customHeight="1"/>
    <row r="1359" ht="16.5" customHeight="1"/>
    <row r="1360" ht="16.5" customHeight="1"/>
    <row r="1361" ht="16.5" customHeight="1"/>
    <row r="1362" ht="16.5" customHeight="1"/>
    <row r="1363" ht="16.5" customHeight="1"/>
    <row r="1364" ht="16.5" customHeight="1"/>
    <row r="1365" ht="16.5" customHeight="1"/>
    <row r="1366" ht="16.5" customHeight="1"/>
    <row r="1367" ht="16.5" customHeight="1"/>
    <row r="1368" ht="16.5" customHeight="1"/>
    <row r="1369" ht="16.5" customHeight="1"/>
    <row r="1370" ht="16.5" customHeight="1"/>
    <row r="1371" ht="16.5" customHeight="1"/>
    <row r="1372" ht="16.5" customHeight="1"/>
    <row r="1373" ht="16.5" customHeight="1"/>
    <row r="1374" ht="16.5" customHeight="1"/>
    <row r="1375" ht="16.5" customHeight="1"/>
    <row r="1376" ht="16.5" customHeight="1"/>
    <row r="1377" ht="16.5" customHeight="1"/>
    <row r="1378" ht="16.5" customHeight="1"/>
    <row r="1379" ht="16.5" customHeight="1"/>
    <row r="1380" ht="16.5" customHeight="1"/>
    <row r="1381" ht="16.5" customHeight="1"/>
    <row r="1382" ht="16.5" customHeight="1"/>
    <row r="1383" ht="16.5" customHeight="1"/>
    <row r="1384" ht="16.5" customHeight="1"/>
    <row r="1385" ht="16.5" customHeight="1"/>
    <row r="1386" ht="16.5" customHeight="1"/>
    <row r="1387" ht="16.5" customHeight="1"/>
    <row r="1388" ht="16.5" customHeight="1"/>
    <row r="1389" ht="16.5" customHeight="1"/>
    <row r="1390" ht="16.5" customHeight="1"/>
    <row r="1391" ht="16.5" customHeight="1"/>
    <row r="1392" ht="16.5" customHeight="1"/>
    <row r="1393" ht="16.5" customHeight="1"/>
    <row r="1394" ht="16.5" customHeight="1"/>
    <row r="1395" ht="16.5" customHeight="1"/>
    <row r="1396" ht="16.5" customHeight="1"/>
    <row r="1397" ht="16.5" customHeight="1"/>
    <row r="1398" ht="16.5" customHeight="1"/>
    <row r="1399" ht="16.5" customHeight="1"/>
    <row r="1400" ht="16.5" customHeight="1"/>
    <row r="1401" ht="16.5" customHeight="1"/>
    <row r="1402" ht="16.5" customHeight="1"/>
    <row r="1403" ht="16.5" customHeight="1"/>
    <row r="1404" ht="16.5" customHeight="1"/>
    <row r="1405" ht="16.5" customHeight="1"/>
    <row r="1406" ht="16.5" customHeight="1"/>
    <row r="1407" ht="16.5" customHeight="1"/>
    <row r="1408" ht="16.5" customHeight="1"/>
    <row r="1409" ht="16.5" customHeight="1"/>
    <row r="1410" ht="16.5" customHeight="1"/>
    <row r="1411" ht="16.5" customHeight="1"/>
    <row r="1412" ht="16.5" customHeight="1"/>
    <row r="1413" ht="16.5" customHeight="1"/>
    <row r="1414" ht="16.5" customHeight="1"/>
    <row r="1415" ht="16.5" customHeight="1"/>
    <row r="1416" ht="16.5" customHeight="1"/>
    <row r="1417" ht="16.5" customHeight="1"/>
    <row r="1418" ht="16.5" customHeight="1"/>
    <row r="1419" ht="16.5" customHeight="1"/>
    <row r="1420" ht="16.5" customHeight="1"/>
    <row r="1421" ht="16.5" customHeight="1"/>
    <row r="1422" ht="16.5" customHeight="1"/>
    <row r="1423" ht="16.5" customHeight="1"/>
    <row r="1424" ht="16.5" customHeight="1"/>
    <row r="1425" ht="16.5" customHeight="1"/>
    <row r="1426" ht="16.5" customHeight="1"/>
    <row r="1427" ht="16.5" customHeight="1"/>
    <row r="1428" ht="16.5" customHeight="1"/>
    <row r="1429" ht="16.5" customHeight="1"/>
    <row r="1430" ht="16.5" customHeight="1"/>
    <row r="1431" ht="16.5" customHeight="1"/>
    <row r="1432" ht="16.5" customHeight="1"/>
    <row r="1433" ht="16.5" customHeight="1"/>
    <row r="1434" ht="16.5" customHeight="1"/>
    <row r="1435" ht="16.5" customHeight="1"/>
    <row r="1436" ht="16.5" customHeight="1"/>
    <row r="1437" ht="16.5" customHeight="1"/>
    <row r="1438" ht="16.5" customHeight="1"/>
    <row r="1439" ht="16.5" customHeight="1"/>
    <row r="1440" ht="16.5" customHeight="1"/>
    <row r="1441" ht="16.5" customHeight="1"/>
    <row r="1442" ht="16.5" customHeight="1"/>
    <row r="1443" ht="16.5" customHeight="1"/>
    <row r="1444" ht="16.5" customHeight="1"/>
    <row r="1445" ht="16.5" customHeight="1"/>
    <row r="1446" ht="16.5" customHeight="1"/>
    <row r="1447" ht="16.5" customHeight="1"/>
    <row r="1448" ht="16.5" customHeight="1"/>
    <row r="1449" ht="16.5" customHeight="1"/>
    <row r="1450" ht="16.5" customHeight="1"/>
    <row r="1451" ht="16.5" customHeight="1"/>
    <row r="1452" ht="16.5" customHeight="1"/>
    <row r="1453" ht="16.5" customHeight="1"/>
    <row r="1454" ht="16.5" customHeight="1"/>
    <row r="1455" ht="16.5" customHeight="1"/>
    <row r="1456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ht="16.5" customHeight="1"/>
    <row r="1474" ht="16.5" customHeight="1"/>
    <row r="1475" ht="16.5" customHeight="1"/>
    <row r="1476" ht="16.5" customHeight="1"/>
    <row r="1477" ht="16.5" customHeight="1"/>
    <row r="1478" ht="16.5" customHeight="1"/>
    <row r="1479" ht="16.5" customHeight="1"/>
    <row r="1480" ht="16.5" customHeight="1"/>
    <row r="1481" ht="16.5" customHeight="1"/>
    <row r="1482" ht="16.5" customHeight="1"/>
    <row r="1483" ht="16.5" customHeight="1"/>
    <row r="1484" ht="16.5" customHeight="1"/>
    <row r="1485" ht="16.5" customHeight="1"/>
    <row r="1486" ht="16.5" customHeight="1"/>
    <row r="1487" ht="16.5" customHeight="1"/>
    <row r="1488" ht="16.5" customHeight="1"/>
    <row r="1489" ht="16.5" customHeight="1"/>
    <row r="1490" ht="16.5" customHeight="1"/>
    <row r="1491" ht="16.5" customHeight="1"/>
    <row r="1492" ht="16.5" customHeight="1"/>
    <row r="1493" ht="16.5" customHeight="1"/>
    <row r="1494" ht="16.5" customHeight="1"/>
    <row r="1495" ht="16.5" customHeight="1"/>
    <row r="1496" ht="16.5" customHeight="1"/>
    <row r="1497" ht="16.5" customHeight="1"/>
    <row r="1498" ht="16.5" customHeight="1"/>
    <row r="1499" ht="16.5" customHeight="1"/>
    <row r="1500" ht="16.5" customHeight="1"/>
    <row r="1501" ht="16.5" customHeight="1"/>
    <row r="1502" ht="16.5" customHeight="1"/>
    <row r="1503" ht="16.5" customHeight="1"/>
    <row r="1504" ht="16.5" customHeight="1"/>
    <row r="1505" ht="16.5" customHeight="1"/>
    <row r="1506" ht="16.5" customHeight="1"/>
    <row r="1507" ht="16.5" customHeight="1"/>
    <row r="1508" ht="16.5" customHeight="1"/>
    <row r="1509" ht="16.5" customHeight="1"/>
    <row r="1510" ht="16.5" customHeight="1"/>
    <row r="1511" ht="16.5" customHeight="1"/>
    <row r="1512" ht="16.5" customHeight="1"/>
    <row r="1513" ht="16.5" customHeight="1"/>
    <row r="1514" ht="16.5" customHeight="1"/>
    <row r="1515" ht="16.5" customHeight="1"/>
    <row r="1516" ht="16.5" customHeight="1"/>
    <row r="1517" ht="16.5" customHeight="1"/>
    <row r="1518" ht="16.5" customHeight="1"/>
    <row r="1519" ht="16.5" customHeight="1"/>
    <row r="1520" ht="16.5" customHeight="1"/>
    <row r="1521" ht="16.5" customHeight="1"/>
    <row r="1522" ht="16.5" customHeight="1"/>
    <row r="1523" ht="16.5" customHeight="1"/>
    <row r="1524" ht="16.5" customHeight="1"/>
    <row r="1525" ht="16.5" customHeight="1"/>
    <row r="1526" ht="16.5" customHeight="1"/>
    <row r="1527" ht="16.5" customHeight="1"/>
    <row r="1528" ht="16.5" customHeight="1"/>
    <row r="1529" ht="16.5" customHeight="1"/>
    <row r="1530" ht="16.5" customHeight="1"/>
    <row r="1531" ht="16.5" customHeight="1"/>
    <row r="1532" ht="16.5" customHeight="1"/>
    <row r="1533" ht="16.5" customHeight="1"/>
    <row r="1534" ht="16.5" customHeight="1"/>
    <row r="1535" ht="16.5" customHeight="1"/>
    <row r="1536" ht="16.5" customHeight="1"/>
    <row r="1537" ht="16.5" customHeight="1"/>
    <row r="1538" ht="16.5" customHeight="1"/>
    <row r="1539" ht="16.5" customHeight="1"/>
    <row r="1540" ht="16.5" customHeight="1"/>
    <row r="1541" ht="16.5" customHeight="1"/>
    <row r="1542" ht="16.5" customHeight="1"/>
    <row r="1543" ht="16.5" customHeight="1"/>
    <row r="1544" ht="16.5" customHeight="1"/>
    <row r="1545" ht="16.5" customHeight="1"/>
    <row r="1546" ht="16.5" customHeight="1"/>
    <row r="1547" ht="16.5" customHeight="1"/>
    <row r="1548" ht="16.5" customHeight="1"/>
    <row r="1549" ht="16.5" customHeight="1"/>
    <row r="1550" ht="16.5" customHeight="1"/>
    <row r="1551" ht="16.5" customHeight="1"/>
    <row r="1552" ht="16.5" customHeight="1"/>
    <row r="1553" ht="16.5" customHeight="1"/>
    <row r="1554" ht="16.5" customHeight="1"/>
    <row r="1555" ht="16.5" customHeight="1"/>
    <row r="1556" ht="16.5" customHeight="1"/>
    <row r="1557" ht="16.5" customHeight="1"/>
    <row r="1558" ht="16.5" customHeight="1"/>
    <row r="1559" ht="16.5" customHeight="1"/>
    <row r="1560" ht="16.5" customHeight="1"/>
    <row r="1561" ht="16.5" customHeight="1"/>
    <row r="1562" ht="16.5" customHeight="1"/>
    <row r="1563" ht="16.5" customHeight="1"/>
    <row r="1564" ht="16.5" customHeight="1"/>
    <row r="1565" ht="16.5" customHeight="1"/>
    <row r="1566" ht="16.5" customHeight="1"/>
    <row r="1567" ht="16.5" customHeight="1"/>
    <row r="1568" ht="16.5" customHeight="1"/>
    <row r="1569" ht="16.5" customHeight="1"/>
    <row r="1570" ht="16.5" customHeight="1"/>
    <row r="1571" ht="16.5" customHeight="1"/>
    <row r="1572" ht="16.5" customHeight="1"/>
    <row r="1573" ht="16.5" customHeight="1"/>
    <row r="1574" ht="16.5" customHeight="1"/>
    <row r="1575" ht="16.5" customHeight="1"/>
    <row r="1576" ht="16.5" customHeight="1"/>
    <row r="1577" ht="16.5" customHeight="1"/>
    <row r="1578" ht="16.5" customHeight="1"/>
    <row r="1579" ht="16.5" customHeight="1"/>
    <row r="1580" ht="16.5" customHeight="1"/>
    <row r="1581" ht="16.5" customHeight="1"/>
    <row r="1582" ht="16.5" customHeight="1"/>
    <row r="1583" ht="16.5" customHeight="1"/>
    <row r="1584" ht="16.5" customHeight="1"/>
    <row r="1585" ht="16.5" customHeight="1"/>
    <row r="1586" ht="16.5" customHeight="1"/>
    <row r="1587" ht="16.5" customHeight="1"/>
    <row r="1588" ht="16.5" customHeight="1"/>
    <row r="1589" ht="16.5" customHeight="1"/>
    <row r="1590" ht="16.5" customHeight="1"/>
    <row r="1591" ht="16.5" customHeight="1"/>
    <row r="1592" ht="16.5" customHeight="1"/>
    <row r="1593" ht="16.5" customHeight="1"/>
    <row r="1594" ht="16.5" customHeight="1"/>
    <row r="1595" ht="16.5" customHeight="1"/>
    <row r="1596" ht="16.5" customHeight="1"/>
    <row r="1597" ht="16.5" customHeight="1"/>
    <row r="1598" ht="16.5" customHeight="1"/>
    <row r="1599" ht="16.5" customHeight="1"/>
    <row r="1600" ht="16.5" customHeight="1"/>
    <row r="1601" ht="16.5" customHeight="1"/>
    <row r="1602" ht="16.5" customHeight="1"/>
    <row r="1603" ht="16.5" customHeight="1"/>
    <row r="1604" ht="16.5" customHeight="1"/>
    <row r="1605" ht="16.5" customHeight="1"/>
    <row r="1606" ht="16.5" customHeight="1"/>
    <row r="1607" ht="16.5" customHeight="1"/>
    <row r="1608" ht="16.5" customHeight="1"/>
    <row r="1609" ht="16.5" customHeight="1"/>
    <row r="1610" ht="16.5" customHeight="1"/>
    <row r="1611" ht="16.5" customHeight="1"/>
    <row r="1612" ht="16.5" customHeight="1"/>
    <row r="1613" ht="16.5" customHeight="1"/>
    <row r="1614" ht="16.5" customHeight="1"/>
    <row r="1615" ht="16.5" customHeight="1"/>
    <row r="1616" ht="16.5" customHeight="1"/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ht="16.5" customHeight="1"/>
    <row r="1634" ht="16.5" customHeight="1"/>
    <row r="1635" ht="16.5" customHeight="1"/>
    <row r="1636" ht="16.5" customHeight="1"/>
    <row r="1637" ht="16.5" customHeight="1"/>
    <row r="1638" ht="16.5" customHeight="1"/>
    <row r="1639" ht="16.5" customHeight="1"/>
    <row r="1640" ht="16.5" customHeight="1"/>
    <row r="1641" ht="16.5" customHeight="1"/>
    <row r="1642" ht="16.5" customHeight="1"/>
    <row r="1643" ht="16.5" customHeight="1"/>
    <row r="1644" ht="16.5" customHeight="1"/>
    <row r="1645" ht="16.5" customHeight="1"/>
    <row r="1646" ht="16.5" customHeight="1"/>
    <row r="1647" ht="16.5" customHeight="1"/>
    <row r="1648" ht="16.5" customHeight="1"/>
    <row r="1649" ht="16.5" customHeight="1"/>
    <row r="1650" ht="16.5" customHeight="1"/>
    <row r="1651" ht="16.5" customHeight="1"/>
    <row r="1652" ht="16.5" customHeight="1"/>
    <row r="1653" ht="16.5" customHeight="1"/>
    <row r="1654" ht="16.5" customHeight="1"/>
    <row r="1655" ht="16.5" customHeight="1"/>
    <row r="1656" ht="16.5" customHeight="1"/>
    <row r="1657" ht="16.5" customHeight="1"/>
    <row r="1658" ht="16.5" customHeight="1"/>
    <row r="1659" ht="16.5" customHeight="1"/>
    <row r="1660" ht="16.5" customHeight="1"/>
    <row r="1661" ht="16.5" customHeight="1"/>
    <row r="1662" ht="16.5" customHeight="1"/>
    <row r="1663" ht="16.5" customHeight="1"/>
    <row r="1664" ht="16.5" customHeight="1"/>
    <row r="1665" ht="16.5" customHeight="1"/>
    <row r="1666" ht="16.5" customHeight="1"/>
    <row r="1667" ht="16.5" customHeight="1"/>
    <row r="1668" ht="16.5" customHeight="1"/>
    <row r="1669" ht="16.5" customHeight="1"/>
    <row r="1670" ht="16.5" customHeight="1"/>
    <row r="1671" ht="16.5" customHeight="1"/>
    <row r="1672" ht="16.5" customHeight="1"/>
    <row r="1673" ht="16.5" customHeight="1"/>
    <row r="1674" ht="16.5" customHeight="1"/>
    <row r="1675" ht="16.5" customHeight="1"/>
    <row r="1676" ht="16.5" customHeight="1"/>
    <row r="1677" ht="16.5" customHeight="1"/>
    <row r="1678" ht="16.5" customHeight="1"/>
    <row r="1679" ht="16.5" customHeight="1"/>
    <row r="1680" ht="16.5" customHeight="1"/>
    <row r="1681" ht="16.5" customHeight="1"/>
    <row r="1682" ht="16.5" customHeight="1"/>
    <row r="1683" ht="16.5" customHeight="1"/>
    <row r="1684" ht="16.5" customHeight="1"/>
    <row r="1685" ht="16.5" customHeight="1"/>
    <row r="1686" ht="16.5" customHeight="1"/>
    <row r="1687" ht="16.5" customHeight="1"/>
    <row r="1688" ht="16.5" customHeight="1"/>
    <row r="1689" ht="16.5" customHeight="1"/>
    <row r="1690" ht="16.5" customHeight="1"/>
    <row r="1691" ht="16.5" customHeight="1"/>
    <row r="1692" ht="16.5" customHeight="1"/>
    <row r="1693" ht="16.5" customHeight="1"/>
    <row r="1694" ht="16.5" customHeight="1"/>
    <row r="1695" ht="16.5" customHeight="1"/>
    <row r="1696" ht="16.5" customHeight="1"/>
    <row r="1697" ht="16.5" customHeight="1"/>
    <row r="1698" ht="16.5" customHeight="1"/>
    <row r="1699" ht="16.5" customHeight="1"/>
    <row r="1700" ht="16.5" customHeight="1"/>
    <row r="1701" ht="16.5" customHeight="1"/>
    <row r="1702" ht="16.5" customHeight="1"/>
    <row r="1703" ht="16.5" customHeight="1"/>
    <row r="1704" ht="16.5" customHeight="1"/>
    <row r="1705" ht="16.5" customHeight="1"/>
    <row r="1706" ht="16.5" customHeight="1"/>
    <row r="1707" ht="16.5" customHeight="1"/>
    <row r="1708" ht="16.5" customHeight="1"/>
    <row r="1709" ht="16.5" customHeight="1"/>
    <row r="1710" ht="16.5" customHeight="1"/>
    <row r="1711" ht="16.5" customHeight="1"/>
    <row r="1712" ht="16.5" customHeight="1"/>
    <row r="1713" ht="16.5" customHeight="1"/>
    <row r="1714" ht="16.5" customHeight="1"/>
    <row r="1715" ht="16.5" customHeight="1"/>
    <row r="1716" ht="16.5" customHeight="1"/>
    <row r="1717" ht="16.5" customHeight="1"/>
    <row r="1718" ht="16.5" customHeight="1"/>
    <row r="1719" ht="16.5" customHeight="1"/>
    <row r="1720" ht="16.5" customHeight="1"/>
    <row r="1721" ht="16.5" customHeight="1"/>
    <row r="1722" ht="16.5" customHeight="1"/>
    <row r="1723" ht="16.5" customHeight="1"/>
    <row r="1724" ht="16.5" customHeight="1"/>
    <row r="1725" ht="16.5" customHeight="1"/>
    <row r="1726" ht="16.5" customHeight="1"/>
    <row r="1727" ht="16.5" customHeight="1"/>
    <row r="1728" ht="16.5" customHeight="1"/>
    <row r="1729" ht="16.5" customHeight="1"/>
    <row r="1730" ht="16.5" customHeight="1"/>
    <row r="1731" ht="16.5" customHeight="1"/>
    <row r="1732" ht="16.5" customHeight="1"/>
    <row r="1733" ht="16.5" customHeight="1"/>
    <row r="1734" ht="16.5" customHeight="1"/>
    <row r="1735" ht="16.5" customHeight="1"/>
    <row r="1736" ht="16.5" customHeight="1"/>
    <row r="1737" ht="16.5" customHeight="1"/>
    <row r="1738" ht="16.5" customHeight="1"/>
    <row r="1739" ht="16.5" customHeight="1"/>
    <row r="1740" ht="16.5" customHeight="1"/>
    <row r="1741" ht="16.5" customHeight="1"/>
    <row r="1742" ht="16.5" customHeight="1"/>
    <row r="1743" ht="16.5" customHeight="1"/>
    <row r="1744" ht="16.5" customHeight="1"/>
    <row r="1745" ht="16.5" customHeight="1"/>
    <row r="1746" ht="16.5" customHeight="1"/>
    <row r="1747" ht="16.5" customHeight="1"/>
    <row r="1748" ht="16.5" customHeight="1"/>
    <row r="1749" ht="16.5" customHeight="1"/>
    <row r="1750" ht="16.5" customHeight="1"/>
    <row r="1751" ht="16.5" customHeight="1"/>
    <row r="1752" ht="16.5" customHeight="1"/>
    <row r="1753" ht="16.5" customHeight="1"/>
    <row r="1754" ht="16.5" customHeight="1"/>
    <row r="1755" ht="16.5" customHeight="1"/>
    <row r="1756" ht="16.5" customHeight="1"/>
    <row r="1757" ht="16.5" customHeight="1"/>
    <row r="1758" ht="16.5" customHeight="1"/>
    <row r="1759" ht="16.5" customHeight="1"/>
    <row r="1760" ht="16.5" customHeight="1"/>
    <row r="1761" ht="16.5" customHeight="1"/>
    <row r="1762" ht="16.5" customHeight="1"/>
    <row r="1763" ht="16.5" customHeight="1"/>
    <row r="1764" ht="16.5" customHeight="1"/>
    <row r="1765" ht="16.5" customHeight="1"/>
    <row r="1766" ht="16.5" customHeight="1"/>
    <row r="1767" ht="16.5" customHeight="1"/>
    <row r="1768" ht="16.5" customHeight="1"/>
    <row r="1769" ht="16.5" customHeight="1"/>
    <row r="1770" ht="16.5" customHeight="1"/>
    <row r="1771" ht="16.5" customHeight="1"/>
    <row r="1772" ht="16.5" customHeight="1"/>
    <row r="1773" ht="16.5" customHeight="1"/>
    <row r="1774" ht="16.5" customHeight="1"/>
    <row r="1775" ht="16.5" customHeight="1"/>
    <row r="1776" ht="16.5" customHeight="1"/>
    <row r="1777" ht="16.5" customHeight="1"/>
    <row r="1778" ht="16.5" customHeight="1"/>
    <row r="1779" ht="16.5" customHeight="1"/>
    <row r="1780" ht="16.5" customHeight="1"/>
    <row r="1781" ht="16.5" customHeight="1"/>
    <row r="1782" ht="16.5" customHeight="1"/>
    <row r="1783" ht="16.5" customHeight="1"/>
    <row r="1784" ht="16.5" customHeight="1"/>
    <row r="1785" ht="16.5" customHeight="1"/>
    <row r="1786" ht="16.5" customHeight="1"/>
    <row r="1787" ht="16.5" customHeight="1"/>
    <row r="1788" ht="16.5" customHeight="1"/>
    <row r="1789" ht="16.5" customHeight="1"/>
    <row r="1790" ht="16.5" customHeight="1"/>
    <row r="1791" ht="16.5" customHeight="1"/>
    <row r="1792" ht="16.5" customHeight="1"/>
    <row r="1793" ht="16.5" customHeight="1"/>
    <row r="1794" ht="16.5" customHeight="1"/>
    <row r="1795" ht="16.5" customHeight="1"/>
    <row r="1796" ht="16.5" customHeight="1"/>
    <row r="1797" ht="16.5" customHeight="1"/>
    <row r="1798" ht="16.5" customHeight="1"/>
    <row r="1799" ht="16.5" customHeight="1"/>
    <row r="1800" ht="16.5" customHeight="1"/>
    <row r="1801" ht="16.5" customHeight="1"/>
    <row r="1802" ht="16.5" customHeight="1"/>
    <row r="1803" ht="16.5" customHeight="1"/>
    <row r="1804" ht="16.5" customHeight="1"/>
    <row r="1805" ht="16.5" customHeight="1"/>
    <row r="1806" ht="16.5" customHeight="1"/>
    <row r="1807" ht="16.5" customHeight="1"/>
    <row r="1808" ht="16.5" customHeight="1"/>
    <row r="1809" ht="16.5" customHeight="1"/>
    <row r="1810" ht="16.5" customHeight="1"/>
    <row r="1811" ht="16.5" customHeight="1"/>
    <row r="1812" ht="16.5" customHeight="1"/>
    <row r="1813" ht="16.5" customHeight="1"/>
    <row r="1814" ht="16.5" customHeight="1"/>
    <row r="1815" ht="16.5" customHeight="1"/>
    <row r="1816" ht="16.5" customHeight="1"/>
    <row r="1817" ht="16.5" customHeight="1"/>
    <row r="1818" ht="16.5" customHeight="1"/>
    <row r="1819" ht="16.5" customHeight="1"/>
    <row r="1820" ht="16.5" customHeight="1"/>
    <row r="1821" ht="16.5" customHeight="1"/>
    <row r="1822" ht="16.5" customHeight="1"/>
    <row r="1823" ht="16.5" customHeight="1"/>
    <row r="1824" ht="16.5" customHeight="1"/>
    <row r="1825" ht="16.5" customHeight="1"/>
    <row r="1826" ht="16.5" customHeight="1"/>
    <row r="1827" ht="16.5" customHeight="1"/>
    <row r="1828" ht="16.5" customHeight="1"/>
    <row r="1829" ht="16.5" customHeight="1"/>
    <row r="1830" ht="16.5" customHeight="1"/>
    <row r="1831" ht="16.5" customHeight="1"/>
    <row r="1832" ht="16.5" customHeight="1"/>
    <row r="1833" ht="16.5" customHeight="1"/>
    <row r="1834" ht="16.5" customHeight="1"/>
    <row r="1835" ht="16.5" customHeight="1"/>
    <row r="1836" ht="16.5" customHeight="1"/>
    <row r="1837" ht="16.5" customHeight="1"/>
    <row r="1838" ht="16.5" customHeight="1"/>
    <row r="1839" ht="16.5" customHeight="1"/>
    <row r="1840" ht="16.5" customHeight="1"/>
    <row r="1841" ht="16.5" customHeight="1"/>
    <row r="1842" ht="16.5" customHeight="1"/>
    <row r="1843" ht="16.5" customHeight="1"/>
    <row r="1844" ht="16.5" customHeight="1"/>
    <row r="1845" ht="16.5" customHeight="1"/>
    <row r="1846" ht="16.5" customHeight="1"/>
    <row r="1847" ht="16.5" customHeight="1"/>
    <row r="1848" ht="16.5" customHeight="1"/>
    <row r="1849" ht="16.5" customHeight="1"/>
    <row r="1850" ht="16.5" customHeight="1"/>
    <row r="1851" ht="16.5" customHeight="1"/>
    <row r="1852" ht="16.5" customHeight="1"/>
    <row r="1853" ht="16.5" customHeight="1"/>
    <row r="1854" ht="16.5" customHeight="1"/>
    <row r="1855" ht="16.5" customHeight="1"/>
    <row r="1856" ht="16.5" customHeight="1"/>
    <row r="1857" ht="16.5" customHeight="1"/>
    <row r="1858" ht="16.5" customHeight="1"/>
    <row r="1859" ht="16.5" customHeight="1"/>
    <row r="1860" ht="16.5" customHeight="1"/>
    <row r="1861" ht="16.5" customHeight="1"/>
    <row r="1862" ht="16.5" customHeight="1"/>
    <row r="1863" ht="16.5" customHeight="1"/>
    <row r="1864" ht="16.5" customHeight="1"/>
    <row r="1865" ht="16.5" customHeight="1"/>
    <row r="1866" ht="16.5" customHeight="1"/>
    <row r="1867" ht="16.5" customHeight="1"/>
    <row r="1868" ht="16.5" customHeight="1"/>
    <row r="1869" ht="16.5" customHeight="1"/>
    <row r="1870" ht="16.5" customHeight="1"/>
    <row r="1871" ht="16.5" customHeight="1"/>
    <row r="1872" ht="16.5" customHeight="1"/>
    <row r="1873" ht="16.5" customHeight="1"/>
    <row r="1874" ht="16.5" customHeight="1"/>
    <row r="1875" ht="16.5" customHeight="1"/>
    <row r="1876" ht="16.5" customHeight="1"/>
    <row r="1877" ht="16.5" customHeight="1"/>
    <row r="1878" ht="16.5" customHeight="1"/>
    <row r="1879" ht="16.5" customHeight="1"/>
    <row r="1880" ht="16.5" customHeight="1"/>
    <row r="1881" ht="16.5" customHeight="1"/>
    <row r="1882" ht="16.5" customHeight="1"/>
    <row r="1883" ht="16.5" customHeight="1"/>
    <row r="1884" ht="16.5" customHeight="1"/>
    <row r="1885" ht="16.5" customHeight="1"/>
    <row r="1886" ht="16.5" customHeight="1"/>
    <row r="1887" ht="16.5" customHeight="1"/>
    <row r="1888" ht="16.5" customHeight="1"/>
    <row r="1889" ht="16.5" customHeight="1"/>
    <row r="1890" ht="16.5" customHeight="1"/>
    <row r="1891" ht="16.5" customHeight="1"/>
    <row r="1892" ht="16.5" customHeight="1"/>
    <row r="1893" ht="16.5" customHeight="1"/>
    <row r="1894" ht="16.5" customHeight="1"/>
    <row r="1895" ht="16.5" customHeight="1"/>
    <row r="1896" ht="16.5" customHeight="1"/>
    <row r="1897" ht="16.5" customHeight="1"/>
    <row r="1898" ht="16.5" customHeight="1"/>
    <row r="1899" ht="16.5" customHeight="1"/>
    <row r="1900" ht="16.5" customHeight="1"/>
    <row r="1901" ht="16.5" customHeight="1"/>
    <row r="1902" ht="16.5" customHeight="1"/>
    <row r="1903" ht="16.5" customHeight="1"/>
    <row r="1904" ht="16.5" customHeight="1"/>
    <row r="1905" ht="16.5" customHeight="1"/>
    <row r="1906" ht="16.5" customHeight="1"/>
    <row r="1907" ht="16.5" customHeight="1"/>
    <row r="1908" ht="16.5" customHeight="1"/>
    <row r="1909" ht="16.5" customHeight="1"/>
    <row r="1910" ht="16.5" customHeight="1"/>
    <row r="1911" ht="16.5" customHeight="1"/>
    <row r="1912" ht="16.5" customHeight="1"/>
    <row r="1913" ht="16.5" customHeight="1"/>
    <row r="1914" ht="16.5" customHeight="1"/>
    <row r="1915" ht="16.5" customHeight="1"/>
    <row r="1916" ht="16.5" customHeight="1"/>
    <row r="1917" ht="16.5" customHeight="1"/>
    <row r="1918" ht="16.5" customHeight="1"/>
    <row r="1919" ht="16.5" customHeight="1"/>
    <row r="1920" ht="16.5" customHeight="1"/>
    <row r="1921" ht="16.5" customHeight="1"/>
    <row r="1922" ht="16.5" customHeight="1"/>
    <row r="1923" ht="16.5" customHeight="1"/>
    <row r="1924" ht="16.5" customHeight="1"/>
    <row r="1925" ht="16.5" customHeight="1"/>
    <row r="1926" ht="16.5" customHeight="1"/>
    <row r="1927" ht="16.5" customHeight="1"/>
    <row r="1928" ht="16.5" customHeight="1"/>
    <row r="1929" ht="16.5" customHeight="1"/>
    <row r="1930" ht="16.5" customHeight="1"/>
    <row r="1931" ht="16.5" customHeight="1"/>
    <row r="1932" ht="16.5" customHeight="1"/>
    <row r="1933" ht="16.5" customHeight="1"/>
    <row r="1934" ht="16.5" customHeight="1"/>
    <row r="1935" ht="16.5" customHeight="1"/>
    <row r="1936" ht="16.5" customHeight="1"/>
    <row r="1937" ht="16.5" customHeight="1"/>
    <row r="1938" ht="16.5" customHeight="1"/>
    <row r="1939" ht="16.5" customHeight="1"/>
    <row r="1940" ht="16.5" customHeight="1"/>
    <row r="1941" ht="16.5" customHeight="1"/>
    <row r="1942" ht="16.5" customHeight="1"/>
    <row r="1943" ht="16.5" customHeight="1"/>
    <row r="1944" ht="16.5" customHeight="1"/>
    <row r="1945" ht="16.5" customHeight="1"/>
    <row r="1946" ht="16.5" customHeight="1"/>
    <row r="1947" ht="16.5" customHeight="1"/>
    <row r="1948" ht="16.5" customHeight="1"/>
    <row r="1949" ht="16.5" customHeight="1"/>
    <row r="1950" ht="16.5" customHeight="1"/>
    <row r="1951" ht="16.5" customHeight="1"/>
    <row r="1952" ht="16.5" customHeight="1"/>
    <row r="1953" ht="16.5" customHeight="1"/>
    <row r="1954" ht="16.5" customHeight="1"/>
    <row r="1955" ht="16.5" customHeight="1"/>
    <row r="1956" ht="16.5" customHeight="1"/>
    <row r="1957" ht="16.5" customHeight="1"/>
    <row r="1958" ht="16.5" customHeight="1"/>
    <row r="1959" ht="16.5" customHeight="1"/>
    <row r="1960" ht="16.5" customHeight="1"/>
    <row r="1961" ht="16.5" customHeight="1"/>
    <row r="1962" ht="16.5" customHeight="1"/>
    <row r="1963" ht="16.5" customHeight="1"/>
    <row r="1964" ht="16.5" customHeight="1"/>
    <row r="1965" ht="16.5" customHeight="1"/>
    <row r="1966" ht="16.5" customHeight="1"/>
    <row r="1967" ht="16.5" customHeight="1"/>
    <row r="1968" ht="16.5" customHeight="1"/>
    <row r="1969" ht="16.5" customHeight="1"/>
    <row r="1970" ht="16.5" customHeight="1"/>
    <row r="1971" ht="16.5" customHeight="1"/>
    <row r="1972" ht="16.5" customHeight="1"/>
    <row r="1973" ht="16.5" customHeight="1"/>
    <row r="1974" ht="16.5" customHeight="1"/>
    <row r="1975" ht="16.5" customHeight="1"/>
    <row r="1976" ht="16.5" customHeight="1"/>
    <row r="1977" ht="16.5" customHeight="1"/>
    <row r="1978" ht="16.5" customHeight="1"/>
    <row r="1979" ht="16.5" customHeight="1"/>
    <row r="1980" ht="16.5" customHeight="1"/>
    <row r="1981" ht="16.5" customHeight="1"/>
    <row r="1982" ht="16.5" customHeight="1"/>
    <row r="1983" ht="16.5" customHeight="1"/>
    <row r="1984" ht="16.5" customHeight="1"/>
    <row r="1985" ht="16.5" customHeight="1"/>
    <row r="1986" ht="16.5" customHeight="1"/>
    <row r="1987" ht="16.5" customHeight="1"/>
    <row r="1988" ht="16.5" customHeight="1"/>
    <row r="1989" ht="16.5" customHeight="1"/>
    <row r="1990" ht="16.5" customHeight="1"/>
    <row r="1991" ht="16.5" customHeight="1"/>
    <row r="1992" ht="16.5" customHeight="1"/>
    <row r="1993" ht="16.5" customHeight="1"/>
    <row r="1994" ht="16.5" customHeight="1"/>
    <row r="1995" ht="16.5" customHeight="1"/>
    <row r="1996" ht="16.5" customHeight="1"/>
    <row r="1997" ht="16.5" customHeight="1"/>
    <row r="1998" ht="16.5" customHeight="1"/>
    <row r="1999" ht="16.5" customHeight="1"/>
    <row r="2000" ht="16.5" customHeight="1"/>
    <row r="2001" ht="16.5" customHeight="1"/>
    <row r="2002" ht="16.5" customHeight="1"/>
    <row r="2003" ht="16.5" customHeight="1"/>
    <row r="2004" ht="16.5" customHeight="1"/>
    <row r="2005" ht="16.5" customHeight="1"/>
    <row r="2006" ht="16.5" customHeight="1"/>
    <row r="2007" ht="16.5" customHeight="1"/>
    <row r="2008" ht="16.5" customHeight="1"/>
    <row r="2009" ht="16.5" customHeight="1"/>
    <row r="2010" ht="16.5" customHeight="1"/>
    <row r="2011" ht="16.5" customHeight="1"/>
    <row r="2012" ht="16.5" customHeight="1"/>
    <row r="2013" ht="16.5" customHeight="1"/>
    <row r="2014" ht="16.5" customHeight="1"/>
    <row r="2015" ht="16.5" customHeight="1"/>
    <row r="2016" ht="16.5" customHeight="1"/>
    <row r="2017" ht="16.5" customHeight="1"/>
    <row r="2018" ht="16.5" customHeight="1"/>
    <row r="2019" ht="16.5" customHeight="1"/>
    <row r="2020" ht="16.5" customHeight="1"/>
    <row r="2021" ht="16.5" customHeight="1"/>
    <row r="2022" ht="16.5" customHeight="1"/>
    <row r="2023" ht="16.5" customHeight="1"/>
    <row r="2024" ht="16.5" customHeight="1"/>
    <row r="2025" ht="16.5" customHeight="1"/>
    <row r="2026" ht="16.5" customHeight="1"/>
    <row r="2027" ht="16.5" customHeight="1"/>
    <row r="2028" ht="16.5" customHeight="1"/>
    <row r="2029" ht="16.5" customHeight="1"/>
    <row r="2030" ht="16.5" customHeight="1"/>
    <row r="2031" ht="16.5" customHeight="1"/>
    <row r="2032" ht="16.5" customHeight="1"/>
    <row r="2033" ht="16.5" customHeight="1"/>
    <row r="2034" ht="16.5" customHeight="1"/>
    <row r="2035" ht="16.5" customHeight="1"/>
    <row r="2036" ht="16.5" customHeight="1"/>
    <row r="2037" ht="16.5" customHeight="1"/>
    <row r="2038" ht="16.5" customHeight="1"/>
    <row r="2039" ht="16.5" customHeight="1"/>
    <row r="2040" ht="16.5" customHeight="1"/>
    <row r="2041" ht="16.5" customHeight="1"/>
    <row r="2042" ht="16.5" customHeight="1"/>
    <row r="2043" ht="16.5" customHeight="1"/>
    <row r="2044" ht="16.5" customHeight="1"/>
    <row r="2045" ht="16.5" customHeight="1"/>
    <row r="2046" ht="16.5" customHeight="1"/>
    <row r="2047" ht="16.5" customHeight="1"/>
    <row r="2048" ht="16.5" customHeight="1"/>
    <row r="2049" ht="16.5" customHeight="1"/>
    <row r="2050" ht="16.5" customHeight="1"/>
    <row r="2051" ht="16.5" customHeight="1"/>
    <row r="2052" ht="16.5" customHeight="1"/>
    <row r="2053" ht="16.5" customHeight="1"/>
    <row r="2054" ht="16.5" customHeight="1"/>
    <row r="2055" ht="16.5" customHeight="1"/>
    <row r="2056" ht="16.5" customHeight="1"/>
    <row r="2057" ht="16.5" customHeight="1"/>
    <row r="2058" ht="16.5" customHeight="1"/>
    <row r="2059" ht="16.5" customHeight="1"/>
    <row r="2060" ht="16.5" customHeight="1"/>
    <row r="2061" ht="16.5" customHeight="1"/>
    <row r="2062" ht="16.5" customHeight="1"/>
    <row r="2063" ht="16.5" customHeight="1"/>
    <row r="2064" ht="16.5" customHeight="1"/>
    <row r="2065" ht="16.5" customHeight="1"/>
    <row r="2066" ht="16.5" customHeight="1"/>
    <row r="2067" ht="16.5" customHeight="1"/>
    <row r="2068" ht="16.5" customHeight="1"/>
    <row r="2069" ht="16.5" customHeight="1"/>
    <row r="2070" ht="16.5" customHeight="1"/>
    <row r="2071" ht="16.5" customHeight="1"/>
    <row r="2072" ht="16.5" customHeight="1"/>
    <row r="2073" ht="16.5" customHeight="1"/>
    <row r="2074" ht="16.5" customHeight="1"/>
    <row r="2075" ht="16.5" customHeight="1"/>
    <row r="2076" ht="16.5" customHeight="1"/>
    <row r="2077" ht="16.5" customHeight="1"/>
    <row r="2078" ht="16.5" customHeight="1"/>
    <row r="2079" ht="16.5" customHeight="1"/>
    <row r="2080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ht="16.5" customHeight="1"/>
    <row r="2098" ht="16.5" customHeight="1"/>
    <row r="2099" ht="16.5" customHeight="1"/>
    <row r="2100" ht="16.5" customHeight="1"/>
    <row r="2101" ht="16.5" customHeight="1"/>
    <row r="2102" ht="16.5" customHeight="1"/>
    <row r="2103" ht="16.5" customHeight="1"/>
    <row r="2104" ht="16.5" customHeight="1"/>
    <row r="2105" ht="16.5" customHeight="1"/>
    <row r="2106" ht="16.5" customHeight="1"/>
    <row r="2107" ht="16.5" customHeight="1"/>
    <row r="2108" ht="16.5" customHeight="1"/>
    <row r="2109" ht="16.5" customHeight="1"/>
    <row r="2110" ht="16.5" customHeight="1"/>
    <row r="2111" ht="16.5" customHeight="1"/>
    <row r="2112" ht="16.5" customHeight="1"/>
    <row r="2113" ht="16.5" customHeight="1"/>
    <row r="2114" ht="16.5" customHeight="1"/>
    <row r="2115" ht="16.5" customHeight="1"/>
    <row r="2116" ht="16.5" customHeight="1"/>
    <row r="2117" ht="16.5" customHeight="1"/>
    <row r="2118" ht="16.5" customHeight="1"/>
    <row r="2119" ht="16.5" customHeight="1"/>
    <row r="2120" ht="16.5" customHeight="1"/>
    <row r="2121" ht="16.5" customHeight="1"/>
    <row r="2122" ht="16.5" customHeight="1"/>
    <row r="2123" ht="16.5" customHeight="1"/>
    <row r="2124" ht="16.5" customHeight="1"/>
    <row r="2125" ht="16.5" customHeight="1"/>
    <row r="2126" ht="16.5" customHeight="1"/>
    <row r="2127" ht="16.5" customHeight="1"/>
    <row r="2128" ht="16.5" customHeight="1"/>
    <row r="2129" ht="16.5" customHeight="1"/>
    <row r="2130" ht="16.5" customHeight="1"/>
    <row r="2131" ht="16.5" customHeight="1"/>
    <row r="2132" ht="16.5" customHeight="1"/>
    <row r="2133" ht="16.5" customHeight="1"/>
    <row r="2134" ht="16.5" customHeight="1"/>
    <row r="2135" ht="16.5" customHeight="1"/>
    <row r="2136" ht="16.5" customHeight="1"/>
    <row r="2137" ht="16.5" customHeight="1"/>
    <row r="2138" ht="16.5" customHeight="1"/>
    <row r="2139" ht="16.5" customHeight="1"/>
    <row r="2140" ht="16.5" customHeight="1"/>
    <row r="2141" ht="16.5" customHeight="1"/>
    <row r="2142" ht="16.5" customHeight="1"/>
    <row r="2143" ht="16.5" customHeight="1"/>
    <row r="2144" ht="16.5" customHeight="1"/>
    <row r="2145" ht="16.5" customHeight="1"/>
    <row r="2146" ht="16.5" customHeight="1"/>
    <row r="2147" ht="16.5" customHeight="1"/>
    <row r="2148" ht="16.5" customHeight="1"/>
    <row r="2149" ht="16.5" customHeight="1"/>
    <row r="2150" ht="16.5" customHeight="1"/>
    <row r="2151" ht="16.5" customHeight="1"/>
    <row r="2152" ht="16.5" customHeight="1"/>
    <row r="2153" ht="16.5" customHeight="1"/>
    <row r="2154" ht="16.5" customHeight="1"/>
    <row r="2155" ht="16.5" customHeight="1"/>
    <row r="2156" ht="16.5" customHeight="1"/>
    <row r="2157" ht="16.5" customHeight="1"/>
    <row r="2158" ht="16.5" customHeight="1"/>
    <row r="2159" ht="16.5" customHeight="1"/>
    <row r="2160" ht="16.5" customHeight="1"/>
    <row r="2161" ht="16.5" customHeight="1"/>
    <row r="2162" ht="16.5" customHeight="1"/>
    <row r="2163" ht="16.5" customHeight="1"/>
    <row r="2164" ht="16.5" customHeight="1"/>
    <row r="2165" ht="16.5" customHeight="1"/>
    <row r="2166" ht="16.5" customHeight="1"/>
    <row r="2167" ht="16.5" customHeight="1"/>
    <row r="2168" ht="16.5" customHeight="1"/>
    <row r="2169" ht="16.5" customHeight="1"/>
    <row r="2170" ht="16.5" customHeight="1"/>
    <row r="2171" ht="16.5" customHeight="1"/>
    <row r="2172" ht="16.5" customHeight="1"/>
    <row r="2173" ht="16.5" customHeight="1"/>
    <row r="2174" ht="16.5" customHeight="1"/>
    <row r="2175" ht="16.5" customHeight="1"/>
    <row r="2176" ht="16.5" customHeight="1"/>
    <row r="2177" ht="16.5" customHeight="1"/>
    <row r="2178" ht="16.5" customHeight="1"/>
    <row r="2179" ht="16.5" customHeight="1"/>
    <row r="2180" ht="16.5" customHeight="1"/>
    <row r="2181" ht="16.5" customHeight="1"/>
    <row r="2182" ht="16.5" customHeight="1"/>
    <row r="2183" ht="16.5" customHeight="1"/>
    <row r="2184" ht="16.5" customHeight="1"/>
    <row r="2185" ht="16.5" customHeight="1"/>
    <row r="2186" ht="16.5" customHeight="1"/>
    <row r="2187" ht="16.5" customHeight="1"/>
    <row r="2188" ht="16.5" customHeight="1"/>
    <row r="2189" ht="16.5" customHeight="1"/>
    <row r="2190" ht="16.5" customHeight="1"/>
    <row r="2191" ht="16.5" customHeight="1"/>
    <row r="2192" ht="16.5" customHeight="1"/>
    <row r="2193" ht="16.5" customHeight="1"/>
    <row r="2194" ht="16.5" customHeight="1"/>
    <row r="2195" ht="16.5" customHeight="1"/>
    <row r="2196" ht="16.5" customHeight="1"/>
    <row r="2197" ht="16.5" customHeight="1"/>
    <row r="2198" ht="16.5" customHeight="1"/>
    <row r="2199" ht="16.5" customHeight="1"/>
    <row r="2200" ht="16.5" customHeight="1"/>
    <row r="2201" ht="16.5" customHeight="1"/>
    <row r="2202" ht="16.5" customHeight="1"/>
    <row r="2203" ht="16.5" customHeight="1"/>
    <row r="2204" ht="16.5" customHeight="1"/>
    <row r="2205" ht="16.5" customHeight="1"/>
    <row r="2206" ht="16.5" customHeight="1"/>
    <row r="2207" ht="16.5" customHeight="1"/>
    <row r="2208" ht="16.5" customHeight="1"/>
    <row r="2209" ht="16.5" customHeight="1"/>
    <row r="2210" ht="16.5" customHeight="1"/>
    <row r="2211" ht="16.5" customHeight="1"/>
    <row r="2212" ht="16.5" customHeight="1"/>
    <row r="2213" ht="16.5" customHeight="1"/>
    <row r="2214" ht="16.5" customHeight="1"/>
    <row r="2215" ht="16.5" customHeight="1"/>
    <row r="2216" ht="16.5" customHeight="1"/>
    <row r="2217" ht="16.5" customHeight="1"/>
    <row r="2218" ht="16.5" customHeight="1"/>
    <row r="2219" ht="16.5" customHeight="1"/>
    <row r="2220" ht="16.5" customHeight="1"/>
    <row r="2221" ht="16.5" customHeight="1"/>
    <row r="2222" ht="16.5" customHeight="1"/>
    <row r="2223" ht="16.5" customHeight="1"/>
    <row r="2224" ht="16.5" customHeight="1"/>
    <row r="2225" ht="16.5" customHeight="1"/>
    <row r="2226" ht="16.5" customHeight="1"/>
    <row r="2227" ht="16.5" customHeight="1"/>
    <row r="2228" ht="16.5" customHeight="1"/>
    <row r="2229" ht="16.5" customHeight="1"/>
    <row r="2230" ht="16.5" customHeight="1"/>
    <row r="2231" ht="16.5" customHeight="1"/>
    <row r="2232" ht="16.5" customHeight="1"/>
    <row r="2233" ht="16.5" customHeight="1"/>
    <row r="2234" ht="16.5" customHeight="1"/>
    <row r="2235" ht="16.5" customHeight="1"/>
    <row r="2236" ht="16.5" customHeight="1"/>
    <row r="2237" ht="16.5" customHeight="1"/>
    <row r="2238" ht="16.5" customHeight="1"/>
    <row r="2239" ht="16.5" customHeight="1"/>
    <row r="2240" ht="16.5" customHeight="1"/>
    <row r="2241" ht="16.5" customHeight="1"/>
    <row r="2242" ht="16.5" customHeight="1"/>
    <row r="2243" ht="16.5" customHeight="1"/>
    <row r="2244" ht="16.5" customHeight="1"/>
    <row r="2245" ht="16.5" customHeight="1"/>
    <row r="2246" ht="16.5" customHeight="1"/>
    <row r="2247" ht="16.5" customHeight="1"/>
    <row r="2248" ht="16.5" customHeight="1"/>
    <row r="2249" ht="16.5" customHeight="1"/>
    <row r="2250" ht="16.5" customHeight="1"/>
    <row r="2251" ht="16.5" customHeight="1"/>
    <row r="2252" ht="16.5" customHeight="1"/>
    <row r="2253" ht="16.5" customHeight="1"/>
    <row r="2254" ht="16.5" customHeight="1"/>
    <row r="2255" ht="16.5" customHeight="1"/>
    <row r="2256" ht="16.5" customHeight="1"/>
    <row r="2257" ht="16.5" customHeight="1"/>
    <row r="2258" ht="16.5" customHeight="1"/>
    <row r="2259" ht="16.5" customHeight="1"/>
    <row r="2260" ht="16.5" customHeight="1"/>
    <row r="2261" ht="16.5" customHeight="1"/>
    <row r="2262" ht="16.5" customHeight="1"/>
    <row r="2263" ht="16.5" customHeight="1"/>
    <row r="2264" ht="16.5" customHeight="1"/>
    <row r="2265" ht="16.5" customHeight="1"/>
    <row r="2266" ht="16.5" customHeight="1"/>
    <row r="2267" ht="16.5" customHeight="1"/>
    <row r="2268" ht="16.5" customHeight="1"/>
    <row r="2269" ht="16.5" customHeight="1"/>
    <row r="2270" ht="16.5" customHeight="1"/>
    <row r="2271" ht="16.5" customHeight="1"/>
    <row r="2272" ht="16.5" customHeight="1"/>
    <row r="2273" ht="16.5" customHeight="1"/>
    <row r="2274" ht="16.5" customHeight="1"/>
    <row r="2275" ht="16.5" customHeight="1"/>
    <row r="2276" ht="16.5" customHeight="1"/>
    <row r="2277" ht="16.5" customHeight="1"/>
    <row r="2278" ht="16.5" customHeight="1"/>
    <row r="2279" ht="16.5" customHeight="1"/>
    <row r="2280" ht="16.5" customHeight="1"/>
    <row r="2281" ht="16.5" customHeight="1"/>
    <row r="2282" ht="16.5" customHeight="1"/>
    <row r="2283" ht="16.5" customHeight="1"/>
    <row r="2284" ht="16.5" customHeight="1"/>
    <row r="2285" ht="16.5" customHeight="1"/>
    <row r="2286" ht="16.5" customHeight="1"/>
    <row r="2287" ht="16.5" customHeight="1"/>
    <row r="2288" ht="16.5" customHeight="1"/>
    <row r="2289" ht="16.5" customHeight="1"/>
    <row r="2290" ht="16.5" customHeight="1"/>
    <row r="2291" ht="16.5" customHeight="1"/>
    <row r="2292" ht="16.5" customHeight="1"/>
    <row r="2293" ht="16.5" customHeight="1"/>
    <row r="2294" ht="16.5" customHeight="1"/>
    <row r="2295" ht="16.5" customHeight="1"/>
    <row r="2296" ht="16.5" customHeight="1"/>
    <row r="2297" ht="16.5" customHeight="1"/>
    <row r="2298" ht="16.5" customHeight="1"/>
    <row r="2299" ht="16.5" customHeight="1"/>
    <row r="2300" ht="16.5" customHeight="1"/>
    <row r="2301" ht="16.5" customHeight="1"/>
    <row r="2302" ht="16.5" customHeight="1"/>
    <row r="2303" ht="16.5" customHeight="1"/>
    <row r="2304" ht="16.5" customHeight="1"/>
    <row r="2305" ht="16.5" customHeight="1"/>
    <row r="2306" ht="16.5" customHeight="1"/>
    <row r="2307" ht="16.5" customHeight="1"/>
    <row r="2308" ht="16.5" customHeight="1"/>
    <row r="2309" ht="16.5" customHeight="1"/>
    <row r="2310" ht="16.5" customHeight="1"/>
    <row r="2311" ht="16.5" customHeight="1"/>
    <row r="2312" ht="16.5" customHeight="1"/>
    <row r="2313" ht="16.5" customHeight="1"/>
    <row r="2314" ht="16.5" customHeight="1"/>
    <row r="2315" ht="16.5" customHeight="1"/>
    <row r="2316" ht="16.5" customHeight="1"/>
    <row r="2317" ht="16.5" customHeight="1"/>
    <row r="2318" ht="16.5" customHeight="1"/>
    <row r="2319" ht="16.5" customHeight="1"/>
    <row r="2320" ht="16.5" customHeight="1"/>
    <row r="2321" ht="16.5" customHeight="1"/>
    <row r="2322" ht="16.5" customHeight="1"/>
    <row r="2323" ht="16.5" customHeight="1"/>
    <row r="2324" ht="16.5" customHeight="1"/>
    <row r="2325" ht="16.5" customHeight="1"/>
    <row r="2326" ht="16.5" customHeight="1"/>
    <row r="2327" ht="16.5" customHeight="1"/>
    <row r="2328" ht="16.5" customHeight="1"/>
    <row r="2329" ht="16.5" customHeight="1"/>
    <row r="2330" ht="16.5" customHeight="1"/>
    <row r="2331" ht="16.5" customHeight="1"/>
    <row r="2332" ht="16.5" customHeight="1"/>
    <row r="2333" ht="16.5" customHeight="1"/>
    <row r="2334" ht="16.5" customHeight="1"/>
    <row r="2335" ht="16.5" customHeight="1"/>
    <row r="2336" ht="16.5" customHeight="1"/>
    <row r="2337" ht="16.5" customHeight="1"/>
    <row r="2338" ht="16.5" customHeight="1"/>
    <row r="2339" ht="16.5" customHeight="1"/>
    <row r="2340" ht="16.5" customHeight="1"/>
    <row r="2341" ht="16.5" customHeight="1"/>
    <row r="2342" ht="16.5" customHeight="1"/>
    <row r="2343" ht="16.5" customHeight="1"/>
    <row r="2344" ht="16.5" customHeight="1"/>
    <row r="2345" ht="16.5" customHeight="1"/>
    <row r="2346" ht="16.5" customHeight="1"/>
    <row r="2347" ht="16.5" customHeight="1"/>
    <row r="2348" ht="16.5" customHeight="1"/>
    <row r="2349" ht="16.5" customHeight="1"/>
    <row r="2350" ht="16.5" customHeight="1"/>
    <row r="2351" ht="16.5" customHeight="1"/>
    <row r="2352" ht="16.5" customHeight="1"/>
    <row r="2353" ht="16.5" customHeight="1"/>
    <row r="2354" ht="16.5" customHeight="1"/>
    <row r="2355" ht="16.5" customHeight="1"/>
    <row r="2356" ht="16.5" customHeight="1"/>
    <row r="2357" ht="16.5" customHeight="1"/>
    <row r="2358" ht="16.5" customHeight="1"/>
    <row r="2359" ht="16.5" customHeight="1"/>
    <row r="2360" ht="16.5" customHeight="1"/>
    <row r="2361" ht="16.5" customHeight="1"/>
    <row r="2362" ht="16.5" customHeight="1"/>
    <row r="2363" ht="16.5" customHeight="1"/>
    <row r="2364" ht="16.5" customHeight="1"/>
    <row r="2365" ht="16.5" customHeight="1"/>
    <row r="2366" ht="16.5" customHeight="1"/>
    <row r="2367" ht="16.5" customHeight="1"/>
    <row r="2368" ht="16.5" customHeight="1"/>
    <row r="2369" ht="16.5" customHeight="1"/>
    <row r="2370" ht="16.5" customHeight="1"/>
    <row r="2371" ht="16.5" customHeight="1"/>
    <row r="2372" ht="16.5" customHeight="1"/>
    <row r="2373" ht="16.5" customHeight="1"/>
    <row r="2374" ht="16.5" customHeight="1"/>
    <row r="2375" ht="16.5" customHeight="1"/>
    <row r="2376" ht="16.5" customHeight="1"/>
    <row r="2377" ht="16.5" customHeight="1"/>
    <row r="2378" ht="16.5" customHeight="1"/>
    <row r="2379" ht="16.5" customHeight="1"/>
    <row r="2380" ht="16.5" customHeight="1"/>
    <row r="2381" ht="16.5" customHeight="1"/>
    <row r="2382" ht="16.5" customHeight="1"/>
    <row r="2383" ht="16.5" customHeight="1"/>
    <row r="2384" ht="16.5" customHeight="1"/>
    <row r="2385" ht="16.5" customHeight="1"/>
    <row r="2386" ht="16.5" customHeight="1"/>
    <row r="2387" ht="16.5" customHeight="1"/>
    <row r="2388" ht="16.5" customHeight="1"/>
    <row r="2389" ht="16.5" customHeight="1"/>
    <row r="2390" ht="16.5" customHeight="1"/>
    <row r="2391" ht="16.5" customHeight="1"/>
    <row r="2392" ht="16.5" customHeight="1"/>
    <row r="2393" ht="16.5" customHeight="1"/>
    <row r="2394" ht="16.5" customHeight="1"/>
    <row r="2395" ht="16.5" customHeight="1"/>
    <row r="2396" ht="16.5" customHeight="1"/>
    <row r="2397" ht="16.5" customHeight="1"/>
    <row r="2398" ht="16.5" customHeight="1"/>
    <row r="2399" ht="16.5" customHeight="1"/>
    <row r="2400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ht="16.5" customHeight="1"/>
    <row r="2418" ht="16.5" customHeight="1"/>
    <row r="2419" ht="16.5" customHeight="1"/>
    <row r="2420" ht="16.5" customHeight="1"/>
    <row r="2421" ht="16.5" customHeight="1"/>
    <row r="2422" ht="16.5" customHeight="1"/>
    <row r="2423" ht="16.5" customHeight="1"/>
    <row r="2424" ht="16.5" customHeight="1"/>
    <row r="2425" ht="16.5" customHeight="1"/>
    <row r="2426" ht="16.5" customHeight="1"/>
    <row r="2427" ht="16.5" customHeight="1"/>
    <row r="2428" ht="16.5" customHeight="1"/>
    <row r="2429" ht="16.5" customHeight="1"/>
    <row r="2430" ht="16.5" customHeight="1"/>
    <row r="2431" ht="16.5" customHeight="1"/>
    <row r="2432" ht="16.5" customHeight="1"/>
    <row r="2433" ht="16.5" customHeight="1"/>
    <row r="2434" ht="16.5" customHeight="1"/>
    <row r="2435" ht="16.5" customHeight="1"/>
    <row r="2436" ht="16.5" customHeight="1"/>
    <row r="2437" ht="16.5" customHeight="1"/>
    <row r="2438" ht="16.5" customHeight="1"/>
    <row r="2439" ht="16.5" customHeight="1"/>
    <row r="2440" ht="16.5" customHeight="1"/>
    <row r="2441" ht="16.5" customHeight="1"/>
    <row r="2442" ht="16.5" customHeight="1"/>
    <row r="2443" ht="16.5" customHeight="1"/>
    <row r="2444" ht="16.5" customHeight="1"/>
    <row r="2445" ht="16.5" customHeight="1"/>
    <row r="2446" ht="16.5" customHeight="1"/>
    <row r="2447" ht="16.5" customHeight="1"/>
    <row r="2448" ht="16.5" customHeight="1"/>
    <row r="2449" ht="16.5" customHeight="1"/>
    <row r="2450" ht="16.5" customHeight="1"/>
    <row r="2451" ht="16.5" customHeight="1"/>
    <row r="2452" ht="16.5" customHeight="1"/>
    <row r="2453" ht="16.5" customHeight="1"/>
    <row r="2454" ht="16.5" customHeight="1"/>
    <row r="2455" ht="16.5" customHeight="1"/>
    <row r="2456" ht="16.5" customHeight="1"/>
    <row r="2457" ht="16.5" customHeight="1"/>
    <row r="2458" ht="16.5" customHeight="1"/>
    <row r="2459" ht="16.5" customHeight="1"/>
    <row r="2460" ht="16.5" customHeight="1"/>
    <row r="2461" ht="16.5" customHeight="1"/>
    <row r="2462" ht="16.5" customHeight="1"/>
    <row r="2463" ht="16.5" customHeight="1"/>
    <row r="2464" ht="16.5" customHeight="1"/>
    <row r="2465" ht="16.5" customHeight="1"/>
    <row r="2466" ht="16.5" customHeight="1"/>
    <row r="2467" ht="16.5" customHeight="1"/>
    <row r="2468" ht="16.5" customHeight="1"/>
    <row r="2469" ht="16.5" customHeight="1"/>
    <row r="2470" ht="16.5" customHeight="1"/>
    <row r="2471" ht="16.5" customHeight="1"/>
    <row r="2472" ht="16.5" customHeight="1"/>
    <row r="2473" ht="16.5" customHeight="1"/>
    <row r="2474" ht="16.5" customHeight="1"/>
    <row r="2475" ht="16.5" customHeight="1"/>
    <row r="2476" ht="16.5" customHeight="1"/>
    <row r="2477" ht="16.5" customHeight="1"/>
    <row r="2478" ht="16.5" customHeight="1"/>
    <row r="2479" ht="16.5" customHeight="1"/>
    <row r="2480" ht="16.5" customHeight="1"/>
    <row r="2481" ht="16.5" customHeight="1"/>
    <row r="2482" ht="16.5" customHeight="1"/>
    <row r="2483" ht="16.5" customHeight="1"/>
    <row r="2484" ht="16.5" customHeight="1"/>
    <row r="2485" ht="16.5" customHeight="1"/>
    <row r="2486" ht="16.5" customHeight="1"/>
    <row r="2487" ht="16.5" customHeight="1"/>
    <row r="2488" ht="16.5" customHeight="1"/>
    <row r="2489" ht="16.5" customHeight="1"/>
    <row r="2490" ht="16.5" customHeight="1"/>
    <row r="2491" ht="16.5" customHeight="1"/>
    <row r="2492" ht="16.5" customHeight="1"/>
    <row r="2493" ht="16.5" customHeight="1"/>
    <row r="2494" ht="16.5" customHeight="1"/>
    <row r="2495" ht="16.5" customHeight="1"/>
    <row r="2496" ht="16.5" customHeight="1"/>
    <row r="2497" ht="16.5" customHeight="1"/>
    <row r="2498" ht="16.5" customHeight="1"/>
    <row r="2499" ht="16.5" customHeight="1"/>
    <row r="2500" ht="16.5" customHeight="1"/>
    <row r="2501" ht="16.5" customHeight="1"/>
    <row r="2502" ht="16.5" customHeight="1"/>
    <row r="2503" ht="16.5" customHeight="1"/>
    <row r="2504" ht="16.5" customHeight="1"/>
    <row r="2505" ht="16.5" customHeight="1"/>
    <row r="2506" ht="16.5" customHeight="1"/>
    <row r="2507" ht="16.5" customHeight="1"/>
    <row r="2508" ht="16.5" customHeight="1"/>
    <row r="2509" ht="16.5" customHeight="1"/>
    <row r="2510" ht="16.5" customHeight="1"/>
    <row r="2511" ht="16.5" customHeight="1"/>
    <row r="2512" ht="16.5" customHeight="1"/>
    <row r="2513" ht="16.5" customHeight="1"/>
    <row r="2514" ht="16.5" customHeight="1"/>
    <row r="2515" ht="16.5" customHeight="1"/>
    <row r="2516" ht="16.5" customHeight="1"/>
    <row r="2517" ht="16.5" customHeight="1"/>
    <row r="2518" ht="16.5" customHeight="1"/>
    <row r="2519" ht="16.5" customHeight="1"/>
    <row r="2520" ht="16.5" customHeight="1"/>
    <row r="2521" ht="16.5" customHeight="1"/>
    <row r="2522" ht="16.5" customHeight="1"/>
    <row r="2523" ht="16.5" customHeight="1"/>
    <row r="2524" ht="16.5" customHeight="1"/>
    <row r="2525" ht="16.5" customHeight="1"/>
    <row r="2526" ht="16.5" customHeight="1"/>
    <row r="2527" ht="16.5" customHeight="1"/>
    <row r="2528" ht="16.5" customHeight="1"/>
    <row r="2529" ht="16.5" customHeight="1"/>
    <row r="2530" ht="16.5" customHeight="1"/>
    <row r="2531" ht="16.5" customHeight="1"/>
    <row r="2532" ht="16.5" customHeight="1"/>
    <row r="2533" ht="16.5" customHeight="1"/>
    <row r="2534" ht="16.5" customHeight="1"/>
    <row r="2535" ht="16.5" customHeight="1"/>
    <row r="2536" ht="16.5" customHeight="1"/>
    <row r="2537" ht="16.5" customHeight="1"/>
    <row r="2538" ht="16.5" customHeight="1"/>
    <row r="2539" ht="16.5" customHeight="1"/>
    <row r="2540" ht="16.5" customHeight="1"/>
    <row r="2541" ht="16.5" customHeight="1"/>
    <row r="2542" ht="16.5" customHeight="1"/>
    <row r="2543" ht="16.5" customHeight="1"/>
    <row r="2544" ht="16.5" customHeight="1"/>
    <row r="2545" ht="16.5" customHeight="1"/>
    <row r="2546" ht="16.5" customHeight="1"/>
    <row r="2547" ht="16.5" customHeight="1"/>
    <row r="2548" ht="16.5" customHeight="1"/>
    <row r="2549" ht="16.5" customHeight="1"/>
    <row r="2550" ht="16.5" customHeight="1"/>
    <row r="2551" ht="16.5" customHeight="1"/>
    <row r="2552" ht="16.5" customHeight="1"/>
    <row r="2553" ht="16.5" customHeight="1"/>
    <row r="2554" ht="16.5" customHeight="1"/>
    <row r="2555" ht="16.5" customHeight="1"/>
    <row r="2556" ht="16.5" customHeight="1"/>
    <row r="2557" ht="16.5" customHeight="1"/>
    <row r="2558" ht="16.5" customHeight="1"/>
    <row r="2559" ht="16.5" customHeight="1"/>
    <row r="2560" ht="16.5" customHeight="1"/>
    <row r="2561" ht="16.5" customHeight="1"/>
    <row r="2562" ht="16.5" customHeight="1"/>
    <row r="2563" ht="16.5" customHeight="1"/>
    <row r="2564" ht="16.5" customHeight="1"/>
    <row r="2565" ht="16.5" customHeight="1"/>
    <row r="2566" ht="16.5" customHeight="1"/>
    <row r="2567" ht="16.5" customHeight="1"/>
    <row r="2568" ht="16.5" customHeight="1"/>
    <row r="2569" ht="16.5" customHeight="1"/>
    <row r="2570" ht="16.5" customHeight="1"/>
    <row r="2571" ht="16.5" customHeight="1"/>
    <row r="2572" ht="16.5" customHeight="1"/>
    <row r="2573" ht="16.5" customHeight="1"/>
    <row r="2574" ht="16.5" customHeight="1"/>
    <row r="2575" ht="16.5" customHeight="1"/>
    <row r="2576" ht="16.5" customHeight="1"/>
    <row r="2577" ht="16.5" customHeight="1"/>
    <row r="2578" ht="16.5" customHeight="1"/>
    <row r="2579" ht="16.5" customHeight="1"/>
    <row r="2580" ht="16.5" customHeight="1"/>
    <row r="2581" ht="16.5" customHeight="1"/>
    <row r="2582" ht="16.5" customHeight="1"/>
    <row r="2583" ht="16.5" customHeight="1"/>
    <row r="2584" ht="16.5" customHeight="1"/>
    <row r="2585" ht="16.5" customHeight="1"/>
    <row r="2586" ht="16.5" customHeight="1"/>
    <row r="2587" ht="16.5" customHeight="1"/>
    <row r="2588" ht="16.5" customHeight="1"/>
    <row r="2589" ht="16.5" customHeight="1"/>
    <row r="2590" ht="16.5" customHeight="1"/>
    <row r="2591" ht="16.5" customHeight="1"/>
    <row r="2592" ht="16.5" customHeight="1"/>
    <row r="2593" ht="16.5" customHeight="1"/>
    <row r="2594" ht="16.5" customHeight="1"/>
    <row r="2595" ht="16.5" customHeight="1"/>
    <row r="2596" ht="16.5" customHeight="1"/>
    <row r="2597" ht="16.5" customHeight="1"/>
    <row r="2598" ht="16.5" customHeight="1"/>
    <row r="2599" ht="16.5" customHeight="1"/>
    <row r="2600" ht="16.5" customHeight="1"/>
    <row r="2601" ht="16.5" customHeight="1"/>
    <row r="2602" ht="16.5" customHeight="1"/>
    <row r="2603" ht="16.5" customHeight="1"/>
    <row r="2604" ht="16.5" customHeight="1"/>
    <row r="2605" ht="16.5" customHeight="1"/>
    <row r="2606" ht="16.5" customHeight="1"/>
    <row r="2607" ht="16.5" customHeight="1"/>
    <row r="2608" ht="16.5" customHeight="1"/>
    <row r="2609" ht="16.5" customHeight="1"/>
    <row r="2610" ht="16.5" customHeight="1"/>
    <row r="2611" ht="16.5" customHeight="1"/>
    <row r="2612" ht="16.5" customHeight="1"/>
    <row r="2613" ht="16.5" customHeight="1"/>
    <row r="2614" ht="16.5" customHeight="1"/>
    <row r="2615" ht="16.5" customHeight="1"/>
    <row r="2616" ht="16.5" customHeight="1"/>
    <row r="2617" ht="16.5" customHeight="1"/>
    <row r="2618" ht="16.5" customHeight="1"/>
    <row r="2619" ht="16.5" customHeight="1"/>
    <row r="2620" ht="16.5" customHeight="1"/>
    <row r="2621" ht="16.5" customHeight="1"/>
    <row r="2622" ht="16.5" customHeight="1"/>
    <row r="2623" ht="16.5" customHeight="1"/>
    <row r="2624" ht="16.5" customHeight="1"/>
    <row r="2625" ht="16.5" customHeight="1"/>
    <row r="2626" ht="16.5" customHeight="1"/>
    <row r="2627" ht="16.5" customHeight="1"/>
    <row r="2628" ht="16.5" customHeight="1"/>
    <row r="2629" ht="16.5" customHeight="1"/>
    <row r="2630" ht="16.5" customHeight="1"/>
    <row r="2631" ht="16.5" customHeight="1"/>
    <row r="2632" ht="16.5" customHeight="1"/>
    <row r="2633" ht="16.5" customHeight="1"/>
    <row r="2634" ht="16.5" customHeight="1"/>
    <row r="2635" ht="16.5" customHeight="1"/>
    <row r="2636" ht="16.5" customHeight="1"/>
    <row r="2637" ht="16.5" customHeight="1"/>
    <row r="2638" ht="16.5" customHeight="1"/>
    <row r="2639" ht="16.5" customHeight="1"/>
    <row r="2640" ht="16.5" customHeight="1"/>
    <row r="2641" ht="16.5" customHeight="1"/>
    <row r="2642" ht="16.5" customHeight="1"/>
    <row r="2643" ht="16.5" customHeight="1"/>
    <row r="2644" ht="16.5" customHeight="1"/>
    <row r="2645" ht="16.5" customHeight="1"/>
    <row r="2646" ht="16.5" customHeight="1"/>
    <row r="2647" ht="16.5" customHeight="1"/>
    <row r="2648" ht="16.5" customHeight="1"/>
    <row r="2649" ht="16.5" customHeight="1"/>
    <row r="2650" ht="16.5" customHeight="1"/>
    <row r="2651" ht="16.5" customHeight="1"/>
    <row r="2652" ht="16.5" customHeight="1"/>
    <row r="2653" ht="16.5" customHeight="1"/>
    <row r="2654" ht="16.5" customHeight="1"/>
    <row r="2655" ht="16.5" customHeight="1"/>
    <row r="2656" ht="16.5" customHeight="1"/>
    <row r="2657" ht="16.5" customHeight="1"/>
    <row r="2658" ht="16.5" customHeight="1"/>
    <row r="2659" ht="16.5" customHeight="1"/>
    <row r="2660" ht="16.5" customHeight="1"/>
    <row r="2661" ht="16.5" customHeight="1"/>
    <row r="2662" ht="16.5" customHeight="1"/>
    <row r="2663" ht="16.5" customHeight="1"/>
    <row r="2664" ht="16.5" customHeight="1"/>
    <row r="2665" ht="16.5" customHeight="1"/>
    <row r="2666" ht="16.5" customHeight="1"/>
    <row r="2667" ht="16.5" customHeight="1"/>
    <row r="2668" ht="16.5" customHeight="1"/>
    <row r="2669" ht="16.5" customHeight="1"/>
    <row r="2670" ht="16.5" customHeight="1"/>
    <row r="2671" ht="16.5" customHeight="1"/>
    <row r="2672" ht="16.5" customHeight="1"/>
    <row r="2673" ht="16.5" customHeight="1"/>
    <row r="2674" ht="16.5" customHeight="1"/>
    <row r="2675" ht="16.5" customHeight="1"/>
    <row r="2676" ht="16.5" customHeight="1"/>
    <row r="2677" ht="16.5" customHeight="1"/>
    <row r="2678" ht="16.5" customHeight="1"/>
    <row r="2679" ht="16.5" customHeight="1"/>
    <row r="2680" ht="16.5" customHeight="1"/>
    <row r="2681" ht="16.5" customHeight="1"/>
    <row r="2682" ht="16.5" customHeight="1"/>
    <row r="2683" ht="16.5" customHeight="1"/>
    <row r="2684" ht="16.5" customHeight="1"/>
    <row r="2685" ht="16.5" customHeight="1"/>
    <row r="2686" ht="16.5" customHeight="1"/>
    <row r="2687" ht="16.5" customHeight="1"/>
    <row r="2688" ht="16.5" customHeight="1"/>
    <row r="2689" ht="16.5" customHeight="1"/>
    <row r="2690" ht="16.5" customHeight="1"/>
    <row r="2691" ht="16.5" customHeight="1"/>
    <row r="2692" ht="16.5" customHeight="1"/>
    <row r="2693" ht="16.5" customHeight="1"/>
    <row r="2694" ht="16.5" customHeight="1"/>
    <row r="2695" ht="16.5" customHeight="1"/>
    <row r="2696" ht="16.5" customHeight="1"/>
    <row r="2697" ht="16.5" customHeight="1"/>
    <row r="2698" ht="16.5" customHeight="1"/>
    <row r="2699" ht="16.5" customHeight="1"/>
    <row r="2700" ht="16.5" customHeight="1"/>
    <row r="2701" ht="16.5" customHeight="1"/>
    <row r="2702" ht="16.5" customHeight="1"/>
    <row r="2703" ht="16.5" customHeight="1"/>
    <row r="2704" ht="16.5" customHeight="1"/>
    <row r="2705" ht="16.5" customHeight="1"/>
    <row r="2706" ht="16.5" customHeight="1"/>
    <row r="2707" ht="16.5" customHeight="1"/>
    <row r="2708" ht="16.5" customHeight="1"/>
    <row r="2709" ht="16.5" customHeight="1"/>
    <row r="2710" ht="16.5" customHeight="1"/>
    <row r="2711" ht="16.5" customHeight="1"/>
    <row r="2712" ht="16.5" customHeight="1"/>
    <row r="2713" ht="16.5" customHeight="1"/>
    <row r="2714" ht="16.5" customHeight="1"/>
    <row r="2715" ht="16.5" customHeight="1"/>
    <row r="2716" ht="16.5" customHeight="1"/>
    <row r="2717" ht="16.5" customHeight="1"/>
    <row r="2718" ht="16.5" customHeight="1"/>
    <row r="2719" ht="16.5" customHeight="1"/>
    <row r="2720" ht="16.5" customHeight="1"/>
    <row r="2721" ht="16.5" customHeight="1"/>
    <row r="2722" ht="16.5" customHeight="1"/>
    <row r="2723" ht="16.5" customHeight="1"/>
    <row r="2724" ht="16.5" customHeight="1"/>
    <row r="2725" ht="16.5" customHeight="1"/>
    <row r="2726" ht="16.5" customHeight="1"/>
    <row r="2727" ht="16.5" customHeight="1"/>
    <row r="2728" ht="16.5" customHeight="1"/>
    <row r="2729" ht="16.5" customHeight="1"/>
    <row r="2730" ht="16.5" customHeight="1"/>
    <row r="2731" ht="16.5" customHeight="1"/>
    <row r="2732" ht="16.5" customHeight="1"/>
    <row r="2733" ht="16.5" customHeight="1"/>
    <row r="2734" ht="16.5" customHeight="1"/>
    <row r="2735" ht="16.5" customHeight="1"/>
    <row r="2736" ht="16.5" customHeight="1"/>
    <row r="2737" ht="16.5" customHeight="1"/>
    <row r="2738" ht="16.5" customHeight="1"/>
    <row r="2739" ht="16.5" customHeight="1"/>
    <row r="2740" ht="16.5" customHeight="1"/>
    <row r="2741" ht="16.5" customHeight="1"/>
    <row r="2742" ht="16.5" customHeight="1"/>
    <row r="2743" ht="16.5" customHeight="1"/>
    <row r="2744" ht="16.5" customHeight="1"/>
    <row r="2745" ht="16.5" customHeight="1"/>
    <row r="2746" ht="16.5" customHeight="1"/>
    <row r="2747" ht="16.5" customHeight="1"/>
    <row r="2748" ht="16.5" customHeight="1"/>
    <row r="2749" ht="16.5" customHeight="1"/>
    <row r="2750" ht="16.5" customHeight="1"/>
    <row r="2751" ht="16.5" customHeight="1"/>
    <row r="2752" ht="16.5" customHeight="1"/>
    <row r="2753" ht="16.5" customHeight="1"/>
    <row r="2754" ht="16.5" customHeight="1"/>
    <row r="2755" ht="16.5" customHeight="1"/>
    <row r="2756" ht="16.5" customHeight="1"/>
    <row r="2757" ht="16.5" customHeight="1"/>
    <row r="2758" ht="16.5" customHeight="1"/>
    <row r="2759" ht="16.5" customHeight="1"/>
    <row r="2760" ht="16.5" customHeight="1"/>
    <row r="2761" ht="16.5" customHeight="1"/>
    <row r="2762" ht="16.5" customHeight="1"/>
    <row r="2763" ht="16.5" customHeight="1"/>
    <row r="2764" ht="16.5" customHeight="1"/>
    <row r="2765" ht="16.5" customHeight="1"/>
    <row r="2766" ht="16.5" customHeight="1"/>
    <row r="2767" ht="16.5" customHeight="1"/>
    <row r="2768" ht="16.5" customHeight="1"/>
    <row r="2769" ht="16.5" customHeight="1"/>
    <row r="2770" ht="16.5" customHeight="1"/>
    <row r="2771" ht="16.5" customHeight="1"/>
    <row r="2772" ht="16.5" customHeight="1"/>
    <row r="2773" ht="16.5" customHeight="1"/>
    <row r="2774" ht="16.5" customHeight="1"/>
    <row r="2775" ht="16.5" customHeight="1"/>
    <row r="2776" ht="16.5" customHeight="1"/>
    <row r="2777" ht="16.5" customHeight="1"/>
    <row r="2778" ht="16.5" customHeight="1"/>
    <row r="2779" ht="16.5" customHeight="1"/>
    <row r="2780" ht="16.5" customHeight="1"/>
    <row r="2781" ht="16.5" customHeight="1"/>
    <row r="2782" ht="16.5" customHeight="1"/>
    <row r="2783" ht="16.5" customHeight="1"/>
    <row r="2784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ht="16.5" customHeight="1"/>
    <row r="2802" ht="16.5" customHeight="1"/>
    <row r="2803" ht="16.5" customHeight="1"/>
    <row r="2804" ht="16.5" customHeight="1"/>
    <row r="2805" ht="16.5" customHeight="1"/>
    <row r="2806" ht="16.5" customHeight="1"/>
    <row r="2807" ht="16.5" customHeight="1"/>
    <row r="2808" ht="16.5" customHeight="1"/>
    <row r="2809" ht="16.5" customHeight="1"/>
    <row r="2810" ht="16.5" customHeight="1"/>
    <row r="2811" ht="16.5" customHeight="1"/>
    <row r="2812" ht="16.5" customHeight="1"/>
    <row r="2813" ht="16.5" customHeight="1"/>
    <row r="2814" ht="16.5" customHeight="1"/>
    <row r="2815" ht="16.5" customHeight="1"/>
    <row r="2816" ht="16.5" customHeight="1"/>
    <row r="2817" ht="16.5" customHeight="1"/>
    <row r="2818" ht="16.5" customHeight="1"/>
    <row r="2819" ht="16.5" customHeight="1"/>
    <row r="2820" ht="16.5" customHeight="1"/>
    <row r="2821" ht="16.5" customHeight="1"/>
    <row r="2822" ht="16.5" customHeight="1"/>
    <row r="2823" ht="16.5" customHeight="1"/>
    <row r="2824" ht="16.5" customHeight="1"/>
    <row r="2825" ht="16.5" customHeight="1"/>
    <row r="2826" ht="16.5" customHeight="1"/>
    <row r="2827" ht="16.5" customHeight="1"/>
    <row r="2828" ht="16.5" customHeight="1"/>
    <row r="2829" ht="16.5" customHeight="1"/>
    <row r="2830" ht="16.5" customHeight="1"/>
    <row r="2831" ht="16.5" customHeight="1"/>
    <row r="2832" ht="16.5" customHeight="1"/>
    <row r="2833" ht="16.5" customHeight="1"/>
    <row r="2834" ht="16.5" customHeight="1"/>
    <row r="2835" ht="16.5" customHeight="1"/>
    <row r="2836" ht="16.5" customHeight="1"/>
    <row r="2837" ht="16.5" customHeight="1"/>
    <row r="2838" ht="16.5" customHeight="1"/>
    <row r="2839" ht="16.5" customHeight="1"/>
    <row r="2840" ht="16.5" customHeight="1"/>
    <row r="2841" ht="16.5" customHeight="1"/>
    <row r="2842" ht="16.5" customHeight="1"/>
    <row r="2843" ht="16.5" customHeight="1"/>
    <row r="2844" ht="16.5" customHeight="1"/>
    <row r="2845" ht="16.5" customHeight="1"/>
    <row r="2846" ht="16.5" customHeight="1"/>
    <row r="2847" ht="16.5" customHeight="1"/>
    <row r="2848" ht="16.5" customHeight="1"/>
    <row r="2849" ht="16.5" customHeight="1"/>
    <row r="2850" ht="16.5" customHeight="1"/>
    <row r="2851" ht="16.5" customHeight="1"/>
    <row r="2852" ht="16.5" customHeight="1"/>
    <row r="2853" ht="16.5" customHeight="1"/>
    <row r="2854" ht="16.5" customHeight="1"/>
    <row r="2855" ht="16.5" customHeight="1"/>
    <row r="2856" ht="16.5" customHeight="1"/>
    <row r="2857" ht="16.5" customHeight="1"/>
    <row r="2858" ht="16.5" customHeight="1"/>
    <row r="2859" ht="16.5" customHeight="1"/>
    <row r="2860" ht="16.5" customHeight="1"/>
    <row r="2861" ht="16.5" customHeight="1"/>
    <row r="2862" ht="16.5" customHeight="1"/>
    <row r="2863" ht="16.5" customHeight="1"/>
    <row r="2864" ht="16.5" customHeight="1"/>
    <row r="2865" ht="16.5" customHeight="1"/>
    <row r="2866" ht="16.5" customHeight="1"/>
    <row r="2867" ht="16.5" customHeight="1"/>
    <row r="2868" ht="16.5" customHeight="1"/>
    <row r="2869" ht="16.5" customHeight="1"/>
    <row r="2870" ht="16.5" customHeight="1"/>
    <row r="2871" ht="16.5" customHeight="1"/>
    <row r="2872" ht="16.5" customHeight="1"/>
    <row r="2873" ht="16.5" customHeight="1"/>
    <row r="2874" ht="16.5" customHeight="1"/>
    <row r="2875" ht="16.5" customHeight="1"/>
    <row r="2876" ht="16.5" customHeight="1"/>
    <row r="2877" ht="16.5" customHeight="1"/>
    <row r="2878" ht="16.5" customHeight="1"/>
    <row r="2879" ht="16.5" customHeight="1"/>
    <row r="2880" ht="16.5" customHeight="1"/>
    <row r="2881" ht="16.5" customHeight="1"/>
    <row r="2882" ht="16.5" customHeight="1"/>
    <row r="2883" ht="16.5" customHeight="1"/>
    <row r="2884" ht="16.5" customHeight="1"/>
    <row r="2885" ht="16.5" customHeight="1"/>
    <row r="2886" ht="16.5" customHeight="1"/>
    <row r="2887" ht="16.5" customHeight="1"/>
    <row r="2888" ht="16.5" customHeight="1"/>
    <row r="2889" ht="16.5" customHeight="1"/>
    <row r="2890" ht="16.5" customHeight="1"/>
    <row r="2891" ht="16.5" customHeight="1"/>
    <row r="2892" ht="16.5" customHeight="1"/>
    <row r="2893" ht="16.5" customHeight="1"/>
    <row r="2894" ht="16.5" customHeight="1"/>
    <row r="2895" ht="16.5" customHeight="1"/>
    <row r="2896" ht="16.5" customHeight="1"/>
    <row r="2897" ht="16.5" customHeight="1"/>
    <row r="2898" ht="16.5" customHeight="1"/>
    <row r="2899" ht="16.5" customHeight="1"/>
    <row r="2900" ht="16.5" customHeight="1"/>
    <row r="2901" ht="16.5" customHeight="1"/>
    <row r="2902" ht="16.5" customHeight="1"/>
    <row r="2903" ht="16.5" customHeight="1"/>
    <row r="2904" ht="16.5" customHeight="1"/>
    <row r="2905" ht="16.5" customHeight="1"/>
    <row r="2906" ht="16.5" customHeight="1"/>
    <row r="2907" ht="16.5" customHeight="1"/>
    <row r="2908" ht="16.5" customHeight="1"/>
    <row r="2909" ht="16.5" customHeight="1"/>
    <row r="2910" ht="16.5" customHeight="1"/>
    <row r="2911" ht="16.5" customHeight="1"/>
    <row r="2912" ht="16.5" customHeight="1"/>
    <row r="2913" ht="16.5" customHeight="1"/>
    <row r="2914" ht="16.5" customHeight="1"/>
    <row r="2915" ht="16.5" customHeight="1"/>
    <row r="2916" ht="16.5" customHeight="1"/>
    <row r="2917" ht="16.5" customHeight="1"/>
    <row r="2918" ht="16.5" customHeight="1"/>
    <row r="2919" ht="16.5" customHeight="1"/>
    <row r="2920" ht="16.5" customHeight="1"/>
    <row r="2921" ht="16.5" customHeight="1"/>
    <row r="2922" ht="16.5" customHeight="1"/>
    <row r="2923" ht="16.5" customHeight="1"/>
    <row r="2924" ht="16.5" customHeight="1"/>
    <row r="2925" ht="16.5" customHeight="1"/>
    <row r="2926" ht="16.5" customHeight="1"/>
    <row r="2927" ht="16.5" customHeight="1"/>
    <row r="2928" ht="16.5" customHeight="1"/>
    <row r="2929" ht="16.5" customHeight="1"/>
    <row r="2930" ht="16.5" customHeight="1"/>
    <row r="2931" ht="16.5" customHeight="1"/>
    <row r="2932" ht="16.5" customHeight="1"/>
    <row r="2933" ht="16.5" customHeight="1"/>
    <row r="2934" ht="16.5" customHeight="1"/>
    <row r="2935" ht="16.5" customHeight="1"/>
    <row r="2936" ht="16.5" customHeight="1"/>
    <row r="2937" ht="16.5" customHeight="1"/>
    <row r="2938" ht="16.5" customHeight="1"/>
    <row r="2939" ht="16.5" customHeight="1"/>
    <row r="2940" ht="16.5" customHeight="1"/>
    <row r="2941" ht="16.5" customHeight="1"/>
    <row r="2942" ht="16.5" customHeight="1"/>
    <row r="2943" ht="16.5" customHeight="1"/>
    <row r="2944" ht="16.5" customHeight="1"/>
    <row r="2945" ht="16.5" customHeight="1"/>
    <row r="2946" ht="16.5" customHeight="1"/>
    <row r="2947" ht="16.5" customHeight="1"/>
    <row r="2948" ht="16.5" customHeight="1"/>
    <row r="2949" ht="16.5" customHeight="1"/>
    <row r="2950" ht="16.5" customHeight="1"/>
    <row r="2951" ht="16.5" customHeight="1"/>
    <row r="2952" ht="16.5" customHeight="1"/>
    <row r="2953" ht="16.5" customHeight="1"/>
    <row r="2954" ht="16.5" customHeight="1"/>
    <row r="2955" ht="16.5" customHeight="1"/>
    <row r="2956" ht="16.5" customHeight="1"/>
    <row r="2957" ht="16.5" customHeight="1"/>
    <row r="2958" ht="16.5" customHeight="1"/>
    <row r="2959" ht="16.5" customHeight="1"/>
    <row r="2960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ht="16.5" customHeight="1"/>
    <row r="2978" ht="16.5" customHeight="1"/>
    <row r="2979" ht="16.5" customHeight="1"/>
    <row r="2980" ht="16.5" customHeight="1"/>
    <row r="2981" ht="16.5" customHeight="1"/>
    <row r="2982" ht="16.5" customHeight="1"/>
    <row r="2983" ht="16.5" customHeight="1"/>
    <row r="2984" ht="16.5" customHeight="1"/>
    <row r="2985" ht="16.5" customHeight="1"/>
    <row r="2986" ht="16.5" customHeight="1"/>
    <row r="2987" ht="16.5" customHeight="1"/>
    <row r="2988" ht="16.5" customHeight="1"/>
    <row r="2989" ht="16.5" customHeight="1"/>
    <row r="2990" ht="16.5" customHeight="1"/>
    <row r="2991" ht="16.5" customHeight="1"/>
    <row r="2992" ht="16.5" customHeight="1"/>
    <row r="2993" ht="16.5" customHeight="1"/>
    <row r="2994" ht="16.5" customHeight="1"/>
    <row r="2995" ht="16.5" customHeight="1"/>
    <row r="2996" ht="16.5" customHeight="1"/>
    <row r="2997" ht="16.5" customHeight="1"/>
    <row r="2998" ht="16.5" customHeight="1"/>
    <row r="2999" ht="16.5" customHeight="1"/>
    <row r="3000" ht="16.5" customHeight="1"/>
    <row r="3001" ht="16.5" customHeight="1"/>
    <row r="3002" ht="16.5" customHeight="1"/>
    <row r="3003" ht="16.5" customHeight="1"/>
    <row r="3004" ht="16.5" customHeight="1"/>
    <row r="3005" ht="16.5" customHeight="1"/>
    <row r="3006" ht="16.5" customHeight="1"/>
    <row r="3007" ht="16.5" customHeight="1"/>
    <row r="3008" ht="16.5" customHeight="1"/>
    <row r="3009" ht="16.5" customHeight="1"/>
    <row r="3010" ht="16.5" customHeight="1"/>
    <row r="3011" ht="16.5" customHeight="1"/>
    <row r="3012" ht="16.5" customHeight="1"/>
    <row r="3013" ht="16.5" customHeight="1"/>
    <row r="3014" ht="16.5" customHeight="1"/>
    <row r="3015" ht="16.5" customHeight="1"/>
    <row r="3016" ht="16.5" customHeight="1"/>
    <row r="3017" ht="16.5" customHeight="1"/>
    <row r="3018" ht="16.5" customHeight="1"/>
    <row r="3019" ht="16.5" customHeight="1"/>
    <row r="3020" ht="16.5" customHeight="1"/>
    <row r="3021" ht="16.5" customHeight="1"/>
    <row r="3022" ht="16.5" customHeight="1"/>
    <row r="3023" ht="16.5" customHeight="1"/>
    <row r="3024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ht="16.5" customHeight="1"/>
    <row r="3042" ht="16.5" customHeight="1"/>
    <row r="3043" ht="16.5" customHeight="1"/>
    <row r="3044" ht="16.5" customHeight="1"/>
    <row r="3045" ht="16.5" customHeight="1"/>
    <row r="3046" ht="16.5" customHeight="1"/>
    <row r="3047" ht="16.5" customHeight="1"/>
    <row r="3048" ht="16.5" customHeight="1"/>
    <row r="3049" ht="16.5" customHeight="1"/>
    <row r="3050" ht="16.5" customHeight="1"/>
    <row r="3051" ht="16.5" customHeight="1"/>
    <row r="3052" ht="16.5" customHeight="1"/>
    <row r="3053" ht="16.5" customHeight="1"/>
    <row r="3054" ht="16.5" customHeight="1"/>
    <row r="3055" ht="16.5" customHeight="1"/>
    <row r="3056" ht="16.5" customHeight="1"/>
    <row r="3057" ht="16.5" customHeight="1"/>
    <row r="3058" ht="16.5" customHeight="1"/>
    <row r="3059" ht="16.5" customHeight="1"/>
    <row r="3060" ht="16.5" customHeight="1"/>
    <row r="3061" ht="16.5" customHeight="1"/>
    <row r="3062" ht="16.5" customHeight="1"/>
    <row r="3063" ht="16.5" customHeight="1"/>
    <row r="3064" ht="16.5" customHeight="1"/>
    <row r="3065" ht="16.5" customHeight="1"/>
    <row r="3066" ht="16.5" customHeight="1"/>
    <row r="3067" ht="16.5" customHeight="1"/>
    <row r="3068" ht="16.5" customHeight="1"/>
    <row r="3069" ht="16.5" customHeight="1"/>
    <row r="3070" ht="16.5" customHeight="1"/>
    <row r="3071" ht="16.5" customHeight="1"/>
    <row r="3072" ht="16.5" customHeight="1"/>
    <row r="3073" ht="16.5" customHeight="1"/>
    <row r="3074" ht="16.5" customHeight="1"/>
    <row r="3075" ht="16.5" customHeight="1"/>
    <row r="3076" ht="16.5" customHeight="1"/>
    <row r="3077" ht="16.5" customHeight="1"/>
    <row r="3078" ht="16.5" customHeight="1"/>
    <row r="3079" ht="16.5" customHeight="1"/>
    <row r="3080" ht="16.5" customHeight="1"/>
    <row r="3081" ht="16.5" customHeight="1"/>
    <row r="3082" ht="16.5" customHeight="1"/>
    <row r="3083" ht="16.5" customHeight="1"/>
    <row r="3084" ht="16.5" customHeight="1"/>
    <row r="3085" ht="16.5" customHeight="1"/>
    <row r="3086" ht="16.5" customHeight="1"/>
    <row r="3087" ht="16.5" customHeight="1"/>
    <row r="3088" ht="16.5" customHeight="1"/>
    <row r="3089" ht="16.5" customHeight="1"/>
    <row r="3090" ht="16.5" customHeight="1"/>
    <row r="3091" ht="16.5" customHeight="1"/>
    <row r="3092" ht="16.5" customHeight="1"/>
    <row r="3093" ht="16.5" customHeight="1"/>
    <row r="3094" ht="16.5" customHeight="1"/>
    <row r="3095" ht="16.5" customHeight="1"/>
    <row r="3096" ht="16.5" customHeight="1"/>
    <row r="3097" ht="16.5" customHeight="1"/>
    <row r="3098" ht="16.5" customHeight="1"/>
    <row r="3099" ht="16.5" customHeight="1"/>
    <row r="3100" ht="16.5" customHeight="1"/>
    <row r="3101" ht="16.5" customHeight="1"/>
    <row r="3102" ht="16.5" customHeight="1"/>
    <row r="3103" ht="16.5" customHeight="1"/>
    <row r="3104" ht="16.5" customHeight="1"/>
    <row r="3105" ht="16.5" customHeight="1"/>
    <row r="3106" ht="16.5" customHeight="1"/>
    <row r="3107" ht="16.5" customHeight="1"/>
    <row r="3108" ht="16.5" customHeight="1"/>
    <row r="3109" ht="16.5" customHeight="1"/>
    <row r="3110" ht="16.5" customHeight="1"/>
    <row r="3111" ht="16.5" customHeight="1"/>
    <row r="3112" ht="16.5" customHeight="1"/>
    <row r="3113" ht="16.5" customHeight="1"/>
    <row r="3114" ht="16.5" customHeight="1"/>
    <row r="3115" ht="16.5" customHeight="1"/>
    <row r="3116" ht="16.5" customHeight="1"/>
    <row r="3117" ht="16.5" customHeight="1"/>
    <row r="3118" ht="16.5" customHeight="1"/>
    <row r="3119" ht="16.5" customHeight="1"/>
    <row r="3120" ht="16.5" customHeight="1"/>
    <row r="3121" ht="16.5" customHeight="1"/>
    <row r="3122" ht="16.5" customHeight="1"/>
    <row r="3123" ht="16.5" customHeight="1"/>
    <row r="3124" ht="16.5" customHeight="1"/>
    <row r="3125" ht="16.5" customHeight="1"/>
    <row r="3126" ht="16.5" customHeight="1"/>
    <row r="3127" ht="16.5" customHeight="1"/>
    <row r="3128" ht="16.5" customHeight="1"/>
    <row r="3129" ht="16.5" customHeight="1"/>
    <row r="3130" ht="16.5" customHeight="1"/>
    <row r="3131" ht="16.5" customHeight="1"/>
    <row r="3132" ht="16.5" customHeight="1"/>
    <row r="3133" ht="16.5" customHeight="1"/>
    <row r="3134" ht="16.5" customHeight="1"/>
    <row r="3135" ht="16.5" customHeight="1"/>
    <row r="3136" ht="16.5" customHeight="1"/>
    <row r="3137" ht="16.5" customHeight="1"/>
    <row r="3138" ht="16.5" customHeight="1"/>
    <row r="3139" ht="16.5" customHeight="1"/>
    <row r="3140" ht="16.5" customHeight="1"/>
    <row r="3141" ht="16.5" customHeight="1"/>
    <row r="3142" ht="16.5" customHeight="1"/>
    <row r="3143" ht="16.5" customHeight="1"/>
    <row r="3144" ht="16.5" customHeight="1"/>
    <row r="3145" ht="16.5" customHeight="1"/>
    <row r="3146" ht="16.5" customHeight="1"/>
    <row r="3147" ht="16.5" customHeight="1"/>
    <row r="3148" ht="16.5" customHeight="1"/>
    <row r="3149" ht="16.5" customHeight="1"/>
    <row r="3150" ht="16.5" customHeight="1"/>
    <row r="3151" ht="16.5" customHeight="1"/>
    <row r="3152" ht="16.5" customHeight="1"/>
    <row r="3153" ht="16.5" customHeight="1"/>
    <row r="3154" ht="16.5" customHeight="1"/>
    <row r="3155" ht="16.5" customHeight="1"/>
    <row r="3156" ht="16.5" customHeight="1"/>
    <row r="3157" ht="16.5" customHeight="1"/>
    <row r="3158" ht="16.5" customHeight="1"/>
    <row r="3159" ht="16.5" customHeight="1"/>
    <row r="3160" ht="16.5" customHeight="1"/>
    <row r="3161" ht="16.5" customHeight="1"/>
    <row r="3162" ht="16.5" customHeight="1"/>
    <row r="3163" ht="16.5" customHeight="1"/>
    <row r="3164" ht="16.5" customHeight="1"/>
    <row r="3165" ht="16.5" customHeight="1"/>
    <row r="3166" ht="16.5" customHeight="1"/>
    <row r="3167" ht="16.5" customHeight="1"/>
    <row r="3168" ht="16.5" customHeight="1"/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ht="16.5" customHeight="1"/>
    <row r="3186" ht="16.5" customHeight="1"/>
    <row r="3187" ht="16.5" customHeight="1"/>
    <row r="3188" ht="16.5" customHeight="1"/>
    <row r="3189" ht="16.5" customHeight="1"/>
    <row r="3190" ht="16.5" customHeight="1"/>
    <row r="3191" ht="16.5" customHeight="1"/>
    <row r="3192" ht="16.5" customHeight="1"/>
    <row r="3193" ht="16.5" customHeight="1"/>
    <row r="3194" ht="16.5" customHeight="1"/>
    <row r="3195" ht="16.5" customHeight="1"/>
    <row r="3196" ht="16.5" customHeight="1"/>
    <row r="3197" ht="16.5" customHeight="1"/>
    <row r="3198" ht="16.5" customHeight="1"/>
    <row r="3199" ht="16.5" customHeight="1"/>
    <row r="3200" ht="16.5" customHeight="1"/>
    <row r="3201" ht="16.5" customHeight="1"/>
    <row r="3202" ht="16.5" customHeight="1"/>
    <row r="3203" ht="16.5" customHeight="1"/>
    <row r="3204" ht="16.5" customHeight="1"/>
    <row r="3205" ht="16.5" customHeight="1"/>
    <row r="3206" ht="16.5" customHeight="1"/>
    <row r="3207" ht="16.5" customHeight="1"/>
    <row r="3208" ht="16.5" customHeight="1"/>
    <row r="3209" ht="16.5" customHeight="1"/>
    <row r="3210" ht="16.5" customHeight="1"/>
    <row r="3211" ht="16.5" customHeight="1"/>
    <row r="3212" ht="16.5" customHeight="1"/>
    <row r="3213" ht="16.5" customHeight="1"/>
    <row r="3214" ht="16.5" customHeight="1"/>
    <row r="3215" ht="16.5" customHeight="1"/>
    <row r="3216" ht="16.5" customHeight="1"/>
    <row r="3217" ht="16.5" customHeight="1"/>
    <row r="3218" ht="16.5" customHeight="1"/>
    <row r="3219" ht="16.5" customHeight="1"/>
    <row r="3220" ht="16.5" customHeight="1"/>
    <row r="3221" ht="16.5" customHeight="1"/>
    <row r="3222" ht="16.5" customHeight="1"/>
    <row r="3223" ht="16.5" customHeight="1"/>
    <row r="3224" ht="16.5" customHeight="1"/>
    <row r="3225" ht="16.5" customHeight="1"/>
    <row r="3226" ht="16.5" customHeight="1"/>
    <row r="3227" ht="16.5" customHeight="1"/>
    <row r="3228" ht="16.5" customHeight="1"/>
    <row r="3229" ht="16.5" customHeight="1"/>
    <row r="3230" ht="16.5" customHeight="1"/>
    <row r="3231" ht="16.5" customHeight="1"/>
    <row r="323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ht="16.5" customHeight="1"/>
    <row r="3250" ht="16.5" customHeight="1"/>
    <row r="3251" ht="16.5" customHeight="1"/>
    <row r="3252" ht="16.5" customHeight="1"/>
    <row r="3253" ht="16.5" customHeight="1"/>
    <row r="3254" ht="16.5" customHeight="1"/>
    <row r="3255" ht="16.5" customHeight="1"/>
    <row r="3256" ht="16.5" customHeight="1"/>
    <row r="3257" ht="16.5" customHeight="1"/>
    <row r="3258" ht="16.5" customHeight="1"/>
    <row r="3259" ht="16.5" customHeight="1"/>
    <row r="3260" ht="16.5" customHeight="1"/>
    <row r="3261" ht="16.5" customHeight="1"/>
    <row r="3262" ht="16.5" customHeight="1"/>
    <row r="3263" ht="16.5" customHeight="1"/>
    <row r="3264" ht="16.5" customHeight="1"/>
    <row r="3265" ht="16.5" customHeight="1"/>
    <row r="3266" ht="16.5" customHeight="1"/>
    <row r="3267" ht="16.5" customHeight="1"/>
    <row r="3268" ht="16.5" customHeight="1"/>
    <row r="3269" ht="16.5" customHeight="1"/>
    <row r="3270" ht="16.5" customHeight="1"/>
    <row r="3271" ht="16.5" customHeight="1"/>
    <row r="3272" ht="16.5" customHeight="1"/>
    <row r="3273" ht="16.5" customHeight="1"/>
    <row r="3274" ht="16.5" customHeight="1"/>
    <row r="3275" ht="16.5" customHeight="1"/>
    <row r="3276" ht="16.5" customHeight="1"/>
    <row r="3277" ht="16.5" customHeight="1"/>
    <row r="3278" ht="16.5" customHeight="1"/>
    <row r="3279" ht="16.5" customHeight="1"/>
    <row r="3280" ht="16.5" customHeight="1"/>
    <row r="3281" ht="16.5" customHeight="1"/>
    <row r="3282" ht="16.5" customHeight="1"/>
    <row r="3283" ht="16.5" customHeight="1"/>
    <row r="3284" ht="16.5" customHeight="1"/>
    <row r="3285" ht="16.5" customHeight="1"/>
    <row r="3286" ht="16.5" customHeight="1"/>
    <row r="3287" ht="16.5" customHeight="1"/>
    <row r="3288" ht="16.5" customHeight="1"/>
    <row r="3289" ht="16.5" customHeight="1"/>
    <row r="3290" ht="16.5" customHeight="1"/>
    <row r="3291" ht="16.5" customHeight="1"/>
    <row r="3292" ht="16.5" customHeight="1"/>
    <row r="3293" ht="16.5" customHeight="1"/>
    <row r="3294" ht="16.5" customHeight="1"/>
    <row r="3295" ht="16.5" customHeight="1"/>
    <row r="3296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ht="16.5" customHeight="1"/>
    <row r="3314" ht="16.5" customHeight="1"/>
    <row r="3315" ht="16.5" customHeight="1"/>
    <row r="3316" ht="16.5" customHeight="1"/>
    <row r="3317" ht="16.5" customHeight="1"/>
    <row r="3318" ht="16.5" customHeight="1"/>
    <row r="3319" ht="16.5" customHeight="1"/>
    <row r="3320" ht="16.5" customHeight="1"/>
    <row r="3321" ht="16.5" customHeight="1"/>
    <row r="3322" ht="16.5" customHeight="1"/>
    <row r="3323" ht="16.5" customHeight="1"/>
    <row r="3324" ht="16.5" customHeight="1"/>
    <row r="3325" ht="16.5" customHeight="1"/>
    <row r="3326" ht="16.5" customHeight="1"/>
    <row r="3327" ht="16.5" customHeight="1"/>
    <row r="3328" ht="16.5" customHeight="1"/>
    <row r="3329" ht="16.5" customHeight="1"/>
    <row r="3330" ht="16.5" customHeight="1"/>
    <row r="3331" ht="16.5" customHeight="1"/>
    <row r="3332" ht="16.5" customHeight="1"/>
    <row r="3333" ht="16.5" customHeight="1"/>
    <row r="3334" ht="16.5" customHeight="1"/>
    <row r="3335" ht="16.5" customHeight="1"/>
    <row r="3336" ht="16.5" customHeight="1"/>
    <row r="3337" ht="16.5" customHeight="1"/>
    <row r="3338" ht="16.5" customHeight="1"/>
    <row r="3339" ht="16.5" customHeight="1"/>
    <row r="3340" ht="16.5" customHeight="1"/>
    <row r="3341" ht="16.5" customHeight="1"/>
    <row r="3342" ht="16.5" customHeight="1"/>
    <row r="3343" ht="16.5" customHeight="1"/>
    <row r="3344" ht="16.5" customHeight="1"/>
    <row r="3345" ht="16.5" customHeight="1"/>
    <row r="3346" ht="16.5" customHeight="1"/>
    <row r="3347" ht="16.5" customHeight="1"/>
    <row r="3348" ht="16.5" customHeight="1"/>
    <row r="3349" ht="16.5" customHeight="1"/>
    <row r="3350" ht="16.5" customHeight="1"/>
    <row r="3351" ht="16.5" customHeight="1"/>
    <row r="3352" ht="16.5" customHeight="1"/>
    <row r="3353" ht="16.5" customHeight="1"/>
    <row r="3354" ht="16.5" customHeight="1"/>
    <row r="3355" ht="16.5" customHeight="1"/>
    <row r="3356" ht="16.5" customHeight="1"/>
    <row r="3357" ht="16.5" customHeight="1"/>
    <row r="3358" ht="16.5" customHeight="1"/>
    <row r="3359" ht="16.5" customHeight="1"/>
    <row r="3360" ht="16.5" customHeight="1"/>
    <row r="3361" ht="16.5" customHeight="1"/>
    <row r="3362" ht="16.5" customHeight="1"/>
    <row r="3363" ht="16.5" customHeight="1"/>
    <row r="3364" ht="16.5" customHeight="1"/>
    <row r="3365" ht="16.5" customHeight="1"/>
    <row r="3366" ht="16.5" customHeight="1"/>
    <row r="3367" ht="16.5" customHeight="1"/>
    <row r="3368" ht="16.5" customHeight="1"/>
    <row r="3369" ht="16.5" customHeight="1"/>
    <row r="3370" ht="16.5" customHeight="1"/>
    <row r="3371" ht="16.5" customHeight="1"/>
    <row r="3372" ht="16.5" customHeight="1"/>
    <row r="3373" ht="16.5" customHeight="1"/>
    <row r="3374" ht="16.5" customHeight="1"/>
    <row r="3375" ht="16.5" customHeight="1"/>
    <row r="3376" ht="16.5" customHeight="1"/>
    <row r="3377" ht="16.5" customHeight="1"/>
    <row r="3378" ht="16.5" customHeight="1"/>
    <row r="3379" ht="16.5" customHeight="1"/>
    <row r="3380" ht="16.5" customHeight="1"/>
    <row r="3381" ht="16.5" customHeight="1"/>
    <row r="3382" ht="16.5" customHeight="1"/>
    <row r="3383" ht="16.5" customHeight="1"/>
    <row r="3384" ht="16.5" customHeight="1"/>
    <row r="3385" ht="16.5" customHeight="1"/>
    <row r="3386" ht="16.5" customHeight="1"/>
    <row r="3387" ht="16.5" customHeight="1"/>
    <row r="3388" ht="16.5" customHeight="1"/>
    <row r="3389" ht="16.5" customHeight="1"/>
    <row r="3390" ht="16.5" customHeight="1"/>
    <row r="3391" ht="16.5" customHeight="1"/>
    <row r="3392" ht="16.5" customHeight="1"/>
    <row r="3393" ht="16.5" customHeight="1"/>
    <row r="3394" ht="16.5" customHeight="1"/>
    <row r="3395" ht="16.5" customHeight="1"/>
    <row r="3396" ht="16.5" customHeight="1"/>
    <row r="3397" ht="16.5" customHeight="1"/>
    <row r="3398" ht="16.5" customHeight="1"/>
    <row r="3399" ht="16.5" customHeight="1"/>
    <row r="3400" ht="16.5" customHeight="1"/>
    <row r="3401" ht="16.5" customHeight="1"/>
    <row r="3402" ht="16.5" customHeight="1"/>
    <row r="3403" ht="16.5" customHeight="1"/>
    <row r="3404" ht="16.5" customHeight="1"/>
    <row r="3405" ht="16.5" customHeight="1"/>
    <row r="3406" ht="16.5" customHeight="1"/>
    <row r="3407" ht="16.5" customHeight="1"/>
    <row r="3408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ht="16.5" customHeight="1"/>
    <row r="3426" ht="16.5" customHeight="1"/>
    <row r="3427" ht="16.5" customHeight="1"/>
    <row r="3428" ht="16.5" customHeight="1"/>
    <row r="3429" ht="16.5" customHeight="1"/>
    <row r="3430" ht="16.5" customHeight="1"/>
    <row r="3431" ht="16.5" customHeight="1"/>
    <row r="3432" ht="16.5" customHeight="1"/>
    <row r="3433" ht="16.5" customHeight="1"/>
    <row r="3434" ht="16.5" customHeight="1"/>
    <row r="3435" ht="16.5" customHeight="1"/>
    <row r="3436" ht="16.5" customHeight="1"/>
    <row r="3437" ht="16.5" customHeight="1"/>
    <row r="3438" ht="16.5" customHeight="1"/>
    <row r="3439" ht="16.5" customHeight="1"/>
    <row r="3440" ht="16.5" customHeight="1"/>
    <row r="3441" ht="16.5" customHeight="1"/>
    <row r="3442" ht="16.5" customHeight="1"/>
    <row r="3443" ht="16.5" customHeight="1"/>
    <row r="3444" ht="16.5" customHeight="1"/>
    <row r="3445" ht="16.5" customHeight="1"/>
    <row r="3446" ht="16.5" customHeight="1"/>
    <row r="3447" ht="16.5" customHeight="1"/>
    <row r="3448" ht="16.5" customHeight="1"/>
    <row r="3449" ht="16.5" customHeight="1"/>
    <row r="3450" ht="16.5" customHeight="1"/>
    <row r="3451" ht="16.5" customHeight="1"/>
    <row r="3452" ht="16.5" customHeight="1"/>
    <row r="3453" ht="16.5" customHeight="1"/>
    <row r="3454" ht="16.5" customHeight="1"/>
    <row r="3455" ht="16.5" customHeight="1"/>
    <row r="3456" ht="16.5" customHeight="1"/>
    <row r="3457" ht="16.5" customHeight="1"/>
    <row r="3458" ht="16.5" customHeight="1"/>
    <row r="3459" ht="16.5" customHeight="1"/>
    <row r="3460" ht="16.5" customHeight="1"/>
    <row r="3461" ht="16.5" customHeight="1"/>
    <row r="3462" ht="16.5" customHeight="1"/>
    <row r="3463" ht="16.5" customHeight="1"/>
    <row r="3464" ht="16.5" customHeight="1"/>
    <row r="3465" ht="16.5" customHeight="1"/>
    <row r="3466" ht="16.5" customHeight="1"/>
    <row r="3467" ht="16.5" customHeight="1"/>
    <row r="3468" ht="16.5" customHeight="1"/>
    <row r="3469" ht="16.5" customHeight="1"/>
    <row r="3470" ht="16.5" customHeight="1"/>
    <row r="3471" ht="16.5" customHeight="1"/>
    <row r="3472" ht="16.5" customHeight="1"/>
    <row r="3473" ht="16.5" customHeight="1"/>
    <row r="3474" ht="16.5" customHeight="1"/>
    <row r="3475" ht="16.5" customHeight="1"/>
    <row r="3476" ht="16.5" customHeight="1"/>
    <row r="3477" ht="16.5" customHeight="1"/>
    <row r="3478" ht="16.5" customHeight="1"/>
    <row r="3479" ht="16.5" customHeight="1"/>
    <row r="3480" ht="16.5" customHeight="1"/>
    <row r="3481" ht="16.5" customHeight="1"/>
    <row r="3482" ht="16.5" customHeight="1"/>
    <row r="3483" ht="16.5" customHeight="1"/>
    <row r="3484" ht="16.5" customHeight="1"/>
    <row r="3485" ht="16.5" customHeight="1"/>
    <row r="3486" ht="16.5" customHeight="1"/>
    <row r="3487" ht="16.5" customHeight="1"/>
    <row r="3488" ht="16.5" customHeight="1"/>
    <row r="3489" ht="16.5" customHeight="1"/>
    <row r="3490" ht="16.5" customHeight="1"/>
    <row r="3491" ht="16.5" customHeight="1"/>
    <row r="3492" ht="16.5" customHeight="1"/>
    <row r="3493" ht="16.5" customHeight="1"/>
    <row r="3494" ht="16.5" customHeight="1"/>
    <row r="3495" ht="16.5" customHeight="1"/>
    <row r="3496" ht="16.5" customHeight="1"/>
    <row r="3497" ht="16.5" customHeight="1"/>
    <row r="3498" ht="16.5" customHeight="1"/>
    <row r="3499" ht="16.5" customHeight="1"/>
    <row r="3500" ht="16.5" customHeight="1"/>
    <row r="3501" ht="16.5" customHeight="1"/>
    <row r="3502" ht="16.5" customHeight="1"/>
    <row r="3503" ht="16.5" customHeight="1"/>
    <row r="3504" ht="16.5" customHeight="1"/>
    <row r="3505" ht="16.5" customHeight="1"/>
    <row r="3506" ht="16.5" customHeight="1"/>
    <row r="3507" ht="16.5" customHeight="1"/>
    <row r="3508" ht="16.5" customHeight="1"/>
    <row r="3509" ht="16.5" customHeight="1"/>
    <row r="3510" ht="16.5" customHeight="1"/>
    <row r="3511" ht="16.5" customHeight="1"/>
    <row r="3512" ht="16.5" customHeight="1"/>
    <row r="3513" ht="16.5" customHeight="1"/>
    <row r="3514" ht="16.5" customHeight="1"/>
    <row r="3515" ht="16.5" customHeight="1"/>
    <row r="3516" ht="16.5" customHeight="1"/>
    <row r="3517" ht="16.5" customHeight="1"/>
    <row r="3518" ht="16.5" customHeight="1"/>
    <row r="3519" ht="16.5" customHeight="1"/>
    <row r="3520" ht="16.5" customHeight="1"/>
    <row r="3521" ht="16.5" customHeight="1"/>
    <row r="3522" ht="16.5" customHeight="1"/>
    <row r="3523" ht="16.5" customHeight="1"/>
    <row r="3524" ht="16.5" customHeight="1"/>
    <row r="3525" ht="16.5" customHeight="1"/>
    <row r="3526" ht="16.5" customHeight="1"/>
    <row r="3527" ht="16.5" customHeight="1"/>
    <row r="3528" ht="16.5" customHeight="1"/>
    <row r="3529" ht="16.5" customHeight="1"/>
    <row r="3530" ht="16.5" customHeight="1"/>
    <row r="3531" ht="16.5" customHeight="1"/>
    <row r="3532" ht="16.5" customHeight="1"/>
    <row r="3533" ht="16.5" customHeight="1"/>
    <row r="3534" ht="16.5" customHeight="1"/>
    <row r="3535" ht="16.5" customHeight="1"/>
    <row r="3536" ht="16.5" customHeight="1"/>
    <row r="3537" ht="16.5" customHeight="1"/>
    <row r="3538" ht="16.5" customHeight="1"/>
    <row r="3539" ht="16.5" customHeight="1"/>
    <row r="3540" ht="16.5" customHeight="1"/>
    <row r="3541" ht="16.5" customHeight="1"/>
    <row r="3542" ht="16.5" customHeight="1"/>
    <row r="3543" ht="16.5" customHeight="1"/>
    <row r="3544" ht="16.5" customHeight="1"/>
    <row r="3545" ht="16.5" customHeight="1"/>
    <row r="3546" ht="16.5" customHeight="1"/>
    <row r="3547" ht="16.5" customHeight="1"/>
    <row r="3548" ht="16.5" customHeight="1"/>
    <row r="3549" ht="16.5" customHeight="1"/>
    <row r="3550" ht="16.5" customHeight="1"/>
    <row r="3551" ht="16.5" customHeight="1"/>
    <row r="355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ht="16.5" customHeight="1"/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  <row r="3591" ht="16.5" customHeight="1"/>
    <row r="3592" ht="16.5" customHeight="1"/>
    <row r="3593" ht="16.5" customHeight="1"/>
    <row r="3594" ht="16.5" customHeight="1"/>
    <row r="3595" ht="16.5" customHeight="1"/>
    <row r="3596" ht="16.5" customHeight="1"/>
    <row r="3597" ht="16.5" customHeight="1"/>
    <row r="3598" ht="16.5" customHeight="1"/>
    <row r="3599" ht="16.5" customHeight="1"/>
    <row r="3600" ht="16.5" customHeight="1"/>
    <row r="3601" ht="16.5" customHeight="1"/>
    <row r="3602" ht="16.5" customHeight="1"/>
    <row r="3603" ht="16.5" customHeight="1"/>
    <row r="3604" ht="16.5" customHeight="1"/>
    <row r="3605" ht="16.5" customHeight="1"/>
    <row r="3606" ht="16.5" customHeight="1"/>
    <row r="3607" ht="16.5" customHeight="1"/>
    <row r="3608" ht="16.5" customHeight="1"/>
    <row r="3609" ht="16.5" customHeight="1"/>
    <row r="3610" ht="16.5" customHeight="1"/>
    <row r="3611" ht="16.5" customHeight="1"/>
    <row r="3612" ht="16.5" customHeight="1"/>
    <row r="3613" ht="16.5" customHeight="1"/>
    <row r="3614" ht="16.5" customHeight="1"/>
    <row r="3615" ht="16.5" customHeight="1"/>
    <row r="3616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ht="16.5" customHeight="1"/>
    <row r="3634" ht="16.5" customHeight="1"/>
    <row r="3635" ht="16.5" customHeight="1"/>
    <row r="3636" ht="16.5" customHeight="1"/>
    <row r="3637" ht="16.5" customHeight="1"/>
    <row r="3638" ht="16.5" customHeight="1"/>
    <row r="3639" ht="16.5" customHeight="1"/>
    <row r="3640" ht="16.5" customHeight="1"/>
    <row r="3641" ht="16.5" customHeight="1"/>
    <row r="3642" ht="16.5" customHeight="1"/>
    <row r="3643" ht="16.5" customHeight="1"/>
    <row r="3644" ht="16.5" customHeight="1"/>
    <row r="3645" ht="16.5" customHeight="1"/>
    <row r="3646" ht="16.5" customHeight="1"/>
    <row r="3647" ht="16.5" customHeight="1"/>
    <row r="3648" ht="16.5" customHeight="1"/>
    <row r="3649" ht="16.5" customHeight="1"/>
    <row r="3650" ht="16.5" customHeight="1"/>
    <row r="3651" ht="16.5" customHeight="1"/>
    <row r="3652" ht="16.5" customHeight="1"/>
    <row r="3653" ht="16.5" customHeight="1"/>
    <row r="3654" ht="16.5" customHeight="1"/>
    <row r="3655" ht="16.5" customHeight="1"/>
    <row r="3656" ht="16.5" customHeight="1"/>
    <row r="3657" ht="16.5" customHeight="1"/>
    <row r="3658" ht="16.5" customHeight="1"/>
    <row r="3659" ht="16.5" customHeight="1"/>
    <row r="3660" ht="16.5" customHeight="1"/>
    <row r="3661" ht="16.5" customHeight="1"/>
    <row r="3662" ht="16.5" customHeight="1"/>
    <row r="3663" ht="16.5" customHeight="1"/>
    <row r="3664" ht="16.5" customHeight="1"/>
    <row r="3665" ht="16.5" customHeight="1"/>
    <row r="3666" ht="16.5" customHeight="1"/>
    <row r="3667" ht="16.5" customHeight="1"/>
    <row r="3668" ht="16.5" customHeight="1"/>
    <row r="3669" ht="16.5" customHeight="1"/>
    <row r="3670" ht="16.5" customHeight="1"/>
    <row r="3671" ht="16.5" customHeight="1"/>
    <row r="3672" ht="16.5" customHeight="1"/>
    <row r="3673" ht="16.5" customHeight="1"/>
    <row r="3674" ht="16.5" customHeight="1"/>
    <row r="3675" ht="16.5" customHeight="1"/>
    <row r="3676" ht="16.5" customHeight="1"/>
    <row r="3677" ht="16.5" customHeight="1"/>
    <row r="3678" ht="16.5" customHeight="1"/>
    <row r="3679" ht="16.5" customHeight="1"/>
    <row r="3680" ht="16.5" customHeight="1"/>
    <row r="3681" ht="16.5" customHeight="1"/>
    <row r="3682" ht="16.5" customHeight="1"/>
    <row r="3683" ht="16.5" customHeight="1"/>
    <row r="3684" ht="16.5" customHeight="1"/>
    <row r="3685" ht="16.5" customHeight="1"/>
    <row r="3686" ht="16.5" customHeight="1"/>
    <row r="3687" ht="16.5" customHeight="1"/>
    <row r="3688" ht="16.5" customHeight="1"/>
    <row r="3689" ht="16.5" customHeight="1"/>
    <row r="3690" ht="16.5" customHeight="1"/>
    <row r="3691" ht="16.5" customHeight="1"/>
    <row r="3692" ht="16.5" customHeight="1"/>
    <row r="3693" ht="16.5" customHeight="1"/>
    <row r="3694" ht="16.5" customHeight="1"/>
    <row r="3695" ht="16.5" customHeight="1"/>
    <row r="3696" ht="16.5" customHeight="1"/>
    <row r="3697" ht="16.5" customHeight="1"/>
    <row r="3698" ht="16.5" customHeight="1"/>
    <row r="3699" ht="16.5" customHeight="1"/>
    <row r="3700" ht="16.5" customHeight="1"/>
    <row r="3701" ht="16.5" customHeight="1"/>
    <row r="3702" ht="16.5" customHeight="1"/>
    <row r="3703" ht="16.5" customHeight="1"/>
    <row r="3704" ht="16.5" customHeight="1"/>
    <row r="3705" ht="16.5" customHeight="1"/>
    <row r="3706" ht="16.5" customHeight="1"/>
    <row r="3707" ht="16.5" customHeight="1"/>
    <row r="3708" ht="16.5" customHeight="1"/>
    <row r="3709" ht="16.5" customHeight="1"/>
    <row r="3710" ht="16.5" customHeight="1"/>
    <row r="3711" ht="16.5" customHeight="1"/>
    <row r="3712" ht="16.5" customHeight="1"/>
    <row r="3713" ht="16.5" customHeight="1"/>
    <row r="3714" ht="16.5" customHeight="1"/>
    <row r="3715" ht="16.5" customHeight="1"/>
    <row r="3716" ht="16.5" customHeight="1"/>
    <row r="3717" ht="16.5" customHeight="1"/>
    <row r="3718" ht="16.5" customHeight="1"/>
    <row r="3719" ht="16.5" customHeight="1"/>
    <row r="3720" ht="16.5" customHeight="1"/>
    <row r="3721" ht="16.5" customHeight="1"/>
    <row r="3722" ht="16.5" customHeight="1"/>
    <row r="3723" ht="16.5" customHeight="1"/>
    <row r="3724" ht="16.5" customHeight="1"/>
    <row r="3725" ht="16.5" customHeight="1"/>
    <row r="3726" ht="16.5" customHeight="1"/>
    <row r="3727" ht="16.5" customHeight="1"/>
    <row r="3728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ht="16.5" customHeight="1"/>
    <row r="3746" ht="16.5" customHeight="1"/>
    <row r="3747" ht="16.5" customHeight="1"/>
    <row r="3748" ht="16.5" customHeight="1"/>
    <row r="3749" ht="16.5" customHeight="1"/>
    <row r="3750" ht="16.5" customHeight="1"/>
    <row r="3751" ht="16.5" customHeight="1"/>
    <row r="3752" ht="16.5" customHeight="1"/>
    <row r="3753" ht="16.5" customHeight="1"/>
    <row r="3754" ht="16.5" customHeight="1"/>
    <row r="3755" ht="16.5" customHeight="1"/>
    <row r="3756" ht="16.5" customHeight="1"/>
    <row r="3757" ht="16.5" customHeight="1"/>
    <row r="3758" ht="16.5" customHeight="1"/>
    <row r="3759" ht="16.5" customHeight="1"/>
    <row r="3760" ht="16.5" customHeight="1"/>
    <row r="3761" ht="16.5" customHeight="1"/>
    <row r="3762" ht="16.5" customHeight="1"/>
    <row r="3763" ht="16.5" customHeight="1"/>
    <row r="3764" ht="16.5" customHeight="1"/>
    <row r="3765" ht="16.5" customHeight="1"/>
    <row r="3766" ht="16.5" customHeight="1"/>
    <row r="3767" ht="16.5" customHeight="1"/>
    <row r="3768" ht="16.5" customHeight="1"/>
    <row r="3769" ht="16.5" customHeight="1"/>
    <row r="3770" ht="16.5" customHeight="1"/>
    <row r="3771" ht="16.5" customHeight="1"/>
    <row r="3772" ht="16.5" customHeight="1"/>
    <row r="3773" ht="16.5" customHeight="1"/>
    <row r="3774" ht="16.5" customHeight="1"/>
    <row r="3775" ht="16.5" customHeight="1"/>
    <row r="3776" ht="16.5" customHeight="1"/>
    <row r="3777" ht="16.5" customHeight="1"/>
    <row r="3778" ht="16.5" customHeight="1"/>
    <row r="3779" ht="16.5" customHeight="1"/>
    <row r="3780" ht="16.5" customHeight="1"/>
    <row r="3781" ht="16.5" customHeight="1"/>
    <row r="3782" ht="16.5" customHeight="1"/>
    <row r="3783" ht="16.5" customHeight="1"/>
    <row r="3784" ht="16.5" customHeight="1"/>
    <row r="3785" ht="16.5" customHeight="1"/>
    <row r="3786" ht="16.5" customHeight="1"/>
    <row r="3787" ht="16.5" customHeight="1"/>
    <row r="3788" ht="16.5" customHeight="1"/>
    <row r="3789" ht="16.5" customHeight="1"/>
    <row r="3790" ht="16.5" customHeight="1"/>
    <row r="3791" ht="16.5" customHeight="1"/>
    <row r="3792" ht="16.5" customHeight="1"/>
    <row r="3793" ht="16.5" customHeight="1"/>
    <row r="3794" ht="16.5" customHeight="1"/>
    <row r="3795" ht="16.5" customHeight="1"/>
    <row r="3796" ht="16.5" customHeight="1"/>
    <row r="3797" ht="16.5" customHeight="1"/>
    <row r="3798" ht="16.5" customHeight="1"/>
    <row r="3799" ht="16.5" customHeight="1"/>
    <row r="3800" ht="16.5" customHeight="1"/>
    <row r="3801" ht="16.5" customHeight="1"/>
    <row r="3802" ht="16.5" customHeight="1"/>
    <row r="3803" ht="16.5" customHeight="1"/>
    <row r="3804" ht="16.5" customHeight="1"/>
    <row r="3805" ht="16.5" customHeight="1"/>
    <row r="3806" ht="16.5" customHeight="1"/>
    <row r="3807" ht="16.5" customHeight="1"/>
    <row r="3808" ht="16.5" customHeight="1"/>
    <row r="3809" ht="16.5" customHeight="1"/>
    <row r="3810" ht="16.5" customHeight="1"/>
    <row r="3811" ht="16.5" customHeight="1"/>
    <row r="3812" ht="16.5" customHeight="1"/>
    <row r="3813" ht="16.5" customHeight="1"/>
    <row r="3814" ht="16.5" customHeight="1"/>
    <row r="3815" ht="16.5" customHeight="1"/>
    <row r="3816" ht="16.5" customHeight="1"/>
    <row r="3817" ht="16.5" customHeight="1"/>
    <row r="3818" ht="16.5" customHeight="1"/>
    <row r="3819" ht="16.5" customHeight="1"/>
    <row r="3820" ht="16.5" customHeight="1"/>
    <row r="3821" ht="16.5" customHeight="1"/>
    <row r="3822" ht="16.5" customHeight="1"/>
    <row r="3823" ht="16.5" customHeight="1"/>
    <row r="3824" ht="16.5" customHeight="1"/>
    <row r="3825" ht="16.5" customHeight="1"/>
    <row r="3826" ht="16.5" customHeight="1"/>
    <row r="3827" ht="16.5" customHeight="1"/>
    <row r="3828" ht="16.5" customHeight="1"/>
    <row r="3829" ht="16.5" customHeight="1"/>
    <row r="3830" ht="16.5" customHeight="1"/>
    <row r="3831" ht="16.5" customHeight="1"/>
    <row r="3832" ht="16.5" customHeight="1"/>
    <row r="3833" ht="16.5" customHeight="1"/>
    <row r="3834" ht="16.5" customHeight="1"/>
    <row r="3835" ht="16.5" customHeight="1"/>
    <row r="3836" ht="16.5" customHeight="1"/>
    <row r="3837" ht="16.5" customHeight="1"/>
    <row r="3838" ht="16.5" customHeight="1"/>
    <row r="3839" ht="16.5" customHeight="1"/>
    <row r="3840" ht="16.5" customHeight="1"/>
    <row r="3841" ht="16.5" customHeight="1"/>
    <row r="3842" ht="16.5" customHeight="1"/>
    <row r="3843" ht="16.5" customHeight="1"/>
    <row r="3844" ht="16.5" customHeight="1"/>
    <row r="3845" ht="16.5" customHeight="1"/>
    <row r="3846" ht="16.5" customHeight="1"/>
    <row r="3847" ht="16.5" customHeight="1"/>
    <row r="3848" ht="16.5" customHeight="1"/>
    <row r="3849" ht="16.5" customHeight="1"/>
    <row r="3850" ht="16.5" customHeight="1"/>
    <row r="3851" ht="16.5" customHeight="1"/>
    <row r="3852" ht="16.5" customHeight="1"/>
    <row r="3853" ht="16.5" customHeight="1"/>
    <row r="3854" ht="16.5" customHeight="1"/>
    <row r="3855" ht="16.5" customHeight="1"/>
    <row r="3856" ht="16.5" customHeight="1"/>
    <row r="3857" ht="16.5" customHeight="1"/>
    <row r="3858" ht="16.5" customHeight="1"/>
    <row r="3859" ht="16.5" customHeight="1"/>
    <row r="3860" ht="16.5" customHeight="1"/>
    <row r="3861" ht="16.5" customHeight="1"/>
    <row r="3862" ht="16.5" customHeight="1"/>
    <row r="3863" ht="16.5" customHeight="1"/>
    <row r="3864" ht="16.5" customHeight="1"/>
    <row r="3865" ht="16.5" customHeight="1"/>
    <row r="3866" ht="16.5" customHeight="1"/>
    <row r="3867" ht="16.5" customHeight="1"/>
    <row r="3868" ht="16.5" customHeight="1"/>
    <row r="3869" ht="16.5" customHeight="1"/>
    <row r="3870" ht="16.5" customHeight="1"/>
    <row r="3871" ht="16.5" customHeight="1"/>
    <row r="3872" ht="16.5" customHeight="1"/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ht="16.5" customHeight="1"/>
    <row r="3890" ht="16.5" customHeight="1"/>
    <row r="3891" ht="16.5" customHeight="1"/>
    <row r="3892" ht="16.5" customHeight="1"/>
    <row r="3893" ht="16.5" customHeight="1"/>
    <row r="3894" ht="16.5" customHeight="1"/>
    <row r="3895" ht="16.5" customHeight="1"/>
    <row r="3896" ht="16.5" customHeight="1"/>
    <row r="3897" ht="16.5" customHeight="1"/>
    <row r="3898" ht="16.5" customHeight="1"/>
    <row r="3899" ht="16.5" customHeight="1"/>
    <row r="3900" ht="16.5" customHeight="1"/>
    <row r="3901" ht="16.5" customHeight="1"/>
    <row r="3902" ht="16.5" customHeight="1"/>
    <row r="3903" ht="16.5" customHeight="1"/>
    <row r="3904" ht="16.5" customHeight="1"/>
    <row r="3905" ht="16.5" customHeight="1"/>
    <row r="3906" ht="16.5" customHeight="1"/>
    <row r="3907" ht="16.5" customHeight="1"/>
    <row r="3908" ht="16.5" customHeight="1"/>
    <row r="3909" ht="16.5" customHeight="1"/>
    <row r="3910" ht="16.5" customHeight="1"/>
    <row r="3911" ht="16.5" customHeight="1"/>
    <row r="3912" ht="16.5" customHeight="1"/>
    <row r="3913" ht="16.5" customHeight="1"/>
    <row r="3914" ht="16.5" customHeight="1"/>
    <row r="3915" ht="16.5" customHeight="1"/>
    <row r="3916" ht="16.5" customHeight="1"/>
    <row r="3917" ht="16.5" customHeight="1"/>
    <row r="3918" ht="16.5" customHeight="1"/>
    <row r="3919" ht="16.5" customHeight="1"/>
    <row r="3920" ht="16.5" customHeight="1"/>
    <row r="3921" ht="16.5" customHeight="1"/>
    <row r="3922" ht="16.5" customHeight="1"/>
    <row r="3923" ht="16.5" customHeight="1"/>
    <row r="3924" ht="16.5" customHeight="1"/>
    <row r="3925" ht="16.5" customHeight="1"/>
    <row r="3926" ht="16.5" customHeight="1"/>
    <row r="3927" ht="16.5" customHeight="1"/>
    <row r="3928" ht="16.5" customHeight="1"/>
    <row r="3929" ht="16.5" customHeight="1"/>
    <row r="3930" ht="16.5" customHeight="1"/>
    <row r="3931" ht="16.5" customHeight="1"/>
    <row r="3932" ht="16.5" customHeight="1"/>
    <row r="3933" ht="16.5" customHeight="1"/>
    <row r="3934" ht="16.5" customHeight="1"/>
    <row r="3935" ht="16.5" customHeight="1"/>
    <row r="3936" ht="16.5" customHeight="1"/>
    <row r="3937" ht="16.5" customHeight="1"/>
    <row r="3938" ht="16.5" customHeight="1"/>
    <row r="3939" ht="16.5" customHeight="1"/>
    <row r="3940" ht="16.5" customHeight="1"/>
    <row r="3941" ht="16.5" customHeight="1"/>
    <row r="3942" ht="16.5" customHeight="1"/>
    <row r="3943" ht="16.5" customHeight="1"/>
    <row r="3944" ht="16.5" customHeight="1"/>
    <row r="3945" ht="16.5" customHeight="1"/>
    <row r="3946" ht="16.5" customHeight="1"/>
    <row r="3947" ht="16.5" customHeight="1"/>
    <row r="3948" ht="16.5" customHeight="1"/>
    <row r="3949" ht="16.5" customHeight="1"/>
    <row r="3950" ht="16.5" customHeight="1"/>
    <row r="3951" ht="16.5" customHeight="1"/>
    <row r="3952" ht="16.5" customHeight="1"/>
    <row r="3953" ht="16.5" customHeight="1"/>
    <row r="3954" ht="16.5" customHeight="1"/>
    <row r="3955" ht="16.5" customHeight="1"/>
    <row r="3956" ht="16.5" customHeight="1"/>
    <row r="3957" ht="16.5" customHeight="1"/>
    <row r="3958" ht="16.5" customHeight="1"/>
    <row r="3959" ht="16.5" customHeight="1"/>
    <row r="3960" ht="16.5" customHeight="1"/>
    <row r="3961" ht="16.5" customHeight="1"/>
    <row r="3962" ht="16.5" customHeight="1"/>
    <row r="3963" ht="16.5" customHeight="1"/>
    <row r="3964" ht="16.5" customHeight="1"/>
    <row r="3965" ht="16.5" customHeight="1"/>
    <row r="3966" ht="16.5" customHeight="1"/>
    <row r="3967" ht="16.5" customHeight="1"/>
    <row r="3968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ht="16.5" customHeight="1"/>
    <row r="3986" ht="16.5" customHeight="1"/>
    <row r="3987" ht="16.5" customHeight="1"/>
    <row r="3988" ht="16.5" customHeight="1"/>
    <row r="3989" ht="16.5" customHeight="1"/>
    <row r="3990" ht="16.5" customHeight="1"/>
    <row r="3991" ht="16.5" customHeight="1"/>
    <row r="3992" ht="16.5" customHeight="1"/>
    <row r="3993" ht="16.5" customHeight="1"/>
    <row r="3994" ht="16.5" customHeight="1"/>
    <row r="3995" ht="16.5" customHeight="1"/>
    <row r="3996" ht="16.5" customHeight="1"/>
    <row r="3997" ht="16.5" customHeight="1"/>
    <row r="3998" ht="16.5" customHeight="1"/>
    <row r="3999" ht="16.5" customHeight="1"/>
    <row r="4000" ht="16.5" customHeight="1"/>
    <row r="4001" ht="16.5" customHeight="1"/>
    <row r="4002" ht="16.5" customHeight="1"/>
    <row r="4003" ht="16.5" customHeight="1"/>
    <row r="4004" ht="16.5" customHeight="1"/>
    <row r="4005" ht="16.5" customHeight="1"/>
    <row r="4006" ht="16.5" customHeight="1"/>
    <row r="4007" ht="16.5" customHeight="1"/>
    <row r="4008" ht="16.5" customHeight="1"/>
    <row r="4009" ht="16.5" customHeight="1"/>
    <row r="4010" ht="16.5" customHeight="1"/>
    <row r="4011" ht="16.5" customHeight="1"/>
    <row r="4012" ht="16.5" customHeight="1"/>
    <row r="4013" ht="16.5" customHeight="1"/>
    <row r="4014" ht="16.5" customHeight="1"/>
    <row r="4015" ht="16.5" customHeight="1"/>
    <row r="4016" ht="16.5" customHeight="1"/>
    <row r="4017" ht="16.5" customHeight="1"/>
    <row r="4018" ht="16.5" customHeight="1"/>
    <row r="4019" ht="16.5" customHeight="1"/>
    <row r="4020" ht="16.5" customHeight="1"/>
    <row r="4021" ht="16.5" customHeight="1"/>
    <row r="4022" ht="16.5" customHeight="1"/>
    <row r="4023" ht="16.5" customHeight="1"/>
    <row r="4024" ht="16.5" customHeight="1"/>
    <row r="4025" ht="16.5" customHeight="1"/>
    <row r="4026" ht="16.5" customHeight="1"/>
    <row r="4027" ht="16.5" customHeight="1"/>
    <row r="4028" ht="16.5" customHeight="1"/>
    <row r="4029" ht="16.5" customHeight="1"/>
    <row r="4030" ht="16.5" customHeight="1"/>
    <row r="4031" ht="16.5" customHeight="1"/>
    <row r="4032" ht="16.5" customHeight="1"/>
    <row r="4033" ht="16.5" customHeight="1"/>
    <row r="4034" ht="16.5" customHeight="1"/>
    <row r="4035" ht="16.5" customHeight="1"/>
    <row r="4036" ht="16.5" customHeight="1"/>
    <row r="4037" ht="16.5" customHeight="1"/>
    <row r="4038" ht="16.5" customHeight="1"/>
    <row r="4039" ht="16.5" customHeight="1"/>
    <row r="4040" ht="16.5" customHeight="1"/>
    <row r="4041" ht="16.5" customHeight="1"/>
    <row r="4042" ht="16.5" customHeight="1"/>
    <row r="4043" ht="16.5" customHeight="1"/>
    <row r="4044" ht="16.5" customHeight="1"/>
    <row r="4045" ht="16.5" customHeight="1"/>
    <row r="4046" ht="16.5" customHeight="1"/>
    <row r="4047" ht="16.5" customHeight="1"/>
    <row r="4048" ht="16.5" customHeight="1"/>
    <row r="4049" ht="16.5" customHeight="1"/>
    <row r="4050" ht="16.5" customHeight="1"/>
    <row r="4051" ht="16.5" customHeight="1"/>
    <row r="4052" ht="16.5" customHeight="1"/>
    <row r="4053" ht="16.5" customHeight="1"/>
    <row r="4054" ht="16.5" customHeight="1"/>
    <row r="4055" ht="16.5" customHeight="1"/>
    <row r="4056" ht="16.5" customHeight="1"/>
    <row r="4057" ht="16.5" customHeight="1"/>
    <row r="4058" ht="16.5" customHeight="1"/>
    <row r="4059" ht="16.5" customHeight="1"/>
    <row r="4060" ht="16.5" customHeight="1"/>
    <row r="4061" ht="16.5" customHeight="1"/>
    <row r="4062" ht="16.5" customHeight="1"/>
    <row r="4063" ht="16.5" customHeight="1"/>
    <row r="4064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ht="16.5" customHeight="1"/>
    <row r="4082" ht="16.5" customHeight="1"/>
    <row r="4083" ht="16.5" customHeight="1"/>
    <row r="4084" ht="16.5" customHeight="1"/>
    <row r="4085" ht="16.5" customHeight="1"/>
    <row r="4086" ht="16.5" customHeight="1"/>
    <row r="4087" ht="16.5" customHeight="1"/>
    <row r="4088" ht="16.5" customHeight="1"/>
    <row r="4089" ht="16.5" customHeight="1"/>
    <row r="4090" ht="16.5" customHeight="1"/>
    <row r="4091" ht="16.5" customHeight="1"/>
    <row r="4092" ht="16.5" customHeight="1"/>
    <row r="4093" ht="16.5" customHeight="1"/>
    <row r="4094" ht="16.5" customHeight="1"/>
    <row r="4095" ht="16.5" customHeight="1"/>
    <row r="4096" ht="16.5" customHeight="1"/>
    <row r="4097" ht="16.5" customHeight="1"/>
    <row r="4098" ht="16.5" customHeight="1"/>
    <row r="4099" ht="16.5" customHeight="1"/>
    <row r="4100" ht="16.5" customHeight="1"/>
    <row r="4101" ht="16.5" customHeight="1"/>
    <row r="4102" ht="16.5" customHeight="1"/>
    <row r="4103" ht="16.5" customHeight="1"/>
    <row r="4104" ht="16.5" customHeight="1"/>
    <row r="4105" ht="16.5" customHeight="1"/>
    <row r="4106" ht="16.5" customHeight="1"/>
    <row r="4107" ht="16.5" customHeight="1"/>
    <row r="4108" ht="16.5" customHeight="1"/>
    <row r="4109" ht="16.5" customHeight="1"/>
    <row r="4110" ht="16.5" customHeight="1"/>
    <row r="4111" ht="16.5" customHeight="1"/>
    <row r="4112" ht="16.5" customHeight="1"/>
    <row r="4113" ht="16.5" customHeight="1"/>
    <row r="4114" ht="16.5" customHeight="1"/>
    <row r="4115" ht="16.5" customHeight="1"/>
    <row r="4116" ht="16.5" customHeight="1"/>
    <row r="4117" ht="16.5" customHeight="1"/>
    <row r="4118" ht="16.5" customHeight="1"/>
    <row r="4119" ht="16.5" customHeight="1"/>
    <row r="4120" ht="16.5" customHeight="1"/>
    <row r="4121" ht="16.5" customHeight="1"/>
    <row r="4122" ht="16.5" customHeight="1"/>
    <row r="4123" ht="16.5" customHeight="1"/>
    <row r="4124" ht="16.5" customHeight="1"/>
    <row r="4125" ht="16.5" customHeight="1"/>
    <row r="4126" ht="16.5" customHeight="1"/>
    <row r="4127" ht="16.5" customHeight="1"/>
    <row r="4128" ht="16.5" customHeight="1"/>
    <row r="4129" ht="16.5" customHeight="1"/>
    <row r="4130" ht="16.5" customHeight="1"/>
    <row r="4131" ht="16.5" customHeight="1"/>
    <row r="4132" ht="16.5" customHeight="1"/>
    <row r="4133" ht="16.5" customHeight="1"/>
    <row r="4134" ht="16.5" customHeight="1"/>
    <row r="4135" ht="16.5" customHeight="1"/>
    <row r="4136" ht="16.5" customHeight="1"/>
    <row r="4137" ht="16.5" customHeight="1"/>
    <row r="4138" ht="16.5" customHeight="1"/>
    <row r="4139" ht="16.5" customHeight="1"/>
    <row r="4140" ht="16.5" customHeight="1"/>
    <row r="4141" ht="16.5" customHeight="1"/>
    <row r="4142" ht="16.5" customHeight="1"/>
    <row r="4143" ht="16.5" customHeight="1"/>
    <row r="4144" ht="16.5" customHeight="1"/>
    <row r="4145" ht="16.5" customHeight="1"/>
    <row r="4146" ht="16.5" customHeight="1"/>
    <row r="4147" ht="16.5" customHeight="1"/>
    <row r="4148" ht="16.5" customHeight="1"/>
    <row r="4149" ht="16.5" customHeight="1"/>
    <row r="4150" ht="16.5" customHeight="1"/>
    <row r="4151" ht="16.5" customHeight="1"/>
    <row r="4152" ht="16.5" customHeight="1"/>
    <row r="4153" ht="16.5" customHeight="1"/>
    <row r="4154" ht="16.5" customHeight="1"/>
    <row r="4155" ht="16.5" customHeight="1"/>
    <row r="4156" ht="16.5" customHeight="1"/>
    <row r="4157" ht="16.5" customHeight="1"/>
    <row r="4158" ht="16.5" customHeight="1"/>
    <row r="4159" ht="16.5" customHeight="1"/>
    <row r="4160" ht="16.5" customHeight="1"/>
    <row r="4161" ht="16.5" customHeight="1"/>
    <row r="4162" ht="16.5" customHeight="1"/>
    <row r="4163" ht="16.5" customHeight="1"/>
    <row r="4164" ht="16.5" customHeight="1"/>
    <row r="4165" ht="16.5" customHeight="1"/>
    <row r="4166" ht="16.5" customHeight="1"/>
    <row r="4167" ht="16.5" customHeight="1"/>
    <row r="4168" ht="16.5" customHeight="1"/>
    <row r="4169" ht="16.5" customHeight="1"/>
    <row r="4170" ht="16.5" customHeight="1"/>
    <row r="4171" ht="16.5" customHeight="1"/>
    <row r="4172" ht="16.5" customHeight="1"/>
    <row r="4173" ht="16.5" customHeight="1"/>
    <row r="4174" ht="16.5" customHeight="1"/>
    <row r="4175" ht="16.5" customHeight="1"/>
    <row r="4176" ht="16.5" customHeight="1"/>
    <row r="4177" ht="16.5" customHeight="1"/>
    <row r="4178" ht="16.5" customHeight="1"/>
    <row r="4179" ht="16.5" customHeight="1"/>
    <row r="4180" ht="16.5" customHeight="1"/>
    <row r="4181" ht="16.5" customHeight="1"/>
    <row r="4182" ht="16.5" customHeight="1"/>
    <row r="4183" ht="16.5" customHeight="1"/>
    <row r="4184" ht="16.5" customHeight="1"/>
    <row r="4185" ht="16.5" customHeight="1"/>
    <row r="4186" ht="16.5" customHeight="1"/>
    <row r="4187" ht="16.5" customHeight="1"/>
    <row r="4188" ht="16.5" customHeight="1"/>
    <row r="4189" ht="16.5" customHeight="1"/>
    <row r="4190" ht="16.5" customHeight="1"/>
    <row r="4191" ht="16.5" customHeight="1"/>
    <row r="4192" ht="16.5" customHeight="1"/>
    <row r="4193" ht="16.5" customHeight="1"/>
    <row r="4194" ht="16.5" customHeight="1"/>
    <row r="4195" ht="16.5" customHeight="1"/>
    <row r="4196" ht="16.5" customHeight="1"/>
    <row r="4197" ht="16.5" customHeight="1"/>
    <row r="4198" ht="16.5" customHeight="1"/>
    <row r="4199" ht="16.5" customHeight="1"/>
    <row r="4200" ht="16.5" customHeight="1"/>
    <row r="4201" ht="16.5" customHeight="1"/>
    <row r="4202" ht="16.5" customHeight="1"/>
    <row r="4203" ht="16.5" customHeight="1"/>
    <row r="4204" ht="16.5" customHeight="1"/>
    <row r="4205" ht="16.5" customHeight="1"/>
    <row r="4206" ht="16.5" customHeight="1"/>
    <row r="4207" ht="16.5" customHeight="1"/>
    <row r="4208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ht="16.5" customHeight="1"/>
    <row r="4226" ht="16.5" customHeight="1"/>
    <row r="4227" ht="16.5" customHeight="1"/>
    <row r="4228" ht="16.5" customHeight="1"/>
    <row r="4229" ht="16.5" customHeight="1"/>
    <row r="4230" ht="16.5" customHeight="1"/>
    <row r="4231" ht="16.5" customHeight="1"/>
    <row r="4232" ht="16.5" customHeight="1"/>
    <row r="4233" ht="16.5" customHeight="1"/>
    <row r="4234" ht="16.5" customHeight="1"/>
    <row r="4235" ht="16.5" customHeight="1"/>
    <row r="4236" ht="16.5" customHeight="1"/>
    <row r="4237" ht="16.5" customHeight="1"/>
    <row r="4238" ht="16.5" customHeight="1"/>
    <row r="4239" ht="16.5" customHeight="1"/>
    <row r="4240" ht="16.5" customHeight="1"/>
    <row r="4241" ht="16.5" customHeight="1"/>
    <row r="4242" ht="16.5" customHeight="1"/>
    <row r="4243" ht="16.5" customHeight="1"/>
    <row r="4244" ht="16.5" customHeight="1"/>
    <row r="4245" ht="16.5" customHeight="1"/>
    <row r="4246" ht="16.5" customHeight="1"/>
    <row r="4247" ht="16.5" customHeight="1"/>
    <row r="4248" ht="16.5" customHeight="1"/>
    <row r="4249" ht="16.5" customHeight="1"/>
    <row r="4250" ht="16.5" customHeight="1"/>
    <row r="4251" ht="16.5" customHeight="1"/>
    <row r="4252" ht="16.5" customHeight="1"/>
    <row r="4253" ht="16.5" customHeight="1"/>
    <row r="4254" ht="16.5" customHeight="1"/>
    <row r="4255" ht="16.5" customHeight="1"/>
    <row r="4256" ht="16.5" customHeight="1"/>
    <row r="4257" ht="16.5" customHeight="1"/>
    <row r="4258" ht="16.5" customHeight="1"/>
    <row r="4259" ht="16.5" customHeight="1"/>
    <row r="4260" ht="16.5" customHeight="1"/>
    <row r="4261" ht="16.5" customHeight="1"/>
    <row r="4262" ht="16.5" customHeight="1"/>
    <row r="4263" ht="16.5" customHeight="1"/>
    <row r="4264" ht="16.5" customHeight="1"/>
    <row r="4265" ht="16.5" customHeight="1"/>
    <row r="4266" ht="16.5" customHeight="1"/>
    <row r="4267" ht="16.5" customHeight="1"/>
    <row r="4268" ht="16.5" customHeight="1"/>
    <row r="4269" ht="16.5" customHeight="1"/>
    <row r="4270" ht="16.5" customHeight="1"/>
    <row r="4271" ht="16.5" customHeight="1"/>
    <row r="4272" ht="16.5" customHeight="1"/>
    <row r="4273" ht="16.5" customHeight="1"/>
    <row r="4274" ht="16.5" customHeight="1"/>
    <row r="4275" ht="16.5" customHeight="1"/>
    <row r="4276" ht="16.5" customHeight="1"/>
    <row r="4277" ht="16.5" customHeight="1"/>
    <row r="4278" ht="16.5" customHeight="1"/>
    <row r="4279" ht="16.5" customHeight="1"/>
    <row r="4280" ht="16.5" customHeight="1"/>
    <row r="4281" ht="16.5" customHeight="1"/>
    <row r="4282" ht="16.5" customHeight="1"/>
    <row r="4283" ht="16.5" customHeight="1"/>
    <row r="4284" ht="16.5" customHeight="1"/>
    <row r="4285" ht="16.5" customHeight="1"/>
    <row r="4286" ht="16.5" customHeight="1"/>
    <row r="4287" ht="16.5" customHeight="1"/>
    <row r="4288" ht="16.5" customHeight="1"/>
    <row r="4289" ht="16.5" customHeight="1"/>
    <row r="4290" ht="16.5" customHeight="1"/>
    <row r="4291" ht="16.5" customHeight="1"/>
    <row r="4292" ht="16.5" customHeight="1"/>
    <row r="4293" ht="16.5" customHeight="1"/>
    <row r="4294" ht="16.5" customHeight="1"/>
    <row r="4295" ht="16.5" customHeight="1"/>
    <row r="4296" ht="16.5" customHeight="1"/>
    <row r="4297" ht="16.5" customHeight="1"/>
    <row r="4298" ht="16.5" customHeight="1"/>
    <row r="4299" ht="16.5" customHeight="1"/>
    <row r="4300" ht="16.5" customHeight="1"/>
    <row r="4301" ht="16.5" customHeight="1"/>
    <row r="4302" ht="16.5" customHeight="1"/>
    <row r="4303" ht="16.5" customHeight="1"/>
    <row r="4304" ht="16.5" customHeight="1"/>
    <row r="4305" ht="16.5" customHeight="1"/>
    <row r="4306" ht="16.5" customHeight="1"/>
    <row r="4307" ht="16.5" customHeight="1"/>
    <row r="4308" ht="16.5" customHeight="1"/>
    <row r="4309" ht="16.5" customHeight="1"/>
    <row r="4310" ht="16.5" customHeight="1"/>
    <row r="4311" ht="16.5" customHeight="1"/>
    <row r="4312" ht="16.5" customHeight="1"/>
    <row r="4313" ht="16.5" customHeight="1"/>
    <row r="4314" ht="16.5" customHeight="1"/>
    <row r="4315" ht="16.5" customHeight="1"/>
    <row r="4316" ht="16.5" customHeight="1"/>
    <row r="4317" ht="16.5" customHeight="1"/>
    <row r="4318" ht="16.5" customHeight="1"/>
    <row r="4319" ht="16.5" customHeight="1"/>
    <row r="4320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ht="16.5" customHeight="1"/>
    <row r="4354" ht="16.5" customHeight="1"/>
    <row r="4355" ht="16.5" customHeight="1"/>
    <row r="4356" ht="16.5" customHeight="1"/>
    <row r="4357" ht="16.5" customHeight="1"/>
    <row r="4358" ht="16.5" customHeight="1"/>
    <row r="4359" ht="16.5" customHeight="1"/>
    <row r="4360" ht="16.5" customHeight="1"/>
    <row r="4361" ht="16.5" customHeight="1"/>
    <row r="4362" ht="16.5" customHeight="1"/>
    <row r="4363" ht="16.5" customHeight="1"/>
    <row r="4364" ht="16.5" customHeight="1"/>
    <row r="4365" ht="16.5" customHeight="1"/>
    <row r="4366" ht="16.5" customHeight="1"/>
    <row r="4367" ht="16.5" customHeight="1"/>
    <row r="4368" ht="16.5" customHeight="1"/>
    <row r="4369" ht="16.5" customHeight="1"/>
    <row r="4370" ht="16.5" customHeight="1"/>
    <row r="4371" ht="16.5" customHeight="1"/>
    <row r="4372" ht="16.5" customHeight="1"/>
    <row r="4373" ht="16.5" customHeight="1"/>
    <row r="4374" ht="16.5" customHeight="1"/>
    <row r="4375" ht="16.5" customHeight="1"/>
    <row r="4376" ht="16.5" customHeight="1"/>
    <row r="4377" ht="16.5" customHeight="1"/>
    <row r="4378" ht="16.5" customHeight="1"/>
    <row r="4379" ht="16.5" customHeight="1"/>
    <row r="4380" ht="16.5" customHeight="1"/>
    <row r="4381" ht="16.5" customHeight="1"/>
    <row r="4382" ht="16.5" customHeight="1"/>
    <row r="4383" ht="16.5" customHeight="1"/>
    <row r="4384" ht="16.5" customHeight="1"/>
    <row r="4385" ht="16.5" customHeight="1"/>
    <row r="4386" ht="16.5" customHeight="1"/>
    <row r="4387" ht="16.5" customHeight="1"/>
    <row r="4388" ht="16.5" customHeight="1"/>
    <row r="4389" ht="16.5" customHeight="1"/>
    <row r="4390" ht="16.5" customHeight="1"/>
    <row r="4391" ht="16.5" customHeight="1"/>
    <row r="4392" ht="16.5" customHeight="1"/>
    <row r="4393" ht="16.5" customHeight="1"/>
    <row r="4394" ht="16.5" customHeight="1"/>
    <row r="4395" ht="16.5" customHeight="1"/>
    <row r="4396" ht="16.5" customHeight="1"/>
    <row r="4397" ht="16.5" customHeight="1"/>
    <row r="4398" ht="16.5" customHeight="1"/>
    <row r="4399" ht="16.5" customHeight="1"/>
    <row r="4400" ht="16.5" customHeight="1"/>
    <row r="4401" ht="16.5" customHeight="1"/>
    <row r="4402" ht="16.5" customHeight="1"/>
    <row r="4403" ht="16.5" customHeight="1"/>
    <row r="4404" ht="16.5" customHeight="1"/>
    <row r="4405" ht="16.5" customHeight="1"/>
    <row r="4406" ht="16.5" customHeight="1"/>
    <row r="4407" ht="16.5" customHeight="1"/>
    <row r="4408" ht="16.5" customHeight="1"/>
    <row r="4409" ht="16.5" customHeight="1"/>
    <row r="4410" ht="16.5" customHeight="1"/>
    <row r="4411" ht="16.5" customHeight="1"/>
    <row r="4412" ht="16.5" customHeight="1"/>
    <row r="4413" ht="16.5" customHeight="1"/>
    <row r="4414" ht="16.5" customHeight="1"/>
    <row r="4415" ht="16.5" customHeight="1"/>
    <row r="441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ht="16.5" customHeight="1"/>
    <row r="4434" ht="16.5" customHeight="1"/>
    <row r="4435" ht="16.5" customHeight="1"/>
    <row r="4436" ht="16.5" customHeight="1"/>
    <row r="4437" ht="16.5" customHeight="1"/>
    <row r="4438" ht="16.5" customHeight="1"/>
    <row r="4439" ht="16.5" customHeight="1"/>
    <row r="4440" ht="16.5" customHeight="1"/>
    <row r="4441" ht="16.5" customHeight="1"/>
    <row r="4442" ht="16.5" customHeight="1"/>
    <row r="4443" ht="16.5" customHeight="1"/>
    <row r="4444" ht="16.5" customHeight="1"/>
    <row r="4445" ht="16.5" customHeight="1"/>
    <row r="4446" ht="16.5" customHeight="1"/>
    <row r="4447" ht="16.5" customHeight="1"/>
    <row r="4448" ht="16.5" customHeight="1"/>
    <row r="4449" ht="16.5" customHeight="1"/>
    <row r="4450" ht="16.5" customHeight="1"/>
    <row r="4451" ht="16.5" customHeight="1"/>
    <row r="4452" ht="16.5" customHeight="1"/>
    <row r="4453" ht="16.5" customHeight="1"/>
    <row r="4454" ht="16.5" customHeight="1"/>
    <row r="4455" ht="16.5" customHeight="1"/>
    <row r="4456" ht="16.5" customHeight="1"/>
    <row r="4457" ht="16.5" customHeight="1"/>
    <row r="4458" ht="16.5" customHeight="1"/>
    <row r="4459" ht="16.5" customHeight="1"/>
    <row r="4460" ht="16.5" customHeight="1"/>
    <row r="4461" ht="16.5" customHeight="1"/>
    <row r="4462" ht="16.5" customHeight="1"/>
    <row r="4463" ht="16.5" customHeight="1"/>
    <row r="4464" ht="16.5" customHeight="1"/>
    <row r="4465" ht="16.5" customHeight="1"/>
    <row r="4466" ht="16.5" customHeight="1"/>
    <row r="4467" ht="16.5" customHeight="1"/>
    <row r="4468" ht="16.5" customHeight="1"/>
    <row r="4469" ht="16.5" customHeight="1"/>
    <row r="4470" ht="16.5" customHeight="1"/>
    <row r="4471" ht="16.5" customHeight="1"/>
    <row r="4472" ht="16.5" customHeight="1"/>
    <row r="4473" ht="16.5" customHeight="1"/>
    <row r="4474" ht="16.5" customHeight="1"/>
    <row r="4475" ht="16.5" customHeight="1"/>
    <row r="4476" ht="16.5" customHeight="1"/>
    <row r="4477" ht="16.5" customHeight="1"/>
    <row r="4478" ht="16.5" customHeight="1"/>
    <row r="4479" ht="16.5" customHeight="1"/>
    <row r="4480" ht="16.5" customHeight="1"/>
    <row r="4481" ht="16.5" customHeight="1"/>
    <row r="4482" ht="16.5" customHeight="1"/>
    <row r="4483" ht="16.5" customHeight="1"/>
    <row r="4484" ht="16.5" customHeight="1"/>
    <row r="4485" ht="16.5" customHeight="1"/>
    <row r="4486" ht="16.5" customHeight="1"/>
    <row r="4487" ht="16.5" customHeight="1"/>
    <row r="4488" ht="16.5" customHeight="1"/>
    <row r="4489" ht="16.5" customHeight="1"/>
    <row r="4490" ht="16.5" customHeight="1"/>
    <row r="4491" ht="16.5" customHeight="1"/>
    <row r="4492" ht="16.5" customHeight="1"/>
    <row r="4493" ht="16.5" customHeight="1"/>
    <row r="4494" ht="16.5" customHeight="1"/>
    <row r="4495" ht="16.5" customHeight="1"/>
    <row r="449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ht="16.5" customHeight="1"/>
    <row r="4514" ht="16.5" customHeight="1"/>
    <row r="4515" ht="16.5" customHeight="1"/>
    <row r="4516" ht="16.5" customHeight="1"/>
    <row r="4517" ht="16.5" customHeight="1"/>
    <row r="4518" ht="16.5" customHeight="1"/>
    <row r="4519" ht="16.5" customHeight="1"/>
    <row r="4520" ht="16.5" customHeight="1"/>
    <row r="4521" ht="16.5" customHeight="1"/>
    <row r="4522" ht="16.5" customHeight="1"/>
    <row r="4523" ht="16.5" customHeight="1"/>
    <row r="4524" ht="16.5" customHeight="1"/>
    <row r="4525" ht="16.5" customHeight="1"/>
    <row r="4526" ht="16.5" customHeight="1"/>
    <row r="4527" ht="16.5" customHeight="1"/>
    <row r="4528" ht="16.5" customHeight="1"/>
    <row r="4529" ht="16.5" customHeight="1"/>
    <row r="4530" ht="16.5" customHeight="1"/>
    <row r="4531" ht="16.5" customHeight="1"/>
    <row r="4532" ht="16.5" customHeight="1"/>
    <row r="4533" ht="16.5" customHeight="1"/>
    <row r="4534" ht="16.5" customHeight="1"/>
    <row r="4535" ht="16.5" customHeight="1"/>
    <row r="4536" ht="16.5" customHeight="1"/>
    <row r="4537" ht="16.5" customHeight="1"/>
    <row r="4538" ht="16.5" customHeight="1"/>
    <row r="4539" ht="16.5" customHeight="1"/>
    <row r="4540" ht="16.5" customHeight="1"/>
    <row r="4541" ht="16.5" customHeight="1"/>
    <row r="4542" ht="16.5" customHeight="1"/>
    <row r="4543" ht="16.5" customHeight="1"/>
    <row r="4544" ht="16.5" customHeight="1"/>
    <row r="4545" ht="16.5" customHeight="1"/>
    <row r="4546" ht="16.5" customHeight="1"/>
    <row r="4547" ht="16.5" customHeight="1"/>
    <row r="4548" ht="16.5" customHeight="1"/>
    <row r="4549" ht="16.5" customHeight="1"/>
    <row r="4550" ht="16.5" customHeight="1"/>
    <row r="4551" ht="16.5" customHeight="1"/>
    <row r="4552" ht="16.5" customHeight="1"/>
    <row r="4553" ht="16.5" customHeight="1"/>
    <row r="4554" ht="16.5" customHeight="1"/>
    <row r="4555" ht="16.5" customHeight="1"/>
    <row r="4556" ht="16.5" customHeight="1"/>
    <row r="4557" ht="16.5" customHeight="1"/>
    <row r="4558" ht="16.5" customHeight="1"/>
    <row r="4559" ht="16.5" customHeight="1"/>
    <row r="4560" ht="16.5" customHeight="1"/>
    <row r="4561" ht="16.5" customHeight="1"/>
    <row r="4562" ht="16.5" customHeight="1"/>
    <row r="4563" ht="16.5" customHeight="1"/>
    <row r="4564" ht="16.5" customHeight="1"/>
    <row r="4565" ht="16.5" customHeight="1"/>
    <row r="4566" ht="16.5" customHeight="1"/>
    <row r="4567" ht="16.5" customHeight="1"/>
    <row r="4568" ht="16.5" customHeight="1"/>
    <row r="4569" ht="16.5" customHeight="1"/>
    <row r="4570" ht="16.5" customHeight="1"/>
    <row r="4571" ht="16.5" customHeight="1"/>
    <row r="4572" ht="16.5" customHeight="1"/>
    <row r="4573" ht="16.5" customHeight="1"/>
    <row r="4574" ht="16.5" customHeight="1"/>
    <row r="4575" ht="16.5" customHeight="1"/>
    <row r="4576" ht="16.5" customHeight="1"/>
    <row r="4577" ht="16.5" customHeight="1"/>
    <row r="4578" ht="16.5" customHeight="1"/>
    <row r="4579" ht="16.5" customHeight="1"/>
    <row r="4580" ht="16.5" customHeight="1"/>
    <row r="4581" ht="16.5" customHeight="1"/>
    <row r="4582" ht="16.5" customHeight="1"/>
    <row r="4583" ht="16.5" customHeight="1"/>
    <row r="4584" ht="16.5" customHeight="1"/>
    <row r="4585" ht="16.5" customHeight="1"/>
    <row r="4586" ht="16.5" customHeight="1"/>
    <row r="4587" ht="16.5" customHeight="1"/>
    <row r="4588" ht="16.5" customHeight="1"/>
    <row r="4589" ht="16.5" customHeight="1"/>
    <row r="4590" ht="16.5" customHeight="1"/>
    <row r="4591" ht="16.5" customHeight="1"/>
    <row r="4592" ht="16.5" customHeight="1"/>
    <row r="4593" ht="16.5" customHeight="1"/>
    <row r="4594" ht="16.5" customHeight="1"/>
    <row r="4595" ht="16.5" customHeight="1"/>
    <row r="4596" ht="16.5" customHeight="1"/>
    <row r="4597" ht="16.5" customHeight="1"/>
    <row r="4598" ht="16.5" customHeight="1"/>
    <row r="4599" ht="16.5" customHeight="1"/>
    <row r="4600" ht="16.5" customHeight="1"/>
    <row r="4601" ht="16.5" customHeight="1"/>
    <row r="4602" ht="16.5" customHeight="1"/>
    <row r="4603" ht="16.5" customHeight="1"/>
    <row r="4604" ht="16.5" customHeight="1"/>
    <row r="4605" ht="16.5" customHeight="1"/>
    <row r="4606" ht="16.5" customHeight="1"/>
    <row r="4607" ht="16.5" customHeight="1"/>
    <row r="4608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ht="16.5" customHeight="1"/>
    <row r="4626" ht="16.5" customHeight="1"/>
    <row r="4627" ht="16.5" customHeight="1"/>
    <row r="4628" ht="16.5" customHeight="1"/>
    <row r="4629" ht="16.5" customHeight="1"/>
    <row r="4630" ht="16.5" customHeight="1"/>
    <row r="4631" ht="16.5" customHeight="1"/>
    <row r="4632" ht="16.5" customHeight="1"/>
    <row r="4633" ht="16.5" customHeight="1"/>
    <row r="4634" ht="16.5" customHeight="1"/>
    <row r="4635" ht="16.5" customHeight="1"/>
    <row r="4636" ht="16.5" customHeight="1"/>
    <row r="4637" ht="16.5" customHeight="1"/>
    <row r="4638" ht="16.5" customHeight="1"/>
    <row r="4639" ht="16.5" customHeight="1"/>
    <row r="4640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ht="16.5" customHeight="1"/>
    <row r="4658" ht="16.5" customHeight="1"/>
    <row r="4659" ht="16.5" customHeight="1"/>
    <row r="4660" ht="16.5" customHeight="1"/>
    <row r="4661" ht="16.5" customHeight="1"/>
    <row r="4662" ht="16.5" customHeight="1"/>
    <row r="4663" ht="16.5" customHeight="1"/>
    <row r="4664" ht="16.5" customHeight="1"/>
    <row r="4665" ht="16.5" customHeight="1"/>
    <row r="4666" ht="16.5" customHeight="1"/>
    <row r="4667" ht="16.5" customHeight="1"/>
    <row r="4668" ht="16.5" customHeight="1"/>
    <row r="4669" ht="16.5" customHeight="1"/>
    <row r="4670" ht="16.5" customHeight="1"/>
    <row r="4671" ht="16.5" customHeight="1"/>
    <row r="4672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ht="16.5" customHeight="1"/>
    <row r="4690" ht="16.5" customHeight="1"/>
    <row r="4691" ht="16.5" customHeight="1"/>
    <row r="4692" ht="16.5" customHeight="1"/>
    <row r="4693" ht="16.5" customHeight="1"/>
    <row r="4694" ht="16.5" customHeight="1"/>
    <row r="4695" ht="16.5" customHeight="1"/>
    <row r="4696" ht="16.5" customHeight="1"/>
    <row r="4697" ht="16.5" customHeight="1"/>
    <row r="4698" ht="16.5" customHeight="1"/>
    <row r="4699" ht="16.5" customHeight="1"/>
    <row r="4700" ht="16.5" customHeight="1"/>
    <row r="4701" ht="16.5" customHeight="1"/>
    <row r="4702" ht="16.5" customHeight="1"/>
    <row r="4703" ht="16.5" customHeight="1"/>
    <row r="4704" ht="16.5" customHeight="1"/>
    <row r="4705" ht="16.5" customHeight="1"/>
    <row r="4706" ht="16.5" customHeight="1"/>
    <row r="4707" ht="16.5" customHeight="1"/>
    <row r="4708" ht="16.5" customHeight="1"/>
    <row r="4709" ht="16.5" customHeight="1"/>
    <row r="4710" ht="16.5" customHeight="1"/>
    <row r="4711" ht="16.5" customHeight="1"/>
    <row r="4712" ht="16.5" customHeight="1"/>
    <row r="4713" ht="16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  <row r="6272" ht="16.5" customHeight="1"/>
    <row r="6273" ht="16.5" customHeight="1"/>
    <row r="6274" ht="16.5" customHeight="1"/>
    <row r="6275" ht="16.5" customHeight="1"/>
    <row r="6276" ht="16.5" customHeight="1"/>
    <row r="6277" ht="16.5" customHeight="1"/>
    <row r="6278" ht="16.5" customHeight="1"/>
    <row r="6279" ht="16.5" customHeight="1"/>
    <row r="6280" ht="16.5" customHeight="1"/>
    <row r="6281" ht="16.5" customHeight="1"/>
    <row r="6282" ht="16.5" customHeight="1"/>
    <row r="6283" ht="16.5" customHeight="1"/>
    <row r="6284" ht="16.5" customHeight="1"/>
    <row r="6285" ht="16.5" customHeight="1"/>
    <row r="6286" ht="16.5" customHeight="1"/>
    <row r="6287" ht="16.5" customHeight="1"/>
    <row r="6288" ht="16.5" customHeight="1"/>
    <row r="6289" ht="16.5" customHeight="1"/>
    <row r="6290" ht="16.5" customHeight="1"/>
    <row r="6291" ht="16.5" customHeight="1"/>
    <row r="6292" ht="16.5" customHeight="1"/>
    <row r="6293" ht="16.5" customHeight="1"/>
    <row r="6294" ht="16.5" customHeight="1"/>
    <row r="6295" ht="16.5" customHeight="1"/>
    <row r="6296" ht="16.5" customHeight="1"/>
    <row r="6297" ht="16.5" customHeight="1"/>
    <row r="6298" ht="16.5" customHeight="1"/>
    <row r="6299" ht="16.5" customHeight="1"/>
    <row r="6300" ht="16.5" customHeight="1"/>
    <row r="6301" ht="16.5" customHeight="1"/>
    <row r="6302" ht="16.5" customHeight="1"/>
    <row r="6303" ht="16.5" customHeight="1"/>
    <row r="6304" ht="16.5" customHeight="1"/>
    <row r="6305" ht="16.5" customHeight="1"/>
    <row r="6306" ht="16.5" customHeight="1"/>
    <row r="6307" ht="16.5" customHeight="1"/>
    <row r="6308" ht="16.5" customHeight="1"/>
    <row r="6309" ht="16.5" customHeight="1"/>
    <row r="6310" ht="16.5" customHeight="1"/>
    <row r="6311" ht="16.5" customHeight="1"/>
    <row r="6312" ht="16.5" customHeight="1"/>
    <row r="6313" ht="16.5" customHeight="1"/>
    <row r="6314" ht="16.5" customHeight="1"/>
    <row r="6315" ht="16.5" customHeight="1"/>
    <row r="6316" ht="16.5" customHeight="1"/>
    <row r="6317" ht="16.5" customHeight="1"/>
    <row r="6318" ht="16.5" customHeight="1"/>
    <row r="6319" ht="16.5" customHeight="1"/>
    <row r="6320" ht="16.5" customHeight="1"/>
    <row r="6321" ht="16.5" customHeight="1"/>
    <row r="6322" ht="16.5" customHeight="1"/>
    <row r="6323" ht="16.5" customHeight="1"/>
    <row r="6324" ht="16.5" customHeight="1"/>
    <row r="6325" ht="16.5" customHeight="1"/>
    <row r="6326" ht="16.5" customHeight="1"/>
    <row r="6327" ht="16.5" customHeight="1"/>
    <row r="6328" ht="16.5" customHeight="1"/>
    <row r="6329" ht="16.5" customHeight="1"/>
    <row r="6330" ht="16.5" customHeight="1"/>
    <row r="6331" ht="16.5" customHeight="1"/>
    <row r="6332" ht="16.5" customHeight="1"/>
    <row r="6333" ht="16.5" customHeight="1"/>
    <row r="6334" ht="16.5" customHeight="1"/>
    <row r="6335" ht="16.5" customHeight="1"/>
    <row r="6336" ht="16.5" customHeight="1"/>
    <row r="6337" ht="16.5" customHeight="1"/>
    <row r="6338" ht="16.5" customHeight="1"/>
    <row r="6339" ht="16.5" customHeight="1"/>
    <row r="6340" ht="16.5" customHeight="1"/>
    <row r="6341" ht="16.5" customHeight="1"/>
    <row r="6342" ht="16.5" customHeight="1"/>
    <row r="6343" ht="16.5" customHeight="1"/>
    <row r="6344" ht="16.5" customHeight="1"/>
    <row r="6345" ht="16.5" customHeight="1"/>
    <row r="6346" ht="16.5" customHeight="1"/>
    <row r="6347" ht="16.5" customHeight="1"/>
    <row r="6348" ht="16.5" customHeight="1"/>
    <row r="6349" ht="16.5" customHeight="1"/>
    <row r="6350" ht="16.5" customHeight="1"/>
    <row r="6351" ht="16.5" customHeight="1"/>
    <row r="6352" ht="16.5" customHeight="1"/>
    <row r="6353" ht="16.5" customHeight="1"/>
    <row r="6354" ht="16.5" customHeight="1"/>
    <row r="6355" ht="16.5" customHeight="1"/>
    <row r="6356" ht="16.5" customHeight="1"/>
    <row r="6357" ht="16.5" customHeight="1"/>
    <row r="6358" ht="16.5" customHeight="1"/>
    <row r="6359" ht="16.5" customHeight="1"/>
    <row r="6360" ht="16.5" customHeight="1"/>
    <row r="6361" ht="16.5" customHeight="1"/>
    <row r="6362" ht="16.5" customHeight="1"/>
    <row r="6363" ht="16.5" customHeight="1"/>
    <row r="6364" ht="16.5" customHeight="1"/>
    <row r="6365" ht="16.5" customHeight="1"/>
    <row r="6366" ht="16.5" customHeight="1"/>
    <row r="6367" ht="16.5" customHeight="1"/>
    <row r="6368" ht="16.5" customHeight="1"/>
    <row r="6369" ht="16.5" customHeight="1"/>
    <row r="6370" ht="16.5" customHeight="1"/>
    <row r="6371" ht="16.5" customHeight="1"/>
    <row r="6372" ht="16.5" customHeight="1"/>
    <row r="6373" ht="16.5" customHeight="1"/>
    <row r="6374" ht="16.5" customHeight="1"/>
    <row r="6375" ht="16.5" customHeight="1"/>
    <row r="6376" ht="16.5" customHeight="1"/>
    <row r="6377" ht="16.5" customHeight="1"/>
    <row r="6378" ht="16.5" customHeight="1"/>
    <row r="6379" ht="16.5" customHeight="1"/>
    <row r="6380" ht="16.5" customHeight="1"/>
    <row r="6381" ht="16.5" customHeight="1"/>
    <row r="6382" ht="16.5" customHeight="1"/>
    <row r="6383" ht="16.5" customHeight="1"/>
    <row r="6384" ht="16.5" customHeight="1"/>
    <row r="6385" ht="16.5" customHeight="1"/>
    <row r="6386" ht="16.5" customHeight="1"/>
    <row r="6387" ht="16.5" customHeight="1"/>
    <row r="6388" ht="16.5" customHeight="1"/>
    <row r="6389" ht="16.5" customHeight="1"/>
    <row r="6390" ht="16.5" customHeight="1"/>
    <row r="6391" ht="16.5" customHeight="1"/>
    <row r="6392" ht="16.5" customHeight="1"/>
    <row r="6393" ht="16.5" customHeight="1"/>
    <row r="6394" ht="16.5" customHeight="1"/>
    <row r="6395" ht="16.5" customHeight="1"/>
    <row r="6396" ht="16.5" customHeight="1"/>
    <row r="6397" ht="16.5" customHeight="1"/>
    <row r="6398" ht="16.5" customHeight="1"/>
    <row r="6399" ht="16.5" customHeight="1"/>
    <row r="6400" ht="16.5" customHeight="1"/>
    <row r="6401" ht="16.5" customHeight="1"/>
    <row r="6402" ht="16.5" customHeight="1"/>
    <row r="6403" ht="16.5" customHeight="1"/>
    <row r="6404" ht="16.5" customHeight="1"/>
    <row r="6405" ht="16.5" customHeight="1"/>
    <row r="6406" ht="16.5" customHeight="1"/>
    <row r="6407" ht="16.5" customHeight="1"/>
    <row r="6408" ht="16.5" customHeight="1"/>
    <row r="6409" ht="16.5" customHeight="1"/>
    <row r="6410" ht="16.5" customHeight="1"/>
    <row r="6411" ht="16.5" customHeight="1"/>
    <row r="6412" ht="16.5" customHeight="1"/>
    <row r="6413" ht="16.5" customHeight="1"/>
    <row r="6414" ht="16.5" customHeight="1"/>
    <row r="6415" ht="16.5" customHeight="1"/>
    <row r="6416" ht="16.5" customHeight="1"/>
    <row r="6417" ht="16.5" customHeight="1"/>
    <row r="6418" ht="16.5" customHeight="1"/>
    <row r="6419" ht="16.5" customHeight="1"/>
    <row r="6420" ht="16.5" customHeight="1"/>
    <row r="6421" ht="16.5" customHeight="1"/>
    <row r="6422" ht="16.5" customHeight="1"/>
    <row r="6423" ht="16.5" customHeight="1"/>
    <row r="6424" ht="16.5" customHeight="1"/>
    <row r="6425" ht="16.5" customHeight="1"/>
    <row r="6426" ht="16.5" customHeight="1"/>
    <row r="6427" ht="16.5" customHeight="1"/>
    <row r="6428" ht="16.5" customHeight="1"/>
    <row r="6429" ht="16.5" customHeight="1"/>
    <row r="6430" ht="16.5" customHeight="1"/>
    <row r="6431" ht="16.5" customHeight="1"/>
    <row r="6432" ht="16.5" customHeight="1"/>
    <row r="6433" ht="16.5" customHeight="1"/>
    <row r="6434" ht="16.5" customHeight="1"/>
    <row r="6435" ht="16.5" customHeight="1"/>
    <row r="6436" ht="16.5" customHeight="1"/>
    <row r="6437" ht="16.5" customHeight="1"/>
    <row r="6438" ht="16.5" customHeight="1"/>
    <row r="6439" ht="16.5" customHeight="1"/>
    <row r="6440" ht="16.5" customHeight="1"/>
    <row r="6441" ht="16.5" customHeight="1"/>
    <row r="6442" ht="16.5" customHeight="1"/>
    <row r="6443" ht="16.5" customHeight="1"/>
    <row r="6444" ht="16.5" customHeight="1"/>
    <row r="6445" ht="16.5" customHeight="1"/>
    <row r="6446" ht="16.5" customHeight="1"/>
    <row r="6447" ht="16.5" customHeight="1"/>
    <row r="6448" ht="16.5" customHeight="1"/>
    <row r="6449" ht="16.5" customHeight="1"/>
    <row r="6450" ht="16.5" customHeight="1"/>
    <row r="6451" ht="16.5" customHeight="1"/>
    <row r="6452" ht="16.5" customHeight="1"/>
    <row r="6453" ht="16.5" customHeight="1"/>
    <row r="6454" ht="16.5" customHeight="1"/>
    <row r="6455" ht="16.5" customHeight="1"/>
    <row r="6456" ht="16.5" customHeight="1"/>
    <row r="6457" ht="16.5" customHeight="1"/>
    <row r="6458" ht="16.5" customHeight="1"/>
    <row r="6459" ht="16.5" customHeight="1"/>
    <row r="6460" ht="16.5" customHeight="1"/>
    <row r="6461" ht="16.5" customHeight="1"/>
    <row r="6462" ht="16.5" customHeight="1"/>
    <row r="6463" ht="16.5" customHeight="1"/>
    <row r="6464" ht="16.5" customHeight="1"/>
    <row r="6465" ht="16.5" customHeight="1"/>
    <row r="6466" ht="16.5" customHeight="1"/>
    <row r="6467" ht="16.5" customHeight="1"/>
    <row r="6468" ht="16.5" customHeight="1"/>
    <row r="6469" ht="16.5" customHeight="1"/>
    <row r="6470" ht="16.5" customHeight="1"/>
    <row r="6471" ht="16.5" customHeight="1"/>
    <row r="6472" ht="16.5" customHeight="1"/>
    <row r="6473" ht="16.5" customHeight="1"/>
    <row r="6474" ht="16.5" customHeight="1"/>
    <row r="6475" ht="16.5" customHeight="1"/>
    <row r="6476" ht="16.5" customHeight="1"/>
    <row r="6477" ht="16.5" customHeight="1"/>
    <row r="6478" ht="16.5" customHeight="1"/>
    <row r="6479" ht="16.5" customHeight="1"/>
    <row r="6480" ht="16.5" customHeight="1"/>
    <row r="6481" ht="16.5" customHeight="1"/>
    <row r="6482" ht="16.5" customHeight="1"/>
    <row r="6483" ht="16.5" customHeight="1"/>
    <row r="6484" ht="16.5" customHeight="1"/>
    <row r="6485" ht="16.5" customHeight="1"/>
    <row r="6486" ht="16.5" customHeight="1"/>
    <row r="6487" ht="16.5" customHeight="1"/>
    <row r="6488" ht="16.5" customHeight="1"/>
    <row r="6489" ht="16.5" customHeight="1"/>
    <row r="6490" ht="16.5" customHeight="1"/>
    <row r="6491" ht="16.5" customHeight="1"/>
    <row r="6492" ht="16.5" customHeight="1"/>
    <row r="6493" ht="16.5" customHeight="1"/>
    <row r="6494" ht="16.5" customHeight="1"/>
    <row r="6495" ht="16.5" customHeight="1"/>
    <row r="6496" ht="16.5" customHeight="1"/>
    <row r="6497" ht="16.5" customHeight="1"/>
    <row r="6498" ht="16.5" customHeight="1"/>
    <row r="6499" ht="16.5" customHeight="1"/>
    <row r="6500" ht="16.5" customHeight="1"/>
    <row r="6501" ht="16.5" customHeight="1"/>
    <row r="6502" ht="16.5" customHeight="1"/>
    <row r="6503" ht="16.5" customHeight="1"/>
    <row r="6504" ht="16.5" customHeight="1"/>
    <row r="6505" ht="16.5" customHeight="1"/>
    <row r="6506" ht="16.5" customHeight="1"/>
    <row r="6507" ht="16.5" customHeight="1"/>
    <row r="6508" ht="16.5" customHeight="1"/>
    <row r="6509" ht="16.5" customHeight="1"/>
    <row r="6510" ht="16.5" customHeight="1"/>
    <row r="6511" ht="16.5" customHeight="1"/>
    <row r="6512" ht="16.5" customHeight="1"/>
    <row r="6513" ht="16.5" customHeight="1"/>
    <row r="6514" ht="16.5" customHeight="1"/>
    <row r="6515" ht="16.5" customHeight="1"/>
    <row r="6516" ht="16.5" customHeight="1"/>
    <row r="6517" ht="16.5" customHeight="1"/>
    <row r="6518" ht="16.5" customHeight="1"/>
    <row r="6519" ht="16.5" customHeight="1"/>
    <row r="6520" ht="16.5" customHeight="1"/>
    <row r="6521" ht="16.5" customHeight="1"/>
    <row r="6522" ht="16.5" customHeight="1"/>
    <row r="6523" ht="16.5" customHeight="1"/>
    <row r="6524" ht="16.5" customHeight="1"/>
    <row r="6525" ht="16.5" customHeight="1"/>
    <row r="6526" ht="16.5" customHeight="1"/>
    <row r="6527" ht="16.5" customHeight="1"/>
    <row r="6528" ht="16.5" customHeight="1"/>
    <row r="6529" ht="16.5" customHeight="1"/>
    <row r="6530" ht="16.5" customHeight="1"/>
    <row r="6531" ht="16.5" customHeight="1"/>
    <row r="6532" ht="16.5" customHeight="1"/>
    <row r="6533" ht="16.5" customHeight="1"/>
    <row r="6534" ht="16.5" customHeight="1"/>
    <row r="6535" ht="16.5" customHeight="1"/>
    <row r="6536" ht="16.5" customHeight="1"/>
    <row r="6537" ht="16.5" customHeight="1"/>
    <row r="6538" ht="16.5" customHeight="1"/>
    <row r="6539" ht="16.5" customHeight="1"/>
    <row r="6540" ht="16.5" customHeight="1"/>
    <row r="6541" ht="16.5" customHeight="1"/>
    <row r="6542" ht="16.5" customHeight="1"/>
    <row r="6543" ht="16.5" customHeight="1"/>
    <row r="6544" ht="16.5" customHeight="1"/>
    <row r="6545" ht="16.5" customHeight="1"/>
    <row r="6546" ht="16.5" customHeight="1"/>
    <row r="6547" ht="16.5" customHeight="1"/>
    <row r="6548" ht="16.5" customHeight="1"/>
    <row r="6549" ht="16.5" customHeight="1"/>
    <row r="6550" ht="16.5" customHeight="1"/>
    <row r="6551" ht="16.5" customHeight="1"/>
    <row r="6552" ht="16.5" customHeight="1"/>
    <row r="6553" ht="16.5" customHeight="1"/>
    <row r="6554" ht="16.5" customHeight="1"/>
    <row r="6555" ht="16.5" customHeight="1"/>
    <row r="6556" ht="16.5" customHeight="1"/>
    <row r="6557" ht="16.5" customHeight="1"/>
    <row r="6558" ht="16.5" customHeight="1"/>
    <row r="6559" ht="16.5" customHeight="1"/>
    <row r="6560" ht="16.5" customHeight="1"/>
    <row r="6561" ht="16.5" customHeight="1"/>
    <row r="6562" ht="16.5" customHeight="1"/>
    <row r="6563" ht="16.5" customHeight="1"/>
    <row r="6564" ht="16.5" customHeight="1"/>
    <row r="6565" ht="16.5" customHeight="1"/>
    <row r="6566" ht="16.5" customHeight="1"/>
    <row r="6567" ht="16.5" customHeight="1"/>
    <row r="6568" ht="16.5" customHeight="1"/>
    <row r="6569" ht="16.5" customHeight="1"/>
    <row r="6570" ht="16.5" customHeight="1"/>
    <row r="6571" ht="16.5" customHeight="1"/>
    <row r="6572" ht="16.5" customHeight="1"/>
    <row r="6573" ht="16.5" customHeight="1"/>
    <row r="6574" ht="16.5" customHeight="1"/>
    <row r="6575" ht="16.5" customHeight="1"/>
    <row r="6576" ht="16.5" customHeight="1"/>
    <row r="6577" ht="16.5" customHeight="1"/>
    <row r="6578" ht="16.5" customHeight="1"/>
    <row r="6579" ht="16.5" customHeight="1"/>
    <row r="6580" ht="16.5" customHeight="1"/>
    <row r="6581" ht="16.5" customHeight="1"/>
    <row r="6582" ht="16.5" customHeight="1"/>
    <row r="6583" ht="16.5" customHeight="1"/>
    <row r="6584" ht="16.5" customHeight="1"/>
    <row r="6585" ht="16.5" customHeight="1"/>
    <row r="6586" ht="16.5" customHeight="1"/>
    <row r="6587" ht="16.5" customHeight="1"/>
    <row r="6588" ht="16.5" customHeight="1"/>
    <row r="6589" ht="16.5" customHeight="1"/>
    <row r="6590" ht="16.5" customHeight="1"/>
    <row r="6591" ht="16.5" customHeight="1"/>
    <row r="6592" ht="16.5" customHeight="1"/>
    <row r="6593" ht="16.5" customHeight="1"/>
    <row r="6594" ht="16.5" customHeight="1"/>
    <row r="6595" ht="16.5" customHeight="1"/>
    <row r="6596" ht="16.5" customHeight="1"/>
    <row r="6597" ht="16.5" customHeight="1"/>
    <row r="6598" ht="16.5" customHeight="1"/>
    <row r="6599" ht="16.5" customHeight="1"/>
    <row r="6600" ht="16.5" customHeight="1"/>
    <row r="6601" ht="16.5" customHeight="1"/>
    <row r="6602" ht="16.5" customHeight="1"/>
    <row r="6603" ht="16.5" customHeight="1"/>
    <row r="6604" ht="16.5" customHeight="1"/>
    <row r="6605" ht="16.5" customHeight="1"/>
    <row r="6606" ht="16.5" customHeight="1"/>
    <row r="6607" ht="16.5" customHeight="1"/>
    <row r="6608" ht="16.5" customHeight="1"/>
    <row r="6609" ht="16.5" customHeight="1"/>
    <row r="6610" ht="16.5" customHeight="1"/>
    <row r="6611" ht="16.5" customHeight="1"/>
    <row r="6612" ht="16.5" customHeight="1"/>
    <row r="6613" ht="16.5" customHeight="1"/>
    <row r="6614" ht="16.5" customHeight="1"/>
    <row r="6615" ht="16.5" customHeight="1"/>
    <row r="6616" ht="16.5" customHeight="1"/>
    <row r="6617" ht="16.5" customHeight="1"/>
    <row r="6618" ht="16.5" customHeight="1"/>
    <row r="6619" ht="16.5" customHeight="1"/>
    <row r="6620" ht="16.5" customHeight="1"/>
    <row r="6621" ht="16.5" customHeight="1"/>
    <row r="6622" ht="16.5" customHeight="1"/>
    <row r="6623" ht="16.5" customHeight="1"/>
    <row r="6624" ht="16.5" customHeight="1"/>
    <row r="6625" ht="16.5" customHeight="1"/>
    <row r="6626" ht="16.5" customHeight="1"/>
    <row r="6627" ht="16.5" customHeight="1"/>
    <row r="6628" ht="16.5" customHeight="1"/>
    <row r="6629" ht="16.5" customHeight="1"/>
    <row r="6630" ht="16.5" customHeight="1"/>
    <row r="6631" ht="16.5" customHeight="1"/>
    <row r="6632" ht="16.5" customHeight="1"/>
    <row r="6633" ht="16.5" customHeight="1"/>
    <row r="6634" ht="16.5" customHeight="1"/>
    <row r="6635" ht="16.5" customHeight="1"/>
    <row r="6636" ht="16.5" customHeight="1"/>
    <row r="6637" ht="16.5" customHeight="1"/>
    <row r="6638" ht="16.5" customHeight="1"/>
    <row r="6639" ht="16.5" customHeight="1"/>
    <row r="6640" ht="16.5" customHeight="1"/>
    <row r="6641" ht="16.5" customHeight="1"/>
    <row r="6642" ht="16.5" customHeight="1"/>
    <row r="6643" ht="16.5" customHeight="1"/>
    <row r="6644" ht="16.5" customHeight="1"/>
    <row r="6645" ht="16.5" customHeight="1"/>
    <row r="6646" ht="16.5" customHeight="1"/>
    <row r="6647" ht="16.5" customHeight="1"/>
    <row r="6648" ht="16.5" customHeight="1"/>
    <row r="6649" ht="16.5" customHeight="1"/>
    <row r="6650" ht="16.5" customHeight="1"/>
    <row r="6651" ht="16.5" customHeight="1"/>
    <row r="6652" ht="16.5" customHeight="1"/>
    <row r="6653" ht="16.5" customHeight="1"/>
    <row r="6654" ht="16.5" customHeight="1"/>
    <row r="6655" ht="16.5" customHeight="1"/>
    <row r="6656" ht="16.5" customHeight="1"/>
    <row r="6657" ht="16.5" customHeight="1"/>
    <row r="6658" ht="16.5" customHeight="1"/>
    <row r="6659" ht="16.5" customHeight="1"/>
    <row r="6660" ht="16.5" customHeight="1"/>
    <row r="6661" ht="16.5" customHeight="1"/>
    <row r="6662" ht="16.5" customHeight="1"/>
    <row r="6663" ht="16.5" customHeight="1"/>
    <row r="6664" ht="16.5" customHeight="1"/>
    <row r="6665" ht="16.5" customHeight="1"/>
    <row r="6666" ht="16.5" customHeight="1"/>
    <row r="6667" ht="16.5" customHeight="1"/>
    <row r="6668" ht="16.5" customHeight="1"/>
    <row r="6669" ht="16.5" customHeight="1"/>
    <row r="6670" ht="16.5" customHeight="1"/>
    <row r="6671" ht="16.5" customHeight="1"/>
    <row r="6672" ht="16.5" customHeight="1"/>
    <row r="6673" ht="16.5" customHeight="1"/>
    <row r="6674" ht="16.5" customHeight="1"/>
    <row r="6675" ht="16.5" customHeight="1"/>
    <row r="6676" ht="16.5" customHeight="1"/>
    <row r="6677" ht="16.5" customHeight="1"/>
    <row r="6678" ht="16.5" customHeight="1"/>
    <row r="6679" ht="16.5" customHeight="1"/>
    <row r="6680" ht="16.5" customHeight="1"/>
    <row r="6681" ht="16.5" customHeight="1"/>
    <row r="6682" ht="16.5" customHeight="1"/>
    <row r="6683" ht="16.5" customHeight="1"/>
    <row r="6684" ht="16.5" customHeight="1"/>
    <row r="6685" ht="16.5" customHeight="1"/>
    <row r="6686" ht="16.5" customHeight="1"/>
    <row r="6687" ht="16.5" customHeight="1"/>
    <row r="6688" ht="16.5" customHeight="1"/>
    <row r="6689" ht="16.5" customHeight="1"/>
    <row r="6690" ht="16.5" customHeight="1"/>
    <row r="6691" ht="16.5" customHeight="1"/>
    <row r="6692" ht="16.5" customHeight="1"/>
    <row r="6693" ht="16.5" customHeight="1"/>
    <row r="6694" ht="16.5" customHeight="1"/>
    <row r="6695" ht="16.5" customHeight="1"/>
    <row r="6696" ht="16.5" customHeight="1"/>
    <row r="6697" ht="16.5" customHeight="1"/>
    <row r="6698" ht="16.5" customHeight="1"/>
    <row r="6699" ht="16.5" customHeight="1"/>
    <row r="6700" ht="16.5" customHeight="1"/>
    <row r="6701" ht="16.5" customHeight="1"/>
    <row r="6702" ht="16.5" customHeight="1"/>
    <row r="6703" ht="16.5" customHeight="1"/>
    <row r="6704" ht="16.5" customHeight="1"/>
    <row r="6705" ht="16.5" customHeight="1"/>
    <row r="6706" ht="16.5" customHeight="1"/>
    <row r="6707" ht="16.5" customHeight="1"/>
    <row r="6708" ht="16.5" customHeight="1"/>
    <row r="6709" ht="16.5" customHeight="1"/>
    <row r="6710" ht="16.5" customHeight="1"/>
    <row r="6711" ht="16.5" customHeight="1"/>
    <row r="6712" ht="16.5" customHeight="1"/>
    <row r="6713" ht="16.5" customHeight="1"/>
    <row r="6714" ht="16.5" customHeight="1"/>
    <row r="6715" ht="16.5" customHeight="1"/>
    <row r="6716" ht="16.5" customHeight="1"/>
    <row r="6717" ht="16.5" customHeight="1"/>
    <row r="6718" ht="16.5" customHeight="1"/>
    <row r="6719" ht="16.5" customHeight="1"/>
    <row r="6720" ht="16.5" customHeight="1"/>
    <row r="6721" ht="16.5" customHeight="1"/>
    <row r="6722" ht="16.5" customHeight="1"/>
    <row r="6723" ht="16.5" customHeight="1"/>
    <row r="6724" ht="16.5" customHeight="1"/>
    <row r="6725" ht="16.5" customHeight="1"/>
    <row r="6726" ht="16.5" customHeight="1"/>
    <row r="6727" ht="16.5" customHeight="1"/>
    <row r="6728" ht="16.5" customHeight="1"/>
    <row r="6729" ht="16.5" customHeight="1"/>
    <row r="6730" ht="16.5" customHeight="1"/>
    <row r="6731" ht="16.5" customHeight="1"/>
    <row r="6732" ht="16.5" customHeight="1"/>
    <row r="6733" ht="16.5" customHeight="1"/>
    <row r="6734" ht="16.5" customHeight="1"/>
    <row r="6735" ht="16.5" customHeight="1"/>
    <row r="6736" ht="16.5" customHeight="1"/>
    <row r="6737" ht="16.5" customHeight="1"/>
    <row r="6738" ht="16.5" customHeight="1"/>
    <row r="6739" ht="16.5" customHeight="1"/>
    <row r="6740" ht="16.5" customHeight="1"/>
    <row r="6741" ht="16.5" customHeight="1"/>
    <row r="6742" ht="16.5" customHeight="1"/>
    <row r="6743" ht="16.5" customHeight="1"/>
    <row r="6744" ht="16.5" customHeight="1"/>
    <row r="6745" ht="16.5" customHeight="1"/>
    <row r="6746" ht="16.5" customHeight="1"/>
    <row r="6747" ht="16.5" customHeight="1"/>
    <row r="6748" ht="16.5" customHeight="1"/>
    <row r="6749" ht="16.5" customHeight="1"/>
    <row r="6750" ht="16.5" customHeight="1"/>
    <row r="6751" ht="16.5" customHeight="1"/>
    <row r="6752" ht="16.5" customHeight="1"/>
    <row r="6753" ht="16.5" customHeight="1"/>
    <row r="6754" ht="16.5" customHeight="1"/>
    <row r="6755" ht="16.5" customHeight="1"/>
    <row r="6756" ht="16.5" customHeight="1"/>
    <row r="6757" ht="16.5" customHeight="1"/>
    <row r="6758" ht="16.5" customHeight="1"/>
    <row r="6759" ht="16.5" customHeight="1"/>
    <row r="6760" ht="16.5" customHeight="1"/>
    <row r="6761" ht="16.5" customHeight="1"/>
    <row r="6762" ht="16.5" customHeight="1"/>
    <row r="6763" ht="16.5" customHeight="1"/>
    <row r="6764" ht="16.5" customHeight="1"/>
    <row r="6765" ht="16.5" customHeight="1"/>
    <row r="6766" ht="16.5" customHeight="1"/>
    <row r="6767" ht="16.5" customHeight="1"/>
    <row r="6768" ht="16.5" customHeight="1"/>
    <row r="6769" ht="16.5" customHeight="1"/>
    <row r="6770" ht="16.5" customHeight="1"/>
    <row r="6771" ht="16.5" customHeight="1"/>
    <row r="6772" ht="16.5" customHeight="1"/>
    <row r="6773" ht="16.5" customHeight="1"/>
    <row r="6774" ht="16.5" customHeight="1"/>
    <row r="6775" ht="16.5" customHeight="1"/>
    <row r="6776" ht="16.5" customHeight="1"/>
    <row r="6777" ht="16.5" customHeight="1"/>
    <row r="6778" ht="16.5" customHeight="1"/>
    <row r="6779" ht="16.5" customHeight="1"/>
    <row r="6780" ht="16.5" customHeight="1"/>
    <row r="6781" ht="16.5" customHeight="1"/>
    <row r="6782" ht="16.5" customHeight="1"/>
    <row r="6783" ht="16.5" customHeight="1"/>
    <row r="6784" ht="16.5" customHeight="1"/>
    <row r="6785" ht="16.5" customHeight="1"/>
    <row r="6786" ht="16.5" customHeight="1"/>
    <row r="6787" ht="16.5" customHeight="1"/>
    <row r="6788" ht="16.5" customHeight="1"/>
    <row r="6789" ht="16.5" customHeight="1"/>
    <row r="6790" ht="16.5" customHeight="1"/>
    <row r="6791" ht="16.5" customHeight="1"/>
    <row r="6792" ht="16.5" customHeight="1"/>
    <row r="6793" ht="16.5" customHeight="1"/>
    <row r="6794" ht="16.5" customHeight="1"/>
    <row r="6795" ht="16.5" customHeight="1"/>
    <row r="6796" ht="16.5" customHeight="1"/>
    <row r="6797" ht="16.5" customHeight="1"/>
    <row r="6798" ht="16.5" customHeight="1"/>
    <row r="6799" ht="16.5" customHeight="1"/>
    <row r="6800" ht="16.5" customHeight="1"/>
    <row r="6801" ht="16.5" customHeight="1"/>
    <row r="6802" ht="16.5" customHeight="1"/>
    <row r="6803" ht="16.5" customHeight="1"/>
    <row r="6804" ht="16.5" customHeight="1"/>
    <row r="6805" ht="16.5" customHeight="1"/>
    <row r="6806" ht="16.5" customHeight="1"/>
    <row r="6807" ht="16.5" customHeight="1"/>
    <row r="6808" ht="16.5" customHeight="1"/>
    <row r="6809" ht="16.5" customHeight="1"/>
    <row r="6810" ht="16.5" customHeight="1"/>
    <row r="6811" ht="16.5" customHeight="1"/>
    <row r="6812" ht="16.5" customHeight="1"/>
    <row r="6813" ht="16.5" customHeight="1"/>
    <row r="6814" ht="16.5" customHeight="1"/>
    <row r="6815" ht="16.5" customHeight="1"/>
    <row r="6816" ht="16.5" customHeight="1"/>
    <row r="6817" ht="16.5" customHeight="1"/>
    <row r="6818" ht="16.5" customHeight="1"/>
    <row r="6819" ht="16.5" customHeight="1"/>
    <row r="6820" ht="16.5" customHeight="1"/>
    <row r="6821" ht="16.5" customHeight="1"/>
    <row r="6822" ht="16.5" customHeight="1"/>
    <row r="6823" ht="16.5" customHeight="1"/>
    <row r="6824" ht="16.5" customHeight="1"/>
    <row r="6825" ht="16.5" customHeight="1"/>
    <row r="6826" ht="16.5" customHeight="1"/>
    <row r="6827" ht="16.5" customHeight="1"/>
    <row r="6828" ht="16.5" customHeight="1"/>
    <row r="6829" ht="16.5" customHeight="1"/>
    <row r="6830" ht="16.5" customHeight="1"/>
    <row r="6831" ht="16.5" customHeight="1"/>
    <row r="6832" ht="16.5" customHeight="1"/>
    <row r="6833" ht="16.5" customHeight="1"/>
    <row r="6834" ht="16.5" customHeight="1"/>
    <row r="6835" ht="16.5" customHeight="1"/>
    <row r="6836" ht="16.5" customHeight="1"/>
    <row r="6837" ht="16.5" customHeight="1"/>
    <row r="6838" ht="16.5" customHeight="1"/>
    <row r="6839" ht="16.5" customHeight="1"/>
    <row r="6840" ht="16.5" customHeight="1"/>
    <row r="6841" ht="16.5" customHeight="1"/>
    <row r="6842" ht="16.5" customHeight="1"/>
    <row r="6843" ht="16.5" customHeight="1"/>
    <row r="6844" ht="16.5" customHeight="1"/>
    <row r="6845" ht="16.5" customHeight="1"/>
    <row r="6846" ht="16.5" customHeight="1"/>
    <row r="6847" ht="16.5" customHeight="1"/>
    <row r="6848" ht="16.5" customHeight="1"/>
    <row r="6849" ht="16.5" customHeight="1"/>
    <row r="6850" ht="16.5" customHeight="1"/>
    <row r="6851" ht="16.5" customHeight="1"/>
    <row r="6852" ht="16.5" customHeight="1"/>
    <row r="6853" ht="16.5" customHeight="1"/>
    <row r="6854" ht="16.5" customHeight="1"/>
    <row r="6855" ht="16.5" customHeight="1"/>
    <row r="6856" ht="16.5" customHeight="1"/>
    <row r="6857" ht="16.5" customHeight="1"/>
    <row r="6858" ht="16.5" customHeight="1"/>
    <row r="6859" ht="16.5" customHeight="1"/>
    <row r="6860" ht="16.5" customHeight="1"/>
    <row r="6861" ht="16.5" customHeight="1"/>
    <row r="6862" ht="16.5" customHeight="1"/>
    <row r="6863" ht="16.5" customHeight="1"/>
    <row r="6864" ht="16.5" customHeight="1"/>
    <row r="6865" ht="16.5" customHeight="1"/>
    <row r="6866" ht="16.5" customHeight="1"/>
    <row r="6867" ht="16.5" customHeight="1"/>
    <row r="6868" ht="16.5" customHeight="1"/>
    <row r="6869" ht="16.5" customHeight="1"/>
    <row r="6870" ht="16.5" customHeight="1"/>
    <row r="6871" ht="16.5" customHeight="1"/>
    <row r="6872" ht="16.5" customHeight="1"/>
    <row r="6873" ht="16.5" customHeight="1"/>
    <row r="6874" ht="16.5" customHeight="1"/>
    <row r="6875" ht="16.5" customHeight="1"/>
    <row r="6876" ht="16.5" customHeight="1"/>
    <row r="6877" ht="16.5" customHeight="1"/>
    <row r="6878" ht="16.5" customHeight="1"/>
    <row r="6879" ht="16.5" customHeight="1"/>
    <row r="6880" ht="16.5" customHeight="1"/>
    <row r="6881" ht="16.5" customHeight="1"/>
    <row r="6882" ht="16.5" customHeight="1"/>
    <row r="6883" ht="16.5" customHeight="1"/>
    <row r="6884" ht="16.5" customHeight="1"/>
    <row r="6885" ht="16.5" customHeight="1"/>
    <row r="6886" ht="16.5" customHeight="1"/>
    <row r="6887" ht="16.5" customHeight="1"/>
    <row r="6888" ht="16.5" customHeight="1"/>
    <row r="6889" ht="16.5" customHeight="1"/>
    <row r="6890" ht="16.5" customHeight="1"/>
    <row r="6891" ht="16.5" customHeight="1"/>
    <row r="6892" ht="16.5" customHeight="1"/>
    <row r="6893" ht="16.5" customHeight="1"/>
    <row r="6894" ht="16.5" customHeight="1"/>
    <row r="6895" ht="16.5" customHeight="1"/>
    <row r="6896" ht="16.5" customHeight="1"/>
    <row r="6897" ht="16.5" customHeight="1"/>
    <row r="6898" ht="16.5" customHeight="1"/>
    <row r="6899" ht="16.5" customHeight="1"/>
    <row r="6900" ht="16.5" customHeight="1"/>
    <row r="6901" ht="16.5" customHeight="1"/>
    <row r="6902" ht="16.5" customHeight="1"/>
    <row r="6903" ht="16.5" customHeight="1"/>
    <row r="6904" ht="16.5" customHeight="1"/>
    <row r="6905" ht="16.5" customHeight="1"/>
    <row r="6906" ht="16.5" customHeight="1"/>
    <row r="6907" ht="16.5" customHeight="1"/>
    <row r="6908" ht="16.5" customHeight="1"/>
    <row r="6909" ht="16.5" customHeight="1"/>
    <row r="6910" ht="16.5" customHeight="1"/>
    <row r="6911" ht="16.5" customHeight="1"/>
    <row r="6912" ht="16.5" customHeight="1"/>
    <row r="6913" ht="16.5" customHeight="1"/>
    <row r="6914" ht="16.5" customHeight="1"/>
    <row r="6915" ht="16.5" customHeight="1"/>
    <row r="6916" ht="16.5" customHeight="1"/>
    <row r="6917" ht="16.5" customHeight="1"/>
    <row r="6918" ht="16.5" customHeight="1"/>
    <row r="6919" ht="16.5" customHeight="1"/>
    <row r="6920" ht="16.5" customHeight="1"/>
    <row r="6921" ht="16.5" customHeight="1"/>
    <row r="6922" ht="16.5" customHeight="1"/>
    <row r="6923" ht="16.5" customHeight="1"/>
    <row r="6924" ht="16.5" customHeight="1"/>
    <row r="6925" ht="16.5" customHeight="1"/>
    <row r="6926" ht="16.5" customHeight="1"/>
    <row r="6927" ht="16.5" customHeight="1"/>
    <row r="6928" ht="16.5" customHeight="1"/>
    <row r="6929" ht="16.5" customHeight="1"/>
    <row r="6930" ht="16.5" customHeight="1"/>
    <row r="6931" ht="16.5" customHeight="1"/>
    <row r="6932" ht="16.5" customHeight="1"/>
    <row r="6933" ht="16.5" customHeight="1"/>
    <row r="6934" ht="16.5" customHeight="1"/>
    <row r="6935" ht="16.5" customHeight="1"/>
    <row r="6936" ht="16.5" customHeight="1"/>
    <row r="6937" ht="16.5" customHeight="1"/>
    <row r="6938" ht="16.5" customHeight="1"/>
    <row r="6939" ht="16.5" customHeight="1"/>
    <row r="6940" ht="16.5" customHeight="1"/>
    <row r="6941" ht="16.5" customHeight="1"/>
    <row r="6942" ht="16.5" customHeight="1"/>
    <row r="6943" ht="16.5" customHeight="1"/>
    <row r="6944" ht="16.5" customHeight="1"/>
    <row r="6945" ht="16.5" customHeight="1"/>
    <row r="6946" ht="16.5" customHeight="1"/>
    <row r="6947" ht="16.5" customHeight="1"/>
    <row r="6948" ht="16.5" customHeight="1"/>
    <row r="6949" ht="16.5" customHeight="1"/>
    <row r="6950" ht="16.5" customHeight="1"/>
    <row r="6951" ht="16.5" customHeight="1"/>
    <row r="6952" ht="16.5" customHeight="1"/>
    <row r="6953" ht="16.5" customHeight="1"/>
    <row r="6954" ht="16.5" customHeight="1"/>
    <row r="6955" ht="16.5" customHeight="1"/>
    <row r="6956" ht="16.5" customHeight="1"/>
    <row r="6957" ht="16.5" customHeight="1"/>
    <row r="6958" ht="16.5" customHeight="1"/>
    <row r="6959" ht="16.5" customHeight="1"/>
    <row r="6960" ht="16.5" customHeight="1"/>
    <row r="6961" ht="16.5" customHeight="1"/>
    <row r="6962" ht="16.5" customHeight="1"/>
    <row r="6963" ht="16.5" customHeight="1"/>
    <row r="6964" ht="16.5" customHeight="1"/>
    <row r="6965" ht="16.5" customHeight="1"/>
    <row r="6966" ht="16.5" customHeight="1"/>
    <row r="6967" ht="16.5" customHeight="1"/>
    <row r="6968" ht="16.5" customHeight="1"/>
    <row r="6969" ht="16.5" customHeight="1"/>
    <row r="6970" ht="16.5" customHeight="1"/>
    <row r="6971" ht="16.5" customHeight="1"/>
    <row r="6972" ht="16.5" customHeight="1"/>
    <row r="6973" ht="16.5" customHeight="1"/>
    <row r="6974" ht="16.5" customHeight="1"/>
    <row r="6975" ht="16.5" customHeight="1"/>
    <row r="6976" ht="16.5" customHeight="1"/>
    <row r="6977" ht="16.5" customHeight="1"/>
    <row r="6978" ht="16.5" customHeight="1"/>
    <row r="6979" ht="16.5" customHeight="1"/>
    <row r="6980" ht="16.5" customHeight="1"/>
    <row r="6981" ht="16.5" customHeight="1"/>
    <row r="6982" ht="16.5" customHeight="1"/>
    <row r="6983" ht="16.5" customHeight="1"/>
    <row r="6984" ht="16.5" customHeight="1"/>
    <row r="6985" ht="16.5" customHeight="1"/>
    <row r="6986" ht="16.5" customHeight="1"/>
    <row r="6987" ht="16.5" customHeight="1"/>
    <row r="6988" ht="16.5" customHeight="1"/>
    <row r="6989" ht="16.5" customHeight="1"/>
    <row r="6990" ht="16.5" customHeight="1"/>
    <row r="6991" ht="16.5" customHeight="1"/>
    <row r="6992" ht="16.5" customHeight="1"/>
    <row r="6993" ht="16.5" customHeight="1"/>
    <row r="6994" ht="16.5" customHeight="1"/>
    <row r="6995" ht="16.5" customHeight="1"/>
    <row r="6996" ht="16.5" customHeight="1"/>
    <row r="6997" ht="16.5" customHeight="1"/>
    <row r="6998" ht="16.5" customHeight="1"/>
    <row r="6999" ht="16.5" customHeight="1"/>
    <row r="7000" ht="16.5" customHeight="1"/>
    <row r="7001" ht="16.5" customHeight="1"/>
    <row r="7002" ht="16.5" customHeight="1"/>
    <row r="7003" ht="16.5" customHeight="1"/>
    <row r="7004" ht="16.5" customHeight="1"/>
    <row r="7005" ht="16.5" customHeight="1"/>
    <row r="7006" ht="16.5" customHeight="1"/>
    <row r="7007" ht="16.5" customHeight="1"/>
    <row r="7008" ht="16.5" customHeight="1"/>
    <row r="7009" ht="16.5" customHeight="1"/>
    <row r="7010" ht="16.5" customHeight="1"/>
    <row r="7011" ht="16.5" customHeight="1"/>
    <row r="7012" ht="16.5" customHeight="1"/>
    <row r="7013" ht="16.5" customHeight="1"/>
    <row r="7014" ht="16.5" customHeight="1"/>
    <row r="7015" ht="16.5" customHeight="1"/>
    <row r="7016" ht="16.5" customHeight="1"/>
    <row r="7017" ht="16.5" customHeight="1"/>
    <row r="7018" ht="16.5" customHeight="1"/>
    <row r="7019" ht="16.5" customHeight="1"/>
    <row r="7020" ht="16.5" customHeight="1"/>
    <row r="7021" ht="16.5" customHeight="1"/>
    <row r="7022" ht="16.5" customHeight="1"/>
    <row r="7023" ht="16.5" customHeight="1"/>
    <row r="7024" ht="16.5" customHeight="1"/>
    <row r="7025" ht="16.5" customHeight="1"/>
    <row r="7026" ht="16.5" customHeight="1"/>
    <row r="7027" ht="16.5" customHeight="1"/>
    <row r="7028" ht="16.5" customHeight="1"/>
    <row r="7029" ht="16.5" customHeight="1"/>
    <row r="7030" ht="16.5" customHeight="1"/>
    <row r="7031" ht="16.5" customHeight="1"/>
    <row r="7032" ht="16.5" customHeight="1"/>
    <row r="7033" ht="16.5" customHeight="1"/>
    <row r="7034" ht="16.5" customHeight="1"/>
    <row r="7035" ht="16.5" customHeight="1"/>
    <row r="7036" ht="16.5" customHeight="1"/>
    <row r="7037" ht="16.5" customHeight="1"/>
    <row r="7038" ht="16.5" customHeight="1"/>
    <row r="7039" ht="16.5" customHeight="1"/>
    <row r="7040" ht="16.5" customHeight="1"/>
    <row r="7041" ht="16.5" customHeight="1"/>
    <row r="7042" ht="16.5" customHeight="1"/>
    <row r="7043" ht="16.5" customHeight="1"/>
    <row r="7044" ht="16.5" customHeight="1"/>
    <row r="7045" ht="16.5" customHeight="1"/>
    <row r="7046" ht="16.5" customHeight="1"/>
    <row r="7047" ht="16.5" customHeight="1"/>
    <row r="7048" ht="16.5" customHeight="1"/>
    <row r="7049" ht="16.5" customHeight="1"/>
    <row r="7050" ht="16.5" customHeight="1"/>
    <row r="7051" ht="16.5" customHeight="1"/>
    <row r="7052" ht="16.5" customHeight="1"/>
    <row r="7053" ht="16.5" customHeight="1"/>
    <row r="7054" ht="16.5" customHeight="1"/>
    <row r="7055" ht="16.5" customHeight="1"/>
    <row r="7056" ht="16.5" customHeight="1"/>
    <row r="7057" ht="16.5" customHeight="1"/>
    <row r="7058" ht="16.5" customHeight="1"/>
    <row r="7059" ht="16.5" customHeight="1"/>
    <row r="7060" ht="16.5" customHeight="1"/>
    <row r="7061" ht="16.5" customHeight="1"/>
    <row r="7062" ht="16.5" customHeight="1"/>
    <row r="7063" ht="16.5" customHeight="1"/>
    <row r="7064" ht="16.5" customHeight="1"/>
    <row r="7065" ht="16.5" customHeight="1"/>
    <row r="7066" ht="16.5" customHeight="1"/>
    <row r="7067" ht="16.5" customHeight="1"/>
    <row r="7068" ht="16.5" customHeight="1"/>
    <row r="7069" ht="16.5" customHeight="1"/>
    <row r="7070" ht="16.5" customHeight="1"/>
    <row r="7071" ht="16.5" customHeight="1"/>
    <row r="7072" ht="16.5" customHeight="1"/>
    <row r="7073" ht="16.5" customHeight="1"/>
    <row r="7074" ht="16.5" customHeight="1"/>
    <row r="7075" ht="16.5" customHeight="1"/>
    <row r="7076" ht="16.5" customHeight="1"/>
    <row r="7077" ht="16.5" customHeight="1"/>
    <row r="7078" ht="16.5" customHeight="1"/>
    <row r="7079" ht="16.5" customHeight="1"/>
    <row r="7080" ht="16.5" customHeight="1"/>
    <row r="7081" ht="16.5" customHeight="1"/>
    <row r="7082" ht="16.5" customHeight="1"/>
    <row r="7083" ht="16.5" customHeight="1"/>
    <row r="7084" ht="16.5" customHeight="1"/>
    <row r="7085" ht="16.5" customHeight="1"/>
    <row r="7086" ht="16.5" customHeight="1"/>
    <row r="7087" ht="16.5" customHeight="1"/>
    <row r="7088" ht="16.5" customHeight="1"/>
    <row r="7089" ht="16.5" customHeight="1"/>
    <row r="7090" ht="16.5" customHeight="1"/>
    <row r="7091" ht="16.5" customHeight="1"/>
    <row r="7092" ht="16.5" customHeight="1"/>
    <row r="7093" ht="16.5" customHeight="1"/>
    <row r="7094" ht="16.5" customHeight="1"/>
    <row r="7095" ht="16.5" customHeight="1"/>
    <row r="7096" ht="16.5" customHeight="1"/>
    <row r="7097" ht="16.5" customHeight="1"/>
    <row r="7098" ht="16.5" customHeight="1"/>
    <row r="7099" ht="16.5" customHeight="1"/>
    <row r="7100" ht="16.5" customHeight="1"/>
    <row r="7101" ht="16.5" customHeight="1"/>
    <row r="7102" ht="16.5" customHeight="1"/>
    <row r="7103" ht="16.5" customHeight="1"/>
    <row r="7104" ht="16.5" customHeight="1"/>
    <row r="7105" ht="16.5" customHeight="1"/>
    <row r="7106" ht="16.5" customHeight="1"/>
    <row r="7107" ht="16.5" customHeight="1"/>
    <row r="7108" ht="16.5" customHeight="1"/>
    <row r="7109" ht="16.5" customHeight="1"/>
    <row r="7110" ht="16.5" customHeight="1"/>
    <row r="7111" ht="16.5" customHeight="1"/>
    <row r="7112" ht="16.5" customHeight="1"/>
    <row r="7113" ht="16.5" customHeight="1"/>
    <row r="7114" ht="16.5" customHeight="1"/>
    <row r="7115" ht="16.5" customHeight="1"/>
    <row r="7116" ht="16.5" customHeight="1"/>
    <row r="7117" ht="16.5" customHeight="1"/>
    <row r="7118" ht="16.5" customHeight="1"/>
    <row r="7119" ht="16.5" customHeight="1"/>
    <row r="7120" ht="16.5" customHeight="1"/>
    <row r="7121" ht="16.5" customHeight="1"/>
    <row r="7122" ht="16.5" customHeight="1"/>
    <row r="7123" ht="16.5" customHeight="1"/>
    <row r="7124" ht="16.5" customHeight="1"/>
    <row r="7125" ht="16.5" customHeight="1"/>
    <row r="7126" ht="16.5" customHeight="1"/>
    <row r="7127" ht="16.5" customHeight="1"/>
    <row r="7128" ht="16.5" customHeight="1"/>
    <row r="7129" ht="16.5" customHeight="1"/>
    <row r="7130" ht="16.5" customHeight="1"/>
    <row r="7131" ht="16.5" customHeight="1"/>
    <row r="7132" ht="16.5" customHeight="1"/>
    <row r="7133" ht="16.5" customHeight="1"/>
    <row r="7134" ht="16.5" customHeight="1"/>
    <row r="7135" ht="16.5" customHeight="1"/>
    <row r="7136" ht="16.5" customHeight="1"/>
    <row r="7137" ht="16.5" customHeight="1"/>
    <row r="7138" ht="16.5" customHeight="1"/>
    <row r="7139" ht="16.5" customHeight="1"/>
    <row r="7140" ht="16.5" customHeight="1"/>
    <row r="7141" ht="16.5" customHeight="1"/>
    <row r="7142" ht="16.5" customHeight="1"/>
    <row r="7143" ht="16.5" customHeight="1"/>
    <row r="7144" ht="16.5" customHeight="1"/>
    <row r="7145" ht="16.5" customHeight="1"/>
    <row r="7146" ht="16.5" customHeight="1"/>
    <row r="7147" ht="16.5" customHeight="1"/>
    <row r="7148" ht="16.5" customHeight="1"/>
    <row r="7149" ht="16.5" customHeight="1"/>
    <row r="7150" ht="16.5" customHeight="1"/>
    <row r="7151" ht="16.5" customHeight="1"/>
    <row r="7152" ht="16.5" customHeight="1"/>
    <row r="7153" ht="16.5" customHeight="1"/>
    <row r="7154" ht="16.5" customHeight="1"/>
    <row r="7155" ht="16.5" customHeight="1"/>
    <row r="7156" ht="16.5" customHeight="1"/>
    <row r="7157" ht="16.5" customHeight="1"/>
    <row r="7158" ht="16.5" customHeight="1"/>
    <row r="7159" ht="16.5" customHeight="1"/>
    <row r="7160" ht="16.5" customHeight="1"/>
    <row r="7161" ht="16.5" customHeight="1"/>
    <row r="7162" ht="16.5" customHeight="1"/>
    <row r="7163" ht="16.5" customHeight="1"/>
    <row r="7164" ht="16.5" customHeight="1"/>
    <row r="7165" ht="16.5" customHeight="1"/>
    <row r="7166" ht="16.5" customHeight="1"/>
    <row r="7167" ht="16.5" customHeight="1"/>
    <row r="7168" ht="16.5" customHeight="1"/>
    <row r="7169" ht="16.5" customHeight="1"/>
    <row r="7170" ht="16.5" customHeight="1"/>
    <row r="7171" ht="16.5" customHeight="1"/>
    <row r="7172" ht="16.5" customHeight="1"/>
    <row r="7173" ht="16.5" customHeight="1"/>
    <row r="7174" ht="16.5" customHeight="1"/>
    <row r="7175" ht="16.5" customHeight="1"/>
    <row r="7176" ht="16.5" customHeight="1"/>
    <row r="7177" ht="16.5" customHeight="1"/>
    <row r="7178" ht="16.5" customHeight="1"/>
    <row r="7179" ht="16.5" customHeight="1"/>
    <row r="7180" ht="16.5" customHeight="1"/>
    <row r="7181" ht="16.5" customHeight="1"/>
    <row r="7182" ht="16.5" customHeight="1"/>
    <row r="7183" ht="16.5" customHeight="1"/>
    <row r="7184" ht="16.5" customHeight="1"/>
    <row r="7185" ht="16.5" customHeight="1"/>
    <row r="7186" ht="16.5" customHeight="1"/>
    <row r="7187" ht="16.5" customHeight="1"/>
    <row r="7188" ht="16.5" customHeight="1"/>
    <row r="7189" ht="16.5" customHeight="1"/>
    <row r="7190" ht="16.5" customHeight="1"/>
    <row r="7191" ht="16.5" customHeight="1"/>
    <row r="7192" ht="16.5" customHeight="1"/>
    <row r="7193" ht="16.5" customHeight="1"/>
    <row r="7194" ht="16.5" customHeight="1"/>
    <row r="7195" ht="16.5" customHeight="1"/>
    <row r="7196" ht="16.5" customHeight="1"/>
    <row r="7197" ht="16.5" customHeight="1"/>
    <row r="7198" ht="16.5" customHeight="1"/>
    <row r="7199" ht="16.5" customHeight="1"/>
    <row r="7200" ht="16.5" customHeight="1"/>
    <row r="7201" ht="16.5" customHeight="1"/>
    <row r="7202" ht="16.5" customHeight="1"/>
    <row r="7203" ht="16.5" customHeight="1"/>
    <row r="7204" ht="16.5" customHeight="1"/>
    <row r="7205" ht="16.5" customHeight="1"/>
    <row r="7206" ht="16.5" customHeight="1"/>
    <row r="7207" ht="16.5" customHeight="1"/>
    <row r="7208" ht="16.5" customHeight="1"/>
    <row r="7209" ht="16.5" customHeight="1"/>
    <row r="7210" ht="16.5" customHeight="1"/>
    <row r="7211" ht="16.5" customHeight="1"/>
    <row r="7212" ht="16.5" customHeight="1"/>
    <row r="7213" ht="16.5" customHeight="1"/>
    <row r="7214" ht="16.5" customHeight="1"/>
    <row r="7215" ht="16.5" customHeight="1"/>
    <row r="7216" ht="16.5" customHeight="1"/>
    <row r="7217" ht="16.5" customHeight="1"/>
    <row r="7218" ht="16.5" customHeight="1"/>
    <row r="7219" ht="16.5" customHeight="1"/>
    <row r="7220" ht="16.5" customHeight="1"/>
    <row r="7221" ht="16.5" customHeight="1"/>
    <row r="7222" ht="16.5" customHeight="1"/>
    <row r="7223" ht="16.5" customHeight="1"/>
    <row r="7224" ht="16.5" customHeight="1"/>
    <row r="7225" ht="16.5" customHeight="1"/>
    <row r="7226" ht="16.5" customHeight="1"/>
    <row r="7227" ht="16.5" customHeight="1"/>
    <row r="7228" ht="16.5" customHeight="1"/>
    <row r="7229" ht="16.5" customHeight="1"/>
    <row r="7230" ht="16.5" customHeight="1"/>
    <row r="7231" ht="16.5" customHeight="1"/>
    <row r="7232" ht="16.5" customHeight="1"/>
    <row r="7233" ht="16.5" customHeight="1"/>
    <row r="7234" ht="16.5" customHeight="1"/>
    <row r="7235" ht="16.5" customHeight="1"/>
    <row r="7236" ht="16.5" customHeight="1"/>
    <row r="7237" ht="16.5" customHeight="1"/>
    <row r="7238" ht="16.5" customHeight="1"/>
    <row r="7239" ht="16.5" customHeight="1"/>
    <row r="7240" ht="16.5" customHeight="1"/>
    <row r="7241" ht="16.5" customHeight="1"/>
    <row r="7242" ht="16.5" customHeight="1"/>
    <row r="7243" ht="16.5" customHeight="1"/>
    <row r="7244" ht="16.5" customHeight="1"/>
    <row r="7245" ht="16.5" customHeight="1"/>
    <row r="7246" ht="16.5" customHeight="1"/>
    <row r="7247" ht="16.5" customHeight="1"/>
    <row r="7248" ht="16.5" customHeight="1"/>
    <row r="7249" ht="16.5" customHeight="1"/>
    <row r="7250" ht="16.5" customHeight="1"/>
    <row r="7251" ht="16.5" customHeight="1"/>
    <row r="7252" ht="16.5" customHeight="1"/>
    <row r="7253" ht="16.5" customHeight="1"/>
    <row r="7254" ht="16.5" customHeight="1"/>
    <row r="7255" ht="16.5" customHeight="1"/>
    <row r="7256" ht="16.5" customHeight="1"/>
    <row r="7257" ht="16.5" customHeight="1"/>
    <row r="7258" ht="16.5" customHeight="1"/>
    <row r="7259" ht="16.5" customHeight="1"/>
    <row r="7260" ht="16.5" customHeight="1"/>
    <row r="7261" ht="16.5" customHeight="1"/>
    <row r="7262" ht="16.5" customHeight="1"/>
    <row r="7263" ht="16.5" customHeight="1"/>
    <row r="7264" ht="16.5" customHeight="1"/>
    <row r="7265" ht="16.5" customHeight="1"/>
    <row r="7266" ht="16.5" customHeight="1"/>
    <row r="7267" ht="16.5" customHeight="1"/>
    <row r="7268" ht="16.5" customHeight="1"/>
    <row r="7269" ht="16.5" customHeight="1"/>
    <row r="7270" ht="16.5" customHeight="1"/>
    <row r="7271" ht="16.5" customHeight="1"/>
    <row r="7272" ht="16.5" customHeight="1"/>
    <row r="7273" ht="16.5" customHeight="1"/>
    <row r="7274" ht="16.5" customHeight="1"/>
    <row r="7275" ht="16.5" customHeight="1"/>
    <row r="7276" ht="16.5" customHeight="1"/>
    <row r="7277" ht="16.5" customHeight="1"/>
    <row r="7278" ht="16.5" customHeight="1"/>
    <row r="7279" ht="16.5" customHeight="1"/>
    <row r="7280" ht="16.5" customHeight="1"/>
    <row r="7281" ht="16.5" customHeight="1"/>
    <row r="7282" ht="16.5" customHeight="1"/>
    <row r="7283" ht="16.5" customHeight="1"/>
    <row r="7284" ht="16.5" customHeight="1"/>
    <row r="7285" ht="16.5" customHeight="1"/>
    <row r="7286" ht="16.5" customHeight="1"/>
    <row r="7287" ht="16.5" customHeight="1"/>
    <row r="7288" ht="16.5" customHeight="1"/>
    <row r="7289" ht="16.5" customHeight="1"/>
    <row r="7290" ht="16.5" customHeight="1"/>
    <row r="7291" ht="16.5" customHeight="1"/>
    <row r="7292" ht="16.5" customHeight="1"/>
    <row r="7293" ht="16.5" customHeight="1"/>
    <row r="7294" ht="16.5" customHeight="1"/>
    <row r="7295" ht="16.5" customHeight="1"/>
    <row r="7296" ht="16.5" customHeight="1"/>
    <row r="7297" ht="16.5" customHeight="1"/>
    <row r="7298" ht="16.5" customHeight="1"/>
    <row r="7299" ht="16.5" customHeight="1"/>
    <row r="7300" ht="16.5" customHeight="1"/>
    <row r="7301" ht="16.5" customHeight="1"/>
    <row r="7302" ht="16.5" customHeight="1"/>
    <row r="7303" ht="16.5" customHeight="1"/>
    <row r="7304" ht="16.5" customHeight="1"/>
    <row r="7305" ht="16.5" customHeight="1"/>
    <row r="7306" ht="16.5" customHeight="1"/>
    <row r="7307" ht="16.5" customHeight="1"/>
    <row r="7308" ht="16.5" customHeight="1"/>
    <row r="7309" ht="16.5" customHeight="1"/>
    <row r="7310" ht="16.5" customHeight="1"/>
    <row r="7311" ht="16.5" customHeight="1"/>
    <row r="7312" ht="16.5" customHeight="1"/>
    <row r="7313" ht="16.5" customHeight="1"/>
    <row r="7314" ht="16.5" customHeight="1"/>
    <row r="7315" ht="16.5" customHeight="1"/>
    <row r="7316" ht="16.5" customHeight="1"/>
    <row r="7317" ht="16.5" customHeight="1"/>
    <row r="7318" ht="16.5" customHeight="1"/>
    <row r="7319" ht="16.5" customHeight="1"/>
    <row r="7320" ht="16.5" customHeight="1"/>
    <row r="7321" ht="16.5" customHeight="1"/>
    <row r="7322" ht="16.5" customHeight="1"/>
    <row r="7323" ht="16.5" customHeight="1"/>
    <row r="7324" ht="16.5" customHeight="1"/>
    <row r="7325" ht="16.5" customHeight="1"/>
    <row r="7326" ht="16.5" customHeight="1"/>
    <row r="7327" ht="16.5" customHeight="1"/>
    <row r="7328" ht="16.5" customHeight="1"/>
    <row r="7329" ht="16.5" customHeight="1"/>
    <row r="7330" ht="16.5" customHeight="1"/>
    <row r="7331" ht="16.5" customHeight="1"/>
    <row r="7332" ht="16.5" customHeight="1"/>
    <row r="7333" ht="16.5" customHeight="1"/>
    <row r="7334" ht="16.5" customHeight="1"/>
    <row r="7335" ht="16.5" customHeight="1"/>
    <row r="7336" ht="16.5" customHeight="1"/>
    <row r="7337" ht="16.5" customHeight="1"/>
    <row r="7338" ht="16.5" customHeight="1"/>
    <row r="7339" ht="16.5" customHeight="1"/>
    <row r="7340" ht="16.5" customHeight="1"/>
    <row r="7341" ht="16.5" customHeight="1"/>
    <row r="7342" ht="16.5" customHeight="1"/>
    <row r="7343" ht="16.5" customHeight="1"/>
    <row r="7344" ht="16.5" customHeight="1"/>
    <row r="7345" ht="16.5" customHeight="1"/>
    <row r="7346" ht="16.5" customHeight="1"/>
    <row r="7347" ht="16.5" customHeight="1"/>
    <row r="7348" ht="16.5" customHeight="1"/>
    <row r="7349" ht="16.5" customHeight="1"/>
    <row r="7350" ht="16.5" customHeight="1"/>
    <row r="7351" ht="16.5" customHeight="1"/>
    <row r="7352" ht="16.5" customHeight="1"/>
    <row r="7353" ht="16.5" customHeight="1"/>
    <row r="7354" ht="16.5" customHeight="1"/>
    <row r="7355" ht="16.5" customHeight="1"/>
    <row r="7356" ht="16.5" customHeight="1"/>
    <row r="7357" ht="16.5" customHeight="1"/>
    <row r="7358" ht="16.5" customHeight="1"/>
    <row r="7359" ht="16.5" customHeight="1"/>
    <row r="7360" ht="16.5" customHeight="1"/>
    <row r="7361" ht="16.5" customHeight="1"/>
    <row r="7362" ht="16.5" customHeight="1"/>
    <row r="7363" ht="16.5" customHeight="1"/>
    <row r="7364" ht="16.5" customHeight="1"/>
    <row r="7365" ht="16.5" customHeight="1"/>
    <row r="7366" ht="16.5" customHeight="1"/>
    <row r="7367" ht="16.5" customHeight="1"/>
    <row r="7368" ht="16.5" customHeight="1"/>
    <row r="7369" ht="16.5" customHeight="1"/>
    <row r="7370" ht="16.5" customHeight="1"/>
    <row r="7371" ht="16.5" customHeight="1"/>
    <row r="7372" ht="16.5" customHeight="1"/>
    <row r="7373" ht="16.5" customHeight="1"/>
    <row r="7374" ht="16.5" customHeight="1"/>
    <row r="7375" ht="16.5" customHeight="1"/>
    <row r="7376" ht="16.5" customHeight="1"/>
    <row r="7377" ht="16.5" customHeight="1"/>
    <row r="7378" ht="16.5" customHeight="1"/>
    <row r="7379" ht="16.5" customHeight="1"/>
    <row r="7380" ht="16.5" customHeight="1"/>
    <row r="7381" ht="16.5" customHeight="1"/>
    <row r="7382" ht="16.5" customHeight="1"/>
    <row r="7383" ht="16.5" customHeight="1"/>
    <row r="7384" ht="16.5" customHeight="1"/>
    <row r="7385" ht="16.5" customHeight="1"/>
    <row r="7386" ht="16.5" customHeight="1"/>
    <row r="7387" ht="16.5" customHeight="1"/>
    <row r="7388" ht="16.5" customHeight="1"/>
    <row r="7389" ht="16.5" customHeight="1"/>
    <row r="7390" ht="16.5" customHeight="1"/>
    <row r="7391" ht="16.5" customHeight="1"/>
    <row r="7392" ht="16.5" customHeight="1"/>
    <row r="7393" ht="16.5" customHeight="1"/>
    <row r="7394" ht="16.5" customHeight="1"/>
    <row r="7395" ht="16.5" customHeight="1"/>
    <row r="7396" ht="16.5" customHeight="1"/>
    <row r="7397" ht="16.5" customHeight="1"/>
    <row r="7398" ht="16.5" customHeight="1"/>
    <row r="7399" ht="16.5" customHeight="1"/>
    <row r="7400" ht="16.5" customHeight="1"/>
    <row r="7401" ht="16.5" customHeight="1"/>
    <row r="7402" ht="16.5" customHeight="1"/>
    <row r="7403" ht="16.5" customHeight="1"/>
    <row r="7404" ht="16.5" customHeight="1"/>
    <row r="7405" ht="16.5" customHeight="1"/>
    <row r="7406" ht="16.5" customHeight="1"/>
    <row r="7407" ht="16.5" customHeight="1"/>
    <row r="7408" ht="16.5" customHeight="1"/>
    <row r="7409" ht="16.5" customHeight="1"/>
    <row r="7410" ht="16.5" customHeight="1"/>
    <row r="7411" ht="16.5" customHeight="1"/>
    <row r="7412" ht="16.5" customHeight="1"/>
    <row r="7413" ht="16.5" customHeight="1"/>
    <row r="7414" ht="16.5" customHeight="1"/>
    <row r="7415" ht="16.5" customHeight="1"/>
    <row r="7416" ht="16.5" customHeight="1"/>
    <row r="7417" ht="16.5" customHeight="1"/>
    <row r="7418" ht="16.5" customHeight="1"/>
    <row r="7419" ht="16.5" customHeight="1"/>
    <row r="7420" ht="16.5" customHeight="1"/>
    <row r="7421" ht="16.5" customHeight="1"/>
    <row r="7422" ht="16.5" customHeight="1"/>
    <row r="7423" ht="16.5" customHeight="1"/>
    <row r="7424" ht="16.5" customHeight="1"/>
    <row r="7425" ht="16.5" customHeight="1"/>
    <row r="7426" ht="16.5" customHeight="1"/>
    <row r="7427" ht="16.5" customHeight="1"/>
    <row r="7428" ht="16.5" customHeight="1"/>
    <row r="7429" ht="16.5" customHeight="1"/>
    <row r="7430" ht="16.5" customHeight="1"/>
    <row r="7431" ht="16.5" customHeight="1"/>
    <row r="7432" ht="16.5" customHeight="1"/>
    <row r="7433" ht="16.5" customHeight="1"/>
    <row r="7434" ht="16.5" customHeight="1"/>
    <row r="7435" ht="16.5" customHeight="1"/>
    <row r="7436" ht="16.5" customHeight="1"/>
    <row r="7437" ht="16.5" customHeight="1"/>
    <row r="7438" ht="16.5" customHeight="1"/>
    <row r="7439" ht="16.5" customHeight="1"/>
    <row r="7440" ht="16.5" customHeight="1"/>
    <row r="7441" ht="16.5" customHeight="1"/>
    <row r="7442" ht="16.5" customHeight="1"/>
    <row r="7443" ht="16.5" customHeight="1"/>
    <row r="7444" ht="16.5" customHeight="1"/>
    <row r="7445" ht="16.5" customHeight="1"/>
    <row r="7446" ht="16.5" customHeight="1"/>
    <row r="7447" ht="16.5" customHeight="1"/>
    <row r="7448" ht="16.5" customHeight="1"/>
    <row r="7449" ht="16.5" customHeight="1"/>
    <row r="7450" ht="16.5" customHeight="1"/>
    <row r="7451" ht="16.5" customHeight="1"/>
    <row r="7452" ht="16.5" customHeight="1"/>
    <row r="7453" ht="16.5" customHeight="1"/>
    <row r="7454" ht="16.5" customHeight="1"/>
    <row r="7455" ht="16.5" customHeight="1"/>
    <row r="7456" ht="16.5" customHeight="1"/>
    <row r="7457" ht="16.5" customHeight="1"/>
    <row r="7458" ht="16.5" customHeight="1"/>
    <row r="7459" ht="16.5" customHeight="1"/>
    <row r="7460" ht="16.5" customHeight="1"/>
    <row r="7461" ht="16.5" customHeight="1"/>
    <row r="7462" ht="16.5" customHeight="1"/>
    <row r="7463" ht="16.5" customHeight="1"/>
    <row r="7464" ht="16.5" customHeight="1"/>
    <row r="7465" ht="16.5" customHeight="1"/>
    <row r="7466" ht="16.5" customHeight="1"/>
    <row r="7467" ht="16.5" customHeight="1"/>
    <row r="7468" ht="16.5" customHeight="1"/>
    <row r="7469" ht="16.5" customHeight="1"/>
    <row r="7470" ht="16.5" customHeight="1"/>
    <row r="7471" ht="16.5" customHeight="1"/>
    <row r="7472" ht="16.5" customHeight="1"/>
    <row r="7473" ht="16.5" customHeight="1"/>
    <row r="7474" ht="16.5" customHeight="1"/>
    <row r="7475" ht="16.5" customHeight="1"/>
    <row r="7476" ht="16.5" customHeight="1"/>
    <row r="7477" ht="16.5" customHeight="1"/>
    <row r="7478" ht="16.5" customHeight="1"/>
    <row r="7479" ht="16.5" customHeight="1"/>
    <row r="7480" ht="16.5" customHeight="1"/>
    <row r="7481" ht="16.5" customHeight="1"/>
    <row r="7482" ht="16.5" customHeight="1"/>
    <row r="7483" ht="16.5" customHeight="1"/>
    <row r="7484" ht="16.5" customHeight="1"/>
    <row r="7485" ht="16.5" customHeight="1"/>
    <row r="7486" ht="16.5" customHeight="1"/>
    <row r="7487" ht="16.5" customHeight="1"/>
    <row r="7488" ht="16.5" customHeight="1"/>
    <row r="7489" ht="16.5" customHeight="1"/>
    <row r="7490" ht="16.5" customHeight="1"/>
    <row r="7491" ht="16.5" customHeight="1"/>
    <row r="7492" ht="16.5" customHeight="1"/>
    <row r="7493" ht="16.5" customHeight="1"/>
    <row r="7494" ht="16.5" customHeight="1"/>
    <row r="7495" ht="16.5" customHeight="1"/>
    <row r="7496" ht="16.5" customHeight="1"/>
    <row r="7497" ht="16.5" customHeight="1"/>
    <row r="7498" ht="16.5" customHeight="1"/>
    <row r="7499" ht="16.5" customHeight="1"/>
    <row r="7500" ht="16.5" customHeight="1"/>
    <row r="7501" ht="16.5" customHeight="1"/>
    <row r="7502" ht="16.5" customHeight="1"/>
    <row r="7503" ht="16.5" customHeight="1"/>
    <row r="7504" ht="16.5" customHeight="1"/>
    <row r="7505" ht="16.5" customHeight="1"/>
    <row r="7506" ht="16.5" customHeight="1"/>
    <row r="7507" ht="16.5" customHeight="1"/>
    <row r="7508" ht="16.5" customHeight="1"/>
    <row r="7509" ht="16.5" customHeight="1"/>
    <row r="7510" ht="16.5" customHeight="1"/>
    <row r="7511" ht="16.5" customHeight="1"/>
    <row r="7512" ht="16.5" customHeight="1"/>
    <row r="7513" ht="16.5" customHeight="1"/>
    <row r="7514" ht="16.5" customHeight="1"/>
    <row r="7515" ht="16.5" customHeight="1"/>
    <row r="7516" ht="16.5" customHeight="1"/>
    <row r="7517" ht="16.5" customHeight="1"/>
    <row r="7518" ht="16.5" customHeight="1"/>
    <row r="7519" ht="16.5" customHeight="1"/>
    <row r="7520" ht="16.5" customHeight="1"/>
    <row r="7521" ht="16.5" customHeight="1"/>
    <row r="7522" ht="16.5" customHeight="1"/>
    <row r="7523" ht="16.5" customHeight="1"/>
    <row r="7524" ht="16.5" customHeight="1"/>
    <row r="7525" ht="16.5" customHeight="1"/>
    <row r="7526" ht="16.5" customHeight="1"/>
    <row r="7527" ht="16.5" customHeight="1"/>
    <row r="7528" ht="16.5" customHeight="1"/>
    <row r="7529" ht="16.5" customHeight="1"/>
    <row r="7530" ht="16.5" customHeight="1"/>
    <row r="7531" ht="16.5" customHeight="1"/>
    <row r="7532" ht="16.5" customHeight="1"/>
    <row r="7533" ht="16.5" customHeight="1"/>
    <row r="7534" ht="16.5" customHeight="1"/>
    <row r="7535" ht="16.5" customHeight="1"/>
    <row r="7536" ht="16.5" customHeight="1"/>
    <row r="7537" ht="16.5" customHeight="1"/>
    <row r="7538" ht="16.5" customHeight="1"/>
    <row r="7539" ht="16.5" customHeight="1"/>
    <row r="7540" ht="16.5" customHeight="1"/>
    <row r="7541" ht="16.5" customHeight="1"/>
    <row r="7542" ht="16.5" customHeight="1"/>
    <row r="7543" ht="16.5" customHeight="1"/>
    <row r="7544" ht="16.5" customHeight="1"/>
    <row r="7545" ht="16.5" customHeight="1"/>
    <row r="7546" ht="16.5" customHeight="1"/>
    <row r="7547" ht="16.5" customHeight="1"/>
    <row r="7548" ht="16.5" customHeight="1"/>
    <row r="7549" ht="16.5" customHeight="1"/>
    <row r="7550" ht="16.5" customHeight="1"/>
    <row r="7551" ht="16.5" customHeight="1"/>
    <row r="7552" ht="16.5" customHeight="1"/>
    <row r="7553" ht="16.5" customHeight="1"/>
    <row r="7554" ht="16.5" customHeight="1"/>
    <row r="7555" ht="16.5" customHeight="1"/>
    <row r="7556" ht="16.5" customHeight="1"/>
    <row r="7557" ht="16.5" customHeight="1"/>
    <row r="7558" ht="16.5" customHeight="1"/>
    <row r="7559" ht="16.5" customHeight="1"/>
    <row r="7560" ht="16.5" customHeight="1"/>
    <row r="7561" ht="16.5" customHeight="1"/>
    <row r="7562" ht="16.5" customHeight="1"/>
    <row r="7563" ht="16.5" customHeight="1"/>
    <row r="7564" ht="16.5" customHeight="1"/>
    <row r="7565" ht="16.5" customHeight="1"/>
    <row r="7566" ht="16.5" customHeight="1"/>
    <row r="7567" ht="16.5" customHeight="1"/>
    <row r="7568" ht="16.5" customHeight="1"/>
    <row r="7569" ht="16.5" customHeight="1"/>
    <row r="7570" ht="16.5" customHeight="1"/>
    <row r="7571" ht="16.5" customHeight="1"/>
    <row r="7572" ht="16.5" customHeight="1"/>
    <row r="7573" ht="16.5" customHeight="1"/>
    <row r="7574" ht="16.5" customHeight="1"/>
    <row r="7575" ht="16.5" customHeight="1"/>
    <row r="7576" ht="16.5" customHeight="1"/>
    <row r="7577" ht="16.5" customHeight="1"/>
    <row r="7578" ht="16.5" customHeight="1"/>
    <row r="7579" ht="16.5" customHeight="1"/>
    <row r="7580" ht="16.5" customHeight="1"/>
    <row r="7581" ht="16.5" customHeight="1"/>
    <row r="7582" ht="16.5" customHeight="1"/>
    <row r="7583" ht="16.5" customHeight="1"/>
    <row r="7584" ht="16.5" customHeight="1"/>
    <row r="7585" ht="16.5" customHeight="1"/>
    <row r="7586" ht="16.5" customHeight="1"/>
    <row r="7587" ht="16.5" customHeight="1"/>
    <row r="7588" ht="16.5" customHeight="1"/>
    <row r="7589" ht="16.5" customHeight="1"/>
    <row r="7590" ht="16.5" customHeight="1"/>
    <row r="7591" ht="16.5" customHeight="1"/>
    <row r="7592" ht="16.5" customHeight="1"/>
    <row r="7593" ht="16.5" customHeight="1"/>
    <row r="7594" ht="16.5" customHeight="1"/>
    <row r="7595" ht="16.5" customHeight="1"/>
    <row r="7596" ht="16.5" customHeight="1"/>
    <row r="7597" ht="16.5" customHeight="1"/>
    <row r="7598" ht="16.5" customHeight="1"/>
    <row r="7599" ht="16.5" customHeight="1"/>
    <row r="7600" ht="16.5" customHeight="1"/>
    <row r="7601" ht="16.5" customHeight="1"/>
    <row r="7602" ht="16.5" customHeight="1"/>
    <row r="7603" ht="16.5" customHeight="1"/>
    <row r="7604" ht="16.5" customHeight="1"/>
    <row r="7605" ht="16.5" customHeight="1"/>
    <row r="7606" ht="16.5" customHeight="1"/>
    <row r="7607" ht="16.5" customHeight="1"/>
    <row r="7608" ht="16.5" customHeight="1"/>
    <row r="7609" ht="16.5" customHeight="1"/>
    <row r="7610" ht="16.5" customHeight="1"/>
    <row r="7611" ht="16.5" customHeight="1"/>
    <row r="7612" ht="16.5" customHeight="1"/>
    <row r="7613" ht="16.5" customHeight="1"/>
    <row r="7614" ht="16.5" customHeight="1"/>
    <row r="7615" ht="16.5" customHeight="1"/>
    <row r="7616" ht="16.5" customHeight="1"/>
    <row r="7617" ht="16.5" customHeight="1"/>
    <row r="7618" ht="16.5" customHeight="1"/>
    <row r="7619" ht="16.5" customHeight="1"/>
    <row r="7620" ht="16.5" customHeight="1"/>
    <row r="7621" ht="16.5" customHeight="1"/>
    <row r="7622" ht="16.5" customHeight="1"/>
    <row r="7623" ht="16.5" customHeight="1"/>
    <row r="7624" ht="16.5" customHeight="1"/>
    <row r="7625" ht="16.5" customHeight="1"/>
    <row r="7626" ht="16.5" customHeight="1"/>
    <row r="7627" ht="16.5" customHeight="1"/>
    <row r="7628" ht="16.5" customHeight="1"/>
    <row r="7629" ht="16.5" customHeight="1"/>
    <row r="7630" ht="16.5" customHeight="1"/>
    <row r="7631" ht="16.5" customHeight="1"/>
    <row r="7632" ht="16.5" customHeight="1"/>
    <row r="7633" ht="16.5" customHeight="1"/>
    <row r="7634" ht="16.5" customHeight="1"/>
    <row r="7635" ht="16.5" customHeight="1"/>
    <row r="7636" ht="16.5" customHeight="1"/>
    <row r="7637" ht="16.5" customHeight="1"/>
    <row r="7638" ht="16.5" customHeight="1"/>
    <row r="7639" ht="16.5" customHeight="1"/>
    <row r="7640" ht="16.5" customHeight="1"/>
    <row r="7641" ht="16.5" customHeight="1"/>
    <row r="7642" ht="16.5" customHeight="1"/>
    <row r="7643" ht="16.5" customHeight="1"/>
    <row r="7644" ht="16.5" customHeight="1"/>
    <row r="7645" ht="16.5" customHeight="1"/>
    <row r="7646" ht="16.5" customHeight="1"/>
    <row r="7647" ht="16.5" customHeight="1"/>
    <row r="7648" ht="16.5" customHeight="1"/>
    <row r="7649" ht="16.5" customHeight="1"/>
    <row r="7650" ht="16.5" customHeight="1"/>
    <row r="7651" ht="16.5" customHeight="1"/>
    <row r="7652" ht="16.5" customHeight="1"/>
    <row r="7653" ht="16.5" customHeight="1"/>
    <row r="7654" ht="16.5" customHeight="1"/>
    <row r="7655" ht="16.5" customHeight="1"/>
    <row r="7656" ht="16.5" customHeight="1"/>
    <row r="7657" ht="16.5" customHeight="1"/>
    <row r="7658" ht="16.5" customHeight="1"/>
    <row r="7659" ht="16.5" customHeight="1"/>
    <row r="7660" ht="16.5" customHeight="1"/>
    <row r="7661" ht="16.5" customHeight="1"/>
    <row r="7662" ht="16.5" customHeight="1"/>
    <row r="7663" ht="16.5" customHeight="1"/>
    <row r="7664" ht="16.5" customHeight="1"/>
    <row r="7665" ht="16.5" customHeight="1"/>
    <row r="7666" ht="16.5" customHeight="1"/>
    <row r="7667" ht="16.5" customHeight="1"/>
    <row r="7668" ht="16.5" customHeight="1"/>
    <row r="7669" ht="16.5" customHeight="1"/>
    <row r="7670" ht="16.5" customHeight="1"/>
    <row r="7671" ht="16.5" customHeight="1"/>
    <row r="7672" ht="16.5" customHeight="1"/>
    <row r="7673" ht="16.5" customHeight="1"/>
    <row r="7674" ht="16.5" customHeight="1"/>
    <row r="7675" ht="16.5" customHeight="1"/>
    <row r="7676" ht="16.5" customHeight="1"/>
    <row r="7677" ht="16.5" customHeight="1"/>
    <row r="7678" ht="16.5" customHeight="1"/>
    <row r="7679" ht="16.5" customHeight="1"/>
    <row r="7680" ht="16.5" customHeight="1"/>
    <row r="7681" ht="16.5" customHeight="1"/>
    <row r="7682" ht="16.5" customHeight="1"/>
    <row r="7683" ht="16.5" customHeight="1"/>
    <row r="7684" ht="16.5" customHeight="1"/>
    <row r="7685" ht="16.5" customHeight="1"/>
    <row r="7686" ht="16.5" customHeight="1"/>
    <row r="7687" ht="16.5" customHeight="1"/>
    <row r="7688" ht="16.5" customHeight="1"/>
    <row r="7689" ht="16.5" customHeight="1"/>
    <row r="7690" ht="16.5" customHeight="1"/>
    <row r="7691" ht="16.5" customHeight="1"/>
    <row r="7692" ht="16.5" customHeight="1"/>
    <row r="7693" ht="16.5" customHeight="1"/>
    <row r="7694" ht="16.5" customHeight="1"/>
    <row r="7695" ht="16.5" customHeight="1"/>
    <row r="7696" ht="16.5" customHeight="1"/>
    <row r="7697" ht="16.5" customHeight="1"/>
    <row r="7698" ht="16.5" customHeight="1"/>
    <row r="7699" ht="16.5" customHeight="1"/>
    <row r="7700" ht="16.5" customHeight="1"/>
    <row r="7701" ht="16.5" customHeight="1"/>
    <row r="7702" ht="16.5" customHeight="1"/>
    <row r="7703" ht="16.5" customHeight="1"/>
    <row r="7704" ht="16.5" customHeight="1"/>
    <row r="7705" ht="16.5" customHeight="1"/>
    <row r="7706" ht="16.5" customHeight="1"/>
    <row r="7707" ht="16.5" customHeight="1"/>
    <row r="7708" ht="16.5" customHeight="1"/>
    <row r="7709" ht="16.5" customHeight="1"/>
    <row r="7710" ht="16.5" customHeight="1"/>
    <row r="7711" ht="16.5" customHeight="1"/>
    <row r="7712" ht="16.5" customHeight="1"/>
    <row r="7713" ht="16.5" customHeight="1"/>
    <row r="7714" ht="16.5" customHeight="1"/>
    <row r="7715" ht="16.5" customHeight="1"/>
    <row r="7716" ht="16.5" customHeight="1"/>
    <row r="7717" ht="16.5" customHeight="1"/>
    <row r="7718" ht="16.5" customHeight="1"/>
    <row r="7719" ht="16.5" customHeight="1"/>
    <row r="7720" ht="16.5" customHeight="1"/>
    <row r="7721" ht="16.5" customHeight="1"/>
    <row r="7722" ht="16.5" customHeight="1"/>
    <row r="7723" ht="16.5" customHeight="1"/>
    <row r="7724" ht="16.5" customHeight="1"/>
    <row r="7725" ht="16.5" customHeight="1"/>
    <row r="7726" ht="16.5" customHeight="1"/>
    <row r="7727" ht="16.5" customHeight="1"/>
    <row r="7728" ht="16.5" customHeight="1"/>
    <row r="7729" ht="16.5" customHeight="1"/>
    <row r="7730" ht="16.5" customHeight="1"/>
    <row r="7731" ht="16.5" customHeight="1"/>
    <row r="7732" ht="16.5" customHeight="1"/>
    <row r="7733" ht="16.5" customHeight="1"/>
    <row r="7734" ht="16.5" customHeight="1"/>
    <row r="7735" ht="16.5" customHeight="1"/>
    <row r="7736" ht="16.5" customHeight="1"/>
    <row r="7737" ht="16.5" customHeight="1"/>
    <row r="7738" ht="16.5" customHeight="1"/>
    <row r="7739" ht="16.5" customHeight="1"/>
    <row r="7740" ht="16.5" customHeight="1"/>
    <row r="7741" ht="16.5" customHeight="1"/>
    <row r="7742" ht="16.5" customHeight="1"/>
    <row r="7743" ht="16.5" customHeight="1"/>
    <row r="7744" ht="16.5" customHeight="1"/>
    <row r="7745" ht="16.5" customHeight="1"/>
    <row r="7746" ht="16.5" customHeight="1"/>
    <row r="7747" ht="16.5" customHeight="1"/>
    <row r="7748" ht="16.5" customHeight="1"/>
    <row r="7749" ht="16.5" customHeight="1"/>
    <row r="7750" ht="16.5" customHeight="1"/>
    <row r="7751" ht="16.5" customHeight="1"/>
    <row r="7752" ht="16.5" customHeight="1"/>
    <row r="7753" ht="16.5" customHeight="1"/>
    <row r="7754" ht="16.5" customHeight="1"/>
    <row r="7755" ht="16.5" customHeight="1"/>
    <row r="7756" ht="16.5" customHeight="1"/>
    <row r="7757" ht="16.5" customHeight="1"/>
    <row r="7758" ht="16.5" customHeight="1"/>
    <row r="7759" ht="16.5" customHeight="1"/>
    <row r="7760" ht="16.5" customHeight="1"/>
    <row r="7761" ht="16.5" customHeight="1"/>
    <row r="7762" ht="16.5" customHeight="1"/>
    <row r="7763" ht="16.5" customHeight="1"/>
    <row r="7764" ht="16.5" customHeight="1"/>
    <row r="7765" ht="16.5" customHeight="1"/>
    <row r="7766" ht="16.5" customHeight="1"/>
    <row r="7767" ht="16.5" customHeight="1"/>
    <row r="7768" ht="16.5" customHeight="1"/>
    <row r="7769" ht="16.5" customHeight="1"/>
    <row r="7770" ht="16.5" customHeight="1"/>
    <row r="7771" ht="16.5" customHeight="1"/>
    <row r="7772" ht="16.5" customHeight="1"/>
    <row r="7773" ht="16.5" customHeight="1"/>
    <row r="7774" ht="16.5" customHeight="1"/>
    <row r="7775" ht="16.5" customHeight="1"/>
    <row r="7776" ht="16.5" customHeight="1"/>
    <row r="7777" ht="16.5" customHeight="1"/>
    <row r="7778" ht="16.5" customHeight="1"/>
    <row r="7779" ht="16.5" customHeight="1"/>
    <row r="7780" ht="16.5" customHeight="1"/>
    <row r="7781" ht="16.5" customHeight="1"/>
    <row r="7782" ht="16.5" customHeight="1"/>
    <row r="7783" ht="16.5" customHeight="1"/>
    <row r="7784" ht="16.5" customHeight="1"/>
    <row r="7785" ht="16.5" customHeight="1"/>
    <row r="7786" ht="16.5" customHeight="1"/>
    <row r="7787" ht="16.5" customHeight="1"/>
    <row r="7788" ht="16.5" customHeight="1"/>
    <row r="7789" ht="16.5" customHeight="1"/>
    <row r="7790" ht="16.5" customHeight="1"/>
    <row r="7791" ht="16.5" customHeight="1"/>
    <row r="7792" ht="16.5" customHeight="1"/>
    <row r="7793" ht="16.5" customHeight="1"/>
    <row r="7794" ht="16.5" customHeight="1"/>
    <row r="7795" ht="16.5" customHeight="1"/>
    <row r="7796" ht="16.5" customHeight="1"/>
    <row r="7797" ht="16.5" customHeight="1"/>
    <row r="7798" ht="16.5" customHeight="1"/>
    <row r="7799" ht="16.5" customHeight="1"/>
    <row r="7800" ht="16.5" customHeight="1"/>
    <row r="7801" ht="16.5" customHeight="1"/>
    <row r="7802" ht="16.5" customHeight="1"/>
    <row r="7803" ht="16.5" customHeight="1"/>
    <row r="7804" ht="16.5" customHeight="1"/>
    <row r="7805" ht="16.5" customHeight="1"/>
    <row r="7806" ht="16.5" customHeight="1"/>
    <row r="7807" ht="16.5" customHeight="1"/>
    <row r="7808" ht="16.5" customHeight="1"/>
    <row r="7809" ht="16.5" customHeight="1"/>
    <row r="7810" ht="16.5" customHeight="1"/>
    <row r="7811" ht="16.5" customHeight="1"/>
    <row r="7812" ht="16.5" customHeight="1"/>
    <row r="7813" ht="16.5" customHeight="1"/>
    <row r="7814" ht="16.5" customHeight="1"/>
    <row r="7815" ht="16.5" customHeight="1"/>
    <row r="7816" ht="16.5" customHeight="1"/>
    <row r="7817" ht="16.5" customHeight="1"/>
    <row r="7818" ht="16.5" customHeight="1"/>
    <row r="7819" ht="16.5" customHeight="1"/>
    <row r="7820" ht="16.5" customHeight="1"/>
    <row r="7821" ht="16.5" customHeight="1"/>
    <row r="7822" ht="16.5" customHeight="1"/>
    <row r="7823" ht="16.5" customHeight="1"/>
    <row r="7824" ht="16.5" customHeight="1"/>
    <row r="7825" ht="16.5" customHeight="1"/>
    <row r="7826" ht="16.5" customHeight="1"/>
    <row r="7827" ht="16.5" customHeight="1"/>
    <row r="7828" ht="16.5" customHeight="1"/>
    <row r="7829" ht="16.5" customHeight="1"/>
    <row r="7830" ht="16.5" customHeight="1"/>
    <row r="7831" ht="16.5" customHeight="1"/>
    <row r="7832" ht="16.5" customHeight="1"/>
    <row r="7833" ht="16.5" customHeight="1"/>
    <row r="7834" ht="16.5" customHeight="1"/>
    <row r="7835" ht="16.5" customHeight="1"/>
    <row r="7836" ht="16.5" customHeight="1"/>
    <row r="7837" ht="16.5" customHeight="1"/>
    <row r="7838" ht="16.5" customHeight="1"/>
    <row r="7839" ht="16.5" customHeight="1"/>
    <row r="7840" ht="16.5" customHeight="1"/>
    <row r="7841" ht="16.5" customHeight="1"/>
    <row r="7842" ht="16.5" customHeight="1"/>
    <row r="7843" ht="16.5" customHeight="1"/>
    <row r="7844" ht="16.5" customHeight="1"/>
    <row r="7845" ht="16.5" customHeight="1"/>
    <row r="7846" ht="16.5" customHeight="1"/>
    <row r="7847" ht="16.5" customHeight="1"/>
    <row r="7848" ht="16.5" customHeight="1"/>
    <row r="7849" ht="16.5" customHeight="1"/>
    <row r="7850" ht="16.5" customHeight="1"/>
    <row r="7851" ht="16.5" customHeight="1"/>
    <row r="7852" ht="16.5" customHeight="1"/>
    <row r="7853" ht="16.5" customHeight="1"/>
    <row r="7854" ht="16.5" customHeight="1"/>
    <row r="7855" ht="16.5" customHeight="1"/>
    <row r="7856" ht="16.5" customHeight="1"/>
    <row r="7857" ht="16.5" customHeight="1"/>
    <row r="7858" ht="16.5" customHeight="1"/>
    <row r="7859" ht="16.5" customHeight="1"/>
    <row r="7860" ht="16.5" customHeight="1"/>
    <row r="7861" ht="16.5" customHeight="1"/>
    <row r="7862" ht="16.5" customHeight="1"/>
    <row r="7863" ht="16.5" customHeight="1"/>
    <row r="7864" ht="16.5" customHeight="1"/>
    <row r="7865" ht="16.5" customHeight="1"/>
    <row r="7866" ht="16.5" customHeight="1"/>
    <row r="7867" ht="16.5" customHeight="1"/>
    <row r="7868" ht="16.5" customHeight="1"/>
    <row r="7869" ht="16.5" customHeight="1"/>
    <row r="7870" ht="16.5" customHeight="1"/>
    <row r="7871" ht="16.5" customHeight="1"/>
    <row r="7872" ht="16.5" customHeight="1"/>
    <row r="7873" ht="16.5" customHeight="1"/>
    <row r="7874" ht="16.5" customHeight="1"/>
    <row r="7875" ht="16.5" customHeight="1"/>
    <row r="7876" ht="16.5" customHeight="1"/>
    <row r="7877" ht="16.5" customHeight="1"/>
    <row r="7878" ht="16.5" customHeight="1"/>
    <row r="7879" ht="16.5" customHeight="1"/>
    <row r="7880" ht="16.5" customHeight="1"/>
    <row r="7881" ht="16.5" customHeight="1"/>
    <row r="7882" ht="16.5" customHeight="1"/>
    <row r="7883" ht="16.5" customHeight="1"/>
    <row r="7884" ht="16.5" customHeight="1"/>
    <row r="7885" ht="16.5" customHeight="1"/>
    <row r="7886" ht="16.5" customHeight="1"/>
    <row r="7887" ht="16.5" customHeight="1"/>
    <row r="7888" ht="16.5" customHeight="1"/>
    <row r="7889" ht="16.5" customHeight="1"/>
    <row r="7890" ht="16.5" customHeight="1"/>
    <row r="7891" ht="16.5" customHeight="1"/>
    <row r="7892" ht="16.5" customHeight="1"/>
    <row r="7893" ht="16.5" customHeight="1"/>
    <row r="7894" ht="16.5" customHeight="1"/>
    <row r="7895" ht="16.5" customHeight="1"/>
    <row r="7896" ht="16.5" customHeight="1"/>
    <row r="7897" ht="16.5" customHeight="1"/>
    <row r="7898" ht="16.5" customHeight="1"/>
    <row r="7899" ht="16.5" customHeight="1"/>
    <row r="7900" ht="16.5" customHeight="1"/>
    <row r="7901" ht="16.5" customHeight="1"/>
    <row r="7902" ht="16.5" customHeight="1"/>
    <row r="7903" ht="16.5" customHeight="1"/>
    <row r="7904" ht="16.5" customHeight="1"/>
    <row r="7905" ht="16.5" customHeight="1"/>
    <row r="7906" ht="16.5" customHeight="1"/>
    <row r="7907" ht="16.5" customHeight="1"/>
    <row r="7908" ht="16.5" customHeight="1"/>
    <row r="7909" ht="16.5" customHeight="1"/>
    <row r="7910" ht="16.5" customHeight="1"/>
    <row r="7911" ht="16.5" customHeight="1"/>
    <row r="7912" ht="16.5" customHeight="1"/>
    <row r="7913" ht="16.5" customHeight="1"/>
    <row r="7914" ht="16.5" customHeight="1"/>
    <row r="7915" ht="16.5" customHeight="1"/>
    <row r="7916" ht="16.5" customHeight="1"/>
    <row r="7917" ht="16.5" customHeight="1"/>
    <row r="7918" ht="16.5" customHeight="1"/>
    <row r="7919" ht="16.5" customHeight="1"/>
    <row r="7920" ht="16.5" customHeight="1"/>
    <row r="7921" ht="16.5" customHeight="1"/>
    <row r="7922" ht="16.5" customHeight="1"/>
    <row r="7923" ht="16.5" customHeight="1"/>
    <row r="7924" ht="16.5" customHeight="1"/>
    <row r="7925" ht="16.5" customHeight="1"/>
    <row r="7926" ht="16.5" customHeight="1"/>
    <row r="7927" ht="16.5" customHeight="1"/>
    <row r="7928" ht="16.5" customHeight="1"/>
    <row r="7929" ht="16.5" customHeight="1"/>
    <row r="7930" ht="16.5" customHeight="1"/>
    <row r="7931" ht="16.5" customHeight="1"/>
    <row r="7932" ht="16.5" customHeight="1"/>
    <row r="7933" ht="16.5" customHeight="1"/>
    <row r="7934" ht="16.5" customHeight="1"/>
    <row r="7935" ht="16.5" customHeight="1"/>
    <row r="7936" ht="16.5" customHeight="1"/>
    <row r="7937" ht="16.5" customHeight="1"/>
    <row r="7938" ht="16.5" customHeight="1"/>
    <row r="7939" ht="16.5" customHeight="1"/>
    <row r="7940" ht="16.5" customHeight="1"/>
    <row r="7941" ht="16.5" customHeight="1"/>
    <row r="7942" ht="16.5" customHeight="1"/>
    <row r="7943" ht="16.5" customHeight="1"/>
    <row r="7944" ht="16.5" customHeight="1"/>
    <row r="7945" ht="16.5" customHeight="1"/>
    <row r="7946" ht="16.5" customHeight="1"/>
    <row r="7947" ht="16.5" customHeight="1"/>
    <row r="7948" ht="16.5" customHeight="1"/>
    <row r="7949" ht="16.5" customHeight="1"/>
    <row r="7950" ht="16.5" customHeight="1"/>
    <row r="7951" ht="16.5" customHeight="1"/>
    <row r="7952" ht="16.5" customHeight="1"/>
    <row r="7953" ht="16.5" customHeight="1"/>
    <row r="7954" ht="16.5" customHeight="1"/>
    <row r="7955" ht="16.5" customHeight="1"/>
    <row r="7956" ht="16.5" customHeight="1"/>
    <row r="7957" ht="16.5" customHeight="1"/>
    <row r="7958" ht="16.5" customHeight="1"/>
    <row r="7959" ht="16.5" customHeight="1"/>
    <row r="7960" ht="16.5" customHeight="1"/>
    <row r="7961" ht="16.5" customHeight="1"/>
    <row r="7962" ht="16.5" customHeight="1"/>
    <row r="7963" ht="16.5" customHeight="1"/>
    <row r="7964" ht="16.5" customHeight="1"/>
    <row r="7965" ht="16.5" customHeight="1"/>
    <row r="7966" ht="16.5" customHeight="1"/>
    <row r="7967" ht="16.5" customHeight="1"/>
    <row r="7968" ht="16.5" customHeight="1"/>
    <row r="7969" ht="16.5" customHeight="1"/>
    <row r="7970" ht="16.5" customHeight="1"/>
    <row r="7971" ht="16.5" customHeight="1"/>
    <row r="7972" ht="16.5" customHeight="1"/>
    <row r="7973" ht="16.5" customHeight="1"/>
    <row r="7974" ht="16.5" customHeight="1"/>
    <row r="7975" ht="16.5" customHeight="1"/>
    <row r="7976" ht="16.5" customHeight="1"/>
    <row r="7977" ht="16.5" customHeight="1"/>
    <row r="7978" ht="16.5" customHeight="1"/>
    <row r="7979" ht="16.5" customHeight="1"/>
    <row r="7980" ht="16.5" customHeight="1"/>
    <row r="7981" ht="16.5" customHeight="1"/>
    <row r="7982" ht="16.5" customHeight="1"/>
    <row r="7983" ht="16.5" customHeight="1"/>
    <row r="7984" ht="16.5" customHeight="1"/>
    <row r="7985" ht="16.5" customHeight="1"/>
    <row r="7986" ht="16.5" customHeight="1"/>
    <row r="7987" ht="16.5" customHeight="1"/>
    <row r="7988" ht="16.5" customHeight="1"/>
    <row r="7989" ht="16.5" customHeight="1"/>
    <row r="7990" ht="16.5" customHeight="1"/>
    <row r="7991" ht="16.5" customHeight="1"/>
    <row r="7992" ht="16.5" customHeight="1"/>
    <row r="7993" ht="16.5" customHeight="1"/>
    <row r="7994" ht="16.5" customHeight="1"/>
    <row r="7995" ht="16.5" customHeight="1"/>
    <row r="7996" ht="16.5" customHeight="1"/>
    <row r="7997" ht="16.5" customHeight="1"/>
    <row r="7998" ht="16.5" customHeight="1"/>
    <row r="7999" ht="16.5" customHeight="1"/>
    <row r="8000" ht="16.5" customHeight="1"/>
    <row r="8001" ht="16.5" customHeight="1"/>
    <row r="8002" ht="16.5" customHeight="1"/>
    <row r="8003" ht="16.5" customHeight="1"/>
    <row r="8004" ht="16.5" customHeight="1"/>
    <row r="8005" ht="16.5" customHeight="1"/>
    <row r="8006" ht="16.5" customHeight="1"/>
    <row r="8007" ht="16.5" customHeight="1"/>
    <row r="8008" ht="16.5" customHeight="1"/>
    <row r="8009" ht="16.5" customHeight="1"/>
    <row r="8010" ht="16.5" customHeight="1"/>
    <row r="8011" ht="16.5" customHeight="1"/>
    <row r="8012" ht="16.5" customHeight="1"/>
    <row r="8013" ht="16.5" customHeight="1"/>
    <row r="8014" ht="16.5" customHeight="1"/>
    <row r="8015" ht="16.5" customHeight="1"/>
    <row r="8016" ht="16.5" customHeight="1"/>
    <row r="8017" ht="16.5" customHeight="1"/>
    <row r="8018" ht="16.5" customHeight="1"/>
    <row r="8019" ht="16.5" customHeight="1"/>
    <row r="8020" ht="16.5" customHeight="1"/>
    <row r="8021" ht="16.5" customHeight="1"/>
    <row r="8022" ht="16.5" customHeight="1"/>
    <row r="8023" ht="16.5" customHeight="1"/>
    <row r="8024" ht="16.5" customHeight="1"/>
    <row r="8025" ht="16.5" customHeight="1"/>
    <row r="8026" ht="16.5" customHeight="1"/>
    <row r="8027" ht="16.5" customHeight="1"/>
    <row r="8028" ht="16.5" customHeight="1"/>
    <row r="8029" ht="16.5" customHeight="1"/>
    <row r="8030" ht="16.5" customHeight="1"/>
    <row r="8031" ht="16.5" customHeight="1"/>
    <row r="8032" ht="16.5" customHeight="1"/>
    <row r="8033" ht="16.5" customHeight="1"/>
    <row r="8034" ht="16.5" customHeight="1"/>
    <row r="8035" ht="16.5" customHeight="1"/>
    <row r="8036" ht="16.5" customHeight="1"/>
    <row r="8037" ht="16.5" customHeight="1"/>
    <row r="8038" ht="16.5" customHeight="1"/>
    <row r="8039" ht="16.5" customHeight="1"/>
    <row r="8040" ht="16.5" customHeight="1"/>
    <row r="8041" ht="16.5" customHeight="1"/>
    <row r="8042" ht="16.5" customHeight="1"/>
    <row r="8043" ht="16.5" customHeight="1"/>
    <row r="8044" ht="16.5" customHeight="1"/>
    <row r="8045" ht="16.5" customHeight="1"/>
    <row r="8046" ht="16.5" customHeight="1"/>
    <row r="8047" ht="16.5" customHeight="1"/>
    <row r="8048" ht="16.5" customHeight="1"/>
    <row r="8049" ht="16.5" customHeight="1"/>
    <row r="8050" ht="16.5" customHeight="1"/>
    <row r="8051" ht="16.5" customHeight="1"/>
    <row r="8052" ht="16.5" customHeight="1"/>
    <row r="8053" ht="16.5" customHeight="1"/>
    <row r="8054" ht="16.5" customHeight="1"/>
    <row r="8055" ht="16.5" customHeight="1"/>
    <row r="8056" ht="16.5" customHeight="1"/>
    <row r="8057" ht="16.5" customHeight="1"/>
    <row r="8058" ht="16.5" customHeight="1"/>
    <row r="8059" ht="16.5" customHeight="1"/>
    <row r="8060" ht="16.5" customHeight="1"/>
    <row r="8061" ht="16.5" customHeight="1"/>
    <row r="8062" ht="16.5" customHeight="1"/>
    <row r="8063" ht="16.5" customHeight="1"/>
    <row r="8064" ht="16.5" customHeight="1"/>
    <row r="8065" ht="16.5" customHeight="1"/>
    <row r="8066" ht="16.5" customHeight="1"/>
    <row r="8067" ht="16.5" customHeight="1"/>
    <row r="8068" ht="16.5" customHeight="1"/>
    <row r="8069" ht="16.5" customHeight="1"/>
    <row r="8070" ht="16.5" customHeight="1"/>
    <row r="8071" ht="16.5" customHeight="1"/>
    <row r="8072" ht="16.5" customHeight="1"/>
    <row r="8073" ht="16.5" customHeight="1"/>
    <row r="8074" ht="16.5" customHeight="1"/>
    <row r="8075" ht="16.5" customHeight="1"/>
    <row r="8076" ht="16.5" customHeight="1"/>
    <row r="8077" ht="16.5" customHeight="1"/>
    <row r="8078" ht="16.5" customHeight="1"/>
    <row r="8079" ht="16.5" customHeight="1"/>
    <row r="8080" ht="16.5" customHeight="1"/>
    <row r="8081" ht="16.5" customHeight="1"/>
    <row r="8082" ht="16.5" customHeight="1"/>
    <row r="8083" ht="16.5" customHeight="1"/>
    <row r="8084" ht="16.5" customHeight="1"/>
    <row r="8085" ht="16.5" customHeight="1"/>
    <row r="8086" ht="16.5" customHeight="1"/>
    <row r="8087" ht="16.5" customHeight="1"/>
    <row r="8088" ht="16.5" customHeight="1"/>
    <row r="8089" ht="16.5" customHeight="1"/>
    <row r="8090" ht="16.5" customHeight="1"/>
    <row r="8091" ht="16.5" customHeight="1"/>
    <row r="8092" ht="16.5" customHeight="1"/>
    <row r="8093" ht="16.5" customHeight="1"/>
    <row r="8094" ht="16.5" customHeight="1"/>
    <row r="8095" ht="16.5" customHeight="1"/>
    <row r="8096" ht="16.5" customHeight="1"/>
    <row r="8097" ht="16.5" customHeight="1"/>
    <row r="8098" ht="16.5" customHeight="1"/>
    <row r="8099" ht="16.5" customHeight="1"/>
    <row r="8100" ht="16.5" customHeight="1"/>
    <row r="8101" ht="16.5" customHeight="1"/>
    <row r="8102" ht="16.5" customHeight="1"/>
    <row r="8103" ht="16.5" customHeight="1"/>
    <row r="8104" ht="16.5" customHeight="1"/>
    <row r="8105" ht="16.5" customHeight="1"/>
    <row r="8106" ht="16.5" customHeight="1"/>
    <row r="8107" ht="16.5" customHeight="1"/>
    <row r="8108" ht="16.5" customHeight="1"/>
    <row r="8109" ht="16.5" customHeight="1"/>
    <row r="8110" ht="16.5" customHeight="1"/>
    <row r="8111" ht="16.5" customHeight="1"/>
    <row r="8112" ht="16.5" customHeight="1"/>
    <row r="8113" ht="16.5" customHeight="1"/>
    <row r="8114" ht="16.5" customHeight="1"/>
    <row r="8115" ht="16.5" customHeight="1"/>
    <row r="8116" ht="16.5" customHeight="1"/>
    <row r="8117" ht="16.5" customHeight="1"/>
    <row r="8118" ht="16.5" customHeight="1"/>
    <row r="8119" ht="16.5" customHeight="1"/>
    <row r="8120" ht="16.5" customHeight="1"/>
    <row r="8121" ht="16.5" customHeight="1"/>
    <row r="8122" ht="16.5" customHeight="1"/>
    <row r="8123" ht="16.5" customHeight="1"/>
    <row r="8124" ht="16.5" customHeight="1"/>
    <row r="8125" ht="16.5" customHeight="1"/>
    <row r="8126" ht="16.5" customHeight="1"/>
    <row r="8127" ht="16.5" customHeight="1"/>
    <row r="8128" ht="16.5" customHeight="1"/>
    <row r="8129" ht="16.5" customHeight="1"/>
    <row r="8130" ht="16.5" customHeight="1"/>
    <row r="8131" ht="16.5" customHeight="1"/>
    <row r="8132" ht="16.5" customHeight="1"/>
    <row r="8133" ht="16.5" customHeight="1"/>
    <row r="8134" ht="16.5" customHeight="1"/>
    <row r="8135" ht="16.5" customHeight="1"/>
    <row r="8136" ht="16.5" customHeight="1"/>
    <row r="8137" ht="16.5" customHeight="1"/>
    <row r="8138" ht="16.5" customHeight="1"/>
    <row r="8139" ht="16.5" customHeight="1"/>
    <row r="8140" ht="16.5" customHeight="1"/>
    <row r="8141" ht="16.5" customHeight="1"/>
    <row r="8142" ht="16.5" customHeight="1"/>
    <row r="8143" ht="16.5" customHeight="1"/>
    <row r="8144" ht="16.5" customHeight="1"/>
    <row r="8145" ht="16.5" customHeight="1"/>
    <row r="8146" ht="16.5" customHeight="1"/>
    <row r="8147" ht="16.5" customHeight="1"/>
    <row r="8148" ht="16.5" customHeight="1"/>
    <row r="8149" ht="16.5" customHeight="1"/>
    <row r="8150" ht="16.5" customHeight="1"/>
    <row r="8151" ht="16.5" customHeight="1"/>
    <row r="8152" ht="16.5" customHeight="1"/>
    <row r="8153" ht="16.5" customHeight="1"/>
    <row r="8154" ht="16.5" customHeight="1"/>
    <row r="8155" ht="16.5" customHeight="1"/>
    <row r="8156" ht="16.5" customHeight="1"/>
    <row r="8157" ht="16.5" customHeight="1"/>
    <row r="8158" ht="16.5" customHeight="1"/>
    <row r="8159" ht="16.5" customHeight="1"/>
    <row r="8160" ht="16.5" customHeight="1"/>
    <row r="8161" ht="16.5" customHeight="1"/>
    <row r="8162" ht="16.5" customHeight="1"/>
    <row r="8163" ht="16.5" customHeight="1"/>
    <row r="8164" ht="16.5" customHeight="1"/>
    <row r="8165" ht="16.5" customHeight="1"/>
    <row r="8166" ht="16.5" customHeight="1"/>
    <row r="8167" ht="16.5" customHeight="1"/>
    <row r="8168" ht="16.5" customHeight="1"/>
    <row r="8169" ht="16.5" customHeight="1"/>
    <row r="8170" ht="16.5" customHeight="1"/>
    <row r="8171" ht="16.5" customHeight="1"/>
    <row r="8172" ht="16.5" customHeight="1"/>
    <row r="8173" ht="16.5" customHeight="1"/>
    <row r="8174" ht="16.5" customHeight="1"/>
    <row r="8175" ht="16.5" customHeight="1"/>
    <row r="8176" ht="16.5" customHeight="1"/>
    <row r="8177" ht="16.5" customHeight="1"/>
    <row r="8178" ht="16.5" customHeight="1"/>
    <row r="8179" ht="16.5" customHeight="1"/>
    <row r="8180" ht="16.5" customHeight="1"/>
    <row r="8181" ht="16.5" customHeight="1"/>
    <row r="8182" ht="16.5" customHeight="1"/>
    <row r="8183" ht="16.5" customHeight="1"/>
    <row r="8184" ht="16.5" customHeight="1"/>
    <row r="8185" ht="16.5" customHeight="1"/>
    <row r="8186" ht="16.5" customHeight="1"/>
    <row r="8187" ht="16.5" customHeight="1"/>
    <row r="8188" ht="16.5" customHeight="1"/>
    <row r="8189" ht="16.5" customHeight="1"/>
    <row r="8190" ht="16.5" customHeight="1"/>
    <row r="8191" ht="16.5" customHeight="1"/>
    <row r="8192" ht="16.5" customHeight="1"/>
    <row r="8193" ht="16.5" customHeight="1"/>
    <row r="8194" ht="16.5" customHeight="1"/>
    <row r="8195" ht="16.5" customHeight="1"/>
    <row r="8196" ht="16.5" customHeight="1"/>
    <row r="8197" ht="16.5" customHeight="1"/>
    <row r="8198" ht="16.5" customHeight="1"/>
    <row r="8199" ht="16.5" customHeight="1"/>
    <row r="8200" ht="16.5" customHeight="1"/>
    <row r="8201" ht="16.5" customHeight="1"/>
    <row r="8202" ht="16.5" customHeight="1"/>
    <row r="8203" ht="16.5" customHeight="1"/>
    <row r="8204" ht="16.5" customHeight="1"/>
    <row r="8205" ht="16.5" customHeight="1"/>
    <row r="8206" ht="16.5" customHeight="1"/>
    <row r="8207" ht="16.5" customHeight="1"/>
    <row r="8208" ht="16.5" customHeight="1"/>
    <row r="8209" ht="16.5" customHeight="1"/>
    <row r="8210" ht="16.5" customHeight="1"/>
    <row r="8211" ht="16.5" customHeight="1"/>
    <row r="8212" ht="16.5" customHeight="1"/>
    <row r="8213" ht="16.5" customHeight="1"/>
    <row r="8214" ht="16.5" customHeight="1"/>
    <row r="8215" ht="16.5" customHeight="1"/>
    <row r="8216" ht="16.5" customHeight="1"/>
    <row r="8217" ht="16.5" customHeight="1"/>
    <row r="8218" ht="16.5" customHeight="1"/>
    <row r="8219" ht="16.5" customHeight="1"/>
    <row r="8220" ht="16.5" customHeight="1"/>
    <row r="8221" ht="16.5" customHeight="1"/>
    <row r="8222" ht="16.5" customHeight="1"/>
    <row r="8223" ht="16.5" customHeight="1"/>
    <row r="8224" ht="16.5" customHeight="1"/>
    <row r="8225" ht="16.5" customHeight="1"/>
    <row r="8226" ht="16.5" customHeight="1"/>
    <row r="8227" ht="16.5" customHeight="1"/>
    <row r="8228" ht="16.5" customHeight="1"/>
    <row r="8229" ht="16.5" customHeight="1"/>
    <row r="8230" ht="16.5" customHeight="1"/>
    <row r="8231" ht="16.5" customHeight="1"/>
    <row r="8232" ht="16.5" customHeight="1"/>
    <row r="8233" ht="16.5" customHeight="1"/>
    <row r="8234" ht="16.5" customHeight="1"/>
    <row r="8235" ht="16.5" customHeight="1"/>
    <row r="8236" ht="16.5" customHeight="1"/>
    <row r="8237" ht="16.5" customHeight="1"/>
    <row r="8238" ht="16.5" customHeight="1"/>
    <row r="8239" ht="16.5" customHeight="1"/>
    <row r="8240" ht="16.5" customHeight="1"/>
    <row r="8241" ht="16.5" customHeight="1"/>
    <row r="8242" ht="16.5" customHeight="1"/>
    <row r="8243" ht="16.5" customHeight="1"/>
    <row r="8244" ht="16.5" customHeight="1"/>
    <row r="8245" ht="16.5" customHeight="1"/>
    <row r="8246" ht="16.5" customHeight="1"/>
    <row r="8247" ht="16.5" customHeight="1"/>
    <row r="8248" ht="16.5" customHeight="1"/>
    <row r="8249" ht="16.5" customHeight="1"/>
    <row r="8250" ht="16.5" customHeight="1"/>
    <row r="8251" ht="16.5" customHeight="1"/>
    <row r="8252" ht="16.5" customHeight="1"/>
    <row r="8253" ht="16.5" customHeight="1"/>
    <row r="8254" ht="16.5" customHeight="1"/>
    <row r="8255" ht="16.5" customHeight="1"/>
    <row r="8256" ht="16.5" customHeight="1"/>
    <row r="8257" ht="16.5" customHeight="1"/>
    <row r="8258" ht="16.5" customHeight="1"/>
    <row r="8259" ht="16.5" customHeight="1"/>
    <row r="8260" ht="16.5" customHeight="1"/>
    <row r="8261" ht="16.5" customHeight="1"/>
    <row r="8262" ht="16.5" customHeight="1"/>
    <row r="8263" ht="16.5" customHeight="1"/>
    <row r="8264" ht="16.5" customHeight="1"/>
    <row r="8265" ht="16.5" customHeight="1"/>
    <row r="8266" ht="16.5" customHeight="1"/>
    <row r="8267" ht="16.5" customHeight="1"/>
    <row r="8268" ht="16.5" customHeight="1"/>
    <row r="8269" ht="16.5" customHeight="1"/>
    <row r="8270" ht="16.5" customHeight="1"/>
    <row r="8271" ht="16.5" customHeight="1"/>
    <row r="8272" ht="16.5" customHeight="1"/>
    <row r="8273" ht="16.5" customHeight="1"/>
    <row r="8274" ht="16.5" customHeight="1"/>
    <row r="8275" ht="16.5" customHeight="1"/>
    <row r="8276" ht="16.5" customHeight="1"/>
    <row r="8277" ht="16.5" customHeight="1"/>
    <row r="8278" ht="16.5" customHeight="1"/>
    <row r="8279" ht="16.5" customHeight="1"/>
    <row r="8280" ht="16.5" customHeight="1"/>
    <row r="8281" ht="16.5" customHeight="1"/>
    <row r="8282" ht="16.5" customHeight="1"/>
    <row r="8283" ht="16.5" customHeight="1"/>
    <row r="8284" ht="16.5" customHeight="1"/>
    <row r="8285" ht="16.5" customHeight="1"/>
    <row r="8286" ht="16.5" customHeight="1"/>
    <row r="8287" ht="16.5" customHeight="1"/>
    <row r="8288" ht="16.5" customHeight="1"/>
    <row r="8289" ht="16.5" customHeight="1"/>
    <row r="8290" ht="16.5" customHeight="1"/>
    <row r="8291" ht="16.5" customHeight="1"/>
    <row r="8292" ht="16.5" customHeight="1"/>
    <row r="8293" ht="16.5" customHeight="1"/>
    <row r="8294" ht="16.5" customHeight="1"/>
    <row r="8295" ht="16.5" customHeight="1"/>
    <row r="8296" ht="16.5" customHeight="1"/>
    <row r="8297" ht="16.5" customHeight="1"/>
    <row r="8298" ht="16.5" customHeight="1"/>
    <row r="8299" ht="16.5" customHeight="1"/>
    <row r="8300" ht="16.5" customHeight="1"/>
    <row r="8301" ht="16.5" customHeight="1"/>
    <row r="8302" ht="16.5" customHeight="1"/>
    <row r="8303" ht="16.5" customHeight="1"/>
    <row r="8304" ht="16.5" customHeight="1"/>
    <row r="8305" ht="16.5" customHeight="1"/>
    <row r="8306" ht="16.5" customHeight="1"/>
    <row r="8307" ht="16.5" customHeight="1"/>
    <row r="8308" ht="16.5" customHeight="1"/>
    <row r="8309" ht="16.5" customHeight="1"/>
    <row r="8310" ht="16.5" customHeight="1"/>
    <row r="8311" ht="16.5" customHeight="1"/>
    <row r="8312" ht="16.5" customHeight="1"/>
    <row r="8313" ht="16.5" customHeight="1"/>
    <row r="8314" ht="16.5" customHeight="1"/>
    <row r="8315" ht="16.5" customHeight="1"/>
    <row r="8316" ht="16.5" customHeight="1"/>
    <row r="8317" ht="16.5" customHeight="1"/>
    <row r="8318" ht="16.5" customHeight="1"/>
    <row r="8319" ht="16.5" customHeight="1"/>
    <row r="8320" ht="16.5" customHeight="1"/>
    <row r="8321" ht="16.5" customHeight="1"/>
    <row r="8322" ht="16.5" customHeight="1"/>
    <row r="8323" ht="16.5" customHeight="1"/>
    <row r="8324" ht="16.5" customHeight="1"/>
    <row r="8325" ht="16.5" customHeight="1"/>
    <row r="8326" ht="16.5" customHeight="1"/>
    <row r="8327" ht="16.5" customHeight="1"/>
    <row r="8328" ht="16.5" customHeight="1"/>
    <row r="8329" ht="16.5" customHeight="1"/>
    <row r="8330" ht="16.5" customHeight="1"/>
    <row r="8331" ht="16.5" customHeight="1"/>
    <row r="8332" ht="16.5" customHeight="1"/>
    <row r="8333" ht="16.5" customHeight="1"/>
    <row r="8334" ht="16.5" customHeight="1"/>
    <row r="8335" ht="16.5" customHeight="1"/>
    <row r="8336" ht="16.5" customHeight="1"/>
    <row r="8337" ht="16.5" customHeight="1"/>
    <row r="8338" ht="16.5" customHeight="1"/>
    <row r="8339" ht="16.5" customHeight="1"/>
    <row r="8340" ht="16.5" customHeight="1"/>
    <row r="8341" ht="16.5" customHeight="1"/>
    <row r="8342" ht="16.5" customHeight="1"/>
    <row r="8343" ht="16.5" customHeight="1"/>
    <row r="8344" ht="16.5" customHeight="1"/>
    <row r="8345" ht="16.5" customHeight="1"/>
    <row r="8346" ht="16.5" customHeight="1"/>
    <row r="8347" ht="16.5" customHeight="1"/>
    <row r="8348" ht="16.5" customHeight="1"/>
    <row r="8349" ht="16.5" customHeight="1"/>
    <row r="8350" ht="16.5" customHeight="1"/>
    <row r="8351" ht="16.5" customHeight="1"/>
    <row r="8352" ht="16.5" customHeight="1"/>
    <row r="8353" ht="16.5" customHeight="1"/>
    <row r="8354" ht="16.5" customHeight="1"/>
    <row r="8355" ht="16.5" customHeight="1"/>
    <row r="8356" ht="16.5" customHeight="1"/>
    <row r="8357" ht="16.5" customHeight="1"/>
    <row r="8358" ht="16.5" customHeight="1"/>
    <row r="8359" ht="16.5" customHeight="1"/>
    <row r="8360" ht="16.5" customHeight="1"/>
    <row r="8361" ht="16.5" customHeight="1"/>
    <row r="8362" ht="16.5" customHeight="1"/>
    <row r="8363" ht="16.5" customHeight="1"/>
    <row r="8364" ht="16.5" customHeight="1"/>
    <row r="8365" ht="16.5" customHeight="1"/>
    <row r="8366" ht="16.5" customHeight="1"/>
    <row r="8367" ht="16.5" customHeight="1"/>
    <row r="8368" ht="16.5" customHeight="1"/>
    <row r="8369" ht="16.5" customHeight="1"/>
    <row r="8370" ht="16.5" customHeight="1"/>
    <row r="8371" ht="16.5" customHeight="1"/>
    <row r="8372" ht="16.5" customHeight="1"/>
    <row r="8373" ht="16.5" customHeight="1"/>
    <row r="8374" ht="16.5" customHeight="1"/>
    <row r="8375" ht="16.5" customHeight="1"/>
    <row r="8376" ht="16.5" customHeight="1"/>
    <row r="8377" ht="16.5" customHeight="1"/>
    <row r="8378" ht="16.5" customHeight="1"/>
    <row r="8379" ht="16.5" customHeight="1"/>
    <row r="8380" ht="16.5" customHeight="1"/>
    <row r="8381" ht="16.5" customHeight="1"/>
    <row r="8382" ht="16.5" customHeight="1"/>
    <row r="8383" ht="16.5" customHeight="1"/>
    <row r="8384" ht="16.5" customHeight="1"/>
    <row r="8385" ht="16.5" customHeight="1"/>
    <row r="8386" ht="16.5" customHeight="1"/>
    <row r="8387" ht="16.5" customHeight="1"/>
    <row r="8388" ht="16.5" customHeight="1"/>
    <row r="8389" ht="16.5" customHeight="1"/>
    <row r="8390" ht="16.5" customHeight="1"/>
    <row r="8391" ht="16.5" customHeight="1"/>
    <row r="8392" ht="16.5" customHeight="1"/>
    <row r="8393" ht="16.5" customHeight="1"/>
    <row r="8394" ht="16.5" customHeight="1"/>
    <row r="8395" ht="16.5" customHeight="1"/>
    <row r="8396" ht="16.5" customHeight="1"/>
    <row r="8397" ht="16.5" customHeight="1"/>
    <row r="8398" ht="16.5" customHeight="1"/>
    <row r="8399" ht="16.5" customHeight="1"/>
    <row r="8400" ht="16.5" customHeight="1"/>
    <row r="8401" ht="16.5" customHeight="1"/>
    <row r="8402" ht="16.5" customHeight="1"/>
    <row r="8403" ht="16.5" customHeight="1"/>
    <row r="8404" ht="16.5" customHeight="1"/>
    <row r="8405" ht="16.5" customHeight="1"/>
    <row r="8406" ht="16.5" customHeight="1"/>
    <row r="8407" ht="16.5" customHeight="1"/>
    <row r="8408" ht="16.5" customHeight="1"/>
    <row r="8409" ht="16.5" customHeight="1"/>
    <row r="8410" ht="16.5" customHeight="1"/>
    <row r="8411" ht="16.5" customHeight="1"/>
    <row r="8412" ht="16.5" customHeight="1"/>
    <row r="8413" ht="16.5" customHeight="1"/>
    <row r="8414" ht="16.5" customHeight="1"/>
    <row r="8415" ht="16.5" customHeight="1"/>
    <row r="8416" ht="16.5" customHeight="1"/>
    <row r="8417" ht="16.5" customHeight="1"/>
    <row r="8418" ht="16.5" customHeight="1"/>
    <row r="8419" ht="16.5" customHeight="1"/>
    <row r="8420" ht="16.5" customHeight="1"/>
    <row r="8421" ht="16.5" customHeight="1"/>
    <row r="8422" ht="16.5" customHeight="1"/>
    <row r="8423" ht="16.5" customHeight="1"/>
    <row r="8424" ht="16.5" customHeight="1"/>
    <row r="8425" ht="16.5" customHeight="1"/>
    <row r="8426" ht="16.5" customHeight="1"/>
    <row r="8427" ht="16.5" customHeight="1"/>
    <row r="8428" ht="16.5" customHeight="1"/>
    <row r="8429" ht="16.5" customHeight="1"/>
    <row r="8430" ht="16.5" customHeight="1"/>
    <row r="8431" ht="16.5" customHeight="1"/>
    <row r="8432" ht="16.5" customHeight="1"/>
    <row r="8433" ht="16.5" customHeight="1"/>
    <row r="8434" ht="16.5" customHeight="1"/>
    <row r="8435" ht="16.5" customHeight="1"/>
    <row r="8436" ht="16.5" customHeight="1"/>
    <row r="8437" ht="16.5" customHeight="1"/>
    <row r="8438" ht="16.5" customHeight="1"/>
    <row r="8439" ht="16.5" customHeight="1"/>
    <row r="8440" ht="16.5" customHeight="1"/>
    <row r="8441" ht="16.5" customHeight="1"/>
    <row r="8442" ht="16.5" customHeight="1"/>
    <row r="8443" ht="16.5" customHeight="1"/>
    <row r="8444" ht="16.5" customHeight="1"/>
    <row r="8445" ht="16.5" customHeight="1"/>
    <row r="8446" ht="16.5" customHeight="1"/>
    <row r="8447" ht="16.5" customHeight="1"/>
    <row r="8448" ht="16.5" customHeight="1"/>
    <row r="8449" ht="16.5" customHeight="1"/>
    <row r="8450" ht="16.5" customHeight="1"/>
    <row r="8451" ht="16.5" customHeight="1"/>
    <row r="8452" ht="16.5" customHeight="1"/>
    <row r="8453" ht="16.5" customHeight="1"/>
    <row r="8454" ht="16.5" customHeight="1"/>
    <row r="8455" ht="16.5" customHeight="1"/>
    <row r="8456" ht="16.5" customHeight="1"/>
    <row r="8457" ht="16.5" customHeight="1"/>
    <row r="8458" ht="16.5" customHeight="1"/>
    <row r="8459" ht="16.5" customHeight="1"/>
    <row r="8460" ht="16.5" customHeight="1"/>
    <row r="8461" ht="16.5" customHeight="1"/>
    <row r="8462" ht="16.5" customHeight="1"/>
    <row r="8463" ht="16.5" customHeight="1"/>
    <row r="8464" ht="16.5" customHeight="1"/>
    <row r="8465" ht="16.5" customHeight="1"/>
    <row r="8466" ht="16.5" customHeight="1"/>
    <row r="8467" ht="16.5" customHeight="1"/>
    <row r="8468" ht="16.5" customHeight="1"/>
    <row r="8469" ht="16.5" customHeight="1"/>
    <row r="8470" ht="16.5" customHeight="1"/>
    <row r="8471" ht="16.5" customHeight="1"/>
    <row r="8472" ht="16.5" customHeight="1"/>
    <row r="8473" ht="16.5" customHeight="1"/>
    <row r="8474" ht="16.5" customHeight="1"/>
    <row r="8475" ht="16.5" customHeight="1"/>
    <row r="8476" ht="16.5" customHeight="1"/>
    <row r="8477" ht="16.5" customHeight="1"/>
    <row r="8478" ht="16.5" customHeight="1"/>
    <row r="8479" ht="16.5" customHeight="1"/>
    <row r="8480" ht="16.5" customHeight="1"/>
    <row r="8481" ht="16.5" customHeight="1"/>
    <row r="8482" ht="16.5" customHeight="1"/>
    <row r="8483" ht="16.5" customHeight="1"/>
    <row r="8484" ht="16.5" customHeight="1"/>
    <row r="8485" ht="16.5" customHeight="1"/>
    <row r="8486" ht="16.5" customHeight="1"/>
    <row r="8487" ht="16.5" customHeight="1"/>
    <row r="8488" ht="16.5" customHeight="1"/>
    <row r="8489" ht="16.5" customHeight="1"/>
    <row r="8490" ht="16.5" customHeight="1"/>
    <row r="8491" ht="16.5" customHeight="1"/>
    <row r="8492" ht="16.5" customHeight="1"/>
    <row r="8493" ht="16.5" customHeight="1"/>
    <row r="8494" ht="16.5" customHeight="1"/>
    <row r="8495" ht="16.5" customHeight="1"/>
    <row r="8496" ht="16.5" customHeight="1"/>
    <row r="8497" ht="16.5" customHeight="1"/>
    <row r="8498" ht="16.5" customHeight="1"/>
    <row r="8499" ht="16.5" customHeight="1"/>
    <row r="8500" ht="16.5" customHeight="1"/>
    <row r="8501" ht="16.5" customHeight="1"/>
    <row r="8502" ht="16.5" customHeight="1"/>
    <row r="8503" ht="16.5" customHeight="1"/>
    <row r="8504" ht="16.5" customHeight="1"/>
    <row r="8505" ht="16.5" customHeight="1"/>
    <row r="8506" ht="16.5" customHeight="1"/>
    <row r="8507" ht="16.5" customHeight="1"/>
    <row r="8508" ht="16.5" customHeight="1"/>
    <row r="8509" ht="16.5" customHeight="1"/>
    <row r="8510" ht="16.5" customHeight="1"/>
    <row r="8511" ht="16.5" customHeight="1"/>
    <row r="8512" ht="16.5" customHeight="1"/>
    <row r="8513" ht="16.5" customHeight="1"/>
    <row r="8514" ht="16.5" customHeight="1"/>
    <row r="8515" ht="16.5" customHeight="1"/>
    <row r="8516" ht="16.5" customHeight="1"/>
    <row r="8517" ht="16.5" customHeight="1"/>
    <row r="8518" ht="16.5" customHeight="1"/>
    <row r="8519" ht="16.5" customHeight="1"/>
    <row r="8520" ht="16.5" customHeight="1"/>
    <row r="8521" ht="16.5" customHeight="1"/>
    <row r="8522" ht="16.5" customHeight="1"/>
    <row r="8523" ht="16.5" customHeight="1"/>
    <row r="8524" ht="16.5" customHeight="1"/>
    <row r="8525" ht="16.5" customHeight="1"/>
    <row r="8526" ht="16.5" customHeight="1"/>
    <row r="8527" ht="16.5" customHeight="1"/>
    <row r="8528" ht="16.5" customHeight="1"/>
    <row r="8529" ht="16.5" customHeight="1"/>
    <row r="8530" ht="16.5" customHeight="1"/>
    <row r="8531" ht="16.5" customHeight="1"/>
    <row r="8532" ht="16.5" customHeight="1"/>
    <row r="8533" ht="16.5" customHeight="1"/>
    <row r="8534" ht="16.5" customHeight="1"/>
    <row r="8535" ht="16.5" customHeight="1"/>
    <row r="8536" ht="16.5" customHeight="1"/>
    <row r="8537" ht="16.5" customHeight="1"/>
    <row r="8538" ht="16.5" customHeight="1"/>
    <row r="8539" ht="16.5" customHeight="1"/>
    <row r="8540" ht="16.5" customHeight="1"/>
    <row r="8541" ht="16.5" customHeight="1"/>
    <row r="8542" ht="16.5" customHeight="1"/>
    <row r="8543" ht="16.5" customHeight="1"/>
    <row r="8544" ht="16.5" customHeight="1"/>
    <row r="8545" ht="16.5" customHeight="1"/>
    <row r="8546" ht="16.5" customHeight="1"/>
    <row r="8547" ht="16.5" customHeight="1"/>
    <row r="8548" ht="16.5" customHeight="1"/>
    <row r="8549" ht="16.5" customHeight="1"/>
    <row r="8550" ht="16.5" customHeight="1"/>
    <row r="8551" ht="16.5" customHeight="1"/>
    <row r="8552" ht="16.5" customHeight="1"/>
    <row r="8553" ht="16.5" customHeight="1"/>
    <row r="8554" ht="16.5" customHeight="1"/>
    <row r="8555" ht="16.5" customHeight="1"/>
    <row r="8556" ht="16.5" customHeight="1"/>
    <row r="8557" ht="16.5" customHeight="1"/>
    <row r="8558" ht="16.5" customHeight="1"/>
    <row r="8559" ht="16.5" customHeight="1"/>
    <row r="8560" ht="16.5" customHeight="1"/>
    <row r="8561" ht="16.5" customHeight="1"/>
    <row r="8562" ht="16.5" customHeight="1"/>
    <row r="8563" ht="16.5" customHeight="1"/>
    <row r="8564" ht="16.5" customHeight="1"/>
    <row r="8565" ht="16.5" customHeight="1"/>
    <row r="8566" ht="16.5" customHeight="1"/>
    <row r="8567" ht="16.5" customHeight="1"/>
    <row r="8568" ht="16.5" customHeight="1"/>
    <row r="8569" ht="16.5" customHeight="1"/>
    <row r="8570" ht="16.5" customHeight="1"/>
    <row r="8571" ht="16.5" customHeight="1"/>
    <row r="8572" ht="16.5" customHeight="1"/>
    <row r="8573" ht="16.5" customHeight="1"/>
    <row r="8574" ht="16.5" customHeight="1"/>
    <row r="8575" ht="16.5" customHeight="1"/>
    <row r="8576" ht="16.5" customHeight="1"/>
    <row r="8577" ht="16.5" customHeight="1"/>
    <row r="8578" ht="16.5" customHeight="1"/>
    <row r="8579" ht="16.5" customHeight="1"/>
    <row r="8580" ht="16.5" customHeight="1"/>
    <row r="8581" ht="16.5" customHeight="1"/>
    <row r="8582" ht="16.5" customHeight="1"/>
    <row r="8583" ht="16.5" customHeight="1"/>
    <row r="8584" ht="16.5" customHeight="1"/>
    <row r="8585" ht="16.5" customHeight="1"/>
    <row r="8586" ht="16.5" customHeight="1"/>
    <row r="8587" ht="16.5" customHeight="1"/>
    <row r="8588" ht="16.5" customHeight="1"/>
    <row r="8589" ht="16.5" customHeight="1"/>
    <row r="8590" ht="16.5" customHeight="1"/>
    <row r="8591" ht="16.5" customHeight="1"/>
    <row r="8592" ht="16.5" customHeight="1"/>
    <row r="8593" ht="16.5" customHeight="1"/>
    <row r="8594" ht="16.5" customHeight="1"/>
    <row r="8595" ht="16.5" customHeight="1"/>
    <row r="8596" ht="16.5" customHeight="1"/>
    <row r="8597" ht="16.5" customHeight="1"/>
    <row r="8598" ht="16.5" customHeight="1"/>
    <row r="8599" ht="16.5" customHeight="1"/>
    <row r="8600" ht="16.5" customHeight="1"/>
    <row r="8601" ht="16.5" customHeight="1"/>
    <row r="8602" ht="16.5" customHeight="1"/>
    <row r="8603" ht="16.5" customHeight="1"/>
    <row r="8604" ht="16.5" customHeight="1"/>
    <row r="8605" ht="16.5" customHeight="1"/>
    <row r="8606" ht="16.5" customHeight="1"/>
    <row r="8607" ht="16.5" customHeight="1"/>
    <row r="8608" ht="16.5" customHeight="1"/>
    <row r="8609" ht="16.5" customHeight="1"/>
    <row r="8610" ht="16.5" customHeight="1"/>
    <row r="8611" ht="16.5" customHeight="1"/>
    <row r="8612" ht="16.5" customHeight="1"/>
    <row r="8613" ht="16.5" customHeight="1"/>
    <row r="8614" ht="16.5" customHeight="1"/>
    <row r="8615" ht="16.5" customHeight="1"/>
    <row r="8616" ht="16.5" customHeight="1"/>
    <row r="8617" ht="16.5" customHeight="1"/>
    <row r="8618" ht="16.5" customHeight="1"/>
    <row r="8619" ht="16.5" customHeight="1"/>
    <row r="8620" ht="16.5" customHeight="1"/>
    <row r="8621" ht="16.5" customHeight="1"/>
    <row r="8622" ht="16.5" customHeight="1"/>
    <row r="8623" ht="16.5" customHeight="1"/>
    <row r="8624" ht="16.5" customHeight="1"/>
    <row r="8625" ht="16.5" customHeight="1"/>
    <row r="8626" ht="16.5" customHeight="1"/>
    <row r="8627" ht="16.5" customHeight="1"/>
    <row r="8628" ht="16.5" customHeight="1"/>
    <row r="8629" ht="16.5" customHeight="1"/>
    <row r="8630" ht="16.5" customHeight="1"/>
    <row r="8631" ht="16.5" customHeight="1"/>
    <row r="8632" ht="16.5" customHeight="1"/>
    <row r="8633" ht="16.5" customHeight="1"/>
    <row r="8634" ht="16.5" customHeight="1"/>
    <row r="8635" ht="16.5" customHeight="1"/>
    <row r="8636" ht="16.5" customHeight="1"/>
    <row r="8637" ht="16.5" customHeight="1"/>
    <row r="8638" ht="16.5" customHeight="1"/>
    <row r="8639" ht="16.5" customHeight="1"/>
    <row r="8640" ht="16.5" customHeight="1"/>
    <row r="8641" ht="16.5" customHeight="1"/>
    <row r="8642" ht="16.5" customHeight="1"/>
    <row r="8643" ht="16.5" customHeight="1"/>
    <row r="8644" ht="16.5" customHeight="1"/>
    <row r="8645" ht="16.5" customHeight="1"/>
    <row r="8646" ht="16.5" customHeight="1"/>
    <row r="8647" ht="16.5" customHeight="1"/>
    <row r="8648" ht="16.5" customHeight="1"/>
    <row r="8649" ht="16.5" customHeight="1"/>
    <row r="8650" ht="16.5" customHeight="1"/>
    <row r="8651" ht="16.5" customHeight="1"/>
    <row r="8652" ht="16.5" customHeight="1"/>
    <row r="8653" ht="16.5" customHeight="1"/>
    <row r="8654" ht="16.5" customHeight="1"/>
    <row r="8655" ht="16.5" customHeight="1"/>
    <row r="8656" ht="16.5" customHeight="1"/>
    <row r="8657" ht="16.5" customHeight="1"/>
    <row r="8658" ht="16.5" customHeight="1"/>
    <row r="8659" ht="16.5" customHeight="1"/>
    <row r="8660" ht="16.5" customHeight="1"/>
    <row r="8661" ht="16.5" customHeight="1"/>
    <row r="8662" ht="16.5" customHeight="1"/>
    <row r="8663" ht="16.5" customHeight="1"/>
    <row r="8664" ht="16.5" customHeight="1"/>
    <row r="8665" ht="16.5" customHeight="1"/>
    <row r="8666" ht="16.5" customHeight="1"/>
    <row r="8667" ht="16.5" customHeight="1"/>
    <row r="8668" ht="16.5" customHeight="1"/>
    <row r="8669" ht="16.5" customHeight="1"/>
    <row r="8670" ht="16.5" customHeight="1"/>
    <row r="8671" ht="16.5" customHeight="1"/>
    <row r="8672" ht="16.5" customHeight="1"/>
    <row r="8673" ht="16.5" customHeight="1"/>
    <row r="8674" ht="16.5" customHeight="1"/>
    <row r="8675" ht="16.5" customHeight="1"/>
    <row r="8676" ht="16.5" customHeight="1"/>
    <row r="8677" ht="16.5" customHeight="1"/>
    <row r="8678" ht="16.5" customHeight="1"/>
    <row r="8679" ht="16.5" customHeight="1"/>
    <row r="8680" ht="16.5" customHeight="1"/>
    <row r="8681" ht="16.5" customHeight="1"/>
    <row r="8682" ht="16.5" customHeight="1"/>
    <row r="8683" ht="16.5" customHeight="1"/>
    <row r="8684" ht="16.5" customHeight="1"/>
    <row r="8685" ht="16.5" customHeight="1"/>
    <row r="8686" ht="16.5" customHeight="1"/>
    <row r="8687" ht="16.5" customHeight="1"/>
    <row r="8688" ht="16.5" customHeight="1"/>
    <row r="8689" ht="16.5" customHeight="1"/>
    <row r="8690" ht="16.5" customHeight="1"/>
    <row r="8691" ht="16.5" customHeight="1"/>
    <row r="8692" ht="16.5" customHeight="1"/>
    <row r="8693" ht="16.5" customHeight="1"/>
    <row r="8694" ht="16.5" customHeight="1"/>
    <row r="8695" ht="16.5" customHeight="1"/>
    <row r="8696" ht="16.5" customHeight="1"/>
    <row r="8697" ht="16.5" customHeight="1"/>
    <row r="8698" ht="16.5" customHeight="1"/>
    <row r="8699" ht="16.5" customHeight="1"/>
    <row r="8700" ht="16.5" customHeight="1"/>
    <row r="8701" ht="16.5" customHeight="1"/>
    <row r="8702" ht="16.5" customHeight="1"/>
    <row r="8703" ht="16.5" customHeight="1"/>
    <row r="8704" ht="16.5" customHeight="1"/>
    <row r="8705" ht="16.5" customHeight="1"/>
    <row r="8706" ht="16.5" customHeight="1"/>
    <row r="8707" ht="16.5" customHeight="1"/>
    <row r="8708" ht="16.5" customHeight="1"/>
    <row r="8709" ht="16.5" customHeight="1"/>
    <row r="8710" ht="16.5" customHeight="1"/>
    <row r="8711" ht="16.5" customHeight="1"/>
    <row r="8712" ht="16.5" customHeight="1"/>
    <row r="8713" ht="16.5" customHeight="1"/>
    <row r="8714" ht="16.5" customHeight="1"/>
    <row r="8715" ht="16.5" customHeight="1"/>
    <row r="8716" ht="16.5" customHeight="1"/>
    <row r="8717" ht="16.5" customHeight="1"/>
    <row r="8718" ht="16.5" customHeight="1"/>
    <row r="8719" ht="16.5" customHeight="1"/>
    <row r="8720" ht="16.5" customHeight="1"/>
    <row r="8721" ht="16.5" customHeight="1"/>
    <row r="8722" ht="16.5" customHeight="1"/>
    <row r="8723" ht="16.5" customHeight="1"/>
    <row r="8724" ht="16.5" customHeight="1"/>
    <row r="8725" ht="16.5" customHeight="1"/>
    <row r="8726" ht="16.5" customHeight="1"/>
    <row r="8727" ht="16.5" customHeight="1"/>
    <row r="8728" ht="16.5" customHeight="1"/>
    <row r="8729" ht="16.5" customHeight="1"/>
    <row r="8730" ht="16.5" customHeight="1"/>
    <row r="8731" ht="16.5" customHeight="1"/>
    <row r="8732" ht="16.5" customHeight="1"/>
    <row r="8733" ht="16.5" customHeight="1"/>
    <row r="8734" ht="16.5" customHeight="1"/>
    <row r="8735" ht="16.5" customHeight="1"/>
    <row r="8736" ht="16.5" customHeight="1"/>
    <row r="8737" ht="16.5" customHeight="1"/>
    <row r="8738" ht="16.5" customHeight="1"/>
    <row r="8739" ht="16.5" customHeight="1"/>
    <row r="8740" ht="16.5" customHeight="1"/>
    <row r="8741" ht="16.5" customHeight="1"/>
    <row r="8742" ht="16.5" customHeight="1"/>
    <row r="8743" ht="16.5" customHeight="1"/>
    <row r="8744" ht="16.5" customHeight="1"/>
    <row r="8745" ht="16.5" customHeight="1"/>
    <row r="8746" ht="16.5" customHeight="1"/>
    <row r="8747" ht="16.5" customHeight="1"/>
    <row r="8748" ht="16.5" customHeight="1"/>
    <row r="8749" ht="16.5" customHeight="1"/>
    <row r="8750" ht="16.5" customHeight="1"/>
    <row r="8751" ht="16.5" customHeight="1"/>
    <row r="8752" ht="16.5" customHeight="1"/>
    <row r="8753" ht="16.5" customHeight="1"/>
    <row r="8754" ht="16.5" customHeight="1"/>
    <row r="8755" ht="16.5" customHeight="1"/>
    <row r="8756" ht="16.5" customHeight="1"/>
    <row r="8757" ht="16.5" customHeight="1"/>
    <row r="8758" ht="16.5" customHeight="1"/>
    <row r="8759" ht="16.5" customHeight="1"/>
    <row r="8760" ht="16.5" customHeight="1"/>
    <row r="8761" ht="16.5" customHeight="1"/>
    <row r="8762" ht="16.5" customHeight="1"/>
    <row r="8763" ht="16.5" customHeight="1"/>
    <row r="8764" ht="16.5" customHeight="1"/>
    <row r="8765" ht="16.5" customHeight="1"/>
    <row r="8766" ht="16.5" customHeight="1"/>
    <row r="8767" ht="16.5" customHeight="1"/>
    <row r="8768" ht="16.5" customHeight="1"/>
    <row r="8769" ht="16.5" customHeight="1"/>
    <row r="8770" ht="16.5" customHeight="1"/>
    <row r="8771" ht="16.5" customHeight="1"/>
    <row r="8772" ht="16.5" customHeight="1"/>
    <row r="8773" ht="16.5" customHeight="1"/>
    <row r="8774" ht="16.5" customHeight="1"/>
    <row r="8775" ht="16.5" customHeight="1"/>
    <row r="8776" ht="16.5" customHeight="1"/>
    <row r="8777" ht="16.5" customHeight="1"/>
    <row r="8778" ht="16.5" customHeight="1"/>
    <row r="8779" ht="16.5" customHeight="1"/>
    <row r="8780" ht="16.5" customHeight="1"/>
    <row r="8781" ht="16.5" customHeight="1"/>
    <row r="8782" ht="16.5" customHeight="1"/>
    <row r="8783" ht="16.5" customHeight="1"/>
    <row r="8784" ht="16.5" customHeight="1"/>
    <row r="8785" ht="16.5" customHeight="1"/>
    <row r="8786" ht="16.5" customHeight="1"/>
    <row r="8787" ht="16.5" customHeight="1"/>
    <row r="8788" ht="16.5" customHeight="1"/>
    <row r="8789" ht="16.5" customHeight="1"/>
    <row r="8790" ht="16.5" customHeight="1"/>
    <row r="8791" ht="16.5" customHeight="1"/>
    <row r="8792" ht="16.5" customHeight="1"/>
    <row r="8793" ht="16.5" customHeight="1"/>
    <row r="8794" ht="16.5" customHeight="1"/>
    <row r="8795" ht="16.5" customHeight="1"/>
    <row r="8796" ht="16.5" customHeight="1"/>
    <row r="8797" ht="16.5" customHeight="1"/>
    <row r="8798" ht="16.5" customHeight="1"/>
    <row r="8799" ht="16.5" customHeight="1"/>
    <row r="8800" ht="16.5" customHeight="1"/>
    <row r="8801" ht="16.5" customHeight="1"/>
    <row r="8802" ht="16.5" customHeight="1"/>
    <row r="8803" ht="16.5" customHeight="1"/>
    <row r="8804" ht="16.5" customHeight="1"/>
    <row r="8805" ht="16.5" customHeight="1"/>
    <row r="8806" ht="16.5" customHeight="1"/>
    <row r="8807" ht="16.5" customHeight="1"/>
    <row r="8808" ht="16.5" customHeight="1"/>
    <row r="8809" ht="16.5" customHeight="1"/>
    <row r="8810" ht="16.5" customHeight="1"/>
    <row r="8811" ht="16.5" customHeight="1"/>
    <row r="8812" ht="16.5" customHeight="1"/>
    <row r="8813" ht="16.5" customHeight="1"/>
    <row r="8814" ht="16.5" customHeight="1"/>
    <row r="8815" ht="16.5" customHeight="1"/>
    <row r="8816" ht="16.5" customHeight="1"/>
    <row r="8817" ht="16.5" customHeight="1"/>
    <row r="8818" ht="16.5" customHeight="1"/>
    <row r="8819" ht="16.5" customHeight="1"/>
    <row r="8820" ht="16.5" customHeight="1"/>
    <row r="8821" ht="16.5" customHeight="1"/>
    <row r="8822" ht="16.5" customHeight="1"/>
    <row r="8823" ht="16.5" customHeight="1"/>
    <row r="8824" ht="16.5" customHeight="1"/>
    <row r="8825" ht="16.5" customHeight="1"/>
    <row r="8826" ht="16.5" customHeight="1"/>
    <row r="8827" ht="16.5" customHeight="1"/>
    <row r="8828" ht="16.5" customHeight="1"/>
    <row r="8829" ht="16.5" customHeight="1"/>
    <row r="8830" ht="16.5" customHeight="1"/>
    <row r="8831" ht="16.5" customHeight="1"/>
    <row r="8832" ht="16.5" customHeight="1"/>
    <row r="8833" ht="16.5" customHeight="1"/>
    <row r="8834" ht="16.5" customHeight="1"/>
    <row r="8835" ht="16.5" customHeight="1"/>
    <row r="8836" ht="16.5" customHeight="1"/>
    <row r="8837" ht="16.5" customHeight="1"/>
    <row r="8838" ht="16.5" customHeight="1"/>
    <row r="8839" ht="16.5" customHeight="1"/>
    <row r="8840" ht="16.5" customHeight="1"/>
    <row r="8841" ht="16.5" customHeight="1"/>
    <row r="8842" ht="16.5" customHeight="1"/>
    <row r="8843" ht="16.5" customHeight="1"/>
    <row r="8844" ht="16.5" customHeight="1"/>
    <row r="8845" ht="16.5" customHeight="1"/>
    <row r="8846" ht="16.5" customHeight="1"/>
    <row r="8847" ht="16.5" customHeight="1"/>
    <row r="8848" ht="16.5" customHeight="1"/>
    <row r="8849" ht="16.5" customHeight="1"/>
    <row r="8850" ht="16.5" customHeight="1"/>
    <row r="8851" ht="16.5" customHeight="1"/>
    <row r="8852" ht="16.5" customHeight="1"/>
    <row r="8853" ht="16.5" customHeight="1"/>
    <row r="8854" ht="16.5" customHeight="1"/>
    <row r="8855" ht="16.5" customHeight="1"/>
    <row r="8856" ht="16.5" customHeight="1"/>
    <row r="8857" ht="16.5" customHeight="1"/>
    <row r="8858" ht="16.5" customHeight="1"/>
    <row r="8859" ht="16.5" customHeight="1"/>
    <row r="8860" ht="16.5" customHeight="1"/>
    <row r="8861" ht="16.5" customHeight="1"/>
    <row r="8862" ht="16.5" customHeight="1"/>
    <row r="8863" ht="16.5" customHeight="1"/>
    <row r="8864" ht="16.5" customHeight="1"/>
    <row r="8865" ht="16.5" customHeight="1"/>
    <row r="8866" ht="16.5" customHeight="1"/>
    <row r="8867" ht="16.5" customHeight="1"/>
    <row r="8868" ht="16.5" customHeight="1"/>
    <row r="8869" ht="16.5" customHeight="1"/>
    <row r="8870" ht="16.5" customHeight="1"/>
    <row r="8871" ht="16.5" customHeight="1"/>
    <row r="8872" ht="16.5" customHeight="1"/>
    <row r="8873" ht="16.5" customHeight="1"/>
    <row r="8874" ht="16.5" customHeight="1"/>
    <row r="8875" ht="16.5" customHeight="1"/>
    <row r="8876" ht="16.5" customHeight="1"/>
    <row r="8877" ht="16.5" customHeight="1"/>
    <row r="8878" ht="16.5" customHeight="1"/>
    <row r="8879" ht="16.5" customHeight="1"/>
    <row r="8880" ht="16.5" customHeight="1"/>
    <row r="8881" ht="16.5" customHeight="1"/>
    <row r="8882" ht="16.5" customHeight="1"/>
    <row r="8883" ht="16.5" customHeight="1"/>
    <row r="8884" ht="16.5" customHeight="1"/>
    <row r="8885" ht="16.5" customHeight="1"/>
    <row r="8886" ht="16.5" customHeight="1"/>
    <row r="8887" ht="16.5" customHeight="1"/>
    <row r="8888" ht="16.5" customHeight="1"/>
    <row r="8889" ht="16.5" customHeight="1"/>
    <row r="8890" ht="16.5" customHeight="1"/>
    <row r="8891" ht="16.5" customHeight="1"/>
    <row r="8892" ht="16.5" customHeight="1"/>
    <row r="8893" ht="16.5" customHeight="1"/>
    <row r="8894" ht="16.5" customHeight="1"/>
    <row r="8895" ht="16.5" customHeight="1"/>
    <row r="8896" ht="16.5" customHeight="1"/>
    <row r="8897" ht="16.5" customHeight="1"/>
    <row r="8898" ht="16.5" customHeight="1"/>
    <row r="8899" ht="16.5" customHeight="1"/>
    <row r="8900" ht="16.5" customHeight="1"/>
    <row r="8901" ht="16.5" customHeight="1"/>
    <row r="8902" ht="16.5" customHeight="1"/>
    <row r="8903" ht="16.5" customHeight="1"/>
    <row r="8904" ht="16.5" customHeight="1"/>
    <row r="8905" ht="16.5" customHeight="1"/>
    <row r="8906" ht="16.5" customHeight="1"/>
    <row r="8907" ht="16.5" customHeight="1"/>
    <row r="8908" ht="16.5" customHeight="1"/>
    <row r="8909" ht="16.5" customHeight="1"/>
    <row r="8910" ht="16.5" customHeight="1"/>
    <row r="8911" ht="16.5" customHeight="1"/>
    <row r="8912" ht="16.5" customHeight="1"/>
    <row r="8913" ht="16.5" customHeight="1"/>
    <row r="8914" ht="16.5" customHeight="1"/>
    <row r="8915" ht="16.5" customHeight="1"/>
    <row r="8916" ht="16.5" customHeight="1"/>
    <row r="8917" ht="16.5" customHeight="1"/>
    <row r="8918" ht="16.5" customHeight="1"/>
    <row r="8919" ht="16.5" customHeight="1"/>
    <row r="8920" ht="16.5" customHeight="1"/>
    <row r="8921" ht="16.5" customHeight="1"/>
    <row r="8922" ht="16.5" customHeight="1"/>
    <row r="8923" ht="16.5" customHeight="1"/>
    <row r="8924" ht="16.5" customHeight="1"/>
    <row r="8925" ht="16.5" customHeight="1"/>
    <row r="8926" ht="16.5" customHeight="1"/>
    <row r="8927" ht="16.5" customHeight="1"/>
    <row r="8928" ht="16.5" customHeight="1"/>
    <row r="8929" ht="16.5" customHeight="1"/>
    <row r="8930" ht="16.5" customHeight="1"/>
    <row r="8931" ht="16.5" customHeight="1"/>
    <row r="8932" ht="16.5" customHeight="1"/>
    <row r="8933" ht="16.5" customHeight="1"/>
    <row r="8934" ht="16.5" customHeight="1"/>
    <row r="8935" ht="16.5" customHeight="1"/>
    <row r="8936" ht="16.5" customHeight="1"/>
    <row r="8937" ht="16.5" customHeight="1"/>
    <row r="8938" ht="16.5" customHeight="1"/>
    <row r="8939" ht="16.5" customHeight="1"/>
    <row r="8940" ht="16.5" customHeight="1"/>
    <row r="8941" ht="16.5" customHeight="1"/>
    <row r="8942" ht="16.5" customHeight="1"/>
    <row r="8943" ht="16.5" customHeight="1"/>
    <row r="8944" ht="16.5" customHeight="1"/>
    <row r="8945" ht="16.5" customHeight="1"/>
    <row r="8946" ht="16.5" customHeight="1"/>
    <row r="8947" ht="16.5" customHeight="1"/>
    <row r="8948" ht="16.5" customHeight="1"/>
    <row r="8949" ht="16.5" customHeight="1"/>
    <row r="8950" ht="16.5" customHeight="1"/>
    <row r="8951" ht="16.5" customHeight="1"/>
    <row r="8952" ht="16.5" customHeight="1"/>
    <row r="8953" ht="16.5" customHeight="1"/>
    <row r="8954" ht="16.5" customHeight="1"/>
    <row r="8955" ht="16.5" customHeight="1"/>
    <row r="8956" ht="16.5" customHeight="1"/>
    <row r="8957" ht="16.5" customHeight="1"/>
    <row r="8958" ht="16.5" customHeight="1"/>
    <row r="8959" ht="16.5" customHeight="1"/>
    <row r="8960" ht="16.5" customHeight="1"/>
    <row r="8961" ht="16.5" customHeight="1"/>
    <row r="8962" ht="16.5" customHeight="1"/>
    <row r="8963" ht="16.5" customHeight="1"/>
    <row r="8964" ht="16.5" customHeight="1"/>
    <row r="8965" ht="16.5" customHeight="1"/>
    <row r="8966" ht="16.5" customHeight="1"/>
    <row r="8967" ht="16.5" customHeight="1"/>
    <row r="8968" ht="16.5" customHeight="1"/>
    <row r="8969" ht="16.5" customHeight="1"/>
    <row r="8970" ht="16.5" customHeight="1"/>
    <row r="8971" ht="16.5" customHeight="1"/>
    <row r="8972" ht="16.5" customHeight="1"/>
    <row r="8973" ht="16.5" customHeight="1"/>
    <row r="8974" ht="16.5" customHeight="1"/>
    <row r="8975" ht="16.5" customHeight="1"/>
    <row r="8976" ht="16.5" customHeight="1"/>
    <row r="8977" ht="16.5" customHeight="1"/>
    <row r="8978" ht="16.5" customHeight="1"/>
    <row r="8979" ht="16.5" customHeight="1"/>
    <row r="8980" ht="16.5" customHeight="1"/>
    <row r="8981" ht="16.5" customHeight="1"/>
    <row r="8982" ht="16.5" customHeight="1"/>
    <row r="8983" ht="16.5" customHeight="1"/>
    <row r="8984" ht="16.5" customHeight="1"/>
    <row r="8985" ht="16.5" customHeight="1"/>
    <row r="8986" ht="16.5" customHeight="1"/>
    <row r="8987" ht="16.5" customHeight="1"/>
    <row r="8988" ht="16.5" customHeight="1"/>
    <row r="8989" ht="16.5" customHeight="1"/>
    <row r="8990" ht="16.5" customHeight="1"/>
    <row r="8991" ht="16.5" customHeight="1"/>
    <row r="8992" ht="16.5" customHeight="1"/>
    <row r="8993" ht="16.5" customHeight="1"/>
    <row r="8994" ht="16.5" customHeight="1"/>
    <row r="8995" ht="16.5" customHeight="1"/>
    <row r="8996" ht="16.5" customHeight="1"/>
    <row r="8997" ht="16.5" customHeight="1"/>
    <row r="8998" ht="16.5" customHeight="1"/>
    <row r="8999" ht="16.5" customHeight="1"/>
    <row r="9000" ht="16.5" customHeight="1"/>
    <row r="9001" ht="16.5" customHeight="1"/>
    <row r="9002" ht="16.5" customHeight="1"/>
    <row r="9003" ht="16.5" customHeight="1"/>
    <row r="9004" ht="16.5" customHeight="1"/>
    <row r="9005" ht="16.5" customHeight="1"/>
    <row r="9006" ht="16.5" customHeight="1"/>
    <row r="9007" ht="16.5" customHeight="1"/>
    <row r="9008" ht="16.5" customHeight="1"/>
    <row r="9009" ht="16.5" customHeight="1"/>
    <row r="9010" ht="16.5" customHeight="1"/>
    <row r="9011" ht="16.5" customHeight="1"/>
    <row r="9012" ht="16.5" customHeight="1"/>
    <row r="9013" ht="16.5" customHeight="1"/>
    <row r="9014" ht="16.5" customHeight="1"/>
    <row r="9015" ht="16.5" customHeight="1"/>
    <row r="9016" ht="16.5" customHeight="1"/>
    <row r="9017" ht="16.5" customHeight="1"/>
    <row r="9018" ht="16.5" customHeight="1"/>
    <row r="9019" ht="16.5" customHeight="1"/>
    <row r="9020" ht="16.5" customHeight="1"/>
    <row r="9021" ht="16.5" customHeight="1"/>
    <row r="9022" ht="16.5" customHeight="1"/>
    <row r="9023" ht="16.5" customHeight="1"/>
    <row r="9024" ht="16.5" customHeight="1"/>
    <row r="9025" ht="16.5" customHeight="1"/>
    <row r="9026" ht="16.5" customHeight="1"/>
    <row r="9027" ht="16.5" customHeight="1"/>
    <row r="9028" ht="16.5" customHeight="1"/>
    <row r="9029" ht="16.5" customHeight="1"/>
    <row r="9030" ht="16.5" customHeight="1"/>
    <row r="9031" ht="16.5" customHeight="1"/>
    <row r="9032" ht="16.5" customHeight="1"/>
    <row r="9033" ht="16.5" customHeight="1"/>
    <row r="9034" ht="16.5" customHeight="1"/>
    <row r="9035" ht="16.5" customHeight="1"/>
    <row r="9036" ht="16.5" customHeight="1"/>
    <row r="9037" ht="16.5" customHeight="1"/>
    <row r="9038" ht="16.5" customHeight="1"/>
    <row r="9039" ht="16.5" customHeight="1"/>
    <row r="9040" ht="16.5" customHeight="1"/>
    <row r="9041" ht="16.5" customHeight="1"/>
    <row r="9042" ht="16.5" customHeight="1"/>
    <row r="9043" ht="16.5" customHeight="1"/>
    <row r="9044" ht="16.5" customHeight="1"/>
    <row r="9045" ht="16.5" customHeight="1"/>
    <row r="9046" ht="16.5" customHeight="1"/>
    <row r="9047" ht="16.5" customHeight="1"/>
    <row r="9048" ht="16.5" customHeight="1"/>
    <row r="9049" ht="16.5" customHeight="1"/>
    <row r="9050" ht="16.5" customHeight="1"/>
    <row r="9051" ht="16.5" customHeight="1"/>
    <row r="9052" ht="16.5" customHeight="1"/>
    <row r="9053" ht="16.5" customHeight="1"/>
    <row r="9054" ht="16.5" customHeight="1"/>
    <row r="9055" ht="16.5" customHeight="1"/>
    <row r="9056" ht="16.5" customHeight="1"/>
    <row r="9057" ht="16.5" customHeight="1"/>
    <row r="9058" ht="16.5" customHeight="1"/>
    <row r="9059" ht="16.5" customHeight="1"/>
    <row r="9060" ht="16.5" customHeight="1"/>
    <row r="9061" ht="16.5" customHeight="1"/>
    <row r="9062" ht="16.5" customHeight="1"/>
    <row r="9063" ht="16.5" customHeight="1"/>
    <row r="9064" ht="16.5" customHeight="1"/>
    <row r="9065" ht="16.5" customHeight="1"/>
    <row r="9066" ht="16.5" customHeight="1"/>
    <row r="9067" ht="16.5" customHeight="1"/>
    <row r="9068" ht="16.5" customHeight="1"/>
    <row r="9069" ht="16.5" customHeight="1"/>
    <row r="9070" ht="16.5" customHeight="1"/>
    <row r="9071" ht="16.5" customHeight="1"/>
    <row r="9072" ht="16.5" customHeight="1"/>
    <row r="9073" ht="16.5" customHeight="1"/>
    <row r="9074" ht="16.5" customHeight="1"/>
    <row r="9075" ht="16.5" customHeight="1"/>
    <row r="9076" ht="16.5" customHeight="1"/>
    <row r="9077" ht="16.5" customHeight="1"/>
    <row r="9078" ht="16.5" customHeight="1"/>
    <row r="9079" ht="16.5" customHeight="1"/>
    <row r="9080" ht="16.5" customHeight="1"/>
    <row r="9081" ht="16.5" customHeight="1"/>
    <row r="9082" ht="16.5" customHeight="1"/>
    <row r="9083" ht="16.5" customHeight="1"/>
    <row r="9084" ht="16.5" customHeight="1"/>
    <row r="9085" ht="16.5" customHeight="1"/>
    <row r="9086" ht="16.5" customHeight="1"/>
    <row r="9087" ht="16.5" customHeight="1"/>
    <row r="9088" ht="16.5" customHeight="1"/>
    <row r="9089" ht="16.5" customHeight="1"/>
    <row r="9090" ht="16.5" customHeight="1"/>
    <row r="9091" ht="16.5" customHeight="1"/>
    <row r="9092" ht="16.5" customHeight="1"/>
    <row r="9093" ht="16.5" customHeight="1"/>
    <row r="9094" ht="16.5" customHeight="1"/>
    <row r="9095" ht="16.5" customHeight="1"/>
    <row r="9096" ht="16.5" customHeight="1"/>
    <row r="9097" ht="16.5" customHeight="1"/>
    <row r="9098" ht="16.5" customHeight="1"/>
    <row r="9099" ht="16.5" customHeight="1"/>
    <row r="9100" ht="16.5" customHeight="1"/>
    <row r="9101" ht="16.5" customHeight="1"/>
    <row r="9102" ht="16.5" customHeight="1"/>
    <row r="9103" ht="16.5" customHeight="1"/>
    <row r="9104" ht="16.5" customHeight="1"/>
    <row r="9105" ht="16.5" customHeight="1"/>
    <row r="9106" ht="16.5" customHeight="1"/>
    <row r="9107" ht="16.5" customHeight="1"/>
    <row r="9108" ht="16.5" customHeight="1"/>
    <row r="9109" ht="16.5" customHeight="1"/>
    <row r="9110" ht="16.5" customHeight="1"/>
    <row r="9111" ht="16.5" customHeight="1"/>
    <row r="9112" ht="16.5" customHeight="1"/>
    <row r="9113" ht="16.5" customHeight="1"/>
    <row r="9114" ht="16.5" customHeight="1"/>
    <row r="9115" ht="16.5" customHeight="1"/>
    <row r="9116" ht="16.5" customHeight="1"/>
    <row r="9117" ht="16.5" customHeight="1"/>
    <row r="9118" ht="16.5" customHeight="1"/>
    <row r="9119" ht="16.5" customHeight="1"/>
    <row r="9120" ht="16.5" customHeight="1"/>
    <row r="9121" ht="16.5" customHeight="1"/>
    <row r="9122" ht="16.5" customHeight="1"/>
    <row r="9123" ht="16.5" customHeight="1"/>
    <row r="9124" ht="16.5" customHeight="1"/>
    <row r="9125" ht="16.5" customHeight="1"/>
    <row r="9126" ht="16.5" customHeight="1"/>
    <row r="9127" ht="16.5" customHeight="1"/>
    <row r="9128" ht="16.5" customHeight="1"/>
    <row r="9129" ht="16.5" customHeight="1"/>
    <row r="9130" ht="16.5" customHeight="1"/>
    <row r="9131" ht="16.5" customHeight="1"/>
    <row r="9132" ht="16.5" customHeight="1"/>
    <row r="9133" ht="16.5" customHeight="1"/>
    <row r="9134" ht="16.5" customHeight="1"/>
    <row r="9135" ht="16.5" customHeight="1"/>
    <row r="9136" ht="16.5" customHeight="1"/>
    <row r="9137" ht="16.5" customHeight="1"/>
    <row r="9138" ht="16.5" customHeight="1"/>
    <row r="9139" ht="16.5" customHeight="1"/>
    <row r="9140" ht="16.5" customHeight="1"/>
    <row r="9141" ht="16.5" customHeight="1"/>
    <row r="9142" ht="16.5" customHeight="1"/>
    <row r="9143" ht="16.5" customHeight="1"/>
    <row r="9144" ht="16.5" customHeight="1"/>
    <row r="9145" ht="16.5" customHeight="1"/>
    <row r="9146" ht="16.5" customHeight="1"/>
    <row r="9147" ht="16.5" customHeight="1"/>
    <row r="9148" ht="16.5" customHeight="1"/>
    <row r="9149" ht="16.5" customHeight="1"/>
    <row r="9150" ht="16.5" customHeight="1"/>
    <row r="9151" ht="16.5" customHeight="1"/>
    <row r="9152" ht="16.5" customHeight="1"/>
    <row r="9153" ht="16.5" customHeight="1"/>
    <row r="9154" ht="16.5" customHeight="1"/>
    <row r="9155" ht="16.5" customHeight="1"/>
    <row r="9156" ht="16.5" customHeight="1"/>
    <row r="9157" ht="16.5" customHeight="1"/>
    <row r="9158" ht="16.5" customHeight="1"/>
    <row r="9159" ht="16.5" customHeight="1"/>
    <row r="9160" ht="16.5" customHeight="1"/>
    <row r="9161" ht="16.5" customHeight="1"/>
    <row r="9162" ht="16.5" customHeight="1"/>
    <row r="9163" ht="16.5" customHeight="1"/>
    <row r="9164" ht="16.5" customHeight="1"/>
    <row r="9165" ht="16.5" customHeight="1"/>
    <row r="9166" ht="16.5" customHeight="1"/>
    <row r="9167" ht="16.5" customHeight="1"/>
    <row r="9168" ht="16.5" customHeight="1"/>
    <row r="9169" ht="16.5" customHeight="1"/>
    <row r="9170" ht="16.5" customHeight="1"/>
    <row r="9171" ht="16.5" customHeight="1"/>
    <row r="9172" ht="16.5" customHeight="1"/>
    <row r="9173" ht="16.5" customHeight="1"/>
    <row r="9174" ht="16.5" customHeight="1"/>
    <row r="9175" ht="16.5" customHeight="1"/>
    <row r="9176" ht="16.5" customHeight="1"/>
    <row r="9177" ht="16.5" customHeight="1"/>
    <row r="9178" ht="16.5" customHeight="1"/>
    <row r="9179" ht="16.5" customHeight="1"/>
    <row r="9180" ht="16.5" customHeight="1"/>
    <row r="9181" ht="16.5" customHeight="1"/>
    <row r="9182" ht="16.5" customHeight="1"/>
    <row r="9183" ht="16.5" customHeight="1"/>
    <row r="9184" ht="16.5" customHeight="1"/>
    <row r="9185" ht="16.5" customHeight="1"/>
    <row r="9186" ht="16.5" customHeight="1"/>
    <row r="9187" ht="16.5" customHeight="1"/>
    <row r="9188" ht="16.5" customHeight="1"/>
    <row r="9189" ht="16.5" customHeight="1"/>
    <row r="9190" ht="16.5" customHeight="1"/>
    <row r="9191" ht="16.5" customHeight="1"/>
    <row r="9192" ht="16.5" customHeight="1"/>
    <row r="9193" ht="16.5" customHeight="1"/>
    <row r="9194" ht="16.5" customHeight="1"/>
    <row r="9195" ht="16.5" customHeight="1"/>
    <row r="9196" ht="16.5" customHeight="1"/>
    <row r="9197" ht="16.5" customHeight="1"/>
    <row r="9198" ht="16.5" customHeight="1"/>
    <row r="9199" ht="16.5" customHeight="1"/>
    <row r="9200" ht="16.5" customHeight="1"/>
    <row r="9201" ht="16.5" customHeight="1"/>
    <row r="9202" ht="16.5" customHeight="1"/>
    <row r="9203" ht="16.5" customHeight="1"/>
    <row r="9204" ht="16.5" customHeight="1"/>
    <row r="9205" ht="16.5" customHeight="1"/>
    <row r="9206" ht="16.5" customHeight="1"/>
    <row r="9207" ht="16.5" customHeight="1"/>
    <row r="9208" ht="16.5" customHeight="1"/>
    <row r="9209" ht="16.5" customHeight="1"/>
    <row r="9210" ht="16.5" customHeight="1"/>
    <row r="9211" ht="16.5" customHeight="1"/>
    <row r="9212" ht="16.5" customHeight="1"/>
    <row r="9213" ht="16.5" customHeight="1"/>
    <row r="9214" ht="16.5" customHeight="1"/>
    <row r="9215" ht="16.5" customHeight="1"/>
    <row r="9216" ht="16.5" customHeight="1"/>
    <row r="9217" ht="16.5" customHeight="1"/>
    <row r="9218" ht="16.5" customHeight="1"/>
    <row r="9219" ht="16.5" customHeight="1"/>
    <row r="9220" ht="16.5" customHeight="1"/>
    <row r="9221" ht="16.5" customHeight="1"/>
    <row r="9222" ht="16.5" customHeight="1"/>
    <row r="9223" ht="16.5" customHeight="1"/>
    <row r="9224" ht="16.5" customHeight="1"/>
    <row r="9225" ht="16.5" customHeight="1"/>
    <row r="9226" ht="16.5" customHeight="1"/>
    <row r="9227" ht="16.5" customHeight="1"/>
    <row r="9228" ht="16.5" customHeight="1"/>
    <row r="9229" ht="16.5" customHeight="1"/>
    <row r="9230" ht="16.5" customHeight="1"/>
    <row r="9231" ht="16.5" customHeight="1"/>
    <row r="9232" ht="16.5" customHeight="1"/>
    <row r="9233" ht="16.5" customHeight="1"/>
    <row r="9234" ht="16.5" customHeight="1"/>
    <row r="9235" ht="16.5" customHeight="1"/>
    <row r="9236" ht="16.5" customHeight="1"/>
    <row r="9237" ht="16.5" customHeight="1"/>
    <row r="9238" ht="16.5" customHeight="1"/>
    <row r="9239" ht="16.5" customHeight="1"/>
    <row r="9240" ht="16.5" customHeight="1"/>
    <row r="9241" ht="16.5" customHeight="1"/>
    <row r="9242" ht="16.5" customHeight="1"/>
    <row r="9243" ht="16.5" customHeight="1"/>
    <row r="9244" ht="16.5" customHeight="1"/>
    <row r="9245" ht="16.5" customHeight="1"/>
    <row r="9246" ht="16.5" customHeight="1"/>
    <row r="9247" ht="16.5" customHeight="1"/>
    <row r="9248" ht="16.5" customHeight="1"/>
    <row r="9249" ht="16.5" customHeight="1"/>
    <row r="9250" ht="16.5" customHeight="1"/>
    <row r="9251" ht="16.5" customHeight="1"/>
    <row r="9252" ht="16.5" customHeight="1"/>
    <row r="9253" ht="16.5" customHeight="1"/>
    <row r="9254" ht="16.5" customHeight="1"/>
    <row r="9255" ht="16.5" customHeight="1"/>
    <row r="9256" ht="16.5" customHeight="1"/>
    <row r="9257" ht="16.5" customHeight="1"/>
    <row r="9258" ht="16.5" customHeight="1"/>
    <row r="9259" ht="16.5" customHeight="1"/>
    <row r="9260" ht="16.5" customHeight="1"/>
    <row r="9261" ht="16.5" customHeight="1"/>
    <row r="9262" ht="16.5" customHeight="1"/>
    <row r="9263" ht="16.5" customHeight="1"/>
    <row r="9264" ht="16.5" customHeight="1"/>
    <row r="9265" ht="16.5" customHeight="1"/>
    <row r="9266" ht="16.5" customHeight="1"/>
    <row r="9267" ht="16.5" customHeight="1"/>
    <row r="9268" ht="16.5" customHeight="1"/>
    <row r="9269" ht="16.5" customHeight="1"/>
    <row r="9270" ht="16.5" customHeight="1"/>
    <row r="9271" ht="16.5" customHeight="1"/>
    <row r="9272" ht="16.5" customHeight="1"/>
    <row r="9273" ht="16.5" customHeight="1"/>
    <row r="9274" ht="16.5" customHeight="1"/>
    <row r="9275" ht="16.5" customHeight="1"/>
    <row r="9276" ht="16.5" customHeight="1"/>
    <row r="9277" ht="16.5" customHeight="1"/>
    <row r="9278" ht="16.5" customHeight="1"/>
    <row r="9279" ht="16.5" customHeight="1"/>
    <row r="9280" ht="16.5" customHeight="1"/>
    <row r="9281" ht="16.5" customHeight="1"/>
    <row r="9282" ht="16.5" customHeight="1"/>
    <row r="9283" ht="16.5" customHeight="1"/>
    <row r="9284" ht="16.5" customHeight="1"/>
    <row r="9285" ht="16.5" customHeight="1"/>
    <row r="9286" ht="16.5" customHeight="1"/>
    <row r="9287" ht="16.5" customHeight="1"/>
    <row r="9288" ht="16.5" customHeight="1"/>
    <row r="9289" ht="16.5" customHeight="1"/>
    <row r="9290" ht="16.5" customHeight="1"/>
    <row r="9291" ht="16.5" customHeight="1"/>
    <row r="9292" ht="16.5" customHeight="1"/>
    <row r="9293" ht="16.5" customHeight="1"/>
    <row r="9294" ht="16.5" customHeight="1"/>
    <row r="9295" ht="16.5" customHeight="1"/>
    <row r="9296" ht="16.5" customHeight="1"/>
    <row r="9297" ht="16.5" customHeight="1"/>
    <row r="9298" ht="16.5" customHeight="1"/>
    <row r="9299" ht="16.5" customHeight="1"/>
    <row r="9300" ht="16.5" customHeight="1"/>
    <row r="9301" ht="16.5" customHeight="1"/>
    <row r="9302" ht="16.5" customHeight="1"/>
    <row r="9303" ht="16.5" customHeight="1"/>
    <row r="9304" ht="16.5" customHeight="1"/>
    <row r="9305" ht="16.5" customHeight="1"/>
    <row r="9306" ht="16.5" customHeight="1"/>
    <row r="9307" ht="16.5" customHeight="1"/>
    <row r="9308" ht="16.5" customHeight="1"/>
    <row r="9309" ht="16.5" customHeight="1"/>
    <row r="9310" ht="16.5" customHeight="1"/>
    <row r="9311" ht="16.5" customHeight="1"/>
    <row r="9312" ht="16.5" customHeight="1"/>
    <row r="9313" ht="16.5" customHeight="1"/>
    <row r="9314" ht="16.5" customHeight="1"/>
    <row r="9315" ht="16.5" customHeight="1"/>
    <row r="9316" ht="16.5" customHeight="1"/>
    <row r="9317" ht="16.5" customHeight="1"/>
    <row r="9318" ht="16.5" customHeight="1"/>
    <row r="9319" ht="16.5" customHeight="1"/>
    <row r="9320" ht="16.5" customHeight="1"/>
    <row r="9321" ht="16.5" customHeight="1"/>
    <row r="9322" ht="16.5" customHeight="1"/>
    <row r="9323" ht="16.5" customHeight="1"/>
    <row r="9324" ht="16.5" customHeight="1"/>
    <row r="9325" ht="16.5" customHeight="1"/>
    <row r="9326" ht="16.5" customHeight="1"/>
    <row r="9327" ht="16.5" customHeight="1"/>
    <row r="9328" ht="16.5" customHeight="1"/>
    <row r="9329" ht="16.5" customHeight="1"/>
    <row r="9330" ht="16.5" customHeight="1"/>
    <row r="9331" ht="16.5" customHeight="1"/>
    <row r="9332" ht="16.5" customHeight="1"/>
    <row r="9333" ht="16.5" customHeight="1"/>
    <row r="9334" ht="16.5" customHeight="1"/>
    <row r="9335" ht="16.5" customHeight="1"/>
    <row r="9336" ht="16.5" customHeight="1"/>
    <row r="9337" ht="16.5" customHeight="1"/>
    <row r="9338" ht="16.5" customHeight="1"/>
    <row r="9339" ht="16.5" customHeight="1"/>
    <row r="9340" ht="16.5" customHeight="1"/>
    <row r="9341" ht="16.5" customHeight="1"/>
    <row r="9342" ht="16.5" customHeight="1"/>
    <row r="9343" ht="16.5" customHeight="1"/>
    <row r="9344" ht="16.5" customHeight="1"/>
    <row r="9345" ht="16.5" customHeight="1"/>
    <row r="9346" ht="16.5" customHeight="1"/>
    <row r="9347" ht="16.5" customHeight="1"/>
    <row r="9348" ht="16.5" customHeight="1"/>
    <row r="9349" ht="16.5" customHeight="1"/>
    <row r="9350" ht="16.5" customHeight="1"/>
    <row r="9351" ht="16.5" customHeight="1"/>
    <row r="9352" ht="16.5" customHeight="1"/>
    <row r="9353" ht="16.5" customHeight="1"/>
    <row r="9354" ht="16.5" customHeight="1"/>
    <row r="9355" ht="16.5" customHeight="1"/>
    <row r="9356" ht="16.5" customHeight="1"/>
    <row r="9357" ht="16.5" customHeight="1"/>
    <row r="9358" ht="16.5" customHeight="1"/>
    <row r="9359" ht="16.5" customHeight="1"/>
    <row r="9360" ht="16.5" customHeight="1"/>
    <row r="9361" ht="16.5" customHeight="1"/>
    <row r="9362" ht="16.5" customHeight="1"/>
    <row r="9363" ht="16.5" customHeight="1"/>
    <row r="9364" ht="16.5" customHeight="1"/>
    <row r="9365" ht="16.5" customHeight="1"/>
    <row r="9366" ht="16.5" customHeight="1"/>
    <row r="9367" ht="16.5" customHeight="1"/>
    <row r="9368" ht="16.5" customHeight="1"/>
    <row r="9369" ht="16.5" customHeight="1"/>
    <row r="9370" ht="16.5" customHeight="1"/>
    <row r="9371" ht="16.5" customHeight="1"/>
    <row r="9372" ht="16.5" customHeight="1"/>
    <row r="9373" ht="16.5" customHeight="1"/>
    <row r="9374" ht="16.5" customHeight="1"/>
    <row r="9375" ht="16.5" customHeight="1"/>
    <row r="9376" ht="16.5" customHeight="1"/>
    <row r="9377" ht="16.5" customHeight="1"/>
    <row r="9378" ht="16.5" customHeight="1"/>
    <row r="9379" ht="16.5" customHeight="1"/>
    <row r="9380" ht="16.5" customHeight="1"/>
    <row r="9381" ht="16.5" customHeight="1"/>
    <row r="9382" ht="16.5" customHeight="1"/>
    <row r="9383" ht="16.5" customHeight="1"/>
    <row r="9384" ht="16.5" customHeight="1"/>
    <row r="9385" ht="16.5" customHeight="1"/>
    <row r="9386" ht="16.5" customHeight="1"/>
    <row r="9387" ht="16.5" customHeight="1"/>
    <row r="9388" ht="16.5" customHeight="1"/>
    <row r="9389" ht="16.5" customHeight="1"/>
    <row r="9390" ht="16.5" customHeight="1"/>
    <row r="9391" ht="16.5" customHeight="1"/>
    <row r="9392" ht="16.5" customHeight="1"/>
    <row r="9393" ht="16.5" customHeight="1"/>
    <row r="9394" ht="16.5" customHeight="1"/>
    <row r="9395" ht="16.5" customHeight="1"/>
    <row r="9396" ht="16.5" customHeight="1"/>
    <row r="9397" ht="16.5" customHeight="1"/>
    <row r="9398" ht="16.5" customHeight="1"/>
    <row r="9399" ht="16.5" customHeight="1"/>
    <row r="9400" ht="16.5" customHeight="1"/>
    <row r="9401" ht="16.5" customHeight="1"/>
    <row r="9402" ht="16.5" customHeight="1"/>
    <row r="9403" ht="16.5" customHeight="1"/>
    <row r="9404" ht="16.5" customHeight="1"/>
    <row r="9405" ht="16.5" customHeight="1"/>
    <row r="9406" ht="16.5" customHeight="1"/>
    <row r="9407" ht="16.5" customHeight="1"/>
    <row r="9408" ht="16.5" customHeight="1"/>
    <row r="9409" ht="16.5" customHeight="1"/>
    <row r="9410" ht="16.5" customHeight="1"/>
    <row r="9411" ht="16.5" customHeight="1"/>
    <row r="9412" ht="16.5" customHeight="1"/>
    <row r="9413" ht="16.5" customHeight="1"/>
    <row r="9414" ht="16.5" customHeight="1"/>
    <row r="9415" ht="16.5" customHeight="1"/>
    <row r="9416" ht="16.5" customHeight="1"/>
    <row r="9417" ht="16.5" customHeight="1"/>
    <row r="9418" ht="16.5" customHeight="1"/>
    <row r="9419" ht="16.5" customHeight="1"/>
    <row r="9420" ht="16.5" customHeight="1"/>
    <row r="9421" ht="16.5" customHeight="1"/>
    <row r="9422" ht="16.5" customHeight="1"/>
    <row r="9423" ht="16.5" customHeight="1"/>
    <row r="9424" ht="16.5" customHeight="1"/>
    <row r="9425" ht="16.5" customHeight="1"/>
    <row r="9426" ht="16.5" customHeight="1"/>
    <row r="9427" ht="16.5" customHeight="1"/>
    <row r="9428" ht="16.5" customHeight="1"/>
    <row r="9429" ht="16.5" customHeight="1"/>
    <row r="9430" ht="16.5" customHeight="1"/>
    <row r="9431" ht="16.5" customHeight="1"/>
    <row r="9432" ht="16.5" customHeight="1"/>
    <row r="9433" ht="16.5" customHeight="1"/>
    <row r="9434" ht="16.5" customHeight="1"/>
    <row r="9435" ht="16.5" customHeight="1"/>
    <row r="9436" ht="16.5" customHeight="1"/>
    <row r="9437" ht="16.5" customHeight="1"/>
    <row r="9438" ht="16.5" customHeight="1"/>
    <row r="9439" ht="16.5" customHeight="1"/>
    <row r="9440" ht="16.5" customHeight="1"/>
    <row r="9441" ht="16.5" customHeight="1"/>
    <row r="9442" ht="16.5" customHeight="1"/>
    <row r="9443" ht="16.5" customHeight="1"/>
    <row r="9444" ht="16.5" customHeight="1"/>
    <row r="9445" ht="16.5" customHeight="1"/>
    <row r="9446" ht="16.5" customHeight="1"/>
    <row r="9447" ht="16.5" customHeight="1"/>
    <row r="9448" ht="16.5" customHeight="1"/>
    <row r="9449" ht="16.5" customHeight="1"/>
    <row r="9450" ht="16.5" customHeight="1"/>
    <row r="9451" ht="16.5" customHeight="1"/>
    <row r="9452" ht="16.5" customHeight="1"/>
    <row r="9453" ht="16.5" customHeight="1"/>
    <row r="9454" ht="16.5" customHeight="1"/>
    <row r="9455" ht="16.5" customHeight="1"/>
    <row r="9456" ht="16.5" customHeight="1"/>
    <row r="9457" ht="16.5" customHeight="1"/>
    <row r="9458" ht="16.5" customHeight="1"/>
    <row r="9459" ht="16.5" customHeight="1"/>
    <row r="9460" ht="16.5" customHeight="1"/>
    <row r="9461" ht="16.5" customHeight="1"/>
    <row r="9462" ht="16.5" customHeight="1"/>
    <row r="9463" ht="16.5" customHeight="1"/>
    <row r="9464" ht="16.5" customHeight="1"/>
    <row r="9465" ht="16.5" customHeight="1"/>
    <row r="9466" ht="16.5" customHeight="1"/>
    <row r="9467" ht="16.5" customHeight="1"/>
    <row r="9468" ht="16.5" customHeight="1"/>
    <row r="9469" ht="16.5" customHeight="1"/>
    <row r="9470" ht="16.5" customHeight="1"/>
    <row r="9471" ht="16.5" customHeight="1"/>
    <row r="9472" ht="16.5" customHeight="1"/>
    <row r="9473" ht="16.5" customHeight="1"/>
    <row r="9474" ht="16.5" customHeight="1"/>
    <row r="9475" ht="16.5" customHeight="1"/>
    <row r="9476" ht="16.5" customHeight="1"/>
    <row r="9477" ht="16.5" customHeight="1"/>
    <row r="9478" ht="16.5" customHeight="1"/>
    <row r="9479" ht="16.5" customHeight="1"/>
    <row r="9480" ht="16.5" customHeight="1"/>
    <row r="9481" ht="16.5" customHeight="1"/>
    <row r="9482" ht="16.5" customHeight="1"/>
    <row r="9483" ht="16.5" customHeight="1"/>
    <row r="9484" ht="16.5" customHeight="1"/>
    <row r="9485" ht="16.5" customHeight="1"/>
    <row r="9486" ht="16.5" customHeight="1"/>
    <row r="9487" ht="16.5" customHeight="1"/>
    <row r="9488" ht="16.5" customHeight="1"/>
    <row r="9489" ht="16.5" customHeight="1"/>
    <row r="9490" ht="16.5" customHeight="1"/>
    <row r="9491" ht="16.5" customHeight="1"/>
    <row r="9492" ht="16.5" customHeight="1"/>
    <row r="9493" ht="16.5" customHeight="1"/>
    <row r="9494" ht="16.5" customHeight="1"/>
    <row r="9495" ht="16.5" customHeight="1"/>
    <row r="9496" ht="16.5" customHeight="1"/>
    <row r="9497" ht="16.5" customHeight="1"/>
    <row r="9498" ht="16.5" customHeight="1"/>
    <row r="9499" ht="16.5" customHeight="1"/>
    <row r="9500" ht="16.5" customHeight="1"/>
    <row r="9501" ht="16.5" customHeight="1"/>
    <row r="9502" ht="16.5" customHeight="1"/>
    <row r="9503" ht="16.5" customHeight="1"/>
    <row r="9504" ht="16.5" customHeight="1"/>
    <row r="9505" ht="16.5" customHeight="1"/>
    <row r="9506" ht="16.5" customHeight="1"/>
    <row r="9507" ht="16.5" customHeight="1"/>
    <row r="9508" ht="16.5" customHeight="1"/>
    <row r="9509" ht="16.5" customHeight="1"/>
    <row r="9510" ht="16.5" customHeight="1"/>
    <row r="9511" ht="16.5" customHeight="1"/>
    <row r="9512" ht="16.5" customHeight="1"/>
    <row r="9513" ht="16.5" customHeight="1"/>
    <row r="9514" ht="16.5" customHeight="1"/>
    <row r="9515" ht="16.5" customHeight="1"/>
    <row r="9516" ht="16.5" customHeight="1"/>
    <row r="9517" ht="16.5" customHeight="1"/>
    <row r="9518" ht="16.5" customHeight="1"/>
    <row r="9519" ht="16.5" customHeight="1"/>
    <row r="9520" ht="16.5" customHeight="1"/>
    <row r="9521" ht="16.5" customHeight="1"/>
    <row r="9522" ht="16.5" customHeight="1"/>
    <row r="9523" ht="16.5" customHeight="1"/>
    <row r="9524" ht="16.5" customHeight="1"/>
    <row r="9525" ht="16.5" customHeight="1"/>
    <row r="9526" ht="16.5" customHeight="1"/>
    <row r="9527" ht="16.5" customHeight="1"/>
    <row r="9528" ht="16.5" customHeight="1"/>
    <row r="9529" ht="16.5" customHeight="1"/>
    <row r="9530" ht="16.5" customHeight="1"/>
    <row r="9531" ht="16.5" customHeight="1"/>
    <row r="9532" ht="16.5" customHeight="1"/>
    <row r="9533" ht="16.5" customHeight="1"/>
    <row r="9534" ht="16.5" customHeight="1"/>
    <row r="9535" ht="16.5" customHeight="1"/>
    <row r="9536" ht="16.5" customHeight="1"/>
    <row r="9537" ht="16.5" customHeight="1"/>
    <row r="9538" ht="16.5" customHeight="1"/>
    <row r="9539" ht="16.5" customHeight="1"/>
    <row r="9540" ht="16.5" customHeight="1"/>
    <row r="9541" ht="16.5" customHeight="1"/>
    <row r="9542" ht="16.5" customHeight="1"/>
    <row r="9543" ht="16.5" customHeight="1"/>
    <row r="9544" ht="16.5" customHeight="1"/>
    <row r="9545" ht="16.5" customHeight="1"/>
    <row r="9546" ht="16.5" customHeight="1"/>
    <row r="9547" ht="16.5" customHeight="1"/>
    <row r="9548" ht="16.5" customHeight="1"/>
    <row r="9549" ht="16.5" customHeight="1"/>
    <row r="9550" ht="16.5" customHeight="1"/>
    <row r="9551" ht="16.5" customHeight="1"/>
    <row r="9552" ht="16.5" customHeight="1"/>
    <row r="9553" ht="16.5" customHeight="1"/>
    <row r="9554" ht="16.5" customHeight="1"/>
    <row r="9555" ht="16.5" customHeight="1"/>
    <row r="9556" ht="16.5" customHeight="1"/>
    <row r="9557" ht="16.5" customHeight="1"/>
    <row r="9558" ht="16.5" customHeight="1"/>
    <row r="9559" ht="16.5" customHeight="1"/>
    <row r="9560" ht="16.5" customHeight="1"/>
    <row r="9561" ht="16.5" customHeight="1"/>
    <row r="9562" ht="16.5" customHeight="1"/>
    <row r="9563" ht="16.5" customHeight="1"/>
    <row r="9564" ht="16.5" customHeight="1"/>
    <row r="9565" ht="16.5" customHeight="1"/>
    <row r="9566" ht="16.5" customHeight="1"/>
    <row r="9567" ht="16.5" customHeight="1"/>
    <row r="9568" ht="16.5" customHeight="1"/>
    <row r="9569" ht="16.5" customHeight="1"/>
    <row r="9570" ht="16.5" customHeight="1"/>
    <row r="9571" ht="16.5" customHeight="1"/>
    <row r="9572" ht="16.5" customHeight="1"/>
    <row r="9573" ht="16.5" customHeight="1"/>
    <row r="9574" ht="16.5" customHeight="1"/>
    <row r="9575" ht="16.5" customHeight="1"/>
    <row r="9576" ht="16.5" customHeight="1"/>
    <row r="9577" ht="16.5" customHeight="1"/>
    <row r="9578" ht="16.5" customHeight="1"/>
    <row r="9579" ht="16.5" customHeight="1"/>
    <row r="9580" ht="16.5" customHeight="1"/>
    <row r="9581" ht="16.5" customHeight="1"/>
    <row r="9582" ht="16.5" customHeight="1"/>
    <row r="9583" ht="16.5" customHeight="1"/>
    <row r="9584" ht="16.5" customHeight="1"/>
    <row r="9585" ht="16.5" customHeight="1"/>
    <row r="9586" ht="16.5" customHeight="1"/>
    <row r="9587" ht="16.5" customHeight="1"/>
    <row r="9588" ht="16.5" customHeight="1"/>
    <row r="9589" ht="16.5" customHeight="1"/>
    <row r="9590" ht="16.5" customHeight="1"/>
    <row r="9591" ht="16.5" customHeight="1"/>
    <row r="9592" ht="16.5" customHeight="1"/>
    <row r="9593" ht="16.5" customHeight="1"/>
    <row r="9594" ht="16.5" customHeight="1"/>
    <row r="9595" ht="16.5" customHeight="1"/>
    <row r="9596" ht="16.5" customHeight="1"/>
    <row r="9597" ht="16.5" customHeight="1"/>
    <row r="9598" ht="16.5" customHeight="1"/>
    <row r="9599" ht="16.5" customHeight="1"/>
    <row r="9600" ht="16.5" customHeight="1"/>
    <row r="9601" ht="16.5" customHeight="1"/>
    <row r="9602" ht="16.5" customHeight="1"/>
    <row r="9603" ht="16.5" customHeight="1"/>
    <row r="9604" ht="16.5" customHeight="1"/>
    <row r="9605" ht="16.5" customHeight="1"/>
    <row r="9606" ht="16.5" customHeight="1"/>
    <row r="9607" ht="16.5" customHeight="1"/>
    <row r="9608" ht="16.5" customHeight="1"/>
    <row r="9609" ht="16.5" customHeight="1"/>
    <row r="9610" ht="16.5" customHeight="1"/>
    <row r="9611" ht="16.5" customHeight="1"/>
    <row r="9612" ht="16.5" customHeight="1"/>
    <row r="9613" ht="16.5" customHeight="1"/>
    <row r="9614" ht="16.5" customHeight="1"/>
    <row r="9615" ht="16.5" customHeight="1"/>
    <row r="9616" ht="16.5" customHeight="1"/>
    <row r="9617" ht="16.5" customHeight="1"/>
    <row r="9618" ht="16.5" customHeight="1"/>
    <row r="9619" ht="16.5" customHeight="1"/>
    <row r="9620" ht="16.5" customHeight="1"/>
    <row r="9621" ht="16.5" customHeight="1"/>
    <row r="9622" ht="16.5" customHeight="1"/>
    <row r="9623" ht="16.5" customHeight="1"/>
    <row r="9624" ht="16.5" customHeight="1"/>
    <row r="9625" ht="16.5" customHeight="1"/>
    <row r="9626" ht="16.5" customHeight="1"/>
    <row r="9627" ht="16.5" customHeight="1"/>
    <row r="9628" ht="16.5" customHeight="1"/>
    <row r="9629" ht="16.5" customHeight="1"/>
    <row r="9630" ht="16.5" customHeight="1"/>
    <row r="9631" ht="16.5" customHeight="1"/>
    <row r="9632" ht="16.5" customHeight="1"/>
    <row r="9633" ht="16.5" customHeight="1"/>
    <row r="9634" ht="16.5" customHeight="1"/>
    <row r="9635" ht="16.5" customHeight="1"/>
    <row r="9636" ht="16.5" customHeight="1"/>
    <row r="9637" ht="16.5" customHeight="1"/>
    <row r="9638" ht="16.5" customHeight="1"/>
    <row r="9639" ht="16.5" customHeight="1"/>
    <row r="9640" ht="16.5" customHeight="1"/>
    <row r="9641" ht="16.5" customHeight="1"/>
    <row r="9642" ht="16.5" customHeight="1"/>
    <row r="9643" ht="16.5" customHeight="1"/>
    <row r="9644" ht="16.5" customHeight="1"/>
    <row r="9645" ht="16.5" customHeight="1"/>
    <row r="9646" ht="16.5" customHeight="1"/>
    <row r="9647" ht="16.5" customHeight="1"/>
    <row r="9648" ht="16.5" customHeight="1"/>
    <row r="9649" ht="16.5" customHeight="1"/>
    <row r="9650" ht="16.5" customHeight="1"/>
    <row r="9651" ht="16.5" customHeight="1"/>
    <row r="9652" ht="16.5" customHeight="1"/>
    <row r="9653" ht="16.5" customHeight="1"/>
    <row r="9654" ht="16.5" customHeight="1"/>
    <row r="9655" ht="16.5" customHeight="1"/>
    <row r="9656" ht="16.5" customHeight="1"/>
    <row r="9657" ht="16.5" customHeight="1"/>
    <row r="9658" ht="16.5" customHeight="1"/>
    <row r="9659" ht="16.5" customHeight="1"/>
    <row r="9660" ht="16.5" customHeight="1"/>
    <row r="9661" ht="16.5" customHeight="1"/>
    <row r="9662" ht="16.5" customHeight="1"/>
    <row r="9663" ht="16.5" customHeight="1"/>
    <row r="9664" ht="16.5" customHeight="1"/>
    <row r="9665" ht="16.5" customHeight="1"/>
    <row r="9666" ht="16.5" customHeight="1"/>
    <row r="9667" ht="16.5" customHeight="1"/>
    <row r="9668" ht="16.5" customHeight="1"/>
    <row r="9669" ht="16.5" customHeight="1"/>
    <row r="9670" ht="16.5" customHeight="1"/>
    <row r="9671" ht="16.5" customHeight="1"/>
    <row r="9672" ht="16.5" customHeight="1"/>
    <row r="9673" ht="16.5" customHeight="1"/>
    <row r="9674" ht="16.5" customHeight="1"/>
    <row r="9675" ht="16.5" customHeight="1"/>
    <row r="9676" ht="16.5" customHeight="1"/>
    <row r="9677" ht="16.5" customHeight="1"/>
    <row r="9678" ht="16.5" customHeight="1"/>
    <row r="9679" ht="16.5" customHeight="1"/>
    <row r="9680" ht="16.5" customHeight="1"/>
    <row r="9681" ht="16.5" customHeight="1"/>
    <row r="9682" ht="16.5" customHeight="1"/>
    <row r="9683" ht="16.5" customHeight="1"/>
    <row r="9684" ht="16.5" customHeight="1"/>
    <row r="9685" ht="16.5" customHeight="1"/>
    <row r="9686" ht="16.5" customHeight="1"/>
    <row r="9687" ht="16.5" customHeight="1"/>
    <row r="9688" ht="16.5" customHeight="1"/>
    <row r="9689" ht="16.5" customHeight="1"/>
    <row r="9690" ht="16.5" customHeight="1"/>
    <row r="9691" ht="16.5" customHeight="1"/>
    <row r="9692" ht="16.5" customHeight="1"/>
    <row r="9693" ht="16.5" customHeight="1"/>
    <row r="9694" ht="16.5" customHeight="1"/>
    <row r="9695" ht="16.5" customHeight="1"/>
    <row r="9696" ht="16.5" customHeight="1"/>
    <row r="9697" ht="16.5" customHeight="1"/>
    <row r="9698" ht="16.5" customHeight="1"/>
    <row r="9699" ht="16.5" customHeight="1"/>
    <row r="9700" ht="16.5" customHeight="1"/>
    <row r="9701" ht="16.5" customHeight="1"/>
    <row r="9702" ht="16.5" customHeight="1"/>
    <row r="9703" ht="16.5" customHeight="1"/>
    <row r="9704" ht="16.5" customHeight="1"/>
    <row r="9705" ht="16.5" customHeight="1"/>
    <row r="9706" ht="16.5" customHeight="1"/>
    <row r="9707" ht="16.5" customHeight="1"/>
    <row r="9708" ht="16.5" customHeight="1"/>
    <row r="9709" ht="16.5" customHeight="1"/>
    <row r="9710" ht="16.5" customHeight="1"/>
    <row r="9711" ht="16.5" customHeight="1"/>
    <row r="9712" ht="16.5" customHeight="1"/>
    <row r="9713" ht="16.5" customHeight="1"/>
    <row r="9714" ht="16.5" customHeight="1"/>
    <row r="9715" ht="16.5" customHeight="1"/>
    <row r="9716" ht="16.5" customHeight="1"/>
    <row r="9717" ht="16.5" customHeight="1"/>
    <row r="9718" ht="16.5" customHeight="1"/>
    <row r="9719" ht="16.5" customHeight="1"/>
    <row r="9720" ht="16.5" customHeight="1"/>
    <row r="9721" ht="16.5" customHeight="1"/>
    <row r="9722" ht="16.5" customHeight="1"/>
    <row r="9723" ht="16.5" customHeight="1"/>
    <row r="9724" ht="16.5" customHeight="1"/>
    <row r="9725" ht="16.5" customHeight="1"/>
    <row r="9726" ht="16.5" customHeight="1"/>
    <row r="9727" ht="16.5" customHeight="1"/>
    <row r="9728" ht="16.5" customHeight="1"/>
    <row r="9729" ht="16.5" customHeight="1"/>
    <row r="9730" ht="16.5" customHeight="1"/>
    <row r="9731" ht="16.5" customHeight="1"/>
    <row r="9732" ht="16.5" customHeight="1"/>
    <row r="9733" ht="16.5" customHeight="1"/>
    <row r="9734" ht="16.5" customHeight="1"/>
    <row r="9735" ht="16.5" customHeight="1"/>
    <row r="9736" ht="16.5" customHeight="1"/>
    <row r="9737" ht="16.5" customHeight="1"/>
    <row r="9738" ht="16.5" customHeight="1"/>
    <row r="9739" ht="16.5" customHeight="1"/>
    <row r="9740" ht="16.5" customHeight="1"/>
    <row r="9741" ht="16.5" customHeight="1"/>
    <row r="9742" ht="16.5" customHeight="1"/>
    <row r="9743" ht="16.5" customHeight="1"/>
    <row r="9744" ht="16.5" customHeight="1"/>
    <row r="9745" ht="16.5" customHeight="1"/>
    <row r="9746" ht="16.5" customHeight="1"/>
    <row r="9747" ht="16.5" customHeight="1"/>
    <row r="9748" ht="16.5" customHeight="1"/>
    <row r="9749" ht="16.5" customHeight="1"/>
    <row r="9750" ht="16.5" customHeight="1"/>
    <row r="9751" ht="16.5" customHeight="1"/>
    <row r="9752" ht="16.5" customHeight="1"/>
    <row r="9753" ht="16.5" customHeight="1"/>
    <row r="9754" ht="16.5" customHeight="1"/>
    <row r="9755" ht="16.5" customHeight="1"/>
    <row r="9756" ht="16.5" customHeight="1"/>
    <row r="9757" ht="16.5" customHeight="1"/>
    <row r="9758" ht="16.5" customHeight="1"/>
    <row r="9759" ht="16.5" customHeight="1"/>
    <row r="9760" ht="16.5" customHeight="1"/>
    <row r="9761" ht="16.5" customHeight="1"/>
    <row r="9762" ht="16.5" customHeight="1"/>
    <row r="9763" ht="16.5" customHeight="1"/>
    <row r="9764" ht="16.5" customHeight="1"/>
    <row r="9765" ht="16.5" customHeight="1"/>
    <row r="9766" ht="16.5" customHeight="1"/>
    <row r="9767" ht="16.5" customHeight="1"/>
    <row r="9768" ht="16.5" customHeight="1"/>
    <row r="9769" ht="16.5" customHeight="1"/>
    <row r="9770" ht="16.5" customHeight="1"/>
    <row r="9771" ht="16.5" customHeight="1"/>
    <row r="9772" ht="16.5" customHeight="1"/>
    <row r="9773" ht="16.5" customHeight="1"/>
    <row r="9774" ht="16.5" customHeight="1"/>
    <row r="9775" ht="16.5" customHeight="1"/>
    <row r="9776" ht="16.5" customHeight="1"/>
    <row r="9777" ht="16.5" customHeight="1"/>
    <row r="9778" ht="16.5" customHeight="1"/>
    <row r="9779" ht="16.5" customHeight="1"/>
    <row r="9780" ht="16.5" customHeight="1"/>
    <row r="9781" ht="16.5" customHeight="1"/>
    <row r="9782" ht="16.5" customHeight="1"/>
    <row r="9783" ht="16.5" customHeight="1"/>
    <row r="9784" ht="16.5" customHeight="1"/>
    <row r="9785" ht="16.5" customHeight="1"/>
    <row r="9786" ht="16.5" customHeight="1"/>
    <row r="9787" ht="16.5" customHeight="1"/>
    <row r="9788" ht="16.5" customHeight="1"/>
    <row r="9789" ht="16.5" customHeight="1"/>
    <row r="9790" ht="16.5" customHeight="1"/>
    <row r="9791" ht="16.5" customHeight="1"/>
    <row r="9792" ht="16.5" customHeight="1"/>
    <row r="9793" ht="16.5" customHeight="1"/>
    <row r="9794" ht="16.5" customHeight="1"/>
    <row r="9795" ht="16.5" customHeight="1"/>
    <row r="9796" ht="16.5" customHeight="1"/>
    <row r="9797" ht="16.5" customHeight="1"/>
    <row r="9798" ht="16.5" customHeight="1"/>
    <row r="9799" ht="16.5" customHeight="1"/>
    <row r="9800" ht="16.5" customHeight="1"/>
    <row r="9801" ht="16.5" customHeight="1"/>
    <row r="9802" ht="16.5" customHeight="1"/>
    <row r="9803" ht="16.5" customHeight="1"/>
    <row r="9804" ht="16.5" customHeight="1"/>
    <row r="9805" ht="16.5" customHeight="1"/>
    <row r="9806" ht="16.5" customHeight="1"/>
    <row r="9807" ht="16.5" customHeight="1"/>
    <row r="9808" ht="16.5" customHeight="1"/>
    <row r="9809" ht="16.5" customHeight="1"/>
    <row r="9810" ht="16.5" customHeight="1"/>
    <row r="9811" ht="16.5" customHeight="1"/>
    <row r="9812" ht="16.5" customHeight="1"/>
    <row r="9813" ht="16.5" customHeight="1"/>
    <row r="9814" ht="16.5" customHeight="1"/>
    <row r="9815" ht="16.5" customHeight="1"/>
    <row r="9816" ht="16.5" customHeight="1"/>
    <row r="9817" ht="16.5" customHeight="1"/>
    <row r="9818" ht="16.5" customHeight="1"/>
    <row r="9819" ht="16.5" customHeight="1"/>
    <row r="9820" ht="16.5" customHeight="1"/>
    <row r="9821" ht="16.5" customHeight="1"/>
    <row r="9822" ht="16.5" customHeight="1"/>
    <row r="9823" ht="16.5" customHeight="1"/>
    <row r="9824" ht="16.5" customHeight="1"/>
    <row r="9825" ht="16.5" customHeight="1"/>
    <row r="9826" ht="16.5" customHeight="1"/>
    <row r="9827" ht="16.5" customHeight="1"/>
    <row r="9828" ht="16.5" customHeight="1"/>
    <row r="9829" ht="16.5" customHeight="1"/>
    <row r="9830" ht="16.5" customHeight="1"/>
    <row r="9831" ht="16.5" customHeight="1"/>
    <row r="9832" ht="16.5" customHeight="1"/>
    <row r="9833" ht="16.5" customHeight="1"/>
    <row r="9834" ht="16.5" customHeight="1"/>
    <row r="9835" ht="16.5" customHeight="1"/>
    <row r="9836" ht="16.5" customHeight="1"/>
    <row r="9837" ht="16.5" customHeight="1"/>
    <row r="9838" ht="16.5" customHeight="1"/>
    <row r="9839" ht="16.5" customHeight="1"/>
    <row r="9840" ht="16.5" customHeight="1"/>
    <row r="9841" ht="16.5" customHeight="1"/>
    <row r="9842" ht="16.5" customHeight="1"/>
    <row r="9843" ht="16.5" customHeight="1"/>
    <row r="9844" ht="16.5" customHeight="1"/>
    <row r="9845" ht="16.5" customHeight="1"/>
    <row r="9846" ht="16.5" customHeight="1"/>
    <row r="9847" ht="16.5" customHeight="1"/>
    <row r="9848" ht="16.5" customHeight="1"/>
    <row r="9849" ht="16.5" customHeight="1"/>
    <row r="9850" ht="16.5" customHeight="1"/>
    <row r="9851" ht="16.5" customHeight="1"/>
    <row r="9852" ht="16.5" customHeight="1"/>
    <row r="9853" ht="16.5" customHeight="1"/>
    <row r="9854" ht="16.5" customHeight="1"/>
    <row r="9855" ht="16.5" customHeight="1"/>
    <row r="9856" ht="16.5" customHeight="1"/>
    <row r="9857" ht="16.5" customHeight="1"/>
    <row r="9858" ht="16.5" customHeight="1"/>
    <row r="9859" ht="16.5" customHeight="1"/>
    <row r="9860" ht="16.5" customHeight="1"/>
    <row r="9861" ht="16.5" customHeight="1"/>
    <row r="9862" ht="16.5" customHeight="1"/>
    <row r="9863" ht="16.5" customHeight="1"/>
    <row r="9864" ht="16.5" customHeight="1"/>
    <row r="9865" ht="16.5" customHeight="1"/>
    <row r="9866" ht="16.5" customHeight="1"/>
    <row r="9867" ht="16.5" customHeight="1"/>
    <row r="9868" ht="16.5" customHeight="1"/>
    <row r="9869" ht="16.5" customHeight="1"/>
    <row r="9870" ht="16.5" customHeight="1"/>
    <row r="9871" ht="16.5" customHeight="1"/>
    <row r="9872" ht="16.5" customHeight="1"/>
    <row r="9873" ht="16.5" customHeight="1"/>
    <row r="9874" ht="16.5" customHeight="1"/>
    <row r="9875" ht="16.5" customHeight="1"/>
    <row r="9876" ht="16.5" customHeight="1"/>
    <row r="9877" ht="16.5" customHeight="1"/>
    <row r="9878" ht="16.5" customHeight="1"/>
    <row r="9879" ht="16.5" customHeight="1"/>
    <row r="9880" ht="16.5" customHeight="1"/>
    <row r="9881" ht="16.5" customHeight="1"/>
    <row r="9882" ht="16.5" customHeight="1"/>
    <row r="9883" ht="16.5" customHeight="1"/>
    <row r="9884" ht="16.5" customHeight="1"/>
    <row r="9885" ht="16.5" customHeight="1"/>
    <row r="9886" ht="16.5" customHeight="1"/>
    <row r="9887" ht="16.5" customHeight="1"/>
    <row r="9888" ht="16.5" customHeight="1"/>
    <row r="9889" ht="16.5" customHeight="1"/>
    <row r="9890" ht="16.5" customHeight="1"/>
    <row r="9891" ht="16.5" customHeight="1"/>
    <row r="9892" ht="16.5" customHeight="1"/>
    <row r="9893" ht="16.5" customHeight="1"/>
    <row r="9894" ht="16.5" customHeight="1"/>
    <row r="9895" ht="16.5" customHeight="1"/>
    <row r="9896" ht="16.5" customHeight="1"/>
    <row r="9897" ht="16.5" customHeight="1"/>
    <row r="9898" ht="16.5" customHeight="1"/>
    <row r="9899" ht="16.5" customHeight="1"/>
    <row r="9900" ht="16.5" customHeight="1"/>
    <row r="9901" ht="16.5" customHeight="1"/>
    <row r="9902" ht="16.5" customHeight="1"/>
    <row r="9903" ht="16.5" customHeight="1"/>
    <row r="9904" ht="16.5" customHeight="1"/>
    <row r="9905" ht="16.5" customHeight="1"/>
    <row r="9906" ht="16.5" customHeight="1"/>
    <row r="9907" ht="16.5" customHeight="1"/>
    <row r="9908" ht="16.5" customHeight="1"/>
    <row r="9909" ht="16.5" customHeight="1"/>
    <row r="9910" ht="16.5" customHeight="1"/>
    <row r="9911" ht="16.5" customHeight="1"/>
    <row r="9912" ht="16.5" customHeight="1"/>
    <row r="9913" ht="16.5" customHeight="1"/>
    <row r="9914" ht="16.5" customHeight="1"/>
    <row r="9915" ht="16.5" customHeight="1"/>
    <row r="9916" ht="16.5" customHeight="1"/>
    <row r="9917" ht="16.5" customHeight="1"/>
    <row r="9918" ht="16.5" customHeight="1"/>
    <row r="9919" ht="16.5" customHeight="1"/>
    <row r="9920" ht="16.5" customHeight="1"/>
    <row r="9921" ht="16.5" customHeight="1"/>
    <row r="9922" ht="16.5" customHeight="1"/>
    <row r="9923" ht="16.5" customHeight="1"/>
    <row r="9924" ht="16.5" customHeight="1"/>
    <row r="9925" ht="16.5" customHeight="1"/>
    <row r="9926" ht="16.5" customHeight="1"/>
    <row r="9927" ht="16.5" customHeight="1"/>
    <row r="9928" ht="16.5" customHeight="1"/>
    <row r="9929" ht="16.5" customHeight="1"/>
    <row r="9930" ht="16.5" customHeight="1"/>
    <row r="9931" ht="16.5" customHeight="1"/>
    <row r="9932" ht="16.5" customHeight="1"/>
    <row r="9933" ht="16.5" customHeight="1"/>
    <row r="9934" ht="16.5" customHeight="1"/>
    <row r="9935" ht="16.5" customHeight="1"/>
    <row r="9936" ht="16.5" customHeight="1"/>
    <row r="9937" ht="16.5" customHeight="1"/>
    <row r="9938" ht="16.5" customHeight="1"/>
    <row r="9939" ht="16.5" customHeight="1"/>
    <row r="9940" ht="16.5" customHeight="1"/>
    <row r="9941" ht="16.5" customHeight="1"/>
    <row r="9942" ht="16.5" customHeight="1"/>
    <row r="9943" ht="16.5" customHeight="1"/>
    <row r="9944" ht="16.5" customHeight="1"/>
    <row r="9945" ht="16.5" customHeight="1"/>
    <row r="9946" ht="16.5" customHeight="1"/>
    <row r="9947" ht="16.5" customHeight="1"/>
    <row r="9948" ht="16.5" customHeight="1"/>
    <row r="9949" ht="16.5" customHeight="1"/>
    <row r="9950" ht="16.5" customHeight="1"/>
    <row r="9951" ht="16.5" customHeight="1"/>
    <row r="9952" ht="16.5" customHeight="1"/>
    <row r="9953" ht="16.5" customHeight="1"/>
    <row r="9954" ht="16.5" customHeight="1"/>
    <row r="9955" ht="16.5" customHeight="1"/>
    <row r="9956" ht="16.5" customHeight="1"/>
    <row r="9957" ht="16.5" customHeight="1"/>
    <row r="9958" ht="16.5" customHeight="1"/>
    <row r="9959" ht="16.5" customHeight="1"/>
    <row r="9960" ht="16.5" customHeight="1"/>
    <row r="9961" ht="16.5" customHeight="1"/>
    <row r="9962" ht="16.5" customHeight="1"/>
    <row r="9963" ht="16.5" customHeight="1"/>
    <row r="9964" ht="16.5" customHeight="1"/>
    <row r="9965" ht="16.5" customHeight="1"/>
    <row r="9966" ht="16.5" customHeight="1"/>
    <row r="9967" ht="16.5" customHeight="1"/>
    <row r="9968" ht="16.5" customHeight="1"/>
    <row r="9969" ht="16.5" customHeight="1"/>
    <row r="9970" ht="16.5" customHeight="1"/>
    <row r="9971" ht="16.5" customHeight="1"/>
    <row r="9972" ht="16.5" customHeight="1"/>
    <row r="9973" ht="16.5" customHeight="1"/>
    <row r="9974" ht="16.5" customHeight="1"/>
    <row r="9975" ht="16.5" customHeight="1"/>
    <row r="9976" ht="16.5" customHeight="1"/>
    <row r="9977" ht="16.5" customHeight="1"/>
    <row r="9978" ht="16.5" customHeight="1"/>
    <row r="9979" ht="16.5" customHeight="1"/>
    <row r="9980" ht="16.5" customHeight="1"/>
    <row r="9981" ht="16.5" customHeight="1"/>
    <row r="9982" ht="16.5" customHeight="1"/>
    <row r="9983" ht="16.5" customHeight="1"/>
    <row r="9984" ht="16.5" customHeight="1"/>
    <row r="9985" ht="16.5" customHeight="1"/>
    <row r="9986" ht="16.5" customHeight="1"/>
    <row r="9987" ht="16.5" customHeight="1"/>
    <row r="9988" ht="16.5" customHeight="1"/>
    <row r="9989" ht="16.5" customHeight="1"/>
    <row r="9990" ht="16.5" customHeight="1"/>
    <row r="9991" ht="16.5" customHeight="1"/>
    <row r="9992" ht="16.5" customHeight="1"/>
    <row r="9993" ht="16.5" customHeight="1"/>
    <row r="9994" ht="16.5" customHeight="1"/>
    <row r="9995" ht="16.5" customHeight="1"/>
    <row r="9996" ht="16.5" customHeight="1"/>
    <row r="9997" ht="16.5" customHeight="1"/>
    <row r="9998" ht="16.5" customHeight="1"/>
    <row r="9999" ht="16.5" customHeight="1"/>
    <row r="10000" ht="16.5" customHeight="1"/>
    <row r="10001" ht="16.5" customHeight="1"/>
    <row r="10002" ht="16.5" customHeight="1"/>
    <row r="10003" ht="16.5" customHeight="1"/>
    <row r="10004" ht="16.5" customHeight="1"/>
    <row r="10005" ht="16.5" customHeight="1"/>
    <row r="10006" ht="16.5" customHeight="1"/>
  </sheetData>
  <mergeCells count="32">
    <mergeCell ref="B33:C37"/>
    <mergeCell ref="D33:H33"/>
    <mergeCell ref="D34:H34"/>
    <mergeCell ref="D35:H35"/>
    <mergeCell ref="D36:H36"/>
    <mergeCell ref="D37:H37"/>
    <mergeCell ref="B30:C30"/>
    <mergeCell ref="D30:G30"/>
    <mergeCell ref="B31:C31"/>
    <mergeCell ref="D31:G31"/>
    <mergeCell ref="D32:F32"/>
    <mergeCell ref="D27:G27"/>
    <mergeCell ref="B28:C28"/>
    <mergeCell ref="D28:G28"/>
    <mergeCell ref="B29:C29"/>
    <mergeCell ref="D29:G29"/>
    <mergeCell ref="B17:C17"/>
    <mergeCell ref="B18:C18"/>
    <mergeCell ref="B19:C19"/>
    <mergeCell ref="B26:C26"/>
    <mergeCell ref="B27:C27"/>
    <mergeCell ref="B5:C5"/>
    <mergeCell ref="D5:H5"/>
    <mergeCell ref="B6:I6"/>
    <mergeCell ref="B7:C7"/>
    <mergeCell ref="B8:C8"/>
    <mergeCell ref="B1:I1"/>
    <mergeCell ref="H2:I2"/>
    <mergeCell ref="B3:C3"/>
    <mergeCell ref="D3:H3"/>
    <mergeCell ref="B4:C4"/>
    <mergeCell ref="D4:H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36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9"/>
  <sheetViews>
    <sheetView view="pageBreakPreview" topLeftCell="A52" zoomScaleNormal="100" zoomScaleSheetLayoutView="100" workbookViewId="0">
      <selection activeCell="Q40" sqref="Q40:U40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1" max="256" width="3.83203125" customWidth="1"/>
    <col min="257" max="257" width="5.83203125" customWidth="1"/>
    <col min="258" max="270" width="3.83203125" customWidth="1"/>
    <col min="507" max="512" width="3.83203125" customWidth="1"/>
    <col min="513" max="513" width="5.83203125" customWidth="1"/>
    <col min="514" max="526" width="3.83203125" customWidth="1"/>
    <col min="763" max="768" width="3.83203125" customWidth="1"/>
    <col min="769" max="769" width="5.83203125" customWidth="1"/>
    <col min="770" max="782" width="3.83203125" customWidth="1"/>
    <col min="1019" max="1024" width="3.83203125" customWidth="1"/>
    <col min="1025" max="1025" width="5.83203125" customWidth="1"/>
    <col min="1026" max="1038" width="3.83203125" customWidth="1"/>
    <col min="1275" max="1280" width="3.83203125" customWidth="1"/>
    <col min="1281" max="1281" width="5.83203125" customWidth="1"/>
    <col min="1282" max="1294" width="3.83203125" customWidth="1"/>
    <col min="1531" max="1536" width="3.83203125" customWidth="1"/>
    <col min="1537" max="1537" width="5.83203125" customWidth="1"/>
    <col min="1538" max="1550" width="3.83203125" customWidth="1"/>
    <col min="1787" max="1792" width="3.83203125" customWidth="1"/>
    <col min="1793" max="1793" width="5.83203125" customWidth="1"/>
    <col min="1794" max="1806" width="3.83203125" customWidth="1"/>
    <col min="2043" max="2048" width="3.83203125" customWidth="1"/>
    <col min="2049" max="2049" width="5.83203125" customWidth="1"/>
    <col min="2050" max="2062" width="3.83203125" customWidth="1"/>
    <col min="2299" max="2304" width="3.83203125" customWidth="1"/>
    <col min="2305" max="2305" width="5.83203125" customWidth="1"/>
    <col min="2306" max="2318" width="3.83203125" customWidth="1"/>
    <col min="2555" max="2560" width="3.83203125" customWidth="1"/>
    <col min="2561" max="2561" width="5.83203125" customWidth="1"/>
    <col min="2562" max="2574" width="3.83203125" customWidth="1"/>
    <col min="2811" max="2816" width="3.83203125" customWidth="1"/>
    <col min="2817" max="2817" width="5.83203125" customWidth="1"/>
    <col min="2818" max="2830" width="3.83203125" customWidth="1"/>
    <col min="3067" max="3072" width="3.83203125" customWidth="1"/>
    <col min="3073" max="3073" width="5.83203125" customWidth="1"/>
    <col min="3074" max="3086" width="3.83203125" customWidth="1"/>
    <col min="3323" max="3328" width="3.83203125" customWidth="1"/>
    <col min="3329" max="3329" width="5.83203125" customWidth="1"/>
    <col min="3330" max="3342" width="3.83203125" customWidth="1"/>
    <col min="3579" max="3584" width="3.83203125" customWidth="1"/>
    <col min="3585" max="3585" width="5.83203125" customWidth="1"/>
    <col min="3586" max="3598" width="3.83203125" customWidth="1"/>
    <col min="3835" max="3840" width="3.83203125" customWidth="1"/>
    <col min="3841" max="3841" width="5.83203125" customWidth="1"/>
    <col min="3842" max="3854" width="3.83203125" customWidth="1"/>
    <col min="4091" max="4096" width="3.83203125" customWidth="1"/>
    <col min="4097" max="4097" width="5.83203125" customWidth="1"/>
    <col min="4098" max="4110" width="3.83203125" customWidth="1"/>
    <col min="4347" max="4352" width="3.83203125" customWidth="1"/>
    <col min="4353" max="4353" width="5.83203125" customWidth="1"/>
    <col min="4354" max="4366" width="3.83203125" customWidth="1"/>
    <col min="4603" max="4608" width="3.83203125" customWidth="1"/>
    <col min="4609" max="4609" width="5.83203125" customWidth="1"/>
    <col min="4610" max="4622" width="3.83203125" customWidth="1"/>
    <col min="4859" max="4864" width="3.83203125" customWidth="1"/>
    <col min="4865" max="4865" width="5.83203125" customWidth="1"/>
    <col min="4866" max="4878" width="3.83203125" customWidth="1"/>
    <col min="5115" max="5120" width="3.83203125" customWidth="1"/>
    <col min="5121" max="5121" width="5.83203125" customWidth="1"/>
    <col min="5122" max="5134" width="3.83203125" customWidth="1"/>
    <col min="5371" max="5376" width="3.83203125" customWidth="1"/>
    <col min="5377" max="5377" width="5.83203125" customWidth="1"/>
    <col min="5378" max="5390" width="3.83203125" customWidth="1"/>
    <col min="5627" max="5632" width="3.83203125" customWidth="1"/>
    <col min="5633" max="5633" width="5.83203125" customWidth="1"/>
    <col min="5634" max="5646" width="3.83203125" customWidth="1"/>
    <col min="5883" max="5888" width="3.83203125" customWidth="1"/>
    <col min="5889" max="5889" width="5.83203125" customWidth="1"/>
    <col min="5890" max="5902" width="3.83203125" customWidth="1"/>
    <col min="6139" max="6144" width="3.83203125" customWidth="1"/>
    <col min="6145" max="6145" width="5.83203125" customWidth="1"/>
    <col min="6146" max="6158" width="3.83203125" customWidth="1"/>
    <col min="6395" max="6400" width="3.83203125" customWidth="1"/>
    <col min="6401" max="6401" width="5.83203125" customWidth="1"/>
    <col min="6402" max="6414" width="3.83203125" customWidth="1"/>
    <col min="6651" max="6656" width="3.83203125" customWidth="1"/>
    <col min="6657" max="6657" width="5.83203125" customWidth="1"/>
    <col min="6658" max="6670" width="3.83203125" customWidth="1"/>
    <col min="6907" max="6912" width="3.83203125" customWidth="1"/>
    <col min="6913" max="6913" width="5.83203125" customWidth="1"/>
    <col min="6914" max="6926" width="3.83203125" customWidth="1"/>
    <col min="7163" max="7168" width="3.83203125" customWidth="1"/>
    <col min="7169" max="7169" width="5.83203125" customWidth="1"/>
    <col min="7170" max="7182" width="3.83203125" customWidth="1"/>
    <col min="7419" max="7424" width="3.83203125" customWidth="1"/>
    <col min="7425" max="7425" width="5.83203125" customWidth="1"/>
    <col min="7426" max="7438" width="3.83203125" customWidth="1"/>
    <col min="7675" max="7680" width="3.83203125" customWidth="1"/>
    <col min="7681" max="7681" width="5.83203125" customWidth="1"/>
    <col min="7682" max="7694" width="3.83203125" customWidth="1"/>
    <col min="7931" max="7936" width="3.83203125" customWidth="1"/>
    <col min="7937" max="7937" width="5.83203125" customWidth="1"/>
    <col min="7938" max="7950" width="3.83203125" customWidth="1"/>
    <col min="8187" max="8192" width="3.83203125" customWidth="1"/>
    <col min="8193" max="8193" width="5.83203125" customWidth="1"/>
    <col min="8194" max="8206" width="3.83203125" customWidth="1"/>
    <col min="8443" max="8448" width="3.83203125" customWidth="1"/>
    <col min="8449" max="8449" width="5.83203125" customWidth="1"/>
    <col min="8450" max="8462" width="3.83203125" customWidth="1"/>
    <col min="8699" max="8704" width="3.83203125" customWidth="1"/>
    <col min="8705" max="8705" width="5.83203125" customWidth="1"/>
    <col min="8706" max="8718" width="3.83203125" customWidth="1"/>
    <col min="8955" max="8960" width="3.83203125" customWidth="1"/>
    <col min="8961" max="8961" width="5.83203125" customWidth="1"/>
    <col min="8962" max="8974" width="3.83203125" customWidth="1"/>
    <col min="9211" max="9216" width="3.83203125" customWidth="1"/>
    <col min="9217" max="9217" width="5.83203125" customWidth="1"/>
    <col min="9218" max="9230" width="3.83203125" customWidth="1"/>
    <col min="9467" max="9472" width="3.83203125" customWidth="1"/>
    <col min="9473" max="9473" width="5.83203125" customWidth="1"/>
    <col min="9474" max="9486" width="3.83203125" customWidth="1"/>
    <col min="9723" max="9728" width="3.83203125" customWidth="1"/>
    <col min="9729" max="9729" width="5.83203125" customWidth="1"/>
    <col min="9730" max="9742" width="3.83203125" customWidth="1"/>
    <col min="9979" max="9984" width="3.83203125" customWidth="1"/>
    <col min="9985" max="9985" width="5.83203125" customWidth="1"/>
    <col min="9986" max="9998" width="3.83203125" customWidth="1"/>
    <col min="10235" max="10240" width="3.83203125" customWidth="1"/>
    <col min="10241" max="10241" width="5.83203125" customWidth="1"/>
    <col min="10242" max="10254" width="3.83203125" customWidth="1"/>
    <col min="10491" max="10496" width="3.83203125" customWidth="1"/>
    <col min="10497" max="10497" width="5.83203125" customWidth="1"/>
    <col min="10498" max="10510" width="3.83203125" customWidth="1"/>
    <col min="10747" max="10752" width="3.83203125" customWidth="1"/>
    <col min="10753" max="10753" width="5.83203125" customWidth="1"/>
    <col min="10754" max="10766" width="3.83203125" customWidth="1"/>
    <col min="11003" max="11008" width="3.83203125" customWidth="1"/>
    <col min="11009" max="11009" width="5.83203125" customWidth="1"/>
    <col min="11010" max="11022" width="3.83203125" customWidth="1"/>
    <col min="11259" max="11264" width="3.83203125" customWidth="1"/>
    <col min="11265" max="11265" width="5.83203125" customWidth="1"/>
    <col min="11266" max="11278" width="3.83203125" customWidth="1"/>
    <col min="11515" max="11520" width="3.83203125" customWidth="1"/>
    <col min="11521" max="11521" width="5.83203125" customWidth="1"/>
    <col min="11522" max="11534" width="3.83203125" customWidth="1"/>
    <col min="11771" max="11776" width="3.83203125" customWidth="1"/>
    <col min="11777" max="11777" width="5.83203125" customWidth="1"/>
    <col min="11778" max="11790" width="3.83203125" customWidth="1"/>
    <col min="12027" max="12032" width="3.83203125" customWidth="1"/>
    <col min="12033" max="12033" width="5.83203125" customWidth="1"/>
    <col min="12034" max="12046" width="3.83203125" customWidth="1"/>
    <col min="12283" max="12288" width="3.83203125" customWidth="1"/>
    <col min="12289" max="12289" width="5.83203125" customWidth="1"/>
    <col min="12290" max="12302" width="3.83203125" customWidth="1"/>
    <col min="12539" max="12544" width="3.83203125" customWidth="1"/>
    <col min="12545" max="12545" width="5.83203125" customWidth="1"/>
    <col min="12546" max="12558" width="3.83203125" customWidth="1"/>
    <col min="12795" max="12800" width="3.83203125" customWidth="1"/>
    <col min="12801" max="12801" width="5.83203125" customWidth="1"/>
    <col min="12802" max="12814" width="3.83203125" customWidth="1"/>
    <col min="13051" max="13056" width="3.83203125" customWidth="1"/>
    <col min="13057" max="13057" width="5.83203125" customWidth="1"/>
    <col min="13058" max="13070" width="3.83203125" customWidth="1"/>
    <col min="13307" max="13312" width="3.83203125" customWidth="1"/>
    <col min="13313" max="13313" width="5.83203125" customWidth="1"/>
    <col min="13314" max="13326" width="3.83203125" customWidth="1"/>
    <col min="13563" max="13568" width="3.83203125" customWidth="1"/>
    <col min="13569" max="13569" width="5.83203125" customWidth="1"/>
    <col min="13570" max="13582" width="3.83203125" customWidth="1"/>
    <col min="13819" max="13824" width="3.83203125" customWidth="1"/>
    <col min="13825" max="13825" width="5.83203125" customWidth="1"/>
    <col min="13826" max="13838" width="3.83203125" customWidth="1"/>
    <col min="14075" max="14080" width="3.83203125" customWidth="1"/>
    <col min="14081" max="14081" width="5.83203125" customWidth="1"/>
    <col min="14082" max="14094" width="3.83203125" customWidth="1"/>
    <col min="14331" max="14336" width="3.83203125" customWidth="1"/>
    <col min="14337" max="14337" width="5.83203125" customWidth="1"/>
    <col min="14338" max="14350" width="3.83203125" customWidth="1"/>
    <col min="14587" max="14592" width="3.83203125" customWidth="1"/>
    <col min="14593" max="14593" width="5.83203125" customWidth="1"/>
    <col min="14594" max="14606" width="3.83203125" customWidth="1"/>
    <col min="14843" max="14848" width="3.83203125" customWidth="1"/>
    <col min="14849" max="14849" width="5.83203125" customWidth="1"/>
    <col min="14850" max="14862" width="3.83203125" customWidth="1"/>
    <col min="15099" max="15104" width="3.83203125" customWidth="1"/>
    <col min="15105" max="15105" width="5.83203125" customWidth="1"/>
    <col min="15106" max="15118" width="3.83203125" customWidth="1"/>
    <col min="15355" max="15360" width="3.83203125" customWidth="1"/>
    <col min="15361" max="15361" width="5.83203125" customWidth="1"/>
    <col min="15362" max="15374" width="3.83203125" customWidth="1"/>
    <col min="15611" max="15616" width="3.83203125" customWidth="1"/>
    <col min="15617" max="15617" width="5.83203125" customWidth="1"/>
    <col min="15618" max="15630" width="3.83203125" customWidth="1"/>
    <col min="15867" max="15872" width="3.83203125" customWidth="1"/>
    <col min="15873" max="15873" width="5.83203125" customWidth="1"/>
    <col min="15874" max="15886" width="3.83203125" customWidth="1"/>
    <col min="16123" max="16128" width="3.83203125" customWidth="1"/>
    <col min="16129" max="16129" width="5.83203125" customWidth="1"/>
    <col min="16130" max="16142" width="3.83203125" customWidth="1"/>
  </cols>
  <sheetData>
    <row r="1" spans="2:21">
      <c r="B1" s="102"/>
      <c r="C1" s="102"/>
    </row>
    <row r="2" spans="2:21">
      <c r="B2" s="102"/>
      <c r="C2" s="102"/>
    </row>
    <row r="3" spans="2:21">
      <c r="B3" s="102"/>
      <c r="C3" s="102"/>
    </row>
    <row r="4" spans="2:21">
      <c r="B4" s="102"/>
      <c r="C4" s="102"/>
    </row>
    <row r="5" spans="2:21">
      <c r="B5" s="102"/>
      <c r="C5" s="102"/>
    </row>
    <row r="6" spans="2:21">
      <c r="B6" s="102"/>
      <c r="C6" s="102"/>
    </row>
    <row r="7" spans="2:21" ht="4" customHeight="1">
      <c r="B7" s="237" t="s">
        <v>43</v>
      </c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8"/>
    </row>
    <row r="8" spans="2:21" ht="66" customHeight="1">
      <c r="B8" s="239" t="s">
        <v>180</v>
      </c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39"/>
      <c r="S8" s="239"/>
      <c r="T8" s="239"/>
      <c r="U8" s="239"/>
    </row>
    <row r="9" spans="2:21" ht="44" customHeight="1">
      <c r="B9" s="240" t="str">
        <f>갑지!H8</f>
        <v>효성뉴서울5차아파트</v>
      </c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0"/>
      <c r="U9" s="240"/>
    </row>
    <row r="10" spans="2:21" ht="4" customHeight="1">
      <c r="B10" s="241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</row>
    <row r="11" spans="2:21" ht="40" customHeight="1">
      <c r="B11" s="117"/>
      <c r="C11" s="117"/>
    </row>
    <row r="12" spans="2:21" ht="40" customHeight="1">
      <c r="B12" s="117"/>
      <c r="C12" s="117"/>
    </row>
    <row r="13" spans="2:21" ht="40" customHeight="1">
      <c r="B13" s="117"/>
      <c r="C13" s="117"/>
    </row>
    <row r="14" spans="2:21" ht="40" customHeight="1">
      <c r="B14" s="117"/>
      <c r="C14" s="117"/>
    </row>
    <row r="15" spans="2:21" ht="40" customHeight="1">
      <c r="B15" s="117"/>
      <c r="C15" s="117"/>
    </row>
    <row r="16" spans="2:21" ht="24">
      <c r="B16" s="243" t="str">
        <f>갑지!H10</f>
        <v xml:space="preserve">2026년 연간/2027년 연간/2028년 상반기 </v>
      </c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/>
      <c r="U16" s="243"/>
    </row>
    <row r="17" spans="2:21" ht="40" customHeight="1">
      <c r="B17" s="117"/>
      <c r="C17" s="117"/>
    </row>
    <row r="18" spans="2:21" ht="40" customHeight="1">
      <c r="B18" s="117"/>
      <c r="C18" s="117"/>
    </row>
    <row r="19" spans="2:21" ht="40" customHeight="1">
      <c r="B19" s="117"/>
      <c r="C19" s="117"/>
    </row>
    <row r="20" spans="2:21" ht="40" customHeight="1">
      <c r="B20" s="117"/>
      <c r="C20" s="117"/>
    </row>
    <row r="21" spans="2:21" ht="40" customHeight="1">
      <c r="B21" s="102"/>
      <c r="C21" s="102"/>
    </row>
    <row r="22" spans="2:21" ht="53.25" customHeight="1">
      <c r="D22" s="116"/>
      <c r="E22" s="116"/>
      <c r="I22" s="244" t="s">
        <v>179</v>
      </c>
      <c r="J22" s="244"/>
      <c r="K22" s="244"/>
      <c r="L22" s="244"/>
      <c r="M22" s="244"/>
      <c r="N22" s="244"/>
      <c r="O22" s="244"/>
      <c r="P22" s="244"/>
      <c r="Q22" s="244"/>
      <c r="R22" s="244"/>
      <c r="S22" s="244"/>
      <c r="T22" s="244"/>
      <c r="U22" s="244"/>
    </row>
    <row r="23" spans="2:21" ht="24" customHeight="1">
      <c r="D23" s="112"/>
      <c r="E23" s="112"/>
      <c r="F23" s="112"/>
      <c r="I23" s="245" t="s">
        <v>44</v>
      </c>
      <c r="J23" s="245"/>
      <c r="K23" s="245"/>
      <c r="L23" s="245"/>
      <c r="M23" s="245"/>
      <c r="N23" s="245"/>
      <c r="O23" s="245"/>
      <c r="P23" s="245"/>
      <c r="Q23" s="245"/>
      <c r="R23" s="245"/>
      <c r="S23" s="245"/>
      <c r="T23" s="245"/>
      <c r="U23" s="245"/>
    </row>
    <row r="24" spans="2:21" ht="24" customHeight="1">
      <c r="D24" s="112"/>
      <c r="E24" s="112"/>
      <c r="F24" s="112"/>
      <c r="I24" s="245" t="s">
        <v>178</v>
      </c>
      <c r="J24" s="245"/>
      <c r="K24" s="245"/>
      <c r="L24" s="245"/>
      <c r="M24" s="245"/>
      <c r="N24" s="245"/>
      <c r="O24" s="245"/>
      <c r="P24" s="245"/>
      <c r="Q24" s="245"/>
      <c r="R24" s="245"/>
      <c r="S24" s="245"/>
      <c r="T24" s="245"/>
      <c r="U24" s="245"/>
    </row>
    <row r="25" spans="2:21" ht="24" customHeight="1">
      <c r="D25" s="112"/>
      <c r="E25" s="112"/>
      <c r="F25" s="112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</row>
    <row r="26" spans="2:21" ht="24" customHeight="1">
      <c r="D26" s="112"/>
      <c r="E26" s="112"/>
      <c r="F26" s="112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</row>
    <row r="27" spans="2:21" ht="43.5" customHeight="1">
      <c r="B27" s="246" t="s">
        <v>177</v>
      </c>
      <c r="C27" s="247"/>
      <c r="D27" s="247"/>
      <c r="E27" s="247"/>
      <c r="F27" s="247"/>
      <c r="G27" s="247"/>
      <c r="H27" s="247"/>
      <c r="I27" s="247"/>
      <c r="J27" s="247"/>
      <c r="K27" s="247"/>
      <c r="L27" s="247"/>
      <c r="M27" s="247"/>
      <c r="N27" s="247"/>
      <c r="O27" s="247"/>
      <c r="P27" s="247"/>
      <c r="Q27" s="247"/>
      <c r="R27" s="247"/>
      <c r="S27" s="247"/>
      <c r="T27" s="247"/>
      <c r="U27" s="248"/>
    </row>
    <row r="28" spans="2:21" ht="25" customHeight="1">
      <c r="B28" s="249" t="s">
        <v>176</v>
      </c>
      <c r="C28" s="250"/>
      <c r="D28" s="253" t="s">
        <v>45</v>
      </c>
      <c r="E28" s="253"/>
      <c r="F28" s="253"/>
      <c r="G28" s="254" t="str">
        <f>B9</f>
        <v>효성뉴서울5차아파트</v>
      </c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5"/>
    </row>
    <row r="29" spans="2:21" ht="25" customHeight="1">
      <c r="B29" s="251"/>
      <c r="C29" s="252"/>
      <c r="D29" s="256" t="s">
        <v>175</v>
      </c>
      <c r="E29" s="256"/>
      <c r="F29" s="256"/>
      <c r="G29" s="257" t="s">
        <v>216</v>
      </c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8"/>
    </row>
    <row r="30" spans="2:21" ht="25" customHeight="1">
      <c r="B30" s="251"/>
      <c r="C30" s="252"/>
      <c r="D30" s="256"/>
      <c r="E30" s="256"/>
      <c r="F30" s="256"/>
      <c r="G30" s="257" t="s">
        <v>217</v>
      </c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58"/>
    </row>
    <row r="31" spans="2:21" ht="25" customHeight="1">
      <c r="B31" s="251"/>
      <c r="C31" s="252"/>
      <c r="D31" s="256"/>
      <c r="E31" s="256"/>
      <c r="F31" s="256"/>
      <c r="G31" s="257" t="s">
        <v>242</v>
      </c>
      <c r="H31" s="257"/>
      <c r="I31" s="257"/>
      <c r="J31" s="257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58"/>
    </row>
    <row r="32" spans="2:21" ht="25" customHeight="1">
      <c r="B32" s="251"/>
      <c r="C32" s="252"/>
      <c r="D32" s="256"/>
      <c r="E32" s="256"/>
      <c r="F32" s="256"/>
      <c r="G32" s="257" t="s">
        <v>218</v>
      </c>
      <c r="H32" s="257"/>
      <c r="I32" s="257"/>
      <c r="J32" s="257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58"/>
    </row>
    <row r="33" spans="2:21" ht="25" customHeight="1">
      <c r="B33" s="251"/>
      <c r="C33" s="252"/>
      <c r="D33" s="256"/>
      <c r="E33" s="256"/>
      <c r="F33" s="256"/>
      <c r="G33" s="259" t="s">
        <v>219</v>
      </c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60"/>
    </row>
    <row r="34" spans="2:21" ht="25" customHeight="1">
      <c r="B34" s="293" t="s">
        <v>174</v>
      </c>
      <c r="C34" s="294"/>
      <c r="D34" s="299" t="s">
        <v>173</v>
      </c>
      <c r="E34" s="256"/>
      <c r="F34" s="256"/>
      <c r="G34" s="300" t="str">
        <f>G28</f>
        <v>효성뉴서울5차아파트</v>
      </c>
      <c r="H34" s="301"/>
      <c r="I34" s="301"/>
      <c r="J34" s="301"/>
      <c r="K34" s="301"/>
      <c r="L34" s="301"/>
      <c r="M34" s="301" t="s">
        <v>90</v>
      </c>
      <c r="N34" s="301"/>
      <c r="O34" s="301"/>
      <c r="P34" s="301"/>
      <c r="Q34" s="301"/>
      <c r="R34" s="301"/>
      <c r="S34" s="301"/>
      <c r="T34" s="301"/>
      <c r="U34" s="302"/>
    </row>
    <row r="35" spans="2:21" ht="25" customHeight="1">
      <c r="B35" s="295"/>
      <c r="C35" s="296"/>
      <c r="D35" s="299" t="s">
        <v>172</v>
      </c>
      <c r="E35" s="256"/>
      <c r="F35" s="256"/>
      <c r="G35" s="303" t="str">
        <f>대가산출!D4</f>
        <v xml:space="preserve">일금칠백오십만원정 (₩7,500,000) </v>
      </c>
      <c r="H35" s="304"/>
      <c r="I35" s="304"/>
      <c r="J35" s="304"/>
      <c r="K35" s="304"/>
      <c r="L35" s="304"/>
      <c r="M35" s="304"/>
      <c r="N35" s="304"/>
      <c r="O35" s="304"/>
      <c r="P35" s="304"/>
      <c r="Q35" s="304"/>
      <c r="R35" s="301" t="str">
        <f>대가산출!I3</f>
        <v>-VAT별도</v>
      </c>
      <c r="S35" s="301"/>
      <c r="T35" s="301"/>
      <c r="U35" s="302"/>
    </row>
    <row r="36" spans="2:21" ht="25" customHeight="1">
      <c r="B36" s="295"/>
      <c r="C36" s="296"/>
      <c r="D36" s="299" t="s">
        <v>171</v>
      </c>
      <c r="E36" s="256"/>
      <c r="F36" s="256"/>
      <c r="G36" s="305" t="str">
        <f>G35</f>
        <v xml:space="preserve">일금칠백오십만원정 (₩7,500,000) </v>
      </c>
      <c r="H36" s="306"/>
      <c r="I36" s="306"/>
      <c r="J36" s="306"/>
      <c r="K36" s="306"/>
      <c r="L36" s="306"/>
      <c r="M36" s="306"/>
      <c r="N36" s="306"/>
      <c r="O36" s="306"/>
      <c r="P36" s="306"/>
      <c r="Q36" s="306"/>
      <c r="R36" s="158"/>
      <c r="S36" s="158"/>
      <c r="T36" s="158"/>
      <c r="U36" s="159"/>
    </row>
    <row r="37" spans="2:21" ht="25" customHeight="1">
      <c r="B37" s="295"/>
      <c r="C37" s="296"/>
      <c r="D37" s="299" t="s">
        <v>170</v>
      </c>
      <c r="E37" s="256"/>
      <c r="F37" s="256"/>
      <c r="G37" s="307" t="s">
        <v>169</v>
      </c>
      <c r="H37" s="308"/>
      <c r="I37" s="308"/>
      <c r="J37" s="308"/>
      <c r="K37" s="308"/>
      <c r="L37" s="308"/>
      <c r="M37" s="308"/>
      <c r="N37" s="308"/>
      <c r="O37" s="308"/>
      <c r="P37" s="308"/>
      <c r="Q37" s="308"/>
      <c r="R37" s="160"/>
      <c r="S37" s="160"/>
      <c r="T37" s="160"/>
      <c r="U37" s="161"/>
    </row>
    <row r="38" spans="2:21" ht="25" customHeight="1">
      <c r="B38" s="295"/>
      <c r="C38" s="296"/>
      <c r="D38" s="265" t="s">
        <v>168</v>
      </c>
      <c r="E38" s="265"/>
      <c r="F38" s="266"/>
      <c r="G38" s="309" t="s">
        <v>75</v>
      </c>
      <c r="H38" s="309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10"/>
    </row>
    <row r="39" spans="2:21" ht="25" customHeight="1">
      <c r="B39" s="295"/>
      <c r="C39" s="296"/>
      <c r="D39" s="299" t="s">
        <v>167</v>
      </c>
      <c r="E39" s="256"/>
      <c r="F39" s="256"/>
      <c r="G39" s="309" t="str">
        <f>갑지!N23</f>
        <v>인천 계양구 아나지로 199 (효성동)</v>
      </c>
      <c r="H39" s="309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10"/>
    </row>
    <row r="40" spans="2:21" ht="25" customHeight="1">
      <c r="B40" s="295"/>
      <c r="C40" s="296"/>
      <c r="D40" s="299"/>
      <c r="E40" s="256"/>
      <c r="F40" s="256"/>
      <c r="G40" s="311" t="s">
        <v>181</v>
      </c>
      <c r="H40" s="312"/>
      <c r="I40" s="312" t="s">
        <v>245</v>
      </c>
      <c r="J40" s="312"/>
      <c r="K40" s="312"/>
      <c r="L40" s="312"/>
      <c r="M40" s="312"/>
      <c r="N40" s="162" t="s">
        <v>197</v>
      </c>
      <c r="O40" s="312" t="s">
        <v>182</v>
      </c>
      <c r="P40" s="312"/>
      <c r="Q40" s="312" t="s">
        <v>246</v>
      </c>
      <c r="R40" s="312"/>
      <c r="S40" s="312"/>
      <c r="T40" s="312"/>
      <c r="U40" s="313"/>
    </row>
    <row r="41" spans="2:21" ht="25" customHeight="1">
      <c r="B41" s="295"/>
      <c r="C41" s="296"/>
      <c r="D41" s="314" t="s">
        <v>166</v>
      </c>
      <c r="E41" s="314"/>
      <c r="F41" s="299"/>
      <c r="G41" s="261" t="s">
        <v>165</v>
      </c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3"/>
    </row>
    <row r="42" spans="2:21" ht="25" customHeight="1">
      <c r="B42" s="295"/>
      <c r="C42" s="296"/>
      <c r="D42" s="264" t="s">
        <v>164</v>
      </c>
      <c r="E42" s="265"/>
      <c r="F42" s="266"/>
      <c r="G42" s="273" t="s">
        <v>184</v>
      </c>
      <c r="H42" s="274"/>
      <c r="I42" s="274"/>
      <c r="J42" s="275" t="str">
        <f>갑지!H10</f>
        <v xml:space="preserve">2026년 연간/2027년 연간/2028년 상반기 </v>
      </c>
      <c r="K42" s="275"/>
      <c r="L42" s="275"/>
      <c r="M42" s="275"/>
      <c r="N42" s="275"/>
      <c r="O42" s="275"/>
      <c r="P42" s="274" t="s">
        <v>194</v>
      </c>
      <c r="Q42" s="274"/>
      <c r="R42" s="274"/>
      <c r="S42" s="274"/>
      <c r="T42" s="274"/>
      <c r="U42" s="276"/>
    </row>
    <row r="43" spans="2:21" ht="25" customHeight="1">
      <c r="B43" s="295"/>
      <c r="C43" s="296"/>
      <c r="D43" s="267"/>
      <c r="E43" s="268"/>
      <c r="F43" s="269"/>
      <c r="G43" s="277" t="s">
        <v>215</v>
      </c>
      <c r="H43" s="278"/>
      <c r="I43" s="278"/>
      <c r="J43" s="279" t="str">
        <f>대가산출!D4&amp;R35</f>
        <v>일금칠백오십만원정 (₩7,500,000) -VAT별도</v>
      </c>
      <c r="K43" s="280"/>
      <c r="L43" s="281"/>
      <c r="M43" s="281"/>
      <c r="N43" s="281"/>
      <c r="O43" s="281"/>
      <c r="P43" s="281"/>
      <c r="Q43" s="281"/>
      <c r="R43" s="281"/>
      <c r="S43" s="281"/>
      <c r="T43" s="281"/>
      <c r="U43" s="282"/>
    </row>
    <row r="44" spans="2:21" ht="25" customHeight="1" thickBot="1">
      <c r="B44" s="297"/>
      <c r="C44" s="298"/>
      <c r="D44" s="270"/>
      <c r="E44" s="271"/>
      <c r="F44" s="272"/>
      <c r="G44" s="283" t="s">
        <v>243</v>
      </c>
      <c r="H44" s="284"/>
      <c r="I44" s="284"/>
      <c r="J44" s="285" t="str">
        <f>대가산출!D3&amp;R35</f>
        <v>일금일백오십만원정 (₩1,500,000) -VAT별도</v>
      </c>
      <c r="K44" s="285"/>
      <c r="L44" s="285"/>
      <c r="M44" s="285"/>
      <c r="N44" s="285"/>
      <c r="O44" s="285"/>
      <c r="P44" s="285"/>
      <c r="Q44" s="285"/>
      <c r="R44" s="285"/>
      <c r="S44" s="285"/>
      <c r="T44" s="285"/>
      <c r="U44" s="286"/>
    </row>
    <row r="45" spans="2:21">
      <c r="B45" s="287"/>
      <c r="C45" s="288"/>
      <c r="D45" s="288"/>
      <c r="E45" s="288"/>
      <c r="U45" s="5"/>
    </row>
    <row r="46" spans="2:21" ht="48.75" customHeight="1">
      <c r="B46" s="289" t="s">
        <v>163</v>
      </c>
      <c r="C46" s="245"/>
      <c r="D46" s="245"/>
      <c r="E46" s="245"/>
      <c r="F46" s="245"/>
      <c r="G46" s="245"/>
      <c r="H46" s="245"/>
      <c r="I46" s="245"/>
      <c r="J46" s="245"/>
      <c r="K46" s="245"/>
      <c r="L46" s="245"/>
      <c r="M46" s="245"/>
      <c r="N46" s="245"/>
      <c r="O46" s="245"/>
      <c r="P46" s="245"/>
      <c r="Q46" s="245"/>
      <c r="R46" s="245"/>
      <c r="S46" s="245"/>
      <c r="T46" s="245"/>
      <c r="U46" s="290"/>
    </row>
    <row r="47" spans="2:21">
      <c r="B47" s="114"/>
      <c r="C47" s="118"/>
      <c r="D47" s="118"/>
      <c r="E47" s="118"/>
      <c r="U47" s="5"/>
    </row>
    <row r="48" spans="2:21" ht="25" customHeight="1">
      <c r="B48" s="291" t="s">
        <v>46</v>
      </c>
      <c r="C48" s="292"/>
      <c r="D48" s="292"/>
      <c r="E48" s="245" t="s">
        <v>162</v>
      </c>
      <c r="F48" s="245"/>
      <c r="G48" s="245"/>
      <c r="H48" s="245"/>
      <c r="I48" s="245"/>
      <c r="J48" s="245"/>
      <c r="K48" s="245"/>
      <c r="L48" s="245"/>
      <c r="M48" s="245"/>
      <c r="N48" s="245"/>
      <c r="O48" s="245"/>
      <c r="P48" s="245"/>
      <c r="Q48" s="245"/>
      <c r="R48" s="245"/>
      <c r="S48" s="245"/>
      <c r="T48" s="245"/>
      <c r="U48" s="290"/>
    </row>
    <row r="49" spans="2:21" ht="25" customHeight="1">
      <c r="B49" s="113"/>
      <c r="C49" s="112"/>
      <c r="D49" s="112"/>
      <c r="E49" s="245" t="s">
        <v>161</v>
      </c>
      <c r="F49" s="245"/>
      <c r="G49" s="245"/>
      <c r="H49" s="245"/>
      <c r="I49" s="245"/>
      <c r="J49" s="245"/>
      <c r="K49" s="245"/>
      <c r="L49" s="245"/>
      <c r="M49" s="245"/>
      <c r="N49" s="245"/>
      <c r="O49" s="245"/>
      <c r="P49" s="245"/>
      <c r="Q49" s="245"/>
      <c r="R49" s="245"/>
      <c r="S49" s="245"/>
      <c r="T49" s="245"/>
      <c r="U49" s="290"/>
    </row>
    <row r="50" spans="2:21" ht="25" customHeight="1">
      <c r="B50" s="113"/>
      <c r="C50" s="112"/>
      <c r="D50" s="112"/>
      <c r="E50" s="245" t="s">
        <v>160</v>
      </c>
      <c r="F50" s="245"/>
      <c r="G50" s="245"/>
      <c r="H50" s="245"/>
      <c r="I50" s="245"/>
      <c r="J50" s="245"/>
      <c r="K50" s="245"/>
      <c r="L50" s="245"/>
      <c r="M50" s="245"/>
      <c r="N50" s="245"/>
      <c r="O50" s="245"/>
      <c r="P50" s="245"/>
      <c r="Q50" s="245"/>
      <c r="R50" s="245"/>
      <c r="S50" s="245"/>
      <c r="T50" s="245"/>
      <c r="U50" s="290"/>
    </row>
    <row r="51" spans="2:21">
      <c r="B51" s="287"/>
      <c r="C51" s="288"/>
      <c r="D51" s="288"/>
      <c r="E51" s="288"/>
      <c r="U51" s="5"/>
    </row>
    <row r="52" spans="2:21" ht="25" customHeight="1">
      <c r="B52" s="289" t="s">
        <v>47</v>
      </c>
      <c r="C52" s="245"/>
      <c r="D52" s="245"/>
      <c r="E52" s="315" t="s">
        <v>191</v>
      </c>
      <c r="F52" s="315"/>
      <c r="G52" s="315"/>
      <c r="H52" s="315"/>
      <c r="I52" s="315"/>
      <c r="J52" s="315"/>
      <c r="K52" s="315"/>
      <c r="L52" s="315"/>
      <c r="M52" s="315"/>
      <c r="N52" s="315"/>
      <c r="O52" s="315"/>
      <c r="P52" s="315"/>
      <c r="Q52" s="315"/>
      <c r="R52" s="315"/>
      <c r="S52" s="315"/>
      <c r="T52" s="315"/>
      <c r="U52" s="316"/>
    </row>
    <row r="53" spans="2:21" ht="26.25" customHeight="1">
      <c r="B53" s="317" t="s">
        <v>48</v>
      </c>
      <c r="C53" s="318"/>
      <c r="D53" s="318"/>
      <c r="E53" s="318"/>
      <c r="F53" s="318"/>
      <c r="G53" s="318"/>
      <c r="H53" s="318"/>
      <c r="I53" s="318"/>
      <c r="J53" s="318"/>
      <c r="K53" s="318"/>
      <c r="L53" s="318" t="s">
        <v>49</v>
      </c>
      <c r="M53" s="318"/>
      <c r="N53" s="318"/>
      <c r="O53" s="318"/>
      <c r="P53" s="318"/>
      <c r="Q53" s="318"/>
      <c r="R53" s="318"/>
      <c r="S53" s="318"/>
      <c r="T53" s="318"/>
      <c r="U53" s="319"/>
    </row>
    <row r="54" spans="2:21" ht="32.25" customHeight="1">
      <c r="B54" s="317" t="s">
        <v>50</v>
      </c>
      <c r="C54" s="318"/>
      <c r="D54" s="318"/>
      <c r="E54" s="320" t="str">
        <f>B9</f>
        <v>효성뉴서울5차아파트</v>
      </c>
      <c r="F54" s="320"/>
      <c r="G54" s="320"/>
      <c r="H54" s="320"/>
      <c r="I54" s="320"/>
      <c r="J54" s="320"/>
      <c r="K54" s="320"/>
      <c r="L54" s="318" t="s">
        <v>51</v>
      </c>
      <c r="M54" s="318"/>
      <c r="N54" s="318"/>
      <c r="O54" s="321" t="s">
        <v>52</v>
      </c>
      <c r="P54" s="321"/>
      <c r="Q54" s="321"/>
      <c r="R54" s="321"/>
      <c r="S54" s="321"/>
      <c r="T54" s="321"/>
      <c r="U54" s="322"/>
    </row>
    <row r="55" spans="2:21" ht="32.25" customHeight="1">
      <c r="B55" s="317" t="s">
        <v>159</v>
      </c>
      <c r="C55" s="318"/>
      <c r="D55" s="318"/>
      <c r="E55" s="320" t="str">
        <f>G39</f>
        <v>인천 계양구 아나지로 199 (효성동)</v>
      </c>
      <c r="F55" s="320"/>
      <c r="G55" s="320"/>
      <c r="H55" s="320"/>
      <c r="I55" s="320"/>
      <c r="J55" s="320"/>
      <c r="K55" s="320"/>
      <c r="L55" s="318" t="s">
        <v>53</v>
      </c>
      <c r="M55" s="318"/>
      <c r="N55" s="318"/>
      <c r="O55" s="323" t="s">
        <v>158</v>
      </c>
      <c r="P55" s="324"/>
      <c r="Q55" s="324"/>
      <c r="R55" s="324"/>
      <c r="S55" s="324"/>
      <c r="T55" s="324"/>
      <c r="U55" s="325"/>
    </row>
    <row r="56" spans="2:21" ht="32.25" customHeight="1">
      <c r="B56" s="326" t="s">
        <v>157</v>
      </c>
      <c r="C56" s="327"/>
      <c r="D56" s="327"/>
      <c r="E56" s="328" t="s">
        <v>156</v>
      </c>
      <c r="F56" s="328"/>
      <c r="G56" s="328"/>
      <c r="H56" s="328"/>
      <c r="I56" s="328"/>
      <c r="J56" s="328"/>
      <c r="K56" s="328"/>
      <c r="L56" s="327" t="s">
        <v>54</v>
      </c>
      <c r="M56" s="327"/>
      <c r="N56" s="327"/>
      <c r="O56" s="329" t="s">
        <v>155</v>
      </c>
      <c r="P56" s="329"/>
      <c r="Q56" s="329"/>
      <c r="R56" s="329"/>
      <c r="S56" s="329"/>
      <c r="T56" s="329"/>
      <c r="U56" s="330"/>
    </row>
    <row r="57" spans="2:21" ht="16">
      <c r="B57" s="331" t="s">
        <v>55</v>
      </c>
      <c r="C57" s="331"/>
      <c r="D57" s="331"/>
      <c r="E57" s="331"/>
      <c r="F57" s="331"/>
      <c r="G57" s="331"/>
      <c r="H57" s="331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</row>
    <row r="58" spans="2:21" ht="26">
      <c r="B58" s="332" t="s">
        <v>154</v>
      </c>
      <c r="C58" s="332"/>
      <c r="D58" s="332"/>
      <c r="E58" s="332"/>
      <c r="F58" s="332"/>
      <c r="G58" s="332"/>
      <c r="H58" s="332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</row>
    <row r="59" spans="2:21" ht="15">
      <c r="B59" s="111"/>
      <c r="F59" s="11"/>
      <c r="G59" s="76"/>
      <c r="I59" s="9"/>
    </row>
    <row r="60" spans="2:21" ht="25" customHeight="1">
      <c r="B60" s="333" t="s">
        <v>220</v>
      </c>
      <c r="C60" s="333"/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</row>
    <row r="61" spans="2:21" ht="25" customHeight="1">
      <c r="B61" s="245" t="s">
        <v>153</v>
      </c>
      <c r="C61" s="245"/>
      <c r="D61" s="245"/>
      <c r="E61" s="245"/>
      <c r="F61" s="245"/>
      <c r="G61" s="245"/>
      <c r="H61" s="245"/>
      <c r="I61" s="245"/>
      <c r="J61" s="334" t="str">
        <f>B9</f>
        <v>효성뉴서울5차아파트</v>
      </c>
      <c r="K61" s="334"/>
      <c r="L61" s="334"/>
      <c r="M61" s="334"/>
      <c r="N61" s="334"/>
      <c r="O61" s="292" t="s">
        <v>199</v>
      </c>
      <c r="P61" s="292"/>
      <c r="Q61" s="292"/>
      <c r="R61" s="292"/>
      <c r="S61" s="292"/>
      <c r="T61" s="292"/>
      <c r="U61" s="292"/>
    </row>
    <row r="62" spans="2:21" ht="25" customHeight="1">
      <c r="B62" s="333" t="s">
        <v>221</v>
      </c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</row>
    <row r="63" spans="2:21" ht="20" customHeight="1">
      <c r="B63" s="108"/>
      <c r="C63" s="108"/>
      <c r="D63" s="108"/>
      <c r="E63" s="108"/>
      <c r="F63" s="108"/>
      <c r="G63" s="108"/>
      <c r="H63" s="108"/>
      <c r="I63" s="108"/>
      <c r="J63" s="108"/>
    </row>
    <row r="64" spans="2:21" ht="20" customHeight="1">
      <c r="B64" s="335" t="s">
        <v>222</v>
      </c>
      <c r="C64" s="335"/>
      <c r="D64" s="335"/>
      <c r="E64" s="335"/>
      <c r="F64" s="335"/>
      <c r="G64" s="335"/>
      <c r="H64" s="335"/>
      <c r="I64" s="335"/>
      <c r="J64" s="335"/>
    </row>
    <row r="65" spans="2:21" ht="80" customHeight="1">
      <c r="C65" s="245" t="s">
        <v>152</v>
      </c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  <c r="P65" s="245"/>
      <c r="Q65" s="245"/>
      <c r="R65" s="245"/>
      <c r="S65" s="245"/>
      <c r="T65" s="245"/>
      <c r="U65" s="245"/>
    </row>
    <row r="66" spans="2:21" ht="20" customHeight="1">
      <c r="B66" s="106"/>
      <c r="F66" s="11"/>
      <c r="G66" s="76"/>
      <c r="I66" s="9"/>
    </row>
    <row r="67" spans="2:21" ht="20" customHeight="1">
      <c r="B67" s="335" t="s">
        <v>223</v>
      </c>
      <c r="C67" s="335"/>
      <c r="D67" s="335"/>
      <c r="E67" s="335"/>
      <c r="F67" s="335"/>
      <c r="G67" s="335"/>
      <c r="H67" s="33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</row>
    <row r="68" spans="2:21" ht="20" customHeight="1">
      <c r="C68" s="109" t="s">
        <v>151</v>
      </c>
      <c r="D68" s="109"/>
      <c r="E68" s="109"/>
      <c r="F68" s="336" t="str">
        <f>B9</f>
        <v>효성뉴서울5차아파트</v>
      </c>
      <c r="G68" s="336"/>
      <c r="H68" s="336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</row>
    <row r="69" spans="2:21" ht="20" customHeight="1">
      <c r="C69" s="109" t="s">
        <v>150</v>
      </c>
      <c r="D69" s="109"/>
      <c r="E69" s="109"/>
      <c r="F69" s="148" t="str">
        <f>G39</f>
        <v>인천 계양구 아나지로 199 (효성동)</v>
      </c>
      <c r="G69" s="148"/>
      <c r="H69" s="148"/>
      <c r="I69" s="148"/>
      <c r="J69" s="148"/>
      <c r="K69" s="149"/>
      <c r="L69" s="150"/>
      <c r="M69" s="150"/>
      <c r="N69" s="150"/>
      <c r="O69" s="150"/>
      <c r="P69" s="150"/>
      <c r="Q69" s="150"/>
      <c r="R69" s="150"/>
      <c r="S69" s="150"/>
      <c r="T69" s="150"/>
      <c r="U69" s="150"/>
    </row>
    <row r="70" spans="2:21" ht="20" customHeight="1">
      <c r="C70" s="109" t="s">
        <v>149</v>
      </c>
      <c r="D70" s="109"/>
      <c r="E70" s="109"/>
      <c r="F70" s="148" t="s">
        <v>64</v>
      </c>
      <c r="G70" s="148"/>
      <c r="H70" s="148"/>
      <c r="I70" s="148"/>
      <c r="J70" s="148"/>
      <c r="K70" s="149"/>
      <c r="L70" s="150"/>
      <c r="M70" s="150"/>
      <c r="N70" s="150"/>
      <c r="O70" s="150"/>
      <c r="P70" s="150"/>
      <c r="Q70" s="150"/>
      <c r="R70" s="150"/>
      <c r="S70" s="150"/>
      <c r="T70" s="150"/>
      <c r="U70" s="150"/>
    </row>
    <row r="71" spans="2:21" ht="20" customHeight="1">
      <c r="C71" s="109" t="s">
        <v>247</v>
      </c>
      <c r="D71" s="109"/>
      <c r="E71" s="109"/>
      <c r="F71" s="109"/>
      <c r="G71" s="109"/>
      <c r="H71" s="109"/>
      <c r="I71" s="109"/>
      <c r="J71" s="109" t="str">
        <f>" "&amp;갑지!N22</f>
        <v xml:space="preserve"> 아파트 6개동 648세대 (해당동 : 6개동) </v>
      </c>
      <c r="K71" s="148"/>
      <c r="L71" s="151"/>
      <c r="M71" s="151"/>
      <c r="N71" s="151"/>
      <c r="O71" s="151"/>
      <c r="P71" s="151"/>
      <c r="Q71" s="151"/>
      <c r="R71" s="151"/>
      <c r="S71" s="151"/>
      <c r="T71" s="151"/>
      <c r="U71" s="151"/>
    </row>
    <row r="72" spans="2:21" ht="20" customHeight="1">
      <c r="B72" s="106"/>
      <c r="F72" s="11"/>
      <c r="G72" s="76"/>
      <c r="I72" s="9"/>
    </row>
    <row r="73" spans="2:21" ht="20" customHeight="1">
      <c r="B73" s="335" t="s">
        <v>224</v>
      </c>
      <c r="C73" s="335"/>
      <c r="D73" s="335"/>
      <c r="E73" s="335"/>
      <c r="F73" s="335"/>
      <c r="G73" s="335"/>
      <c r="H73" s="335"/>
      <c r="I73" s="335"/>
      <c r="J73" s="335"/>
    </row>
    <row r="74" spans="2:21" ht="20" customHeight="1">
      <c r="C74" s="109" t="s">
        <v>192</v>
      </c>
      <c r="D74" s="109"/>
      <c r="E74" s="109"/>
      <c r="F74" s="109"/>
      <c r="G74" s="109"/>
      <c r="H74" s="109"/>
      <c r="I74" s="109"/>
      <c r="J74" s="109"/>
    </row>
    <row r="75" spans="2:21" ht="40" customHeight="1">
      <c r="C75" s="245" t="s">
        <v>148</v>
      </c>
      <c r="D75" s="245"/>
      <c r="E75" s="245"/>
      <c r="F75" s="245"/>
      <c r="G75" s="245"/>
      <c r="H75" s="245"/>
      <c r="I75" s="245"/>
      <c r="J75" s="245"/>
      <c r="K75" s="245"/>
      <c r="L75" s="245"/>
      <c r="M75" s="245"/>
      <c r="N75" s="245"/>
      <c r="O75" s="245"/>
      <c r="P75" s="245"/>
      <c r="Q75" s="245"/>
      <c r="R75" s="245"/>
      <c r="S75" s="245"/>
      <c r="T75" s="245"/>
      <c r="U75" s="245"/>
    </row>
    <row r="76" spans="2:21" ht="20" customHeight="1">
      <c r="B76" s="106"/>
      <c r="F76" s="11"/>
      <c r="G76" s="76"/>
      <c r="I76" s="9"/>
    </row>
    <row r="77" spans="2:21" ht="20" customHeight="1">
      <c r="B77" s="335" t="s">
        <v>225</v>
      </c>
      <c r="C77" s="335"/>
      <c r="D77" s="335"/>
      <c r="E77" s="335"/>
      <c r="F77" s="335"/>
      <c r="G77" s="335"/>
      <c r="H77" s="335"/>
      <c r="I77" s="335"/>
      <c r="J77" s="335"/>
    </row>
    <row r="78" spans="2:21" ht="40" customHeight="1">
      <c r="C78" s="245" t="s">
        <v>147</v>
      </c>
      <c r="D78" s="245"/>
      <c r="E78" s="245"/>
      <c r="F78" s="245"/>
      <c r="G78" s="245"/>
      <c r="H78" s="245"/>
      <c r="I78" s="245"/>
      <c r="J78" s="245"/>
      <c r="K78" s="245"/>
      <c r="L78" s="245"/>
      <c r="M78" s="245"/>
      <c r="N78" s="245"/>
      <c r="O78" s="245"/>
      <c r="P78" s="245"/>
      <c r="Q78" s="245"/>
      <c r="R78" s="245"/>
      <c r="S78" s="245"/>
      <c r="T78" s="245"/>
      <c r="U78" s="245"/>
    </row>
    <row r="79" spans="2:21" ht="40" customHeight="1">
      <c r="B79" s="110"/>
      <c r="C79" s="245" t="s">
        <v>56</v>
      </c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  <c r="O79" s="245"/>
      <c r="P79" s="245"/>
      <c r="Q79" s="245"/>
      <c r="R79" s="245"/>
      <c r="S79" s="245"/>
      <c r="T79" s="245"/>
      <c r="U79" s="245"/>
    </row>
    <row r="80" spans="2:21" ht="40" customHeight="1">
      <c r="B80" s="77"/>
      <c r="C80" s="245" t="s">
        <v>146</v>
      </c>
      <c r="D80" s="245"/>
      <c r="E80" s="245"/>
      <c r="F80" s="245"/>
      <c r="G80" s="245"/>
      <c r="H80" s="245"/>
      <c r="I80" s="245"/>
      <c r="J80" s="245"/>
      <c r="K80" s="245"/>
      <c r="L80" s="245"/>
      <c r="M80" s="245"/>
      <c r="N80" s="245"/>
      <c r="O80" s="245"/>
      <c r="P80" s="245"/>
      <c r="Q80" s="245"/>
      <c r="R80" s="245"/>
      <c r="S80" s="245"/>
      <c r="T80" s="245"/>
      <c r="U80" s="245"/>
    </row>
    <row r="81" spans="2:21" ht="20" customHeight="1">
      <c r="C81" s="109"/>
      <c r="D81" s="109"/>
      <c r="E81" s="109"/>
      <c r="F81" s="109"/>
      <c r="G81" s="109"/>
      <c r="H81" s="109"/>
      <c r="I81" s="109"/>
      <c r="J81" s="109"/>
    </row>
    <row r="82" spans="2:21" ht="20" customHeight="1">
      <c r="B82" s="335" t="s">
        <v>226</v>
      </c>
      <c r="C82" s="335"/>
      <c r="D82" s="335"/>
      <c r="E82" s="335"/>
      <c r="F82" s="335"/>
      <c r="G82" s="335"/>
      <c r="H82" s="335"/>
      <c r="I82" s="335"/>
      <c r="J82" s="335"/>
    </row>
    <row r="83" spans="2:21" ht="40" customHeight="1">
      <c r="C83" s="245" t="s">
        <v>145</v>
      </c>
      <c r="D83" s="245"/>
      <c r="E83" s="245"/>
      <c r="F83" s="245"/>
      <c r="G83" s="245"/>
      <c r="H83" s="245"/>
      <c r="I83" s="245"/>
      <c r="J83" s="245"/>
      <c r="K83" s="245"/>
      <c r="L83" s="245"/>
      <c r="M83" s="245"/>
      <c r="N83" s="245"/>
      <c r="O83" s="245"/>
      <c r="P83" s="245"/>
      <c r="Q83" s="245"/>
      <c r="R83" s="245"/>
      <c r="S83" s="245"/>
      <c r="T83" s="245"/>
      <c r="U83" s="245"/>
    </row>
    <row r="84" spans="2:21" ht="20" customHeight="1"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</row>
    <row r="85" spans="2:21" ht="20" customHeight="1">
      <c r="B85" s="335" t="s">
        <v>227</v>
      </c>
      <c r="C85" s="335"/>
      <c r="D85" s="335"/>
      <c r="E85" s="335"/>
      <c r="F85" s="335"/>
      <c r="G85" s="335"/>
      <c r="H85" s="335"/>
      <c r="I85" s="335"/>
      <c r="J85" s="335"/>
    </row>
    <row r="86" spans="2:21" ht="40" customHeight="1">
      <c r="C86" s="245" t="s">
        <v>57</v>
      </c>
      <c r="D86" s="245"/>
      <c r="E86" s="245"/>
      <c r="F86" s="245"/>
      <c r="G86" s="245"/>
      <c r="H86" s="245"/>
      <c r="I86" s="245"/>
      <c r="J86" s="245"/>
      <c r="K86" s="245"/>
      <c r="L86" s="245"/>
      <c r="M86" s="245"/>
      <c r="N86" s="245"/>
      <c r="O86" s="245"/>
      <c r="P86" s="245"/>
      <c r="Q86" s="245"/>
      <c r="R86" s="245"/>
      <c r="S86" s="245"/>
      <c r="T86" s="245"/>
      <c r="U86" s="245"/>
    </row>
    <row r="87" spans="2:21" ht="40" customHeight="1">
      <c r="C87" s="245" t="s">
        <v>144</v>
      </c>
      <c r="D87" s="245"/>
      <c r="E87" s="245"/>
      <c r="F87" s="245"/>
      <c r="G87" s="245"/>
      <c r="H87" s="245"/>
      <c r="I87" s="245"/>
      <c r="J87" s="245"/>
      <c r="K87" s="245"/>
      <c r="L87" s="245"/>
      <c r="M87" s="245"/>
      <c r="N87" s="245"/>
      <c r="O87" s="245"/>
      <c r="P87" s="245"/>
      <c r="Q87" s="245"/>
      <c r="R87" s="245"/>
      <c r="S87" s="245"/>
      <c r="T87" s="245"/>
      <c r="U87" s="245"/>
    </row>
    <row r="88" spans="2:21" ht="60" customHeight="1">
      <c r="C88" s="245" t="s">
        <v>143</v>
      </c>
      <c r="D88" s="245"/>
      <c r="E88" s="245"/>
      <c r="F88" s="245"/>
      <c r="G88" s="245"/>
      <c r="H88" s="245"/>
      <c r="I88" s="245"/>
      <c r="J88" s="245"/>
      <c r="K88" s="245"/>
      <c r="L88" s="245"/>
      <c r="M88" s="245"/>
      <c r="N88" s="245"/>
      <c r="O88" s="245"/>
      <c r="P88" s="245"/>
      <c r="Q88" s="245"/>
      <c r="R88" s="245"/>
      <c r="S88" s="245"/>
      <c r="T88" s="245"/>
      <c r="U88" s="245"/>
    </row>
    <row r="89" spans="2:21" ht="40" customHeight="1">
      <c r="C89" s="245" t="s">
        <v>58</v>
      </c>
      <c r="D89" s="245"/>
      <c r="E89" s="245"/>
      <c r="F89" s="245"/>
      <c r="G89" s="245"/>
      <c r="H89" s="245"/>
      <c r="I89" s="245"/>
      <c r="J89" s="245"/>
      <c r="K89" s="245"/>
      <c r="L89" s="245"/>
      <c r="M89" s="245"/>
      <c r="N89" s="245"/>
      <c r="O89" s="245"/>
      <c r="P89" s="245"/>
      <c r="Q89" s="245"/>
      <c r="R89" s="245"/>
      <c r="S89" s="245"/>
      <c r="T89" s="245"/>
      <c r="U89" s="245"/>
    </row>
    <row r="90" spans="2:21" ht="20" customHeight="1">
      <c r="B90" s="106"/>
      <c r="F90" s="11"/>
      <c r="G90" s="76"/>
      <c r="I90" s="9"/>
    </row>
    <row r="91" spans="2:21" ht="20" customHeight="1">
      <c r="B91" s="335" t="s">
        <v>228</v>
      </c>
      <c r="C91" s="335"/>
      <c r="D91" s="335"/>
      <c r="E91" s="335"/>
      <c r="F91" s="335"/>
      <c r="G91" s="335"/>
      <c r="H91" s="335"/>
      <c r="I91" s="335"/>
      <c r="J91" s="335"/>
    </row>
    <row r="92" spans="2:21" ht="40" customHeight="1">
      <c r="C92" s="245" t="s">
        <v>200</v>
      </c>
      <c r="D92" s="245"/>
      <c r="E92" s="245"/>
      <c r="F92" s="245"/>
      <c r="G92" s="245"/>
      <c r="H92" s="245"/>
      <c r="I92" s="245"/>
      <c r="J92" s="245"/>
      <c r="K92" s="245"/>
      <c r="L92" s="245"/>
      <c r="M92" s="245"/>
      <c r="N92" s="245"/>
      <c r="O92" s="245"/>
      <c r="P92" s="245"/>
      <c r="Q92" s="245"/>
      <c r="R92" s="245"/>
      <c r="S92" s="245"/>
      <c r="T92" s="245"/>
      <c r="U92" s="245"/>
    </row>
    <row r="93" spans="2:21" ht="40" customHeight="1">
      <c r="C93" s="245" t="s">
        <v>142</v>
      </c>
      <c r="D93" s="245"/>
      <c r="E93" s="245"/>
      <c r="F93" s="245"/>
      <c r="G93" s="245"/>
      <c r="H93" s="245"/>
      <c r="I93" s="245"/>
      <c r="J93" s="245"/>
      <c r="K93" s="245"/>
      <c r="L93" s="245"/>
      <c r="M93" s="245"/>
      <c r="N93" s="245"/>
      <c r="O93" s="245"/>
      <c r="P93" s="245"/>
      <c r="Q93" s="245"/>
      <c r="R93" s="245"/>
      <c r="S93" s="245"/>
      <c r="T93" s="245"/>
      <c r="U93" s="245"/>
    </row>
    <row r="94" spans="2:21" ht="40" customHeight="1">
      <c r="C94" s="245" t="s">
        <v>141</v>
      </c>
      <c r="D94" s="245"/>
      <c r="E94" s="245"/>
      <c r="F94" s="245"/>
      <c r="G94" s="245"/>
      <c r="H94" s="245"/>
      <c r="I94" s="245"/>
      <c r="J94" s="245"/>
      <c r="K94" s="245"/>
      <c r="L94" s="245"/>
      <c r="M94" s="245"/>
      <c r="N94" s="245"/>
      <c r="O94" s="245"/>
      <c r="P94" s="245"/>
      <c r="Q94" s="245"/>
      <c r="R94" s="245"/>
      <c r="S94" s="245"/>
      <c r="T94" s="245"/>
      <c r="U94" s="245"/>
    </row>
    <row r="95" spans="2:21" ht="20" customHeight="1">
      <c r="B95" s="106"/>
      <c r="F95" s="11"/>
      <c r="G95" s="76"/>
      <c r="I95" s="9"/>
    </row>
    <row r="96" spans="2:21" ht="20" customHeight="1">
      <c r="B96" s="335" t="s">
        <v>229</v>
      </c>
      <c r="C96" s="335"/>
      <c r="D96" s="335"/>
      <c r="E96" s="335"/>
      <c r="F96" s="335"/>
      <c r="G96" s="335"/>
      <c r="H96" s="335"/>
      <c r="I96" s="335"/>
      <c r="J96" s="335"/>
    </row>
    <row r="97" spans="2:21" ht="60" customHeight="1">
      <c r="C97" s="245" t="s">
        <v>140</v>
      </c>
      <c r="D97" s="245"/>
      <c r="E97" s="245"/>
      <c r="F97" s="245"/>
      <c r="G97" s="245"/>
      <c r="H97" s="245"/>
      <c r="I97" s="245"/>
      <c r="J97" s="245"/>
      <c r="K97" s="245"/>
      <c r="L97" s="245"/>
      <c r="M97" s="245"/>
      <c r="N97" s="245"/>
      <c r="O97" s="245"/>
      <c r="P97" s="245"/>
      <c r="Q97" s="245"/>
      <c r="R97" s="245"/>
      <c r="S97" s="245"/>
      <c r="T97" s="245"/>
      <c r="U97" s="245"/>
    </row>
    <row r="98" spans="2:21" ht="40" customHeight="1">
      <c r="C98" s="245" t="s">
        <v>59</v>
      </c>
      <c r="D98" s="245"/>
      <c r="E98" s="245"/>
      <c r="F98" s="245"/>
      <c r="G98" s="245"/>
      <c r="H98" s="245"/>
      <c r="I98" s="245"/>
      <c r="J98" s="245"/>
      <c r="K98" s="245"/>
      <c r="L98" s="245"/>
      <c r="M98" s="245"/>
      <c r="N98" s="245"/>
      <c r="O98" s="245"/>
      <c r="P98" s="245"/>
      <c r="Q98" s="245"/>
      <c r="R98" s="245"/>
      <c r="S98" s="245"/>
      <c r="T98" s="245"/>
      <c r="U98" s="245"/>
    </row>
    <row r="99" spans="2:21" ht="20" customHeight="1">
      <c r="B99" s="106"/>
      <c r="F99" s="11"/>
      <c r="G99" s="76"/>
      <c r="I99" s="9"/>
    </row>
    <row r="100" spans="2:21" ht="20" customHeight="1">
      <c r="B100" s="335" t="s">
        <v>230</v>
      </c>
      <c r="C100" s="335"/>
      <c r="D100" s="335"/>
      <c r="E100" s="335"/>
      <c r="F100" s="335"/>
      <c r="G100" s="335"/>
      <c r="H100" s="335"/>
      <c r="I100" s="335"/>
      <c r="J100" s="335"/>
    </row>
    <row r="101" spans="2:21" ht="40" customHeight="1">
      <c r="B101" s="77"/>
      <c r="C101" s="245" t="s">
        <v>139</v>
      </c>
      <c r="D101" s="245"/>
      <c r="E101" s="245"/>
      <c r="F101" s="245"/>
      <c r="G101" s="245"/>
      <c r="H101" s="245"/>
      <c r="I101" s="245"/>
      <c r="J101" s="245"/>
      <c r="K101" s="245"/>
      <c r="L101" s="245"/>
      <c r="M101" s="245"/>
      <c r="N101" s="245"/>
      <c r="O101" s="245"/>
      <c r="P101" s="245"/>
      <c r="Q101" s="245"/>
      <c r="R101" s="245"/>
      <c r="S101" s="245"/>
      <c r="T101" s="245"/>
      <c r="U101" s="245"/>
    </row>
    <row r="102" spans="2:21" ht="68" customHeight="1">
      <c r="B102" s="77"/>
      <c r="C102" s="245" t="s">
        <v>201</v>
      </c>
      <c r="D102" s="245"/>
      <c r="E102" s="245"/>
      <c r="F102" s="245"/>
      <c r="G102" s="245"/>
      <c r="H102" s="245"/>
      <c r="I102" s="245"/>
      <c r="J102" s="245"/>
      <c r="K102" s="245"/>
      <c r="L102" s="245"/>
      <c r="M102" s="245"/>
      <c r="N102" s="245"/>
      <c r="O102" s="245"/>
      <c r="P102" s="245"/>
      <c r="Q102" s="245"/>
      <c r="R102" s="245"/>
      <c r="S102" s="245"/>
      <c r="T102" s="245"/>
      <c r="U102" s="245"/>
    </row>
    <row r="103" spans="2:21" ht="40" customHeight="1">
      <c r="B103" s="77"/>
      <c r="C103" s="245" t="s">
        <v>138</v>
      </c>
      <c r="D103" s="245"/>
      <c r="E103" s="245"/>
      <c r="F103" s="245"/>
      <c r="G103" s="245"/>
      <c r="H103" s="245"/>
      <c r="I103" s="245"/>
      <c r="J103" s="245"/>
      <c r="K103" s="245"/>
      <c r="L103" s="245"/>
      <c r="M103" s="245"/>
      <c r="N103" s="245"/>
      <c r="O103" s="245"/>
      <c r="P103" s="245"/>
      <c r="Q103" s="245"/>
      <c r="R103" s="245"/>
      <c r="S103" s="245"/>
      <c r="T103" s="245"/>
      <c r="U103" s="245"/>
    </row>
    <row r="104" spans="2:21" ht="20" customHeight="1">
      <c r="B104" s="106"/>
      <c r="F104" s="11"/>
      <c r="G104" s="76"/>
      <c r="I104" s="9"/>
    </row>
    <row r="105" spans="2:21" ht="20" customHeight="1">
      <c r="B105" s="335" t="s">
        <v>231</v>
      </c>
      <c r="C105" s="335"/>
      <c r="D105" s="335"/>
      <c r="E105" s="335"/>
      <c r="F105" s="335"/>
      <c r="G105" s="335"/>
      <c r="H105" s="335"/>
      <c r="I105" s="335"/>
      <c r="J105" s="335"/>
    </row>
    <row r="106" spans="2:21" ht="40" customHeight="1">
      <c r="C106" s="245" t="s">
        <v>137</v>
      </c>
      <c r="D106" s="245"/>
      <c r="E106" s="245"/>
      <c r="F106" s="245"/>
      <c r="G106" s="245"/>
      <c r="H106" s="245"/>
      <c r="I106" s="245"/>
      <c r="J106" s="245"/>
      <c r="K106" s="245"/>
      <c r="L106" s="245"/>
      <c r="M106" s="245"/>
      <c r="N106" s="245"/>
      <c r="O106" s="245"/>
      <c r="P106" s="245"/>
      <c r="Q106" s="245"/>
      <c r="R106" s="245"/>
      <c r="S106" s="245"/>
      <c r="T106" s="245"/>
      <c r="U106" s="245"/>
    </row>
    <row r="107" spans="2:21" ht="20" customHeight="1">
      <c r="B107" s="106"/>
      <c r="F107" s="11"/>
      <c r="G107" s="76"/>
      <c r="I107" s="9"/>
    </row>
    <row r="108" spans="2:21" ht="20" customHeight="1">
      <c r="B108" s="152" t="s">
        <v>232</v>
      </c>
      <c r="C108" s="107"/>
      <c r="D108" s="107"/>
      <c r="E108" s="107"/>
      <c r="F108" s="107"/>
      <c r="G108" s="107"/>
      <c r="H108" s="107"/>
      <c r="I108" s="107"/>
      <c r="J108" s="107"/>
    </row>
    <row r="109" spans="2:21" ht="20" customHeight="1">
      <c r="C109" s="337" t="s">
        <v>60</v>
      </c>
      <c r="D109" s="337"/>
      <c r="E109" s="337"/>
      <c r="F109" s="337"/>
      <c r="G109" s="337"/>
      <c r="H109" s="337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</row>
    <row r="110" spans="2:21" ht="20" customHeight="1">
      <c r="B110" s="78"/>
      <c r="C110" s="333" t="s">
        <v>211</v>
      </c>
      <c r="D110" s="333"/>
      <c r="E110" s="333"/>
      <c r="F110" s="333"/>
      <c r="G110" s="333"/>
      <c r="H110" s="333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</row>
    <row r="111" spans="2:21" ht="20" customHeight="1">
      <c r="B111" s="78"/>
      <c r="C111" s="333" t="s">
        <v>212</v>
      </c>
      <c r="D111" s="333"/>
      <c r="E111" s="333"/>
      <c r="F111" s="333"/>
      <c r="G111" s="333"/>
      <c r="H111" s="333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</row>
    <row r="112" spans="2:21" ht="20" customHeight="1">
      <c r="B112" s="78"/>
      <c r="C112" s="333" t="s">
        <v>213</v>
      </c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</row>
    <row r="113" spans="2:21" ht="20" customHeight="1">
      <c r="B113" s="78"/>
      <c r="C113" s="333" t="s">
        <v>214</v>
      </c>
      <c r="D113" s="333"/>
      <c r="E113" s="333"/>
      <c r="F113" s="333"/>
      <c r="G113" s="333"/>
      <c r="H113" s="333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</row>
    <row r="114" spans="2:21" ht="20" customHeight="1">
      <c r="B114" s="106"/>
      <c r="F114" s="11"/>
      <c r="G114" s="76"/>
      <c r="I114" s="9"/>
    </row>
    <row r="115" spans="2:21" ht="20" customHeight="1">
      <c r="B115" s="152" t="s">
        <v>233</v>
      </c>
      <c r="C115" s="107"/>
      <c r="D115" s="107"/>
      <c r="E115" s="107"/>
      <c r="F115" s="107"/>
      <c r="G115" s="107"/>
      <c r="H115" s="107"/>
      <c r="I115" s="107"/>
      <c r="J115" s="107"/>
    </row>
    <row r="116" spans="2:21" ht="40" customHeight="1">
      <c r="C116" s="245" t="s">
        <v>136</v>
      </c>
      <c r="D116" s="245"/>
      <c r="E116" s="245"/>
      <c r="F116" s="245"/>
      <c r="G116" s="245"/>
      <c r="H116" s="245"/>
      <c r="I116" s="245"/>
      <c r="J116" s="245"/>
      <c r="K116" s="245"/>
      <c r="L116" s="245"/>
      <c r="M116" s="245"/>
      <c r="N116" s="245"/>
      <c r="O116" s="245"/>
      <c r="P116" s="245"/>
      <c r="Q116" s="245"/>
      <c r="R116" s="245"/>
      <c r="S116" s="245"/>
      <c r="T116" s="245"/>
      <c r="U116" s="245"/>
    </row>
    <row r="117" spans="2:21" ht="20" customHeight="1">
      <c r="B117" s="106"/>
      <c r="F117" s="11"/>
      <c r="G117" s="76"/>
      <c r="I117" s="9"/>
    </row>
    <row r="118" spans="2:21" ht="20" customHeight="1">
      <c r="B118" s="335" t="s">
        <v>234</v>
      </c>
      <c r="C118" s="335"/>
      <c r="D118" s="335"/>
      <c r="E118" s="335"/>
      <c r="F118" s="335"/>
      <c r="G118" s="335"/>
      <c r="H118" s="335"/>
      <c r="I118" s="335"/>
      <c r="J118" s="335"/>
    </row>
    <row r="119" spans="2:21" ht="40" customHeight="1">
      <c r="C119" s="245" t="s">
        <v>135</v>
      </c>
      <c r="D119" s="245"/>
      <c r="E119" s="245"/>
      <c r="F119" s="245"/>
      <c r="G119" s="245"/>
      <c r="H119" s="245"/>
      <c r="I119" s="245"/>
      <c r="J119" s="245"/>
      <c r="K119" s="245"/>
      <c r="L119" s="245"/>
      <c r="M119" s="245"/>
      <c r="N119" s="245"/>
      <c r="O119" s="245"/>
      <c r="P119" s="245"/>
      <c r="Q119" s="245"/>
      <c r="R119" s="245"/>
      <c r="S119" s="245"/>
      <c r="T119" s="245"/>
      <c r="U119" s="245"/>
    </row>
    <row r="120" spans="2:21" ht="350" customHeight="1"/>
    <row r="121" spans="2:21" ht="20" customHeight="1">
      <c r="B121" s="338" t="s">
        <v>61</v>
      </c>
      <c r="C121" s="338"/>
      <c r="D121" s="338"/>
      <c r="E121" s="338"/>
      <c r="F121" s="338"/>
      <c r="G121" s="338"/>
      <c r="H121" s="338"/>
      <c r="I121" s="338"/>
    </row>
    <row r="122" spans="2:21" ht="33.75" customHeight="1">
      <c r="B122" s="339" t="s">
        <v>134</v>
      </c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</row>
    <row r="123" spans="2:21" ht="50" customHeight="1">
      <c r="B123" s="340" t="s">
        <v>133</v>
      </c>
      <c r="C123" s="341"/>
      <c r="D123" s="341"/>
      <c r="E123" s="341"/>
      <c r="F123" s="342" t="s">
        <v>132</v>
      </c>
      <c r="G123" s="341"/>
      <c r="H123" s="341"/>
      <c r="I123" s="341"/>
      <c r="J123" s="341"/>
      <c r="K123" s="341"/>
      <c r="L123" s="341"/>
      <c r="M123" s="342" t="s">
        <v>131</v>
      </c>
      <c r="N123" s="341"/>
      <c r="O123" s="341"/>
      <c r="P123" s="341"/>
      <c r="Q123" s="341"/>
      <c r="R123" s="341"/>
      <c r="S123" s="341"/>
      <c r="T123" s="341"/>
      <c r="U123" s="343"/>
    </row>
    <row r="124" spans="2:21" ht="56.25" customHeight="1">
      <c r="B124" s="344" t="s">
        <v>130</v>
      </c>
      <c r="C124" s="345"/>
      <c r="D124" s="345"/>
      <c r="E124" s="345"/>
      <c r="F124" s="350" t="s">
        <v>129</v>
      </c>
      <c r="G124" s="351"/>
      <c r="H124" s="351"/>
      <c r="I124" s="351"/>
      <c r="J124" s="351"/>
      <c r="K124" s="351"/>
      <c r="L124" s="352"/>
      <c r="M124" s="353" t="s">
        <v>118</v>
      </c>
      <c r="N124" s="353"/>
      <c r="O124" s="353"/>
      <c r="P124" s="353"/>
      <c r="Q124" s="353"/>
      <c r="R124" s="353"/>
      <c r="S124" s="353"/>
      <c r="T124" s="353"/>
      <c r="U124" s="354"/>
    </row>
    <row r="125" spans="2:21" ht="56.25" customHeight="1">
      <c r="B125" s="346"/>
      <c r="C125" s="347"/>
      <c r="D125" s="347"/>
      <c r="E125" s="347"/>
      <c r="F125" s="355" t="s">
        <v>128</v>
      </c>
      <c r="G125" s="356"/>
      <c r="H125" s="356"/>
      <c r="I125" s="356"/>
      <c r="J125" s="356"/>
      <c r="K125" s="356"/>
      <c r="L125" s="357"/>
      <c r="M125" s="353"/>
      <c r="N125" s="353"/>
      <c r="O125" s="353"/>
      <c r="P125" s="353"/>
      <c r="Q125" s="353"/>
      <c r="R125" s="353"/>
      <c r="S125" s="353"/>
      <c r="T125" s="353"/>
      <c r="U125" s="354"/>
    </row>
    <row r="126" spans="2:21" ht="56.25" customHeight="1">
      <c r="B126" s="346"/>
      <c r="C126" s="347"/>
      <c r="D126" s="347"/>
      <c r="E126" s="347"/>
      <c r="F126" s="355" t="s">
        <v>127</v>
      </c>
      <c r="G126" s="356"/>
      <c r="H126" s="356"/>
      <c r="I126" s="356"/>
      <c r="J126" s="356"/>
      <c r="K126" s="356"/>
      <c r="L126" s="357"/>
      <c r="M126" s="353"/>
      <c r="N126" s="353"/>
      <c r="O126" s="353"/>
      <c r="P126" s="353"/>
      <c r="Q126" s="353"/>
      <c r="R126" s="353"/>
      <c r="S126" s="353"/>
      <c r="T126" s="353"/>
      <c r="U126" s="354"/>
    </row>
    <row r="127" spans="2:21" ht="56.25" customHeight="1">
      <c r="B127" s="348"/>
      <c r="C127" s="349"/>
      <c r="D127" s="349"/>
      <c r="E127" s="349"/>
      <c r="F127" s="358" t="s">
        <v>126</v>
      </c>
      <c r="G127" s="359"/>
      <c r="H127" s="359"/>
      <c r="I127" s="359"/>
      <c r="J127" s="359"/>
      <c r="K127" s="359"/>
      <c r="L127" s="360"/>
      <c r="M127" s="353"/>
      <c r="N127" s="353"/>
      <c r="O127" s="353"/>
      <c r="P127" s="353"/>
      <c r="Q127" s="353"/>
      <c r="R127" s="353"/>
      <c r="S127" s="353"/>
      <c r="T127" s="353"/>
      <c r="U127" s="354"/>
    </row>
    <row r="128" spans="2:21" ht="56.25" customHeight="1">
      <c r="B128" s="344" t="s">
        <v>125</v>
      </c>
      <c r="C128" s="345"/>
      <c r="D128" s="345"/>
      <c r="E128" s="345"/>
      <c r="F128" s="350" t="s">
        <v>202</v>
      </c>
      <c r="G128" s="351"/>
      <c r="H128" s="351"/>
      <c r="I128" s="351"/>
      <c r="J128" s="351"/>
      <c r="K128" s="351"/>
      <c r="L128" s="352"/>
      <c r="M128" s="353" t="s">
        <v>118</v>
      </c>
      <c r="N128" s="353"/>
      <c r="O128" s="353"/>
      <c r="P128" s="353"/>
      <c r="Q128" s="353"/>
      <c r="R128" s="353"/>
      <c r="S128" s="353"/>
      <c r="T128" s="353"/>
      <c r="U128" s="354"/>
    </row>
    <row r="129" spans="2:21" ht="56.25" customHeight="1">
      <c r="B129" s="346"/>
      <c r="C129" s="347"/>
      <c r="D129" s="347"/>
      <c r="E129" s="347"/>
      <c r="F129" s="361" t="s">
        <v>204</v>
      </c>
      <c r="G129" s="362"/>
      <c r="H129" s="362"/>
      <c r="I129" s="362"/>
      <c r="J129" s="362"/>
      <c r="K129" s="362"/>
      <c r="L129" s="363"/>
      <c r="M129" s="353"/>
      <c r="N129" s="353"/>
      <c r="O129" s="353"/>
      <c r="P129" s="353"/>
      <c r="Q129" s="353"/>
      <c r="R129" s="353"/>
      <c r="S129" s="353"/>
      <c r="T129" s="353"/>
      <c r="U129" s="354"/>
    </row>
    <row r="130" spans="2:21" ht="56.25" customHeight="1">
      <c r="B130" s="348"/>
      <c r="C130" s="349"/>
      <c r="D130" s="349"/>
      <c r="E130" s="349"/>
      <c r="F130" s="358" t="s">
        <v>203</v>
      </c>
      <c r="G130" s="359"/>
      <c r="H130" s="359"/>
      <c r="I130" s="359"/>
      <c r="J130" s="359"/>
      <c r="K130" s="359"/>
      <c r="L130" s="360"/>
      <c r="M130" s="353"/>
      <c r="N130" s="353"/>
      <c r="O130" s="353"/>
      <c r="P130" s="353"/>
      <c r="Q130" s="353"/>
      <c r="R130" s="353"/>
      <c r="S130" s="353"/>
      <c r="T130" s="353"/>
      <c r="U130" s="354"/>
    </row>
    <row r="131" spans="2:21" ht="56.25" customHeight="1">
      <c r="B131" s="346" t="s">
        <v>124</v>
      </c>
      <c r="C131" s="347"/>
      <c r="D131" s="347"/>
      <c r="E131" s="347"/>
      <c r="F131" s="355" t="s">
        <v>205</v>
      </c>
      <c r="G131" s="356"/>
      <c r="H131" s="356"/>
      <c r="I131" s="356"/>
      <c r="J131" s="356"/>
      <c r="K131" s="356"/>
      <c r="L131" s="357"/>
      <c r="M131" s="353" t="s">
        <v>118</v>
      </c>
      <c r="N131" s="353"/>
      <c r="O131" s="353"/>
      <c r="P131" s="353"/>
      <c r="Q131" s="353"/>
      <c r="R131" s="353"/>
      <c r="S131" s="353"/>
      <c r="T131" s="353"/>
      <c r="U131" s="354"/>
    </row>
    <row r="132" spans="2:21" ht="56.25" customHeight="1">
      <c r="B132" s="346"/>
      <c r="C132" s="347"/>
      <c r="D132" s="347"/>
      <c r="E132" s="347"/>
      <c r="F132" s="355" t="s">
        <v>206</v>
      </c>
      <c r="G132" s="356"/>
      <c r="H132" s="356"/>
      <c r="I132" s="356"/>
      <c r="J132" s="356"/>
      <c r="K132" s="356"/>
      <c r="L132" s="357"/>
      <c r="M132" s="353"/>
      <c r="N132" s="353"/>
      <c r="O132" s="353"/>
      <c r="P132" s="353"/>
      <c r="Q132" s="353"/>
      <c r="R132" s="353"/>
      <c r="S132" s="353"/>
      <c r="T132" s="353"/>
      <c r="U132" s="354"/>
    </row>
    <row r="133" spans="2:21" ht="56.25" customHeight="1">
      <c r="B133" s="364" t="s">
        <v>123</v>
      </c>
      <c r="C133" s="365"/>
      <c r="D133" s="365"/>
      <c r="E133" s="365"/>
      <c r="F133" s="366" t="s">
        <v>121</v>
      </c>
      <c r="G133" s="367"/>
      <c r="H133" s="367"/>
      <c r="I133" s="367"/>
      <c r="J133" s="367"/>
      <c r="K133" s="367"/>
      <c r="L133" s="368"/>
      <c r="M133" s="353" t="s">
        <v>121</v>
      </c>
      <c r="N133" s="353"/>
      <c r="O133" s="353"/>
      <c r="P133" s="353"/>
      <c r="Q133" s="353"/>
      <c r="R133" s="353"/>
      <c r="S133" s="353"/>
      <c r="T133" s="353"/>
      <c r="U133" s="354"/>
    </row>
    <row r="134" spans="2:21" ht="56.25" customHeight="1">
      <c r="B134" s="346" t="s">
        <v>122</v>
      </c>
      <c r="C134" s="347"/>
      <c r="D134" s="347"/>
      <c r="E134" s="347"/>
      <c r="F134" s="355" t="s">
        <v>121</v>
      </c>
      <c r="G134" s="356"/>
      <c r="H134" s="356"/>
      <c r="I134" s="356"/>
      <c r="J134" s="356"/>
      <c r="K134" s="356"/>
      <c r="L134" s="357"/>
      <c r="M134" s="353" t="s">
        <v>121</v>
      </c>
      <c r="N134" s="353"/>
      <c r="O134" s="353"/>
      <c r="P134" s="353"/>
      <c r="Q134" s="353"/>
      <c r="R134" s="353"/>
      <c r="S134" s="353"/>
      <c r="T134" s="353"/>
      <c r="U134" s="354"/>
    </row>
    <row r="135" spans="2:21" ht="56.25" customHeight="1">
      <c r="B135" s="369" t="s">
        <v>120</v>
      </c>
      <c r="C135" s="370"/>
      <c r="D135" s="370"/>
      <c r="E135" s="370"/>
      <c r="F135" s="371" t="s">
        <v>119</v>
      </c>
      <c r="G135" s="372"/>
      <c r="H135" s="372"/>
      <c r="I135" s="372"/>
      <c r="J135" s="372"/>
      <c r="K135" s="372"/>
      <c r="L135" s="373"/>
      <c r="M135" s="374" t="s">
        <v>118</v>
      </c>
      <c r="N135" s="374"/>
      <c r="O135" s="374"/>
      <c r="P135" s="374"/>
      <c r="Q135" s="374"/>
      <c r="R135" s="374"/>
      <c r="S135" s="374"/>
      <c r="T135" s="374"/>
      <c r="U135" s="375"/>
    </row>
    <row r="136" spans="2:21" ht="20.25" customHeight="1">
      <c r="B136" s="338" t="s">
        <v>62</v>
      </c>
      <c r="C136" s="338"/>
      <c r="D136" s="338"/>
      <c r="E136" s="338"/>
      <c r="F136" s="338"/>
      <c r="G136" s="338"/>
      <c r="H136" s="338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</row>
    <row r="137" spans="2:21" ht="42" customHeight="1">
      <c r="B137" s="339" t="s">
        <v>185</v>
      </c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</row>
    <row r="138" spans="2:21" ht="30" customHeight="1">
      <c r="B138" s="376" t="s">
        <v>117</v>
      </c>
      <c r="C138" s="377"/>
      <c r="D138" s="377"/>
      <c r="E138" s="377"/>
      <c r="F138" s="377"/>
      <c r="G138" s="377"/>
      <c r="H138" s="377"/>
      <c r="I138" s="378"/>
      <c r="J138" s="378"/>
      <c r="K138" s="378"/>
      <c r="L138" s="378"/>
      <c r="M138" s="379" t="s">
        <v>116</v>
      </c>
      <c r="N138" s="379"/>
      <c r="O138" s="104"/>
      <c r="P138" s="105" t="s">
        <v>115</v>
      </c>
      <c r="Q138" s="104"/>
      <c r="R138" s="380">
        <f>INT(SUM(R139,R140,R141,R142,R143,R144,R145,R146))</f>
        <v>1092686</v>
      </c>
      <c r="S138" s="380"/>
      <c r="T138" s="380"/>
      <c r="U138" s="381"/>
    </row>
    <row r="139" spans="2:21" ht="30" customHeight="1">
      <c r="B139" s="103"/>
      <c r="C139" s="382" t="s">
        <v>114</v>
      </c>
      <c r="D139" s="382"/>
      <c r="E139" s="382"/>
      <c r="F139" s="383" t="s">
        <v>65</v>
      </c>
      <c r="G139" s="383"/>
      <c r="H139" s="383"/>
      <c r="I139" s="384">
        <v>373353</v>
      </c>
      <c r="J139" s="384"/>
      <c r="K139" s="384"/>
      <c r="L139" s="384"/>
      <c r="M139" s="385" t="s">
        <v>113</v>
      </c>
      <c r="N139" s="385"/>
      <c r="O139" s="120" t="s">
        <v>101</v>
      </c>
      <c r="P139" s="121">
        <f>대가산출!G9</f>
        <v>0</v>
      </c>
      <c r="Q139" s="80"/>
      <c r="R139" s="386">
        <f t="shared" ref="R139:R146" si="0">P139*I139</f>
        <v>0</v>
      </c>
      <c r="S139" s="386"/>
      <c r="T139" s="386"/>
      <c r="U139" s="387"/>
    </row>
    <row r="140" spans="2:21" ht="30" customHeight="1">
      <c r="B140" s="79"/>
      <c r="C140" s="124"/>
      <c r="F140" s="388" t="s">
        <v>66</v>
      </c>
      <c r="G140" s="388"/>
      <c r="H140" s="388"/>
      <c r="I140" s="389">
        <v>310884</v>
      </c>
      <c r="J140" s="389"/>
      <c r="K140" s="389"/>
      <c r="L140" s="389"/>
      <c r="M140" s="390" t="s">
        <v>113</v>
      </c>
      <c r="N140" s="390"/>
      <c r="O140" s="96" t="s">
        <v>101</v>
      </c>
      <c r="P140" s="102">
        <f>대가산출!G10</f>
        <v>1</v>
      </c>
      <c r="Q140" s="4"/>
      <c r="R140" s="391">
        <f t="shared" si="0"/>
        <v>310884</v>
      </c>
      <c r="S140" s="391"/>
      <c r="T140" s="391"/>
      <c r="U140" s="392"/>
    </row>
    <row r="141" spans="2:21" ht="30" customHeight="1">
      <c r="B141" s="79"/>
      <c r="C141" s="124"/>
      <c r="F141" s="388" t="s">
        <v>67</v>
      </c>
      <c r="G141" s="388"/>
      <c r="H141" s="388"/>
      <c r="I141" s="389">
        <v>295138</v>
      </c>
      <c r="J141" s="389"/>
      <c r="K141" s="389"/>
      <c r="L141" s="389"/>
      <c r="M141" s="390" t="s">
        <v>63</v>
      </c>
      <c r="N141" s="390"/>
      <c r="O141" s="96" t="s">
        <v>101</v>
      </c>
      <c r="P141" s="102">
        <f>대가산출!G11</f>
        <v>0</v>
      </c>
      <c r="Q141" s="4"/>
      <c r="R141" s="391">
        <f t="shared" si="0"/>
        <v>0</v>
      </c>
      <c r="S141" s="391"/>
      <c r="T141" s="391"/>
      <c r="U141" s="392"/>
    </row>
    <row r="142" spans="2:21" ht="30" customHeight="1">
      <c r="B142" s="79"/>
      <c r="C142" s="124"/>
      <c r="F142" s="388" t="s">
        <v>68</v>
      </c>
      <c r="G142" s="388"/>
      <c r="H142" s="388"/>
      <c r="I142" s="389">
        <v>235459</v>
      </c>
      <c r="J142" s="389"/>
      <c r="K142" s="389"/>
      <c r="L142" s="389"/>
      <c r="M142" s="390" t="s">
        <v>63</v>
      </c>
      <c r="N142" s="390"/>
      <c r="O142" s="96" t="s">
        <v>101</v>
      </c>
      <c r="P142" s="102">
        <f>대가산출!G12</f>
        <v>1</v>
      </c>
      <c r="Q142" s="4"/>
      <c r="R142" s="391">
        <f t="shared" si="0"/>
        <v>235459</v>
      </c>
      <c r="S142" s="391"/>
      <c r="T142" s="391"/>
      <c r="U142" s="392"/>
    </row>
    <row r="143" spans="2:21" ht="30" customHeight="1">
      <c r="B143" s="126"/>
      <c r="C143" s="393" t="s">
        <v>112</v>
      </c>
      <c r="D143" s="393"/>
      <c r="E143" s="393"/>
      <c r="F143" s="383" t="s">
        <v>65</v>
      </c>
      <c r="G143" s="383"/>
      <c r="H143" s="383"/>
      <c r="I143" s="384">
        <v>373353</v>
      </c>
      <c r="J143" s="384"/>
      <c r="K143" s="384"/>
      <c r="L143" s="384"/>
      <c r="M143" s="385" t="s">
        <v>63</v>
      </c>
      <c r="N143" s="385"/>
      <c r="O143" s="120" t="s">
        <v>101</v>
      </c>
      <c r="P143" s="121">
        <f>대가산출!G13</f>
        <v>0</v>
      </c>
      <c r="Q143" s="80"/>
      <c r="R143" s="386">
        <f t="shared" si="0"/>
        <v>0</v>
      </c>
      <c r="S143" s="386"/>
      <c r="T143" s="386"/>
      <c r="U143" s="387"/>
    </row>
    <row r="144" spans="2:21" ht="30" customHeight="1">
      <c r="B144" s="79"/>
      <c r="C144" s="124"/>
      <c r="F144" s="388" t="s">
        <v>66</v>
      </c>
      <c r="G144" s="388"/>
      <c r="H144" s="388"/>
      <c r="I144" s="389">
        <v>310884</v>
      </c>
      <c r="J144" s="389"/>
      <c r="K144" s="389"/>
      <c r="L144" s="389"/>
      <c r="M144" s="390" t="s">
        <v>63</v>
      </c>
      <c r="N144" s="390"/>
      <c r="O144" s="96" t="s">
        <v>101</v>
      </c>
      <c r="P144" s="102">
        <f>대가산출!G14</f>
        <v>1</v>
      </c>
      <c r="Q144" s="4"/>
      <c r="R144" s="391">
        <f t="shared" si="0"/>
        <v>310884</v>
      </c>
      <c r="S144" s="391"/>
      <c r="T144" s="391"/>
      <c r="U144" s="392"/>
    </row>
    <row r="145" spans="2:21" ht="30" customHeight="1">
      <c r="B145" s="79"/>
      <c r="C145" s="125"/>
      <c r="F145" s="388" t="s">
        <v>67</v>
      </c>
      <c r="G145" s="388"/>
      <c r="H145" s="388"/>
      <c r="I145" s="389">
        <v>295138</v>
      </c>
      <c r="J145" s="389"/>
      <c r="K145" s="389"/>
      <c r="L145" s="389"/>
      <c r="M145" s="390" t="s">
        <v>63</v>
      </c>
      <c r="N145" s="390"/>
      <c r="O145" s="96" t="s">
        <v>101</v>
      </c>
      <c r="P145" s="102">
        <f>대가산출!G15</f>
        <v>0</v>
      </c>
      <c r="Q145" s="4"/>
      <c r="R145" s="391">
        <f t="shared" si="0"/>
        <v>0</v>
      </c>
      <c r="S145" s="391"/>
      <c r="T145" s="391"/>
      <c r="U145" s="392"/>
    </row>
    <row r="146" spans="2:21" ht="30" customHeight="1">
      <c r="B146" s="127"/>
      <c r="C146" s="128"/>
      <c r="D146" s="129"/>
      <c r="E146" s="129"/>
      <c r="F146" s="394" t="s">
        <v>68</v>
      </c>
      <c r="G146" s="394"/>
      <c r="H146" s="394"/>
      <c r="I146" s="395">
        <v>235459</v>
      </c>
      <c r="J146" s="395"/>
      <c r="K146" s="395"/>
      <c r="L146" s="395"/>
      <c r="M146" s="396" t="s">
        <v>63</v>
      </c>
      <c r="N146" s="396"/>
      <c r="O146" s="130" t="s">
        <v>101</v>
      </c>
      <c r="P146" s="122">
        <f>대가산출!G16</f>
        <v>1</v>
      </c>
      <c r="Q146" s="131"/>
      <c r="R146" s="397">
        <f t="shared" si="0"/>
        <v>235459</v>
      </c>
      <c r="S146" s="397"/>
      <c r="T146" s="397"/>
      <c r="U146" s="398"/>
    </row>
    <row r="147" spans="2:21" ht="30" customHeight="1">
      <c r="B147" s="399" t="s">
        <v>111</v>
      </c>
      <c r="C147" s="400"/>
      <c r="D147" s="400"/>
      <c r="E147" s="400"/>
      <c r="F147" s="400"/>
      <c r="G147" s="400"/>
      <c r="H147" s="400"/>
      <c r="I147" s="401" t="s">
        <v>110</v>
      </c>
      <c r="J147" s="401"/>
      <c r="K147" s="401"/>
      <c r="L147" s="401"/>
      <c r="M147" s="402" t="s">
        <v>107</v>
      </c>
      <c r="N147" s="402"/>
      <c r="O147" s="85"/>
      <c r="P147" s="95">
        <f>대가산출!G17</f>
        <v>10</v>
      </c>
      <c r="Q147" s="85"/>
      <c r="R147" s="403">
        <f>R138*P147%</f>
        <v>109268.6</v>
      </c>
      <c r="S147" s="403"/>
      <c r="T147" s="403"/>
      <c r="U147" s="404"/>
    </row>
    <row r="148" spans="2:21" ht="30" customHeight="1">
      <c r="B148" s="399" t="s">
        <v>109</v>
      </c>
      <c r="C148" s="400"/>
      <c r="D148" s="400"/>
      <c r="E148" s="400"/>
      <c r="F148" s="400"/>
      <c r="G148" s="400"/>
      <c r="H148" s="400"/>
      <c r="I148" s="405" t="s">
        <v>108</v>
      </c>
      <c r="J148" s="405"/>
      <c r="K148" s="405"/>
      <c r="L148" s="405"/>
      <c r="M148" s="402" t="s">
        <v>107</v>
      </c>
      <c r="N148" s="402"/>
      <c r="O148" s="85"/>
      <c r="P148" s="95">
        <f>대가산출!G18</f>
        <v>10</v>
      </c>
      <c r="Q148" s="85"/>
      <c r="R148" s="406">
        <f>(R138+R147)*P148%</f>
        <v>120195.46000000002</v>
      </c>
      <c r="S148" s="406"/>
      <c r="T148" s="406"/>
      <c r="U148" s="407"/>
    </row>
    <row r="149" spans="2:21" ht="30" customHeight="1">
      <c r="B149" s="408" t="s">
        <v>106</v>
      </c>
      <c r="C149" s="409"/>
      <c r="D149" s="409"/>
      <c r="E149" s="409"/>
      <c r="F149" s="409"/>
      <c r="G149" s="409"/>
      <c r="H149" s="409"/>
      <c r="I149" s="388"/>
      <c r="J149" s="388"/>
      <c r="K149" s="388"/>
      <c r="L149" s="96"/>
      <c r="M149" s="81"/>
      <c r="N149" s="4"/>
      <c r="O149" s="96"/>
      <c r="P149" s="4"/>
      <c r="Q149" s="4"/>
      <c r="R149" s="410">
        <f>SUM(R151:R155)</f>
        <v>219268</v>
      </c>
      <c r="S149" s="410"/>
      <c r="T149" s="410"/>
      <c r="U149" s="411"/>
    </row>
    <row r="150" spans="2:21" ht="30" customHeight="1">
      <c r="B150" s="82" t="s">
        <v>105</v>
      </c>
      <c r="C150" s="4"/>
      <c r="I150" s="81"/>
      <c r="J150" s="4"/>
      <c r="K150" s="83"/>
      <c r="L150" s="102"/>
      <c r="M150" s="123"/>
      <c r="N150" s="4"/>
      <c r="O150" s="102"/>
      <c r="P150" s="4"/>
      <c r="Q150" s="4"/>
      <c r="R150" s="391">
        <f>INT(M150*O150)</f>
        <v>0</v>
      </c>
      <c r="S150" s="391"/>
      <c r="T150" s="391"/>
      <c r="U150" s="392"/>
    </row>
    <row r="151" spans="2:21" ht="30" customHeight="1">
      <c r="B151" s="82" t="s">
        <v>104</v>
      </c>
      <c r="C151" s="4"/>
      <c r="I151" s="412">
        <v>20000</v>
      </c>
      <c r="J151" s="412"/>
      <c r="K151" s="412"/>
      <c r="L151" s="412"/>
      <c r="M151" s="390" t="s">
        <v>102</v>
      </c>
      <c r="N151" s="390"/>
      <c r="O151" s="96" t="s">
        <v>101</v>
      </c>
      <c r="P151" s="101">
        <f>대가산출!G21</f>
        <v>2</v>
      </c>
      <c r="Q151" s="4"/>
      <c r="R151" s="391">
        <f>P151*I151</f>
        <v>40000</v>
      </c>
      <c r="S151" s="391"/>
      <c r="T151" s="391"/>
      <c r="U151" s="392"/>
    </row>
    <row r="152" spans="2:21" ht="30" customHeight="1">
      <c r="B152" s="82" t="s">
        <v>103</v>
      </c>
      <c r="C152" s="4"/>
      <c r="I152" s="413">
        <v>20000</v>
      </c>
      <c r="J152" s="413"/>
      <c r="K152" s="413"/>
      <c r="L152" s="413"/>
      <c r="M152" s="388" t="s">
        <v>102</v>
      </c>
      <c r="N152" s="388"/>
      <c r="O152" s="96" t="s">
        <v>101</v>
      </c>
      <c r="P152" s="101">
        <f>대가산출!G22</f>
        <v>2</v>
      </c>
      <c r="Q152" s="4"/>
      <c r="R152" s="391">
        <f>P152*I152</f>
        <v>40000</v>
      </c>
      <c r="S152" s="391"/>
      <c r="T152" s="391"/>
      <c r="U152" s="392"/>
    </row>
    <row r="153" spans="2:21" ht="30" customHeight="1">
      <c r="B153" s="82" t="s">
        <v>100</v>
      </c>
      <c r="C153" s="96"/>
      <c r="I153" s="390" t="s">
        <v>99</v>
      </c>
      <c r="J153" s="390"/>
      <c r="K153" s="390"/>
      <c r="L153" s="390"/>
      <c r="M153" s="390"/>
      <c r="N153" s="390"/>
      <c r="O153" s="390"/>
      <c r="P153" s="390"/>
      <c r="Q153" s="390"/>
      <c r="R153" s="391">
        <f>ROUND(SUM(R139:R142)*10%,0)</f>
        <v>54634</v>
      </c>
      <c r="S153" s="391"/>
      <c r="T153" s="391"/>
      <c r="U153" s="392"/>
    </row>
    <row r="154" spans="2:21" ht="30" customHeight="1">
      <c r="B154" s="82" t="s">
        <v>98</v>
      </c>
      <c r="C154" s="96"/>
      <c r="I154" s="390" t="s">
        <v>74</v>
      </c>
      <c r="J154" s="390"/>
      <c r="K154" s="390"/>
      <c r="L154" s="390"/>
      <c r="M154" s="390"/>
      <c r="N154" s="390"/>
      <c r="O154" s="390"/>
      <c r="P154" s="390"/>
      <c r="Q154" s="390"/>
      <c r="R154" s="391">
        <f>ROUND(R138*5%,0)</f>
        <v>54634</v>
      </c>
      <c r="S154" s="391"/>
      <c r="T154" s="391"/>
      <c r="U154" s="392"/>
    </row>
    <row r="155" spans="2:21" ht="30" customHeight="1">
      <c r="B155" s="82" t="s">
        <v>97</v>
      </c>
      <c r="C155" s="96"/>
      <c r="I155" s="396"/>
      <c r="J155" s="396"/>
      <c r="K155" s="396"/>
      <c r="L155" s="396"/>
      <c r="M155" s="396"/>
      <c r="N155" s="396"/>
      <c r="O155" s="396"/>
      <c r="P155" s="396"/>
      <c r="Q155" s="396"/>
      <c r="R155" s="397">
        <v>30000</v>
      </c>
      <c r="S155" s="397"/>
      <c r="T155" s="397"/>
      <c r="U155" s="398"/>
    </row>
    <row r="156" spans="2:21" ht="30" customHeight="1">
      <c r="B156" s="399" t="s">
        <v>96</v>
      </c>
      <c r="C156" s="400"/>
      <c r="D156" s="400"/>
      <c r="E156" s="400"/>
      <c r="F156" s="400"/>
      <c r="G156" s="400"/>
      <c r="H156" s="400"/>
      <c r="I156" s="402" t="s">
        <v>95</v>
      </c>
      <c r="J156" s="402"/>
      <c r="K156" s="402"/>
      <c r="L156" s="402"/>
      <c r="M156" s="402"/>
      <c r="N156" s="402"/>
      <c r="O156" s="402"/>
      <c r="P156" s="402"/>
      <c r="Q156" s="402"/>
      <c r="R156" s="406">
        <v>0</v>
      </c>
      <c r="S156" s="406"/>
      <c r="T156" s="406"/>
      <c r="U156" s="407"/>
    </row>
    <row r="157" spans="2:21" ht="30" customHeight="1">
      <c r="B157" s="399" t="s">
        <v>94</v>
      </c>
      <c r="C157" s="400"/>
      <c r="D157" s="400"/>
      <c r="E157" s="400"/>
      <c r="F157" s="400"/>
      <c r="G157" s="400"/>
      <c r="H157" s="400"/>
      <c r="I157" s="84"/>
      <c r="J157" s="85"/>
      <c r="K157" s="86"/>
      <c r="L157" s="95" t="s">
        <v>93</v>
      </c>
      <c r="M157" s="95"/>
      <c r="N157" s="95"/>
      <c r="O157" s="95"/>
      <c r="P157" s="85"/>
      <c r="Q157" s="85"/>
      <c r="R157" s="422">
        <f>R138+R147+R148+R149</f>
        <v>1541418.06</v>
      </c>
      <c r="S157" s="422"/>
      <c r="T157" s="422"/>
      <c r="U157" s="423"/>
    </row>
    <row r="158" spans="2:21" ht="30" customHeight="1">
      <c r="B158" s="414" t="s">
        <v>69</v>
      </c>
      <c r="C158" s="415"/>
      <c r="D158" s="415"/>
      <c r="E158" s="415"/>
      <c r="F158" s="415"/>
      <c r="G158" s="415"/>
      <c r="H158" s="415"/>
      <c r="I158" s="84"/>
      <c r="J158" s="85"/>
      <c r="K158" s="86"/>
      <c r="L158" s="95"/>
      <c r="M158" s="95"/>
      <c r="N158" s="95"/>
      <c r="O158" s="95"/>
      <c r="P158" s="85"/>
      <c r="Q158" s="85"/>
      <c r="R158" s="406">
        <f>대가산출!H28</f>
        <v>41419</v>
      </c>
      <c r="S158" s="406"/>
      <c r="T158" s="406"/>
      <c r="U158" s="407"/>
    </row>
    <row r="159" spans="2:21" ht="30" customHeight="1">
      <c r="B159" s="414" t="s">
        <v>70</v>
      </c>
      <c r="C159" s="415"/>
      <c r="D159" s="415"/>
      <c r="E159" s="415"/>
      <c r="F159" s="415"/>
      <c r="G159" s="415"/>
      <c r="H159" s="415"/>
      <c r="I159" s="84"/>
      <c r="J159" s="85"/>
      <c r="K159" s="86"/>
      <c r="L159" s="95"/>
      <c r="M159" s="95"/>
      <c r="N159" s="95"/>
      <c r="O159" s="95"/>
      <c r="P159" s="85"/>
      <c r="Q159" s="85"/>
      <c r="R159" s="406">
        <f>대가산출!H29</f>
        <v>1500000</v>
      </c>
      <c r="S159" s="406"/>
      <c r="T159" s="406"/>
      <c r="U159" s="407"/>
    </row>
    <row r="160" spans="2:21" ht="30" customHeight="1">
      <c r="B160" s="414" t="s">
        <v>71</v>
      </c>
      <c r="C160" s="415"/>
      <c r="D160" s="415"/>
      <c r="E160" s="415"/>
      <c r="F160" s="415"/>
      <c r="G160" s="415"/>
      <c r="H160" s="415"/>
      <c r="I160" s="84"/>
      <c r="J160" s="85"/>
      <c r="K160" s="86"/>
      <c r="L160" s="95"/>
      <c r="M160" s="95"/>
      <c r="N160" s="95"/>
      <c r="O160" s="95"/>
      <c r="P160" s="85"/>
      <c r="Q160" s="85"/>
      <c r="R160" s="416" t="s">
        <v>92</v>
      </c>
      <c r="S160" s="416"/>
      <c r="T160" s="416"/>
      <c r="U160" s="417"/>
    </row>
    <row r="161" spans="2:21" ht="30" customHeight="1">
      <c r="B161" s="418" t="s">
        <v>91</v>
      </c>
      <c r="C161" s="419"/>
      <c r="D161" s="419"/>
      <c r="E161" s="419"/>
      <c r="F161" s="419"/>
      <c r="G161" s="419"/>
      <c r="H161" s="419"/>
      <c r="I161" s="100"/>
      <c r="J161" s="97"/>
      <c r="K161" s="99"/>
      <c r="L161" s="98"/>
      <c r="M161" s="98"/>
      <c r="N161" s="98"/>
      <c r="O161" s="98"/>
      <c r="P161" s="97"/>
      <c r="Q161" s="97"/>
      <c r="R161" s="420">
        <f>대가산출!H31</f>
        <v>1500000</v>
      </c>
      <c r="S161" s="420"/>
      <c r="T161" s="420"/>
      <c r="U161" s="421"/>
    </row>
    <row r="162" spans="2:21" ht="25" customHeight="1"/>
    <row r="163" spans="2:21" ht="25" customHeight="1"/>
    <row r="164" spans="2:21" ht="25" customHeight="1"/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</sheetData>
  <mergeCells count="221"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F68:U68"/>
    <mergeCell ref="B73:J73"/>
    <mergeCell ref="C75:U75"/>
    <mergeCell ref="B77:J77"/>
    <mergeCell ref="C78:U78"/>
    <mergeCell ref="C79:U79"/>
    <mergeCell ref="C80:U80"/>
    <mergeCell ref="B82:J82"/>
    <mergeCell ref="C83:U83"/>
    <mergeCell ref="B58:U58"/>
    <mergeCell ref="B60:U60"/>
    <mergeCell ref="B61:I61"/>
    <mergeCell ref="J61:N61"/>
    <mergeCell ref="O61:U61"/>
    <mergeCell ref="B62:U62"/>
    <mergeCell ref="B64:J64"/>
    <mergeCell ref="C65:U65"/>
    <mergeCell ref="B67:U67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45:E45"/>
    <mergeCell ref="B46:U46"/>
    <mergeCell ref="B48:D48"/>
    <mergeCell ref="E48:U48"/>
    <mergeCell ref="B34:C44"/>
    <mergeCell ref="D34:F34"/>
    <mergeCell ref="G34:L34"/>
    <mergeCell ref="M34:U34"/>
    <mergeCell ref="D35:F35"/>
    <mergeCell ref="G35:Q35"/>
    <mergeCell ref="R35:U35"/>
    <mergeCell ref="D36:F36"/>
    <mergeCell ref="G36:Q36"/>
    <mergeCell ref="D37:F37"/>
    <mergeCell ref="G37:Q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I42"/>
    <mergeCell ref="J42:O42"/>
    <mergeCell ref="P42:U42"/>
    <mergeCell ref="G43:I43"/>
    <mergeCell ref="J43:U43"/>
    <mergeCell ref="G44:I44"/>
    <mergeCell ref="J44:U44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7:U7"/>
    <mergeCell ref="B8:U8"/>
    <mergeCell ref="B9:U9"/>
    <mergeCell ref="B10:U10"/>
    <mergeCell ref="B16:U16"/>
    <mergeCell ref="I22:U22"/>
    <mergeCell ref="I23:U23"/>
    <mergeCell ref="I24:U24"/>
    <mergeCell ref="B27:U2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6" min="1" max="20" man="1"/>
    <brk id="84" min="1" max="20" man="1"/>
    <brk id="104" min="1" max="20" man="1"/>
    <brk id="120" min="1" max="20" man="1"/>
    <brk id="135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2026-04-17T02:03:24Z</cp:lastPrinted>
  <dcterms:created xsi:type="dcterms:W3CDTF">2026-04-14T06:02:39Z</dcterms:created>
  <dcterms:modified xsi:type="dcterms:W3CDTF">2026-04-22T02:16:23Z</dcterms:modified>
</cp:coreProperties>
</file>