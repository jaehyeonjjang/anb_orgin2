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tabRatio="731" activeTab="2"/>
  </bookViews>
  <sheets>
    <sheet name="갑지" sheetId="21" r:id="rId1"/>
    <sheet name="대가산출" sheetId="19" r:id="rId2"/>
    <sheet name="계약서" sheetId="22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 localSheetId="2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 localSheetId="2">#REF!,#REF!</definedName>
    <definedName name="영구배수">#REF!,#REF!</definedName>
    <definedName name="영구배수1" localSheetId="2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 localSheetId="2">#REF!,#REF!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>#REF!</definedName>
    <definedName name="ㅊ2409" localSheetId="2">#REF!</definedName>
    <definedName name="ㅊ2409">#REF!</definedName>
    <definedName name="책정금액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 localSheetId="2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'[1]숫자읽기'!$U$3:$V$12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 localSheetId="2">#REF!,#REF!</definedName>
    <definedName name="ABC">#REF!,#REF!</definedName>
    <definedName name="AS" localSheetId="2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 localSheetId="2">#REF!,#REF!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 localSheetId="2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갑지!$D$1:$AE$38</definedName>
    <definedName name="_xlnm.Print_Area" localSheetId="2">계약서!$B$1:$U$160</definedName>
    <definedName name="_xlnm.Print_Area" localSheetId="1">대가산출!$B$1:$I$36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 localSheetId="2">#REF!,#REF!</definedName>
    <definedName name="RCD">#REF!,#REF!</definedName>
    <definedName name="s" localSheetId="2">#REF!,#REF!</definedName>
    <definedName name="s">#REF!,#REF!</definedName>
    <definedName name="sd" localSheetId="2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52511"/>
</workbook>
</file>

<file path=xl/sharedStrings.xml><?xml version="1.0" encoding="utf-8"?>
<sst xmlns="http://schemas.openxmlformats.org/spreadsheetml/2006/main" count="258" uniqueCount="258">
  <si>
    <t>식</t>
  </si>
  <si>
    <t>금      액</t>
  </si>
  <si>
    <t>부가가치세</t>
  </si>
  <si>
    <t>특급기술자</t>
  </si>
  <si>
    <t>고급기술자</t>
  </si>
  <si>
    <t>기술자등급</t>
  </si>
  <si>
    <t>단   가</t>
  </si>
  <si>
    <t>비       고</t>
  </si>
  <si>
    <t>구        분</t>
  </si>
  <si>
    <t>견  적  금  액</t>
  </si>
  <si>
    <t xml:space="preserve"> 2. 제   경   비</t>
  </si>
  <si>
    <t xml:space="preserve"> 3. 기   술   료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</si>
  <si>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</si>
  <si>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</si>
  <si>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</si>
  <si>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</si>
  <si>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</si>
  <si>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 xml:space="preserve">  (4) 기계기구손료</t>
  </si>
  <si>
    <t xml:space="preserve">  (5) 인쇄비</t>
  </si>
  <si>
    <t xml:space="preserve"> 5. 조   정   비</t>
  </si>
  <si>
    <t>외업인건비의 10%</t>
  </si>
  <si>
    <t>단  위</t>
  </si>
  <si>
    <t>인·일</t>
  </si>
  <si>
    <t>%</t>
  </si>
  <si>
    <t>%</t>
  </si>
  <si>
    <t>( 1 + 2 + 3 + 4 )</t>
  </si>
  <si>
    <t>산  출  내  역  서</t>
  </si>
  <si>
    <t>중급기술자</t>
  </si>
  <si>
    <t>초급기술자</t>
  </si>
  <si>
    <t>공급가액</t>
  </si>
  <si>
    <t>부가가치세</t>
  </si>
  <si>
    <t>공 급 가 액</t>
  </si>
  <si>
    <t>구조형식,용도,경과년수</t>
  </si>
  <si>
    <t>절 삭 금 액</t>
  </si>
  <si>
    <t>총  용  역  비</t>
  </si>
  <si>
    <t>인원은 변경될수 있음</t>
  </si>
  <si>
    <t>부가세 별도</t>
  </si>
  <si>
    <t>별도</t>
  </si>
  <si>
    <t>㈜ 에    이    앤    비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</si>
  <si>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</si>
  <si>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</si>
  <si>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</si>
  <si>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</si>
  <si>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</si>
  <si>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</si>
  <si>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</si>
  <si>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</si>
  <si>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r>
      <t xml:space="preserve">경기도 용인시 기흥구 마북로 </t>
    </r>
    <r>
      <rPr>
        <sz val="12"/>
        <color rgb="FF000000"/>
        <rFont val="돋움"/>
      </rPr>
      <t>159 한성프라자 207호</t>
    </r>
  </si>
  <si>
    <t>관 리 주 체</t>
  </si>
  <si>
    <r>
      <t>붙</t>
    </r>
    <r>
      <rPr>
        <sz val="12"/>
        <color rgb="FF000000"/>
        <rFont val="돋움"/>
      </rPr>
      <t xml:space="preserve"> 임 서 류 :</t>
    </r>
  </si>
  <si>
    <r>
      <t>계</t>
    </r>
    <r>
      <rPr>
        <sz val="12"/>
        <color rgb="FF000000"/>
        <rFont val="돋움"/>
      </rPr>
      <t xml:space="preserve"> 약 일 자 : </t>
    </r>
  </si>
  <si>
    <r>
      <t>관 리 주 체</t>
    </r>
    <r>
      <rPr>
        <sz val="12"/>
        <color rgb="FF000000"/>
        <rFont val="돋움"/>
      </rPr>
      <t>(발 주 자)</t>
    </r>
  </si>
  <si>
    <r>
      <t>계 약 상 대 자</t>
    </r>
    <r>
      <rPr>
        <sz val="12"/>
        <color rgb="FF000000"/>
        <rFont val="돋움"/>
      </rPr>
      <t>(수 주 자)</t>
    </r>
  </si>
  <si>
    <r>
      <t>상</t>
    </r>
    <r>
      <rPr>
        <sz val="12"/>
        <color rgb="FF000000"/>
        <rFont val="돋움"/>
      </rPr>
      <t xml:space="preserve">      호  :</t>
    </r>
  </si>
  <si>
    <r>
      <t xml:space="preserve">상      호 </t>
    </r>
    <r>
      <rPr>
        <sz val="12"/>
        <color rgb="FF000000"/>
        <rFont val="돋움"/>
      </rPr>
      <t>:</t>
    </r>
  </si>
  <si>
    <r>
      <rPr>
        <sz val="12"/>
        <color rgb="FF000000"/>
        <rFont val="돋움"/>
      </rPr>
      <t xml:space="preserve"> ㈜  에  이  앤  비</t>
    </r>
  </si>
  <si>
    <r>
      <t xml:space="preserve">주      소 </t>
    </r>
    <r>
      <rPr>
        <sz val="12"/>
        <color rgb="FF000000"/>
        <rFont val="돋움"/>
      </rPr>
      <t>:</t>
    </r>
  </si>
  <si>
    <r>
      <t xml:space="preserve">대표이사 </t>
    </r>
    <r>
      <rPr>
        <sz val="12"/>
        <color rgb="FF000000"/>
        <rFont val="돋움"/>
      </rPr>
      <t xml:space="preserve">: </t>
    </r>
  </si>
  <si>
    <r>
      <t>&lt;</t>
    </r>
    <r>
      <rPr>
        <sz val="13"/>
        <color rgb="FF000000"/>
        <rFont val="돋움"/>
      </rPr>
      <t>붙임 1&gt;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</si>
  <si>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rgb="FF000000"/>
        <rFont val="돋움"/>
      </rPr>
      <t>.</t>
    </r>
  </si>
  <si>
    <r>
      <t xml:space="preserve">① </t>
    </r>
    <r>
      <rPr>
        <sz val="12"/>
        <color rgb="FF000000"/>
        <rFont val="돋움"/>
      </rPr>
      <t>"수주자"는 제1조에서 규정한 목적을 수행하기 위하여 모든 지식과 기술을 활용, 신의와 성실의 원칙에 입각하여 계약을 이행한다.</t>
    </r>
  </si>
  <si>
    <r>
      <t xml:space="preserve">④ </t>
    </r>
    <r>
      <rPr>
        <sz val="12"/>
        <color rgb="FF000000"/>
        <rFont val="돋움"/>
      </rPr>
      <t>"수주자"는 점검수행 중 발생한 안전사고에 대해 책임을 지며, 안전사고를 미연에 방지하도록 하여야 한다.</t>
    </r>
  </si>
  <si>
    <r>
      <t>② 다만</t>
    </r>
    <r>
      <rPr>
        <sz val="12"/>
        <color rgb="FF000000"/>
        <rFont val="돋움"/>
      </rPr>
      <t>, 국방 기타 보안상의 기밀을 요하는 시설물의 경우에는 "발주자" 또는 관련기관의 동의를 얻어 이를 열람할 수 있다.</t>
    </r>
  </si>
  <si>
    <r>
      <t>본 계약은 다음의 경우에 해제 또는 해지할 수 있다</t>
    </r>
    <r>
      <rPr>
        <sz val="12"/>
        <color rgb="FF000000"/>
        <rFont val="돋움"/>
      </rPr>
      <t>.</t>
    </r>
  </si>
  <si>
    <r>
      <t>&lt;</t>
    </r>
    <r>
      <rPr>
        <sz val="13"/>
        <color rgb="FF000000"/>
        <rFont val="돋움"/>
      </rPr>
      <t>붙임 2&gt;</t>
    </r>
  </si>
  <si>
    <r>
      <t>&lt;</t>
    </r>
    <r>
      <rPr>
        <sz val="13"/>
        <color rgb="FF000000"/>
        <rFont val="돋움"/>
      </rPr>
      <t>붙임 3&gt;</t>
    </r>
  </si>
  <si>
    <t>인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</si>
  <si>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</si>
  <si>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</si>
  <si>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</si>
  <si>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</si>
  <si>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</si>
  <si>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</si>
  <si>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</si>
  <si>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</si>
  <si>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직접인건비의 5%</t>
  </si>
  <si>
    <t>㈜에이앤비 대표이사</t>
  </si>
  <si>
    <t>제    목 :</t>
  </si>
  <si>
    <t>관리소장</t>
  </si>
  <si>
    <t>참    조 :</t>
  </si>
  <si>
    <t>수    신 :</t>
  </si>
  <si>
    <t>작성일자 :</t>
  </si>
  <si>
    <t>ANB-20260219-9</t>
  </si>
  <si>
    <t>문서번호 :</t>
  </si>
  <si>
    <t>㈜  에  이  앤  비</t>
  </si>
  <si>
    <t xml:space="preserve">아파트 6개동 648세대 (해당동 : 6개동) </t>
  </si>
  <si>
    <t>인천 계양구 아나지로 199 (효성동)</t>
  </si>
  <si>
    <t>1994년 12월</t>
  </si>
  <si>
    <t>정기안전점검 용역</t>
  </si>
  <si>
    <t>견  적  금  액</t>
  </si>
  <si>
    <t>별도</t>
  </si>
  <si>
    <t>( 1 + 2 + 3 + 4 )</t>
  </si>
  <si>
    <t>구조형식,용도,경과년수</t>
  </si>
  <si>
    <t xml:space="preserve">  (5) 인쇄비</t>
  </si>
  <si>
    <t xml:space="preserve">  (4) 기계기구손료</t>
  </si>
  <si>
    <t>외업인건비의 10%</t>
  </si>
  <si>
    <t xml:space="preserve">  (3) 위험수당</t>
  </si>
  <si>
    <t>×</t>
  </si>
  <si>
    <t>식</t>
  </si>
  <si>
    <t xml:space="preserve">  (2) 차량운행비</t>
  </si>
  <si>
    <t xml:space="preserve">  (1) 여비 및 현장체재비</t>
  </si>
  <si>
    <t>가. 체재비 및 차량비</t>
  </si>
  <si>
    <t xml:space="preserve"> 4. 직 접  경 비</t>
  </si>
  <si>
    <t>%</t>
  </si>
  <si>
    <t>(직접인건비+제경비)</t>
  </si>
  <si>
    <t xml:space="preserve"> 3. 기   술   료</t>
  </si>
  <si>
    <t>직접인건비의</t>
  </si>
  <si>
    <t xml:space="preserve"> 2. 제   경   비</t>
  </si>
  <si>
    <t>나.내업</t>
  </si>
  <si>
    <t>인</t>
  </si>
  <si>
    <t>가.외업</t>
  </si>
  <si>
    <t>인원</t>
  </si>
  <si>
    <t>단위</t>
  </si>
  <si>
    <t>시설물의 정기안전점검 대가산출 내역서</t>
  </si>
  <si>
    <t>◦좌동</t>
  </si>
  <si>
    <t>∙보고서 작성</t>
  </si>
  <si>
    <t>보고서작성</t>
  </si>
  <si>
    <t>-</t>
  </si>
  <si>
    <r>
      <t>보수</t>
    </r>
    <r>
      <rPr>
        <sz val="11"/>
        <color rgb="FF000000"/>
        <rFont val="돋움"/>
      </rPr>
      <t>·</t>
    </r>
    <r>
      <rPr>
        <sz val="9"/>
        <color rgb="FF000000"/>
        <rFont val="돋움"/>
      </rPr>
      <t>보강 방법</t>
    </r>
  </si>
  <si>
    <t>안전성평가</t>
  </si>
  <si>
    <t>현장조사</t>
  </si>
  <si>
    <t>∙보수․보강이력 검토․분석</t>
  </si>
  <si>
    <r>
      <t>∙기존 안전점검</t>
    </r>
    <r>
      <rPr>
        <sz val="9"/>
        <color rgb="FF000000"/>
        <rFont val="돋움"/>
      </rPr>
      <t>·정밀안전진단 실시결과</t>
    </r>
  </si>
  <si>
    <t>∙시설물관리대장</t>
  </si>
  <si>
    <t>∙준공도면</t>
  </si>
  <si>
    <t>자료수집 및 분석</t>
  </si>
  <si>
    <t>금회 과업 내용</t>
  </si>
  <si>
    <t>지침상 기본과업</t>
  </si>
  <si>
    <t>과업항목</t>
  </si>
  <si>
    <t>시설물의 정기안전점검 과업내용</t>
  </si>
  <si>
    <t>이 계약에 명시되지 아니한 사항은 기획재정부가 회계예규로 정한 기술용역계약 일반조건과 관계법령에 의한다.</t>
  </si>
  <si>
    <r>
      <t>"</t>
    </r>
    <r>
      <rPr>
        <sz val="12"/>
        <color rgb="FF000000"/>
        <rFont val="돋움"/>
      </rPr>
      <t>수주자"는 정기안전점검 수행시 얻은 정보 또는 성과품 및 자료를 계약이행의 전・후를 막론하고 "발주자"의 사전승인 없이 외부에 누설할 수 없다.</t>
    </r>
  </si>
  <si>
    <r>
      <t>"</t>
    </r>
    <r>
      <rPr>
        <sz val="12"/>
        <color rgb="FF000000"/>
        <rFont val="돋움"/>
      </rPr>
      <t>수주자"가 정기안전점검 업무와 관련하여 인・허가 등의 사항이 필요한 경우에는 "발주자"는 정기안전점검 업무수행에 지장이 없도록 협조하여야 한다.</t>
    </r>
  </si>
  <si>
    <r>
      <t xml:space="preserve">③ </t>
    </r>
    <r>
      <rPr>
        <sz val="12"/>
        <color rgb="FF000000"/>
        <rFont val="돋움"/>
      </rPr>
      <t>"발주자"는 정기안전점검을 실시함에 있어서 시설물의 근접조사 및 상세조사가 가능하도록 "수주자"에게 협조하여야 한다.</t>
    </r>
  </si>
  <si>
    <r>
      <t xml:space="preserve">① </t>
    </r>
    <r>
      <rPr>
        <sz val="12"/>
        <color rgb="FF000000"/>
        <rFont val="돋움"/>
      </rPr>
      <t>"발주자"는 "수주자"가 정기안전점검을 공정하게 실시할 수 있도록 제반여건을 조성하여야 한다.</t>
    </r>
  </si>
  <si>
    <r>
      <t xml:space="preserve">① </t>
    </r>
    <r>
      <rPr>
        <sz val="12"/>
        <color rgb="FF000000"/>
        <rFont val="돋움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</si>
  <si>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t>③ "수주자"는 정기안전점검 후 실시 결과를 시설물통합정보시스템(FMS)에 등록 및 보고하여야 한다.</t>
  </si>
  <si>
    <t>② "수주자"는 계약기간 중에도 시설물안전법 제22조 및 동법 시행령 제18조에 따른 중대한 결함이 있을 경우에는 서면으로 "발주자"에게 통보하여야 한다.</t>
  </si>
  <si>
    <r>
      <t xml:space="preserve">③ </t>
    </r>
    <r>
      <rPr>
        <sz val="12"/>
        <color rgb="FF000000"/>
        <rFont val="돋움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내용 등에 대하여 "수주자"에게 미리 통보하여야 한다.</t>
    </r>
  </si>
  <si>
    <r>
      <t xml:space="preserve">② </t>
    </r>
    <r>
      <rPr>
        <sz val="12"/>
        <color rgb="FF000000"/>
        <rFont val="돋움"/>
      </rPr>
      <t>"수주자"는 시설물안전법 제21조의 규정에 의한 안전점검 등에 관한 지침에 의거 정기안전점검을 성실하게 실시하여야 한다.</t>
    </r>
  </si>
  <si>
    <r>
      <t>정기안전점검 대가 지급은 기획재정부가 회계예규로 정한 기술․용역 계약 일반조건 지급 요령에 의한다</t>
    </r>
    <r>
      <rPr>
        <sz val="12"/>
        <color rgb="FF000000"/>
        <rFont val="돋움"/>
      </rPr>
      <t>.</t>
    </r>
  </si>
  <si>
    <t>③ 제3조 제2항에 따라 정기안전점검 업무의 일부 또는 전부의 변경이 불가피한 경우 "발주자"와 "수주자"는 협의하여 변경할 수 있다.</t>
  </si>
  <si>
    <r>
      <t>① 계약금액의 산정은 국토교통부장관이 고시한 안전점검 및 정밀안전진단 대가기준에 의하되</t>
    </r>
    <r>
      <rPr>
        <sz val="12"/>
        <color rgb="FF000000"/>
        <rFont val="돋움"/>
      </rPr>
      <t>, 기본과업은 &lt;붙임 2&gt;와 같다.</t>
    </r>
  </si>
  <si>
    <r>
      <t>② 다만</t>
    </r>
    <r>
      <rPr>
        <sz val="12"/>
        <color rgb="FF000000"/>
        <rFont val="돋움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</si>
  <si>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>① 계약기간은 착수 일로부터   일간으로 한다</t>
    </r>
    <r>
      <rPr>
        <sz val="12"/>
        <color rgb="FF000000"/>
        <rFont val="돋움"/>
      </rPr>
      <t>.</t>
    </r>
  </si>
  <si>
    <t>시설물의 정기안전점검 표준계약조건</t>
  </si>
  <si>
    <t xml:space="preserve"> 서        응       원    (인)</t>
  </si>
  <si>
    <r>
      <rPr>
        <sz val="12"/>
        <color rgb="FF000000"/>
        <rFont val="돋움"/>
      </rPr>
      <t xml:space="preserve">                                          (인)</t>
    </r>
  </si>
  <si>
    <r>
      <t xml:space="preserve">관리소장 </t>
    </r>
    <r>
      <rPr>
        <sz val="12"/>
        <color rgb="FF000000"/>
        <rFont val="돋움"/>
      </rPr>
      <t xml:space="preserve"> : </t>
    </r>
  </si>
  <si>
    <r>
      <t xml:space="preserve">주      소  </t>
    </r>
    <r>
      <rPr>
        <sz val="12"/>
        <color rgb="FF000000"/>
        <rFont val="돋움"/>
      </rPr>
      <t>:</t>
    </r>
  </si>
  <si>
    <r>
      <t xml:space="preserve">3. </t>
    </r>
    <r>
      <rPr>
        <sz val="12"/>
        <color rgb="FF000000"/>
        <rFont val="돋움"/>
      </rPr>
      <t>시설물의 정기안전점검 대가산출 내역서 1부.</t>
    </r>
  </si>
  <si>
    <r>
      <t xml:space="preserve">2. </t>
    </r>
    <r>
      <rPr>
        <sz val="12"/>
        <color rgb="FF000000"/>
        <rFont val="돋움"/>
      </rPr>
      <t>시설물의 정기안전점검 과업내용 1부.</t>
    </r>
  </si>
  <si>
    <t>1. 시설물의 정기안전점검 표준계약조건 1부.</t>
  </si>
  <si>
    <r>
      <rPr>
        <sz val="12"/>
        <color rgb="FF000000"/>
        <rFont val="돋움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</si>
  <si>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t>기 타 사 항</t>
  </si>
  <si>
    <t xml:space="preserve">시설물통합정보시스템(FMS)등록 후 정기안전점검 보고서 1부 </t>
  </si>
  <si>
    <t>보고서 납품</t>
  </si>
  <si>
    <t>위          치</t>
  </si>
  <si>
    <t>계 약  기 간</t>
  </si>
  <si>
    <t>10% 별도</t>
  </si>
  <si>
    <t>부가 가치세</t>
  </si>
  <si>
    <t>공 급 가 액</t>
  </si>
  <si>
    <t>계 약 금 액</t>
  </si>
  <si>
    <t>계 약 건 명</t>
  </si>
  <si>
    <t>계  약  내  용</t>
  </si>
  <si>
    <t>계약상대자</t>
  </si>
  <si>
    <t>계  약  자</t>
  </si>
  <si>
    <t>시설물의 정기안전점검 표준계약서</t>
  </si>
  <si>
    <r>
      <t xml:space="preserve">전화 </t>
    </r>
    <r>
      <rPr>
        <sz val="12"/>
        <color rgb="FF000000"/>
        <rFont val="돋움"/>
      </rPr>
      <t>: 031-283-3328              팩스 :031-284-3328</t>
    </r>
  </si>
  <si>
    <t>㈜ 에이앤비</t>
  </si>
  <si>
    <t>정기안전점검 용역 계약서</t>
  </si>
  <si>
    <t>/</t>
  </si>
  <si>
    <t>전  화 :</t>
  </si>
  <si>
    <t>팩  스 :</t>
  </si>
  <si>
    <t>(직접인건비+제경비) * 10%</t>
  </si>
  <si>
    <t>(우)16910  경기도 용인시 기흥구 마북로 159 한성프라자 207호 (마북동) 전화 : 031-283-3328  팩스 : 031-284-3328</t>
  </si>
  <si>
    <t>정기안전점검보고서 납품(FMS 등록)후 10일 이내 지불조건</t>
  </si>
  <si>
    <t>2026년 상반기</t>
  </si>
  <si>
    <t xml:space="preserve"> 2026  년       월        일</t>
  </si>
  <si>
    <t>(VAT별도)</t>
  </si>
  <si>
    <t>직접인건비 * 10%</t>
  </si>
  <si>
    <t>상기 금액은</t>
  </si>
  <si>
    <r>
      <t xml:space="preserve">① </t>
    </r>
    <r>
      <rPr>
        <sz val="12"/>
        <color rgb="FF000000"/>
        <rFont val="돋움"/>
      </rPr>
      <t>"수주자"는 시설물안전법 제17조 제1항에 따라 "발주자"에게 정기안전점검 실시결과를 통보하여야 한다.</t>
    </r>
  </si>
  <si>
    <r>
      <t xml:space="preserve">② </t>
    </r>
    <r>
      <rPr>
        <sz val="12"/>
        <color rgb="FF000000"/>
        <rFont val="돋움"/>
      </rPr>
      <t>"수주자"는 시설물의 상태평가・안전성평가 등에 있어서 정기안전점검 성과를 일관성 있게 비교평가하기 위하여 "발주자"가 소유하고 있는 진단관련장비(사다리, 줄자) 등의 사용 및 운영관리자의 지원을 요청할 수 있으며 "발주자"는 특별한 사정이 없는 한 이에 협조하여야 한다.</t>
    </r>
  </si>
  <si>
    <r>
      <t>∙주요시설</t>
    </r>
    <r>
      <rPr>
        <sz val="9"/>
        <color rgb="FF000000"/>
        <rFont val="돋움"/>
      </rPr>
      <t>, 일반시설, 부대시설 각각의 평가항목에 대한 외관조사</t>
    </r>
  </si>
  <si>
    <t>∙ 콘크리트 구조물 : 균열, 누수, 박리, 박락, 층분리, 백태, 철근노출 등</t>
  </si>
  <si>
    <t>∙외관조사 결과 분석</t>
  </si>
  <si>
    <r>
      <t>∙</t>
    </r>
    <r>
      <rPr>
        <sz val="9"/>
        <color rgb="FF000000"/>
        <rFont val="돋움"/>
      </rPr>
      <t>강재 구조물 : 균열, 도장상태, 부식상태 등</t>
    </r>
  </si>
  <si>
    <t xml:space="preserve"> 5. 조   정   비</t>
  </si>
  <si>
    <t xml:space="preserve"> 6. 합 계 금 액</t>
  </si>
  <si>
    <t xml:space="preserve"> 1. 직 접 인 건 비</t>
  </si>
  <si>
    <t>※ 첨    부 :  1. 견적서   1부   끝.</t>
  </si>
  <si>
    <r>
      <t>이 계약은 "발주자"가 관리하고 있는 시설물에 대하여 "수주자"는 정기안전점검을 실시하여 구조적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기능적 결함을 발견하고, 그에 대한 신속하고 적절한 조치를 취하기 위하여 구조적 안전성 및 결함의 원인 등을 조사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측정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평가하고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등의 방법을 제시함으로써 재해 및 재난을 예방하고 시설물의 효용증진과 공공의 안전을 확보하는데 그 목적이 있다.</t>
    </r>
  </si>
  <si>
    <t>1.천재지변, 전쟁, 기타 불가항력의 사유로 인하여 정기안전점검 업무의 수행이 불가능한 때</t>
  </si>
  <si>
    <t>2."발주자" 와"수주자"가 정기안전점검 업무가 필요치 않다고 협의되었을 때</t>
  </si>
  <si>
    <t>3."발주자"가 제10조의 의무를 기피하여 "수주자"의 정상적인 진단이 곤란할 때</t>
  </si>
  <si>
    <t>4."수주자"가 정당한 이유 없이 제3조에 정한 기간 내에 과업을 수행할 수 없음이 명백할 때</t>
  </si>
  <si>
    <t>●   상호 또는 법인명 : (주)에이앤비</t>
  </si>
  <si>
    <t>●   사업자등록번호 : 863-87-00907</t>
  </si>
  <si>
    <t>●   주 소 : 경기도 용인시 기흥구 마북로 159 한성프라자 207호</t>
  </si>
  <si>
    <t>●   전화번호 : 031-283-3328 팩스번호 : 031-284-3328</t>
  </si>
  <si>
    <t>●   대 표 자 : 서 응 원</t>
  </si>
  <si>
    <t>제1조(목적)</t>
  </si>
  <si>
    <t>제2조(점검의 범위) 정기안전점검의 범위는 다음과 같다.</t>
  </si>
  <si>
    <t>제3조(계약기간)</t>
  </si>
  <si>
    <t>제4조(계약금액의 산정 및 변경)</t>
  </si>
  <si>
    <t xml:space="preserve">제5조(대가의 지급 등) </t>
  </si>
  <si>
    <t>제6조(실시자의 의무)</t>
  </si>
  <si>
    <t>제7조(실시결과의 통보)</t>
  </si>
  <si>
    <t>제8조(설계도서 등의 열람교부 등)</t>
  </si>
  <si>
    <t>제9조(관리주체의 의무)</t>
  </si>
  <si>
    <r>
      <t>제10조(인</t>
    </r>
    <r>
      <rPr>
        <b/>
        <sz val="14"/>
        <color rgb="FF000000"/>
        <rFont val="MS Gothic"/>
      </rPr>
      <t>・</t>
    </r>
    <r>
      <rPr>
        <b/>
        <sz val="14"/>
        <color rgb="FF000000"/>
        <rFont val="돋움"/>
      </rPr>
      <t>허가 사항 등)</t>
    </r>
  </si>
  <si>
    <t>제11조(계약의 해제 및 해지)</t>
  </si>
  <si>
    <t>제12조(보안사항)</t>
  </si>
  <si>
    <t>제13조(기타사항)</t>
  </si>
  <si>
    <t>사업자등록번호 : 863-87-00907</t>
  </si>
  <si>
    <t>031-283-3328 / 031-284-3328</t>
  </si>
  <si>
    <t>031-284-3328</t>
  </si>
  <si>
    <t>031-283-3328</t>
  </si>
  <si>
    <t>가. 시설물의 안전 및 유지관리에 관한 특별법 제11조에 의거한 건축물 정기안전점검</t>
  </si>
  <si>
    <t>나. 정기안전점검 보고서 제출 및 FMS등록</t>
  </si>
  <si>
    <t xml:space="preserve">2026   .     .     .   ~   2026 .     .     . </t>
  </si>
  <si>
    <t xml:space="preserve">나. 점 검 범 위  : </t>
  </si>
  <si>
    <t xml:space="preserve">다. 소  재  지   : </t>
  </si>
  <si>
    <t xml:space="preserve">라. 준  공  일   : </t>
  </si>
  <si>
    <t>마. 전화 / 팩스  :</t>
  </si>
  <si>
    <t>가. 외업</t>
  </si>
  <si>
    <t>나. 내업</t>
  </si>
  <si>
    <t>∙시설물 전체의 상태평가 결과에 대한 책임기술자의 소견 (안전등급 지정)</t>
  </si>
  <si>
    <t>효성뉴서울5차아파트</t>
  </si>
  <si>
    <t>③ 용      도 : 공동주택</t>
  </si>
  <si>
    <t>제8조 및 동법 제12조의 규정에 따라</t>
  </si>
  <si>
    <t>「시설물의 안전 및 유지관리에 관한 특별법」(이하 “시설물안전법”이라 한다) 제11조, 시행령</t>
  </si>
  <si>
    <r>
      <t>정기안전점검의 실시자인</t>
    </r>
    <r>
      <rPr>
        <b/>
        <sz val="12"/>
        <color rgb="FF000000"/>
        <rFont val="돋움"/>
      </rPr>
      <t xml:space="preserve"> ㈜에이앤비</t>
    </r>
    <r>
      <rPr>
        <sz val="12"/>
        <color rgb="FF000000"/>
        <rFont val="돋움"/>
      </rPr>
      <t>(이하 "수주자"라 한다)는 다음과 같이 계약을 체결한다.</t>
    </r>
  </si>
  <si>
    <t>(이하 "발주자"라 한다)와</t>
  </si>
  <si>
    <t>경기도 용인시 기흥구 마북로 159,
한성프라자 207호(마북동)</t>
  </si>
  <si>
    <r>
      <t xml:space="preserve">상태평가
</t>
    </r>
    <r>
      <rPr>
        <sz val="8"/>
        <color rgb="FF000000"/>
        <rFont val="돋움"/>
      </rPr>
      <t>&lt;제3종 시설물에 한해 실시&gt;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</si>
  <si>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1. 귀 아파트(사)의 무궁한 발전을 기원합니다.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</si>
  <si>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2. 당 사는 경기도 용인시 기흥구 마북로 159, 한성프라자 207호에 위치한 업체로 시설물 안전진단(구조 안전진단), 안전점검(정밀, 정기), 건축물 하자 조사(점검), 장기수선계획 조정(검토 포함), 시설물 유지보수(도장, 방수공사 등), 기술자문및 감리 등을 주 업무로 하는 ㈜에이앤비입니다.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</si>
  <si>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3. 귀 아파트(사)에서 의뢰하신 정기안전점검건에 대한 견적서를 제출하오니 업무에 참고하시기 바랍니다.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</si>
  <si>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4. 시설물 개요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</si>
  <si>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5. 용역의 범위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</si>
  <si>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7. 지  불  조  건    :</t>
    </r>
  </si>
  <si>
    <r>
      <t xml:space="preserve"> </t>
    </r>
    <r>
      <rPr>
        <b/>
        <sz val="12"/>
        <color rgb="FF000000"/>
        <rFont val="바탕체"/>
      </rPr>
      <t xml:space="preserve">         </t>
    </r>
    <r>
      <rPr>
        <b/>
        <sz val="10"/>
        <color rgb="FF000000"/>
        <rFont val="바탕체"/>
      </rPr>
      <t xml:space="preserve"> </t>
    </r>
    <r>
      <rPr>
        <b/>
        <sz val="14"/>
        <color rgb="FF000000"/>
        <rFont val="바탕체"/>
      </rPr>
      <t>6. 용  역  비  :</t>
    </r>
  </si>
  <si>
    <t xml:space="preserve">가. 단  지  명   : </t>
  </si>
  <si>
    <t>壹</t>
  </si>
  <si>
    <t>貳</t>
  </si>
  <si>
    <t>參</t>
  </si>
  <si>
    <t>四</t>
  </si>
  <si>
    <t>五</t>
  </si>
  <si>
    <t>六</t>
  </si>
  <si>
    <t>七</t>
  </si>
  <si>
    <t>八</t>
  </si>
  <si>
    <t>九</t>
  </si>
  <si>
    <t xml:space="preserve">나. 소  재  지   : </t>
  </si>
  <si>
    <t xml:space="preserve">다. 점 검 범 위  : </t>
  </si>
  <si>
    <t>「시설물의 안전 및 유지관리에 관한 특별법」(이하 “시설물안전법”이라 한다) 제11조, 제12조 및</t>
  </si>
  <si>
    <t>동법 시행령 제8조에 따라</t>
  </si>
</sst>
</file>

<file path=xl/styles.xml><?xml version="1.0" encoding="utf-8"?>
<styleSheet xmlns="http://schemas.openxmlformats.org/spreadsheetml/2006/main">
  <numFmts count="70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#,##0_ "/>
    <numFmt numFmtId="179" formatCode="0.000"/>
    <numFmt numFmtId="180" formatCode="0.0"/>
    <numFmt numFmtId="181" formatCode="&quot;일금&quot;\ [$-412]General&quot;원&quot;&quot;정&quot;"/>
    <numFmt numFmtId="182" formatCode="&quot;₩&quot;#,##0"/>
    <numFmt numFmtId="183" formatCode="\ "/>
    <numFmt numFmtId="184" formatCode="mm&quot;월&quot;\ dd&quot;일&quot;"/>
    <numFmt numFmtId="185" formatCode="_-* #,##0.0_-;\-* #,##0.0_-;_-* &quot;-&quot;??_-;_-@_-"/>
    <numFmt numFmtId="186" formatCode="_-* #,##0_-;\-* #,##0_-;_-* &quot;-&quot;??_-;_-@_-"/>
    <numFmt numFmtId="187" formatCode="_-&quot;$&quot;* #,##0.00_-;\-&quot;$&quot;* #,##0.00_-;_-&quot;$&quot;* &quot;-&quot;??_-;_-@_-"/>
    <numFmt numFmtId="188" formatCode="_-&quot;$&quot;* #,##0_-;\-&quot;$&quot;* #,##0_-;_-&quot;$&quot;* &quot;-&quot;_-;_-@_-"/>
    <numFmt numFmtId="189" formatCode="_ * #,##0_ ;_ * \-#,##0_ ;_ * &quot;-&quot;_ ;_ @_ 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0.0000"/>
    <numFmt numFmtId="195" formatCode="#,##0,"/>
    <numFmt numFmtId="196" formatCode="#,##0.00;[Red]#,##0.00;&quot; &quot;"/>
    <numFmt numFmtId="197" formatCode="_ &quot;₩&quot;* #,##0_ ;_ &quot;₩&quot;* \-#,##0_ ;_ &quot;₩&quot;* &quot;-&quot;_ ;_ @_ "/>
    <numFmt numFmtId="198" formatCode="_ &quot;₩&quot;* #,##0.00_ ;_ &quot;₩&quot;* \-#,##0.00_ ;_ &quot;₩&quot;* &quot;-&quot;??_ ;_ @_ "/>
    <numFmt numFmtId="199" formatCode="_ * #,##0.00_ ;_ * \-#,##0.00_ ;_ * &quot;-&quot;??_ ;_ @_ "/>
    <numFmt numFmtId="200" formatCode="\$#,##0;\(\$#,##0\)"/>
    <numFmt numFmtId="201" formatCode="0.00&quot;  &quot;"/>
    <numFmt numFmtId="202" formatCode="0,###,###"/>
    <numFmt numFmtId="203" formatCode="0.##"/>
    <numFmt numFmtId="204" formatCode="#,##0\ &quot;Esc.&quot;;[Red]\-#,##0\ &quot;Esc.&quot;"/>
    <numFmt numFmtId="205" formatCode="#,##0.00&quot; F&quot;_);\(#,##0.00&quot; F&quot;\)"/>
    <numFmt numFmtId="206" formatCode="#,##0.000\ &quot;EA &quot;"/>
    <numFmt numFmtId="207" formatCode="###"/>
    <numFmt numFmtId="208" formatCode="##"/>
    <numFmt numFmtId="209" formatCode="#,##0.0_);\(#,##0.0\)"/>
    <numFmt numFmtId="210" formatCode="#,##0.000\ &quot;㎏ &quot;"/>
    <numFmt numFmtId="211" formatCode="#,##0.000\ &quot;m  &quot;"/>
    <numFmt numFmtId="212" formatCode="#,##0.000\ &quot;㎡ &quot;"/>
    <numFmt numFmtId="213" formatCode="#,##0.000\ &quot;㎥ &quot;"/>
    <numFmt numFmtId="214" formatCode="&quot;$&quot;#,##0.0_);\(&quot;$&quot;#,##0.0\)"/>
    <numFmt numFmtId="215" formatCode="&quot;$&quot;#,##0;\-&quot;$&quot;#,##0"/>
    <numFmt numFmtId="216" formatCode="0.00_);[Red]\(0.00\)"/>
    <numFmt numFmtId="217" formatCode="_-* #,##0\ &quot;DM&quot;_-;\-* #,##0\ &quot;DM&quot;_-;_-* &quot;-&quot;\ &quot;DM&quot;_-;_-@_-"/>
    <numFmt numFmtId="218" formatCode="_-* #,##0.00\ &quot;DM&quot;_-;\-* #,##0.00\ &quot;DM&quot;_-;_-* &quot;-&quot;??\ &quot;DM&quot;_-;_-@_-"/>
    <numFmt numFmtId="219" formatCode="&quot;₩&quot;#,##0;&quot;₩&quot;&quot;₩&quot;&quot;₩&quot;&quot;₩&quot;\-#,##0"/>
    <numFmt numFmtId="220" formatCode="#,##0;[Red]&quot;△&quot;#,##0"/>
    <numFmt numFmtId="221" formatCode="#."/>
    <numFmt numFmtId="222" formatCode="_(&quot;RM&quot;* #,##0.00_);_(&quot;RM&quot;* \(#,##0.00\);_(&quot;RM&quot;* &quot;-&quot;??_);_(@_)"/>
    <numFmt numFmtId="223" formatCode="&quot;US$&quot;#,##0_);\(&quot;US$&quot;#,##0\)"/>
    <numFmt numFmtId="224" formatCode="0_);\(0\)"/>
    <numFmt numFmtId="225" formatCode="0.0%"/>
    <numFmt numFmtId="226" formatCode="?/?#"/>
    <numFmt numFmtId="227" formatCode="_-* #,##0;\-* #,##0;_-* &quot;-&quot;;_-@"/>
    <numFmt numFmtId="228" formatCode="#,##0;[Red]&quot;-&quot;#,##0"/>
    <numFmt numFmtId="229" formatCode="&quot;  &quot;@"/>
    <numFmt numFmtId="230" formatCode="&quot;₩&quot;#,##0;[Red]&quot;₩&quot;&quot;₩&quot;&quot;₩&quot;&quot;₩&quot;\-#,##0"/>
    <numFmt numFmtId="231" formatCode="&quot;US$&quot;#,##0_);[Red]\(&quot;US$&quot;#,##0\)"/>
    <numFmt numFmtId="232" formatCode="_-* #,##0_-;&quot;₩&quot;\!\-* #,##0_-;_-* &quot;-&quot;_-;_-@_-"/>
    <numFmt numFmtId="233" formatCode="&quot;₩&quot;#\!\,##0;[Red]&quot;₩&quot;&quot;₩&quot;\!\-#\!\,##0"/>
    <numFmt numFmtId="234" formatCode="#,##0&quot; &quot;;[Red]&quot;△&quot;#,##0&quot; &quot;"/>
    <numFmt numFmtId="235" formatCode="* #,##0&quot; &quot;;[Red]* &quot;△&quot;#,##0&quot; &quot;;* @"/>
    <numFmt numFmtId="236" formatCode="_-* #,##0.000_-;\-* #,##0.000_-;_-* &quot;-&quot;_-;_-@_-"/>
    <numFmt numFmtId="237" formatCode="#,##0.####;[Red]&quot;△&quot;#,##0.####"/>
    <numFmt numFmtId="238" formatCode="#,##0.00##;[Red]&quot;△&quot;#,##0.00##"/>
    <numFmt numFmtId="239" formatCode="_-* #,##0.00_-;&quot;₩&quot;&quot;₩&quot;\-* #,##0.00_-;_-* &quot;-&quot;??_-;_-@_-"/>
    <numFmt numFmtId="240" formatCode="_-&quot;₩&quot;* #,##0.00_-;&quot;₩&quot;&quot;₩&quot;\-&quot;₩&quot;* #,##0.00_-;_-&quot;₩&quot;* &quot;-&quot;??_-;_-@_-"/>
    <numFmt numFmtId="241" formatCode="&quot;₩&quot;#,##0.00;&quot;₩&quot;&quot;₩&quot;&quot;₩&quot;&quot;₩&quot;\-#,##0.00"/>
    <numFmt numFmtId="242" formatCode="@\ &quot;정&quot;&quot;기&quot;&quot;안&quot;&quot;전&quot;&quot;점&quot;&quot;검&quot;&quot;(상반기)&quot;\ &quot;용&quot;&quot;역&quot;"/>
    <numFmt numFmtId="243" formatCode="0_);[Red]\(0\)"/>
    <numFmt numFmtId="244" formatCode="yyyy&quot;년&quot;\ m&quot;월&quot;\ d&quot;일&quot;;@"/>
  </numFmts>
  <fonts count="152">
    <font>
      <sz val="11.0"/>
      <name val="돋움"/>
      <color rgb="FF000000"/>
    </font>
    <font>
      <sz val="8.0"/>
      <name val="돋움"/>
      <color rgb="FF000000"/>
    </font>
    <font>
      <sz val="11.0"/>
      <name val="굴림"/>
      <color rgb="FF000000"/>
    </font>
    <font>
      <sz val="10.0"/>
      <name val="굴림"/>
      <color rgb="FF000000"/>
    </font>
    <font>
      <sz val="12.0"/>
      <name val="돋움"/>
      <color rgb="FF000000"/>
    </font>
    <font>
      <sz val="10.0"/>
      <name val="굴림체"/>
      <color rgb="FF000000"/>
    </font>
    <font>
      <sz val="12.0"/>
      <name val="바탕체"/>
      <color rgb="FF000000"/>
    </font>
    <font>
      <sz val="10.0"/>
      <name val="MS Sans Serif"/>
      <color rgb="FF000000"/>
    </font>
    <font>
      <sz val="12.0"/>
      <name val="돋움체"/>
      <color rgb="FF000000"/>
    </font>
    <font>
      <sz val="12.0"/>
      <name val="굴림체"/>
      <color rgb="FF000000"/>
    </font>
    <font>
      <i/>
      <sz val="12.0"/>
      <name val="굴림체"/>
      <color rgb="FF000000"/>
    </font>
    <font>
      <sz val="10.0"/>
      <name val="Arial"/>
      <color rgb="FF000000"/>
    </font>
    <font>
      <sz val="10.0"/>
      <name val="Times New Roman"/>
      <color rgb="FF000000"/>
    </font>
    <font>
      <sz val="10.0"/>
      <name val="Helv"/>
      <color rgb="FF000000"/>
    </font>
    <font>
      <sz val="12.0"/>
      <name val="Times New Roman"/>
      <color rgb="FF000000"/>
    </font>
    <font>
      <sz val="11.0"/>
      <name val="바탕체"/>
      <color rgb="FF000000"/>
    </font>
    <font>
      <sz val="10.0"/>
      <name val="Courier New"/>
      <color rgb="FF000000"/>
    </font>
    <font>
      <sz val="11.0"/>
      <name val="굴림체"/>
      <color rgb="FF000000"/>
    </font>
    <font>
      <sz val="12.0"/>
      <name val="견명조"/>
      <color rgb="FF000000"/>
    </font>
    <font>
      <sz val="10.0"/>
      <name val="돋움체"/>
      <color rgb="FF000000"/>
    </font>
    <font>
      <sz val="12.0"/>
      <name val="ⓒoUAAA¨u"/>
      <color rgb="FF000000"/>
    </font>
    <font>
      <sz val="12.0"/>
      <name val="¹UAAA¼"/>
      <color rgb="FF000000"/>
    </font>
    <font>
      <sz val="12.0"/>
      <name val="¹ÙÅÁÃ¼"/>
      <color rgb="FF000000"/>
    </font>
    <font>
      <sz val="12.0"/>
      <name val="±¼¸²A¼"/>
      <color rgb="FF000000"/>
    </font>
    <font>
      <sz val="8.0"/>
      <name val="Times New Roman"/>
      <color rgb="FF000000"/>
    </font>
    <font>
      <sz val="10.0"/>
      <name val="μ¸¿o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u/>
      <sz val="10.0"/>
      <name val="Arial"/>
      <color rgb="FF0000FF"/>
    </font>
    <font>
      <sz val="10.0"/>
      <name val="MS Serif"/>
      <color rgb="FF000000"/>
    </font>
    <font>
      <sz val="10.0"/>
      <name val="Courier"/>
      <color rgb="FF000000"/>
    </font>
    <font>
      <sz val="1.0"/>
      <name val="Courier"/>
      <color rgb="FF000000"/>
    </font>
    <font>
      <sz val="10.0"/>
      <name val="바탕체"/>
      <color rgb="FF000000"/>
    </font>
    <font>
      <sz val="10.0"/>
      <name val="MS Serif"/>
      <color rgb="FF800000"/>
    </font>
    <font>
      <i/>
      <sz val="1.0"/>
      <name val="Courier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.0"/>
      <name val="Courier"/>
      <color rgb="FF000000"/>
    </font>
    <font>
      <sz val="12.0"/>
      <name val="Helv"/>
      <color rgb="FF000000"/>
    </font>
    <font>
      <sz val="12.0"/>
      <name val="Helv"/>
      <color rgb="FFFFFFFF"/>
    </font>
    <font>
      <b/>
      <sz val="11.0"/>
      <name val="Helv"/>
      <color rgb="FF000000"/>
    </font>
    <font>
      <sz val="12.0"/>
      <name val="宋体"/>
      <color rgb="FF000000"/>
    </font>
    <font>
      <sz val="7.0"/>
      <name val="Small Fonts"/>
      <color rgb="FF000000"/>
    </font>
    <font>
      <sz val="10.0"/>
      <name val="Tms Rmn"/>
      <color rgb="FF000000"/>
    </font>
    <font>
      <sz val="8.0"/>
      <name val="Helv"/>
      <color rgb="FF000000"/>
    </font>
    <font>
      <b/>
      <sz val="8.0"/>
      <name val="Times New Roman"/>
      <color rgb="FF000000"/>
    </font>
    <font>
      <b/>
      <sz val="8.0"/>
      <name val="Helv"/>
      <color rgb="FF000000"/>
    </font>
    <font>
      <b/>
      <i/>
      <sz val="18.0"/>
      <name val="돋움체"/>
      <color rgb="FF0000FF"/>
    </font>
    <font>
      <b/>
      <u/>
      <sz val="13.0"/>
      <name val="굴림체"/>
      <color rgb="FF000000"/>
    </font>
    <font>
      <sz val="8.0"/>
      <name val="바탕체"/>
      <color rgb="FF000000"/>
    </font>
    <font>
      <u/>
      <sz val="10.0"/>
      <name val="Arial"/>
      <color rgb="FF800080"/>
    </font>
    <font>
      <sz val="12.0"/>
      <name val="명조"/>
      <color rgb="FF000000"/>
    </font>
    <font>
      <b/>
      <sz val="11.0"/>
      <name val="돋움"/>
      <color rgb="FF000000"/>
    </font>
    <font>
      <u/>
      <sz val="10.0"/>
      <name val="MS Sans Serif"/>
      <color rgb="FFFF00FF"/>
    </font>
    <font>
      <sz val="9.0"/>
      <name val="돋움체"/>
      <color rgb="FF000000"/>
    </font>
    <font>
      <sz val="11.0"/>
      <name val="돋움체"/>
      <color rgb="FF000000"/>
    </font>
    <font>
      <sz val="9.0"/>
      <name val="MS Sans Serif"/>
      <color rgb="FF000000"/>
    </font>
    <font>
      <sz val="12.0"/>
      <name val="뼻뮝"/>
      <color rgb="FF000000"/>
    </font>
    <font>
      <sz val="10.0"/>
      <name val="돋움체"/>
      <color rgb="FFFF0000"/>
    </font>
    <font>
      <sz val="10.0"/>
      <name val="바탕"/>
      <color rgb="FF000000"/>
    </font>
    <font>
      <sz val="10.0"/>
      <name val="돋움"/>
      <color rgb="FF000000"/>
    </font>
    <font>
      <b/>
      <sz val="12.0"/>
      <name val="굴림체"/>
      <color rgb="FF800000"/>
    </font>
    <font>
      <sz val="10.0"/>
      <name val="명조"/>
      <color rgb="FF000000"/>
    </font>
    <font>
      <sz val="10.0"/>
      <name val="궁서(English)"/>
      <color rgb="FF000000"/>
    </font>
    <font>
      <sz val="10.0"/>
      <name val="굴림체"/>
      <color rgb="FF0000FF"/>
    </font>
    <font>
      <sz val="12.0"/>
      <name val="견고딕"/>
      <color rgb="FF000000"/>
    </font>
    <font>
      <sz val="18.0"/>
      <name val="돋움체"/>
      <color rgb="FF000000"/>
    </font>
    <font>
      <sz val="17.0"/>
      <name val="바탕체"/>
      <color rgb="FF000000"/>
    </font>
    <font>
      <b/>
      <sz val="14.0"/>
      <name val="돋움"/>
      <color rgb="FF000000"/>
    </font>
    <font>
      <sz val="11.0"/>
      <name val="한컴 솔잎 B"/>
      <color rgb="FF000000"/>
    </font>
    <font>
      <sz val="14.0"/>
      <name val="한컴 솔잎 B"/>
      <color rgb="FF000000"/>
    </font>
    <font>
      <sz val="12.0"/>
      <name val="한컴 솔잎 B"/>
      <color rgb="FF000000"/>
    </font>
    <font>
      <sz val="13.0"/>
      <name val="한컴 솔잎 B"/>
      <color rgb="FF000000"/>
    </font>
    <font>
      <sz val="10.0"/>
      <name val="한컴 솔잎 B"/>
      <color rgb="FF000000"/>
    </font>
    <font>
      <sz val="9.0"/>
      <name val="한컴 솔잎 B"/>
      <color rgb="FF000000"/>
    </font>
    <font>
      <sz val="16.0"/>
      <name val="한컴 솔잎 B"/>
      <color rgb="FF000000"/>
    </font>
    <font>
      <sz val="22.0"/>
      <name val="한컴 솔잎 B"/>
      <color rgb="FF000000"/>
    </font>
    <font>
      <sz val="13.0"/>
      <name val="굴림"/>
      <color rgb="FF000000"/>
    </font>
    <font>
      <sz val="8.0"/>
      <name val="한컴 솔잎 B"/>
      <color rgb="FF000000"/>
    </font>
    <font>
      <sz val="20.0"/>
      <name val="한컴 솔잎 B"/>
      <color rgb="FF000000"/>
    </font>
    <font>
      <b/>
      <sz val="11.0"/>
      <name val="한컴 솔잎 B"/>
      <color rgb="FF000000"/>
    </font>
    <font>
      <sz val="26.0"/>
      <name val="한컴 솔잎 B"/>
      <color rgb="FF000000"/>
    </font>
    <font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b/>
      <sz val="36.0"/>
      <name val="돋움"/>
      <color rgb="FF000000"/>
    </font>
    <font>
      <b/>
      <sz val="12.0"/>
      <name val="돋움"/>
      <color rgb="FF000000"/>
    </font>
    <font>
      <sz val="13.0"/>
      <name val="돋움"/>
      <color rgb="FF000000"/>
    </font>
    <font>
      <sz val="12.0"/>
      <name val="MS Gothic"/>
      <color rgb="FF000000"/>
    </font>
    <font>
      <sz val="14.0"/>
      <name val="돋움"/>
      <color rgb="FF000000"/>
    </font>
    <font>
      <b/>
      <sz val="28.0"/>
      <name val="바탕체"/>
      <color rgb="FF000000"/>
    </font>
    <font>
      <b/>
      <sz val="20.0"/>
      <name val="돋움"/>
      <color rgb="FF000000"/>
    </font>
    <font>
      <sz val="9.0"/>
      <name val="돋움"/>
      <color rgb="FF000000"/>
    </font>
    <font>
      <sz val="11.5"/>
      <name val="돋움"/>
      <color rgb="FF000000"/>
    </font>
    <font>
      <b/>
      <u/>
      <sz val="20.0"/>
      <name val="돋움"/>
      <color rgb="FF000000"/>
    </font>
    <font>
      <b/>
      <sz val="17.0"/>
      <name val="돋움"/>
      <color rgb="FF000000"/>
    </font>
    <font>
      <b/>
      <sz val="18.0"/>
      <name val="돋움"/>
      <color rgb="FF000000"/>
    </font>
    <font>
      <b/>
      <sz val="33.0"/>
      <name val="돋움"/>
      <color rgb="FF000000"/>
    </font>
    <font>
      <sz val="2.0"/>
      <name val="돋움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2.0"/>
      <name val="돋움"/>
      <color theme="1"/>
    </font>
    <font>
      <b/>
      <sz val="18.0"/>
      <name val="돋움"/>
      <color theme="1"/>
    </font>
    <font>
      <b/>
      <sz val="30.0"/>
      <name val="바탕체"/>
      <color rgb="FF000000"/>
    </font>
    <font>
      <sz val="9.0"/>
      <name val="바탕체"/>
      <color rgb="FF000000"/>
    </font>
    <font>
      <b/>
      <sz val="12.0"/>
      <name val="바탕체"/>
      <color rgb="FF000000"/>
    </font>
    <font>
      <sz val="12.0"/>
      <name val="바탕체"/>
      <color theme="1"/>
    </font>
    <font>
      <b/>
      <sz val="32.0"/>
      <name val="바탕체"/>
      <color rgb="FF000000"/>
    </font>
    <font>
      <b/>
      <sz val="14.0"/>
      <name val="MS Gothic"/>
      <color rgb="FF000000"/>
    </font>
    <font>
      <b/>
      <sz val="14.0"/>
      <name val="바탕체"/>
      <color rgb="FF000000"/>
    </font>
    <font>
      <sz val="11.0"/>
      <name val="돋움"/>
      <color theme="1"/>
    </font>
    <font>
      <b/>
      <sz val="11.0"/>
      <name val="돋움"/>
      <color theme="1"/>
    </font>
    <font>
      <b/>
      <sz val="12.0"/>
      <name val="돋움"/>
      <color theme="1"/>
    </font>
    <font>
      <b/>
      <sz val="10.0"/>
      <name val="바탕체"/>
      <color rgb="FF000000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i/>
      <sz val="11.0"/>
      <name val="돋움"/>
      <color rgb="FF7F7F7F"/>
    </font>
    <font>
      <b/>
      <sz val="24.0"/>
      <name val="바탕"/>
      <color rgb="FF000000"/>
    </font>
    <font>
      <sz val="10.0"/>
      <name val="맑은 고딕"/>
      <color rgb="FF000000"/>
    </font>
    <font>
      <b/>
      <sz val="12.0"/>
      <name val="맑은 고딕"/>
      <color rgb="FF000000"/>
    </font>
    <font>
      <sz val="12.0"/>
      <name val="맑은 고딕"/>
      <color theme="1"/>
    </font>
    <font>
      <sz val="12.0"/>
      <name val="맑은 고딕"/>
      <color rgb="FF000000"/>
    </font>
    <font>
      <sz val="16.0"/>
      <name val="돋움"/>
      <color rgb="FF000000"/>
    </font>
    <font>
      <sz val="11.0"/>
      <name val="맑은 고딕"/>
      <color theme="1"/>
    </font>
    <font>
      <b/>
      <sz val="14.0"/>
      <name val="맑은 고딕"/>
      <color rgb="FF000000"/>
    </font>
    <font>
      <b/>
      <sz val="11.0"/>
      <name val="맑은 고딕"/>
      <color rgb="FF000000"/>
    </font>
    <font>
      <b/>
      <sz val="11.0"/>
      <name val="맑은 고딕"/>
      <color theme="1"/>
    </font>
    <font>
      <sz val="11.0"/>
      <name val="맑은 고딕"/>
      <color rgb="FF000000"/>
    </font>
    <font>
      <sz val="13.0"/>
      <name val="맑은 고딕"/>
      <color rgb="FF000000"/>
    </font>
    <font>
      <b/>
      <u/>
      <sz val="20.0"/>
      <name val="맑은 고딕"/>
      <color rgb="FF000000"/>
    </font>
    <font>
      <b/>
      <sz val="12.0"/>
      <name val="맑은 고딕"/>
      <color theme="1"/>
    </font>
    <font>
      <sz val="16.0"/>
      <name val="돋움"/>
      <color rgb="FF000000"/>
    </font>
    <font>
      <sz val="10.0"/>
      <name val="돋움"/>
      <color rgb="FF000000"/>
    </font>
    <font>
      <sz val="11.0"/>
      <name val="돋움"/>
      <color rgb="FF000000"/>
    </font>
    <font>
      <b/>
      <sz val="24.0"/>
      <name val="바탕"/>
      <color rgb="FF000000"/>
    </font>
    <font>
      <b/>
      <sz val="20.0"/>
      <name val="맑은 고딕"/>
      <color rgb="FF000000"/>
    </font>
    <font>
      <sz val="9.0"/>
      <name val="맑은 고딕"/>
      <color rgb="FF000000"/>
    </font>
    <font>
      <sz val="8.0"/>
      <name val="맑은 고딕"/>
      <color rgb="FF000000"/>
    </font>
    <font>
      <sz val="14.0"/>
      <name val="맑은 고딕"/>
      <color rgb="FF000000"/>
    </font>
    <font>
      <sz val="16.0"/>
      <name val="맑은 고딕"/>
      <color rgb="FF000000"/>
    </font>
  </fonts>
  <fills count="42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theme="4" tint="0.79995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 style="double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/>
      <top style="dotted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3161">
    <xf numFmtId="0" fontId="0" fillId="0" borderId="0">
      <alignment vertical="center"/>
    </xf>
    <xf numFmtId="0" fontId="6" fillId="0" borderId="0">
      <alignment vertical="center"/>
      <protection locked="0"/>
    </xf>
    <xf numFmtId="183" fontId="6" fillId="0" borderId="0" applyBorder="0" applyFill="0" applyProtection="0">
      <alignment vertical="center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7" fillId="0" borderId="1">
      <alignment horizontal="center" vertical="center"/>
    </xf>
    <xf numFmtId="3" fontId="8" fillId="0" borderId="2">
      <alignment vertical="center"/>
    </xf>
    <xf numFmtId="180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4" fillId="0" borderId="0">
      <alignment vertical="center"/>
    </xf>
    <xf numFmtId="184" fontId="0" fillId="0" borderId="0" applyBorder="0" applyFill="0" applyFont="0" applyProtection="0">
      <alignment vertical="center"/>
    </xf>
    <xf numFmtId="185" fontId="0" fillId="0" borderId="0">
      <alignment vertical="center"/>
    </xf>
    <xf numFmtId="186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7" fontId="11" fillId="0" borderId="0" applyAlignment="0" applyBorder="0" applyFill="0" applyFont="0" applyProtection="0">
      <alignment vertical="center"/>
    </xf>
    <xf numFmtId="188" fontId="11" fillId="0" borderId="0" applyAlignment="0" applyBorder="0" applyFill="0" applyFont="0" applyProtection="0">
      <alignment vertical="center"/>
    </xf>
    <xf numFmtId="0" fontId="7" fillId="0" borderId="0">
      <alignment vertical="center"/>
    </xf>
    <xf numFmtId="189" fontId="15" fillId="0" borderId="2">
      <alignment vertical="center"/>
    </xf>
    <xf numFmtId="3" fontId="8" fillId="0" borderId="2">
      <alignment vertical="center"/>
    </xf>
    <xf numFmtId="3" fontId="8" fillId="0" borderId="2">
      <alignment vertical="center"/>
    </xf>
    <xf numFmtId="190" fontId="6" fillId="0" borderId="0">
      <alignment vertical="center"/>
    </xf>
    <xf numFmtId="191" fontId="4" fillId="0" borderId="0">
      <alignment vertical="center"/>
    </xf>
    <xf numFmtId="3" fontId="16" fillId="0" borderId="3">
      <alignment horizontal="right" vertical="center"/>
    </xf>
    <xf numFmtId="191" fontId="4" fillId="0" borderId="0">
      <alignment vertical="center"/>
    </xf>
    <xf numFmtId="3" fontId="16" fillId="0" borderId="3">
      <alignment horizontal="right" vertical="center"/>
    </xf>
    <xf numFmtId="191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1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4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4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79" fontId="18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79" fontId="18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1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6" fontId="19" fillId="0" borderId="0">
      <alignment vertical="center"/>
    </xf>
    <xf numFmtId="0" fontId="0" fillId="0" borderId="0">
      <alignment vertical="center"/>
    </xf>
    <xf numFmtId="2" fontId="16" fillId="0" borderId="3">
      <alignment horizontal="right" vertical="center"/>
    </xf>
    <xf numFmtId="0" fontId="6" fillId="0" borderId="4">
      <alignment horizontal="center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0" fontId="83" fillId="9" borderId="0" applyAlignment="0" applyBorder="0" applyNumberFormat="0" applyProtection="0">
      <alignment vertical="center"/>
    </xf>
    <xf numFmtId="196" fontId="19" fillId="0" borderId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7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7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24" fillId="0" borderId="0">
      <alignment horizontal="center" vertical="center" wrapText="1"/>
      <protection locked="0"/>
    </xf>
    <xf numFmtId="0" fontId="25" fillId="0" borderId="0" applyAlignment="0" applyBorder="0" applyFill="0" applyFont="0" applyProtection="0">
      <alignment vertical="center"/>
    </xf>
    <xf numFmtId="18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8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6" fillId="0" borderId="0">
      <alignment vertical="center"/>
    </xf>
    <xf numFmtId="37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9" fontId="22" fillId="0" borderId="0" applyBorder="0">
      <alignment vertical="center"/>
    </xf>
    <xf numFmtId="0" fontId="23" fillId="0" borderId="0">
      <alignment vertical="center"/>
    </xf>
    <xf numFmtId="200" fontId="15" fillId="0" borderId="0" applyAlignment="0" applyBorder="0" applyFill="0">
      <alignment vertical="center"/>
    </xf>
    <xf numFmtId="0" fontId="27" fillId="0" borderId="0">
      <alignment vertical="center"/>
    </xf>
    <xf numFmtId="0" fontId="28" fillId="0" borderId="0" applyAlignment="0" applyBorder="0" applyFill="0" applyNumberFormat="0" applyProtection="0">
      <alignment vertical="top"/>
      <protection locked="0"/>
    </xf>
    <xf numFmtId="201" fontId="0" fillId="0" borderId="0">
      <alignment vertical="center"/>
    </xf>
    <xf numFmtId="202" fontId="6" fillId="0" borderId="0">
      <alignment vertical="center"/>
      <protection locked="0"/>
    </xf>
    <xf numFmtId="0" fontId="29" fillId="0" borderId="0" applyAlignment="0" applyNumberFormat="0">
      <alignment horizontal="left" vertical="center"/>
    </xf>
    <xf numFmtId="0" fontId="30" fillId="0" borderId="0" applyAlignment="0" applyNumberFormat="0">
      <alignment vertical="center"/>
    </xf>
    <xf numFmtId="0" fontId="5" fillId="0" borderId="0" applyAlignment="0" applyBorder="0" applyFill="0" applyFont="0" applyProtection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6" fontId="0" fillId="0" borderId="2" applyAlignment="0" applyBorder="0" applyFill="0">
      <alignment vertical="center"/>
    </xf>
    <xf numFmtId="203" fontId="6" fillId="0" borderId="0">
      <alignment vertical="center"/>
      <protection locked="0"/>
    </xf>
    <xf numFmtId="0" fontId="12" fillId="0" borderId="0">
      <alignment vertical="center"/>
    </xf>
    <xf numFmtId="0" fontId="31" fillId="0" borderId="0">
      <alignment vertical="center"/>
      <protection locked="0"/>
    </xf>
    <xf numFmtId="57" fontId="0" fillId="0" borderId="0" applyAlignment="0" applyBorder="0" applyFill="0" applyFont="0" applyProtection="0">
      <alignment vertical="center"/>
    </xf>
    <xf numFmtId="204" fontId="0" fillId="0" borderId="0" applyAlignment="0" applyBorder="0" applyFill="0" applyFont="0" applyProtection="0">
      <alignment vertical="center"/>
    </xf>
    <xf numFmtId="205" fontId="0" fillId="0" borderId="0">
      <alignment vertical="center"/>
    </xf>
    <xf numFmtId="206" fontId="32" fillId="0" borderId="2">
      <alignment vertical="center"/>
    </xf>
    <xf numFmtId="0" fontId="33" fillId="0" borderId="0" applyAlignment="0" applyNumberFormat="0">
      <alignment horizontal="left" vertical="center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207" fontId="6" fillId="0" borderId="0">
      <alignment vertical="center"/>
      <protection locked="0"/>
    </xf>
    <xf numFmtId="38" fontId="35" fillId="2" borderId="0" applyAlignment="0" applyBorder="0" applyNumberFormat="0" applyProtection="0">
      <alignment vertical="center"/>
    </xf>
    <xf numFmtId="3" fontId="32" fillId="0" borderId="5">
      <alignment horizontal="right" vertical="center"/>
    </xf>
    <xf numFmtId="4" fontId="32" fillId="0" borderId="5">
      <alignment horizontal="right" vertical="center"/>
    </xf>
    <xf numFmtId="0" fontId="36" fillId="0" borderId="0">
      <alignment horizontal="left" vertical="center"/>
    </xf>
    <xf numFmtId="0" fontId="37" fillId="0" borderId="6" applyAlignment="0" applyNumberFormat="0" applyProtection="0">
      <alignment horizontal="left" vertical="center"/>
    </xf>
    <xf numFmtId="0" fontId="37" fillId="0" borderId="7">
      <alignment horizontal="left" vertical="center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208" fontId="11" fillId="0" borderId="0">
      <alignment vertical="center"/>
      <protection locked="0"/>
    </xf>
    <xf numFmtId="208" fontId="11" fillId="0" borderId="0">
      <alignment vertical="center"/>
      <protection locked="0"/>
    </xf>
    <xf numFmtId="10" fontId="35" fillId="3" borderId="2" applyAlignment="0" applyBorder="0" applyNumberFormat="0" applyProtection="0">
      <alignment vertical="center"/>
    </xf>
    <xf numFmtId="209" fontId="39" fillId="4" borderId="0">
      <alignment vertical="center"/>
    </xf>
    <xf numFmtId="210" fontId="32" fillId="0" borderId="2">
      <alignment vertical="center"/>
    </xf>
    <xf numFmtId="209" fontId="40" fillId="5" borderId="0">
      <alignment vertical="center"/>
    </xf>
    <xf numFmtId="211" fontId="32" fillId="0" borderId="2">
      <alignment horizontal="right" vertical="center"/>
    </xf>
    <xf numFmtId="212" fontId="32" fillId="0" borderId="2">
      <alignment vertical="center"/>
    </xf>
    <xf numFmtId="213" fontId="32" fillId="0" borderId="2">
      <alignment vertical="center"/>
    </xf>
    <xf numFmtId="176" fontId="11" fillId="0" borderId="0" applyAlignment="0" applyBorder="0" applyFill="0" applyFont="0" applyProtection="0">
      <alignment vertical="center"/>
    </xf>
    <xf numFmtId="177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1" fillId="0" borderId="8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2" fillId="0" borderId="0" applyAlignment="0" applyBorder="0" applyFill="0" applyFont="0" applyProtection="0">
      <alignment vertical="center"/>
    </xf>
    <xf numFmtId="37" fontId="43" fillId="0" borderId="0">
      <alignment vertical="center"/>
    </xf>
    <xf numFmtId="214" fontId="15" fillId="0" borderId="0">
      <alignment vertical="center"/>
    </xf>
    <xf numFmtId="0" fontId="6" fillId="0" borderId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199" fontId="19" fillId="0" borderId="0">
      <alignment vertical="center"/>
    </xf>
    <xf numFmtId="14" fontId="24" fillId="0" borderId="0">
      <alignment horizontal="center" vertical="center" wrapText="1"/>
      <protection locked="0"/>
    </xf>
    <xf numFmtId="10" fontId="11" fillId="0" borderId="0" applyAlignment="0" applyBorder="0" applyFill="0" applyFont="0" applyProtection="0">
      <alignment vertical="center"/>
    </xf>
    <xf numFmtId="215" fontId="44" fillId="0" borderId="0">
      <alignment vertical="center"/>
    </xf>
    <xf numFmtId="0" fontId="7" fillId="0" borderId="0" applyAlignment="0" applyBorder="0" applyFill="0" applyFont="0" applyNumberFormat="0" applyProtection="0">
      <alignment horizontal="left" vertical="center"/>
    </xf>
    <xf numFmtId="14" fontId="45" fillId="0" borderId="0" applyAlignment="0" applyBorder="0" applyFill="0" applyNumberFormat="0" applyProtection="0">
      <alignment horizontal="left" vertical="center"/>
    </xf>
    <xf numFmtId="0" fontId="6" fillId="0" borderId="0">
      <alignment vertical="center"/>
    </xf>
    <xf numFmtId="216" fontId="19" fillId="0" borderId="0">
      <alignment vertical="center"/>
    </xf>
    <xf numFmtId="216" fontId="19" fillId="0" borderId="0">
      <alignment vertical="distributed"/>
    </xf>
    <xf numFmtId="0" fontId="7" fillId="0" borderId="0">
      <alignment vertical="center"/>
    </xf>
    <xf numFmtId="0" fontId="46" fillId="0" borderId="0">
      <alignment horizontal="center" vertical="center"/>
    </xf>
    <xf numFmtId="0" fontId="41" fillId="0" borderId="0">
      <alignment vertical="center"/>
    </xf>
    <xf numFmtId="40" fontId="47" fillId="0" borderId="0" applyBorder="0">
      <alignment horizontal="right" vertical="center"/>
    </xf>
    <xf numFmtId="49" fontId="48" fillId="0" borderId="0" applyBorder="0" applyFill="0" applyProtection="0">
      <alignment horizontal="centerContinuous" vertical="center"/>
    </xf>
    <xf numFmtId="0" fontId="49" fillId="0" borderId="0" applyBorder="0" applyFill="0" applyProtection="0">
      <alignment horizontal="centerContinuous" vertical="center"/>
    </xf>
    <xf numFmtId="0" fontId="9" fillId="6" borderId="0" applyBorder="0" applyFill="0" applyProtection="0">
      <alignment horizontal="center" vertical="center"/>
    </xf>
    <xf numFmtId="0" fontId="31" fillId="0" borderId="9">
      <alignment vertical="center"/>
      <protection locked="0"/>
    </xf>
    <xf numFmtId="0" fontId="50" fillId="0" borderId="4">
      <alignment horizontal="left" vertical="center"/>
    </xf>
    <xf numFmtId="217" fontId="11" fillId="0" borderId="0" applyAlignment="0" applyBorder="0" applyFill="0" applyFont="0" applyProtection="0">
      <alignment vertical="center"/>
    </xf>
    <xf numFmtId="218" fontId="11" fillId="0" borderId="0" applyAlignment="0" applyBorder="0" applyFill="0" applyFont="0" applyProtection="0">
      <alignment vertical="center"/>
    </xf>
    <xf numFmtId="0" fontId="51" fillId="0" borderId="0" applyAlignment="0" applyBorder="0" applyFill="0" applyNumberFormat="0" applyProtection="0">
      <alignment vertical="top"/>
      <protection locked="0"/>
    </xf>
    <xf numFmtId="49" fontId="32" fillId="0" borderId="2">
      <alignment horizontal="center" vertical="center"/>
    </xf>
    <xf numFmtId="219" fontId="6" fillId="0" borderId="0">
      <alignment vertical="center"/>
      <protection locked="0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0" fontId="52" fillId="0" borderId="0">
      <alignment vertical="center"/>
    </xf>
    <xf numFmtId="0" fontId="19" fillId="0" borderId="0">
      <alignment vertical="center"/>
    </xf>
    <xf numFmtId="37" fontId="8" fillId="0" borderId="10">
      <alignment horizontal="center" vertical="center"/>
    </xf>
    <xf numFmtId="37" fontId="8" fillId="0" borderId="3" applyAlignment="0">
      <alignment vertical="center"/>
    </xf>
    <xf numFmtId="0" fontId="0" fillId="0" borderId="0">
      <alignment vertical="center"/>
    </xf>
    <xf numFmtId="220" fontId="5" fillId="0" borderId="11" applyAlignment="0" applyBorder="0" applyFill="0" applyFont="0">
      <alignment horizontal="left" vertical="center"/>
    </xf>
    <xf numFmtId="0" fontId="31" fillId="0" borderId="0">
      <alignment vertical="center"/>
      <protection locked="0"/>
    </xf>
    <xf numFmtId="3" fontId="7" fillId="0" borderId="12">
      <alignment horizontal="center" vertical="center"/>
    </xf>
    <xf numFmtId="0" fontId="53" fillId="0" borderId="13">
      <alignment vertical="center"/>
    </xf>
    <xf numFmtId="0" fontId="31" fillId="0" borderId="0">
      <alignment vertical="center"/>
      <protection locked="0"/>
    </xf>
    <xf numFmtId="0" fontId="54" fillId="0" borderId="0" applyAlignment="0" applyBorder="0" applyFill="0" applyNumberForma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9" fontId="5" fillId="0" borderId="5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9" fillId="0" borderId="0" applyBorder="0" applyFill="0" applyFont="0" applyNumberFormat="0" applyProtection="0">
      <alignment horizontal="distributed" vertical="center"/>
    </xf>
    <xf numFmtId="10" fontId="55" fillId="0" borderId="0">
      <alignment vertical="center"/>
    </xf>
    <xf numFmtId="10" fontId="55" fillId="0" borderId="0">
      <alignment vertical="center"/>
    </xf>
    <xf numFmtId="221" fontId="31" fillId="0" borderId="0">
      <alignment vertical="center"/>
      <protection locked="0"/>
    </xf>
    <xf numFmtId="222" fontId="6" fillId="0" borderId="0" applyBorder="0" applyFill="0" applyFont="0" applyProtection="0">
      <alignment horizontal="center" vertical="center"/>
    </xf>
    <xf numFmtId="223" fontId="6" fillId="0" borderId="0" applyBorder="0" applyFill="0" applyFont="0" applyProtection="0">
      <alignment horizontal="center" vertical="center"/>
    </xf>
    <xf numFmtId="9" fontId="17" fillId="6" borderId="0" applyBorder="0" applyFill="0" applyProtection="0">
      <alignment horizontal="right" vertical="center"/>
    </xf>
    <xf numFmtId="10" fontId="17" fillId="0" borderId="0" applyBorder="0" applyFill="0" applyProtection="0">
      <alignment horizontal="right" vertical="center"/>
    </xf>
    <xf numFmtId="224" fontId="0" fillId="0" borderId="0" applyAlignment="0" applyBorder="0" applyFill="0" applyFont="0" applyProtection="0">
      <alignment vertical="center"/>
    </xf>
    <xf numFmtId="225" fontId="19" fillId="0" borderId="0" applyAlignment="0" applyBorder="0" applyFill="0" applyFont="0" applyProtection="0">
      <alignment vertical="center"/>
    </xf>
    <xf numFmtId="0" fontId="56" fillId="0" borderId="0" applyBorder="0" applyFill="0" applyFont="0" applyProtection="0">
      <alignment horizontal="center" vertical="center"/>
    </xf>
    <xf numFmtId="0" fontId="56" fillId="0" borderId="0" applyBorder="0" applyFill="0" applyFont="0" applyProtection="0">
      <alignment horizontal="center" vertical="center"/>
    </xf>
    <xf numFmtId="226" fontId="57" fillId="0" borderId="14" applyAlignment="0" applyFill="0" applyFont="0" applyProtection="0">
      <alignment horizontal="center" vertical="center"/>
    </xf>
    <xf numFmtId="0" fontId="58" fillId="0" borderId="0">
      <alignment vertical="center"/>
    </xf>
    <xf numFmtId="189" fontId="59" fillId="0" borderId="11">
      <alignment vertical="center"/>
    </xf>
    <xf numFmtId="0" fontId="19" fillId="0" borderId="0" applyBorder="0" applyFill="0" applyFont="0" applyNumberFormat="0" applyProtection="0">
      <alignment horizontal="centerContinuous" vertical="center"/>
    </xf>
    <xf numFmtId="178" fontId="60" fillId="0" borderId="15">
      <alignment vertical="center"/>
    </xf>
    <xf numFmtId="227" fontId="55" fillId="0" borderId="0">
      <alignment vertical="center"/>
    </xf>
    <xf numFmtId="189" fontId="61" fillId="0" borderId="11">
      <alignment vertical="center"/>
    </xf>
    <xf numFmtId="228" fontId="62" fillId="0" borderId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16">
      <alignment vertical="center"/>
    </xf>
    <xf numFmtId="229" fontId="32" fillId="0" borderId="2" applyBorder="0">
      <alignment vertical="center"/>
    </xf>
    <xf numFmtId="0" fontId="64" fillId="0" borderId="0" applyAlignment="0" applyBorder="0" applyFill="0" applyFont="0" applyProtection="0">
      <alignment vertical="center"/>
    </xf>
    <xf numFmtId="0" fontId="65" fillId="0" borderId="0">
      <alignment vertical="center"/>
    </xf>
    <xf numFmtId="0" fontId="66" fillId="0" borderId="0">
      <alignment horizontal="center" vertical="center"/>
    </xf>
    <xf numFmtId="4" fontId="31" fillId="0" borderId="0">
      <alignment vertical="center"/>
      <protection locked="0"/>
    </xf>
    <xf numFmtId="0" fontId="52" fillId="0" borderId="0">
      <alignment vertical="center"/>
    </xf>
    <xf numFmtId="4" fontId="31" fillId="0" borderId="0">
      <alignment vertical="center"/>
      <protection locked="0"/>
    </xf>
    <xf numFmtId="230" fontId="6" fillId="0" borderId="0">
      <alignment vertical="center"/>
      <protection locked="0"/>
    </xf>
    <xf numFmtId="0" fontId="52" fillId="4" borderId="0">
      <alignment vertical="center"/>
    </xf>
    <xf numFmtId="0" fontId="6" fillId="0" borderId="0">
      <alignment vertical="center"/>
    </xf>
    <xf numFmtId="0" fontId="67" fillId="0" borderId="0">
      <alignment horizontal="centerContinuous" vertical="center"/>
    </xf>
    <xf numFmtId="0" fontId="6" fillId="0" borderId="2">
      <alignment horizontal="distributed" vertical="center"/>
    </xf>
    <xf numFmtId="0" fontId="6" fillId="0" borderId="17">
      <alignment horizontal="distributed" vertical="top"/>
    </xf>
    <xf numFmtId="0" fontId="6" fillId="0" borderId="18">
      <alignment horizontal="distributed" vertical="center"/>
    </xf>
    <xf numFmtId="0" fontId="6" fillId="0" borderId="0">
      <alignment vertical="center"/>
    </xf>
    <xf numFmtId="0" fontId="68" fillId="0" borderId="0">
      <alignment vertical="center"/>
    </xf>
    <xf numFmtId="0" fontId="84" fillId="10" borderId="0" applyAlignment="0" applyBorder="0" applyNumberFormat="0" applyProtection="0">
      <alignment vertical="center"/>
    </xf>
    <xf numFmtId="0" fontId="6" fillId="0" borderId="0">
      <alignment vertical="center"/>
    </xf>
    <xf numFmtId="221" fontId="31" fillId="0" borderId="0">
      <alignment vertical="center"/>
      <protection locked="0"/>
    </xf>
    <xf numFmtId="221" fontId="31" fillId="0" borderId="0">
      <alignment vertical="center"/>
      <protection locked="0"/>
    </xf>
    <xf numFmtId="231" fontId="6" fillId="0" borderId="0" applyBorder="0" applyFill="0" applyFont="0" applyProtection="0">
      <alignment vertical="center"/>
    </xf>
    <xf numFmtId="38" fontId="19" fillId="0" borderId="0" applyBorder="0" applyFill="0" applyFont="0" applyProtection="0">
      <alignment vertical="center"/>
    </xf>
    <xf numFmtId="232" fontId="0" fillId="0" borderId="0" applyAlignment="0" applyBorder="0" applyFill="0" applyFont="0" applyProtection="0">
      <alignment vertical="center"/>
    </xf>
    <xf numFmtId="0" fontId="11" fillId="0" borderId="2">
      <alignment vertical="center"/>
    </xf>
    <xf numFmtId="233" fontId="0" fillId="6" borderId="0" applyBorder="0" applyFill="0" applyProtection="0">
      <alignment horizontal="right" vertical="center"/>
    </xf>
    <xf numFmtId="38" fontId="19" fillId="0" borderId="0" applyAlignment="0" applyBorder="0" applyFill="0" applyFont="0" applyProtection="0">
      <alignment vertical="center"/>
    </xf>
    <xf numFmtId="178" fontId="19" fillId="0" borderId="0" applyAlignment="0" applyBorder="0" applyFill="0" applyFont="0" applyProtection="0">
      <alignment vertical="center"/>
    </xf>
    <xf numFmtId="38" fontId="19" fillId="0" borderId="0" applyAlignment="0" applyBorder="0" applyFill="0" applyProtection="0">
      <alignment vertical="center"/>
    </xf>
    <xf numFmtId="227" fontId="56" fillId="0" borderId="0" applyAlignment="0" applyBorder="0" applyFill="0" applyFont="0" applyProtection="0">
      <alignment vertical="center"/>
    </xf>
    <xf numFmtId="234" fontId="7" fillId="0" borderId="0" applyAlignment="0" applyBorder="0" applyFill="0" applyFont="0" applyProtection="0">
      <alignment vertical="center"/>
    </xf>
    <xf numFmtId="235" fontId="7" fillId="0" borderId="0" applyAlignment="0" applyBorder="0" applyFill="0" applyFont="0" applyProtection="0">
      <alignment vertical="center"/>
    </xf>
    <xf numFmtId="236" fontId="56" fillId="0" borderId="2">
      <alignment vertical="center"/>
    </xf>
    <xf numFmtId="237" fontId="7" fillId="0" borderId="0" applyAlignment="0" applyBorder="0" applyFill="0" applyFont="0" applyProtection="0">
      <alignment vertical="center"/>
    </xf>
    <xf numFmtId="238" fontId="7" fillId="0" borderId="0" applyAlignment="0" applyBorder="0" applyFill="0" applyFont="0" applyProtection="0">
      <alignment vertical="center"/>
    </xf>
    <xf numFmtId="0" fontId="6" fillId="0" borderId="0" applyAlignment="0" applyBorder="0" applyFill="0" applyFont="0" applyProtection="0">
      <alignment vertical="center"/>
    </xf>
    <xf numFmtId="221" fontId="31" fillId="0" borderId="0">
      <alignment vertical="center"/>
      <protection locked="0"/>
    </xf>
    <xf numFmtId="221" fontId="31" fillId="0" borderId="0">
      <alignment vertical="center"/>
      <protection locked="0"/>
    </xf>
    <xf numFmtId="0" fontId="6" fillId="0" borderId="0" applyAlignment="0" applyBorder="0" applyFill="0" applyFont="0" applyProtection="0">
      <alignment vertical="center"/>
    </xf>
    <xf numFmtId="239" fontId="6" fillId="0" borderId="0">
      <alignment vertical="center"/>
      <protection locked="0"/>
    </xf>
    <xf numFmtId="221" fontId="31" fillId="0" borderId="0">
      <alignment vertical="center"/>
      <protection locked="0"/>
    </xf>
    <xf numFmtId="0" fontId="61" fillId="0" borderId="15">
      <alignment horizontal="center" vertical="center"/>
    </xf>
    <xf numFmtId="0" fontId="61" fillId="0" borderId="15">
      <alignment horizontal="left" vertical="center"/>
    </xf>
    <xf numFmtId="0" fontId="61" fillId="0" borderId="15">
      <alignment vertical="center" textRotation="255"/>
    </xf>
    <xf numFmtId="0" fontId="8" fillId="0" borderId="18">
      <alignment horizontal="distributed" vertical="center"/>
    </xf>
    <xf numFmtId="0" fontId="8" fillId="0" borderId="19">
      <alignment horizontal="distributed" vertical="center"/>
    </xf>
    <xf numFmtId="0" fontId="8" fillId="0" borderId="20">
      <alignment horizontal="distributed"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60" fillId="0" borderId="0" applyFill="0" applyProtection="0">
      <alignment vertical="center"/>
    </xf>
    <xf numFmtId="0" fontId="0" fillId="0" borderId="0">
      <alignment vertical="center"/>
    </xf>
    <xf numFmtId="1" fontId="8" fillId="0" borderId="16">
      <alignment horizontal="centerContinuous" vertical="center"/>
    </xf>
    <xf numFmtId="0" fontId="0" fillId="0" borderId="2" applyFill="0" applyNumberFormat="0" applyProtection="0">
      <alignment vertical="center"/>
    </xf>
    <xf numFmtId="0" fontId="6" fillId="0" borderId="0">
      <alignment vertical="center"/>
    </xf>
    <xf numFmtId="0" fontId="31" fillId="0" borderId="9">
      <alignment vertical="center"/>
      <protection locked="0"/>
    </xf>
    <xf numFmtId="240" fontId="6" fillId="0" borderId="0">
      <alignment vertical="center"/>
      <protection locked="0"/>
    </xf>
    <xf numFmtId="241" fontId="6" fillId="0" borderId="0">
      <alignment vertical="center"/>
      <protection locked="0"/>
    </xf>
    <xf numFmtId="0" fontId="60" fillId="0" borderId="0">
      <alignment vertical="center"/>
    </xf>
    <xf numFmtId="3" fontId="60" fillId="0" borderId="2" applyAlignment="0" applyFill="0" applyFont="0" applyProtection="0">
      <alignment vertical="center"/>
    </xf>
    <xf numFmtId="0" fontId="99" fillId="0" borderId="0" applyAlignment="0" applyBorder="0" applyFill="0" applyNumberFormat="0" applyProtection="0">
      <alignment vertical="center"/>
    </xf>
    <xf numFmtId="0" fontId="100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3" borderId="98" applyAlignment="0" applyFont="0" applyNumberFormat="0" applyProtection="0">
      <alignment vertical="center"/>
    </xf>
    <xf numFmtId="0" fontId="114" fillId="0" borderId="0" applyAlignment="0" applyBorder="0" applyFill="0" applyNumberFormat="0" applyProtection="0">
      <alignment vertical="center"/>
    </xf>
    <xf numFmtId="0" fontId="115" fillId="0" borderId="0" applyAlignment="0" applyBorder="0" applyFill="0" applyNumberFormat="0" applyProtection="0">
      <alignment vertical="center"/>
    </xf>
    <xf numFmtId="0" fontId="116" fillId="0" borderId="99" applyAlignment="0" applyFill="0" applyNumberFormat="0" applyProtection="0">
      <alignment vertical="center"/>
    </xf>
    <xf numFmtId="0" fontId="117" fillId="0" borderId="100" applyAlignment="0" applyFill="0" applyNumberFormat="0" applyProtection="0">
      <alignment vertical="center"/>
    </xf>
    <xf numFmtId="0" fontId="118" fillId="0" borderId="101" applyAlignment="0" applyFill="0" applyNumberFormat="0" applyProtection="0">
      <alignment vertical="center"/>
    </xf>
    <xf numFmtId="0" fontId="118" fillId="0" borderId="0" applyAlignment="0" applyBorder="0" applyFill="0" applyNumberFormat="0" applyProtection="0">
      <alignment vertical="center"/>
    </xf>
    <xf numFmtId="0" fontId="119" fillId="13" borderId="102" applyAlignment="0" applyNumberFormat="0" applyProtection="0">
      <alignment vertical="center"/>
    </xf>
    <xf numFmtId="0" fontId="120" fillId="14" borderId="103" applyAlignment="0" applyNumberFormat="0" applyProtection="0">
      <alignment vertical="center"/>
    </xf>
    <xf numFmtId="0" fontId="121" fillId="14" borderId="102" applyAlignment="0" applyNumberFormat="0" applyProtection="0">
      <alignment vertical="center"/>
    </xf>
    <xf numFmtId="0" fontId="122" fillId="15" borderId="104" applyAlignment="0" applyNumberFormat="0" applyProtection="0">
      <alignment vertical="center"/>
    </xf>
    <xf numFmtId="0" fontId="123" fillId="0" borderId="105" applyAlignment="0" applyFill="0" applyNumberFormat="0" applyProtection="0">
      <alignment vertical="center"/>
    </xf>
    <xf numFmtId="0" fontId="111" fillId="0" borderId="106" applyAlignment="0" applyFill="0" applyNumberFormat="0" applyProtection="0">
      <alignment vertical="center"/>
    </xf>
    <xf numFmtId="0" fontId="124" fillId="10" borderId="0" applyAlignment="0" applyBorder="0" applyNumberFormat="0" applyProtection="0">
      <alignment vertical="center"/>
    </xf>
    <xf numFmtId="0" fontId="125" fillId="16" borderId="0" applyAlignment="0" applyBorder="0" applyNumberFormat="0" applyProtection="0">
      <alignment vertical="center"/>
    </xf>
    <xf numFmtId="0" fontId="126" fillId="17" borderId="0" applyAlignment="0" applyBorder="0" applyNumberFormat="0" applyProtection="0">
      <alignment vertical="center"/>
    </xf>
    <xf numFmtId="0" fontId="127" fillId="18" borderId="0" applyAlignment="0" applyBorder="0" applyNumberFormat="0" applyProtection="0">
      <alignment vertical="center"/>
    </xf>
    <xf numFmtId="0" fontId="110" fillId="19" borderId="0" applyAlignment="0" applyBorder="0" applyNumberFormat="0" applyProtection="0">
      <alignment vertical="center"/>
    </xf>
    <xf numFmtId="0" fontId="110" fillId="20" borderId="0" applyAlignment="0" applyBorder="0" applyNumberFormat="0" applyProtection="0">
      <alignment vertical="center"/>
    </xf>
    <xf numFmtId="0" fontId="127" fillId="21" borderId="0" applyAlignment="0" applyBorder="0" applyNumberFormat="0" applyProtection="0">
      <alignment vertical="center"/>
    </xf>
    <xf numFmtId="0" fontId="127" fillId="22" borderId="0" applyAlignment="0" applyBorder="0" applyNumberFormat="0" applyProtection="0">
      <alignment vertical="center"/>
    </xf>
    <xf numFmtId="0" fontId="110" fillId="23" borderId="0" applyAlignment="0" applyBorder="0" applyNumberFormat="0" applyProtection="0">
      <alignment vertical="center"/>
    </xf>
    <xf numFmtId="0" fontId="110" fillId="24" borderId="0" applyAlignment="0" applyBorder="0" applyNumberFormat="0" applyProtection="0">
      <alignment vertical="center"/>
    </xf>
    <xf numFmtId="0" fontId="127" fillId="25" borderId="0" applyAlignment="0" applyBorder="0" applyNumberFormat="0" applyProtection="0">
      <alignment vertical="center"/>
    </xf>
    <xf numFmtId="0" fontId="127" fillId="26" borderId="0" applyAlignment="0" applyBorder="0" applyNumberFormat="0" applyProtection="0">
      <alignment vertical="center"/>
    </xf>
    <xf numFmtId="0" fontId="110" fillId="27" borderId="0" applyAlignment="0" applyBorder="0" applyNumberFormat="0" applyProtection="0">
      <alignment vertical="center"/>
    </xf>
    <xf numFmtId="0" fontId="110" fillId="28" borderId="0" applyAlignment="0" applyBorder="0" applyNumberFormat="0" applyProtection="0">
      <alignment vertical="center"/>
    </xf>
    <xf numFmtId="0" fontId="127" fillId="29" borderId="0" applyAlignment="0" applyBorder="0" applyNumberFormat="0" applyProtection="0">
      <alignment vertical="center"/>
    </xf>
    <xf numFmtId="0" fontId="127" fillId="30" borderId="0" applyAlignment="0" applyBorder="0" applyNumberFormat="0" applyProtection="0">
      <alignment vertical="center"/>
    </xf>
    <xf numFmtId="0" fontId="110" fillId="31" borderId="0" applyAlignment="0" applyBorder="0" applyNumberFormat="0" applyProtection="0">
      <alignment vertical="center"/>
    </xf>
    <xf numFmtId="0" fontId="110" fillId="32" borderId="0" applyAlignment="0" applyBorder="0" applyNumberFormat="0" applyProtection="0">
      <alignment vertical="center"/>
    </xf>
    <xf numFmtId="0" fontId="127" fillId="33" borderId="0" applyAlignment="0" applyBorder="0" applyNumberFormat="0" applyProtection="0">
      <alignment vertical="center"/>
    </xf>
    <xf numFmtId="0" fontId="127" fillId="34" borderId="0" applyAlignment="0" applyBorder="0" applyNumberFormat="0" applyProtection="0">
      <alignment vertical="center"/>
    </xf>
    <xf numFmtId="0" fontId="110" fillId="35" borderId="0" applyAlignment="0" applyBorder="0" applyNumberFormat="0" applyProtection="0">
      <alignment vertical="center"/>
    </xf>
    <xf numFmtId="0" fontId="110" fillId="36" borderId="0" applyAlignment="0" applyBorder="0" applyNumberFormat="0" applyProtection="0">
      <alignment vertical="center"/>
    </xf>
    <xf numFmtId="0" fontId="127" fillId="37" borderId="0" applyAlignment="0" applyBorder="0" applyNumberFormat="0" applyProtection="0">
      <alignment vertical="center"/>
    </xf>
    <xf numFmtId="0" fontId="127" fillId="38" borderId="0" applyAlignment="0" applyBorder="0" applyNumberFormat="0" applyProtection="0">
      <alignment vertical="center"/>
    </xf>
    <xf numFmtId="0" fontId="110" fillId="39" borderId="0" applyAlignment="0" applyBorder="0" applyNumberFormat="0" applyProtection="0">
      <alignment vertical="center"/>
    </xf>
    <xf numFmtId="0" fontId="110" fillId="40" borderId="0" applyAlignment="0" applyBorder="0" applyNumberFormat="0" applyProtection="0">
      <alignment vertical="center"/>
    </xf>
    <xf numFmtId="0" fontId="127" fillId="41" borderId="0" applyAlignment="0" applyBorder="0" applyNumberFormat="0" applyProtection="0">
      <alignment vertical="center"/>
    </xf>
    <xf numFmtId="0" fontId="128" fillId="0" borderId="0" applyAlignment="0" applyBorder="0" applyFill="0" applyNumberFormat="0" applyProtection="0">
      <alignment vertical="center"/>
    </xf>
  </cellStyleXfs>
  <cellXfs count="371">
    <xf numFmtId="0" fontId="0" fillId="0" borderId="0" xfId="0" applyAlignment="1"/>
    <xf numFmtId="0" fontId="2" fillId="0" borderId="0" xfId="0">
      <alignment vertical="center"/>
    </xf>
    <xf numFmtId="0" fontId="3" fillId="0" borderId="0" xfId="0">
      <alignment vertical="center"/>
    </xf>
    <xf numFmtId="0" fontId="5" fillId="0" borderId="0" xfId="3103">
      <alignment vertical="center"/>
    </xf>
    <xf numFmtId="0" fontId="0" fillId="0" borderId="0" xfId="0">
      <alignment vertical="center"/>
    </xf>
    <xf numFmtId="0" fontId="0" fillId="0" borderId="25" xfId="0" applyBorder="1" applyAlignment="1"/>
    <xf numFmtId="0" fontId="78" fillId="0" borderId="0" xfId="0">
      <alignment vertical="center"/>
    </xf>
    <xf numFmtId="178" fontId="74" fillId="0" borderId="28" xfId="0" applyNumberFormat="1" applyBorder="1" applyAlignment="1">
      <alignment horizontal="right" vertical="center"/>
    </xf>
    <xf numFmtId="0" fontId="74" fillId="0" borderId="29" xfId="0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74" fillId="0" borderId="30" xfId="0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0" fillId="0" borderId="31" xfId="0" quotePrefix="1" applyNumberFormat="1" applyBorder="1">
      <alignment vertical="center"/>
    </xf>
    <xf numFmtId="49" fontId="71" fillId="0" borderId="31" xfId="0" quotePrefix="1" applyNumberFormat="1" applyBorder="1" applyAlignment="1">
      <alignment vertical="center" textRotation="255"/>
    </xf>
    <xf numFmtId="0" fontId="70" fillId="2" borderId="2" xfId="0" applyFill="1" applyBorder="1">
      <alignment vertical="center"/>
    </xf>
    <xf numFmtId="0" fontId="70" fillId="2" borderId="2" xfId="0" applyFill="1" applyBorder="1" applyAlignment="1">
      <alignment horizontal="right" vertical="center"/>
    </xf>
    <xf numFmtId="0" fontId="70" fillId="2" borderId="2" xfId="0" applyFill="1" applyBorder="1" applyAlignment="1">
      <alignment horizontal="center" vertical="center"/>
    </xf>
    <xf numFmtId="176" fontId="81" fillId="2" borderId="2" xfId="2791" applyFill="1" applyBorder="1" applyAlignment="1">
      <alignment horizontal="right" vertical="center" shrinkToFit="1"/>
    </xf>
    <xf numFmtId="0" fontId="75" fillId="2" borderId="32" xfId="0" applyFill="1" applyBorder="1" applyAlignment="1">
      <alignment horizontal="center" vertical="center" shrinkToFit="1"/>
    </xf>
    <xf numFmtId="38" fontId="81" fillId="2" borderId="2" xfId="2791" applyNumberFormat="1" applyFill="1" applyBorder="1" applyAlignment="1">
      <alignment horizontal="right" vertical="center" shrinkToFit="1"/>
    </xf>
    <xf numFmtId="0" fontId="70" fillId="2" borderId="11" xfId="0" applyFill="1" applyBorder="1">
      <alignment vertical="center"/>
    </xf>
    <xf numFmtId="0" fontId="70" fillId="2" borderId="11" xfId="0" applyFill="1" applyBorder="1" applyAlignment="1">
      <alignment horizontal="right" vertical="center"/>
    </xf>
    <xf numFmtId="0" fontId="70" fillId="2" borderId="11" xfId="0" applyFill="1" applyBorder="1" applyAlignment="1">
      <alignment horizontal="center" vertical="center"/>
    </xf>
    <xf numFmtId="176" fontId="81" fillId="2" borderId="2" xfId="0" applyNumberFormat="1" applyFill="1" applyBorder="1" applyAlignment="1">
      <alignment horizontal="right" vertical="center" shrinkToFit="1"/>
    </xf>
    <xf numFmtId="0" fontId="70" fillId="0" borderId="33" xfId="2637" applyFill="1" applyBorder="1" applyAlignment="1">
      <alignment horizontal="center" vertical="center"/>
    </xf>
    <xf numFmtId="0" fontId="70" fillId="0" borderId="34" xfId="2637" applyFill="1" applyBorder="1" applyAlignment="1">
      <alignment horizontal="center" vertical="center" shrinkToFit="1"/>
    </xf>
    <xf numFmtId="49" fontId="70" fillId="0" borderId="35" xfId="0" quotePrefix="1" applyNumberFormat="1" applyBorder="1">
      <alignment vertical="center"/>
    </xf>
    <xf numFmtId="0" fontId="70" fillId="2" borderId="36" xfId="2637" applyFill="1" applyBorder="1" applyAlignment="1">
      <alignment horizontal="center" vertical="center"/>
    </xf>
    <xf numFmtId="176" fontId="70" fillId="2" borderId="36" xfId="0" applyNumberFormat="1" applyFill="1" applyBorder="1" applyAlignment="1">
      <alignment horizontal="right" vertical="center" shrinkToFit="1"/>
    </xf>
    <xf numFmtId="182" fontId="74" fillId="0" borderId="37" xfId="0" applyNumberFormat="1" applyBorder="1" applyAlignment="1">
      <alignment horizontal="center" vertical="center"/>
    </xf>
    <xf numFmtId="0" fontId="74" fillId="0" borderId="38" xfId="0" applyBorder="1" applyAlignment="1">
      <alignment horizontal="center" vertical="center"/>
    </xf>
    <xf numFmtId="176" fontId="74" fillId="0" borderId="38" xfId="2791" applyBorder="1" applyAlignment="1">
      <alignment horizontal="right" vertical="center" shrinkToFit="1"/>
    </xf>
    <xf numFmtId="176" fontId="74" fillId="0" borderId="38" xfId="2791" applyFill="1" applyBorder="1" applyAlignment="1">
      <alignment horizontal="right" vertical="center" shrinkToFit="1"/>
    </xf>
    <xf numFmtId="182" fontId="74" fillId="0" borderId="39" xfId="0" applyNumberFormat="1" applyBorder="1" applyAlignment="1">
      <alignment horizontal="center" vertical="center"/>
    </xf>
    <xf numFmtId="0" fontId="74" fillId="0" borderId="28" xfId="0" applyBorder="1" applyAlignment="1">
      <alignment horizontal="center" vertical="center"/>
    </xf>
    <xf numFmtId="176" fontId="74" fillId="0" borderId="40" xfId="2791" applyBorder="1" applyAlignment="1">
      <alignment horizontal="right" vertical="center" shrinkToFit="1"/>
    </xf>
    <xf numFmtId="0" fontId="74" fillId="0" borderId="39" xfId="0" quotePrefix="1" applyBorder="1" applyAlignment="1">
      <alignment horizontal="center" vertical="center"/>
    </xf>
    <xf numFmtId="0" fontId="74" fillId="0" borderId="41" xfId="0" applyBorder="1" applyAlignment="1">
      <alignment horizontal="left" vertical="center" indent="1"/>
    </xf>
    <xf numFmtId="0" fontId="74" fillId="0" borderId="42" xfId="0" applyBorder="1">
      <alignment vertical="center"/>
    </xf>
    <xf numFmtId="0" fontId="74" fillId="0" borderId="42" xfId="0" applyBorder="1" applyAlignment="1">
      <alignment horizontal="right" vertical="center"/>
    </xf>
    <xf numFmtId="0" fontId="74" fillId="0" borderId="42" xfId="0" applyBorder="1" applyAlignment="1">
      <alignment horizontal="center" vertical="center"/>
    </xf>
    <xf numFmtId="38" fontId="74" fillId="0" borderId="42" xfId="2791" applyNumberFormat="1" applyBorder="1" applyAlignment="1">
      <alignment horizontal="right" vertical="center" shrinkToFit="1"/>
    </xf>
    <xf numFmtId="0" fontId="74" fillId="0" borderId="43" xfId="0" applyBorder="1" applyAlignment="1">
      <alignment horizontal="center" vertical="center" shrinkToFit="1"/>
    </xf>
    <xf numFmtId="0" fontId="74" fillId="0" borderId="44" xfId="0" applyBorder="1" applyAlignment="1">
      <alignment horizontal="left" vertical="center" indent="1"/>
    </xf>
    <xf numFmtId="0" fontId="74" fillId="0" borderId="38" xfId="0" applyBorder="1">
      <alignment vertical="center"/>
    </xf>
    <xf numFmtId="178" fontId="74" fillId="0" borderId="38" xfId="0" applyNumberFormat="1" applyBorder="1" applyAlignment="1">
      <alignment horizontal="right" vertical="center"/>
    </xf>
    <xf numFmtId="38" fontId="74" fillId="0" borderId="11" xfId="2791" applyNumberFormat="1" applyBorder="1" applyAlignment="1">
      <alignment horizontal="right" vertical="center" shrinkToFit="1"/>
    </xf>
    <xf numFmtId="0" fontId="74" fillId="0" borderId="45" xfId="0" applyBorder="1" applyAlignment="1">
      <alignment horizontal="left" vertical="center" indent="1"/>
    </xf>
    <xf numFmtId="0" fontId="74" fillId="0" borderId="28" xfId="0" applyBorder="1">
      <alignment vertical="center"/>
    </xf>
    <xf numFmtId="38" fontId="74" fillId="0" borderId="28" xfId="0" applyNumberFormat="1" applyBorder="1" applyAlignment="1">
      <alignment horizontal="right" vertical="center" shrinkToFit="1"/>
    </xf>
    <xf numFmtId="0" fontId="74" fillId="0" borderId="46" xfId="0" applyBorder="1">
      <alignment vertical="center"/>
    </xf>
    <xf numFmtId="0" fontId="74" fillId="0" borderId="40" xfId="0" applyBorder="1" applyAlignment="1">
      <alignment horizontal="center" vertical="center"/>
    </xf>
    <xf numFmtId="243" fontId="74" fillId="0" borderId="39" xfId="0" applyNumberFormat="1" applyBorder="1" applyAlignment="1">
      <alignment horizontal="center" vertical="center"/>
    </xf>
    <xf numFmtId="243" fontId="74" fillId="0" borderId="28" xfId="0" applyNumberFormat="1" applyBorder="1" applyAlignment="1">
      <alignment horizontal="center" vertical="center"/>
    </xf>
    <xf numFmtId="0" fontId="74" fillId="0" borderId="0" xfId="0" applyAlignment="1">
      <alignment horizontal="center" vertical="center"/>
    </xf>
    <xf numFmtId="0" fontId="3" fillId="0" borderId="47" xfId="0" applyBorder="1">
      <alignment vertical="center"/>
    </xf>
    <xf numFmtId="0" fontId="74" fillId="0" borderId="48" xfId="0" applyBorder="1" applyAlignment="1">
      <alignment horizontal="left" vertical="center" indent="1"/>
    </xf>
    <xf numFmtId="178" fontId="74" fillId="0" borderId="40" xfId="0" applyNumberFormat="1" applyBorder="1" applyAlignment="1">
      <alignment horizontal="right" vertical="center"/>
    </xf>
    <xf numFmtId="243" fontId="74" fillId="0" borderId="40" xfId="0" applyNumberFormat="1" applyBorder="1" applyAlignment="1">
      <alignment horizontal="center" vertical="center"/>
    </xf>
    <xf numFmtId="38" fontId="74" fillId="0" borderId="40" xfId="0" applyNumberFormat="1" applyBorder="1" applyAlignment="1">
      <alignment horizontal="right" vertical="center" shrinkToFit="1"/>
    </xf>
    <xf numFmtId="0" fontId="74" fillId="2" borderId="2" xfId="0" applyFill="1" applyBorder="1" applyAlignment="1">
      <alignment horizontal="right" vertical="center"/>
    </xf>
    <xf numFmtId="242" fontId="77" fillId="0" borderId="8" xfId="0" applyNumberFormat="1" applyBorder="1" applyAlignment="1">
      <alignment horizontal="center" vertical="center" shrinkToFit="1"/>
    </xf>
    <xf numFmtId="0" fontId="74" fillId="2" borderId="32" xfId="0" applyFill="1" applyBorder="1" applyAlignment="1">
      <alignment horizontal="center" vertical="center" shrinkToFit="1"/>
    </xf>
    <xf numFmtId="0" fontId="79" fillId="0" borderId="32" xfId="0" applyBorder="1" applyAlignment="1">
      <alignment horizontal="center" vertical="center" wrapText="1" shrinkToFit="1"/>
    </xf>
    <xf numFmtId="0" fontId="74" fillId="0" borderId="32" xfId="0" applyBorder="1" applyAlignment="1">
      <alignment horizontal="center" vertical="center" shrinkToFit="1"/>
    </xf>
    <xf numFmtId="176" fontId="71" fillId="8" borderId="8" xfId="0" applyNumberFormat="1" applyFill="1" applyBorder="1" applyAlignment="1">
      <alignment vertical="center" shrinkToFit="1"/>
    </xf>
    <xf numFmtId="0" fontId="71" fillId="8" borderId="51" xfId="0" applyFill="1" applyBorder="1" applyAlignment="1">
      <alignment horizontal="center" vertical="center" shrinkToFit="1"/>
    </xf>
    <xf numFmtId="176" fontId="70" fillId="0" borderId="2" xfId="0" applyNumberFormat="1" applyBorder="1" applyAlignment="1">
      <alignment vertical="center" shrinkToFit="1"/>
    </xf>
    <xf numFmtId="0" fontId="70" fillId="8" borderId="52" xfId="2637" applyFill="1" applyBorder="1" applyAlignment="1">
      <alignment horizontal="center" vertical="center" shrinkToFit="1"/>
    </xf>
    <xf numFmtId="176" fontId="70" fillId="8" borderId="2" xfId="0" applyNumberFormat="1" applyFill="1" applyBorder="1" applyAlignment="1">
      <alignment vertical="center" shrinkToFit="1"/>
    </xf>
    <xf numFmtId="0" fontId="74" fillId="8" borderId="32" xfId="0" applyFill="1" applyBorder="1" applyAlignment="1">
      <alignment horizontal="center" vertical="center" shrinkToFit="1"/>
    </xf>
    <xf numFmtId="176" fontId="70" fillId="0" borderId="2" xfId="0" applyNumberFormat="1" applyBorder="1" applyAlignment="1">
      <alignment horizontal="right" vertical="center" shrinkToFit="1"/>
    </xf>
    <xf numFmtId="176" fontId="74" fillId="0" borderId="28" xfId="2791" applyBorder="1" applyAlignment="1">
      <alignment horizontal="right" vertical="center" shrinkToFit="1"/>
    </xf>
    <xf numFmtId="0" fontId="73" fillId="2" borderId="25" xfId="0" applyFill="1" applyBorder="1" applyAlignment="1">
      <alignment vertical="center" shrinkToFit="1"/>
    </xf>
    <xf numFmtId="0" fontId="73" fillId="2" borderId="27" xfId="0" applyFill="1" applyBorder="1" applyAlignment="1">
      <alignment vertical="center" shrinkToFit="1"/>
    </xf>
    <xf numFmtId="0" fontId="73" fillId="2" borderId="23" xfId="0" applyFill="1" applyBorder="1" applyAlignment="1">
      <alignment vertical="center" shrinkToFi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24" xfId="0" quotePrefix="1" applyNumberFormat="1" applyBorder="1">
      <alignment vertical="center"/>
    </xf>
    <xf numFmtId="0" fontId="0" fillId="0" borderId="80" xfId="0" applyBorder="1">
      <alignment vertical="center"/>
    </xf>
    <xf numFmtId="49" fontId="0" fillId="0" borderId="82" xfId="0" quotePrefix="1" applyNumberFormat="1" applyBorder="1">
      <alignment vertical="center"/>
    </xf>
    <xf numFmtId="0" fontId="0" fillId="0" borderId="16" xfId="0" applyBorder="1" applyAlignment="1"/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0" fontId="0" fillId="0" borderId="85" xfId="0" applyBorder="1" applyAlignment="1">
      <alignment horizontal="right" vertical="center"/>
    </xf>
    <xf numFmtId="0" fontId="0" fillId="0" borderId="85" xfId="0" applyBorder="1">
      <alignment vertical="center"/>
    </xf>
    <xf numFmtId="0" fontId="0" fillId="0" borderId="85" xfId="0" applyBorder="1" applyAlignment="1">
      <alignment vertical="center" shrinkToFit="1"/>
    </xf>
    <xf numFmtId="0" fontId="60" fillId="0" borderId="0" xfId="3112">
      <alignment vertical="center"/>
    </xf>
    <xf numFmtId="3" fontId="60" fillId="0" borderId="2" xfId="3113">
      <alignment vertical="center"/>
    </xf>
    <xf numFmtId="0" fontId="60" fillId="0" borderId="2" xfId="3112" applyBorder="1">
      <alignment vertical="center"/>
    </xf>
    <xf numFmtId="3" fontId="60" fillId="0" borderId="17" xfId="3113" applyBorder="1">
      <alignment vertical="center"/>
    </xf>
    <xf numFmtId="0" fontId="60" fillId="0" borderId="17" xfId="3112" applyBorder="1">
      <alignment vertical="center"/>
    </xf>
    <xf numFmtId="3" fontId="60" fillId="0" borderId="0" xfId="3113" applyBorder="1">
      <alignment vertical="center"/>
    </xf>
    <xf numFmtId="0" fontId="4" fillId="0" borderId="0" xfId="3112">
      <alignment vertical="center"/>
    </xf>
    <xf numFmtId="0" fontId="90" fillId="0" borderId="0" xfId="3112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0" xfId="0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53" fillId="0" borderId="88" xfId="0" applyBorder="1">
      <alignment vertical="center"/>
    </xf>
    <xf numFmtId="0" fontId="53" fillId="0" borderId="88" xfId="0" applyBorder="1" applyAlignment="1">
      <alignment horizontal="center" vertical="center"/>
    </xf>
    <xf numFmtId="0" fontId="53" fillId="0" borderId="88" xfId="0" applyBorder="1" applyAlignment="1">
      <alignment vertical="center" shrinkToFit="1"/>
    </xf>
    <xf numFmtId="0" fontId="53" fillId="0" borderId="88" xfId="0" applyBorder="1" applyAlignment="1">
      <alignment horizontal="right" vertical="center"/>
    </xf>
    <xf numFmtId="224" fontId="61" fillId="0" borderId="0" xfId="0" applyNumberFormat="1" applyAlignment="1">
      <alignment horizontal="center" vertical="center"/>
    </xf>
    <xf numFmtId="0" fontId="61" fillId="0" borderId="0" xfId="0" applyAlignment="1">
      <alignment horizontal="center" vertical="center"/>
    </xf>
    <xf numFmtId="0" fontId="61" fillId="0" borderId="0" xfId="0" applyAlignment="1">
      <alignment horizontal="right" vertical="center"/>
    </xf>
    <xf numFmtId="0" fontId="0" fillId="0" borderId="80" xfId="0" applyBorder="1" applyAlignment="1">
      <alignment horizontal="right" vertical="center"/>
    </xf>
    <xf numFmtId="182" fontId="61" fillId="0" borderId="16" xfId="0" applyNumberFormat="1" applyBorder="1" applyAlignment="1">
      <alignment horizontal="center" vertical="center"/>
    </xf>
    <xf numFmtId="49" fontId="0" fillId="0" borderId="79" xfId="0" quotePrefix="1" applyNumberFormat="1" applyBorder="1">
      <alignment vertical="center"/>
    </xf>
    <xf numFmtId="0" fontId="0" fillId="0" borderId="22" xfId="0" applyBorder="1" applyAlignment="1"/>
    <xf numFmtId="0" fontId="0" fillId="0" borderId="22" xfId="2637" applyFill="1" applyBorder="1" applyAlignment="1">
      <alignment horizontal="center" vertical="center"/>
    </xf>
    <xf numFmtId="0" fontId="93" fillId="0" borderId="0" xfId="0" applyAlignment="1">
      <alignment horizontal="justify" vertical="center"/>
    </xf>
    <xf numFmtId="0" fontId="4" fillId="0" borderId="0" xfId="0" applyAlignment="1">
      <alignment horizontal="left" vertical="center"/>
    </xf>
    <xf numFmtId="0" fontId="4" fillId="0" borderId="0" xfId="0" applyAlignment="1">
      <alignment horizontal="left" vertical="center" wrapText="1"/>
    </xf>
    <xf numFmtId="0" fontId="4" fillId="0" borderId="0" xfId="0">
      <alignment vertical="center"/>
    </xf>
    <xf numFmtId="0" fontId="93" fillId="0" borderId="0" xfId="0" applyAlignment="1">
      <alignment horizontal="left" vertical="center" wrapText="1"/>
    </xf>
    <xf numFmtId="0" fontId="4" fillId="0" borderId="0" xfId="0" applyAlignment="1">
      <alignment horizontal="center" vertical="center"/>
    </xf>
    <xf numFmtId="0" fontId="4" fillId="0" borderId="0" xfId="0" applyAlignment="1">
      <alignment vertical="center" wrapText="1"/>
    </xf>
    <xf numFmtId="0" fontId="4" fillId="0" borderId="24" xfId="0" applyBorder="1" applyAlignment="1">
      <alignment vertical="center" wrapText="1"/>
    </xf>
    <xf numFmtId="0" fontId="61" fillId="0" borderId="24" xfId="0" applyBorder="1" applyAlignment="1">
      <alignment vertical="center" wrapText="1"/>
    </xf>
    <xf numFmtId="0" fontId="4" fillId="0" borderId="0" xfId="0" applyAlignment="1">
      <alignment horizontal="center" vertical="center" wrapText="1"/>
    </xf>
    <xf numFmtId="0" fontId="91" fillId="0" borderId="0" xfId="0" applyAlignment="1">
      <alignment vertical="center" wrapText="1"/>
    </xf>
    <xf numFmtId="0" fontId="61" fillId="0" borderId="0" xfId="0" applyAlignment="1">
      <alignment horizontal="justify" vertical="center"/>
    </xf>
    <xf numFmtId="0" fontId="61" fillId="0" borderId="0" xfId="0" applyAlignment="1">
      <alignment vertical="center" wrapText="1"/>
    </xf>
    <xf numFmtId="0" fontId="61" fillId="0" borderId="8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1" fillId="0" borderId="16" xfId="0" applyBorder="1" applyAlignment="1">
      <alignment horizontal="center" vertical="center"/>
    </xf>
    <xf numFmtId="49" fontId="89" fillId="0" borderId="79" xfId="0" quotePrefix="1" applyNumberFormat="1" applyBorder="1" applyAlignment="1">
      <alignment vertical="center" textRotation="255"/>
    </xf>
    <xf numFmtId="182" fontId="61" fillId="0" borderId="0" xfId="0" applyNumberFormat="1" applyAlignment="1">
      <alignment horizontal="center" vertical="center"/>
    </xf>
    <xf numFmtId="0" fontId="6" fillId="0" borderId="0" xfId="3112">
      <alignment vertical="center"/>
    </xf>
    <xf numFmtId="0" fontId="104" fillId="0" borderId="0" xfId="3112">
      <alignment vertical="center"/>
    </xf>
    <xf numFmtId="0" fontId="6" fillId="11" borderId="0" xfId="3112" applyFill="1">
      <alignment vertical="center"/>
    </xf>
    <xf numFmtId="0" fontId="104" fillId="11" borderId="0" xfId="3112" applyFill="1">
      <alignment vertical="center"/>
    </xf>
    <xf numFmtId="0" fontId="6" fillId="0" borderId="0" xfId="3112" applyAlignment="1">
      <alignment horizontal="left" vertical="center" wrapText="1"/>
    </xf>
    <xf numFmtId="0" fontId="6" fillId="0" borderId="0" xfId="3112" quotePrefix="1">
      <alignment vertical="center"/>
    </xf>
    <xf numFmtId="0" fontId="106" fillId="0" borderId="0" xfId="3112">
      <alignment vertical="center"/>
    </xf>
    <xf numFmtId="0" fontId="6" fillId="0" borderId="8" xfId="3112" applyBorder="1">
      <alignment vertical="center"/>
    </xf>
    <xf numFmtId="0" fontId="106" fillId="0" borderId="8" xfId="3112" applyBorder="1">
      <alignment vertical="center"/>
    </xf>
    <xf numFmtId="0" fontId="106" fillId="11" borderId="0" xfId="3112" applyFill="1">
      <alignment vertical="center"/>
    </xf>
    <xf numFmtId="0" fontId="0" fillId="0" borderId="0" xfId="0" applyAlignment="1">
      <alignment vertical="top"/>
    </xf>
    <xf numFmtId="0" fontId="69" fillId="0" borderId="0" xfId="0" applyAlignment="1">
      <alignment horizontal="left" vertical="center"/>
    </xf>
    <xf numFmtId="0" fontId="69" fillId="0" borderId="94" xfId="0" applyBorder="1" applyAlignment="1">
      <alignment vertical="center" textRotation="255" wrapText="1"/>
    </xf>
    <xf numFmtId="0" fontId="69" fillId="0" borderId="14" xfId="0" applyBorder="1" applyAlignment="1">
      <alignment vertical="center" textRotation="255" wrapText="1"/>
    </xf>
    <xf numFmtId="0" fontId="53" fillId="0" borderId="73" xfId="0" applyBorder="1" applyAlignment="1">
      <alignment vertical="center" wrapText="1"/>
    </xf>
    <xf numFmtId="0" fontId="53" fillId="0" borderId="13" xfId="0" applyBorder="1" applyAlignment="1">
      <alignment vertical="center" wrapText="1"/>
    </xf>
    <xf numFmtId="0" fontId="53" fillId="0" borderId="14" xfId="0" applyBorder="1" applyAlignment="1">
      <alignment vertical="center" wrapText="1"/>
    </xf>
    <xf numFmtId="0" fontId="110" fillId="0" borderId="7" xfId="0" applyBorder="1" applyAlignment="1">
      <alignment horizontal="center" vertical="center" wrapText="1"/>
    </xf>
    <xf numFmtId="181" fontId="111" fillId="0" borderId="7" xfId="0" applyNumberFormat="1" applyBorder="1" applyAlignment="1">
      <alignment vertical="center" shrinkToFit="1"/>
    </xf>
    <xf numFmtId="181" fontId="111" fillId="0" borderId="69" xfId="0" applyNumberFormat="1" applyBorder="1" applyAlignment="1">
      <alignment vertical="center" shrinkToFit="1"/>
    </xf>
    <xf numFmtId="181" fontId="111" fillId="0" borderId="49" xfId="0" applyNumberFormat="1" applyBorder="1" applyAlignment="1">
      <alignment horizontal="left" vertical="center" shrinkToFit="1"/>
    </xf>
    <xf numFmtId="181" fontId="111" fillId="0" borderId="7" xfId="0" applyNumberFormat="1" applyBorder="1" applyAlignment="1">
      <alignment horizontal="left" vertical="center" shrinkToFit="1"/>
    </xf>
    <xf numFmtId="0" fontId="53" fillId="0" borderId="2" xfId="0" applyBorder="1" applyAlignment="1">
      <alignment horizontal="center" vertical="center" wrapText="1"/>
    </xf>
    <xf numFmtId="0" fontId="111" fillId="0" borderId="49" xfId="0" applyBorder="1" applyAlignment="1">
      <alignment horizontal="left" vertical="center" shrinkToFit="1"/>
    </xf>
    <xf numFmtId="0" fontId="111" fillId="0" borderId="7" xfId="0" applyBorder="1" applyAlignment="1">
      <alignment horizontal="left" vertical="center" shrinkToFit="1"/>
    </xf>
    <xf numFmtId="0" fontId="98" fillId="12" borderId="72" xfId="0" applyFill="1" applyBorder="1" applyAlignment="1">
      <alignment horizontal="center" vertical="center" wrapText="1"/>
    </xf>
    <xf numFmtId="0" fontId="98" fillId="12" borderId="0" xfId="0" applyFill="1" applyAlignment="1">
      <alignment horizontal="center" vertical="center" wrapText="1"/>
    </xf>
    <xf numFmtId="0" fontId="97" fillId="0" borderId="0" xfId="0" applyAlignment="1">
      <alignment horizontal="center" vertical="center" wrapText="1"/>
    </xf>
    <xf numFmtId="0" fontId="96" fillId="0" borderId="0" xfId="0" applyAlignment="1">
      <alignment horizontal="center" vertical="center" wrapText="1"/>
    </xf>
    <xf numFmtId="0" fontId="61" fillId="12" borderId="72" xfId="0" applyFill="1" applyBorder="1" applyAlignment="1">
      <alignment horizontal="center" vertical="center" wrapText="1"/>
    </xf>
    <xf numFmtId="0" fontId="61" fillId="12" borderId="0" xfId="0" applyFill="1" applyAlignment="1">
      <alignment horizontal="center" vertical="center" wrapText="1"/>
    </xf>
    <xf numFmtId="14" fontId="102" fillId="0" borderId="0" xfId="0" applyNumberFormat="1" applyAlignment="1">
      <alignment horizontal="center" vertical="center"/>
    </xf>
    <xf numFmtId="0" fontId="85" fillId="0" borderId="0" xfId="0" applyAlignment="1">
      <alignment horizontal="left" vertical="center" wrapText="1"/>
    </xf>
    <xf numFmtId="0" fontId="95" fillId="0" borderId="21" xfId="0" applyBorder="1" applyAlignment="1">
      <alignment horizontal="center" vertical="center" wrapText="1"/>
    </xf>
    <xf numFmtId="0" fontId="95" fillId="0" borderId="22" xfId="0" applyBorder="1" applyAlignment="1">
      <alignment horizontal="center" vertical="center" wrapText="1"/>
    </xf>
    <xf numFmtId="0" fontId="95" fillId="0" borderId="23" xfId="0" applyBorder="1" applyAlignment="1">
      <alignment horizontal="center" vertical="center" wrapText="1"/>
    </xf>
    <xf numFmtId="0" fontId="69" fillId="0" borderId="67" xfId="0" applyBorder="1" applyAlignment="1">
      <alignment horizontal="center" vertical="center" textRotation="255" wrapText="1"/>
    </xf>
    <xf numFmtId="0" fontId="69" fillId="0" borderId="36" xfId="0" applyBorder="1" applyAlignment="1">
      <alignment horizontal="center" vertical="center" textRotation="255" wrapText="1"/>
    </xf>
    <xf numFmtId="0" fontId="69" fillId="0" borderId="54" xfId="0" applyBorder="1" applyAlignment="1">
      <alignment horizontal="center" vertical="center" textRotation="255" wrapText="1"/>
    </xf>
    <xf numFmtId="0" fontId="69" fillId="0" borderId="2" xfId="0" applyBorder="1" applyAlignment="1">
      <alignment horizontal="center" vertical="center" textRotation="255" wrapText="1"/>
    </xf>
    <xf numFmtId="0" fontId="53" fillId="0" borderId="36" xfId="0" applyBorder="1" applyAlignment="1">
      <alignment horizontal="center" vertical="center" wrapText="1"/>
    </xf>
    <xf numFmtId="0" fontId="111" fillId="0" borderId="36" xfId="0" applyBorder="1" applyAlignment="1">
      <alignment horizontal="left" vertical="center" wrapText="1"/>
    </xf>
    <xf numFmtId="0" fontId="111" fillId="0" borderId="52" xfId="0" applyBorder="1" applyAlignment="1">
      <alignment horizontal="left" vertical="center" wrapText="1"/>
    </xf>
    <xf numFmtId="0" fontId="110" fillId="0" borderId="0" xfId="0" applyAlignment="1">
      <alignment horizontal="left" vertical="center" wrapText="1"/>
    </xf>
    <xf numFmtId="0" fontId="110" fillId="0" borderId="25" xfId="0" applyBorder="1" applyAlignment="1">
      <alignment horizontal="left" vertical="center" wrapText="1"/>
    </xf>
    <xf numFmtId="0" fontId="110" fillId="0" borderId="13" xfId="0" applyBorder="1" applyAlignment="1">
      <alignment horizontal="left" vertical="center" wrapText="1"/>
    </xf>
    <xf numFmtId="0" fontId="110" fillId="0" borderId="68" xfId="0" applyBorder="1" applyAlignment="1">
      <alignment horizontal="left" vertical="center" wrapText="1"/>
    </xf>
    <xf numFmtId="0" fontId="111" fillId="0" borderId="7" xfId="0" applyBorder="1" applyAlignment="1">
      <alignment horizontal="left" vertical="center" wrapText="1"/>
    </xf>
    <xf numFmtId="0" fontId="111" fillId="0" borderId="69" xfId="0" applyBorder="1" applyAlignment="1">
      <alignment horizontal="left" vertical="center" wrapText="1"/>
    </xf>
    <xf numFmtId="0" fontId="110" fillId="0" borderId="2" xfId="0" applyBorder="1" applyAlignment="1">
      <alignment horizontal="left" vertical="center" wrapText="1"/>
    </xf>
    <xf numFmtId="0" fontId="110" fillId="0" borderId="32" xfId="0" applyBorder="1" applyAlignment="1">
      <alignment horizontal="left" vertical="center" wrapText="1"/>
    </xf>
    <xf numFmtId="0" fontId="111" fillId="0" borderId="49" xfId="0" applyBorder="1" applyAlignment="1">
      <alignment horizontal="left" vertical="center" wrapText="1"/>
    </xf>
    <xf numFmtId="0" fontId="4" fillId="0" borderId="24" xfId="0" applyBorder="1" applyAlignment="1">
      <alignment horizontal="center" vertical="center" wrapText="1"/>
    </xf>
    <xf numFmtId="14" fontId="4" fillId="0" borderId="0" xfId="0" applyNumberFormat="1" applyAlignment="1">
      <alignment horizontal="left" vertical="center" wrapText="1"/>
    </xf>
    <xf numFmtId="14" fontId="4" fillId="0" borderId="25" xfId="0" applyNumberFormat="1" applyBorder="1" applyAlignment="1">
      <alignment horizontal="left" vertical="center" wrapText="1"/>
    </xf>
    <xf numFmtId="0" fontId="4" fillId="0" borderId="54" xfId="0" applyBorder="1" applyAlignment="1">
      <alignment horizontal="center" vertical="center" wrapText="1"/>
    </xf>
    <xf numFmtId="0" fontId="4" fillId="0" borderId="2" xfId="0" applyBorder="1" applyAlignment="1">
      <alignment horizontal="center" vertical="center" wrapText="1"/>
    </xf>
    <xf numFmtId="0" fontId="4" fillId="0" borderId="32" xfId="0" applyBorder="1" applyAlignment="1">
      <alignment horizontal="center" vertical="center" wrapText="1"/>
    </xf>
    <xf numFmtId="0" fontId="0" fillId="0" borderId="4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61" fillId="0" borderId="24" xfId="0" applyBorder="1" applyAlignment="1">
      <alignment horizontal="justify" vertical="center" wrapText="1"/>
    </xf>
    <xf numFmtId="0" fontId="61" fillId="0" borderId="0" xfId="0" applyAlignment="1">
      <alignment horizontal="justify" vertical="center" wrapText="1"/>
    </xf>
    <xf numFmtId="0" fontId="4" fillId="0" borderId="25" xfId="0" applyBorder="1" applyAlignment="1">
      <alignment vertical="center" wrapText="1"/>
    </xf>
    <xf numFmtId="0" fontId="69" fillId="0" borderId="96" xfId="0" applyBorder="1" applyAlignment="1">
      <alignment horizontal="center" vertical="center" textRotation="255" wrapText="1"/>
    </xf>
    <xf numFmtId="0" fontId="69" fillId="0" borderId="95" xfId="0" applyBorder="1" applyAlignment="1">
      <alignment horizontal="center" vertical="center" textRotation="255" wrapText="1"/>
    </xf>
    <xf numFmtId="0" fontId="69" fillId="0" borderId="24" xfId="0" applyBorder="1" applyAlignment="1">
      <alignment horizontal="center" vertical="center" textRotation="255" wrapText="1"/>
    </xf>
    <xf numFmtId="0" fontId="69" fillId="0" borderId="92" xfId="0" applyBorder="1" applyAlignment="1">
      <alignment horizontal="center" vertical="center" textRotation="255" wrapText="1"/>
    </xf>
    <xf numFmtId="0" fontId="69" fillId="0" borderId="94" xfId="0" applyBorder="1" applyAlignment="1">
      <alignment horizontal="center" vertical="center" textRotation="255" wrapText="1"/>
    </xf>
    <xf numFmtId="0" fontId="69" fillId="0" borderId="14" xfId="0" applyBorder="1" applyAlignment="1">
      <alignment horizontal="center" vertical="center" textRotation="255" wrapText="1"/>
    </xf>
    <xf numFmtId="0" fontId="53" fillId="0" borderId="49" xfId="0" applyBorder="1" applyAlignment="1">
      <alignment horizontal="center" vertical="center" wrapText="1"/>
    </xf>
    <xf numFmtId="0" fontId="53" fillId="0" borderId="7" xfId="0" applyBorder="1" applyAlignment="1">
      <alignment horizontal="center" vertical="center" wrapText="1"/>
    </xf>
    <xf numFmtId="0" fontId="53" fillId="0" borderId="50" xfId="0" applyBorder="1" applyAlignment="1">
      <alignment horizontal="center" vertical="center" wrapText="1"/>
    </xf>
    <xf numFmtId="0" fontId="110" fillId="0" borderId="49" xfId="0" applyBorder="1" applyAlignment="1">
      <alignment horizontal="center" vertical="center" wrapText="1"/>
    </xf>
    <xf numFmtId="0" fontId="110" fillId="0" borderId="69" xfId="0" applyBorder="1" applyAlignment="1">
      <alignment horizontal="center" vertical="center" wrapText="1"/>
    </xf>
    <xf numFmtId="0" fontId="101" fillId="0" borderId="2" xfId="0" applyBorder="1" applyAlignment="1">
      <alignment horizontal="left" vertical="center" shrinkToFit="1"/>
    </xf>
    <xf numFmtId="0" fontId="4" fillId="0" borderId="2" xfId="0" applyBorder="1" applyAlignment="1">
      <alignment horizontal="left" vertical="center" wrapText="1"/>
    </xf>
    <xf numFmtId="0" fontId="4" fillId="0" borderId="32" xfId="0" applyBorder="1" applyAlignment="1">
      <alignment horizontal="left" vertical="center" wrapText="1"/>
    </xf>
    <xf numFmtId="0" fontId="4" fillId="0" borderId="2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4" fillId="0" borderId="62" xfId="0" applyBorder="1" applyAlignment="1">
      <alignment horizontal="center" vertical="center" wrapText="1"/>
    </xf>
    <xf numFmtId="0" fontId="4" fillId="0" borderId="1" xfId="0" applyBorder="1" applyAlignment="1">
      <alignment horizontal="center" vertical="center" wrapText="1"/>
    </xf>
    <xf numFmtId="0" fontId="4" fillId="0" borderId="1" xfId="0" applyBorder="1" applyAlignment="1">
      <alignment horizontal="left" vertical="center" shrinkToFit="1"/>
    </xf>
    <xf numFmtId="0" fontId="4" fillId="0" borderId="1" xfId="0" applyBorder="1" applyAlignment="1">
      <alignment horizontal="left" vertical="center" wrapText="1"/>
    </xf>
    <xf numFmtId="0" fontId="4" fillId="0" borderId="64" xfId="0" applyBorder="1" applyAlignment="1">
      <alignment horizontal="left" vertical="center" wrapText="1"/>
    </xf>
    <xf numFmtId="0" fontId="87" fillId="0" borderId="0" xfId="0" applyAlignment="1">
      <alignment horizontal="left" vertical="center"/>
    </xf>
    <xf numFmtId="0" fontId="94" fillId="0" borderId="0" xfId="0" applyAlignment="1">
      <alignment horizontal="center" vertical="center"/>
    </xf>
    <xf numFmtId="0" fontId="101" fillId="0" borderId="0" xfId="0" applyAlignment="1">
      <alignment horizontal="left" vertical="center" wrapText="1"/>
    </xf>
    <xf numFmtId="0" fontId="4" fillId="0" borderId="0" xfId="0" applyAlignment="1">
      <alignment horizontal="left" vertical="center" shrinkToFit="1"/>
    </xf>
    <xf numFmtId="0" fontId="112" fillId="0" borderId="0" xfId="0" applyAlignment="1">
      <alignment horizontal="center" vertical="center" wrapText="1"/>
    </xf>
    <xf numFmtId="0" fontId="4" fillId="0" borderId="0" xfId="0" applyAlignment="1">
      <alignment horizontal="left" vertical="top" wrapText="1"/>
    </xf>
    <xf numFmtId="0" fontId="87" fillId="0" borderId="0" xfId="0" applyAlignment="1">
      <alignment horizontal="left" vertical="center" wrapText="1"/>
    </xf>
    <xf numFmtId="0" fontId="91" fillId="0" borderId="8" xfId="0" applyBorder="1" applyAlignment="1">
      <alignment horizontal="center" vertical="center" wrapText="1"/>
    </xf>
    <xf numFmtId="0" fontId="53" fillId="0" borderId="21" xfId="0" applyBorder="1" applyAlignment="1">
      <alignment horizontal="center" vertical="center" wrapText="1"/>
    </xf>
    <xf numFmtId="0" fontId="53" fillId="0" borderId="22" xfId="0" applyBorder="1" applyAlignment="1">
      <alignment horizontal="center" vertical="center" wrapText="1"/>
    </xf>
    <xf numFmtId="0" fontId="53" fillId="0" borderId="97" xfId="0" applyBorder="1" applyAlignment="1">
      <alignment horizontal="center" vertical="center" wrapText="1"/>
    </xf>
    <xf numFmtId="0" fontId="53" fillId="0" borderId="23" xfId="0" applyBorder="1" applyAlignment="1">
      <alignment horizontal="center" vertical="center" wrapText="1"/>
    </xf>
    <xf numFmtId="0" fontId="92" fillId="0" borderId="96" xfId="0" applyBorder="1" applyAlignment="1">
      <alignment horizontal="center" vertical="center" wrapText="1"/>
    </xf>
    <xf numFmtId="0" fontId="92" fillId="0" borderId="71" xfId="0" applyBorder="1" applyAlignment="1">
      <alignment horizontal="center" vertical="center" wrapText="1"/>
    </xf>
    <xf numFmtId="0" fontId="92" fillId="0" borderId="24" xfId="0" applyBorder="1" applyAlignment="1">
      <alignment horizontal="center" vertical="center" wrapText="1"/>
    </xf>
    <xf numFmtId="0" fontId="92" fillId="0" borderId="0" xfId="0" applyAlignment="1">
      <alignment horizontal="center" vertical="center" wrapText="1"/>
    </xf>
    <xf numFmtId="0" fontId="92" fillId="0" borderId="94" xfId="0" applyBorder="1" applyAlignment="1">
      <alignment horizontal="center" vertical="center" wrapText="1"/>
    </xf>
    <xf numFmtId="0" fontId="92" fillId="0" borderId="13" xfId="0" applyBorder="1" applyAlignment="1">
      <alignment horizontal="center" vertical="center" wrapText="1"/>
    </xf>
    <xf numFmtId="0" fontId="92" fillId="0" borderId="70" xfId="0" applyBorder="1" applyAlignment="1">
      <alignment horizontal="left" vertical="center" wrapText="1"/>
    </xf>
    <xf numFmtId="0" fontId="92" fillId="0" borderId="71" xfId="0" applyBorder="1" applyAlignment="1">
      <alignment horizontal="left" vertical="center" wrapText="1"/>
    </xf>
    <xf numFmtId="0" fontId="92" fillId="0" borderId="95" xfId="0" applyBorder="1" applyAlignment="1">
      <alignment horizontal="left" vertical="center" wrapText="1"/>
    </xf>
    <xf numFmtId="0" fontId="92" fillId="0" borderId="2" xfId="0" applyBorder="1" applyAlignment="1">
      <alignment horizontal="left" vertical="center" wrapText="1"/>
    </xf>
    <xf numFmtId="0" fontId="92" fillId="0" borderId="32" xfId="0" applyBorder="1" applyAlignment="1">
      <alignment horizontal="left" vertical="center" wrapText="1"/>
    </xf>
    <xf numFmtId="0" fontId="92" fillId="0" borderId="72" xfId="0" applyBorder="1" applyAlignment="1">
      <alignment horizontal="left" vertical="center" wrapText="1"/>
    </xf>
    <xf numFmtId="0" fontId="92" fillId="0" borderId="0" xfId="0" applyAlignment="1">
      <alignment horizontal="left" vertical="center" wrapText="1"/>
    </xf>
    <xf numFmtId="0" fontId="92" fillId="0" borderId="92" xfId="0" applyBorder="1" applyAlignment="1">
      <alignment horizontal="left" vertical="center" wrapText="1"/>
    </xf>
    <xf numFmtId="0" fontId="92" fillId="0" borderId="73" xfId="0" applyBorder="1" applyAlignment="1">
      <alignment horizontal="left" vertical="center" wrapText="1"/>
    </xf>
    <xf numFmtId="0" fontId="92" fillId="0" borderId="13" xfId="0" applyBorder="1" applyAlignment="1">
      <alignment horizontal="left" vertical="center" wrapText="1"/>
    </xf>
    <xf numFmtId="0" fontId="92" fillId="0" borderId="14" xfId="0" applyBorder="1" applyAlignment="1">
      <alignment horizontal="left" vertical="center" wrapText="1"/>
    </xf>
    <xf numFmtId="0" fontId="92" fillId="0" borderId="72" xfId="0" quotePrefix="1" applyBorder="1" applyAlignment="1">
      <alignment horizontal="left" vertical="center" wrapText="1"/>
    </xf>
    <xf numFmtId="0" fontId="92" fillId="0" borderId="0" xfId="0" quotePrefix="1" applyAlignment="1">
      <alignment horizontal="left" vertical="center" wrapText="1"/>
    </xf>
    <xf numFmtId="0" fontId="92" fillId="0" borderId="92" xfId="0" quotePrefix="1" applyBorder="1" applyAlignment="1">
      <alignment horizontal="left" vertical="center" wrapText="1"/>
    </xf>
    <xf numFmtId="0" fontId="92" fillId="0" borderId="93" xfId="0" applyBorder="1" applyAlignment="1">
      <alignment horizontal="center" vertical="center" wrapText="1"/>
    </xf>
    <xf numFmtId="0" fontId="92" fillId="0" borderId="7" xfId="0" applyBorder="1" applyAlignment="1">
      <alignment horizontal="center" vertical="center" wrapText="1"/>
    </xf>
    <xf numFmtId="0" fontId="92" fillId="0" borderId="49" xfId="0" applyBorder="1" applyAlignment="1">
      <alignment horizontal="left" vertical="center" wrapText="1"/>
    </xf>
    <xf numFmtId="0" fontId="92" fillId="0" borderId="7" xfId="0" applyBorder="1" applyAlignment="1">
      <alignment horizontal="left" vertical="center" wrapText="1"/>
    </xf>
    <xf numFmtId="0" fontId="92" fillId="0" borderId="50" xfId="0" applyBorder="1" applyAlignment="1">
      <alignment horizontal="left" vertical="center" wrapText="1"/>
    </xf>
    <xf numFmtId="0" fontId="92" fillId="0" borderId="91" xfId="0" applyBorder="1" applyAlignment="1">
      <alignment horizontal="center" vertical="center" wrapText="1"/>
    </xf>
    <xf numFmtId="0" fontId="92" fillId="0" borderId="75" xfId="0" applyBorder="1" applyAlignment="1">
      <alignment horizontal="center" vertical="center" wrapText="1"/>
    </xf>
    <xf numFmtId="0" fontId="92" fillId="0" borderId="74" xfId="0" applyBorder="1" applyAlignment="1">
      <alignment horizontal="left" vertical="center" wrapText="1"/>
    </xf>
    <xf numFmtId="0" fontId="92" fillId="0" borderId="75" xfId="0" applyBorder="1" applyAlignment="1">
      <alignment horizontal="left" vertical="center" wrapText="1"/>
    </xf>
    <xf numFmtId="0" fontId="92" fillId="0" borderId="90" xfId="0" applyBorder="1" applyAlignment="1">
      <alignment horizontal="left" vertical="center" wrapText="1"/>
    </xf>
    <xf numFmtId="0" fontId="92" fillId="0" borderId="1" xfId="0" applyBorder="1" applyAlignment="1">
      <alignment horizontal="left" vertical="center" wrapText="1"/>
    </xf>
    <xf numFmtId="0" fontId="92" fillId="0" borderId="64" xfId="0" applyBorder="1" applyAlignment="1">
      <alignment horizontal="left" vertical="center" wrapText="1"/>
    </xf>
    <xf numFmtId="0" fontId="86" fillId="0" borderId="76" xfId="2637" applyFill="1" applyBorder="1" applyAlignment="1">
      <alignment horizontal="left" vertical="center"/>
    </xf>
    <xf numFmtId="0" fontId="86" fillId="0" borderId="77" xfId="2637" applyFill="1" applyBorder="1" applyAlignment="1">
      <alignment horizontal="left" vertical="center"/>
    </xf>
    <xf numFmtId="0" fontId="0" fillId="0" borderId="77" xfId="0" applyBorder="1" applyAlignment="1">
      <alignment horizontal="center"/>
    </xf>
    <xf numFmtId="0" fontId="0" fillId="0" borderId="77" xfId="2637" applyFill="1" applyBorder="1" applyAlignment="1">
      <alignment horizontal="center" vertical="center"/>
    </xf>
    <xf numFmtId="176" fontId="53" fillId="0" borderId="77" xfId="0" applyNumberFormat="1" applyBorder="1" applyAlignment="1">
      <alignment horizontal="center" vertical="center" shrinkToFit="1"/>
    </xf>
    <xf numFmtId="176" fontId="53" fillId="0" borderId="78" xfId="0" applyNumberFormat="1" applyBorder="1" applyAlignment="1">
      <alignment horizontal="center" vertical="center" shrinkToFit="1"/>
    </xf>
    <xf numFmtId="182" fontId="0" fillId="0" borderId="80" xfId="0" applyNumberFormat="1" applyBorder="1" applyAlignment="1">
      <alignment horizontal="center" vertical="center"/>
    </xf>
    <xf numFmtId="176" fontId="0" fillId="0" borderId="80" xfId="0" applyNumberFormat="1" applyBorder="1" applyAlignment="1">
      <alignment horizontal="center" vertical="center"/>
    </xf>
    <xf numFmtId="176" fontId="0" fillId="0" borderId="80" xfId="2791" applyFill="1" applyBorder="1" applyAlignment="1">
      <alignment horizontal="center" vertical="center" shrinkToFit="1"/>
    </xf>
    <xf numFmtId="176" fontId="0" fillId="0" borderId="81" xfId="2791" applyFill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6" fontId="0" fillId="0" borderId="0" xfId="2791" applyFill="1" applyBorder="1" applyAlignment="1">
      <alignment horizontal="center" vertical="center" shrinkToFit="1"/>
    </xf>
    <xf numFmtId="176" fontId="0" fillId="0" borderId="25" xfId="2791" applyFill="1" applyBorder="1" applyAlignment="1">
      <alignment horizontal="center" vertical="center" shrinkToFit="1"/>
    </xf>
    <xf numFmtId="0" fontId="0" fillId="0" borderId="80" xfId="0" quotePrefix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6" xfId="2791" applyFill="1" applyBorder="1" applyAlignment="1">
      <alignment horizontal="center" vertical="center" shrinkToFit="1"/>
    </xf>
    <xf numFmtId="176" fontId="0" fillId="0" borderId="83" xfId="2791" applyFill="1" applyBorder="1" applyAlignment="1">
      <alignment horizontal="center" vertical="center" shrinkToFit="1"/>
    </xf>
    <xf numFmtId="0" fontId="86" fillId="0" borderId="84" xfId="0" applyBorder="1" applyAlignment="1">
      <alignment horizontal="left" vertical="center"/>
    </xf>
    <xf numFmtId="0" fontId="86" fillId="0" borderId="85" xfId="0" applyBorder="1" applyAlignment="1">
      <alignment horizontal="left" vertical="center"/>
    </xf>
    <xf numFmtId="0" fontId="61" fillId="0" borderId="85" xfId="0" applyBorder="1" applyAlignment="1">
      <alignment horizontal="center" vertical="center"/>
    </xf>
    <xf numFmtId="186" fontId="0" fillId="0" borderId="85" xfId="2791" applyNumberFormat="1" applyFill="1" applyBorder="1" applyAlignment="1">
      <alignment horizontal="center" vertical="center" shrinkToFit="1"/>
    </xf>
    <xf numFmtId="186" fontId="0" fillId="0" borderId="86" xfId="2791" applyNumberFormat="1" applyFill="1" applyBorder="1" applyAlignment="1">
      <alignment horizontal="center" vertical="center" shrinkToFit="1"/>
    </xf>
    <xf numFmtId="0" fontId="0" fillId="0" borderId="85" xfId="0" applyBorder="1" applyAlignment="1">
      <alignment horizontal="center" vertical="center" shrinkToFit="1"/>
    </xf>
    <xf numFmtId="176" fontId="0" fillId="0" borderId="85" xfId="2791" applyFill="1" applyBorder="1" applyAlignment="1">
      <alignment horizontal="center" vertical="center" shrinkToFit="1"/>
    </xf>
    <xf numFmtId="176" fontId="0" fillId="0" borderId="86" xfId="2791" applyFill="1" applyBorder="1" applyAlignment="1">
      <alignment horizontal="center" vertical="center" shrinkToFit="1"/>
    </xf>
    <xf numFmtId="0" fontId="86" fillId="0" borderId="79" xfId="0" applyBorder="1" applyAlignment="1">
      <alignment horizontal="left" vertical="center"/>
    </xf>
    <xf numFmtId="0" fontId="86" fillId="0" borderId="80" xfId="0" applyBorder="1" applyAlignment="1">
      <alignment horizontal="left" vertical="center"/>
    </xf>
    <xf numFmtId="176" fontId="53" fillId="0" borderId="80" xfId="2791" applyFill="1" applyBorder="1" applyAlignment="1">
      <alignment horizontal="center" vertical="center" shrinkToFit="1"/>
    </xf>
    <xf numFmtId="176" fontId="53" fillId="0" borderId="81" xfId="279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0" fontId="4" fillId="0" borderId="84" xfId="0" applyBorder="1" applyAlignment="1">
      <alignment horizontal="center" vertical="center"/>
    </xf>
    <xf numFmtId="0" fontId="4" fillId="0" borderId="85" xfId="0" applyBorder="1" applyAlignment="1">
      <alignment horizontal="center" vertical="center"/>
    </xf>
    <xf numFmtId="176" fontId="0" fillId="0" borderId="85" xfId="2791" applyFill="1" applyBorder="1" applyAlignment="1">
      <alignment horizontal="right" vertical="center" shrinkToFit="1"/>
    </xf>
    <xf numFmtId="176" fontId="0" fillId="0" borderId="86" xfId="2791" applyFill="1" applyBorder="1" applyAlignment="1">
      <alignment horizontal="right" vertical="center" shrinkToFit="1"/>
    </xf>
    <xf numFmtId="0" fontId="69" fillId="0" borderId="89" xfId="0" applyBorder="1" applyAlignment="1">
      <alignment horizontal="center" vertical="center"/>
    </xf>
    <xf numFmtId="0" fontId="69" fillId="0" borderId="88" xfId="0" applyBorder="1" applyAlignment="1">
      <alignment horizontal="center" vertical="center"/>
    </xf>
    <xf numFmtId="176" fontId="53" fillId="0" borderId="88" xfId="2791" applyFill="1" applyBorder="1" applyAlignment="1">
      <alignment horizontal="center" vertical="center" shrinkToFit="1"/>
    </xf>
    <xf numFmtId="176" fontId="53" fillId="0" borderId="87" xfId="2791" applyFill="1" applyBorder="1" applyAlignment="1">
      <alignment horizontal="center" vertical="center" shrinkToFit="1"/>
    </xf>
    <xf numFmtId="176" fontId="53" fillId="0" borderId="85" xfId="2791" applyFill="1" applyBorder="1" applyAlignment="1">
      <alignment horizontal="center" vertical="center" shrinkToFit="1"/>
    </xf>
    <xf numFmtId="176" fontId="53" fillId="0" borderId="86" xfId="2791" applyFill="1" applyBorder="1" applyAlignment="1">
      <alignment horizontal="center" vertical="center" shrinkToFit="1"/>
    </xf>
    <xf numFmtId="178" fontId="0" fillId="0" borderId="0" xfId="0" applyNumberFormat="1" applyAlignment="1">
      <alignment horizontal="center" vertical="center"/>
    </xf>
    <xf numFmtId="0" fontId="103" fillId="0" borderId="0" xfId="3112" applyAlignment="1">
      <alignment horizontal="center" vertical="center"/>
    </xf>
    <xf numFmtId="0" fontId="32" fillId="0" borderId="0" xfId="3112" applyAlignment="1">
      <alignment horizontal="center" vertical="center" shrinkToFit="1"/>
    </xf>
    <xf numFmtId="0" fontId="105" fillId="0" borderId="0" xfId="3112" applyAlignment="1">
      <alignment horizontal="center" vertical="center" shrinkToFit="1"/>
    </xf>
    <xf numFmtId="0" fontId="106" fillId="0" borderId="0" xfId="3112" applyAlignment="1">
      <alignment horizontal="left" vertical="center"/>
    </xf>
    <xf numFmtId="244" fontId="106" fillId="0" borderId="0" xfId="3112" applyNumberFormat="1" applyAlignment="1">
      <alignment horizontal="left" vertical="center"/>
    </xf>
    <xf numFmtId="0" fontId="6" fillId="0" borderId="0" xfId="3112" applyAlignment="1">
      <alignment horizontal="left" vertical="center"/>
    </xf>
    <xf numFmtId="0" fontId="6" fillId="0" borderId="0" xfId="3112" applyAlignment="1">
      <alignment horizontal="left" vertical="center" shrinkToFit="1"/>
    </xf>
    <xf numFmtId="0" fontId="107" fillId="0" borderId="0" xfId="3112" applyAlignment="1">
      <alignment horizontal="center" vertical="top"/>
    </xf>
    <xf numFmtId="0" fontId="109" fillId="0" borderId="0" xfId="3112" applyAlignment="1">
      <alignment horizontal="left" vertical="center"/>
    </xf>
    <xf numFmtId="0" fontId="109" fillId="0" borderId="0" xfId="3112" applyAlignment="1">
      <alignment horizontal="left" vertical="center" shrinkToFit="1"/>
    </xf>
    <xf numFmtId="0" fontId="82" fillId="8" borderId="0" xfId="0" quotePrefix="1" applyFill="1" applyAlignment="1">
      <alignment horizontal="center" vertical="center" shrinkToFit="1"/>
    </xf>
    <xf numFmtId="0" fontId="82" fillId="8" borderId="0" xfId="0" applyFill="1" applyAlignment="1">
      <alignment horizontal="center" vertical="center" shrinkToFit="1"/>
    </xf>
    <xf numFmtId="0" fontId="70" fillId="0" borderId="8" xfId="0" applyBorder="1" applyAlignment="1">
      <alignment horizontal="right" vertical="center" shrinkToFit="1"/>
    </xf>
    <xf numFmtId="0" fontId="71" fillId="8" borderId="57" xfId="0" applyFill="1" applyBorder="1" applyAlignment="1">
      <alignment horizontal="center" vertical="center"/>
    </xf>
    <xf numFmtId="0" fontId="71" fillId="8" borderId="58" xfId="0" applyFill="1" applyBorder="1" applyAlignment="1">
      <alignment horizontal="center" vertical="center"/>
    </xf>
    <xf numFmtId="0" fontId="71" fillId="7" borderId="61" xfId="0" applyFill="1" applyBorder="1" applyAlignment="1">
      <alignment horizontal="center" vertical="center"/>
    </xf>
    <xf numFmtId="0" fontId="71" fillId="7" borderId="17" xfId="0" applyFill="1" applyBorder="1" applyAlignment="1">
      <alignment horizontal="center" vertical="center"/>
    </xf>
    <xf numFmtId="181" fontId="71" fillId="7" borderId="17" xfId="0" applyNumberFormat="1" applyFill="1" applyBorder="1" applyAlignment="1">
      <alignment horizontal="left" vertical="center" shrinkToFit="1"/>
    </xf>
    <xf numFmtId="181" fontId="71" fillId="7" borderId="63" xfId="0" applyNumberFormat="1" applyFill="1" applyBorder="1" applyAlignment="1">
      <alignment horizontal="left" vertical="center" shrinkToFit="1"/>
    </xf>
    <xf numFmtId="176" fontId="71" fillId="8" borderId="59" xfId="0" applyNumberFormat="1" applyFill="1" applyBorder="1" applyAlignment="1">
      <alignment horizontal="center" vertical="center" shrinkToFit="1"/>
    </xf>
    <xf numFmtId="176" fontId="71" fillId="8" borderId="6" xfId="0" applyNumberFormat="1" applyFill="1" applyBorder="1" applyAlignment="1">
      <alignment horizontal="center" vertical="center" shrinkToFit="1"/>
    </xf>
    <xf numFmtId="176" fontId="71" fillId="8" borderId="53" xfId="0" applyNumberFormat="1" applyFill="1" applyBorder="1" applyAlignment="1">
      <alignment horizontal="center" vertical="center" shrinkToFit="1"/>
    </xf>
    <xf numFmtId="0" fontId="71" fillId="7" borderId="62" xfId="0" applyFill="1" applyBorder="1" applyAlignment="1">
      <alignment horizontal="center" vertical="center"/>
    </xf>
    <xf numFmtId="0" fontId="71" fillId="7" borderId="1" xfId="0" applyFill="1" applyBorder="1" applyAlignment="1">
      <alignment horizontal="center" vertical="center"/>
    </xf>
    <xf numFmtId="181" fontId="71" fillId="7" borderId="1" xfId="0" applyNumberFormat="1" applyFill="1" applyBorder="1" applyAlignment="1">
      <alignment horizontal="left" vertical="center" shrinkToFit="1"/>
    </xf>
    <xf numFmtId="181" fontId="71" fillId="7" borderId="64" xfId="0" applyNumberFormat="1" applyFill="1" applyBorder="1" applyAlignment="1">
      <alignment horizontal="left" vertical="center" shrinkToFit="1"/>
    </xf>
    <xf numFmtId="0" fontId="80" fillId="0" borderId="26" xfId="0" applyBorder="1" applyAlignment="1">
      <alignment horizontal="center" vertical="center"/>
    </xf>
    <xf numFmtId="0" fontId="80" fillId="0" borderId="8" xfId="0" applyBorder="1" applyAlignment="1">
      <alignment horizontal="center" vertical="center"/>
    </xf>
    <xf numFmtId="0" fontId="80" fillId="0" borderId="27" xfId="0" applyBorder="1" applyAlignment="1">
      <alignment horizontal="center" vertical="center"/>
    </xf>
    <xf numFmtId="0" fontId="70" fillId="0" borderId="60" xfId="2637" applyFill="1" applyBorder="1" applyAlignment="1">
      <alignment horizontal="center" vertical="center"/>
    </xf>
    <xf numFmtId="0" fontId="70" fillId="2" borderId="65" xfId="2637" applyFill="1" applyBorder="1" applyAlignment="1">
      <alignment horizontal="left" vertical="center"/>
    </xf>
    <xf numFmtId="0" fontId="70" fillId="2" borderId="66" xfId="2637" applyFill="1" applyBorder="1" applyAlignment="1">
      <alignment horizontal="left" vertical="center"/>
    </xf>
    <xf numFmtId="0" fontId="70" fillId="2" borderId="54" xfId="0" applyFill="1" applyBorder="1" applyAlignment="1">
      <alignment horizontal="left" vertical="center"/>
    </xf>
    <xf numFmtId="0" fontId="70" fillId="2" borderId="2" xfId="0" applyFill="1" applyBorder="1" applyAlignment="1">
      <alignment horizontal="left" vertical="center"/>
    </xf>
    <xf numFmtId="0" fontId="72" fillId="2" borderId="54" xfId="0" applyFill="1" applyBorder="1" applyAlignment="1">
      <alignment horizontal="left" vertical="center"/>
    </xf>
    <xf numFmtId="0" fontId="72" fillId="2" borderId="2" xfId="0" applyFill="1" applyBorder="1" applyAlignment="1">
      <alignment horizontal="left" vertical="center"/>
    </xf>
    <xf numFmtId="0" fontId="72" fillId="0" borderId="54" xfId="0" applyBorder="1" applyAlignment="1">
      <alignment horizontal="left" vertical="center"/>
    </xf>
    <xf numFmtId="0" fontId="72" fillId="0" borderId="2" xfId="0" applyBorder="1" applyAlignment="1">
      <alignment horizontal="left" vertical="center"/>
    </xf>
    <xf numFmtId="0" fontId="70" fillId="0" borderId="2" xfId="0" applyBorder="1" applyAlignment="1">
      <alignment horizontal="center" vertical="center"/>
    </xf>
    <xf numFmtId="0" fontId="72" fillId="0" borderId="54" xfId="0" applyBorder="1" applyAlignment="1">
      <alignment horizontal="center" vertical="center"/>
    </xf>
    <xf numFmtId="0" fontId="72" fillId="0" borderId="2" xfId="0" applyBorder="1" applyAlignment="1">
      <alignment horizontal="center" vertical="center"/>
    </xf>
    <xf numFmtId="0" fontId="72" fillId="8" borderId="54" xfId="0" applyFill="1" applyBorder="1" applyAlignment="1">
      <alignment horizontal="center" vertical="center"/>
    </xf>
    <xf numFmtId="0" fontId="72" fillId="8" borderId="2" xfId="0" applyFill="1" applyBorder="1" applyAlignment="1">
      <alignment horizontal="center" vertical="center"/>
    </xf>
    <xf numFmtId="0" fontId="70" fillId="8" borderId="2" xfId="0" applyFill="1" applyBorder="1" applyAlignment="1">
      <alignment horizontal="center" vertical="center"/>
    </xf>
    <xf numFmtId="0" fontId="71" fillId="8" borderId="55" xfId="0" applyFill="1" applyBorder="1" applyAlignment="1">
      <alignment horizontal="center" vertical="center"/>
    </xf>
    <xf numFmtId="0" fontId="71" fillId="8" borderId="56" xfId="0" applyFill="1" applyBorder="1" applyAlignment="1">
      <alignment horizontal="center" vertical="center"/>
    </xf>
    <xf numFmtId="0" fontId="70" fillId="8" borderId="56" xfId="0" applyFill="1" applyBorder="1" applyAlignment="1">
      <alignment horizontal="center" vertical="center"/>
    </xf>
    <xf numFmtId="0" fontId="73" fillId="2" borderId="21" xfId="0" applyFill="1" applyBorder="1" applyAlignment="1">
      <alignment horizontal="center" vertical="center"/>
    </xf>
    <xf numFmtId="0" fontId="73" fillId="2" borderId="22" xfId="0" applyFill="1" applyBorder="1" applyAlignment="1">
      <alignment horizontal="center" vertical="center"/>
    </xf>
    <xf numFmtId="0" fontId="73" fillId="2" borderId="24" xfId="0" applyFill="1" applyBorder="1" applyAlignment="1">
      <alignment horizontal="center" vertical="center"/>
    </xf>
    <xf numFmtId="0" fontId="73" fillId="2" borderId="0" xfId="0" applyFill="1" applyAlignment="1">
      <alignment horizontal="center" vertical="center"/>
    </xf>
    <xf numFmtId="0" fontId="73" fillId="2" borderId="26" xfId="0" applyFill="1" applyBorder="1" applyAlignment="1">
      <alignment horizontal="center" vertical="center"/>
    </xf>
    <xf numFmtId="0" fontId="73" fillId="2" borderId="8" xfId="0" applyFill="1" applyBorder="1" applyAlignment="1">
      <alignment horizontal="center" vertical="center"/>
    </xf>
    <xf numFmtId="0" fontId="76" fillId="0" borderId="22" xfId="0" applyBorder="1" applyAlignment="1">
      <alignment horizontal="center" vertical="center" wrapText="1"/>
    </xf>
    <xf numFmtId="0" fontId="72" fillId="0" borderId="0" xfId="0" applyAlignment="1">
      <alignment horizontal="center" vertical="center" wrapText="1"/>
    </xf>
    <xf numFmtId="0" fontId="70" fillId="0" borderId="0" xfId="0" applyAlignment="1">
      <alignment horizontal="center" vertical="center" wrapText="1"/>
    </xf>
    <xf numFmtId="0" fontId="70" fillId="0" borderId="0" xfId="0" applyAlignment="1">
      <alignment horizontal="center" vertical="center" shrinkToFit="1"/>
    </xf>
    <xf numFmtId="0" fontId="70" fillId="0" borderId="8" xfId="0" applyBorder="1" applyAlignment="1">
      <alignment horizontal="center" vertical="center" shrinkToFit="1"/>
    </xf>
    <xf numFmtId="0" fontId="101" fillId="0" borderId="0" xfId="0" applyAlignment="1">
      <alignment vertical="center" wrapText="1"/>
    </xf>
    <xf numFmtId="0" fontId="101" fillId="0" borderId="0" xfId="0" applyFill="1" applyAlignment="1">
      <alignment vertical="center" wrapText="1"/>
    </xf>
    <xf numFmtId="0" fontId="101" fillId="0" borderId="0" xfId="0" applyFill="1" applyBorder="1" applyAlignment="1">
      <alignment horizontal="center" vertical="center" wrapText="1"/>
    </xf>
    <xf numFmtId="0" fontId="112" fillId="0" borderId="0" xfId="0" applyAlignment="1">
      <alignment vertical="center" wrapText="1"/>
    </xf>
    <xf numFmtId="0" fontId="112" fillId="0" borderId="0" xfId="0" applyFill="1" applyAlignment="1">
      <alignment vertical="center" wrapText="1"/>
    </xf>
    <xf numFmtId="0" fontId="112" fillId="0" borderId="0" xfId="0" applyFill="1" applyBorder="1" applyAlignment="1">
      <alignment horizontal="center" vertical="center" wrapText="1"/>
    </xf>
    <xf numFmtId="0" fontId="101" fillId="0" borderId="0" xfId="0" applyFill="1" applyBorder="1" applyAlignment="1">
      <alignment horizontal="left" vertical="center" wrapText="1"/>
    </xf>
  </cellXfs>
  <cellStyles count="3162">
    <cellStyle name="20% - 강조색1" xfId="3137" builtinId="30"/>
    <cellStyle name="20% - 강조색2" xfId="3141" builtinId="34"/>
    <cellStyle name="20% - 강조색3" xfId="3145" builtinId="38"/>
    <cellStyle name="20% - 강조색4" xfId="3149" builtinId="42"/>
    <cellStyle name="20% - 강조색5" xfId="3153" builtinId="46"/>
    <cellStyle name="20% - 강조색6" xfId="3157" builtinId="50"/>
    <cellStyle name="40% - 강조색1" xfId="3138" builtinId="31"/>
    <cellStyle name="40% - 강조색2" xfId="3142" builtinId="35"/>
    <cellStyle name="40% - 강조색3" xfId="3146" builtinId="39"/>
    <cellStyle name="40% - 강조색4" xfId="3150" builtinId="43"/>
    <cellStyle name="40% - 강조색5" xfId="3154" builtinId="47"/>
    <cellStyle name="40% - 강조색6" xfId="3158" builtinId="51"/>
    <cellStyle name="60% - 강조색1" xfId="3139" builtinId="32"/>
    <cellStyle name="60% - 강조색2" xfId="3143" builtinId="36"/>
    <cellStyle name="60% - 강조색3" xfId="3147" builtinId="40"/>
    <cellStyle name="60% - 강조색4" xfId="3151" builtinId="44"/>
    <cellStyle name="60% - 강조색5" xfId="3155" builtinId="48"/>
    <cellStyle name="60% - 강조색6" xfId="3159" builtinId="52"/>
    <cellStyle name="강조색1" xfId="3136" builtinId="29"/>
    <cellStyle name="강조색2" xfId="3140" builtinId="33"/>
    <cellStyle name="강조색3" xfId="3144" builtinId="37"/>
    <cellStyle name="강조색4" xfId="3148" builtinId="41"/>
    <cellStyle name="강조색5" xfId="3152" builtinId="45"/>
    <cellStyle name="강조색6" xfId="3156" builtinId="49"/>
    <cellStyle name="경고문" xfId="3121" builtinId="11"/>
    <cellStyle name="계산" xfId="3129" builtinId="22"/>
    <cellStyle name="나쁨" xfId="3134" builtinId="27"/>
    <cellStyle name="메모" xfId="3120" builtinId="10"/>
    <cellStyle name="백분율" xfId="3118" builtinId="5"/>
    <cellStyle name="보통" xfId="3135" builtinId="28"/>
    <cellStyle name="설명텍스트" xfId="3160" builtinId="53"/>
    <cellStyle name="셀 확인" xfId="3130" builtinId="23"/>
    <cellStyle name="쉼표" xfId="3116" builtinId="3"/>
    <cellStyle name="쉼표 [0]" xfId="2793" builtinId="6"/>
    <cellStyle name="연결된 셀" xfId="3131" builtinId="24"/>
    <cellStyle name="열어 본 하이퍼링크" xfId="3115" builtinId="9" hidden="1"/>
    <cellStyle name="요약" xfId="3132" builtinId="25"/>
    <cellStyle name="입력" xfId="3127" builtinId="20"/>
    <cellStyle name="제목" xfId="3122" builtinId="15"/>
    <cellStyle name="제목1" xfId="3123" builtinId="16"/>
    <cellStyle name="제목2" xfId="3124" builtinId="17"/>
    <cellStyle name="제목3" xfId="3125" builtinId="18"/>
    <cellStyle name="제목4" xfId="3126" builtinId="19"/>
    <cellStyle name="좋음" xfId="3133" builtinId="26"/>
    <cellStyle name="출력" xfId="3128" builtinId="21"/>
    <cellStyle name="통화" xfId="3117" builtinId="4"/>
    <cellStyle name="통화[0]" xfId="3119" builtinId="7"/>
    <cellStyle name="표준" xfId="0" builtinId="0"/>
    <cellStyle name="하이퍼링크" xfId="3114" builtinId="8" hidden="1"/>
    <cellStyle name=" " xfId="1"/>
    <cellStyle name=" _97연말" xfId="3"/>
    <cellStyle name=" _97연말1" xfId="4"/>
    <cellStyle name=" _Book1" xfId="5"/>
    <cellStyle name="&quot;" xfId="6"/>
    <cellStyle name="#,##0" xfId="7"/>
    <cellStyle name="' '" xfId="2"/>
    <cellStyle name="(##.00)" xfId="8"/>
    <cellStyle name="(△콤마)" xfId="9"/>
    <cellStyle name="(백분율)" xfId="10"/>
    <cellStyle name="(콤마)" xfId="11"/>
    <cellStyle name="+,-,0" xfId="1096"/>
    <cellStyle name="0" xfId="1104"/>
    <cellStyle name="0.0" xfId="1105"/>
    <cellStyle name="0.00" xfId="1106"/>
    <cellStyle name="00" xfId="1107"/>
    <cellStyle name="1" xfId="1108"/>
    <cellStyle name="11" xfId="2595"/>
    <cellStyle name="111" xfId="2596"/>
    <cellStyle name="1_00-수량산출서" xfId="1109"/>
    <cellStyle name="1_00-예산서양식100" xfId="1110"/>
    <cellStyle name="1_01-내역서(071118)" xfId="1111"/>
    <cellStyle name="1_22bl3lot수량산출" xfId="1112"/>
    <cellStyle name="1_22수량산출서(총괄)" xfId="1113"/>
    <cellStyle name="1_laroux" xfId="1114"/>
    <cellStyle name="1_laroux_ATC-YOON1" xfId="1115"/>
    <cellStyle name="1_total" xfId="1116"/>
    <cellStyle name="1_total_00-설계서,원가계산,내역서" xfId="1117"/>
    <cellStyle name="1_total_00-수량산출서" xfId="1118"/>
    <cellStyle name="1_total_00-수량산출서_00-설계서,원가계산,내역서" xfId="1119"/>
    <cellStyle name="1_total_01-내역서(071118)" xfId="1120"/>
    <cellStyle name="1_total_01-내역서(071118)_00-설계서,원가계산,내역서" xfId="1121"/>
    <cellStyle name="1_total_구로리총괄내역" xfId="1122"/>
    <cellStyle name="1_total_구로리총괄내역_00-설계서,원가계산,내역서" xfId="1123"/>
    <cellStyle name="1_total_구로리총괄내역_구로리설계예산서1029" xfId="1124"/>
    <cellStyle name="1_total_구로리총괄내역_구로리설계예산서1029_00-설계서,원가계산,내역서" xfId="1125"/>
    <cellStyle name="1_total_구로리총괄내역_구로리설계예산서1029_설계서-1" xfId="1126"/>
    <cellStyle name="1_total_구로리총괄내역_구로리설계예산서1029_설계서-1_00-설계서,원가계산,내역서" xfId="1127"/>
    <cellStyle name="1_total_구로리총괄내역_구로리설계예산서1029_진해자은수량산출서(단지내)" xfId="1128"/>
    <cellStyle name="1_total_구로리총괄내역_구로리설계예산서1029_진해자은수량산출서(단지내)_00-설계서,원가계산,내역서" xfId="1129"/>
    <cellStyle name="1_total_구로리총괄내역_구로리설계예산서1029_진해자은수량산출서(단지내)_기초산출표-56-128-최종" xfId="1130"/>
    <cellStyle name="1_total_구로리총괄내역_구로리설계예산서1029_진해자은수량산출서(단지내)_기초산출표-56-128-최종_00-설계서,원가계산,내역서" xfId="1131"/>
    <cellStyle name="1_total_구로리총괄내역_구로리설계예산서1029_진해자은수량산출서(단지내)_기초산출표-56-128-최종_설계서-1" xfId="1132"/>
    <cellStyle name="1_total_구로리총괄내역_구로리설계예산서1029_진해자은수량산출서(단지내)_기초산출표-56-128-최종_설계서-1_00-설계서,원가계산,내역서" xfId="1133"/>
    <cellStyle name="1_total_구로리총괄내역_구로리설계예산서1029_진해자은수량산출서(단지내)_설계서-1" xfId="1134"/>
    <cellStyle name="1_total_구로리총괄내역_구로리설계예산서1029_진해자은수량산출서(단지내)_설계서-1_00-설계서,원가계산,내역서" xfId="1135"/>
    <cellStyle name="1_total_구로리총괄내역_구로리설계예산서1029_진해자은수량산출서(단지내)_취합" xfId="1136"/>
    <cellStyle name="1_total_구로리총괄내역_구로리설계예산서1029_진해자은수량산출서(단지내)_취합_00-설계서,원가계산,내역서" xfId="1137"/>
    <cellStyle name="1_total_구로리총괄내역_구로리설계예산서1029_진해자은수량산출서(단지내)_취합_설계서-1" xfId="1138"/>
    <cellStyle name="1_total_구로리총괄내역_구로리설계예산서1029_진해자은수량산출서(단지내)_취합_설계서-1_00-설계서,원가계산,내역서" xfId="1139"/>
    <cellStyle name="1_total_구로리총괄내역_구로리설계예산서1118준공" xfId="1140"/>
    <cellStyle name="1_total_구로리총괄내역_구로리설계예산서1118준공_00-설계서,원가계산,내역서" xfId="1141"/>
    <cellStyle name="1_total_구로리총괄내역_구로리설계예산서1118준공_설계서-1" xfId="1142"/>
    <cellStyle name="1_total_구로리총괄내역_구로리설계예산서1118준공_설계서-1_00-설계서,원가계산,내역서" xfId="1143"/>
    <cellStyle name="1_total_구로리총괄내역_구로리설계예산서1118준공_진해자은수량산출서(단지내)" xfId="1144"/>
    <cellStyle name="1_total_구로리총괄내역_구로리설계예산서1118준공_진해자은수량산출서(단지내)_00-설계서,원가계산,내역서" xfId="1145"/>
    <cellStyle name="1_total_구로리총괄내역_구로리설계예산서1118준공_진해자은수량산출서(단지내)_기초산출표-56-128-최종" xfId="1146"/>
    <cellStyle name="1_total_구로리총괄내역_구로리설계예산서1118준공_진해자은수량산출서(단지내)_기초산출표-56-128-최종_00-설계서,원가계산,내역서" xfId="1147"/>
    <cellStyle name="1_total_구로리총괄내역_구로리설계예산서1118준공_진해자은수량산출서(단지내)_기초산출표-56-128-최종_설계서-1" xfId="1148"/>
    <cellStyle name="1_total_구로리총괄내역_구로리설계예산서1118준공_진해자은수량산출서(단지내)_기초산출표-56-128-최종_설계서-1_00-설계서,원가계산,내역서" xfId="1149"/>
    <cellStyle name="1_total_구로리총괄내역_구로리설계예산서1118준공_진해자은수량산출서(단지내)_설계서-1" xfId="1150"/>
    <cellStyle name="1_total_구로리총괄내역_구로리설계예산서1118준공_진해자은수량산출서(단지내)_설계서-1_00-설계서,원가계산,내역서" xfId="1151"/>
    <cellStyle name="1_total_구로리총괄내역_구로리설계예산서1118준공_진해자은수량산출서(단지내)_취합" xfId="1152"/>
    <cellStyle name="1_total_구로리총괄내역_구로리설계예산서1118준공_진해자은수량산출서(단지내)_취합_00-설계서,원가계산,내역서" xfId="1153"/>
    <cellStyle name="1_total_구로리총괄내역_구로리설계예산서1118준공_진해자은수량산출서(단지내)_취합_설계서-1" xfId="1154"/>
    <cellStyle name="1_total_구로리총괄내역_구로리설계예산서1118준공_진해자은수량산출서(단지내)_취합_설계서-1_00-설계서,원가계산,내역서" xfId="1155"/>
    <cellStyle name="1_total_구로리총괄내역_구로리설계예산서조경" xfId="1156"/>
    <cellStyle name="1_total_구로리총괄내역_구로리설계예산서조경_00-설계서,원가계산,내역서" xfId="1157"/>
    <cellStyle name="1_total_구로리총괄내역_구로리설계예산서조경_설계서-1" xfId="1158"/>
    <cellStyle name="1_total_구로리총괄내역_구로리설계예산서조경_설계서-1_00-설계서,원가계산,내역서" xfId="1159"/>
    <cellStyle name="1_total_구로리총괄내역_구로리설계예산서조경_진해자은수량산출서(단지내)" xfId="1160"/>
    <cellStyle name="1_total_구로리총괄내역_구로리설계예산서조경_진해자은수량산출서(단지내)_00-설계서,원가계산,내역서" xfId="1161"/>
    <cellStyle name="1_total_구로리총괄내역_구로리설계예산서조경_진해자은수량산출서(단지내)_기초산출표-56-128-최종" xfId="1162"/>
    <cellStyle name="1_total_구로리총괄내역_구로리설계예산서조경_진해자은수량산출서(단지내)_기초산출표-56-128-최종_00-설계서,원가계산,내역서" xfId="1163"/>
    <cellStyle name="1_total_구로리총괄내역_구로리설계예산서조경_진해자은수량산출서(단지내)_기초산출표-56-128-최종_설계서-1" xfId="1164"/>
    <cellStyle name="1_total_구로리총괄내역_구로리설계예산서조경_진해자은수량산출서(단지내)_기초산출표-56-128-최종_설계서-1_00-설계서,원가계산,내역서" xfId="1165"/>
    <cellStyle name="1_total_구로리총괄내역_구로리설계예산서조경_진해자은수량산출서(단지내)_설계서-1" xfId="1166"/>
    <cellStyle name="1_total_구로리총괄내역_구로리설계예산서조경_진해자은수량산출서(단지내)_설계서-1_00-설계서,원가계산,내역서" xfId="1167"/>
    <cellStyle name="1_total_구로리총괄내역_구로리설계예산서조경_진해자은수량산출서(단지내)_취합" xfId="1168"/>
    <cellStyle name="1_total_구로리총괄내역_구로리설계예산서조경_진해자은수량산출서(단지내)_취합_00-설계서,원가계산,내역서" xfId="1169"/>
    <cellStyle name="1_total_구로리총괄내역_구로리설계예산서조경_진해자은수량산출서(단지내)_취합_설계서-1" xfId="1170"/>
    <cellStyle name="1_total_구로리총괄내역_구로리설계예산서조경_진해자은수량산출서(단지내)_취합_설계서-1_00-설계서,원가계산,내역서" xfId="1171"/>
    <cellStyle name="1_total_구로리총괄내역_구로리어린이공원예산서(조경)1125" xfId="1172"/>
    <cellStyle name="1_total_구로리총괄내역_구로리어린이공원예산서(조경)1125_00-설계서,원가계산,내역서" xfId="1173"/>
    <cellStyle name="1_total_구로리총괄내역_구로리어린이공원예산서(조경)1125_설계서-1" xfId="1174"/>
    <cellStyle name="1_total_구로리총괄내역_구로리어린이공원예산서(조경)1125_설계서-1_00-설계서,원가계산,내역서" xfId="1175"/>
    <cellStyle name="1_total_구로리총괄내역_구로리어린이공원예산서(조경)1125_진해자은수량산출서(단지내)" xfId="1176"/>
    <cellStyle name="1_total_구로리총괄내역_구로리어린이공원예산서(조경)1125_진해자은수량산출서(단지내)_00-설계서,원가계산,내역서" xfId="1177"/>
    <cellStyle name="1_total_구로리총괄내역_구로리어린이공원예산서(조경)1125_진해자은수량산출서(단지내)_기초산출표-56-128-최종" xfId="1178"/>
    <cellStyle name="1_total_구로리총괄내역_구로리어린이공원예산서(조경)1125_진해자은수량산출서(단지내)_기초산출표-56-128-최종_00-설계서,원가계산,내역서" xfId="1179"/>
    <cellStyle name="1_total_구로리총괄내역_구로리어린이공원예산서(조경)1125_진해자은수량산출서(단지내)_기초산출표-56-128-최종_설계서-1" xfId="1180"/>
    <cellStyle name="1_total_구로리총괄내역_구로리어린이공원예산서(조경)1125_진해자은수량산출서(단지내)_기초산출표-56-128-최종_설계서-1_00-설계서,원가계산,내역서" xfId="1181"/>
    <cellStyle name="1_total_구로리총괄내역_구로리어린이공원예산서(조경)1125_진해자은수량산출서(단지내)_설계서-1" xfId="1182"/>
    <cellStyle name="1_total_구로리총괄내역_구로리어린이공원예산서(조경)1125_진해자은수량산출서(단지내)_설계서-1_00-설계서,원가계산,내역서" xfId="1183"/>
    <cellStyle name="1_total_구로리총괄내역_구로리어린이공원예산서(조경)1125_진해자은수량산출서(단지내)_취합" xfId="1184"/>
    <cellStyle name="1_total_구로리총괄내역_구로리어린이공원예산서(조경)1125_진해자은수량산출서(단지내)_취합_00-설계서,원가계산,내역서" xfId="1185"/>
    <cellStyle name="1_total_구로리총괄내역_구로리어린이공원예산서(조경)1125_진해자은수량산출서(단지내)_취합_설계서-1" xfId="1186"/>
    <cellStyle name="1_total_구로리총괄내역_구로리어린이공원예산서(조경)1125_진해자은수량산출서(단지내)_취합_설계서-1_00-설계서,원가계산,내역서" xfId="1187"/>
    <cellStyle name="1_total_구로리총괄내역_내역서" xfId="1188"/>
    <cellStyle name="1_total_구로리총괄내역_내역서_00-설계서,원가계산,내역서" xfId="1189"/>
    <cellStyle name="1_total_구로리총괄내역_내역서_설계서-1" xfId="1190"/>
    <cellStyle name="1_total_구로리총괄내역_내역서_설계서-1_00-설계서,원가계산,내역서" xfId="1191"/>
    <cellStyle name="1_total_구로리총괄내역_내역서_진해자은수량산출서(단지내)" xfId="1192"/>
    <cellStyle name="1_total_구로리총괄내역_내역서_진해자은수량산출서(단지내)_00-설계서,원가계산,내역서" xfId="1193"/>
    <cellStyle name="1_total_구로리총괄내역_내역서_진해자은수량산출서(단지내)_기초산출표-56-128-최종" xfId="1194"/>
    <cellStyle name="1_total_구로리총괄내역_내역서_진해자은수량산출서(단지내)_기초산출표-56-128-최종_00-설계서,원가계산,내역서" xfId="1195"/>
    <cellStyle name="1_total_구로리총괄내역_내역서_진해자은수량산출서(단지내)_기초산출표-56-128-최종_설계서-1" xfId="1196"/>
    <cellStyle name="1_total_구로리총괄내역_내역서_진해자은수량산출서(단지내)_기초산출표-56-128-최종_설계서-1_00-설계서,원가계산,내역서" xfId="1197"/>
    <cellStyle name="1_total_구로리총괄내역_내역서_진해자은수량산출서(단지내)_설계서-1" xfId="1198"/>
    <cellStyle name="1_total_구로리총괄내역_내역서_진해자은수량산출서(단지내)_설계서-1_00-설계서,원가계산,내역서" xfId="1199"/>
    <cellStyle name="1_total_구로리총괄내역_내역서_진해자은수량산출서(단지내)_취합" xfId="1200"/>
    <cellStyle name="1_total_구로리총괄내역_내역서_진해자은수량산출서(단지내)_취합_00-설계서,원가계산,내역서" xfId="1201"/>
    <cellStyle name="1_total_구로리총괄내역_내역서_진해자은수량산출서(단지내)_취합_설계서-1" xfId="1202"/>
    <cellStyle name="1_total_구로리총괄내역_내역서_진해자은수량산출서(단지내)_취합_설계서-1_00-설계서,원가계산,내역서" xfId="1203"/>
    <cellStyle name="1_total_구로리총괄내역_노임단가표" xfId="1204"/>
    <cellStyle name="1_total_구로리총괄내역_노임단가표_00-설계서,원가계산,내역서" xfId="1205"/>
    <cellStyle name="1_total_구로리총괄내역_노임단가표_설계서-1" xfId="1206"/>
    <cellStyle name="1_total_구로리총괄내역_노임단가표_설계서-1_00-설계서,원가계산,내역서" xfId="1207"/>
    <cellStyle name="1_total_구로리총괄내역_노임단가표_진해자은수량산출서(단지내)" xfId="1208"/>
    <cellStyle name="1_total_구로리총괄내역_노임단가표_진해자은수량산출서(단지내)_00-설계서,원가계산,내역서" xfId="1209"/>
    <cellStyle name="1_total_구로리총괄내역_노임단가표_진해자은수량산출서(단지내)_기초산출표-56-128-최종" xfId="1210"/>
    <cellStyle name="1_total_구로리총괄내역_노임단가표_진해자은수량산출서(단지내)_기초산출표-56-128-최종_00-설계서,원가계산,내역서" xfId="1211"/>
    <cellStyle name="1_total_구로리총괄내역_노임단가표_진해자은수량산출서(단지내)_기초산출표-56-128-최종_설계서-1" xfId="1212"/>
    <cellStyle name="1_total_구로리총괄내역_노임단가표_진해자은수량산출서(단지내)_기초산출표-56-128-최종_설계서-1_00-설계서,원가계산,내역서" xfId="1213"/>
    <cellStyle name="1_total_구로리총괄내역_노임단가표_진해자은수량산출서(단지내)_설계서-1" xfId="1214"/>
    <cellStyle name="1_total_구로리총괄내역_노임단가표_진해자은수량산출서(단지내)_설계서-1_00-설계서,원가계산,내역서" xfId="1215"/>
    <cellStyle name="1_total_구로리총괄내역_노임단가표_진해자은수량산출서(단지내)_취합" xfId="1216"/>
    <cellStyle name="1_total_구로리총괄내역_노임단가표_진해자은수량산출서(단지내)_취합_00-설계서,원가계산,내역서" xfId="1217"/>
    <cellStyle name="1_total_구로리총괄내역_노임단가표_진해자은수량산출서(단지내)_취합_설계서-1" xfId="1218"/>
    <cellStyle name="1_total_구로리총괄내역_노임단가표_진해자은수량산출서(단지내)_취합_설계서-1_00-설계서,원가계산,내역서" xfId="1219"/>
    <cellStyle name="1_total_구로리총괄내역_설계서-1" xfId="1220"/>
    <cellStyle name="1_total_구로리총괄내역_설계서-1_00-설계서,원가계산,내역서" xfId="1221"/>
    <cellStyle name="1_total_구로리총괄내역_수도권매립지" xfId="1222"/>
    <cellStyle name="1_total_구로리총괄내역_수도권매립지1004(발주용)" xfId="1238"/>
    <cellStyle name="1_total_구로리총괄내역_수도권매립지1004(발주용)_00-설계서,원가계산,내역서" xfId="1239"/>
    <cellStyle name="1_total_구로리총괄내역_수도권매립지1004(발주용)_설계서-1" xfId="1240"/>
    <cellStyle name="1_total_구로리총괄내역_수도권매립지1004(발주용)_설계서-1_00-설계서,원가계산,내역서" xfId="1241"/>
    <cellStyle name="1_total_구로리총괄내역_수도권매립지1004(발주용)_진해자은수량산출서(단지내)" xfId="1242"/>
    <cellStyle name="1_total_구로리총괄내역_수도권매립지1004(발주용)_진해자은수량산출서(단지내)_00-설계서,원가계산,내역서" xfId="1243"/>
    <cellStyle name="1_total_구로리총괄내역_수도권매립지1004(발주용)_진해자은수량산출서(단지내)_기초산출표-56-128-최종" xfId="1244"/>
    <cellStyle name="1_total_구로리총괄내역_수도권매립지1004(발주용)_진해자은수량산출서(단지내)_기초산출표-56-128-최종_00-설계서,원가계산,내역서" xfId="1245"/>
    <cellStyle name="1_total_구로리총괄내역_수도권매립지1004(발주용)_진해자은수량산출서(단지내)_기초산출표-56-128-최종_설계서-1" xfId="1246"/>
    <cellStyle name="1_total_구로리총괄내역_수도권매립지1004(발주용)_진해자은수량산출서(단지내)_기초산출표-56-128-최종_설계서-1_00-설계서,원가계산,내역서" xfId="1247"/>
    <cellStyle name="1_total_구로리총괄내역_수도권매립지1004(발주용)_진해자은수량산출서(단지내)_설계서-1" xfId="1248"/>
    <cellStyle name="1_total_구로리총괄내역_수도권매립지1004(발주용)_진해자은수량산출서(단지내)_설계서-1_00-설계서,원가계산,내역서" xfId="1249"/>
    <cellStyle name="1_total_구로리총괄내역_수도권매립지1004(발주용)_진해자은수량산출서(단지내)_취합" xfId="1250"/>
    <cellStyle name="1_total_구로리총괄내역_수도권매립지1004(발주용)_진해자은수량산출서(단지내)_취합_00-설계서,원가계산,내역서" xfId="1251"/>
    <cellStyle name="1_total_구로리총괄내역_수도권매립지1004(발주용)_진해자은수량산출서(단지내)_취합_설계서-1" xfId="1252"/>
    <cellStyle name="1_total_구로리총괄내역_수도권매립지1004(발주용)_진해자은수량산출서(단지내)_취합_설계서-1_00-설계서,원가계산,내역서" xfId="1253"/>
    <cellStyle name="1_total_구로리총괄내역_수도권매립지_00-설계서,원가계산,내역서" xfId="1223"/>
    <cellStyle name="1_total_구로리총괄내역_수도권매립지_설계서-1" xfId="1224"/>
    <cellStyle name="1_total_구로리총괄내역_수도권매립지_설계서-1_00-설계서,원가계산,내역서" xfId="1225"/>
    <cellStyle name="1_total_구로리총괄내역_수도권매립지_진해자은수량산출서(단지내)" xfId="1226"/>
    <cellStyle name="1_total_구로리총괄내역_수도권매립지_진해자은수량산출서(단지내)_00-설계서,원가계산,내역서" xfId="1227"/>
    <cellStyle name="1_total_구로리총괄내역_수도권매립지_진해자은수량산출서(단지내)_기초산출표-56-128-최종" xfId="1228"/>
    <cellStyle name="1_total_구로리총괄내역_수도권매립지_진해자은수량산출서(단지내)_기초산출표-56-128-최종_00-설계서,원가계산,내역서" xfId="1229"/>
    <cellStyle name="1_total_구로리총괄내역_수도권매립지_진해자은수량산출서(단지내)_기초산출표-56-128-최종_설계서-1" xfId="1230"/>
    <cellStyle name="1_total_구로리총괄내역_수도권매립지_진해자은수량산출서(단지내)_기초산출표-56-128-최종_설계서-1_00-설계서,원가계산,내역서" xfId="1231"/>
    <cellStyle name="1_total_구로리총괄내역_수도권매립지_진해자은수량산출서(단지내)_설계서-1" xfId="1232"/>
    <cellStyle name="1_total_구로리총괄내역_수도권매립지_진해자은수량산출서(단지내)_설계서-1_00-설계서,원가계산,내역서" xfId="1233"/>
    <cellStyle name="1_total_구로리총괄내역_수도권매립지_진해자은수량산출서(단지내)_취합" xfId="1234"/>
    <cellStyle name="1_total_구로리총괄내역_수도권매립지_진해자은수량산출서(단지내)_취합_00-설계서,원가계산,내역서" xfId="1235"/>
    <cellStyle name="1_total_구로리총괄내역_수도권매립지_진해자은수량산출서(단지내)_취합_설계서-1" xfId="1236"/>
    <cellStyle name="1_total_구로리총괄내역_수도권매립지_진해자은수량산출서(단지내)_취합_설계서-1_00-설계서,원가계산,내역서" xfId="1237"/>
    <cellStyle name="1_total_구로리총괄내역_일신건영설계예산서(0211)" xfId="1254"/>
    <cellStyle name="1_total_구로리총괄내역_일신건영설계예산서(0211)_00-설계서,원가계산,내역서" xfId="1255"/>
    <cellStyle name="1_total_구로리총괄내역_일신건영설계예산서(0211)_설계서-1" xfId="1256"/>
    <cellStyle name="1_total_구로리총괄내역_일신건영설계예산서(0211)_설계서-1_00-설계서,원가계산,내역서" xfId="1257"/>
    <cellStyle name="1_total_구로리총괄내역_일신건영설계예산서(0211)_진해자은수량산출서(단지내)" xfId="1258"/>
    <cellStyle name="1_total_구로리총괄내역_일신건영설계예산서(0211)_진해자은수량산출서(단지내)_00-설계서,원가계산,내역서" xfId="1259"/>
    <cellStyle name="1_total_구로리총괄내역_일신건영설계예산서(0211)_진해자은수량산출서(단지내)_기초산출표-56-128-최종" xfId="1260"/>
    <cellStyle name="1_total_구로리총괄내역_일신건영설계예산서(0211)_진해자은수량산출서(단지내)_기초산출표-56-128-최종_00-설계서,원가계산,내역서" xfId="1261"/>
    <cellStyle name="1_total_구로리총괄내역_일신건영설계예산서(0211)_진해자은수량산출서(단지내)_기초산출표-56-128-최종_설계서-1" xfId="1262"/>
    <cellStyle name="1_total_구로리총괄내역_일신건영설계예산서(0211)_진해자은수량산출서(단지내)_기초산출표-56-128-최종_설계서-1_00-설계서,원가계산,내역서" xfId="1263"/>
    <cellStyle name="1_total_구로리총괄내역_일신건영설계예산서(0211)_진해자은수량산출서(단지내)_설계서-1" xfId="1264"/>
    <cellStyle name="1_total_구로리총괄내역_일신건영설계예산서(0211)_진해자은수량산출서(단지내)_설계서-1_00-설계서,원가계산,내역서" xfId="1265"/>
    <cellStyle name="1_total_구로리총괄내역_일신건영설계예산서(0211)_진해자은수량산출서(단지내)_취합" xfId="1266"/>
    <cellStyle name="1_total_구로리총괄내역_일신건영설계예산서(0211)_진해자은수량산출서(단지내)_취합_00-설계서,원가계산,내역서" xfId="1267"/>
    <cellStyle name="1_total_구로리총괄내역_일신건영설계예산서(0211)_진해자은수량산출서(단지내)_취합_설계서-1" xfId="1268"/>
    <cellStyle name="1_total_구로리총괄내역_일신건영설계예산서(0211)_진해자은수량산출서(단지내)_취합_설계서-1_00-설계서,원가계산,내역서" xfId="1269"/>
    <cellStyle name="1_total_구로리총괄내역_일위대가" xfId="1270"/>
    <cellStyle name="1_total_구로리총괄내역_일위대가_00-설계서,원가계산,내역서" xfId="1271"/>
    <cellStyle name="1_total_구로리총괄내역_일위대가_설계서-1" xfId="1272"/>
    <cellStyle name="1_total_구로리총괄내역_일위대가_설계서-1_00-설계서,원가계산,내역서" xfId="1273"/>
    <cellStyle name="1_total_구로리총괄내역_일위대가_진해자은수량산출서(단지내)" xfId="1274"/>
    <cellStyle name="1_total_구로리총괄내역_일위대가_진해자은수량산출서(단지내)_00-설계서,원가계산,내역서" xfId="1275"/>
    <cellStyle name="1_total_구로리총괄내역_일위대가_진해자은수량산출서(단지내)_기초산출표-56-128-최종" xfId="1276"/>
    <cellStyle name="1_total_구로리총괄내역_일위대가_진해자은수량산출서(단지내)_기초산출표-56-128-최종_00-설계서,원가계산,내역서" xfId="1277"/>
    <cellStyle name="1_total_구로리총괄내역_일위대가_진해자은수량산출서(단지내)_기초산출표-56-128-최종_설계서-1" xfId="1278"/>
    <cellStyle name="1_total_구로리총괄내역_일위대가_진해자은수량산출서(단지내)_기초산출표-56-128-최종_설계서-1_00-설계서,원가계산,내역서" xfId="1279"/>
    <cellStyle name="1_total_구로리총괄내역_일위대가_진해자은수량산출서(단지내)_설계서-1" xfId="1280"/>
    <cellStyle name="1_total_구로리총괄내역_일위대가_진해자은수량산출서(단지내)_설계서-1_00-설계서,원가계산,내역서" xfId="1281"/>
    <cellStyle name="1_total_구로리총괄내역_일위대가_진해자은수량산출서(단지내)_취합" xfId="1282"/>
    <cellStyle name="1_total_구로리총괄내역_일위대가_진해자은수량산출서(단지내)_취합_00-설계서,원가계산,내역서" xfId="1283"/>
    <cellStyle name="1_total_구로리총괄내역_일위대가_진해자은수량산출서(단지내)_취합_설계서-1" xfId="1284"/>
    <cellStyle name="1_total_구로리총괄내역_일위대가_진해자은수량산출서(단지내)_취합_설계서-1_00-설계서,원가계산,내역서" xfId="1285"/>
    <cellStyle name="1_total_구로리총괄내역_자재단가표" xfId="1286"/>
    <cellStyle name="1_total_구로리총괄내역_자재단가표_00-설계서,원가계산,내역서" xfId="1287"/>
    <cellStyle name="1_total_구로리총괄내역_자재단가표_설계서-1" xfId="1288"/>
    <cellStyle name="1_total_구로리총괄내역_자재단가표_설계서-1_00-설계서,원가계산,내역서" xfId="1289"/>
    <cellStyle name="1_total_구로리총괄내역_자재단가표_진해자은수량산출서(단지내)" xfId="1290"/>
    <cellStyle name="1_total_구로리총괄내역_자재단가표_진해자은수량산출서(단지내)_00-설계서,원가계산,내역서" xfId="1291"/>
    <cellStyle name="1_total_구로리총괄내역_자재단가표_진해자은수량산출서(단지내)_기초산출표-56-128-최종" xfId="1292"/>
    <cellStyle name="1_total_구로리총괄내역_자재단가표_진해자은수량산출서(단지내)_기초산출표-56-128-최종_00-설계서,원가계산,내역서" xfId="1293"/>
    <cellStyle name="1_total_구로리총괄내역_자재단가표_진해자은수량산출서(단지내)_기초산출표-56-128-최종_설계서-1" xfId="1294"/>
    <cellStyle name="1_total_구로리총괄내역_자재단가표_진해자은수량산출서(단지내)_기초산출표-56-128-최종_설계서-1_00-설계서,원가계산,내역서" xfId="1295"/>
    <cellStyle name="1_total_구로리총괄내역_자재단가표_진해자은수량산출서(단지내)_설계서-1" xfId="1296"/>
    <cellStyle name="1_total_구로리총괄내역_자재단가표_진해자은수량산출서(단지내)_설계서-1_00-설계서,원가계산,내역서" xfId="1297"/>
    <cellStyle name="1_total_구로리총괄내역_자재단가표_진해자은수량산출서(단지내)_취합" xfId="1298"/>
    <cellStyle name="1_total_구로리총괄내역_자재단가표_진해자은수량산출서(단지내)_취합_00-설계서,원가계산,내역서" xfId="1299"/>
    <cellStyle name="1_total_구로리총괄내역_자재단가표_진해자은수량산출서(단지내)_취합_설계서-1" xfId="1300"/>
    <cellStyle name="1_total_구로리총괄내역_자재단가표_진해자은수량산출서(단지내)_취합_설계서-1_00-설계서,원가계산,내역서" xfId="1301"/>
    <cellStyle name="1_total_구로리총괄내역_장안초등학교내역0814" xfId="1302"/>
    <cellStyle name="1_total_구로리총괄내역_장안초등학교내역0814_00-설계서,원가계산,내역서" xfId="1303"/>
    <cellStyle name="1_total_구로리총괄내역_장안초등학교내역0814_설계서-1" xfId="1304"/>
    <cellStyle name="1_total_구로리총괄내역_장안초등학교내역0814_설계서-1_00-설계서,원가계산,내역서" xfId="1305"/>
    <cellStyle name="1_total_구로리총괄내역_장안초등학교내역0814_진해자은수량산출서(단지내)" xfId="1306"/>
    <cellStyle name="1_total_구로리총괄내역_장안초등학교내역0814_진해자은수량산출서(단지내)_00-설계서,원가계산,내역서" xfId="1307"/>
    <cellStyle name="1_total_구로리총괄내역_장안초등학교내역0814_진해자은수량산출서(단지내)_기초산출표-56-128-최종" xfId="1308"/>
    <cellStyle name="1_total_구로리총괄내역_장안초등학교내역0814_진해자은수량산출서(단지내)_기초산출표-56-128-최종_00-설계서,원가계산,내역서" xfId="1309"/>
    <cellStyle name="1_total_구로리총괄내역_장안초등학교내역0814_진해자은수량산출서(단지내)_기초산출표-56-128-최종_설계서-1" xfId="1310"/>
    <cellStyle name="1_total_구로리총괄내역_장안초등학교내역0814_진해자은수량산출서(단지내)_기초산출표-56-128-최종_설계서-1_00-설계서,원가계산,내역서" xfId="1311"/>
    <cellStyle name="1_total_구로리총괄내역_장안초등학교내역0814_진해자은수량산출서(단지내)_설계서-1" xfId="1312"/>
    <cellStyle name="1_total_구로리총괄내역_장안초등학교내역0814_진해자은수량산출서(단지내)_설계서-1_00-설계서,원가계산,내역서" xfId="1313"/>
    <cellStyle name="1_total_구로리총괄내역_장안초등학교내역0814_진해자은수량산출서(단지내)_취합" xfId="1314"/>
    <cellStyle name="1_total_구로리총괄내역_장안초등학교내역0814_진해자은수량산출서(단지내)_취합_00-설계서,원가계산,내역서" xfId="1315"/>
    <cellStyle name="1_total_구로리총괄내역_장안초등학교내역0814_진해자은수량산출서(단지내)_취합_설계서-1" xfId="1316"/>
    <cellStyle name="1_total_구로리총괄내역_장안초등학교내역0814_진해자은수량산출서(단지내)_취합_설계서-1_00-설계서,원가계산,내역서" xfId="1317"/>
    <cellStyle name="1_total_구로리총괄내역_진해자은수량산출서(단지내)" xfId="1318"/>
    <cellStyle name="1_total_구로리총괄내역_진해자은수량산출서(단지내)_00-설계서,원가계산,내역서" xfId="1319"/>
    <cellStyle name="1_total_구로리총괄내역_진해자은수량산출서(단지내)_기초산출표-56-128-최종" xfId="1320"/>
    <cellStyle name="1_total_구로리총괄내역_진해자은수량산출서(단지내)_기초산출표-56-128-최종_00-설계서,원가계산,내역서" xfId="1321"/>
    <cellStyle name="1_total_구로리총괄내역_진해자은수량산출서(단지내)_기초산출표-56-128-최종_설계서-1" xfId="1322"/>
    <cellStyle name="1_total_구로리총괄내역_진해자은수량산출서(단지내)_기초산출표-56-128-최종_설계서-1_00-설계서,원가계산,내역서" xfId="1323"/>
    <cellStyle name="1_total_구로리총괄내역_진해자은수량산출서(단지내)_설계서-1" xfId="1324"/>
    <cellStyle name="1_total_구로리총괄내역_진해자은수량산출서(단지내)_설계서-1_00-설계서,원가계산,내역서" xfId="1325"/>
    <cellStyle name="1_total_구로리총괄내역_진해자은수량산출서(단지내)_취합" xfId="1326"/>
    <cellStyle name="1_total_구로리총괄내역_진해자은수량산출서(단지내)_취합_00-설계서,원가계산,내역서" xfId="1327"/>
    <cellStyle name="1_total_구로리총괄내역_진해자은수량산출서(단지내)_취합_설계서-1" xfId="1328"/>
    <cellStyle name="1_total_구로리총괄내역_진해자은수량산출서(단지내)_취합_설계서-1_00-설계서,원가계산,내역서" xfId="1329"/>
    <cellStyle name="1_total_목동내역" xfId="1330"/>
    <cellStyle name="1_total_목동내역_00-설계서,원가계산,내역서" xfId="1331"/>
    <cellStyle name="1_total_목동내역_폐기물집계" xfId="1332"/>
    <cellStyle name="1_total_목동내역_폐기물집계_00-설계서,원가계산,내역서" xfId="1333"/>
    <cellStyle name="1_total_설계서-1" xfId="1334"/>
    <cellStyle name="1_total_설계서-1_00-설계서,원가계산,내역서" xfId="1335"/>
    <cellStyle name="1_total_이문동구간중랑천변녹화사업(수량산출서, 071127)-최종" xfId="1336"/>
    <cellStyle name="1_total_이문동구간중랑천변녹화사업(수량산출서, 071127)-최종_00-설계서,원가계산,내역서" xfId="1337"/>
    <cellStyle name="1_total_진해자은수량산출서(단지내)" xfId="1338"/>
    <cellStyle name="1_total_진해자은수량산출서(단지내)_00-설계서,원가계산,내역서" xfId="1339"/>
    <cellStyle name="1_total_진해자은수량산출서(단지내)_기초산출표-56-128-최종" xfId="1340"/>
    <cellStyle name="1_total_진해자은수량산출서(단지내)_기초산출표-56-128-최종_00-설계서,원가계산,내역서" xfId="1341"/>
    <cellStyle name="1_total_진해자은수량산출서(단지내)_기초산출표-56-128-최종_설계서-1" xfId="1342"/>
    <cellStyle name="1_total_진해자은수량산출서(단지내)_기초산출표-56-128-최종_설계서-1_00-설계서,원가계산,내역서" xfId="1343"/>
    <cellStyle name="1_total_진해자은수량산출서(단지내)_설계서-1" xfId="1344"/>
    <cellStyle name="1_total_진해자은수량산출서(단지내)_설계서-1_00-설계서,원가계산,내역서" xfId="1345"/>
    <cellStyle name="1_total_진해자은수량산출서(단지내)_취합" xfId="1346"/>
    <cellStyle name="1_total_진해자은수량산출서(단지내)_취합_00-설계서,원가계산,내역서" xfId="1347"/>
    <cellStyle name="1_total_진해자은수량산출서(단지내)_취합_설계서-1" xfId="1348"/>
    <cellStyle name="1_total_진해자은수량산출서(단지내)_취합_설계서-1_00-설계서,원가계산,내역서" xfId="1349"/>
    <cellStyle name="1_total_총괄내역0518" xfId="1350"/>
    <cellStyle name="1_total_총괄내역0518_00-설계서,원가계산,내역서" xfId="1351"/>
    <cellStyle name="1_total_총괄내역0518_구로리설계예산서1029" xfId="1352"/>
    <cellStyle name="1_total_총괄내역0518_구로리설계예산서1029_00-설계서,원가계산,내역서" xfId="1353"/>
    <cellStyle name="1_total_총괄내역0518_구로리설계예산서1029_설계서-1" xfId="1354"/>
    <cellStyle name="1_total_총괄내역0518_구로리설계예산서1029_설계서-1_00-설계서,원가계산,내역서" xfId="1355"/>
    <cellStyle name="1_total_총괄내역0518_구로리설계예산서1029_진해자은수량산출서(단지내)" xfId="1356"/>
    <cellStyle name="1_total_총괄내역0518_구로리설계예산서1029_진해자은수량산출서(단지내)_00-설계서,원가계산,내역서" xfId="1357"/>
    <cellStyle name="1_total_총괄내역0518_구로리설계예산서1029_진해자은수량산출서(단지내)_기초산출표-56-128-최종" xfId="1358"/>
    <cellStyle name="1_total_총괄내역0518_구로리설계예산서1029_진해자은수량산출서(단지내)_기초산출표-56-128-최종_00-설계서,원가계산,내역서" xfId="1359"/>
    <cellStyle name="1_total_총괄내역0518_구로리설계예산서1029_진해자은수량산출서(단지내)_기초산출표-56-128-최종_설계서-1" xfId="1360"/>
    <cellStyle name="1_total_총괄내역0518_구로리설계예산서1029_진해자은수량산출서(단지내)_기초산출표-56-128-최종_설계서-1_00-설계서,원가계산,내역서" xfId="1361"/>
    <cellStyle name="1_total_총괄내역0518_구로리설계예산서1029_진해자은수량산출서(단지내)_설계서-1" xfId="1362"/>
    <cellStyle name="1_total_총괄내역0518_구로리설계예산서1029_진해자은수량산출서(단지내)_설계서-1_00-설계서,원가계산,내역서" xfId="1363"/>
    <cellStyle name="1_total_총괄내역0518_구로리설계예산서1029_진해자은수량산출서(단지내)_취합" xfId="1364"/>
    <cellStyle name="1_total_총괄내역0518_구로리설계예산서1029_진해자은수량산출서(단지내)_취합_00-설계서,원가계산,내역서" xfId="1365"/>
    <cellStyle name="1_total_총괄내역0518_구로리설계예산서1029_진해자은수량산출서(단지내)_취합_설계서-1" xfId="1366"/>
    <cellStyle name="1_total_총괄내역0518_구로리설계예산서1029_진해자은수량산출서(단지내)_취합_설계서-1_00-설계서,원가계산,내역서" xfId="1367"/>
    <cellStyle name="1_total_총괄내역0518_구로리설계예산서1118준공" xfId="1368"/>
    <cellStyle name="1_total_총괄내역0518_구로리설계예산서1118준공_00-설계서,원가계산,내역서" xfId="1369"/>
    <cellStyle name="1_total_총괄내역0518_구로리설계예산서1118준공_설계서-1" xfId="1370"/>
    <cellStyle name="1_total_총괄내역0518_구로리설계예산서1118준공_설계서-1_00-설계서,원가계산,내역서" xfId="1371"/>
    <cellStyle name="1_total_총괄내역0518_구로리설계예산서1118준공_진해자은수량산출서(단지내)" xfId="1372"/>
    <cellStyle name="1_total_총괄내역0518_구로리설계예산서1118준공_진해자은수량산출서(단지내)_00-설계서,원가계산,내역서" xfId="1373"/>
    <cellStyle name="1_total_총괄내역0518_구로리설계예산서1118준공_진해자은수량산출서(단지내)_기초산출표-56-128-최종" xfId="1374"/>
    <cellStyle name="1_total_총괄내역0518_구로리설계예산서1118준공_진해자은수량산출서(단지내)_기초산출표-56-128-최종_00-설계서,원가계산,내역서" xfId="1375"/>
    <cellStyle name="1_total_총괄내역0518_구로리설계예산서1118준공_진해자은수량산출서(단지내)_기초산출표-56-128-최종_설계서-1" xfId="1376"/>
    <cellStyle name="1_total_총괄내역0518_구로리설계예산서1118준공_진해자은수량산출서(단지내)_기초산출표-56-128-최종_설계서-1_00-설계서,원가계산,내역서" xfId="1377"/>
    <cellStyle name="1_total_총괄내역0518_구로리설계예산서1118준공_진해자은수량산출서(단지내)_설계서-1" xfId="1378"/>
    <cellStyle name="1_total_총괄내역0518_구로리설계예산서1118준공_진해자은수량산출서(단지내)_설계서-1_00-설계서,원가계산,내역서" xfId="1379"/>
    <cellStyle name="1_total_총괄내역0518_구로리설계예산서1118준공_진해자은수량산출서(단지내)_취합" xfId="1380"/>
    <cellStyle name="1_total_총괄내역0518_구로리설계예산서1118준공_진해자은수량산출서(단지내)_취합_00-설계서,원가계산,내역서" xfId="1381"/>
    <cellStyle name="1_total_총괄내역0518_구로리설계예산서1118준공_진해자은수량산출서(단지내)_취합_설계서-1" xfId="1382"/>
    <cellStyle name="1_total_총괄내역0518_구로리설계예산서1118준공_진해자은수량산출서(단지내)_취합_설계서-1_00-설계서,원가계산,내역서" xfId="1383"/>
    <cellStyle name="1_total_총괄내역0518_구로리설계예산서조경" xfId="1384"/>
    <cellStyle name="1_total_총괄내역0518_구로리설계예산서조경_00-설계서,원가계산,내역서" xfId="1385"/>
    <cellStyle name="1_total_총괄내역0518_구로리설계예산서조경_설계서-1" xfId="1386"/>
    <cellStyle name="1_total_총괄내역0518_구로리설계예산서조경_설계서-1_00-설계서,원가계산,내역서" xfId="1387"/>
    <cellStyle name="1_total_총괄내역0518_구로리설계예산서조경_진해자은수량산출서(단지내)" xfId="1388"/>
    <cellStyle name="1_total_총괄내역0518_구로리설계예산서조경_진해자은수량산출서(단지내)_00-설계서,원가계산,내역서" xfId="1389"/>
    <cellStyle name="1_total_총괄내역0518_구로리설계예산서조경_진해자은수량산출서(단지내)_기초산출표-56-128-최종" xfId="1390"/>
    <cellStyle name="1_total_총괄내역0518_구로리설계예산서조경_진해자은수량산출서(단지내)_기초산출표-56-128-최종_00-설계서,원가계산,내역서" xfId="1391"/>
    <cellStyle name="1_total_총괄내역0518_구로리설계예산서조경_진해자은수량산출서(단지내)_기초산출표-56-128-최종_설계서-1" xfId="1392"/>
    <cellStyle name="1_total_총괄내역0518_구로리설계예산서조경_진해자은수량산출서(단지내)_기초산출표-56-128-최종_설계서-1_00-설계서,원가계산,내역서" xfId="1393"/>
    <cellStyle name="1_total_총괄내역0518_구로리설계예산서조경_진해자은수량산출서(단지내)_설계서-1" xfId="1394"/>
    <cellStyle name="1_total_총괄내역0518_구로리설계예산서조경_진해자은수량산출서(단지내)_설계서-1_00-설계서,원가계산,내역서" xfId="1395"/>
    <cellStyle name="1_total_총괄내역0518_구로리설계예산서조경_진해자은수량산출서(단지내)_취합" xfId="1396"/>
    <cellStyle name="1_total_총괄내역0518_구로리설계예산서조경_진해자은수량산출서(단지내)_취합_00-설계서,원가계산,내역서" xfId="1397"/>
    <cellStyle name="1_total_총괄내역0518_구로리설계예산서조경_진해자은수량산출서(단지내)_취합_설계서-1" xfId="1398"/>
    <cellStyle name="1_total_총괄내역0518_구로리설계예산서조경_진해자은수량산출서(단지내)_취합_설계서-1_00-설계서,원가계산,내역서" xfId="1399"/>
    <cellStyle name="1_total_총괄내역0518_구로리어린이공원예산서(조경)1125" xfId="1400"/>
    <cellStyle name="1_total_총괄내역0518_구로리어린이공원예산서(조경)1125_00-설계서,원가계산,내역서" xfId="1401"/>
    <cellStyle name="1_total_총괄내역0518_구로리어린이공원예산서(조경)1125_설계서-1" xfId="1402"/>
    <cellStyle name="1_total_총괄내역0518_구로리어린이공원예산서(조경)1125_설계서-1_00-설계서,원가계산,내역서" xfId="1403"/>
    <cellStyle name="1_total_총괄내역0518_구로리어린이공원예산서(조경)1125_진해자은수량산출서(단지내)" xfId="1404"/>
    <cellStyle name="1_total_총괄내역0518_구로리어린이공원예산서(조경)1125_진해자은수량산출서(단지내)_00-설계서,원가계산,내역서" xfId="1405"/>
    <cellStyle name="1_total_총괄내역0518_구로리어린이공원예산서(조경)1125_진해자은수량산출서(단지내)_기초산출표-56-128-최종" xfId="1406"/>
    <cellStyle name="1_total_총괄내역0518_구로리어린이공원예산서(조경)1125_진해자은수량산출서(단지내)_기초산출표-56-128-최종_00-설계서,원가계산,내역서" xfId="1407"/>
    <cellStyle name="1_total_총괄내역0518_구로리어린이공원예산서(조경)1125_진해자은수량산출서(단지내)_기초산출표-56-128-최종_설계서-1" xfId="1408"/>
    <cellStyle name="1_total_총괄내역0518_구로리어린이공원예산서(조경)1125_진해자은수량산출서(단지내)_기초산출표-56-128-최종_설계서-1_00-설계서,원가계산,내역서" xfId="1409"/>
    <cellStyle name="1_total_총괄내역0518_구로리어린이공원예산서(조경)1125_진해자은수량산출서(단지내)_설계서-1" xfId="1410"/>
    <cellStyle name="1_total_총괄내역0518_구로리어린이공원예산서(조경)1125_진해자은수량산출서(단지내)_설계서-1_00-설계서,원가계산,내역서" xfId="1411"/>
    <cellStyle name="1_total_총괄내역0518_구로리어린이공원예산서(조경)1125_진해자은수량산출서(단지내)_취합" xfId="1412"/>
    <cellStyle name="1_total_총괄내역0518_구로리어린이공원예산서(조경)1125_진해자은수량산출서(단지내)_취합_00-설계서,원가계산,내역서" xfId="1413"/>
    <cellStyle name="1_total_총괄내역0518_구로리어린이공원예산서(조경)1125_진해자은수량산출서(단지내)_취합_설계서-1" xfId="1414"/>
    <cellStyle name="1_total_총괄내역0518_구로리어린이공원예산서(조경)1125_진해자은수량산출서(단지내)_취합_설계서-1_00-설계서,원가계산,내역서" xfId="1415"/>
    <cellStyle name="1_total_총괄내역0518_내역서" xfId="1416"/>
    <cellStyle name="1_total_총괄내역0518_내역서_00-설계서,원가계산,내역서" xfId="1417"/>
    <cellStyle name="1_total_총괄내역0518_내역서_설계서-1" xfId="1418"/>
    <cellStyle name="1_total_총괄내역0518_내역서_설계서-1_00-설계서,원가계산,내역서" xfId="1419"/>
    <cellStyle name="1_total_총괄내역0518_내역서_진해자은수량산출서(단지내)" xfId="1420"/>
    <cellStyle name="1_total_총괄내역0518_내역서_진해자은수량산출서(단지내)_00-설계서,원가계산,내역서" xfId="1421"/>
    <cellStyle name="1_total_총괄내역0518_내역서_진해자은수량산출서(단지내)_기초산출표-56-128-최종" xfId="1422"/>
    <cellStyle name="1_total_총괄내역0518_내역서_진해자은수량산출서(단지내)_기초산출표-56-128-최종_00-설계서,원가계산,내역서" xfId="1423"/>
    <cellStyle name="1_total_총괄내역0518_내역서_진해자은수량산출서(단지내)_기초산출표-56-128-최종_설계서-1" xfId="1424"/>
    <cellStyle name="1_total_총괄내역0518_내역서_진해자은수량산출서(단지내)_기초산출표-56-128-최종_설계서-1_00-설계서,원가계산,내역서" xfId="1425"/>
    <cellStyle name="1_total_총괄내역0518_내역서_진해자은수량산출서(단지내)_설계서-1" xfId="1426"/>
    <cellStyle name="1_total_총괄내역0518_내역서_진해자은수량산출서(단지내)_설계서-1_00-설계서,원가계산,내역서" xfId="1427"/>
    <cellStyle name="1_total_총괄내역0518_내역서_진해자은수량산출서(단지내)_취합" xfId="1428"/>
    <cellStyle name="1_total_총괄내역0518_내역서_진해자은수량산출서(단지내)_취합_00-설계서,원가계산,내역서" xfId="1429"/>
    <cellStyle name="1_total_총괄내역0518_내역서_진해자은수량산출서(단지내)_취합_설계서-1" xfId="1430"/>
    <cellStyle name="1_total_총괄내역0518_내역서_진해자은수량산출서(단지내)_취합_설계서-1_00-설계서,원가계산,내역서" xfId="1431"/>
    <cellStyle name="1_total_총괄내역0518_노임단가표" xfId="1432"/>
    <cellStyle name="1_total_총괄내역0518_노임단가표_00-설계서,원가계산,내역서" xfId="1433"/>
    <cellStyle name="1_total_총괄내역0518_노임단가표_설계서-1" xfId="1434"/>
    <cellStyle name="1_total_총괄내역0518_노임단가표_설계서-1_00-설계서,원가계산,내역서" xfId="1435"/>
    <cellStyle name="1_total_총괄내역0518_노임단가표_진해자은수량산출서(단지내)" xfId="1436"/>
    <cellStyle name="1_total_총괄내역0518_노임단가표_진해자은수량산출서(단지내)_00-설계서,원가계산,내역서" xfId="1437"/>
    <cellStyle name="1_total_총괄내역0518_노임단가표_진해자은수량산출서(단지내)_기초산출표-56-128-최종" xfId="1438"/>
    <cellStyle name="1_total_총괄내역0518_노임단가표_진해자은수량산출서(단지내)_기초산출표-56-128-최종_00-설계서,원가계산,내역서" xfId="1439"/>
    <cellStyle name="1_total_총괄내역0518_노임단가표_진해자은수량산출서(단지내)_기초산출표-56-128-최종_설계서-1" xfId="1440"/>
    <cellStyle name="1_total_총괄내역0518_노임단가표_진해자은수량산출서(단지내)_기초산출표-56-128-최종_설계서-1_00-설계서,원가계산,내역서" xfId="1441"/>
    <cellStyle name="1_total_총괄내역0518_노임단가표_진해자은수량산출서(단지내)_설계서-1" xfId="1442"/>
    <cellStyle name="1_total_총괄내역0518_노임단가표_진해자은수량산출서(단지내)_설계서-1_00-설계서,원가계산,내역서" xfId="1443"/>
    <cellStyle name="1_total_총괄내역0518_노임단가표_진해자은수량산출서(단지내)_취합" xfId="1444"/>
    <cellStyle name="1_total_총괄내역0518_노임단가표_진해자은수량산출서(단지내)_취합_00-설계서,원가계산,내역서" xfId="1445"/>
    <cellStyle name="1_total_총괄내역0518_노임단가표_진해자은수량산출서(단지내)_취합_설계서-1" xfId="1446"/>
    <cellStyle name="1_total_총괄내역0518_노임단가표_진해자은수량산출서(단지내)_취합_설계서-1_00-설계서,원가계산,내역서" xfId="1447"/>
    <cellStyle name="1_total_총괄내역0518_설계서-1" xfId="1448"/>
    <cellStyle name="1_total_총괄내역0518_설계서-1_00-설계서,원가계산,내역서" xfId="1449"/>
    <cellStyle name="1_total_총괄내역0518_수도권매립지" xfId="1450"/>
    <cellStyle name="1_total_총괄내역0518_수도권매립지1004(발주용)" xfId="1466"/>
    <cellStyle name="1_total_총괄내역0518_수도권매립지1004(발주용)_00-설계서,원가계산,내역서" xfId="1467"/>
    <cellStyle name="1_total_총괄내역0518_수도권매립지1004(발주용)_설계서-1" xfId="1468"/>
    <cellStyle name="1_total_총괄내역0518_수도권매립지1004(발주용)_설계서-1_00-설계서,원가계산,내역서" xfId="1469"/>
    <cellStyle name="1_total_총괄내역0518_수도권매립지1004(발주용)_진해자은수량산출서(단지내)" xfId="1470"/>
    <cellStyle name="1_total_총괄내역0518_수도권매립지1004(발주용)_진해자은수량산출서(단지내)_00-설계서,원가계산,내역서" xfId="1471"/>
    <cellStyle name="1_total_총괄내역0518_수도권매립지1004(발주용)_진해자은수량산출서(단지내)_기초산출표-56-128-최종" xfId="1472"/>
    <cellStyle name="1_total_총괄내역0518_수도권매립지1004(발주용)_진해자은수량산출서(단지내)_기초산출표-56-128-최종_00-설계서,원가계산,내역서" xfId="1473"/>
    <cellStyle name="1_total_총괄내역0518_수도권매립지1004(발주용)_진해자은수량산출서(단지내)_기초산출표-56-128-최종_설계서-1" xfId="1474"/>
    <cellStyle name="1_total_총괄내역0518_수도권매립지1004(발주용)_진해자은수량산출서(단지내)_기초산출표-56-128-최종_설계서-1_00-설계서,원가계산,내역서" xfId="1475"/>
    <cellStyle name="1_total_총괄내역0518_수도권매립지1004(발주용)_진해자은수량산출서(단지내)_설계서-1" xfId="1476"/>
    <cellStyle name="1_total_총괄내역0518_수도권매립지1004(발주용)_진해자은수량산출서(단지내)_설계서-1_00-설계서,원가계산,내역서" xfId="1477"/>
    <cellStyle name="1_total_총괄내역0518_수도권매립지1004(발주용)_진해자은수량산출서(단지내)_취합" xfId="1478"/>
    <cellStyle name="1_total_총괄내역0518_수도권매립지1004(발주용)_진해자은수량산출서(단지내)_취합_00-설계서,원가계산,내역서" xfId="1479"/>
    <cellStyle name="1_total_총괄내역0518_수도권매립지1004(발주용)_진해자은수량산출서(단지내)_취합_설계서-1" xfId="1480"/>
    <cellStyle name="1_total_총괄내역0518_수도권매립지1004(발주용)_진해자은수량산출서(단지내)_취합_설계서-1_00-설계서,원가계산,내역서" xfId="1481"/>
    <cellStyle name="1_total_총괄내역0518_수도권매립지_00-설계서,원가계산,내역서" xfId="1451"/>
    <cellStyle name="1_total_총괄내역0518_수도권매립지_설계서-1" xfId="1452"/>
    <cellStyle name="1_total_총괄내역0518_수도권매립지_설계서-1_00-설계서,원가계산,내역서" xfId="1453"/>
    <cellStyle name="1_total_총괄내역0518_수도권매립지_진해자은수량산출서(단지내)" xfId="1454"/>
    <cellStyle name="1_total_총괄내역0518_수도권매립지_진해자은수량산출서(단지내)_00-설계서,원가계산,내역서" xfId="1455"/>
    <cellStyle name="1_total_총괄내역0518_수도권매립지_진해자은수량산출서(단지내)_기초산출표-56-128-최종" xfId="1456"/>
    <cellStyle name="1_total_총괄내역0518_수도권매립지_진해자은수량산출서(단지내)_기초산출표-56-128-최종_00-설계서,원가계산,내역서" xfId="1457"/>
    <cellStyle name="1_total_총괄내역0518_수도권매립지_진해자은수량산출서(단지내)_기초산출표-56-128-최종_설계서-1" xfId="1458"/>
    <cellStyle name="1_total_총괄내역0518_수도권매립지_진해자은수량산출서(단지내)_기초산출표-56-128-최종_설계서-1_00-설계서,원가계산,내역서" xfId="1459"/>
    <cellStyle name="1_total_총괄내역0518_수도권매립지_진해자은수량산출서(단지내)_설계서-1" xfId="1460"/>
    <cellStyle name="1_total_총괄내역0518_수도권매립지_진해자은수량산출서(단지내)_설계서-1_00-설계서,원가계산,내역서" xfId="1461"/>
    <cellStyle name="1_total_총괄내역0518_수도권매립지_진해자은수량산출서(단지내)_취합" xfId="1462"/>
    <cellStyle name="1_total_총괄내역0518_수도권매립지_진해자은수량산출서(단지내)_취합_00-설계서,원가계산,내역서" xfId="1463"/>
    <cellStyle name="1_total_총괄내역0518_수도권매립지_진해자은수량산출서(단지내)_취합_설계서-1" xfId="1464"/>
    <cellStyle name="1_total_총괄내역0518_수도권매립지_진해자은수량산출서(단지내)_취합_설계서-1_00-설계서,원가계산,내역서" xfId="1465"/>
    <cellStyle name="1_total_총괄내역0518_일신건영설계예산서(0211)" xfId="1482"/>
    <cellStyle name="1_total_총괄내역0518_일신건영설계예산서(0211)_00-설계서,원가계산,내역서" xfId="1483"/>
    <cellStyle name="1_total_총괄내역0518_일신건영설계예산서(0211)_설계서-1" xfId="1484"/>
    <cellStyle name="1_total_총괄내역0518_일신건영설계예산서(0211)_설계서-1_00-설계서,원가계산,내역서" xfId="1485"/>
    <cellStyle name="1_total_총괄내역0518_일신건영설계예산서(0211)_진해자은수량산출서(단지내)" xfId="1486"/>
    <cellStyle name="1_total_총괄내역0518_일신건영설계예산서(0211)_진해자은수량산출서(단지내)_00-설계서,원가계산,내역서" xfId="1487"/>
    <cellStyle name="1_total_총괄내역0518_일신건영설계예산서(0211)_진해자은수량산출서(단지내)_기초산출표-56-128-최종" xfId="1488"/>
    <cellStyle name="1_total_총괄내역0518_일신건영설계예산서(0211)_진해자은수량산출서(단지내)_기초산출표-56-128-최종_00-설계서,원가계산,내역서" xfId="1489"/>
    <cellStyle name="1_total_총괄내역0518_일신건영설계예산서(0211)_진해자은수량산출서(단지내)_기초산출표-56-128-최종_설계서-1" xfId="1490"/>
    <cellStyle name="1_total_총괄내역0518_일신건영설계예산서(0211)_진해자은수량산출서(단지내)_기초산출표-56-128-최종_설계서-1_00-설계서,원가계산,내역서" xfId="1491"/>
    <cellStyle name="1_total_총괄내역0518_일신건영설계예산서(0211)_진해자은수량산출서(단지내)_설계서-1" xfId="1492"/>
    <cellStyle name="1_total_총괄내역0518_일신건영설계예산서(0211)_진해자은수량산출서(단지내)_설계서-1_00-설계서,원가계산,내역서" xfId="1493"/>
    <cellStyle name="1_total_총괄내역0518_일신건영설계예산서(0211)_진해자은수량산출서(단지내)_취합" xfId="1494"/>
    <cellStyle name="1_total_총괄내역0518_일신건영설계예산서(0211)_진해자은수량산출서(단지내)_취합_00-설계서,원가계산,내역서" xfId="1495"/>
    <cellStyle name="1_total_총괄내역0518_일신건영설계예산서(0211)_진해자은수량산출서(단지내)_취합_설계서-1" xfId="1496"/>
    <cellStyle name="1_total_총괄내역0518_일신건영설계예산서(0211)_진해자은수량산출서(단지내)_취합_설계서-1_00-설계서,원가계산,내역서" xfId="1497"/>
    <cellStyle name="1_total_총괄내역0518_일위대가" xfId="1498"/>
    <cellStyle name="1_total_총괄내역0518_일위대가_00-설계서,원가계산,내역서" xfId="1499"/>
    <cellStyle name="1_total_총괄내역0518_일위대가_설계서-1" xfId="1500"/>
    <cellStyle name="1_total_총괄내역0518_일위대가_설계서-1_00-설계서,원가계산,내역서" xfId="1501"/>
    <cellStyle name="1_total_총괄내역0518_일위대가_진해자은수량산출서(단지내)" xfId="1502"/>
    <cellStyle name="1_total_총괄내역0518_일위대가_진해자은수량산출서(단지내)_00-설계서,원가계산,내역서" xfId="1503"/>
    <cellStyle name="1_total_총괄내역0518_일위대가_진해자은수량산출서(단지내)_기초산출표-56-128-최종" xfId="1504"/>
    <cellStyle name="1_total_총괄내역0518_일위대가_진해자은수량산출서(단지내)_기초산출표-56-128-최종_00-설계서,원가계산,내역서" xfId="1505"/>
    <cellStyle name="1_total_총괄내역0518_일위대가_진해자은수량산출서(단지내)_기초산출표-56-128-최종_설계서-1" xfId="1506"/>
    <cellStyle name="1_total_총괄내역0518_일위대가_진해자은수량산출서(단지내)_기초산출표-56-128-최종_설계서-1_00-설계서,원가계산,내역서" xfId="1507"/>
    <cellStyle name="1_total_총괄내역0518_일위대가_진해자은수량산출서(단지내)_설계서-1" xfId="1508"/>
    <cellStyle name="1_total_총괄내역0518_일위대가_진해자은수량산출서(단지내)_설계서-1_00-설계서,원가계산,내역서" xfId="1509"/>
    <cellStyle name="1_total_총괄내역0518_일위대가_진해자은수량산출서(단지내)_취합" xfId="1510"/>
    <cellStyle name="1_total_총괄내역0518_일위대가_진해자은수량산출서(단지내)_취합_00-설계서,원가계산,내역서" xfId="1511"/>
    <cellStyle name="1_total_총괄내역0518_일위대가_진해자은수량산출서(단지내)_취합_설계서-1" xfId="1512"/>
    <cellStyle name="1_total_총괄내역0518_일위대가_진해자은수량산출서(단지내)_취합_설계서-1_00-설계서,원가계산,내역서" xfId="1513"/>
    <cellStyle name="1_total_총괄내역0518_자재단가표" xfId="1514"/>
    <cellStyle name="1_total_총괄내역0518_자재단가표_00-설계서,원가계산,내역서" xfId="1515"/>
    <cellStyle name="1_total_총괄내역0518_자재단가표_설계서-1" xfId="1516"/>
    <cellStyle name="1_total_총괄내역0518_자재단가표_설계서-1_00-설계서,원가계산,내역서" xfId="1517"/>
    <cellStyle name="1_total_총괄내역0518_자재단가표_진해자은수량산출서(단지내)" xfId="1518"/>
    <cellStyle name="1_total_총괄내역0518_자재단가표_진해자은수량산출서(단지내)_00-설계서,원가계산,내역서" xfId="1519"/>
    <cellStyle name="1_total_총괄내역0518_자재단가표_진해자은수량산출서(단지내)_기초산출표-56-128-최종" xfId="1520"/>
    <cellStyle name="1_total_총괄내역0518_자재단가표_진해자은수량산출서(단지내)_기초산출표-56-128-최종_00-설계서,원가계산,내역서" xfId="1521"/>
    <cellStyle name="1_total_총괄내역0518_자재단가표_진해자은수량산출서(단지내)_기초산출표-56-128-최종_설계서-1" xfId="1522"/>
    <cellStyle name="1_total_총괄내역0518_자재단가표_진해자은수량산출서(단지내)_기초산출표-56-128-최종_설계서-1_00-설계서,원가계산,내역서" xfId="1523"/>
    <cellStyle name="1_total_총괄내역0518_자재단가표_진해자은수량산출서(단지내)_설계서-1" xfId="1524"/>
    <cellStyle name="1_total_총괄내역0518_자재단가표_진해자은수량산출서(단지내)_설계서-1_00-설계서,원가계산,내역서" xfId="1525"/>
    <cellStyle name="1_total_총괄내역0518_자재단가표_진해자은수량산출서(단지내)_취합" xfId="1526"/>
    <cellStyle name="1_total_총괄내역0518_자재단가표_진해자은수량산출서(단지내)_취합_00-설계서,원가계산,내역서" xfId="1527"/>
    <cellStyle name="1_total_총괄내역0518_자재단가표_진해자은수량산출서(단지내)_취합_설계서-1" xfId="1528"/>
    <cellStyle name="1_total_총괄내역0518_자재단가표_진해자은수량산출서(단지내)_취합_설계서-1_00-설계서,원가계산,내역서" xfId="1529"/>
    <cellStyle name="1_total_총괄내역0518_장안초등학교내역0814" xfId="1530"/>
    <cellStyle name="1_total_총괄내역0518_장안초등학교내역0814_00-설계서,원가계산,내역서" xfId="1531"/>
    <cellStyle name="1_total_총괄내역0518_장안초등학교내역0814_설계서-1" xfId="1532"/>
    <cellStyle name="1_total_총괄내역0518_장안초등학교내역0814_설계서-1_00-설계서,원가계산,내역서" xfId="1533"/>
    <cellStyle name="1_total_총괄내역0518_장안초등학교내역0814_진해자은수량산출서(단지내)" xfId="1534"/>
    <cellStyle name="1_total_총괄내역0518_장안초등학교내역0814_진해자은수량산출서(단지내)_00-설계서,원가계산,내역서" xfId="1535"/>
    <cellStyle name="1_total_총괄내역0518_장안초등학교내역0814_진해자은수량산출서(단지내)_기초산출표-56-128-최종" xfId="1536"/>
    <cellStyle name="1_total_총괄내역0518_장안초등학교내역0814_진해자은수량산출서(단지내)_기초산출표-56-128-최종_00-설계서,원가계산,내역서" xfId="1537"/>
    <cellStyle name="1_total_총괄내역0518_장안초등학교내역0814_진해자은수량산출서(단지내)_기초산출표-56-128-최종_설계서-1" xfId="1538"/>
    <cellStyle name="1_total_총괄내역0518_장안초등학교내역0814_진해자은수량산출서(단지내)_기초산출표-56-128-최종_설계서-1_00-설계서,원가계산,내역서" xfId="1539"/>
    <cellStyle name="1_total_총괄내역0518_장안초등학교내역0814_진해자은수량산출서(단지내)_설계서-1" xfId="1540"/>
    <cellStyle name="1_total_총괄내역0518_장안초등학교내역0814_진해자은수량산출서(단지내)_설계서-1_00-설계서,원가계산,내역서" xfId="1541"/>
    <cellStyle name="1_total_총괄내역0518_장안초등학교내역0814_진해자은수량산출서(단지내)_취합" xfId="1542"/>
    <cellStyle name="1_total_총괄내역0518_장안초등학교내역0814_진해자은수량산출서(단지내)_취합_00-설계서,원가계산,내역서" xfId="1543"/>
    <cellStyle name="1_total_총괄내역0518_장안초등학교내역0814_진해자은수량산출서(단지내)_취합_설계서-1" xfId="1544"/>
    <cellStyle name="1_total_총괄내역0518_장안초등학교내역0814_진해자은수량산출서(단지내)_취합_설계서-1_00-설계서,원가계산,내역서" xfId="1545"/>
    <cellStyle name="1_total_총괄내역0518_진해자은수량산출서(단지내)" xfId="1546"/>
    <cellStyle name="1_total_총괄내역0518_진해자은수량산출서(단지내)_00-설계서,원가계산,내역서" xfId="1547"/>
    <cellStyle name="1_total_총괄내역0518_진해자은수량산출서(단지내)_기초산출표-56-128-최종" xfId="1548"/>
    <cellStyle name="1_total_총괄내역0518_진해자은수량산출서(단지내)_기초산출표-56-128-최종_00-설계서,원가계산,내역서" xfId="1549"/>
    <cellStyle name="1_total_총괄내역0518_진해자은수량산출서(단지내)_기초산출표-56-128-최종_설계서-1" xfId="1550"/>
    <cellStyle name="1_total_총괄내역0518_진해자은수량산출서(단지내)_기초산출표-56-128-최종_설계서-1_00-설계서,원가계산,내역서" xfId="1551"/>
    <cellStyle name="1_total_총괄내역0518_진해자은수량산출서(단지내)_설계서-1" xfId="1552"/>
    <cellStyle name="1_total_총괄내역0518_진해자은수량산출서(단지내)_설계서-1_00-설계서,원가계산,내역서" xfId="1553"/>
    <cellStyle name="1_total_총괄내역0518_진해자은수량산출서(단지내)_취합" xfId="1554"/>
    <cellStyle name="1_total_총괄내역0518_진해자은수량산출서(단지내)_취합_00-설계서,원가계산,내역서" xfId="1555"/>
    <cellStyle name="1_total_총괄내역0518_진해자은수량산출서(단지내)_취합_설계서-1" xfId="1556"/>
    <cellStyle name="1_total_총괄내역0518_진해자은수량산출서(단지내)_취합_설계서-1_00-설계서,원가계산,내역서" xfId="1557"/>
    <cellStyle name="1_total_현충묘지-예산서(조경)" xfId="1558"/>
    <cellStyle name="1_total_현충묘지-예산서(조경)_00-설계서,원가계산,내역서" xfId="1559"/>
    <cellStyle name="1_total_현충묘지-예산서(조경)_목동내역" xfId="1560"/>
    <cellStyle name="1_total_현충묘지-예산서(조경)_목동내역_00-설계서,원가계산,내역서" xfId="1561"/>
    <cellStyle name="1_total_현충묘지-예산서(조경)_목동내역_폐기물집계" xfId="1562"/>
    <cellStyle name="1_total_현충묘지-예산서(조경)_목동내역_폐기물집계_00-설계서,원가계산,내역서" xfId="1563"/>
    <cellStyle name="1_total_현충묘지-예산서(조경)_예산서-엑셀변환양식100" xfId="1564"/>
    <cellStyle name="1_total_현충묘지-예산서(조경)_예산서-엑셀변환양식100_00-설계서,원가계산,내역서" xfId="1565"/>
    <cellStyle name="1_total_현충묘지-예산서(조경)_예산서-엑셀변환양식100_목동내역" xfId="1566"/>
    <cellStyle name="1_total_현충묘지-예산서(조경)_예산서-엑셀변환양식100_목동내역_00-설계서,원가계산,내역서" xfId="1567"/>
    <cellStyle name="1_total_현충묘지-예산서(조경)_예산서-엑셀변환양식100_목동내역_폐기물집계" xfId="1568"/>
    <cellStyle name="1_total_현충묘지-예산서(조경)_예산서-엑셀변환양식100_목동내역_폐기물집계_00-설계서,원가계산,내역서" xfId="1569"/>
    <cellStyle name="1_tree" xfId="1570"/>
    <cellStyle name="1_tree_00-설계서,원가계산,내역서" xfId="1571"/>
    <cellStyle name="1_tree_00-수량산출서" xfId="1572"/>
    <cellStyle name="1_tree_00-수량산출서_00-설계서,원가계산,내역서" xfId="1573"/>
    <cellStyle name="1_tree_01-내역서(071118)" xfId="1574"/>
    <cellStyle name="1_tree_01-내역서(071118)_00-설계서,원가계산,내역서" xfId="1575"/>
    <cellStyle name="1_tree_구로리총괄내역" xfId="1576"/>
    <cellStyle name="1_tree_구로리총괄내역_00-설계서,원가계산,내역서" xfId="1577"/>
    <cellStyle name="1_tree_구로리총괄내역_구로리설계예산서1029" xfId="1578"/>
    <cellStyle name="1_tree_구로리총괄내역_구로리설계예산서1029_00-설계서,원가계산,내역서" xfId="1579"/>
    <cellStyle name="1_tree_구로리총괄내역_구로리설계예산서1029_설계서-1" xfId="1580"/>
    <cellStyle name="1_tree_구로리총괄내역_구로리설계예산서1029_설계서-1_00-설계서,원가계산,내역서" xfId="1581"/>
    <cellStyle name="1_tree_구로리총괄내역_구로리설계예산서1029_진해자은수량산출서(단지내)" xfId="1582"/>
    <cellStyle name="1_tree_구로리총괄내역_구로리설계예산서1029_진해자은수량산출서(단지내)_00-설계서,원가계산,내역서" xfId="1583"/>
    <cellStyle name="1_tree_구로리총괄내역_구로리설계예산서1029_진해자은수량산출서(단지내)_기초산출표-56-128-최종" xfId="1584"/>
    <cellStyle name="1_tree_구로리총괄내역_구로리설계예산서1029_진해자은수량산출서(단지내)_기초산출표-56-128-최종_00-설계서,원가계산,내역서" xfId="1585"/>
    <cellStyle name="1_tree_구로리총괄내역_구로리설계예산서1029_진해자은수량산출서(단지내)_기초산출표-56-128-최종_설계서-1" xfId="1586"/>
    <cellStyle name="1_tree_구로리총괄내역_구로리설계예산서1029_진해자은수량산출서(단지내)_기초산출표-56-128-최종_설계서-1_00-설계서,원가계산,내역서" xfId="1587"/>
    <cellStyle name="1_tree_구로리총괄내역_구로리설계예산서1029_진해자은수량산출서(단지내)_설계서-1" xfId="1588"/>
    <cellStyle name="1_tree_구로리총괄내역_구로리설계예산서1029_진해자은수량산출서(단지내)_설계서-1_00-설계서,원가계산,내역서" xfId="1589"/>
    <cellStyle name="1_tree_구로리총괄내역_구로리설계예산서1029_진해자은수량산출서(단지내)_취합" xfId="1590"/>
    <cellStyle name="1_tree_구로리총괄내역_구로리설계예산서1029_진해자은수량산출서(단지내)_취합_00-설계서,원가계산,내역서" xfId="1591"/>
    <cellStyle name="1_tree_구로리총괄내역_구로리설계예산서1029_진해자은수량산출서(단지내)_취합_설계서-1" xfId="1592"/>
    <cellStyle name="1_tree_구로리총괄내역_구로리설계예산서1029_진해자은수량산출서(단지내)_취합_설계서-1_00-설계서,원가계산,내역서" xfId="1593"/>
    <cellStyle name="1_tree_구로리총괄내역_구로리설계예산서1118준공" xfId="1594"/>
    <cellStyle name="1_tree_구로리총괄내역_구로리설계예산서1118준공_00-설계서,원가계산,내역서" xfId="1595"/>
    <cellStyle name="1_tree_구로리총괄내역_구로리설계예산서1118준공_설계서-1" xfId="1596"/>
    <cellStyle name="1_tree_구로리총괄내역_구로리설계예산서1118준공_설계서-1_00-설계서,원가계산,내역서" xfId="1597"/>
    <cellStyle name="1_tree_구로리총괄내역_구로리설계예산서1118준공_진해자은수량산출서(단지내)" xfId="1598"/>
    <cellStyle name="1_tree_구로리총괄내역_구로리설계예산서1118준공_진해자은수량산출서(단지내)_00-설계서,원가계산,내역서" xfId="1599"/>
    <cellStyle name="1_tree_구로리총괄내역_구로리설계예산서1118준공_진해자은수량산출서(단지내)_기초산출표-56-128-최종" xfId="1600"/>
    <cellStyle name="1_tree_구로리총괄내역_구로리설계예산서1118준공_진해자은수량산출서(단지내)_기초산출표-56-128-최종_00-설계서,원가계산,내역서" xfId="1601"/>
    <cellStyle name="1_tree_구로리총괄내역_구로리설계예산서1118준공_진해자은수량산출서(단지내)_기초산출표-56-128-최종_설계서-1" xfId="1602"/>
    <cellStyle name="1_tree_구로리총괄내역_구로리설계예산서1118준공_진해자은수량산출서(단지내)_기초산출표-56-128-최종_설계서-1_00-설계서,원가계산,내역서" xfId="1603"/>
    <cellStyle name="1_tree_구로리총괄내역_구로리설계예산서1118준공_진해자은수량산출서(단지내)_설계서-1" xfId="1604"/>
    <cellStyle name="1_tree_구로리총괄내역_구로리설계예산서1118준공_진해자은수량산출서(단지내)_설계서-1_00-설계서,원가계산,내역서" xfId="1605"/>
    <cellStyle name="1_tree_구로리총괄내역_구로리설계예산서1118준공_진해자은수량산출서(단지내)_취합" xfId="1606"/>
    <cellStyle name="1_tree_구로리총괄내역_구로리설계예산서1118준공_진해자은수량산출서(단지내)_취합_00-설계서,원가계산,내역서" xfId="1607"/>
    <cellStyle name="1_tree_구로리총괄내역_구로리설계예산서1118준공_진해자은수량산출서(단지내)_취합_설계서-1" xfId="1608"/>
    <cellStyle name="1_tree_구로리총괄내역_구로리설계예산서1118준공_진해자은수량산출서(단지내)_취합_설계서-1_00-설계서,원가계산,내역서" xfId="1609"/>
    <cellStyle name="1_tree_구로리총괄내역_구로리설계예산서조경" xfId="1610"/>
    <cellStyle name="1_tree_구로리총괄내역_구로리설계예산서조경_00-설계서,원가계산,내역서" xfId="1611"/>
    <cellStyle name="1_tree_구로리총괄내역_구로리설계예산서조경_설계서-1" xfId="1612"/>
    <cellStyle name="1_tree_구로리총괄내역_구로리설계예산서조경_설계서-1_00-설계서,원가계산,내역서" xfId="1613"/>
    <cellStyle name="1_tree_구로리총괄내역_구로리설계예산서조경_진해자은수량산출서(단지내)" xfId="1614"/>
    <cellStyle name="1_tree_구로리총괄내역_구로리설계예산서조경_진해자은수량산출서(단지내)_00-설계서,원가계산,내역서" xfId="1615"/>
    <cellStyle name="1_tree_구로리총괄내역_구로리설계예산서조경_진해자은수량산출서(단지내)_기초산출표-56-128-최종" xfId="1616"/>
    <cellStyle name="1_tree_구로리총괄내역_구로리설계예산서조경_진해자은수량산출서(단지내)_기초산출표-56-128-최종_00-설계서,원가계산,내역서" xfId="1617"/>
    <cellStyle name="1_tree_구로리총괄내역_구로리설계예산서조경_진해자은수량산출서(단지내)_기초산출표-56-128-최종_설계서-1" xfId="1618"/>
    <cellStyle name="1_tree_구로리총괄내역_구로리설계예산서조경_진해자은수량산출서(단지내)_기초산출표-56-128-최종_설계서-1_00-설계서,원가계산,내역서" xfId="1619"/>
    <cellStyle name="1_tree_구로리총괄내역_구로리설계예산서조경_진해자은수량산출서(단지내)_설계서-1" xfId="1620"/>
    <cellStyle name="1_tree_구로리총괄내역_구로리설계예산서조경_진해자은수량산출서(단지내)_설계서-1_00-설계서,원가계산,내역서" xfId="1621"/>
    <cellStyle name="1_tree_구로리총괄내역_구로리설계예산서조경_진해자은수량산출서(단지내)_취합" xfId="1622"/>
    <cellStyle name="1_tree_구로리총괄내역_구로리설계예산서조경_진해자은수량산출서(단지내)_취합_00-설계서,원가계산,내역서" xfId="1623"/>
    <cellStyle name="1_tree_구로리총괄내역_구로리설계예산서조경_진해자은수량산출서(단지내)_취합_설계서-1" xfId="1624"/>
    <cellStyle name="1_tree_구로리총괄내역_구로리설계예산서조경_진해자은수량산출서(단지내)_취합_설계서-1_00-설계서,원가계산,내역서" xfId="1625"/>
    <cellStyle name="1_tree_구로리총괄내역_구로리어린이공원예산서(조경)1125" xfId="1626"/>
    <cellStyle name="1_tree_구로리총괄내역_구로리어린이공원예산서(조경)1125_00-설계서,원가계산,내역서" xfId="1627"/>
    <cellStyle name="1_tree_구로리총괄내역_구로리어린이공원예산서(조경)1125_설계서-1" xfId="1628"/>
    <cellStyle name="1_tree_구로리총괄내역_구로리어린이공원예산서(조경)1125_설계서-1_00-설계서,원가계산,내역서" xfId="1629"/>
    <cellStyle name="1_tree_구로리총괄내역_구로리어린이공원예산서(조경)1125_진해자은수량산출서(단지내)" xfId="1630"/>
    <cellStyle name="1_tree_구로리총괄내역_구로리어린이공원예산서(조경)1125_진해자은수량산출서(단지내)_00-설계서,원가계산,내역서" xfId="1631"/>
    <cellStyle name="1_tree_구로리총괄내역_구로리어린이공원예산서(조경)1125_진해자은수량산출서(단지내)_기초산출표-56-128-최종" xfId="1632"/>
    <cellStyle name="1_tree_구로리총괄내역_구로리어린이공원예산서(조경)1125_진해자은수량산출서(단지내)_기초산출표-56-128-최종_00-설계서,원가계산,내역서" xfId="1633"/>
    <cellStyle name="1_tree_구로리총괄내역_구로리어린이공원예산서(조경)1125_진해자은수량산출서(단지내)_기초산출표-56-128-최종_설계서-1" xfId="1634"/>
    <cellStyle name="1_tree_구로리총괄내역_구로리어린이공원예산서(조경)1125_진해자은수량산출서(단지내)_기초산출표-56-128-최종_설계서-1_00-설계서,원가계산,내역서" xfId="1635"/>
    <cellStyle name="1_tree_구로리총괄내역_구로리어린이공원예산서(조경)1125_진해자은수량산출서(단지내)_설계서-1" xfId="1636"/>
    <cellStyle name="1_tree_구로리총괄내역_구로리어린이공원예산서(조경)1125_진해자은수량산출서(단지내)_설계서-1_00-설계서,원가계산,내역서" xfId="1637"/>
    <cellStyle name="1_tree_구로리총괄내역_구로리어린이공원예산서(조경)1125_진해자은수량산출서(단지내)_취합" xfId="1638"/>
    <cellStyle name="1_tree_구로리총괄내역_구로리어린이공원예산서(조경)1125_진해자은수량산출서(단지내)_취합_00-설계서,원가계산,내역서" xfId="1639"/>
    <cellStyle name="1_tree_구로리총괄내역_구로리어린이공원예산서(조경)1125_진해자은수량산출서(단지내)_취합_설계서-1" xfId="1640"/>
    <cellStyle name="1_tree_구로리총괄내역_구로리어린이공원예산서(조경)1125_진해자은수량산출서(단지내)_취합_설계서-1_00-설계서,원가계산,내역서" xfId="1641"/>
    <cellStyle name="1_tree_구로리총괄내역_내역서" xfId="1642"/>
    <cellStyle name="1_tree_구로리총괄내역_내역서_00-설계서,원가계산,내역서" xfId="1643"/>
    <cellStyle name="1_tree_구로리총괄내역_내역서_설계서-1" xfId="1644"/>
    <cellStyle name="1_tree_구로리총괄내역_내역서_설계서-1_00-설계서,원가계산,내역서" xfId="1645"/>
    <cellStyle name="1_tree_구로리총괄내역_내역서_진해자은수량산출서(단지내)" xfId="1646"/>
    <cellStyle name="1_tree_구로리총괄내역_내역서_진해자은수량산출서(단지내)_00-설계서,원가계산,내역서" xfId="1647"/>
    <cellStyle name="1_tree_구로리총괄내역_내역서_진해자은수량산출서(단지내)_기초산출표-56-128-최종" xfId="1648"/>
    <cellStyle name="1_tree_구로리총괄내역_내역서_진해자은수량산출서(단지내)_기초산출표-56-128-최종_00-설계서,원가계산,내역서" xfId="1649"/>
    <cellStyle name="1_tree_구로리총괄내역_내역서_진해자은수량산출서(단지내)_기초산출표-56-128-최종_설계서-1" xfId="1650"/>
    <cellStyle name="1_tree_구로리총괄내역_내역서_진해자은수량산출서(단지내)_기초산출표-56-128-최종_설계서-1_00-설계서,원가계산,내역서" xfId="1651"/>
    <cellStyle name="1_tree_구로리총괄내역_내역서_진해자은수량산출서(단지내)_설계서-1" xfId="1652"/>
    <cellStyle name="1_tree_구로리총괄내역_내역서_진해자은수량산출서(단지내)_설계서-1_00-설계서,원가계산,내역서" xfId="1653"/>
    <cellStyle name="1_tree_구로리총괄내역_내역서_진해자은수량산출서(단지내)_취합" xfId="1654"/>
    <cellStyle name="1_tree_구로리총괄내역_내역서_진해자은수량산출서(단지내)_취합_00-설계서,원가계산,내역서" xfId="1655"/>
    <cellStyle name="1_tree_구로리총괄내역_내역서_진해자은수량산출서(단지내)_취합_설계서-1" xfId="1656"/>
    <cellStyle name="1_tree_구로리총괄내역_내역서_진해자은수량산출서(단지내)_취합_설계서-1_00-설계서,원가계산,내역서" xfId="1657"/>
    <cellStyle name="1_tree_구로리총괄내역_노임단가표" xfId="1658"/>
    <cellStyle name="1_tree_구로리총괄내역_노임단가표_00-설계서,원가계산,내역서" xfId="1659"/>
    <cellStyle name="1_tree_구로리총괄내역_노임단가표_설계서-1" xfId="1660"/>
    <cellStyle name="1_tree_구로리총괄내역_노임단가표_설계서-1_00-설계서,원가계산,내역서" xfId="1661"/>
    <cellStyle name="1_tree_구로리총괄내역_노임단가표_진해자은수량산출서(단지내)" xfId="1662"/>
    <cellStyle name="1_tree_구로리총괄내역_노임단가표_진해자은수량산출서(단지내)_00-설계서,원가계산,내역서" xfId="1663"/>
    <cellStyle name="1_tree_구로리총괄내역_노임단가표_진해자은수량산출서(단지내)_기초산출표-56-128-최종" xfId="1664"/>
    <cellStyle name="1_tree_구로리총괄내역_노임단가표_진해자은수량산출서(단지내)_기초산출표-56-128-최종_00-설계서,원가계산,내역서" xfId="1665"/>
    <cellStyle name="1_tree_구로리총괄내역_노임단가표_진해자은수량산출서(단지내)_기초산출표-56-128-최종_설계서-1" xfId="1666"/>
    <cellStyle name="1_tree_구로리총괄내역_노임단가표_진해자은수량산출서(단지내)_기초산출표-56-128-최종_설계서-1_00-설계서,원가계산,내역서" xfId="1667"/>
    <cellStyle name="1_tree_구로리총괄내역_노임단가표_진해자은수량산출서(단지내)_설계서-1" xfId="1668"/>
    <cellStyle name="1_tree_구로리총괄내역_노임단가표_진해자은수량산출서(단지내)_설계서-1_00-설계서,원가계산,내역서" xfId="1669"/>
    <cellStyle name="1_tree_구로리총괄내역_노임단가표_진해자은수량산출서(단지내)_취합" xfId="1670"/>
    <cellStyle name="1_tree_구로리총괄내역_노임단가표_진해자은수량산출서(단지내)_취합_00-설계서,원가계산,내역서" xfId="1671"/>
    <cellStyle name="1_tree_구로리총괄내역_노임단가표_진해자은수량산출서(단지내)_취합_설계서-1" xfId="1672"/>
    <cellStyle name="1_tree_구로리총괄내역_노임단가표_진해자은수량산출서(단지내)_취합_설계서-1_00-설계서,원가계산,내역서" xfId="1673"/>
    <cellStyle name="1_tree_구로리총괄내역_설계서-1" xfId="1674"/>
    <cellStyle name="1_tree_구로리총괄내역_설계서-1_00-설계서,원가계산,내역서" xfId="1675"/>
    <cellStyle name="1_tree_구로리총괄내역_수도권매립지" xfId="1676"/>
    <cellStyle name="1_tree_구로리총괄내역_수도권매립지1004(발주용)" xfId="1692"/>
    <cellStyle name="1_tree_구로리총괄내역_수도권매립지1004(발주용)_00-설계서,원가계산,내역서" xfId="1693"/>
    <cellStyle name="1_tree_구로리총괄내역_수도권매립지1004(발주용)_설계서-1" xfId="1694"/>
    <cellStyle name="1_tree_구로리총괄내역_수도권매립지1004(발주용)_설계서-1_00-설계서,원가계산,내역서" xfId="1695"/>
    <cellStyle name="1_tree_구로리총괄내역_수도권매립지1004(발주용)_진해자은수량산출서(단지내)" xfId="1696"/>
    <cellStyle name="1_tree_구로리총괄내역_수도권매립지1004(발주용)_진해자은수량산출서(단지내)_00-설계서,원가계산,내역서" xfId="1697"/>
    <cellStyle name="1_tree_구로리총괄내역_수도권매립지1004(발주용)_진해자은수량산출서(단지내)_기초산출표-56-128-최종" xfId="1698"/>
    <cellStyle name="1_tree_구로리총괄내역_수도권매립지1004(발주용)_진해자은수량산출서(단지내)_기초산출표-56-128-최종_00-설계서,원가계산,내역서" xfId="1699"/>
    <cellStyle name="1_tree_구로리총괄내역_수도권매립지1004(발주용)_진해자은수량산출서(단지내)_기초산출표-56-128-최종_설계서-1" xfId="1700"/>
    <cellStyle name="1_tree_구로리총괄내역_수도권매립지1004(발주용)_진해자은수량산출서(단지내)_기초산출표-56-128-최종_설계서-1_00-설계서,원가계산,내역서" xfId="1701"/>
    <cellStyle name="1_tree_구로리총괄내역_수도권매립지1004(발주용)_진해자은수량산출서(단지내)_설계서-1" xfId="1702"/>
    <cellStyle name="1_tree_구로리총괄내역_수도권매립지1004(발주용)_진해자은수량산출서(단지내)_설계서-1_00-설계서,원가계산,내역서" xfId="1703"/>
    <cellStyle name="1_tree_구로리총괄내역_수도권매립지1004(발주용)_진해자은수량산출서(단지내)_취합" xfId="1704"/>
    <cellStyle name="1_tree_구로리총괄내역_수도권매립지1004(발주용)_진해자은수량산출서(단지내)_취합_00-설계서,원가계산,내역서" xfId="1705"/>
    <cellStyle name="1_tree_구로리총괄내역_수도권매립지1004(발주용)_진해자은수량산출서(단지내)_취합_설계서-1" xfId="1706"/>
    <cellStyle name="1_tree_구로리총괄내역_수도권매립지1004(발주용)_진해자은수량산출서(단지내)_취합_설계서-1_00-설계서,원가계산,내역서" xfId="1707"/>
    <cellStyle name="1_tree_구로리총괄내역_수도권매립지_00-설계서,원가계산,내역서" xfId="1677"/>
    <cellStyle name="1_tree_구로리총괄내역_수도권매립지_설계서-1" xfId="1678"/>
    <cellStyle name="1_tree_구로리총괄내역_수도권매립지_설계서-1_00-설계서,원가계산,내역서" xfId="1679"/>
    <cellStyle name="1_tree_구로리총괄내역_수도권매립지_진해자은수량산출서(단지내)" xfId="1680"/>
    <cellStyle name="1_tree_구로리총괄내역_수도권매립지_진해자은수량산출서(단지내)_00-설계서,원가계산,내역서" xfId="1681"/>
    <cellStyle name="1_tree_구로리총괄내역_수도권매립지_진해자은수량산출서(단지내)_기초산출표-56-128-최종" xfId="1682"/>
    <cellStyle name="1_tree_구로리총괄내역_수도권매립지_진해자은수량산출서(단지내)_기초산출표-56-128-최종_00-설계서,원가계산,내역서" xfId="1683"/>
    <cellStyle name="1_tree_구로리총괄내역_수도권매립지_진해자은수량산출서(단지내)_기초산출표-56-128-최종_설계서-1" xfId="1684"/>
    <cellStyle name="1_tree_구로리총괄내역_수도권매립지_진해자은수량산출서(단지내)_기초산출표-56-128-최종_설계서-1_00-설계서,원가계산,내역서" xfId="1685"/>
    <cellStyle name="1_tree_구로리총괄내역_수도권매립지_진해자은수량산출서(단지내)_설계서-1" xfId="1686"/>
    <cellStyle name="1_tree_구로리총괄내역_수도권매립지_진해자은수량산출서(단지내)_설계서-1_00-설계서,원가계산,내역서" xfId="1687"/>
    <cellStyle name="1_tree_구로리총괄내역_수도권매립지_진해자은수량산출서(단지내)_취합" xfId="1688"/>
    <cellStyle name="1_tree_구로리총괄내역_수도권매립지_진해자은수량산출서(단지내)_취합_00-설계서,원가계산,내역서" xfId="1689"/>
    <cellStyle name="1_tree_구로리총괄내역_수도권매립지_진해자은수량산출서(단지내)_취합_설계서-1" xfId="1690"/>
    <cellStyle name="1_tree_구로리총괄내역_수도권매립지_진해자은수량산출서(단지내)_취합_설계서-1_00-설계서,원가계산,내역서" xfId="1691"/>
    <cellStyle name="1_tree_구로리총괄내역_일신건영설계예산서(0211)" xfId="1708"/>
    <cellStyle name="1_tree_구로리총괄내역_일신건영설계예산서(0211)_00-설계서,원가계산,내역서" xfId="1709"/>
    <cellStyle name="1_tree_구로리총괄내역_일신건영설계예산서(0211)_설계서-1" xfId="1710"/>
    <cellStyle name="1_tree_구로리총괄내역_일신건영설계예산서(0211)_설계서-1_00-설계서,원가계산,내역서" xfId="1711"/>
    <cellStyle name="1_tree_구로리총괄내역_일신건영설계예산서(0211)_진해자은수량산출서(단지내)" xfId="1712"/>
    <cellStyle name="1_tree_구로리총괄내역_일신건영설계예산서(0211)_진해자은수량산출서(단지내)_00-설계서,원가계산,내역서" xfId="1713"/>
    <cellStyle name="1_tree_구로리총괄내역_일신건영설계예산서(0211)_진해자은수량산출서(단지내)_기초산출표-56-128-최종" xfId="1714"/>
    <cellStyle name="1_tree_구로리총괄내역_일신건영설계예산서(0211)_진해자은수량산출서(단지내)_기초산출표-56-128-최종_00-설계서,원가계산,내역서" xfId="1715"/>
    <cellStyle name="1_tree_구로리총괄내역_일신건영설계예산서(0211)_진해자은수량산출서(단지내)_기초산출표-56-128-최종_설계서-1" xfId="1716"/>
    <cellStyle name="1_tree_구로리총괄내역_일신건영설계예산서(0211)_진해자은수량산출서(단지내)_기초산출표-56-128-최종_설계서-1_00-설계서,원가계산,내역서" xfId="1717"/>
    <cellStyle name="1_tree_구로리총괄내역_일신건영설계예산서(0211)_진해자은수량산출서(단지내)_설계서-1" xfId="1718"/>
    <cellStyle name="1_tree_구로리총괄내역_일신건영설계예산서(0211)_진해자은수량산출서(단지내)_설계서-1_00-설계서,원가계산,내역서" xfId="1719"/>
    <cellStyle name="1_tree_구로리총괄내역_일신건영설계예산서(0211)_진해자은수량산출서(단지내)_취합" xfId="1720"/>
    <cellStyle name="1_tree_구로리총괄내역_일신건영설계예산서(0211)_진해자은수량산출서(단지내)_취합_00-설계서,원가계산,내역서" xfId="1721"/>
    <cellStyle name="1_tree_구로리총괄내역_일신건영설계예산서(0211)_진해자은수량산출서(단지내)_취합_설계서-1" xfId="1722"/>
    <cellStyle name="1_tree_구로리총괄내역_일신건영설계예산서(0211)_진해자은수량산출서(단지내)_취합_설계서-1_00-설계서,원가계산,내역서" xfId="1723"/>
    <cellStyle name="1_tree_구로리총괄내역_일위대가" xfId="1724"/>
    <cellStyle name="1_tree_구로리총괄내역_일위대가_00-설계서,원가계산,내역서" xfId="1725"/>
    <cellStyle name="1_tree_구로리총괄내역_일위대가_설계서-1" xfId="1726"/>
    <cellStyle name="1_tree_구로리총괄내역_일위대가_설계서-1_00-설계서,원가계산,내역서" xfId="1727"/>
    <cellStyle name="1_tree_구로리총괄내역_일위대가_진해자은수량산출서(단지내)" xfId="1728"/>
    <cellStyle name="1_tree_구로리총괄내역_일위대가_진해자은수량산출서(단지내)_00-설계서,원가계산,내역서" xfId="1729"/>
    <cellStyle name="1_tree_구로리총괄내역_일위대가_진해자은수량산출서(단지내)_기초산출표-56-128-최종" xfId="1730"/>
    <cellStyle name="1_tree_구로리총괄내역_일위대가_진해자은수량산출서(단지내)_기초산출표-56-128-최종_00-설계서,원가계산,내역서" xfId="1731"/>
    <cellStyle name="1_tree_구로리총괄내역_일위대가_진해자은수량산출서(단지내)_기초산출표-56-128-최종_설계서-1" xfId="1732"/>
    <cellStyle name="1_tree_구로리총괄내역_일위대가_진해자은수량산출서(단지내)_기초산출표-56-128-최종_설계서-1_00-설계서,원가계산,내역서" xfId="1733"/>
    <cellStyle name="1_tree_구로리총괄내역_일위대가_진해자은수량산출서(단지내)_설계서-1" xfId="1734"/>
    <cellStyle name="1_tree_구로리총괄내역_일위대가_진해자은수량산출서(단지내)_설계서-1_00-설계서,원가계산,내역서" xfId="1735"/>
    <cellStyle name="1_tree_구로리총괄내역_일위대가_진해자은수량산출서(단지내)_취합" xfId="1736"/>
    <cellStyle name="1_tree_구로리총괄내역_일위대가_진해자은수량산출서(단지내)_취합_00-설계서,원가계산,내역서" xfId="1737"/>
    <cellStyle name="1_tree_구로리총괄내역_일위대가_진해자은수량산출서(단지내)_취합_설계서-1" xfId="1738"/>
    <cellStyle name="1_tree_구로리총괄내역_일위대가_진해자은수량산출서(단지내)_취합_설계서-1_00-설계서,원가계산,내역서" xfId="1739"/>
    <cellStyle name="1_tree_구로리총괄내역_자재단가표" xfId="1740"/>
    <cellStyle name="1_tree_구로리총괄내역_자재단가표_00-설계서,원가계산,내역서" xfId="1741"/>
    <cellStyle name="1_tree_구로리총괄내역_자재단가표_설계서-1" xfId="1742"/>
    <cellStyle name="1_tree_구로리총괄내역_자재단가표_설계서-1_00-설계서,원가계산,내역서" xfId="1743"/>
    <cellStyle name="1_tree_구로리총괄내역_자재단가표_진해자은수량산출서(단지내)" xfId="1744"/>
    <cellStyle name="1_tree_구로리총괄내역_자재단가표_진해자은수량산출서(단지내)_00-설계서,원가계산,내역서" xfId="1745"/>
    <cellStyle name="1_tree_구로리총괄내역_자재단가표_진해자은수량산출서(단지내)_기초산출표-56-128-최종" xfId="1746"/>
    <cellStyle name="1_tree_구로리총괄내역_자재단가표_진해자은수량산출서(단지내)_기초산출표-56-128-최종_00-설계서,원가계산,내역서" xfId="1747"/>
    <cellStyle name="1_tree_구로리총괄내역_자재단가표_진해자은수량산출서(단지내)_기초산출표-56-128-최종_설계서-1" xfId="1748"/>
    <cellStyle name="1_tree_구로리총괄내역_자재단가표_진해자은수량산출서(단지내)_기초산출표-56-128-최종_설계서-1_00-설계서,원가계산,내역서" xfId="1749"/>
    <cellStyle name="1_tree_구로리총괄내역_자재단가표_진해자은수량산출서(단지내)_설계서-1" xfId="1750"/>
    <cellStyle name="1_tree_구로리총괄내역_자재단가표_진해자은수량산출서(단지내)_설계서-1_00-설계서,원가계산,내역서" xfId="1751"/>
    <cellStyle name="1_tree_구로리총괄내역_자재단가표_진해자은수량산출서(단지내)_취합" xfId="1752"/>
    <cellStyle name="1_tree_구로리총괄내역_자재단가표_진해자은수량산출서(단지내)_취합_00-설계서,원가계산,내역서" xfId="1753"/>
    <cellStyle name="1_tree_구로리총괄내역_자재단가표_진해자은수량산출서(단지내)_취합_설계서-1" xfId="1754"/>
    <cellStyle name="1_tree_구로리총괄내역_자재단가표_진해자은수량산출서(단지내)_취합_설계서-1_00-설계서,원가계산,내역서" xfId="1755"/>
    <cellStyle name="1_tree_구로리총괄내역_장안초등학교내역0814" xfId="1756"/>
    <cellStyle name="1_tree_구로리총괄내역_장안초등학교내역0814_00-설계서,원가계산,내역서" xfId="1757"/>
    <cellStyle name="1_tree_구로리총괄내역_장안초등학교내역0814_설계서-1" xfId="1758"/>
    <cellStyle name="1_tree_구로리총괄내역_장안초등학교내역0814_설계서-1_00-설계서,원가계산,내역서" xfId="1759"/>
    <cellStyle name="1_tree_구로리총괄내역_장안초등학교내역0814_진해자은수량산출서(단지내)" xfId="1760"/>
    <cellStyle name="1_tree_구로리총괄내역_장안초등학교내역0814_진해자은수량산출서(단지내)_00-설계서,원가계산,내역서" xfId="1761"/>
    <cellStyle name="1_tree_구로리총괄내역_장안초등학교내역0814_진해자은수량산출서(단지내)_기초산출표-56-128-최종" xfId="1762"/>
    <cellStyle name="1_tree_구로리총괄내역_장안초등학교내역0814_진해자은수량산출서(단지내)_기초산출표-56-128-최종_00-설계서,원가계산,내역서" xfId="1763"/>
    <cellStyle name="1_tree_구로리총괄내역_장안초등학교내역0814_진해자은수량산출서(단지내)_기초산출표-56-128-최종_설계서-1" xfId="1764"/>
    <cellStyle name="1_tree_구로리총괄내역_장안초등학교내역0814_진해자은수량산출서(단지내)_기초산출표-56-128-최종_설계서-1_00-설계서,원가계산,내역서" xfId="1765"/>
    <cellStyle name="1_tree_구로리총괄내역_장안초등학교내역0814_진해자은수량산출서(단지내)_설계서-1" xfId="1766"/>
    <cellStyle name="1_tree_구로리총괄내역_장안초등학교내역0814_진해자은수량산출서(단지내)_설계서-1_00-설계서,원가계산,내역서" xfId="1767"/>
    <cellStyle name="1_tree_구로리총괄내역_장안초등학교내역0814_진해자은수량산출서(단지내)_취합" xfId="1768"/>
    <cellStyle name="1_tree_구로리총괄내역_장안초등학교내역0814_진해자은수량산출서(단지내)_취합_00-설계서,원가계산,내역서" xfId="1769"/>
    <cellStyle name="1_tree_구로리총괄내역_장안초등학교내역0814_진해자은수량산출서(단지내)_취합_설계서-1" xfId="1770"/>
    <cellStyle name="1_tree_구로리총괄내역_장안초등학교내역0814_진해자은수량산출서(단지내)_취합_설계서-1_00-설계서,원가계산,내역서" xfId="1771"/>
    <cellStyle name="1_tree_구로리총괄내역_진해자은수량산출서(단지내)" xfId="1772"/>
    <cellStyle name="1_tree_구로리총괄내역_진해자은수량산출서(단지내)_00-설계서,원가계산,내역서" xfId="1773"/>
    <cellStyle name="1_tree_구로리총괄내역_진해자은수량산출서(단지내)_기초산출표-56-128-최종" xfId="1774"/>
    <cellStyle name="1_tree_구로리총괄내역_진해자은수량산출서(단지내)_기초산출표-56-128-최종_00-설계서,원가계산,내역서" xfId="1775"/>
    <cellStyle name="1_tree_구로리총괄내역_진해자은수량산출서(단지내)_기초산출표-56-128-최종_설계서-1" xfId="1776"/>
    <cellStyle name="1_tree_구로리총괄내역_진해자은수량산출서(단지내)_기초산출표-56-128-최종_설계서-1_00-설계서,원가계산,내역서" xfId="1777"/>
    <cellStyle name="1_tree_구로리총괄내역_진해자은수량산출서(단지내)_설계서-1" xfId="1778"/>
    <cellStyle name="1_tree_구로리총괄내역_진해자은수량산출서(단지내)_설계서-1_00-설계서,원가계산,내역서" xfId="1779"/>
    <cellStyle name="1_tree_구로리총괄내역_진해자은수량산출서(단지내)_취합" xfId="1780"/>
    <cellStyle name="1_tree_구로리총괄내역_진해자은수량산출서(단지내)_취합_00-설계서,원가계산,내역서" xfId="1781"/>
    <cellStyle name="1_tree_구로리총괄내역_진해자은수량산출서(단지내)_취합_설계서-1" xfId="1782"/>
    <cellStyle name="1_tree_구로리총괄내역_진해자은수량산출서(단지내)_취합_설계서-1_00-설계서,원가계산,내역서" xfId="1783"/>
    <cellStyle name="1_tree_목동내역" xfId="1784"/>
    <cellStyle name="1_tree_목동내역_00-설계서,원가계산,내역서" xfId="1785"/>
    <cellStyle name="1_tree_목동내역_폐기물집계" xfId="1786"/>
    <cellStyle name="1_tree_목동내역_폐기물집계_00-설계서,원가계산,내역서" xfId="1787"/>
    <cellStyle name="1_tree_설계서-1" xfId="1788"/>
    <cellStyle name="1_tree_설계서-1_00-설계서,원가계산,내역서" xfId="1789"/>
    <cellStyle name="1_tree_수량산출" xfId="1790"/>
    <cellStyle name="1_tree_수량산출_00-설계서,원가계산,내역서" xfId="1791"/>
    <cellStyle name="1_tree_수량산출_00-수량산출서" xfId="1792"/>
    <cellStyle name="1_tree_수량산출_00-수량산출서_00-설계서,원가계산,내역서" xfId="1793"/>
    <cellStyle name="1_tree_수량산출_01-내역서(071118)" xfId="1794"/>
    <cellStyle name="1_tree_수량산출_01-내역서(071118)_00-설계서,원가계산,내역서" xfId="1795"/>
    <cellStyle name="1_tree_수량산출_구로리총괄내역" xfId="1796"/>
    <cellStyle name="1_tree_수량산출_구로리총괄내역_00-설계서,원가계산,내역서" xfId="1797"/>
    <cellStyle name="1_tree_수량산출_구로리총괄내역_구로리설계예산서1029" xfId="1798"/>
    <cellStyle name="1_tree_수량산출_구로리총괄내역_구로리설계예산서1029_00-설계서,원가계산,내역서" xfId="1799"/>
    <cellStyle name="1_tree_수량산출_구로리총괄내역_구로리설계예산서1029_설계서-1" xfId="1800"/>
    <cellStyle name="1_tree_수량산출_구로리총괄내역_구로리설계예산서1029_설계서-1_00-설계서,원가계산,내역서" xfId="1801"/>
    <cellStyle name="1_tree_수량산출_구로리총괄내역_구로리설계예산서1029_진해자은수량산출서(단지내)" xfId="1802"/>
    <cellStyle name="1_tree_수량산출_구로리총괄내역_구로리설계예산서1029_진해자은수량산출서(단지내)_00-설계서,원가계산,내역서" xfId="1803"/>
    <cellStyle name="1_tree_수량산출_구로리총괄내역_구로리설계예산서1029_진해자은수량산출서(단지내)_기초산출표-56-128-최종" xfId="1804"/>
    <cellStyle name="1_tree_수량산출_구로리총괄내역_구로리설계예산서1029_진해자은수량산출서(단지내)_기초산출표-56-128-최종_00-설계서,원가계산,내역서" xfId="1805"/>
    <cellStyle name="1_tree_수량산출_구로리총괄내역_구로리설계예산서1029_진해자은수량산출서(단지내)_기초산출표-56-128-최종_설계서-1" xfId="1806"/>
    <cellStyle name="1_tree_수량산출_구로리총괄내역_구로리설계예산서1029_진해자은수량산출서(단지내)_기초산출표-56-128-최종_설계서-1_00-설계서,원가계산,내역서" xfId="1807"/>
    <cellStyle name="1_tree_수량산출_구로리총괄내역_구로리설계예산서1029_진해자은수량산출서(단지내)_설계서-1" xfId="1808"/>
    <cellStyle name="1_tree_수량산출_구로리총괄내역_구로리설계예산서1029_진해자은수량산출서(단지내)_설계서-1_00-설계서,원가계산,내역서" xfId="1809"/>
    <cellStyle name="1_tree_수량산출_구로리총괄내역_구로리설계예산서1029_진해자은수량산출서(단지내)_취합" xfId="1810"/>
    <cellStyle name="1_tree_수량산출_구로리총괄내역_구로리설계예산서1029_진해자은수량산출서(단지내)_취합_00-설계서,원가계산,내역서" xfId="1811"/>
    <cellStyle name="1_tree_수량산출_구로리총괄내역_구로리설계예산서1029_진해자은수량산출서(단지내)_취합_설계서-1" xfId="1812"/>
    <cellStyle name="1_tree_수량산출_구로리총괄내역_구로리설계예산서1029_진해자은수량산출서(단지내)_취합_설계서-1_00-설계서,원가계산,내역서" xfId="1813"/>
    <cellStyle name="1_tree_수량산출_구로리총괄내역_구로리설계예산서1118준공" xfId="1814"/>
    <cellStyle name="1_tree_수량산출_구로리총괄내역_구로리설계예산서1118준공_00-설계서,원가계산,내역서" xfId="1815"/>
    <cellStyle name="1_tree_수량산출_구로리총괄내역_구로리설계예산서1118준공_설계서-1" xfId="1816"/>
    <cellStyle name="1_tree_수량산출_구로리총괄내역_구로리설계예산서1118준공_설계서-1_00-설계서,원가계산,내역서" xfId="1817"/>
    <cellStyle name="1_tree_수량산출_구로리총괄내역_구로리설계예산서1118준공_진해자은수량산출서(단지내)" xfId="1818"/>
    <cellStyle name="1_tree_수량산출_구로리총괄내역_구로리설계예산서1118준공_진해자은수량산출서(단지내)_00-설계서,원가계산,내역서" xfId="1819"/>
    <cellStyle name="1_tree_수량산출_구로리총괄내역_구로리설계예산서1118준공_진해자은수량산출서(단지내)_기초산출표-56-128-최종" xfId="1820"/>
    <cellStyle name="1_tree_수량산출_구로리총괄내역_구로리설계예산서1118준공_진해자은수량산출서(단지내)_기초산출표-56-128-최종_00-설계서,원가계산,내역서" xfId="1821"/>
    <cellStyle name="1_tree_수량산출_구로리총괄내역_구로리설계예산서1118준공_진해자은수량산출서(단지내)_기초산출표-56-128-최종_설계서-1" xfId="1822"/>
    <cellStyle name="1_tree_수량산출_구로리총괄내역_구로리설계예산서1118준공_진해자은수량산출서(단지내)_기초산출표-56-128-최종_설계서-1_00-설계서,원가계산,내역서" xfId="1823"/>
    <cellStyle name="1_tree_수량산출_구로리총괄내역_구로리설계예산서1118준공_진해자은수량산출서(단지내)_설계서-1" xfId="1824"/>
    <cellStyle name="1_tree_수량산출_구로리총괄내역_구로리설계예산서1118준공_진해자은수량산출서(단지내)_설계서-1_00-설계서,원가계산,내역서" xfId="1825"/>
    <cellStyle name="1_tree_수량산출_구로리총괄내역_구로리설계예산서1118준공_진해자은수량산출서(단지내)_취합" xfId="1826"/>
    <cellStyle name="1_tree_수량산출_구로리총괄내역_구로리설계예산서1118준공_진해자은수량산출서(단지내)_취합_00-설계서,원가계산,내역서" xfId="1827"/>
    <cellStyle name="1_tree_수량산출_구로리총괄내역_구로리설계예산서1118준공_진해자은수량산출서(단지내)_취합_설계서-1" xfId="1828"/>
    <cellStyle name="1_tree_수량산출_구로리총괄내역_구로리설계예산서1118준공_진해자은수량산출서(단지내)_취합_설계서-1_00-설계서,원가계산,내역서" xfId="1829"/>
    <cellStyle name="1_tree_수량산출_구로리총괄내역_구로리설계예산서조경" xfId="1830"/>
    <cellStyle name="1_tree_수량산출_구로리총괄내역_구로리설계예산서조경_00-설계서,원가계산,내역서" xfId="1831"/>
    <cellStyle name="1_tree_수량산출_구로리총괄내역_구로리설계예산서조경_설계서-1" xfId="1832"/>
    <cellStyle name="1_tree_수량산출_구로리총괄내역_구로리설계예산서조경_설계서-1_00-설계서,원가계산,내역서" xfId="1833"/>
    <cellStyle name="1_tree_수량산출_구로리총괄내역_구로리설계예산서조경_진해자은수량산출서(단지내)" xfId="1834"/>
    <cellStyle name="1_tree_수량산출_구로리총괄내역_구로리설계예산서조경_진해자은수량산출서(단지내)_00-설계서,원가계산,내역서" xfId="1835"/>
    <cellStyle name="1_tree_수량산출_구로리총괄내역_구로리설계예산서조경_진해자은수량산출서(단지내)_기초산출표-56-128-최종" xfId="1836"/>
    <cellStyle name="1_tree_수량산출_구로리총괄내역_구로리설계예산서조경_진해자은수량산출서(단지내)_기초산출표-56-128-최종_00-설계서,원가계산,내역서" xfId="1837"/>
    <cellStyle name="1_tree_수량산출_구로리총괄내역_구로리설계예산서조경_진해자은수량산출서(단지내)_기초산출표-56-128-최종_설계서-1" xfId="1838"/>
    <cellStyle name="1_tree_수량산출_구로리총괄내역_구로리설계예산서조경_진해자은수량산출서(단지내)_기초산출표-56-128-최종_설계서-1_00-설계서,원가계산,내역서" xfId="1839"/>
    <cellStyle name="1_tree_수량산출_구로리총괄내역_구로리설계예산서조경_진해자은수량산출서(단지내)_설계서-1" xfId="1840"/>
    <cellStyle name="1_tree_수량산출_구로리총괄내역_구로리설계예산서조경_진해자은수량산출서(단지내)_설계서-1_00-설계서,원가계산,내역서" xfId="1841"/>
    <cellStyle name="1_tree_수량산출_구로리총괄내역_구로리설계예산서조경_진해자은수량산출서(단지내)_취합" xfId="1842"/>
    <cellStyle name="1_tree_수량산출_구로리총괄내역_구로리설계예산서조경_진해자은수량산출서(단지내)_취합_00-설계서,원가계산,내역서" xfId="1843"/>
    <cellStyle name="1_tree_수량산출_구로리총괄내역_구로리설계예산서조경_진해자은수량산출서(단지내)_취합_설계서-1" xfId="1844"/>
    <cellStyle name="1_tree_수량산출_구로리총괄내역_구로리설계예산서조경_진해자은수량산출서(단지내)_취합_설계서-1_00-설계서,원가계산,내역서" xfId="1845"/>
    <cellStyle name="1_tree_수량산출_구로리총괄내역_구로리어린이공원예산서(조경)1125" xfId="1846"/>
    <cellStyle name="1_tree_수량산출_구로리총괄내역_구로리어린이공원예산서(조경)1125_00-설계서,원가계산,내역서" xfId="1847"/>
    <cellStyle name="1_tree_수량산출_구로리총괄내역_구로리어린이공원예산서(조경)1125_설계서-1" xfId="1848"/>
    <cellStyle name="1_tree_수량산출_구로리총괄내역_구로리어린이공원예산서(조경)1125_설계서-1_00-설계서,원가계산,내역서" xfId="1849"/>
    <cellStyle name="1_tree_수량산출_구로리총괄내역_구로리어린이공원예산서(조경)1125_진해자은수량산출서(단지내)" xfId="1850"/>
    <cellStyle name="1_tree_수량산출_구로리총괄내역_구로리어린이공원예산서(조경)1125_진해자은수량산출서(단지내)_00-설계서,원가계산,내역서" xfId="1851"/>
    <cellStyle name="1_tree_수량산출_구로리총괄내역_구로리어린이공원예산서(조경)1125_진해자은수량산출서(단지내)_기초산출표-56-128-최종" xfId="1852"/>
    <cellStyle name="1_tree_수량산출_구로리총괄내역_구로리어린이공원예산서(조경)1125_진해자은수량산출서(단지내)_기초산출표-56-128-최종_00-설계서,원가계산,내역서" xfId="1853"/>
    <cellStyle name="1_tree_수량산출_구로리총괄내역_구로리어린이공원예산서(조경)1125_진해자은수량산출서(단지내)_기초산출표-56-128-최종_설계서-1" xfId="1854"/>
    <cellStyle name="1_tree_수량산출_구로리총괄내역_구로리어린이공원예산서(조경)1125_진해자은수량산출서(단지내)_기초산출표-56-128-최종_설계서-1_00-설계서,원가계산,내역서" xfId="1855"/>
    <cellStyle name="1_tree_수량산출_구로리총괄내역_구로리어린이공원예산서(조경)1125_진해자은수량산출서(단지내)_설계서-1" xfId="1856"/>
    <cellStyle name="1_tree_수량산출_구로리총괄내역_구로리어린이공원예산서(조경)1125_진해자은수량산출서(단지내)_설계서-1_00-설계서,원가계산,내역서" xfId="1857"/>
    <cellStyle name="1_tree_수량산출_구로리총괄내역_구로리어린이공원예산서(조경)1125_진해자은수량산출서(단지내)_취합" xfId="1858"/>
    <cellStyle name="1_tree_수량산출_구로리총괄내역_구로리어린이공원예산서(조경)1125_진해자은수량산출서(단지내)_취합_00-설계서,원가계산,내역서" xfId="1859"/>
    <cellStyle name="1_tree_수량산출_구로리총괄내역_구로리어린이공원예산서(조경)1125_진해자은수량산출서(단지내)_취합_설계서-1" xfId="1860"/>
    <cellStyle name="1_tree_수량산출_구로리총괄내역_구로리어린이공원예산서(조경)1125_진해자은수량산출서(단지내)_취합_설계서-1_00-설계서,원가계산,내역서" xfId="1861"/>
    <cellStyle name="1_tree_수량산출_구로리총괄내역_내역서" xfId="1862"/>
    <cellStyle name="1_tree_수량산출_구로리총괄내역_내역서_00-설계서,원가계산,내역서" xfId="1863"/>
    <cellStyle name="1_tree_수량산출_구로리총괄내역_내역서_설계서-1" xfId="1864"/>
    <cellStyle name="1_tree_수량산출_구로리총괄내역_내역서_설계서-1_00-설계서,원가계산,내역서" xfId="1865"/>
    <cellStyle name="1_tree_수량산출_구로리총괄내역_내역서_진해자은수량산출서(단지내)" xfId="1866"/>
    <cellStyle name="1_tree_수량산출_구로리총괄내역_내역서_진해자은수량산출서(단지내)_00-설계서,원가계산,내역서" xfId="1867"/>
    <cellStyle name="1_tree_수량산출_구로리총괄내역_내역서_진해자은수량산출서(단지내)_기초산출표-56-128-최종" xfId="1868"/>
    <cellStyle name="1_tree_수량산출_구로리총괄내역_내역서_진해자은수량산출서(단지내)_기초산출표-56-128-최종_00-설계서,원가계산,내역서" xfId="1869"/>
    <cellStyle name="1_tree_수량산출_구로리총괄내역_내역서_진해자은수량산출서(단지내)_기초산출표-56-128-최종_설계서-1" xfId="1870"/>
    <cellStyle name="1_tree_수량산출_구로리총괄내역_내역서_진해자은수량산출서(단지내)_기초산출표-56-128-최종_설계서-1_00-설계서,원가계산,내역서" xfId="1871"/>
    <cellStyle name="1_tree_수량산출_구로리총괄내역_내역서_진해자은수량산출서(단지내)_설계서-1" xfId="1872"/>
    <cellStyle name="1_tree_수량산출_구로리총괄내역_내역서_진해자은수량산출서(단지내)_설계서-1_00-설계서,원가계산,내역서" xfId="1873"/>
    <cellStyle name="1_tree_수량산출_구로리총괄내역_내역서_진해자은수량산출서(단지내)_취합" xfId="1874"/>
    <cellStyle name="1_tree_수량산출_구로리총괄내역_내역서_진해자은수량산출서(단지내)_취합_00-설계서,원가계산,내역서" xfId="1875"/>
    <cellStyle name="1_tree_수량산출_구로리총괄내역_내역서_진해자은수량산출서(단지내)_취합_설계서-1" xfId="1876"/>
    <cellStyle name="1_tree_수량산출_구로리총괄내역_내역서_진해자은수량산출서(단지내)_취합_설계서-1_00-설계서,원가계산,내역서" xfId="1877"/>
    <cellStyle name="1_tree_수량산출_구로리총괄내역_노임단가표" xfId="1878"/>
    <cellStyle name="1_tree_수량산출_구로리총괄내역_노임단가표_00-설계서,원가계산,내역서" xfId="1879"/>
    <cellStyle name="1_tree_수량산출_구로리총괄내역_노임단가표_설계서-1" xfId="1880"/>
    <cellStyle name="1_tree_수량산출_구로리총괄내역_노임단가표_설계서-1_00-설계서,원가계산,내역서" xfId="1881"/>
    <cellStyle name="1_tree_수량산출_구로리총괄내역_노임단가표_진해자은수량산출서(단지내)" xfId="1882"/>
    <cellStyle name="1_tree_수량산출_구로리총괄내역_노임단가표_진해자은수량산출서(단지내)_00-설계서,원가계산,내역서" xfId="1883"/>
    <cellStyle name="1_tree_수량산출_구로리총괄내역_노임단가표_진해자은수량산출서(단지내)_기초산출표-56-128-최종" xfId="1884"/>
    <cellStyle name="1_tree_수량산출_구로리총괄내역_노임단가표_진해자은수량산출서(단지내)_기초산출표-56-128-최종_00-설계서,원가계산,내역서" xfId="1885"/>
    <cellStyle name="1_tree_수량산출_구로리총괄내역_노임단가표_진해자은수량산출서(단지내)_기초산출표-56-128-최종_설계서-1" xfId="1886"/>
    <cellStyle name="1_tree_수량산출_구로리총괄내역_노임단가표_진해자은수량산출서(단지내)_기초산출표-56-128-최종_설계서-1_00-설계서,원가계산,내역서" xfId="1887"/>
    <cellStyle name="1_tree_수량산출_구로리총괄내역_노임단가표_진해자은수량산출서(단지내)_설계서-1" xfId="1888"/>
    <cellStyle name="1_tree_수량산출_구로리총괄내역_노임단가표_진해자은수량산출서(단지내)_설계서-1_00-설계서,원가계산,내역서" xfId="1889"/>
    <cellStyle name="1_tree_수량산출_구로리총괄내역_노임단가표_진해자은수량산출서(단지내)_취합" xfId="1890"/>
    <cellStyle name="1_tree_수량산출_구로리총괄내역_노임단가표_진해자은수량산출서(단지내)_취합_00-설계서,원가계산,내역서" xfId="1891"/>
    <cellStyle name="1_tree_수량산출_구로리총괄내역_노임단가표_진해자은수량산출서(단지내)_취합_설계서-1" xfId="1892"/>
    <cellStyle name="1_tree_수량산출_구로리총괄내역_노임단가표_진해자은수량산출서(단지내)_취합_설계서-1_00-설계서,원가계산,내역서" xfId="1893"/>
    <cellStyle name="1_tree_수량산출_구로리총괄내역_설계서-1" xfId="1894"/>
    <cellStyle name="1_tree_수량산출_구로리총괄내역_설계서-1_00-설계서,원가계산,내역서" xfId="1895"/>
    <cellStyle name="1_tree_수량산출_구로리총괄내역_수도권매립지" xfId="1896"/>
    <cellStyle name="1_tree_수량산출_구로리총괄내역_수도권매립지1004(발주용)" xfId="1912"/>
    <cellStyle name="1_tree_수량산출_구로리총괄내역_수도권매립지1004(발주용)_00-설계서,원가계산,내역서" xfId="1913"/>
    <cellStyle name="1_tree_수량산출_구로리총괄내역_수도권매립지1004(발주용)_설계서-1" xfId="1914"/>
    <cellStyle name="1_tree_수량산출_구로리총괄내역_수도권매립지1004(발주용)_설계서-1_00-설계서,원가계산,내역서" xfId="1915"/>
    <cellStyle name="1_tree_수량산출_구로리총괄내역_수도권매립지1004(발주용)_진해자은수량산출서(단지내)" xfId="1916"/>
    <cellStyle name="1_tree_수량산출_구로리총괄내역_수도권매립지1004(발주용)_진해자은수량산출서(단지내)_00-설계서,원가계산,내역서" xfId="1917"/>
    <cellStyle name="1_tree_수량산출_구로리총괄내역_수도권매립지1004(발주용)_진해자은수량산출서(단지내)_기초산출표-56-128-최종" xfId="1918"/>
    <cellStyle name="1_tree_수량산출_구로리총괄내역_수도권매립지1004(발주용)_진해자은수량산출서(단지내)_기초산출표-56-128-최종_00-설계서,원가계산,내역서" xfId="1919"/>
    <cellStyle name="1_tree_수량산출_구로리총괄내역_수도권매립지1004(발주용)_진해자은수량산출서(단지내)_기초산출표-56-128-최종_설계서-1" xfId="1920"/>
    <cellStyle name="1_tree_수량산출_구로리총괄내역_수도권매립지1004(발주용)_진해자은수량산출서(단지내)_기초산출표-56-128-최종_설계서-1_00-설계서,원가계산,내역서" xfId="1921"/>
    <cellStyle name="1_tree_수량산출_구로리총괄내역_수도권매립지1004(발주용)_진해자은수량산출서(단지내)_설계서-1" xfId="1922"/>
    <cellStyle name="1_tree_수량산출_구로리총괄내역_수도권매립지1004(발주용)_진해자은수량산출서(단지내)_설계서-1_00-설계서,원가계산,내역서" xfId="1923"/>
    <cellStyle name="1_tree_수량산출_구로리총괄내역_수도권매립지1004(발주용)_진해자은수량산출서(단지내)_취합" xfId="1924"/>
    <cellStyle name="1_tree_수량산출_구로리총괄내역_수도권매립지1004(발주용)_진해자은수량산출서(단지내)_취합_00-설계서,원가계산,내역서" xfId="1925"/>
    <cellStyle name="1_tree_수량산출_구로리총괄내역_수도권매립지1004(발주용)_진해자은수량산출서(단지내)_취합_설계서-1" xfId="1926"/>
    <cellStyle name="1_tree_수량산출_구로리총괄내역_수도권매립지1004(발주용)_진해자은수량산출서(단지내)_취합_설계서-1_00-설계서,원가계산,내역서" xfId="1927"/>
    <cellStyle name="1_tree_수량산출_구로리총괄내역_수도권매립지_00-설계서,원가계산,내역서" xfId="1897"/>
    <cellStyle name="1_tree_수량산출_구로리총괄내역_수도권매립지_설계서-1" xfId="1898"/>
    <cellStyle name="1_tree_수량산출_구로리총괄내역_수도권매립지_설계서-1_00-설계서,원가계산,내역서" xfId="1899"/>
    <cellStyle name="1_tree_수량산출_구로리총괄내역_수도권매립지_진해자은수량산출서(단지내)" xfId="1900"/>
    <cellStyle name="1_tree_수량산출_구로리총괄내역_수도권매립지_진해자은수량산출서(단지내)_00-설계서,원가계산,내역서" xfId="1901"/>
    <cellStyle name="1_tree_수량산출_구로리총괄내역_수도권매립지_진해자은수량산출서(단지내)_기초산출표-56-128-최종" xfId="1902"/>
    <cellStyle name="1_tree_수량산출_구로리총괄내역_수도권매립지_진해자은수량산출서(단지내)_기초산출표-56-128-최종_00-설계서,원가계산,내역서" xfId="1903"/>
    <cellStyle name="1_tree_수량산출_구로리총괄내역_수도권매립지_진해자은수량산출서(단지내)_기초산출표-56-128-최종_설계서-1" xfId="1904"/>
    <cellStyle name="1_tree_수량산출_구로리총괄내역_수도권매립지_진해자은수량산출서(단지내)_기초산출표-56-128-최종_설계서-1_00-설계서,원가계산,내역서" xfId="1905"/>
    <cellStyle name="1_tree_수량산출_구로리총괄내역_수도권매립지_진해자은수량산출서(단지내)_설계서-1" xfId="1906"/>
    <cellStyle name="1_tree_수량산출_구로리총괄내역_수도권매립지_진해자은수량산출서(단지내)_설계서-1_00-설계서,원가계산,내역서" xfId="1907"/>
    <cellStyle name="1_tree_수량산출_구로리총괄내역_수도권매립지_진해자은수량산출서(단지내)_취합" xfId="1908"/>
    <cellStyle name="1_tree_수량산출_구로리총괄내역_수도권매립지_진해자은수량산출서(단지내)_취합_00-설계서,원가계산,내역서" xfId="1909"/>
    <cellStyle name="1_tree_수량산출_구로리총괄내역_수도권매립지_진해자은수량산출서(단지내)_취합_설계서-1" xfId="1910"/>
    <cellStyle name="1_tree_수량산출_구로리총괄내역_수도권매립지_진해자은수량산출서(단지내)_취합_설계서-1_00-설계서,원가계산,내역서" xfId="1911"/>
    <cellStyle name="1_tree_수량산출_구로리총괄내역_일신건영설계예산서(0211)" xfId="1928"/>
    <cellStyle name="1_tree_수량산출_구로리총괄내역_일신건영설계예산서(0211)_00-설계서,원가계산,내역서" xfId="1929"/>
    <cellStyle name="1_tree_수량산출_구로리총괄내역_일신건영설계예산서(0211)_설계서-1" xfId="1930"/>
    <cellStyle name="1_tree_수량산출_구로리총괄내역_일신건영설계예산서(0211)_설계서-1_00-설계서,원가계산,내역서" xfId="1931"/>
    <cellStyle name="1_tree_수량산출_구로리총괄내역_일신건영설계예산서(0211)_진해자은수량산출서(단지내)" xfId="1932"/>
    <cellStyle name="1_tree_수량산출_구로리총괄내역_일신건영설계예산서(0211)_진해자은수량산출서(단지내)_00-설계서,원가계산,내역서" xfId="1933"/>
    <cellStyle name="1_tree_수량산출_구로리총괄내역_일신건영설계예산서(0211)_진해자은수량산출서(단지내)_기초산출표-56-128-최종" xfId="1934"/>
    <cellStyle name="1_tree_수량산출_구로리총괄내역_일신건영설계예산서(0211)_진해자은수량산출서(단지내)_기초산출표-56-128-최종_00-설계서,원가계산,내역서" xfId="1935"/>
    <cellStyle name="1_tree_수량산출_구로리총괄내역_일신건영설계예산서(0211)_진해자은수량산출서(단지내)_기초산출표-56-128-최종_설계서-1" xfId="1936"/>
    <cellStyle name="1_tree_수량산출_구로리총괄내역_일신건영설계예산서(0211)_진해자은수량산출서(단지내)_기초산출표-56-128-최종_설계서-1_00-설계서,원가계산,내역서" xfId="1937"/>
    <cellStyle name="1_tree_수량산출_구로리총괄내역_일신건영설계예산서(0211)_진해자은수량산출서(단지내)_설계서-1" xfId="1938"/>
    <cellStyle name="1_tree_수량산출_구로리총괄내역_일신건영설계예산서(0211)_진해자은수량산출서(단지내)_설계서-1_00-설계서,원가계산,내역서" xfId="1939"/>
    <cellStyle name="1_tree_수량산출_구로리총괄내역_일신건영설계예산서(0211)_진해자은수량산출서(단지내)_취합" xfId="1940"/>
    <cellStyle name="1_tree_수량산출_구로리총괄내역_일신건영설계예산서(0211)_진해자은수량산출서(단지내)_취합_00-설계서,원가계산,내역서" xfId="1941"/>
    <cellStyle name="1_tree_수량산출_구로리총괄내역_일신건영설계예산서(0211)_진해자은수량산출서(단지내)_취합_설계서-1" xfId="1942"/>
    <cellStyle name="1_tree_수량산출_구로리총괄내역_일신건영설계예산서(0211)_진해자은수량산출서(단지내)_취합_설계서-1_00-설계서,원가계산,내역서" xfId="1943"/>
    <cellStyle name="1_tree_수량산출_구로리총괄내역_일위대가" xfId="1944"/>
    <cellStyle name="1_tree_수량산출_구로리총괄내역_일위대가_00-설계서,원가계산,내역서" xfId="1945"/>
    <cellStyle name="1_tree_수량산출_구로리총괄내역_일위대가_설계서-1" xfId="1946"/>
    <cellStyle name="1_tree_수량산출_구로리총괄내역_일위대가_설계서-1_00-설계서,원가계산,내역서" xfId="1947"/>
    <cellStyle name="1_tree_수량산출_구로리총괄내역_일위대가_진해자은수량산출서(단지내)" xfId="1948"/>
    <cellStyle name="1_tree_수량산출_구로리총괄내역_일위대가_진해자은수량산출서(단지내)_00-설계서,원가계산,내역서" xfId="1949"/>
    <cellStyle name="1_tree_수량산출_구로리총괄내역_일위대가_진해자은수량산출서(단지내)_기초산출표-56-128-최종" xfId="1950"/>
    <cellStyle name="1_tree_수량산출_구로리총괄내역_일위대가_진해자은수량산출서(단지내)_기초산출표-56-128-최종_00-설계서,원가계산,내역서" xfId="1951"/>
    <cellStyle name="1_tree_수량산출_구로리총괄내역_일위대가_진해자은수량산출서(단지내)_기초산출표-56-128-최종_설계서-1" xfId="1952"/>
    <cellStyle name="1_tree_수량산출_구로리총괄내역_일위대가_진해자은수량산출서(단지내)_기초산출표-56-128-최종_설계서-1_00-설계서,원가계산,내역서" xfId="1953"/>
    <cellStyle name="1_tree_수량산출_구로리총괄내역_일위대가_진해자은수량산출서(단지내)_설계서-1" xfId="1954"/>
    <cellStyle name="1_tree_수량산출_구로리총괄내역_일위대가_진해자은수량산출서(단지내)_설계서-1_00-설계서,원가계산,내역서" xfId="1955"/>
    <cellStyle name="1_tree_수량산출_구로리총괄내역_일위대가_진해자은수량산출서(단지내)_취합" xfId="1956"/>
    <cellStyle name="1_tree_수량산출_구로리총괄내역_일위대가_진해자은수량산출서(단지내)_취합_00-설계서,원가계산,내역서" xfId="1957"/>
    <cellStyle name="1_tree_수량산출_구로리총괄내역_일위대가_진해자은수량산출서(단지내)_취합_설계서-1" xfId="1958"/>
    <cellStyle name="1_tree_수량산출_구로리총괄내역_일위대가_진해자은수량산출서(단지내)_취합_설계서-1_00-설계서,원가계산,내역서" xfId="1959"/>
    <cellStyle name="1_tree_수량산출_구로리총괄내역_자재단가표" xfId="1960"/>
    <cellStyle name="1_tree_수량산출_구로리총괄내역_자재단가표_00-설계서,원가계산,내역서" xfId="1961"/>
    <cellStyle name="1_tree_수량산출_구로리총괄내역_자재단가표_설계서-1" xfId="1962"/>
    <cellStyle name="1_tree_수량산출_구로리총괄내역_자재단가표_설계서-1_00-설계서,원가계산,내역서" xfId="1963"/>
    <cellStyle name="1_tree_수량산출_구로리총괄내역_자재단가표_진해자은수량산출서(단지내)" xfId="1964"/>
    <cellStyle name="1_tree_수량산출_구로리총괄내역_자재단가표_진해자은수량산출서(단지내)_00-설계서,원가계산,내역서" xfId="1965"/>
    <cellStyle name="1_tree_수량산출_구로리총괄내역_자재단가표_진해자은수량산출서(단지내)_기초산출표-56-128-최종" xfId="1966"/>
    <cellStyle name="1_tree_수량산출_구로리총괄내역_자재단가표_진해자은수량산출서(단지내)_기초산출표-56-128-최종_00-설계서,원가계산,내역서" xfId="1967"/>
    <cellStyle name="1_tree_수량산출_구로리총괄내역_자재단가표_진해자은수량산출서(단지내)_기초산출표-56-128-최종_설계서-1" xfId="1968"/>
    <cellStyle name="1_tree_수량산출_구로리총괄내역_자재단가표_진해자은수량산출서(단지내)_기초산출표-56-128-최종_설계서-1_00-설계서,원가계산,내역서" xfId="1969"/>
    <cellStyle name="1_tree_수량산출_구로리총괄내역_자재단가표_진해자은수량산출서(단지내)_설계서-1" xfId="1970"/>
    <cellStyle name="1_tree_수량산출_구로리총괄내역_자재단가표_진해자은수량산출서(단지내)_설계서-1_00-설계서,원가계산,내역서" xfId="1971"/>
    <cellStyle name="1_tree_수량산출_구로리총괄내역_자재단가표_진해자은수량산출서(단지내)_취합" xfId="1972"/>
    <cellStyle name="1_tree_수량산출_구로리총괄내역_자재단가표_진해자은수량산출서(단지내)_취합_00-설계서,원가계산,내역서" xfId="1973"/>
    <cellStyle name="1_tree_수량산출_구로리총괄내역_자재단가표_진해자은수량산출서(단지내)_취합_설계서-1" xfId="1974"/>
    <cellStyle name="1_tree_수량산출_구로리총괄내역_자재단가표_진해자은수량산출서(단지내)_취합_설계서-1_00-설계서,원가계산,내역서" xfId="1975"/>
    <cellStyle name="1_tree_수량산출_구로리총괄내역_장안초등학교내역0814" xfId="1976"/>
    <cellStyle name="1_tree_수량산출_구로리총괄내역_장안초등학교내역0814_00-설계서,원가계산,내역서" xfId="1977"/>
    <cellStyle name="1_tree_수량산출_구로리총괄내역_장안초등학교내역0814_설계서-1" xfId="1978"/>
    <cellStyle name="1_tree_수량산출_구로리총괄내역_장안초등학교내역0814_설계서-1_00-설계서,원가계산,내역서" xfId="1979"/>
    <cellStyle name="1_tree_수량산출_구로리총괄내역_장안초등학교내역0814_진해자은수량산출서(단지내)" xfId="1980"/>
    <cellStyle name="1_tree_수량산출_구로리총괄내역_장안초등학교내역0814_진해자은수량산출서(단지내)_00-설계서,원가계산,내역서" xfId="1981"/>
    <cellStyle name="1_tree_수량산출_구로리총괄내역_장안초등학교내역0814_진해자은수량산출서(단지내)_기초산출표-56-128-최종" xfId="1982"/>
    <cellStyle name="1_tree_수량산출_구로리총괄내역_장안초등학교내역0814_진해자은수량산출서(단지내)_기초산출표-56-128-최종_00-설계서,원가계산,내역서" xfId="1983"/>
    <cellStyle name="1_tree_수량산출_구로리총괄내역_장안초등학교내역0814_진해자은수량산출서(단지내)_기초산출표-56-128-최종_설계서-1" xfId="1984"/>
    <cellStyle name="1_tree_수량산출_구로리총괄내역_장안초등학교내역0814_진해자은수량산출서(단지내)_기초산출표-56-128-최종_설계서-1_00-설계서,원가계산,내역서" xfId="1985"/>
    <cellStyle name="1_tree_수량산출_구로리총괄내역_장안초등학교내역0814_진해자은수량산출서(단지내)_설계서-1" xfId="1986"/>
    <cellStyle name="1_tree_수량산출_구로리총괄내역_장안초등학교내역0814_진해자은수량산출서(단지내)_설계서-1_00-설계서,원가계산,내역서" xfId="1987"/>
    <cellStyle name="1_tree_수량산출_구로리총괄내역_장안초등학교내역0814_진해자은수량산출서(단지내)_취합" xfId="1988"/>
    <cellStyle name="1_tree_수량산출_구로리총괄내역_장안초등학교내역0814_진해자은수량산출서(단지내)_취합_00-설계서,원가계산,내역서" xfId="1989"/>
    <cellStyle name="1_tree_수량산출_구로리총괄내역_장안초등학교내역0814_진해자은수량산출서(단지내)_취합_설계서-1" xfId="1990"/>
    <cellStyle name="1_tree_수량산출_구로리총괄내역_장안초등학교내역0814_진해자은수량산출서(단지내)_취합_설계서-1_00-설계서,원가계산,내역서" xfId="1991"/>
    <cellStyle name="1_tree_수량산출_구로리총괄내역_진해자은수량산출서(단지내)" xfId="1992"/>
    <cellStyle name="1_tree_수량산출_구로리총괄내역_진해자은수량산출서(단지내)_00-설계서,원가계산,내역서" xfId="1993"/>
    <cellStyle name="1_tree_수량산출_구로리총괄내역_진해자은수량산출서(단지내)_기초산출표-56-128-최종" xfId="1994"/>
    <cellStyle name="1_tree_수량산출_구로리총괄내역_진해자은수량산출서(단지내)_기초산출표-56-128-최종_00-설계서,원가계산,내역서" xfId="1995"/>
    <cellStyle name="1_tree_수량산출_구로리총괄내역_진해자은수량산출서(단지내)_기초산출표-56-128-최종_설계서-1" xfId="1996"/>
    <cellStyle name="1_tree_수량산출_구로리총괄내역_진해자은수량산출서(단지내)_기초산출표-56-128-최종_설계서-1_00-설계서,원가계산,내역서" xfId="1997"/>
    <cellStyle name="1_tree_수량산출_구로리총괄내역_진해자은수량산출서(단지내)_설계서-1" xfId="1998"/>
    <cellStyle name="1_tree_수량산출_구로리총괄내역_진해자은수량산출서(단지내)_설계서-1_00-설계서,원가계산,내역서" xfId="1999"/>
    <cellStyle name="1_tree_수량산출_구로리총괄내역_진해자은수량산출서(단지내)_취합" xfId="2000"/>
    <cellStyle name="1_tree_수량산출_구로리총괄내역_진해자은수량산출서(단지내)_취합_00-설계서,원가계산,내역서" xfId="2001"/>
    <cellStyle name="1_tree_수량산출_구로리총괄내역_진해자은수량산출서(단지내)_취합_설계서-1" xfId="2002"/>
    <cellStyle name="1_tree_수량산출_구로리총괄내역_진해자은수량산출서(단지내)_취합_설계서-1_00-설계서,원가계산,내역서" xfId="2003"/>
    <cellStyle name="1_tree_수량산출_목동내역" xfId="2004"/>
    <cellStyle name="1_tree_수량산출_목동내역_00-설계서,원가계산,내역서" xfId="2005"/>
    <cellStyle name="1_tree_수량산출_목동내역_폐기물집계" xfId="2006"/>
    <cellStyle name="1_tree_수량산출_목동내역_폐기물집계_00-설계서,원가계산,내역서" xfId="2007"/>
    <cellStyle name="1_tree_수량산출_설계서-1" xfId="2008"/>
    <cellStyle name="1_tree_수량산출_설계서-1_00-설계서,원가계산,내역서" xfId="2009"/>
    <cellStyle name="1_tree_수량산출_이문동구간중랑천변녹화사업(수량산출서, 071127)-최종" xfId="2010"/>
    <cellStyle name="1_tree_수량산출_이문동구간중랑천변녹화사업(수량산출서, 071127)-최종_00-설계서,원가계산,내역서" xfId="2011"/>
    <cellStyle name="1_tree_수량산출_진해자은수량산출서(단지내)" xfId="2012"/>
    <cellStyle name="1_tree_수량산출_진해자은수량산출서(단지내)_00-설계서,원가계산,내역서" xfId="2013"/>
    <cellStyle name="1_tree_수량산출_진해자은수량산출서(단지내)_기초산출표-56-128-최종" xfId="2014"/>
    <cellStyle name="1_tree_수량산출_진해자은수량산출서(단지내)_기초산출표-56-128-최종_00-설계서,원가계산,내역서" xfId="2015"/>
    <cellStyle name="1_tree_수량산출_진해자은수량산출서(단지내)_기초산출표-56-128-최종_설계서-1" xfId="2016"/>
    <cellStyle name="1_tree_수량산출_진해자은수량산출서(단지내)_기초산출표-56-128-최종_설계서-1_00-설계서,원가계산,내역서" xfId="2017"/>
    <cellStyle name="1_tree_수량산출_진해자은수량산출서(단지내)_설계서-1" xfId="2018"/>
    <cellStyle name="1_tree_수량산출_진해자은수량산출서(단지내)_설계서-1_00-설계서,원가계산,내역서" xfId="2019"/>
    <cellStyle name="1_tree_수량산출_진해자은수량산출서(단지내)_취합" xfId="2020"/>
    <cellStyle name="1_tree_수량산출_진해자은수량산출서(단지내)_취합_00-설계서,원가계산,내역서" xfId="2021"/>
    <cellStyle name="1_tree_수량산출_진해자은수량산출서(단지내)_취합_설계서-1" xfId="2022"/>
    <cellStyle name="1_tree_수량산출_진해자은수량산출서(단지내)_취합_설계서-1_00-설계서,원가계산,내역서" xfId="2023"/>
    <cellStyle name="1_tree_수량산출_총괄내역0518" xfId="2024"/>
    <cellStyle name="1_tree_수량산출_총괄내역0518_00-설계서,원가계산,내역서" xfId="2025"/>
    <cellStyle name="1_tree_수량산출_총괄내역0518_구로리설계예산서1029" xfId="2026"/>
    <cellStyle name="1_tree_수량산출_총괄내역0518_구로리설계예산서1029_00-설계서,원가계산,내역서" xfId="2027"/>
    <cellStyle name="1_tree_수량산출_총괄내역0518_구로리설계예산서1029_설계서-1" xfId="2028"/>
    <cellStyle name="1_tree_수량산출_총괄내역0518_구로리설계예산서1029_설계서-1_00-설계서,원가계산,내역서" xfId="2029"/>
    <cellStyle name="1_tree_수량산출_총괄내역0518_구로리설계예산서1029_진해자은수량산출서(단지내)" xfId="2030"/>
    <cellStyle name="1_tree_수량산출_총괄내역0518_구로리설계예산서1029_진해자은수량산출서(단지내)_00-설계서,원가계산,내역서" xfId="2031"/>
    <cellStyle name="1_tree_수량산출_총괄내역0518_구로리설계예산서1029_진해자은수량산출서(단지내)_기초산출표-56-128-최종" xfId="2032"/>
    <cellStyle name="1_tree_수량산출_총괄내역0518_구로리설계예산서1029_진해자은수량산출서(단지내)_기초산출표-56-128-최종_00-설계서,원가계산,내역서" xfId="2033"/>
    <cellStyle name="1_tree_수량산출_총괄내역0518_구로리설계예산서1029_진해자은수량산출서(단지내)_기초산출표-56-128-최종_설계서-1" xfId="2034"/>
    <cellStyle name="1_tree_수량산출_총괄내역0518_구로리설계예산서1029_진해자은수량산출서(단지내)_기초산출표-56-128-최종_설계서-1_00-설계서,원가계산,내역서" xfId="2035"/>
    <cellStyle name="1_tree_수량산출_총괄내역0518_구로리설계예산서1029_진해자은수량산출서(단지내)_설계서-1" xfId="2036"/>
    <cellStyle name="1_tree_수량산출_총괄내역0518_구로리설계예산서1029_진해자은수량산출서(단지내)_설계서-1_00-설계서,원가계산,내역서" xfId="2037"/>
    <cellStyle name="1_tree_수량산출_총괄내역0518_구로리설계예산서1029_진해자은수량산출서(단지내)_취합" xfId="2038"/>
    <cellStyle name="1_tree_수량산출_총괄내역0518_구로리설계예산서1029_진해자은수량산출서(단지내)_취합_00-설계서,원가계산,내역서" xfId="2039"/>
    <cellStyle name="1_tree_수량산출_총괄내역0518_구로리설계예산서1029_진해자은수량산출서(단지내)_취합_설계서-1" xfId="2040"/>
    <cellStyle name="1_tree_수량산출_총괄내역0518_구로리설계예산서1029_진해자은수량산출서(단지내)_취합_설계서-1_00-설계서,원가계산,내역서" xfId="2041"/>
    <cellStyle name="1_tree_수량산출_총괄내역0518_구로리설계예산서1118준공" xfId="2042"/>
    <cellStyle name="1_tree_수량산출_총괄내역0518_구로리설계예산서1118준공_00-설계서,원가계산,내역서" xfId="2043"/>
    <cellStyle name="1_tree_수량산출_총괄내역0518_구로리설계예산서1118준공_설계서-1" xfId="2044"/>
    <cellStyle name="1_tree_수량산출_총괄내역0518_구로리설계예산서1118준공_설계서-1_00-설계서,원가계산,내역서" xfId="2045"/>
    <cellStyle name="1_tree_수량산출_총괄내역0518_구로리설계예산서1118준공_진해자은수량산출서(단지내)" xfId="2046"/>
    <cellStyle name="1_tree_수량산출_총괄내역0518_구로리설계예산서1118준공_진해자은수량산출서(단지내)_00-설계서,원가계산,내역서" xfId="2047"/>
    <cellStyle name="1_tree_수량산출_총괄내역0518_구로리설계예산서1118준공_진해자은수량산출서(단지내)_기초산출표-56-128-최종" xfId="2048"/>
    <cellStyle name="1_tree_수량산출_총괄내역0518_구로리설계예산서1118준공_진해자은수량산출서(단지내)_기초산출표-56-128-최종_00-설계서,원가계산,내역서" xfId="2049"/>
    <cellStyle name="1_tree_수량산출_총괄내역0518_구로리설계예산서1118준공_진해자은수량산출서(단지내)_기초산출표-56-128-최종_설계서-1" xfId="2050"/>
    <cellStyle name="1_tree_수량산출_총괄내역0518_구로리설계예산서1118준공_진해자은수량산출서(단지내)_기초산출표-56-128-최종_설계서-1_00-설계서,원가계산,내역서" xfId="2051"/>
    <cellStyle name="1_tree_수량산출_총괄내역0518_구로리설계예산서1118준공_진해자은수량산출서(단지내)_설계서-1" xfId="2052"/>
    <cellStyle name="1_tree_수량산출_총괄내역0518_구로리설계예산서1118준공_진해자은수량산출서(단지내)_설계서-1_00-설계서,원가계산,내역서" xfId="2053"/>
    <cellStyle name="1_tree_수량산출_총괄내역0518_구로리설계예산서1118준공_진해자은수량산출서(단지내)_취합" xfId="2054"/>
    <cellStyle name="1_tree_수량산출_총괄내역0518_구로리설계예산서1118준공_진해자은수량산출서(단지내)_취합_00-설계서,원가계산,내역서" xfId="2055"/>
    <cellStyle name="1_tree_수량산출_총괄내역0518_구로리설계예산서1118준공_진해자은수량산출서(단지내)_취합_설계서-1" xfId="2056"/>
    <cellStyle name="1_tree_수량산출_총괄내역0518_구로리설계예산서1118준공_진해자은수량산출서(단지내)_취합_설계서-1_00-설계서,원가계산,내역서" xfId="2057"/>
    <cellStyle name="1_tree_수량산출_총괄내역0518_구로리설계예산서조경" xfId="2058"/>
    <cellStyle name="1_tree_수량산출_총괄내역0518_구로리설계예산서조경_00-설계서,원가계산,내역서" xfId="2059"/>
    <cellStyle name="1_tree_수량산출_총괄내역0518_구로리설계예산서조경_설계서-1" xfId="2060"/>
    <cellStyle name="1_tree_수량산출_총괄내역0518_구로리설계예산서조경_설계서-1_00-설계서,원가계산,내역서" xfId="2061"/>
    <cellStyle name="1_tree_수량산출_총괄내역0518_구로리설계예산서조경_진해자은수량산출서(단지내)" xfId="2062"/>
    <cellStyle name="1_tree_수량산출_총괄내역0518_구로리설계예산서조경_진해자은수량산출서(단지내)_00-설계서,원가계산,내역서" xfId="2063"/>
    <cellStyle name="1_tree_수량산출_총괄내역0518_구로리설계예산서조경_진해자은수량산출서(단지내)_기초산출표-56-128-최종" xfId="2064"/>
    <cellStyle name="1_tree_수량산출_총괄내역0518_구로리설계예산서조경_진해자은수량산출서(단지내)_기초산출표-56-128-최종_00-설계서,원가계산,내역서" xfId="2065"/>
    <cellStyle name="1_tree_수량산출_총괄내역0518_구로리설계예산서조경_진해자은수량산출서(단지내)_기초산출표-56-128-최종_설계서-1" xfId="2066"/>
    <cellStyle name="1_tree_수량산출_총괄내역0518_구로리설계예산서조경_진해자은수량산출서(단지내)_기초산출표-56-128-최종_설계서-1_00-설계서,원가계산,내역서" xfId="2067"/>
    <cellStyle name="1_tree_수량산출_총괄내역0518_구로리설계예산서조경_진해자은수량산출서(단지내)_설계서-1" xfId="2068"/>
    <cellStyle name="1_tree_수량산출_총괄내역0518_구로리설계예산서조경_진해자은수량산출서(단지내)_설계서-1_00-설계서,원가계산,내역서" xfId="2069"/>
    <cellStyle name="1_tree_수량산출_총괄내역0518_구로리설계예산서조경_진해자은수량산출서(단지내)_취합" xfId="2070"/>
    <cellStyle name="1_tree_수량산출_총괄내역0518_구로리설계예산서조경_진해자은수량산출서(단지내)_취합_00-설계서,원가계산,내역서" xfId="2071"/>
    <cellStyle name="1_tree_수량산출_총괄내역0518_구로리설계예산서조경_진해자은수량산출서(단지내)_취합_설계서-1" xfId="2072"/>
    <cellStyle name="1_tree_수량산출_총괄내역0518_구로리설계예산서조경_진해자은수량산출서(단지내)_취합_설계서-1_00-설계서,원가계산,내역서" xfId="2073"/>
    <cellStyle name="1_tree_수량산출_총괄내역0518_구로리어린이공원예산서(조경)1125" xfId="2074"/>
    <cellStyle name="1_tree_수량산출_총괄내역0518_구로리어린이공원예산서(조경)1125_00-설계서,원가계산,내역서" xfId="2075"/>
    <cellStyle name="1_tree_수량산출_총괄내역0518_구로리어린이공원예산서(조경)1125_설계서-1" xfId="2076"/>
    <cellStyle name="1_tree_수량산출_총괄내역0518_구로리어린이공원예산서(조경)1125_설계서-1_00-설계서,원가계산,내역서" xfId="2077"/>
    <cellStyle name="1_tree_수량산출_총괄내역0518_구로리어린이공원예산서(조경)1125_진해자은수량산출서(단지내)" xfId="2078"/>
    <cellStyle name="1_tree_수량산출_총괄내역0518_구로리어린이공원예산서(조경)1125_진해자은수량산출서(단지내)_00-설계서,원가계산,내역서" xfId="2079"/>
    <cellStyle name="1_tree_수량산출_총괄내역0518_구로리어린이공원예산서(조경)1125_진해자은수량산출서(단지내)_기초산출표-56-128-최종" xfId="2080"/>
    <cellStyle name="1_tree_수량산출_총괄내역0518_구로리어린이공원예산서(조경)1125_진해자은수량산출서(단지내)_기초산출표-56-128-최종_00-설계서,원가계산,내역서" xfId="2081"/>
    <cellStyle name="1_tree_수량산출_총괄내역0518_구로리어린이공원예산서(조경)1125_진해자은수량산출서(단지내)_기초산출표-56-128-최종_설계서-1" xfId="2082"/>
    <cellStyle name="1_tree_수량산출_총괄내역0518_구로리어린이공원예산서(조경)1125_진해자은수량산출서(단지내)_기초산출표-56-128-최종_설계서-1_00-설계서,원가계산,내역서" xfId="2083"/>
    <cellStyle name="1_tree_수량산출_총괄내역0518_구로리어린이공원예산서(조경)1125_진해자은수량산출서(단지내)_설계서-1" xfId="2084"/>
    <cellStyle name="1_tree_수량산출_총괄내역0518_구로리어린이공원예산서(조경)1125_진해자은수량산출서(단지내)_설계서-1_00-설계서,원가계산,내역서" xfId="2085"/>
    <cellStyle name="1_tree_수량산출_총괄내역0518_구로리어린이공원예산서(조경)1125_진해자은수량산출서(단지내)_취합" xfId="2086"/>
    <cellStyle name="1_tree_수량산출_총괄내역0518_구로리어린이공원예산서(조경)1125_진해자은수량산출서(단지내)_취합_00-설계서,원가계산,내역서" xfId="2087"/>
    <cellStyle name="1_tree_수량산출_총괄내역0518_구로리어린이공원예산서(조경)1125_진해자은수량산출서(단지내)_취합_설계서-1" xfId="2088"/>
    <cellStyle name="1_tree_수량산출_총괄내역0518_구로리어린이공원예산서(조경)1125_진해자은수량산출서(단지내)_취합_설계서-1_00-설계서,원가계산,내역서" xfId="2089"/>
    <cellStyle name="1_tree_수량산출_총괄내역0518_내역서" xfId="2090"/>
    <cellStyle name="1_tree_수량산출_총괄내역0518_내역서_00-설계서,원가계산,내역서" xfId="2091"/>
    <cellStyle name="1_tree_수량산출_총괄내역0518_내역서_설계서-1" xfId="2092"/>
    <cellStyle name="1_tree_수량산출_총괄내역0518_내역서_설계서-1_00-설계서,원가계산,내역서" xfId="2093"/>
    <cellStyle name="1_tree_수량산출_총괄내역0518_내역서_진해자은수량산출서(단지내)" xfId="2094"/>
    <cellStyle name="1_tree_수량산출_총괄내역0518_내역서_진해자은수량산출서(단지내)_00-설계서,원가계산,내역서" xfId="2095"/>
    <cellStyle name="1_tree_수량산출_총괄내역0518_내역서_진해자은수량산출서(단지내)_기초산출표-56-128-최종" xfId="2096"/>
    <cellStyle name="1_tree_수량산출_총괄내역0518_내역서_진해자은수량산출서(단지내)_기초산출표-56-128-최종_00-설계서,원가계산,내역서" xfId="2097"/>
    <cellStyle name="1_tree_수량산출_총괄내역0518_내역서_진해자은수량산출서(단지내)_기초산출표-56-128-최종_설계서-1" xfId="2098"/>
    <cellStyle name="1_tree_수량산출_총괄내역0518_내역서_진해자은수량산출서(단지내)_기초산출표-56-128-최종_설계서-1_00-설계서,원가계산,내역서" xfId="2099"/>
    <cellStyle name="1_tree_수량산출_총괄내역0518_내역서_진해자은수량산출서(단지내)_설계서-1" xfId="2100"/>
    <cellStyle name="1_tree_수량산출_총괄내역0518_내역서_진해자은수량산출서(단지내)_설계서-1_00-설계서,원가계산,내역서" xfId="2101"/>
    <cellStyle name="1_tree_수량산출_총괄내역0518_내역서_진해자은수량산출서(단지내)_취합" xfId="2102"/>
    <cellStyle name="1_tree_수량산출_총괄내역0518_내역서_진해자은수량산출서(단지내)_취합_00-설계서,원가계산,내역서" xfId="2103"/>
    <cellStyle name="1_tree_수량산출_총괄내역0518_내역서_진해자은수량산출서(단지내)_취합_설계서-1" xfId="2104"/>
    <cellStyle name="1_tree_수량산출_총괄내역0518_내역서_진해자은수량산출서(단지내)_취합_설계서-1_00-설계서,원가계산,내역서" xfId="2105"/>
    <cellStyle name="1_tree_수량산출_총괄내역0518_노임단가표" xfId="2106"/>
    <cellStyle name="1_tree_수량산출_총괄내역0518_노임단가표_00-설계서,원가계산,내역서" xfId="2107"/>
    <cellStyle name="1_tree_수량산출_총괄내역0518_노임단가표_설계서-1" xfId="2108"/>
    <cellStyle name="1_tree_수량산출_총괄내역0518_노임단가표_설계서-1_00-설계서,원가계산,내역서" xfId="2109"/>
    <cellStyle name="1_tree_수량산출_총괄내역0518_노임단가표_진해자은수량산출서(단지내)" xfId="2110"/>
    <cellStyle name="1_tree_수량산출_총괄내역0518_노임단가표_진해자은수량산출서(단지내)_00-설계서,원가계산,내역서" xfId="2111"/>
    <cellStyle name="1_tree_수량산출_총괄내역0518_노임단가표_진해자은수량산출서(단지내)_기초산출표-56-128-최종" xfId="2112"/>
    <cellStyle name="1_tree_수량산출_총괄내역0518_노임단가표_진해자은수량산출서(단지내)_기초산출표-56-128-최종_00-설계서,원가계산,내역서" xfId="2113"/>
    <cellStyle name="1_tree_수량산출_총괄내역0518_노임단가표_진해자은수량산출서(단지내)_기초산출표-56-128-최종_설계서-1" xfId="2114"/>
    <cellStyle name="1_tree_수량산출_총괄내역0518_노임단가표_진해자은수량산출서(단지내)_기초산출표-56-128-최종_설계서-1_00-설계서,원가계산,내역서" xfId="2115"/>
    <cellStyle name="1_tree_수량산출_총괄내역0518_노임단가표_진해자은수량산출서(단지내)_설계서-1" xfId="2116"/>
    <cellStyle name="1_tree_수량산출_총괄내역0518_노임단가표_진해자은수량산출서(단지내)_설계서-1_00-설계서,원가계산,내역서" xfId="2117"/>
    <cellStyle name="1_tree_수량산출_총괄내역0518_노임단가표_진해자은수량산출서(단지내)_취합" xfId="2118"/>
    <cellStyle name="1_tree_수량산출_총괄내역0518_노임단가표_진해자은수량산출서(단지내)_취합_00-설계서,원가계산,내역서" xfId="2119"/>
    <cellStyle name="1_tree_수량산출_총괄내역0518_노임단가표_진해자은수량산출서(단지내)_취합_설계서-1" xfId="2120"/>
    <cellStyle name="1_tree_수량산출_총괄내역0518_노임단가표_진해자은수량산출서(단지내)_취합_설계서-1_00-설계서,원가계산,내역서" xfId="2121"/>
    <cellStyle name="1_tree_수량산출_총괄내역0518_설계서-1" xfId="2122"/>
    <cellStyle name="1_tree_수량산출_총괄내역0518_설계서-1_00-설계서,원가계산,내역서" xfId="2123"/>
    <cellStyle name="1_tree_수량산출_총괄내역0518_수도권매립지" xfId="2124"/>
    <cellStyle name="1_tree_수량산출_총괄내역0518_수도권매립지1004(발주용)" xfId="2140"/>
    <cellStyle name="1_tree_수량산출_총괄내역0518_수도권매립지1004(발주용)_00-설계서,원가계산,내역서" xfId="2141"/>
    <cellStyle name="1_tree_수량산출_총괄내역0518_수도권매립지1004(발주용)_설계서-1" xfId="2142"/>
    <cellStyle name="1_tree_수량산출_총괄내역0518_수도권매립지1004(발주용)_설계서-1_00-설계서,원가계산,내역서" xfId="2143"/>
    <cellStyle name="1_tree_수량산출_총괄내역0518_수도권매립지1004(발주용)_진해자은수량산출서(단지내)" xfId="2144"/>
    <cellStyle name="1_tree_수량산출_총괄내역0518_수도권매립지1004(발주용)_진해자은수량산출서(단지내)_00-설계서,원가계산,내역서" xfId="2145"/>
    <cellStyle name="1_tree_수량산출_총괄내역0518_수도권매립지1004(발주용)_진해자은수량산출서(단지내)_기초산출표-56-128-최종" xfId="2146"/>
    <cellStyle name="1_tree_수량산출_총괄내역0518_수도권매립지1004(발주용)_진해자은수량산출서(단지내)_기초산출표-56-128-최종_00-설계서,원가계산,내역서" xfId="2147"/>
    <cellStyle name="1_tree_수량산출_총괄내역0518_수도권매립지1004(발주용)_진해자은수량산출서(단지내)_기초산출표-56-128-최종_설계서-1" xfId="2148"/>
    <cellStyle name="1_tree_수량산출_총괄내역0518_수도권매립지1004(발주용)_진해자은수량산출서(단지내)_기초산출표-56-128-최종_설계서-1_00-설계서,원가계산,내역서" xfId="2149"/>
    <cellStyle name="1_tree_수량산출_총괄내역0518_수도권매립지1004(발주용)_진해자은수량산출서(단지내)_설계서-1" xfId="2150"/>
    <cellStyle name="1_tree_수량산출_총괄내역0518_수도권매립지1004(발주용)_진해자은수량산출서(단지내)_설계서-1_00-설계서,원가계산,내역서" xfId="2151"/>
    <cellStyle name="1_tree_수량산출_총괄내역0518_수도권매립지1004(발주용)_진해자은수량산출서(단지내)_취합" xfId="2152"/>
    <cellStyle name="1_tree_수량산출_총괄내역0518_수도권매립지1004(발주용)_진해자은수량산출서(단지내)_취합_00-설계서,원가계산,내역서" xfId="2153"/>
    <cellStyle name="1_tree_수량산출_총괄내역0518_수도권매립지1004(발주용)_진해자은수량산출서(단지내)_취합_설계서-1" xfId="2154"/>
    <cellStyle name="1_tree_수량산출_총괄내역0518_수도권매립지1004(발주용)_진해자은수량산출서(단지내)_취합_설계서-1_00-설계서,원가계산,내역서" xfId="2155"/>
    <cellStyle name="1_tree_수량산출_총괄내역0518_수도권매립지_00-설계서,원가계산,내역서" xfId="2125"/>
    <cellStyle name="1_tree_수량산출_총괄내역0518_수도권매립지_설계서-1" xfId="2126"/>
    <cellStyle name="1_tree_수량산출_총괄내역0518_수도권매립지_설계서-1_00-설계서,원가계산,내역서" xfId="2127"/>
    <cellStyle name="1_tree_수량산출_총괄내역0518_수도권매립지_진해자은수량산출서(단지내)" xfId="2128"/>
    <cellStyle name="1_tree_수량산출_총괄내역0518_수도권매립지_진해자은수량산출서(단지내)_00-설계서,원가계산,내역서" xfId="2129"/>
    <cellStyle name="1_tree_수량산출_총괄내역0518_수도권매립지_진해자은수량산출서(단지내)_기초산출표-56-128-최종" xfId="2130"/>
    <cellStyle name="1_tree_수량산출_총괄내역0518_수도권매립지_진해자은수량산출서(단지내)_기초산출표-56-128-최종_00-설계서,원가계산,내역서" xfId="2131"/>
    <cellStyle name="1_tree_수량산출_총괄내역0518_수도권매립지_진해자은수량산출서(단지내)_기초산출표-56-128-최종_설계서-1" xfId="2132"/>
    <cellStyle name="1_tree_수량산출_총괄내역0518_수도권매립지_진해자은수량산출서(단지내)_기초산출표-56-128-최종_설계서-1_00-설계서,원가계산,내역서" xfId="2133"/>
    <cellStyle name="1_tree_수량산출_총괄내역0518_수도권매립지_진해자은수량산출서(단지내)_설계서-1" xfId="2134"/>
    <cellStyle name="1_tree_수량산출_총괄내역0518_수도권매립지_진해자은수량산출서(단지내)_설계서-1_00-설계서,원가계산,내역서" xfId="2135"/>
    <cellStyle name="1_tree_수량산출_총괄내역0518_수도권매립지_진해자은수량산출서(단지내)_취합" xfId="2136"/>
    <cellStyle name="1_tree_수량산출_총괄내역0518_수도권매립지_진해자은수량산출서(단지내)_취합_00-설계서,원가계산,내역서" xfId="2137"/>
    <cellStyle name="1_tree_수량산출_총괄내역0518_수도권매립지_진해자은수량산출서(단지내)_취합_설계서-1" xfId="2138"/>
    <cellStyle name="1_tree_수량산출_총괄내역0518_수도권매립지_진해자은수량산출서(단지내)_취합_설계서-1_00-설계서,원가계산,내역서" xfId="2139"/>
    <cellStyle name="1_tree_수량산출_총괄내역0518_일신건영설계예산서(0211)" xfId="2156"/>
    <cellStyle name="1_tree_수량산출_총괄내역0518_일신건영설계예산서(0211)_00-설계서,원가계산,내역서" xfId="2157"/>
    <cellStyle name="1_tree_수량산출_총괄내역0518_일신건영설계예산서(0211)_설계서-1" xfId="2158"/>
    <cellStyle name="1_tree_수량산출_총괄내역0518_일신건영설계예산서(0211)_설계서-1_00-설계서,원가계산,내역서" xfId="2159"/>
    <cellStyle name="1_tree_수량산출_총괄내역0518_일신건영설계예산서(0211)_진해자은수량산출서(단지내)" xfId="2160"/>
    <cellStyle name="1_tree_수량산출_총괄내역0518_일신건영설계예산서(0211)_진해자은수량산출서(단지내)_00-설계서,원가계산,내역서" xfId="2161"/>
    <cellStyle name="1_tree_수량산출_총괄내역0518_일신건영설계예산서(0211)_진해자은수량산출서(단지내)_기초산출표-56-128-최종" xfId="2162"/>
    <cellStyle name="1_tree_수량산출_총괄내역0518_일신건영설계예산서(0211)_진해자은수량산출서(단지내)_기초산출표-56-128-최종_00-설계서,원가계산,내역서" xfId="2163"/>
    <cellStyle name="1_tree_수량산출_총괄내역0518_일신건영설계예산서(0211)_진해자은수량산출서(단지내)_기초산출표-56-128-최종_설계서-1" xfId="2164"/>
    <cellStyle name="1_tree_수량산출_총괄내역0518_일신건영설계예산서(0211)_진해자은수량산출서(단지내)_기초산출표-56-128-최종_설계서-1_00-설계서,원가계산,내역서" xfId="2165"/>
    <cellStyle name="1_tree_수량산출_총괄내역0518_일신건영설계예산서(0211)_진해자은수량산출서(단지내)_설계서-1" xfId="2166"/>
    <cellStyle name="1_tree_수량산출_총괄내역0518_일신건영설계예산서(0211)_진해자은수량산출서(단지내)_설계서-1_00-설계서,원가계산,내역서" xfId="2167"/>
    <cellStyle name="1_tree_수량산출_총괄내역0518_일신건영설계예산서(0211)_진해자은수량산출서(단지내)_취합" xfId="2168"/>
    <cellStyle name="1_tree_수량산출_총괄내역0518_일신건영설계예산서(0211)_진해자은수량산출서(단지내)_취합_00-설계서,원가계산,내역서" xfId="2169"/>
    <cellStyle name="1_tree_수량산출_총괄내역0518_일신건영설계예산서(0211)_진해자은수량산출서(단지내)_취합_설계서-1" xfId="2170"/>
    <cellStyle name="1_tree_수량산출_총괄내역0518_일신건영설계예산서(0211)_진해자은수량산출서(단지내)_취합_설계서-1_00-설계서,원가계산,내역서" xfId="2171"/>
    <cellStyle name="1_tree_수량산출_총괄내역0518_일위대가" xfId="2172"/>
    <cellStyle name="1_tree_수량산출_총괄내역0518_일위대가_00-설계서,원가계산,내역서" xfId="2173"/>
    <cellStyle name="1_tree_수량산출_총괄내역0518_일위대가_설계서-1" xfId="2174"/>
    <cellStyle name="1_tree_수량산출_총괄내역0518_일위대가_설계서-1_00-설계서,원가계산,내역서" xfId="2175"/>
    <cellStyle name="1_tree_수량산출_총괄내역0518_일위대가_진해자은수량산출서(단지내)" xfId="2176"/>
    <cellStyle name="1_tree_수량산출_총괄내역0518_일위대가_진해자은수량산출서(단지내)_00-설계서,원가계산,내역서" xfId="2177"/>
    <cellStyle name="1_tree_수량산출_총괄내역0518_일위대가_진해자은수량산출서(단지내)_기초산출표-56-128-최종" xfId="2178"/>
    <cellStyle name="1_tree_수량산출_총괄내역0518_일위대가_진해자은수량산출서(단지내)_기초산출표-56-128-최종_00-설계서,원가계산,내역서" xfId="2179"/>
    <cellStyle name="1_tree_수량산출_총괄내역0518_일위대가_진해자은수량산출서(단지내)_기초산출표-56-128-최종_설계서-1" xfId="2180"/>
    <cellStyle name="1_tree_수량산출_총괄내역0518_일위대가_진해자은수량산출서(단지내)_기초산출표-56-128-최종_설계서-1_00-설계서,원가계산,내역서" xfId="2181"/>
    <cellStyle name="1_tree_수량산출_총괄내역0518_일위대가_진해자은수량산출서(단지내)_설계서-1" xfId="2182"/>
    <cellStyle name="1_tree_수량산출_총괄내역0518_일위대가_진해자은수량산출서(단지내)_설계서-1_00-설계서,원가계산,내역서" xfId="2183"/>
    <cellStyle name="1_tree_수량산출_총괄내역0518_일위대가_진해자은수량산출서(단지내)_취합" xfId="2184"/>
    <cellStyle name="1_tree_수량산출_총괄내역0518_일위대가_진해자은수량산출서(단지내)_취합_00-설계서,원가계산,내역서" xfId="2185"/>
    <cellStyle name="1_tree_수량산출_총괄내역0518_일위대가_진해자은수량산출서(단지내)_취합_설계서-1" xfId="2186"/>
    <cellStyle name="1_tree_수량산출_총괄내역0518_일위대가_진해자은수량산출서(단지내)_취합_설계서-1_00-설계서,원가계산,내역서" xfId="2187"/>
    <cellStyle name="1_tree_수량산출_총괄내역0518_자재단가표" xfId="2188"/>
    <cellStyle name="1_tree_수량산출_총괄내역0518_자재단가표_00-설계서,원가계산,내역서" xfId="2189"/>
    <cellStyle name="1_tree_수량산출_총괄내역0518_자재단가표_설계서-1" xfId="2190"/>
    <cellStyle name="1_tree_수량산출_총괄내역0518_자재단가표_설계서-1_00-설계서,원가계산,내역서" xfId="2191"/>
    <cellStyle name="1_tree_수량산출_총괄내역0518_자재단가표_진해자은수량산출서(단지내)" xfId="2192"/>
    <cellStyle name="1_tree_수량산출_총괄내역0518_자재단가표_진해자은수량산출서(단지내)_00-설계서,원가계산,내역서" xfId="2193"/>
    <cellStyle name="1_tree_수량산출_총괄내역0518_자재단가표_진해자은수량산출서(단지내)_기초산출표-56-128-최종" xfId="2194"/>
    <cellStyle name="1_tree_수량산출_총괄내역0518_자재단가표_진해자은수량산출서(단지내)_기초산출표-56-128-최종_00-설계서,원가계산,내역서" xfId="2195"/>
    <cellStyle name="1_tree_수량산출_총괄내역0518_자재단가표_진해자은수량산출서(단지내)_기초산출표-56-128-최종_설계서-1" xfId="2196"/>
    <cellStyle name="1_tree_수량산출_총괄내역0518_자재단가표_진해자은수량산출서(단지내)_기초산출표-56-128-최종_설계서-1_00-설계서,원가계산,내역서" xfId="2197"/>
    <cellStyle name="1_tree_수량산출_총괄내역0518_자재단가표_진해자은수량산출서(단지내)_설계서-1" xfId="2198"/>
    <cellStyle name="1_tree_수량산출_총괄내역0518_자재단가표_진해자은수량산출서(단지내)_설계서-1_00-설계서,원가계산,내역서" xfId="2199"/>
    <cellStyle name="1_tree_수량산출_총괄내역0518_자재단가표_진해자은수량산출서(단지내)_취합" xfId="2200"/>
    <cellStyle name="1_tree_수량산출_총괄내역0518_자재단가표_진해자은수량산출서(단지내)_취합_00-설계서,원가계산,내역서" xfId="2201"/>
    <cellStyle name="1_tree_수량산출_총괄내역0518_자재단가표_진해자은수량산출서(단지내)_취합_설계서-1" xfId="2202"/>
    <cellStyle name="1_tree_수량산출_총괄내역0518_자재단가표_진해자은수량산출서(단지내)_취합_설계서-1_00-설계서,원가계산,내역서" xfId="2203"/>
    <cellStyle name="1_tree_수량산출_총괄내역0518_장안초등학교내역0814" xfId="2204"/>
    <cellStyle name="1_tree_수량산출_총괄내역0518_장안초등학교내역0814_00-설계서,원가계산,내역서" xfId="2205"/>
    <cellStyle name="1_tree_수량산출_총괄내역0518_장안초등학교내역0814_설계서-1" xfId="2206"/>
    <cellStyle name="1_tree_수량산출_총괄내역0518_장안초등학교내역0814_설계서-1_00-설계서,원가계산,내역서" xfId="2207"/>
    <cellStyle name="1_tree_수량산출_총괄내역0518_장안초등학교내역0814_진해자은수량산출서(단지내)" xfId="2208"/>
    <cellStyle name="1_tree_수량산출_총괄내역0518_장안초등학교내역0814_진해자은수량산출서(단지내)_00-설계서,원가계산,내역서" xfId="2209"/>
    <cellStyle name="1_tree_수량산출_총괄내역0518_장안초등학교내역0814_진해자은수량산출서(단지내)_기초산출표-56-128-최종" xfId="2210"/>
    <cellStyle name="1_tree_수량산출_총괄내역0518_장안초등학교내역0814_진해자은수량산출서(단지내)_기초산출표-56-128-최종_00-설계서,원가계산,내역서" xfId="2211"/>
    <cellStyle name="1_tree_수량산출_총괄내역0518_장안초등학교내역0814_진해자은수량산출서(단지내)_기초산출표-56-128-최종_설계서-1" xfId="2212"/>
    <cellStyle name="1_tree_수량산출_총괄내역0518_장안초등학교내역0814_진해자은수량산출서(단지내)_기초산출표-56-128-최종_설계서-1_00-설계서,원가계산,내역서" xfId="2213"/>
    <cellStyle name="1_tree_수량산출_총괄내역0518_장안초등학교내역0814_진해자은수량산출서(단지내)_설계서-1" xfId="2214"/>
    <cellStyle name="1_tree_수량산출_총괄내역0518_장안초등학교내역0814_진해자은수량산출서(단지내)_설계서-1_00-설계서,원가계산,내역서" xfId="2215"/>
    <cellStyle name="1_tree_수량산출_총괄내역0518_장안초등학교내역0814_진해자은수량산출서(단지내)_취합" xfId="2216"/>
    <cellStyle name="1_tree_수량산출_총괄내역0518_장안초등학교내역0814_진해자은수량산출서(단지내)_취합_00-설계서,원가계산,내역서" xfId="2217"/>
    <cellStyle name="1_tree_수량산출_총괄내역0518_장안초등학교내역0814_진해자은수량산출서(단지내)_취합_설계서-1" xfId="2218"/>
    <cellStyle name="1_tree_수량산출_총괄내역0518_장안초등학교내역0814_진해자은수량산출서(단지내)_취합_설계서-1_00-설계서,원가계산,내역서" xfId="2219"/>
    <cellStyle name="1_tree_수량산출_총괄내역0518_진해자은수량산출서(단지내)" xfId="2220"/>
    <cellStyle name="1_tree_수량산출_총괄내역0518_진해자은수량산출서(단지내)_00-설계서,원가계산,내역서" xfId="2221"/>
    <cellStyle name="1_tree_수량산출_총괄내역0518_진해자은수량산출서(단지내)_기초산출표-56-128-최종" xfId="2222"/>
    <cellStyle name="1_tree_수량산출_총괄내역0518_진해자은수량산출서(단지내)_기초산출표-56-128-최종_00-설계서,원가계산,내역서" xfId="2223"/>
    <cellStyle name="1_tree_수량산출_총괄내역0518_진해자은수량산출서(단지내)_기초산출표-56-128-최종_설계서-1" xfId="2224"/>
    <cellStyle name="1_tree_수량산출_총괄내역0518_진해자은수량산출서(단지내)_기초산출표-56-128-최종_설계서-1_00-설계서,원가계산,내역서" xfId="2225"/>
    <cellStyle name="1_tree_수량산출_총괄내역0518_진해자은수량산출서(단지내)_설계서-1" xfId="2226"/>
    <cellStyle name="1_tree_수량산출_총괄내역0518_진해자은수량산출서(단지내)_설계서-1_00-설계서,원가계산,내역서" xfId="2227"/>
    <cellStyle name="1_tree_수량산출_총괄내역0518_진해자은수량산출서(단지내)_취합" xfId="2228"/>
    <cellStyle name="1_tree_수량산출_총괄내역0518_진해자은수량산출서(단지내)_취합_00-설계서,원가계산,내역서" xfId="2229"/>
    <cellStyle name="1_tree_수량산출_총괄내역0518_진해자은수량산출서(단지내)_취합_설계서-1" xfId="2230"/>
    <cellStyle name="1_tree_수량산출_총괄내역0518_진해자은수량산출서(단지내)_취합_설계서-1_00-설계서,원가계산,내역서" xfId="2231"/>
    <cellStyle name="1_tree_수량산출_현충묘지-예산서(조경)" xfId="2232"/>
    <cellStyle name="1_tree_수량산출_현충묘지-예산서(조경)_00-설계서,원가계산,내역서" xfId="2233"/>
    <cellStyle name="1_tree_수량산출_현충묘지-예산서(조경)_목동내역" xfId="2234"/>
    <cellStyle name="1_tree_수량산출_현충묘지-예산서(조경)_목동내역_00-설계서,원가계산,내역서" xfId="2235"/>
    <cellStyle name="1_tree_수량산출_현충묘지-예산서(조경)_목동내역_폐기물집계" xfId="2236"/>
    <cellStyle name="1_tree_수량산출_현충묘지-예산서(조경)_목동내역_폐기물집계_00-설계서,원가계산,내역서" xfId="2237"/>
    <cellStyle name="1_tree_수량산출_현충묘지-예산서(조경)_예산서-엑셀변환양식100" xfId="2238"/>
    <cellStyle name="1_tree_수량산출_현충묘지-예산서(조경)_예산서-엑셀변환양식100_00-설계서,원가계산,내역서" xfId="2239"/>
    <cellStyle name="1_tree_수량산출_현충묘지-예산서(조경)_예산서-엑셀변환양식100_목동내역" xfId="2240"/>
    <cellStyle name="1_tree_수량산출_현충묘지-예산서(조경)_예산서-엑셀변환양식100_목동내역_00-설계서,원가계산,내역서" xfId="2241"/>
    <cellStyle name="1_tree_수량산출_현충묘지-예산서(조경)_예산서-엑셀변환양식100_목동내역_폐기물집계" xfId="2242"/>
    <cellStyle name="1_tree_수량산출_현충묘지-예산서(조경)_예산서-엑셀변환양식100_목동내역_폐기물집계_00-설계서,원가계산,내역서" xfId="2243"/>
    <cellStyle name="1_tree_이문동구간중랑천변녹화사업(수량산출서, 071127)-최종" xfId="2244"/>
    <cellStyle name="1_tree_이문동구간중랑천변녹화사업(수량산출서, 071127)-최종_00-설계서,원가계산,내역서" xfId="2245"/>
    <cellStyle name="1_tree_진해자은수량산출서(단지내)" xfId="2246"/>
    <cellStyle name="1_tree_진해자은수량산출서(단지내)_00-설계서,원가계산,내역서" xfId="2247"/>
    <cellStyle name="1_tree_진해자은수량산출서(단지내)_기초산출표-56-128-최종" xfId="2248"/>
    <cellStyle name="1_tree_진해자은수량산출서(단지내)_기초산출표-56-128-최종_00-설계서,원가계산,내역서" xfId="2249"/>
    <cellStyle name="1_tree_진해자은수량산출서(단지내)_기초산출표-56-128-최종_설계서-1" xfId="2250"/>
    <cellStyle name="1_tree_진해자은수량산출서(단지내)_기초산출표-56-128-최종_설계서-1_00-설계서,원가계산,내역서" xfId="2251"/>
    <cellStyle name="1_tree_진해자은수량산출서(단지내)_설계서-1" xfId="2252"/>
    <cellStyle name="1_tree_진해자은수량산출서(단지내)_설계서-1_00-설계서,원가계산,내역서" xfId="2253"/>
    <cellStyle name="1_tree_진해자은수량산출서(단지내)_취합" xfId="2254"/>
    <cellStyle name="1_tree_진해자은수량산출서(단지내)_취합_00-설계서,원가계산,내역서" xfId="2255"/>
    <cellStyle name="1_tree_진해자은수량산출서(단지내)_취합_설계서-1" xfId="2256"/>
    <cellStyle name="1_tree_진해자은수량산출서(단지내)_취합_설계서-1_00-설계서,원가계산,내역서" xfId="2257"/>
    <cellStyle name="1_tree_총괄내역0518" xfId="2258"/>
    <cellStyle name="1_tree_총괄내역0518_00-설계서,원가계산,내역서" xfId="2259"/>
    <cellStyle name="1_tree_총괄내역0518_구로리설계예산서1029" xfId="2260"/>
    <cellStyle name="1_tree_총괄내역0518_구로리설계예산서1029_00-설계서,원가계산,내역서" xfId="2261"/>
    <cellStyle name="1_tree_총괄내역0518_구로리설계예산서1029_설계서-1" xfId="2262"/>
    <cellStyle name="1_tree_총괄내역0518_구로리설계예산서1029_설계서-1_00-설계서,원가계산,내역서" xfId="2263"/>
    <cellStyle name="1_tree_총괄내역0518_구로리설계예산서1029_진해자은수량산출서(단지내)" xfId="2264"/>
    <cellStyle name="1_tree_총괄내역0518_구로리설계예산서1029_진해자은수량산출서(단지내)_00-설계서,원가계산,내역서" xfId="2265"/>
    <cellStyle name="1_tree_총괄내역0518_구로리설계예산서1029_진해자은수량산출서(단지내)_기초산출표-56-128-최종" xfId="2266"/>
    <cellStyle name="1_tree_총괄내역0518_구로리설계예산서1029_진해자은수량산출서(단지내)_기초산출표-56-128-최종_00-설계서,원가계산,내역서" xfId="2267"/>
    <cellStyle name="1_tree_총괄내역0518_구로리설계예산서1029_진해자은수량산출서(단지내)_기초산출표-56-128-최종_설계서-1" xfId="2268"/>
    <cellStyle name="1_tree_총괄내역0518_구로리설계예산서1029_진해자은수량산출서(단지내)_기초산출표-56-128-최종_설계서-1_00-설계서,원가계산,내역서" xfId="2269"/>
    <cellStyle name="1_tree_총괄내역0518_구로리설계예산서1029_진해자은수량산출서(단지내)_설계서-1" xfId="2270"/>
    <cellStyle name="1_tree_총괄내역0518_구로리설계예산서1029_진해자은수량산출서(단지내)_설계서-1_00-설계서,원가계산,내역서" xfId="2271"/>
    <cellStyle name="1_tree_총괄내역0518_구로리설계예산서1029_진해자은수량산출서(단지내)_취합" xfId="2272"/>
    <cellStyle name="1_tree_총괄내역0518_구로리설계예산서1029_진해자은수량산출서(단지내)_취합_00-설계서,원가계산,내역서" xfId="2273"/>
    <cellStyle name="1_tree_총괄내역0518_구로리설계예산서1029_진해자은수량산출서(단지내)_취합_설계서-1" xfId="2274"/>
    <cellStyle name="1_tree_총괄내역0518_구로리설계예산서1029_진해자은수량산출서(단지내)_취합_설계서-1_00-설계서,원가계산,내역서" xfId="2275"/>
    <cellStyle name="1_tree_총괄내역0518_구로리설계예산서1118준공" xfId="2276"/>
    <cellStyle name="1_tree_총괄내역0518_구로리설계예산서1118준공_00-설계서,원가계산,내역서" xfId="2277"/>
    <cellStyle name="1_tree_총괄내역0518_구로리설계예산서1118준공_설계서-1" xfId="2278"/>
    <cellStyle name="1_tree_총괄내역0518_구로리설계예산서1118준공_설계서-1_00-설계서,원가계산,내역서" xfId="2279"/>
    <cellStyle name="1_tree_총괄내역0518_구로리설계예산서1118준공_진해자은수량산출서(단지내)" xfId="2280"/>
    <cellStyle name="1_tree_총괄내역0518_구로리설계예산서1118준공_진해자은수량산출서(단지내)_00-설계서,원가계산,내역서" xfId="2281"/>
    <cellStyle name="1_tree_총괄내역0518_구로리설계예산서1118준공_진해자은수량산출서(단지내)_기초산출표-56-128-최종" xfId="2282"/>
    <cellStyle name="1_tree_총괄내역0518_구로리설계예산서1118준공_진해자은수량산출서(단지내)_기초산출표-56-128-최종_00-설계서,원가계산,내역서" xfId="2283"/>
    <cellStyle name="1_tree_총괄내역0518_구로리설계예산서1118준공_진해자은수량산출서(단지내)_기초산출표-56-128-최종_설계서-1" xfId="2284"/>
    <cellStyle name="1_tree_총괄내역0518_구로리설계예산서1118준공_진해자은수량산출서(단지내)_기초산출표-56-128-최종_설계서-1_00-설계서,원가계산,내역서" xfId="2285"/>
    <cellStyle name="1_tree_총괄내역0518_구로리설계예산서1118준공_진해자은수량산출서(단지내)_설계서-1" xfId="2286"/>
    <cellStyle name="1_tree_총괄내역0518_구로리설계예산서1118준공_진해자은수량산출서(단지내)_설계서-1_00-설계서,원가계산,내역서" xfId="2287"/>
    <cellStyle name="1_tree_총괄내역0518_구로리설계예산서1118준공_진해자은수량산출서(단지내)_취합" xfId="2288"/>
    <cellStyle name="1_tree_총괄내역0518_구로리설계예산서1118준공_진해자은수량산출서(단지내)_취합_00-설계서,원가계산,내역서" xfId="2289"/>
    <cellStyle name="1_tree_총괄내역0518_구로리설계예산서1118준공_진해자은수량산출서(단지내)_취합_설계서-1" xfId="2290"/>
    <cellStyle name="1_tree_총괄내역0518_구로리설계예산서1118준공_진해자은수량산출서(단지내)_취합_설계서-1_00-설계서,원가계산,내역서" xfId="2291"/>
    <cellStyle name="1_tree_총괄내역0518_구로리설계예산서조경" xfId="2292"/>
    <cellStyle name="1_tree_총괄내역0518_구로리설계예산서조경_00-설계서,원가계산,내역서" xfId="2293"/>
    <cellStyle name="1_tree_총괄내역0518_구로리설계예산서조경_설계서-1" xfId="2294"/>
    <cellStyle name="1_tree_총괄내역0518_구로리설계예산서조경_설계서-1_00-설계서,원가계산,내역서" xfId="2295"/>
    <cellStyle name="1_tree_총괄내역0518_구로리설계예산서조경_진해자은수량산출서(단지내)" xfId="2296"/>
    <cellStyle name="1_tree_총괄내역0518_구로리설계예산서조경_진해자은수량산출서(단지내)_00-설계서,원가계산,내역서" xfId="2297"/>
    <cellStyle name="1_tree_총괄내역0518_구로리설계예산서조경_진해자은수량산출서(단지내)_기초산출표-56-128-최종" xfId="2298"/>
    <cellStyle name="1_tree_총괄내역0518_구로리설계예산서조경_진해자은수량산출서(단지내)_기초산출표-56-128-최종_00-설계서,원가계산,내역서" xfId="2299"/>
    <cellStyle name="1_tree_총괄내역0518_구로리설계예산서조경_진해자은수량산출서(단지내)_기초산출표-56-128-최종_설계서-1" xfId="2300"/>
    <cellStyle name="1_tree_총괄내역0518_구로리설계예산서조경_진해자은수량산출서(단지내)_기초산출표-56-128-최종_설계서-1_00-설계서,원가계산,내역서" xfId="2301"/>
    <cellStyle name="1_tree_총괄내역0518_구로리설계예산서조경_진해자은수량산출서(단지내)_설계서-1" xfId="2302"/>
    <cellStyle name="1_tree_총괄내역0518_구로리설계예산서조경_진해자은수량산출서(단지내)_설계서-1_00-설계서,원가계산,내역서" xfId="2303"/>
    <cellStyle name="1_tree_총괄내역0518_구로리설계예산서조경_진해자은수량산출서(단지내)_취합" xfId="2304"/>
    <cellStyle name="1_tree_총괄내역0518_구로리설계예산서조경_진해자은수량산출서(단지내)_취합_00-설계서,원가계산,내역서" xfId="2305"/>
    <cellStyle name="1_tree_총괄내역0518_구로리설계예산서조경_진해자은수량산출서(단지내)_취합_설계서-1" xfId="2306"/>
    <cellStyle name="1_tree_총괄내역0518_구로리설계예산서조경_진해자은수량산출서(단지내)_취합_설계서-1_00-설계서,원가계산,내역서" xfId="2307"/>
    <cellStyle name="1_tree_총괄내역0518_구로리어린이공원예산서(조경)1125" xfId="2308"/>
    <cellStyle name="1_tree_총괄내역0518_구로리어린이공원예산서(조경)1125_00-설계서,원가계산,내역서" xfId="2309"/>
    <cellStyle name="1_tree_총괄내역0518_구로리어린이공원예산서(조경)1125_설계서-1" xfId="2310"/>
    <cellStyle name="1_tree_총괄내역0518_구로리어린이공원예산서(조경)1125_설계서-1_00-설계서,원가계산,내역서" xfId="2311"/>
    <cellStyle name="1_tree_총괄내역0518_구로리어린이공원예산서(조경)1125_진해자은수량산출서(단지내)" xfId="2312"/>
    <cellStyle name="1_tree_총괄내역0518_구로리어린이공원예산서(조경)1125_진해자은수량산출서(단지내)_00-설계서,원가계산,내역서" xfId="2313"/>
    <cellStyle name="1_tree_총괄내역0518_구로리어린이공원예산서(조경)1125_진해자은수량산출서(단지내)_기초산출표-56-128-최종" xfId="2314"/>
    <cellStyle name="1_tree_총괄내역0518_구로리어린이공원예산서(조경)1125_진해자은수량산출서(단지내)_기초산출표-56-128-최종_00-설계서,원가계산,내역서" xfId="2315"/>
    <cellStyle name="1_tree_총괄내역0518_구로리어린이공원예산서(조경)1125_진해자은수량산출서(단지내)_기초산출표-56-128-최종_설계서-1" xfId="2316"/>
    <cellStyle name="1_tree_총괄내역0518_구로리어린이공원예산서(조경)1125_진해자은수량산출서(단지내)_기초산출표-56-128-최종_설계서-1_00-설계서,원가계산,내역서" xfId="2317"/>
    <cellStyle name="1_tree_총괄내역0518_구로리어린이공원예산서(조경)1125_진해자은수량산출서(단지내)_설계서-1" xfId="2318"/>
    <cellStyle name="1_tree_총괄내역0518_구로리어린이공원예산서(조경)1125_진해자은수량산출서(단지내)_설계서-1_00-설계서,원가계산,내역서" xfId="2319"/>
    <cellStyle name="1_tree_총괄내역0518_구로리어린이공원예산서(조경)1125_진해자은수량산출서(단지내)_취합" xfId="2320"/>
    <cellStyle name="1_tree_총괄내역0518_구로리어린이공원예산서(조경)1125_진해자은수량산출서(단지내)_취합_00-설계서,원가계산,내역서" xfId="2321"/>
    <cellStyle name="1_tree_총괄내역0518_구로리어린이공원예산서(조경)1125_진해자은수량산출서(단지내)_취합_설계서-1" xfId="2322"/>
    <cellStyle name="1_tree_총괄내역0518_구로리어린이공원예산서(조경)1125_진해자은수량산출서(단지내)_취합_설계서-1_00-설계서,원가계산,내역서" xfId="2323"/>
    <cellStyle name="1_tree_총괄내역0518_내역서" xfId="2324"/>
    <cellStyle name="1_tree_총괄내역0518_내역서_00-설계서,원가계산,내역서" xfId="2325"/>
    <cellStyle name="1_tree_총괄내역0518_내역서_설계서-1" xfId="2326"/>
    <cellStyle name="1_tree_총괄내역0518_내역서_설계서-1_00-설계서,원가계산,내역서" xfId="2327"/>
    <cellStyle name="1_tree_총괄내역0518_내역서_진해자은수량산출서(단지내)" xfId="2328"/>
    <cellStyle name="1_tree_총괄내역0518_내역서_진해자은수량산출서(단지내)_00-설계서,원가계산,내역서" xfId="2329"/>
    <cellStyle name="1_tree_총괄내역0518_내역서_진해자은수량산출서(단지내)_기초산출표-56-128-최종" xfId="2330"/>
    <cellStyle name="1_tree_총괄내역0518_내역서_진해자은수량산출서(단지내)_기초산출표-56-128-최종_00-설계서,원가계산,내역서" xfId="2331"/>
    <cellStyle name="1_tree_총괄내역0518_내역서_진해자은수량산출서(단지내)_기초산출표-56-128-최종_설계서-1" xfId="2332"/>
    <cellStyle name="1_tree_총괄내역0518_내역서_진해자은수량산출서(단지내)_기초산출표-56-128-최종_설계서-1_00-설계서,원가계산,내역서" xfId="2333"/>
    <cellStyle name="1_tree_총괄내역0518_내역서_진해자은수량산출서(단지내)_설계서-1" xfId="2334"/>
    <cellStyle name="1_tree_총괄내역0518_내역서_진해자은수량산출서(단지내)_설계서-1_00-설계서,원가계산,내역서" xfId="2335"/>
    <cellStyle name="1_tree_총괄내역0518_내역서_진해자은수량산출서(단지내)_취합" xfId="2336"/>
    <cellStyle name="1_tree_총괄내역0518_내역서_진해자은수량산출서(단지내)_취합_00-설계서,원가계산,내역서" xfId="2337"/>
    <cellStyle name="1_tree_총괄내역0518_내역서_진해자은수량산출서(단지내)_취합_설계서-1" xfId="2338"/>
    <cellStyle name="1_tree_총괄내역0518_내역서_진해자은수량산출서(단지내)_취합_설계서-1_00-설계서,원가계산,내역서" xfId="2339"/>
    <cellStyle name="1_tree_총괄내역0518_노임단가표" xfId="2340"/>
    <cellStyle name="1_tree_총괄내역0518_노임단가표_00-설계서,원가계산,내역서" xfId="2341"/>
    <cellStyle name="1_tree_총괄내역0518_노임단가표_설계서-1" xfId="2342"/>
    <cellStyle name="1_tree_총괄내역0518_노임단가표_설계서-1_00-설계서,원가계산,내역서" xfId="2343"/>
    <cellStyle name="1_tree_총괄내역0518_노임단가표_진해자은수량산출서(단지내)" xfId="2344"/>
    <cellStyle name="1_tree_총괄내역0518_노임단가표_진해자은수량산출서(단지내)_00-설계서,원가계산,내역서" xfId="2345"/>
    <cellStyle name="1_tree_총괄내역0518_노임단가표_진해자은수량산출서(단지내)_기초산출표-56-128-최종" xfId="2346"/>
    <cellStyle name="1_tree_총괄내역0518_노임단가표_진해자은수량산출서(단지내)_기초산출표-56-128-최종_00-설계서,원가계산,내역서" xfId="2347"/>
    <cellStyle name="1_tree_총괄내역0518_노임단가표_진해자은수량산출서(단지내)_기초산출표-56-128-최종_설계서-1" xfId="2348"/>
    <cellStyle name="1_tree_총괄내역0518_노임단가표_진해자은수량산출서(단지내)_기초산출표-56-128-최종_설계서-1_00-설계서,원가계산,내역서" xfId="2349"/>
    <cellStyle name="1_tree_총괄내역0518_노임단가표_진해자은수량산출서(단지내)_설계서-1" xfId="2350"/>
    <cellStyle name="1_tree_총괄내역0518_노임단가표_진해자은수량산출서(단지내)_설계서-1_00-설계서,원가계산,내역서" xfId="2351"/>
    <cellStyle name="1_tree_총괄내역0518_노임단가표_진해자은수량산출서(단지내)_취합" xfId="2352"/>
    <cellStyle name="1_tree_총괄내역0518_노임단가표_진해자은수량산출서(단지내)_취합_00-설계서,원가계산,내역서" xfId="2353"/>
    <cellStyle name="1_tree_총괄내역0518_노임단가표_진해자은수량산출서(단지내)_취합_설계서-1" xfId="2354"/>
    <cellStyle name="1_tree_총괄내역0518_노임단가표_진해자은수량산출서(단지내)_취합_설계서-1_00-설계서,원가계산,내역서" xfId="2355"/>
    <cellStyle name="1_tree_총괄내역0518_설계서-1" xfId="2356"/>
    <cellStyle name="1_tree_총괄내역0518_설계서-1_00-설계서,원가계산,내역서" xfId="2357"/>
    <cellStyle name="1_tree_총괄내역0518_수도권매립지" xfId="2358"/>
    <cellStyle name="1_tree_총괄내역0518_수도권매립지1004(발주용)" xfId="2374"/>
    <cellStyle name="1_tree_총괄내역0518_수도권매립지1004(발주용)_00-설계서,원가계산,내역서" xfId="2375"/>
    <cellStyle name="1_tree_총괄내역0518_수도권매립지1004(발주용)_설계서-1" xfId="2376"/>
    <cellStyle name="1_tree_총괄내역0518_수도권매립지1004(발주용)_설계서-1_00-설계서,원가계산,내역서" xfId="2377"/>
    <cellStyle name="1_tree_총괄내역0518_수도권매립지1004(발주용)_진해자은수량산출서(단지내)" xfId="2378"/>
    <cellStyle name="1_tree_총괄내역0518_수도권매립지1004(발주용)_진해자은수량산출서(단지내)_00-설계서,원가계산,내역서" xfId="2379"/>
    <cellStyle name="1_tree_총괄내역0518_수도권매립지1004(발주용)_진해자은수량산출서(단지내)_기초산출표-56-128-최종" xfId="2380"/>
    <cellStyle name="1_tree_총괄내역0518_수도권매립지1004(발주용)_진해자은수량산출서(단지내)_기초산출표-56-128-최종_00-설계서,원가계산,내역서" xfId="2381"/>
    <cellStyle name="1_tree_총괄내역0518_수도권매립지1004(발주용)_진해자은수량산출서(단지내)_기초산출표-56-128-최종_설계서-1" xfId="2382"/>
    <cellStyle name="1_tree_총괄내역0518_수도권매립지1004(발주용)_진해자은수량산출서(단지내)_기초산출표-56-128-최종_설계서-1_00-설계서,원가계산,내역서" xfId="2383"/>
    <cellStyle name="1_tree_총괄내역0518_수도권매립지1004(발주용)_진해자은수량산출서(단지내)_설계서-1" xfId="2384"/>
    <cellStyle name="1_tree_총괄내역0518_수도권매립지1004(발주용)_진해자은수량산출서(단지내)_설계서-1_00-설계서,원가계산,내역서" xfId="2385"/>
    <cellStyle name="1_tree_총괄내역0518_수도권매립지1004(발주용)_진해자은수량산출서(단지내)_취합" xfId="2386"/>
    <cellStyle name="1_tree_총괄내역0518_수도권매립지1004(발주용)_진해자은수량산출서(단지내)_취합_00-설계서,원가계산,내역서" xfId="2387"/>
    <cellStyle name="1_tree_총괄내역0518_수도권매립지1004(발주용)_진해자은수량산출서(단지내)_취합_설계서-1" xfId="2388"/>
    <cellStyle name="1_tree_총괄내역0518_수도권매립지1004(발주용)_진해자은수량산출서(단지내)_취합_설계서-1_00-설계서,원가계산,내역서" xfId="2389"/>
    <cellStyle name="1_tree_총괄내역0518_수도권매립지_00-설계서,원가계산,내역서" xfId="2359"/>
    <cellStyle name="1_tree_총괄내역0518_수도권매립지_설계서-1" xfId="2360"/>
    <cellStyle name="1_tree_총괄내역0518_수도권매립지_설계서-1_00-설계서,원가계산,내역서" xfId="2361"/>
    <cellStyle name="1_tree_총괄내역0518_수도권매립지_진해자은수량산출서(단지내)" xfId="2362"/>
    <cellStyle name="1_tree_총괄내역0518_수도권매립지_진해자은수량산출서(단지내)_00-설계서,원가계산,내역서" xfId="2363"/>
    <cellStyle name="1_tree_총괄내역0518_수도권매립지_진해자은수량산출서(단지내)_기초산출표-56-128-최종" xfId="2364"/>
    <cellStyle name="1_tree_총괄내역0518_수도권매립지_진해자은수량산출서(단지내)_기초산출표-56-128-최종_00-설계서,원가계산,내역서" xfId="2365"/>
    <cellStyle name="1_tree_총괄내역0518_수도권매립지_진해자은수량산출서(단지내)_기초산출표-56-128-최종_설계서-1" xfId="2366"/>
    <cellStyle name="1_tree_총괄내역0518_수도권매립지_진해자은수량산출서(단지내)_기초산출표-56-128-최종_설계서-1_00-설계서,원가계산,내역서" xfId="2367"/>
    <cellStyle name="1_tree_총괄내역0518_수도권매립지_진해자은수량산출서(단지내)_설계서-1" xfId="2368"/>
    <cellStyle name="1_tree_총괄내역0518_수도권매립지_진해자은수량산출서(단지내)_설계서-1_00-설계서,원가계산,내역서" xfId="2369"/>
    <cellStyle name="1_tree_총괄내역0518_수도권매립지_진해자은수량산출서(단지내)_취합" xfId="2370"/>
    <cellStyle name="1_tree_총괄내역0518_수도권매립지_진해자은수량산출서(단지내)_취합_00-설계서,원가계산,내역서" xfId="2371"/>
    <cellStyle name="1_tree_총괄내역0518_수도권매립지_진해자은수량산출서(단지내)_취합_설계서-1" xfId="2372"/>
    <cellStyle name="1_tree_총괄내역0518_수도권매립지_진해자은수량산출서(단지내)_취합_설계서-1_00-설계서,원가계산,내역서" xfId="2373"/>
    <cellStyle name="1_tree_총괄내역0518_일신건영설계예산서(0211)" xfId="2390"/>
    <cellStyle name="1_tree_총괄내역0518_일신건영설계예산서(0211)_00-설계서,원가계산,내역서" xfId="2391"/>
    <cellStyle name="1_tree_총괄내역0518_일신건영설계예산서(0211)_설계서-1" xfId="2392"/>
    <cellStyle name="1_tree_총괄내역0518_일신건영설계예산서(0211)_설계서-1_00-설계서,원가계산,내역서" xfId="2393"/>
    <cellStyle name="1_tree_총괄내역0518_일신건영설계예산서(0211)_진해자은수량산출서(단지내)" xfId="2394"/>
    <cellStyle name="1_tree_총괄내역0518_일신건영설계예산서(0211)_진해자은수량산출서(단지내)_00-설계서,원가계산,내역서" xfId="2395"/>
    <cellStyle name="1_tree_총괄내역0518_일신건영설계예산서(0211)_진해자은수량산출서(단지내)_기초산출표-56-128-최종" xfId="2396"/>
    <cellStyle name="1_tree_총괄내역0518_일신건영설계예산서(0211)_진해자은수량산출서(단지내)_기초산출표-56-128-최종_00-설계서,원가계산,내역서" xfId="2397"/>
    <cellStyle name="1_tree_총괄내역0518_일신건영설계예산서(0211)_진해자은수량산출서(단지내)_기초산출표-56-128-최종_설계서-1" xfId="2398"/>
    <cellStyle name="1_tree_총괄내역0518_일신건영설계예산서(0211)_진해자은수량산출서(단지내)_기초산출표-56-128-최종_설계서-1_00-설계서,원가계산,내역서" xfId="2399"/>
    <cellStyle name="1_tree_총괄내역0518_일신건영설계예산서(0211)_진해자은수량산출서(단지내)_설계서-1" xfId="2400"/>
    <cellStyle name="1_tree_총괄내역0518_일신건영설계예산서(0211)_진해자은수량산출서(단지내)_설계서-1_00-설계서,원가계산,내역서" xfId="2401"/>
    <cellStyle name="1_tree_총괄내역0518_일신건영설계예산서(0211)_진해자은수량산출서(단지내)_취합" xfId="2402"/>
    <cellStyle name="1_tree_총괄내역0518_일신건영설계예산서(0211)_진해자은수량산출서(단지내)_취합_00-설계서,원가계산,내역서" xfId="2403"/>
    <cellStyle name="1_tree_총괄내역0518_일신건영설계예산서(0211)_진해자은수량산출서(단지내)_취합_설계서-1" xfId="2404"/>
    <cellStyle name="1_tree_총괄내역0518_일신건영설계예산서(0211)_진해자은수량산출서(단지내)_취합_설계서-1_00-설계서,원가계산,내역서" xfId="2405"/>
    <cellStyle name="1_tree_총괄내역0518_일위대가" xfId="2406"/>
    <cellStyle name="1_tree_총괄내역0518_일위대가_00-설계서,원가계산,내역서" xfId="2407"/>
    <cellStyle name="1_tree_총괄내역0518_일위대가_설계서-1" xfId="2408"/>
    <cellStyle name="1_tree_총괄내역0518_일위대가_설계서-1_00-설계서,원가계산,내역서" xfId="2409"/>
    <cellStyle name="1_tree_총괄내역0518_일위대가_진해자은수량산출서(단지내)" xfId="2410"/>
    <cellStyle name="1_tree_총괄내역0518_일위대가_진해자은수량산출서(단지내)_00-설계서,원가계산,내역서" xfId="2411"/>
    <cellStyle name="1_tree_총괄내역0518_일위대가_진해자은수량산출서(단지내)_기초산출표-56-128-최종" xfId="2412"/>
    <cellStyle name="1_tree_총괄내역0518_일위대가_진해자은수량산출서(단지내)_기초산출표-56-128-최종_00-설계서,원가계산,내역서" xfId="2413"/>
    <cellStyle name="1_tree_총괄내역0518_일위대가_진해자은수량산출서(단지내)_기초산출표-56-128-최종_설계서-1" xfId="2414"/>
    <cellStyle name="1_tree_총괄내역0518_일위대가_진해자은수량산출서(단지내)_기초산출표-56-128-최종_설계서-1_00-설계서,원가계산,내역서" xfId="2415"/>
    <cellStyle name="1_tree_총괄내역0518_일위대가_진해자은수량산출서(단지내)_설계서-1" xfId="2416"/>
    <cellStyle name="1_tree_총괄내역0518_일위대가_진해자은수량산출서(단지내)_설계서-1_00-설계서,원가계산,내역서" xfId="2417"/>
    <cellStyle name="1_tree_총괄내역0518_일위대가_진해자은수량산출서(단지내)_취합" xfId="2418"/>
    <cellStyle name="1_tree_총괄내역0518_일위대가_진해자은수량산출서(단지내)_취합_00-설계서,원가계산,내역서" xfId="2419"/>
    <cellStyle name="1_tree_총괄내역0518_일위대가_진해자은수량산출서(단지내)_취합_설계서-1" xfId="2420"/>
    <cellStyle name="1_tree_총괄내역0518_일위대가_진해자은수량산출서(단지내)_취합_설계서-1_00-설계서,원가계산,내역서" xfId="2421"/>
    <cellStyle name="1_tree_총괄내역0518_자재단가표" xfId="2422"/>
    <cellStyle name="1_tree_총괄내역0518_자재단가표_00-설계서,원가계산,내역서" xfId="2423"/>
    <cellStyle name="1_tree_총괄내역0518_자재단가표_설계서-1" xfId="2424"/>
    <cellStyle name="1_tree_총괄내역0518_자재단가표_설계서-1_00-설계서,원가계산,내역서" xfId="2425"/>
    <cellStyle name="1_tree_총괄내역0518_자재단가표_진해자은수량산출서(단지내)" xfId="2426"/>
    <cellStyle name="1_tree_총괄내역0518_자재단가표_진해자은수량산출서(단지내)_00-설계서,원가계산,내역서" xfId="2427"/>
    <cellStyle name="1_tree_총괄내역0518_자재단가표_진해자은수량산출서(단지내)_기초산출표-56-128-최종" xfId="2428"/>
    <cellStyle name="1_tree_총괄내역0518_자재단가표_진해자은수량산출서(단지내)_기초산출표-56-128-최종_00-설계서,원가계산,내역서" xfId="2429"/>
    <cellStyle name="1_tree_총괄내역0518_자재단가표_진해자은수량산출서(단지내)_기초산출표-56-128-최종_설계서-1" xfId="2430"/>
    <cellStyle name="1_tree_총괄내역0518_자재단가표_진해자은수량산출서(단지내)_기초산출표-56-128-최종_설계서-1_00-설계서,원가계산,내역서" xfId="2431"/>
    <cellStyle name="1_tree_총괄내역0518_자재단가표_진해자은수량산출서(단지내)_설계서-1" xfId="2432"/>
    <cellStyle name="1_tree_총괄내역0518_자재단가표_진해자은수량산출서(단지내)_설계서-1_00-설계서,원가계산,내역서" xfId="2433"/>
    <cellStyle name="1_tree_총괄내역0518_자재단가표_진해자은수량산출서(단지내)_취합" xfId="2434"/>
    <cellStyle name="1_tree_총괄내역0518_자재단가표_진해자은수량산출서(단지내)_취합_00-설계서,원가계산,내역서" xfId="2435"/>
    <cellStyle name="1_tree_총괄내역0518_자재단가표_진해자은수량산출서(단지내)_취합_설계서-1" xfId="2436"/>
    <cellStyle name="1_tree_총괄내역0518_자재단가표_진해자은수량산출서(단지내)_취합_설계서-1_00-설계서,원가계산,내역서" xfId="2437"/>
    <cellStyle name="1_tree_총괄내역0518_장안초등학교내역0814" xfId="2438"/>
    <cellStyle name="1_tree_총괄내역0518_장안초등학교내역0814_00-설계서,원가계산,내역서" xfId="2439"/>
    <cellStyle name="1_tree_총괄내역0518_장안초등학교내역0814_설계서-1" xfId="2440"/>
    <cellStyle name="1_tree_총괄내역0518_장안초등학교내역0814_설계서-1_00-설계서,원가계산,내역서" xfId="2441"/>
    <cellStyle name="1_tree_총괄내역0518_장안초등학교내역0814_진해자은수량산출서(단지내)" xfId="2442"/>
    <cellStyle name="1_tree_총괄내역0518_장안초등학교내역0814_진해자은수량산출서(단지내)_00-설계서,원가계산,내역서" xfId="2443"/>
    <cellStyle name="1_tree_총괄내역0518_장안초등학교내역0814_진해자은수량산출서(단지내)_기초산출표-56-128-최종" xfId="2444"/>
    <cellStyle name="1_tree_총괄내역0518_장안초등학교내역0814_진해자은수량산출서(단지내)_기초산출표-56-128-최종_00-설계서,원가계산,내역서" xfId="2445"/>
    <cellStyle name="1_tree_총괄내역0518_장안초등학교내역0814_진해자은수량산출서(단지내)_기초산출표-56-128-최종_설계서-1" xfId="2446"/>
    <cellStyle name="1_tree_총괄내역0518_장안초등학교내역0814_진해자은수량산출서(단지내)_기초산출표-56-128-최종_설계서-1_00-설계서,원가계산,내역서" xfId="2447"/>
    <cellStyle name="1_tree_총괄내역0518_장안초등학교내역0814_진해자은수량산출서(단지내)_설계서-1" xfId="2448"/>
    <cellStyle name="1_tree_총괄내역0518_장안초등학교내역0814_진해자은수량산출서(단지내)_설계서-1_00-설계서,원가계산,내역서" xfId="2449"/>
    <cellStyle name="1_tree_총괄내역0518_장안초등학교내역0814_진해자은수량산출서(단지내)_취합" xfId="2450"/>
    <cellStyle name="1_tree_총괄내역0518_장안초등학교내역0814_진해자은수량산출서(단지내)_취합_00-설계서,원가계산,내역서" xfId="2451"/>
    <cellStyle name="1_tree_총괄내역0518_장안초등학교내역0814_진해자은수량산출서(단지내)_취합_설계서-1" xfId="2452"/>
    <cellStyle name="1_tree_총괄내역0518_장안초등학교내역0814_진해자은수량산출서(단지내)_취합_설계서-1_00-설계서,원가계산,내역서" xfId="2453"/>
    <cellStyle name="1_tree_총괄내역0518_진해자은수량산출서(단지내)" xfId="2454"/>
    <cellStyle name="1_tree_총괄내역0518_진해자은수량산출서(단지내)_00-설계서,원가계산,내역서" xfId="2455"/>
    <cellStyle name="1_tree_총괄내역0518_진해자은수량산출서(단지내)_기초산출표-56-128-최종" xfId="2456"/>
    <cellStyle name="1_tree_총괄내역0518_진해자은수량산출서(단지내)_기초산출표-56-128-최종_00-설계서,원가계산,내역서" xfId="2457"/>
    <cellStyle name="1_tree_총괄내역0518_진해자은수량산출서(단지내)_기초산출표-56-128-최종_설계서-1" xfId="2458"/>
    <cellStyle name="1_tree_총괄내역0518_진해자은수량산출서(단지내)_기초산출표-56-128-최종_설계서-1_00-설계서,원가계산,내역서" xfId="2459"/>
    <cellStyle name="1_tree_총괄내역0518_진해자은수량산출서(단지내)_설계서-1" xfId="2460"/>
    <cellStyle name="1_tree_총괄내역0518_진해자은수량산출서(단지내)_설계서-1_00-설계서,원가계산,내역서" xfId="2461"/>
    <cellStyle name="1_tree_총괄내역0518_진해자은수량산출서(단지내)_취합" xfId="2462"/>
    <cellStyle name="1_tree_총괄내역0518_진해자은수량산출서(단지내)_취합_00-설계서,원가계산,내역서" xfId="2463"/>
    <cellStyle name="1_tree_총괄내역0518_진해자은수량산출서(단지내)_취합_설계서-1" xfId="2464"/>
    <cellStyle name="1_tree_총괄내역0518_진해자은수량산출서(단지내)_취합_설계서-1_00-설계서,원가계산,내역서" xfId="2465"/>
    <cellStyle name="1_tree_현충묘지-예산서(조경)" xfId="2466"/>
    <cellStyle name="1_tree_현충묘지-예산서(조경)_00-설계서,원가계산,내역서" xfId="2467"/>
    <cellStyle name="1_tree_현충묘지-예산서(조경)_목동내역" xfId="2468"/>
    <cellStyle name="1_tree_현충묘지-예산서(조경)_목동내역_00-설계서,원가계산,내역서" xfId="2469"/>
    <cellStyle name="1_tree_현충묘지-예산서(조경)_목동내역_폐기물집계" xfId="2470"/>
    <cellStyle name="1_tree_현충묘지-예산서(조경)_목동내역_폐기물집계_00-설계서,원가계산,내역서" xfId="2471"/>
    <cellStyle name="1_tree_현충묘지-예산서(조경)_예산서-엑셀변환양식100" xfId="2472"/>
    <cellStyle name="1_tree_현충묘지-예산서(조경)_예산서-엑셀변환양식100_00-설계서,원가계산,내역서" xfId="2473"/>
    <cellStyle name="1_tree_현충묘지-예산서(조경)_예산서-엑셀변환양식100_목동내역" xfId="2474"/>
    <cellStyle name="1_tree_현충묘지-예산서(조경)_예산서-엑셀변환양식100_목동내역_00-설계서,원가계산,내역서" xfId="2475"/>
    <cellStyle name="1_tree_현충묘지-예산서(조경)_예산서-엑셀변환양식100_목동내역_폐기물집계" xfId="2476"/>
    <cellStyle name="1_tree_현충묘지-예산서(조경)_예산서-엑셀변환양식100_목동내역_폐기물집계_00-설계서,원가계산,내역서" xfId="2477"/>
    <cellStyle name="1_강남폐기물내역" xfId="2478"/>
    <cellStyle name="1_공양식(레인보우스케이프)" xfId="2479"/>
    <cellStyle name="1_단가조사표" xfId="2480"/>
    <cellStyle name="1_단가조사표_1011소각" xfId="2481"/>
    <cellStyle name="1_단가조사표_1113교~1" xfId="2482"/>
    <cellStyle name="1_단가조사표_121내역" xfId="2483"/>
    <cellStyle name="1_단가조사표_객토량" xfId="2484"/>
    <cellStyle name="1_단가조사표_교통센~1" xfId="2485"/>
    <cellStyle name="1_단가조사표_교통센터412" xfId="2486"/>
    <cellStyle name="1_단가조사표_교통수" xfId="2487"/>
    <cellStyle name="1_단가조사표_교통수량산출서" xfId="2488"/>
    <cellStyle name="1_단가조사표_구조물대가 (2)" xfId="2489"/>
    <cellStyle name="1_단가조사표_내역서 (2)" xfId="2490"/>
    <cellStyle name="1_단가조사표_대전관저지구" xfId="2491"/>
    <cellStyle name="1_단가조사표_동측지~1" xfId="2492"/>
    <cellStyle name="1_단가조사표_동측지원422" xfId="2493"/>
    <cellStyle name="1_단가조사표_동측지원512" xfId="2494"/>
    <cellStyle name="1_단가조사표_동측지원524" xfId="2495"/>
    <cellStyle name="1_단가조사표_부대422" xfId="2496"/>
    <cellStyle name="1_단가조사표_부대시설" xfId="2497"/>
    <cellStyle name="1_단가조사표_소각수~1" xfId="2498"/>
    <cellStyle name="1_단가조사표_소각수내역서" xfId="2499"/>
    <cellStyle name="1_단가조사표_소각수목2" xfId="2500"/>
    <cellStyle name="1_단가조사표_수량산출서 (2)" xfId="2501"/>
    <cellStyle name="1_단가조사표_엑스포~1" xfId="2502"/>
    <cellStyle name="1_단가조사표_엑스포한빛1" xfId="2503"/>
    <cellStyle name="1_단가조사표_여객터미널331" xfId="2504"/>
    <cellStyle name="1_단가조사표_여객터미널513" xfId="2505"/>
    <cellStyle name="1_단가조사표_여객터미널629" xfId="2506"/>
    <cellStyle name="1_단가조사표_외곽도로616" xfId="2507"/>
    <cellStyle name="1_단가조사표_원가계~1" xfId="2508"/>
    <cellStyle name="1_단가조사표_유기질" xfId="2509"/>
    <cellStyle name="1_단가조사표_자재조서 (2)" xfId="2510"/>
    <cellStyle name="1_단가조사표_총괄내역" xfId="2511"/>
    <cellStyle name="1_단가조사표_총괄내역 (2)" xfId="2512"/>
    <cellStyle name="1_단가조사표_터미널도로403" xfId="2513"/>
    <cellStyle name="1_단가조사표_터미널도로429" xfId="2514"/>
    <cellStyle name="1_단가조사표_포장일위" xfId="2515"/>
    <cellStyle name="1_목동내역" xfId="2516"/>
    <cellStyle name="1_시민계략공사" xfId="2517"/>
    <cellStyle name="1_시민계략공사 2" xfId="2518"/>
    <cellStyle name="1_시민계략공사 3" xfId="2519"/>
    <cellStyle name="1_시민계략공사_2002년도각종계산서너릿제터널등7개소" xfId="2520"/>
    <cellStyle name="1_시민계략공사_2003년 각종계산서(읽기전용)" xfId="2521"/>
    <cellStyle name="1_시민계략공사_2003년 각종계산서(읽기전용)_00-설계서,원가계산,내역서" xfId="2522"/>
    <cellStyle name="1_시민계략공사_2003년 각종계산서(읽기전용)_내역서(전기)" xfId="2523"/>
    <cellStyle name="1_시민계략공사_2003년 각종계산서(읽기전용)_내역서(전기)_00-설계서,원가계산,내역서" xfId="2524"/>
    <cellStyle name="1_시민계략공사_Book2" xfId="2525"/>
    <cellStyle name="1_시민계략공사_Book2 2" xfId="2526"/>
    <cellStyle name="1_시민계략공사_Book2 3" xfId="2527"/>
    <cellStyle name="1_시민계략공사_각종계산서" xfId="2528"/>
    <cellStyle name="1_시민계략공사_각종계산서_00-설계서,원가계산,내역서" xfId="2529"/>
    <cellStyle name="1_시민계략공사_계산서및내역서5월9일변경" xfId="2530"/>
    <cellStyle name="1_시민계략공사_관급-(수배전반)" xfId="2531"/>
    <cellStyle name="1_시민계략공사_관급-(수배전반) 2" xfId="2532"/>
    <cellStyle name="1_시민계략공사_관급-(수배전반) 3" xfId="2533"/>
    <cellStyle name="1_시민계략공사_관급-등기구" xfId="2534"/>
    <cellStyle name="1_시민계략공사_관급-등기구 2" xfId="2535"/>
    <cellStyle name="1_시민계략공사_관급-등기구 3" xfId="2536"/>
    <cellStyle name="1_시민계략공사_관급-태양광등기구" xfId="2537"/>
    <cellStyle name="1_시민계략공사_관급-태양광등기구 2" xfId="2538"/>
    <cellStyle name="1_시민계략공사_관급-태양광등기구 3" xfId="2539"/>
    <cellStyle name="1_시민계략공사_광양중동중학교실증축공사(전기)-4월10일한번더" xfId="2540"/>
    <cellStyle name="1_시민계략공사_광양중동중학교실증축공사(전기)-4월10일한번더 2" xfId="2541"/>
    <cellStyle name="1_시민계략공사_광양중동중학교실증축공사(전기)-4월10일한번더 3" xfId="2542"/>
    <cellStyle name="1_시민계략공사_무안연꽃방죽(4월9일)한번더" xfId="2543"/>
    <cellStyle name="1_시민계략공사_무안연꽃방죽(4월9일)한번더 2" xfId="2544"/>
    <cellStyle name="1_시민계략공사_무안연꽃방죽(4월9일)한번더 3" xfId="2545"/>
    <cellStyle name="1_시민계략공사_백운초 신축 전기공사-납품-" xfId="2546"/>
    <cellStyle name="1_시민계략공사_백운초 신축 전기공사-납품- 2" xfId="2547"/>
    <cellStyle name="1_시민계략공사_백운초 신축 전기공사-납품- 3" xfId="2548"/>
    <cellStyle name="1_시민계략공사_보일약국~순국비간 도로개설 가로등설치공사" xfId="2549"/>
    <cellStyle name="1_시민계략공사_보일약국~순국비간 도로개설 가로등설치공사 2" xfId="2550"/>
    <cellStyle name="1_시민계략공사_보일약국~순국비간 도로개설 가로등설치공사 3" xfId="2551"/>
    <cellStyle name="1_시민계략공사_복지관 부하계산서" xfId="2552"/>
    <cellStyle name="1_시민계략공사_복지관 부하계산서_00-설계서,원가계산,내역서" xfId="2553"/>
    <cellStyle name="1_시민계략공사_복지관 부하계산서_내역서(전기)" xfId="2554"/>
    <cellStyle name="1_시민계략공사_복지관 부하계산서_내역서(전기)_00-설계서,원가계산,내역서" xfId="2555"/>
    <cellStyle name="1_시민계략공사_봉산면보건지소신축공사(전기)11월30일변경" xfId="2556"/>
    <cellStyle name="1_시민계략공사_봉산면보건지소신축공사(전기)11월30일변경 2" xfId="2557"/>
    <cellStyle name="1_시민계략공사_봉산면보건지소신축공사(전기)11월30일변경 3" xfId="2558"/>
    <cellStyle name="1_시민계략공사_북문로(팔마로)가로등설치공사(변경)3월11일" xfId="2559"/>
    <cellStyle name="1_시민계략공사_북문로(팔마로)가로등설치공사(변경)3월11일 2" xfId="2560"/>
    <cellStyle name="1_시민계략공사_북문로(팔마로)가로등설치공사(변경)3월11일 3" xfId="2561"/>
    <cellStyle name="1_시민계략공사_북문로(팔마로)가로등설치공사NO34번까지시행분" xfId="2562"/>
    <cellStyle name="1_시민계략공사_북문로(팔마로)가로등설치공사NO34번까지시행분 2" xfId="2563"/>
    <cellStyle name="1_시민계략공사_북문로(팔마로)가로등설치공사NO34번까지시행분 3" xfId="2564"/>
    <cellStyle name="1_시민계략공사_북문로(팔마로)교통신호등설치공사NO34번까지" xfId="2565"/>
    <cellStyle name="1_시민계략공사_북문로(팔마로)교통신호등설치공사NO34번까지 2" xfId="2566"/>
    <cellStyle name="1_시민계략공사_북문로(팔마로)교통신호등설치공사NO34번까지 3" xfId="2567"/>
    <cellStyle name="1_시민계략공사_북문팔마로확포장공사가로등" xfId="2568"/>
    <cellStyle name="1_시민계략공사_북문팔마로확포장공사가로등 2" xfId="2569"/>
    <cellStyle name="1_시민계략공사_북문팔마로확포장공사가로등 3" xfId="2570"/>
    <cellStyle name="1_시민계략공사_비상부하,발전기용량 계산서" xfId="2571"/>
    <cellStyle name="1_시민계략공사_비상부하,발전기용량 계산서_00-설계서,원가계산,내역서" xfId="2572"/>
    <cellStyle name="1_시민계략공사_비상부하,발전기용량 계산서_내역서(전기)" xfId="2573"/>
    <cellStyle name="1_시민계략공사_비상부하,발전기용량 계산서_내역서(전기)_00-설계서,원가계산,내역서" xfId="2574"/>
    <cellStyle name="1_시민계략공사_여수오동도분수(사급)R2" xfId="2575"/>
    <cellStyle name="1_시민계략공사_여수오동도분수(사급)R2 2" xfId="2576"/>
    <cellStyle name="1_시민계략공사_여수오동도분수(사급)R2 3" xfId="2577"/>
    <cellStyle name="1_시민계략공사_오동도음악분수수전설비공사(1차전기)" xfId="2578"/>
    <cellStyle name="1_시민계략공사_율촌중학교심야전기" xfId="2579"/>
    <cellStyle name="1_시민계략공사_율촌중학교심야전기 2" xfId="2580"/>
    <cellStyle name="1_시민계략공사_율촌중학교심야전기 3" xfId="2581"/>
    <cellStyle name="1_시민계략공사_전기-한남" xfId="2582"/>
    <cellStyle name="1_시민계략공사_조도계산서" xfId="2583"/>
    <cellStyle name="1_시민계략공사_조도계산서_00-설계서,원가계산,내역서" xfId="2584"/>
    <cellStyle name="1_시민계략공사_조도계산서_내역서(전기)" xfId="2585"/>
    <cellStyle name="1_시민계략공사_조도계산서_내역서(전기)_00-설계서,원가계산,내역서" xfId="2586"/>
    <cellStyle name="1_연안권역특화거리조성을위한음악분수대설치R6(제출EBS)-설비,전기,관리실" xfId="2587"/>
    <cellStyle name="1_이문동(철거수량산출서)-1" xfId="2588"/>
    <cellStyle name="1_이문동구간중랑천변녹화사업(수량산출서, 071127)-최종" xfId="2589"/>
    <cellStyle name="1_일위대가공식2004" xfId="2590"/>
    <cellStyle name="1_일위대가공식2005" xfId="2591"/>
    <cellStyle name="1_폐기물" xfId="2592"/>
    <cellStyle name="1_폐기물집계" xfId="2593"/>
    <cellStyle name="1_현충묘지-수량산출서" xfId="2594"/>
    <cellStyle name="2" xfId="2597"/>
    <cellStyle name="2)" xfId="2598"/>
    <cellStyle name="20% - 강조색1 2" xfId="2637"/>
    <cellStyle name="2_laroux" xfId="2599"/>
    <cellStyle name="2_laroux_ATC-YOON1" xfId="2600"/>
    <cellStyle name="2_단가조사표" xfId="2601"/>
    <cellStyle name="2_단가조사표_1011소각" xfId="2602"/>
    <cellStyle name="2_단가조사표_1113교~1" xfId="2603"/>
    <cellStyle name="2_단가조사표_121내역" xfId="2604"/>
    <cellStyle name="2_단가조사표_객토량" xfId="2605"/>
    <cellStyle name="2_단가조사표_교통센~1" xfId="2606"/>
    <cellStyle name="2_단가조사표_교통센터412" xfId="2607"/>
    <cellStyle name="2_단가조사표_교통수" xfId="2608"/>
    <cellStyle name="2_단가조사표_교통수량산출서" xfId="2609"/>
    <cellStyle name="2_단가조사표_구조물대가 (2)" xfId="2610"/>
    <cellStyle name="2_단가조사표_내역서 (2)" xfId="2611"/>
    <cellStyle name="2_단가조사표_대전관저지구" xfId="2612"/>
    <cellStyle name="2_단가조사표_동측지~1" xfId="2613"/>
    <cellStyle name="2_단가조사표_동측지원422" xfId="2614"/>
    <cellStyle name="2_단가조사표_동측지원512" xfId="2615"/>
    <cellStyle name="2_단가조사표_동측지원524" xfId="2616"/>
    <cellStyle name="2_단가조사표_부대422" xfId="2617"/>
    <cellStyle name="2_단가조사표_부대시설" xfId="2618"/>
    <cellStyle name="2_단가조사표_소각수~1" xfId="2619"/>
    <cellStyle name="2_단가조사표_소각수내역서" xfId="2620"/>
    <cellStyle name="2_단가조사표_소각수목2" xfId="2621"/>
    <cellStyle name="2_단가조사표_수량산출서 (2)" xfId="2622"/>
    <cellStyle name="2_단가조사표_엑스포~1" xfId="2623"/>
    <cellStyle name="2_단가조사표_엑스포한빛1" xfId="2624"/>
    <cellStyle name="2_단가조사표_여객터미널331" xfId="2625"/>
    <cellStyle name="2_단가조사표_여객터미널513" xfId="2626"/>
    <cellStyle name="2_단가조사표_여객터미널629" xfId="2627"/>
    <cellStyle name="2_단가조사표_외곽도로616" xfId="2628"/>
    <cellStyle name="2_단가조사표_원가계~1" xfId="2629"/>
    <cellStyle name="2_단가조사표_유기질" xfId="2630"/>
    <cellStyle name="2_단가조사표_자재조서 (2)" xfId="2631"/>
    <cellStyle name="2_단가조사표_총괄내역" xfId="2632"/>
    <cellStyle name="2_단가조사표_총괄내역 (2)" xfId="2633"/>
    <cellStyle name="2_단가조사표_터미널도로403" xfId="2634"/>
    <cellStyle name="2_단가조사표_터미널도로429" xfId="2635"/>
    <cellStyle name="2_단가조사표_포장일위" xfId="2636"/>
    <cellStyle name="2자리" xfId="2638"/>
    <cellStyle name="??&amp;O?&amp;H?_x0008_??_x0007__x0001__x0001_" xfId="13"/>
    <cellStyle name="??&amp;O?&amp;H?_x0008__x000f__x0007_?_x0007__x0001__x0001_" xfId="12"/>
    <cellStyle name="?W?_laroux" xfId="14"/>
    <cellStyle name="?曹%U?&amp;H?_x0008_?s_x000a__x0007__x0001__x0001_" xfId="15"/>
    <cellStyle name="ALIGNMENT" xfId="2653"/>
    <cellStyle name="AeE¡ⓒ [0]_AO¨uRCN¡¾U " xfId="2651"/>
    <cellStyle name="AeE¡ⓒ_AO¨uRCN¡¾U " xfId="2652"/>
    <cellStyle name="AeE­ [0]_ 2ÆAAþº° " xfId="2641"/>
    <cellStyle name="AeE­ [0]_95³aAN°y¼o·R " xfId="2643"/>
    <cellStyle name="AeE­ [0]_A¾CO½A¼³ " xfId="2645"/>
    <cellStyle name="AeE­_ 2ÆAAþº° " xfId="2646"/>
    <cellStyle name="AeE­_95³aAN°y¼o·R " xfId="2648"/>
    <cellStyle name="AeE­_A¾CO½A¼³ " xfId="2650"/>
    <cellStyle name="A¨­￠￢￠O [0]_AO¨uRCN¡¾U " xfId="2639"/>
    <cellStyle name="A¨­￠￢￠O_AO¨uRCN¡¾U " xfId="2640"/>
    <cellStyle name="AÞ¸¶ [0]_ 2ÆAAþº° " xfId="2655"/>
    <cellStyle name="AÞ¸¶ [0]_95³aAN°y¼o·R " xfId="2657"/>
    <cellStyle name="AÞ¸¶_ 2ÆAAþº° " xfId="2659"/>
    <cellStyle name="AÞ¸¶_95³aAN°y¼o·R " xfId="2661"/>
    <cellStyle name="AÞ¸¶_A¾CO½A¼³ " xfId="2663"/>
    <cellStyle name="CIAIÆU¸μAⓒ" xfId="2674"/>
    <cellStyle name="COST1" xfId="2678"/>
    <cellStyle name="Calc Currency (0)" xfId="2672"/>
    <cellStyle name="Comma0" xfId="2676"/>
    <cellStyle name="Copied" xfId="2677"/>
    <cellStyle name="Curren?_x0012_퐀_x0017_?" xfId="2680"/>
    <cellStyle name="Currency [0]͢laroux_1" xfId="2681"/>
    <cellStyle name="Currency0" xfId="2683"/>
    <cellStyle name="Currency1" xfId="2684"/>
    <cellStyle name="Curre~cy [0]_MATERAL2" xfId="2679"/>
    <cellStyle name="C¡IA¨ª_¡ic¨u¡A¨￢I¨￢¡Æ AN¡Æe " xfId="2664"/>
    <cellStyle name="C￥AØ_ °u¸R½CCa1" xfId="2665"/>
    <cellStyle name="C￥AØ_95³aAN°y¼o·R " xfId="2671"/>
    <cellStyle name="C￥AØ_°­´c (2)" xfId="2667"/>
    <cellStyle name="C￥AØ_¼³°e¿e¿ª" xfId="2669"/>
    <cellStyle name="Date" xfId="2685"/>
    <cellStyle name="Dezimal [0]_laroux" xfId="2686"/>
    <cellStyle name="Dezimal_laroux" xfId="2687"/>
    <cellStyle name="Dollar (zero dec)" xfId="2688"/>
    <cellStyle name="EA" xfId="2689"/>
    <cellStyle name="Entered" xfId="2690"/>
    <cellStyle name="F2" xfId="2691"/>
    <cellStyle name="F3" xfId="2692"/>
    <cellStyle name="F4" xfId="2693"/>
    <cellStyle name="F5" xfId="2694"/>
    <cellStyle name="F6" xfId="2695"/>
    <cellStyle name="F7" xfId="2696"/>
    <cellStyle name="F8" xfId="2697"/>
    <cellStyle name="Fixed" xfId="2698"/>
    <cellStyle name="Grey" xfId="2699"/>
    <cellStyle name="H1" xfId="2700"/>
    <cellStyle name="H2" xfId="2701"/>
    <cellStyle name="HEADER" xfId="2702"/>
    <cellStyle name="Header1" xfId="2703"/>
    <cellStyle name="Header2" xfId="2704"/>
    <cellStyle name="Heading 1" xfId="2705"/>
    <cellStyle name="Heading 2" xfId="2706"/>
    <cellStyle name="Heading1" xfId="2707"/>
    <cellStyle name="Heading2" xfId="2708"/>
    <cellStyle name="Input Cells" xfId="2710"/>
    <cellStyle name="Input [yellow]" xfId="2709"/>
    <cellStyle name="Linked Cells" xfId="2712"/>
    <cellStyle name="M" xfId="2713"/>
    <cellStyle name="M2" xfId="2714"/>
    <cellStyle name="M3" xfId="2715"/>
    <cellStyle name="Milliers [0]_Arabian Spec" xfId="2716"/>
    <cellStyle name="Milliers_Arabian Spec" xfId="2717"/>
    <cellStyle name="Model" xfId="2719"/>
    <cellStyle name="Mon?aire [0]_Arabian Spec" xfId="2720"/>
    <cellStyle name="Mon?aire_Arabian Spec" xfId="2721"/>
    <cellStyle name="Monétaire [0]_CTC" xfId="2722"/>
    <cellStyle name="Monétaire_CTC" xfId="2723"/>
    <cellStyle name="Normal - Style1" xfId="2725"/>
    <cellStyle name="Normal - 유형1" xfId="2726"/>
    <cellStyle name="PSChar" xfId="2734"/>
    <cellStyle name="Percent [2]" xfId="2732"/>
    <cellStyle name="RevList" xfId="2735"/>
    <cellStyle name="STANDARD" xfId="2739"/>
    <cellStyle name="STD" xfId="2740"/>
    <cellStyle name="Subtotal" xfId="2742"/>
    <cellStyle name="Title" xfId="2743"/>
    <cellStyle name="Total" xfId="2746"/>
    <cellStyle name="UM" xfId="2747"/>
    <cellStyle name="W?rung [0]_laroux" xfId="2748"/>
    <cellStyle name="W?rung_laroux" xfId="2749"/>
    <cellStyle name="_01토공" xfId="16"/>
    <cellStyle name="_01토공_00-설계서,원가계산,내역서" xfId="17"/>
    <cellStyle name="_01토공_라멘교 토공" xfId="18"/>
    <cellStyle name="_01토공_라멘교 토공_00-설계서,원가계산,내역서" xfId="19"/>
    <cellStyle name="_01토공_철거" xfId="20"/>
    <cellStyle name="_01토공_철거_00-설계서,원가계산,내역서" xfId="21"/>
    <cellStyle name="_01토공_철거_라멘교 토공" xfId="22"/>
    <cellStyle name="_01토공_철거_라멘교 토공_00-설계서,원가계산,내역서" xfId="23"/>
    <cellStyle name="_Book1" xfId="24"/>
    <cellStyle name="_CM공문양식(품의,협조,대외공문)" xfId="25"/>
    <cellStyle name="_CM양식(대외공문,협조전,품의서)" xfId="26"/>
    <cellStyle name="_FCST (2)" xfId="27"/>
    <cellStyle name="_RE" xfId="28"/>
    <cellStyle name="_갑지(0127)" xfId="29"/>
    <cellStyle name="_공사요율표-031008" xfId="30"/>
    <cellStyle name="_공양식(레인보우스케이프)" xfId="31"/>
    <cellStyle name="_관급-(수배전반)" xfId="32"/>
    <cellStyle name="_내역서" xfId="33"/>
    <cellStyle name="_능말폐기물내역(2단계-총괄)" xfId="34"/>
    <cellStyle name="_대구역사약전내역(자재부제출)" xfId="35"/>
    <cellStyle name="_대원공원설계서" xfId="36"/>
    <cellStyle name="_대원공원설계서_00-설계서,원가계산,내역서" xfId="37"/>
    <cellStyle name="_대원공원설계서_내역서-최종0223" xfId="38"/>
    <cellStyle name="_대원공원설계서_내역서-최종0223_00-설계서,원가계산,내역서" xfId="39"/>
    <cellStyle name="_대원공원설계서_내역서-최종0223_설계서-1" xfId="40"/>
    <cellStyle name="_대원공원설계서_내역서-최종0223_설계서-1_00-설계서,원가계산,내역서" xfId="41"/>
    <cellStyle name="_대원공원설계서_내역서-최종0223_진해자은수량산출서(단지내)" xfId="42"/>
    <cellStyle name="_대원공원설계서_내역서-최종0223_진해자은수량산출서(단지내)_00-설계서,원가계산,내역서" xfId="43"/>
    <cellStyle name="_대원공원설계서_내역서-최종0223_진해자은수량산출서(단지내)_기초산출표-56-128-최종" xfId="44"/>
    <cellStyle name="_대원공원설계서_내역서-최종0223_진해자은수량산출서(단지내)_기초산출표-56-128-최종_00-설계서,원가계산,내역서" xfId="45"/>
    <cellStyle name="_대원공원설계서_내역서-최종0223_진해자은수량산출서(단지내)_기초산출표-56-128-최종_설계서-1" xfId="46"/>
    <cellStyle name="_대원공원설계서_내역서-최종0223_진해자은수량산출서(단지내)_기초산출표-56-128-최종_설계서-1_00-설계서,원가계산,내역서" xfId="47"/>
    <cellStyle name="_대원공원설계서_내역서-최종0223_진해자은수량산출서(단지내)_설계서-1" xfId="48"/>
    <cellStyle name="_대원공원설계서_내역서-최종0223_진해자은수량산출서(단지내)_설계서-1_00-설계서,원가계산,내역서" xfId="49"/>
    <cellStyle name="_대원공원설계서_내역서-최종0223_진해자은수량산출서(단지내)_취합" xfId="50"/>
    <cellStyle name="_대원공원설계서_내역서-최종0223_진해자은수량산출서(단지내)_취합_00-설계서,원가계산,내역서" xfId="51"/>
    <cellStyle name="_대원공원설계서_내역서-최종0223_진해자은수량산출서(단지내)_취합_설계서-1" xfId="52"/>
    <cellStyle name="_대원공원설계서_내역서-최종0223_진해자은수량산출서(단지내)_취합_설계서-1_00-설계서,원가계산,내역서" xfId="53"/>
    <cellStyle name="_대원공원설계서_설계서-1" xfId="54"/>
    <cellStyle name="_대원공원설계서_설계서-1_00-설계서,원가계산,내역서" xfId="55"/>
    <cellStyle name="_대원공원설계서_율동자연공원내 화장실 보수 및 도색공사" xfId="56"/>
    <cellStyle name="_대원공원설계서_율동자연공원내 화장실 보수 및 도색공사_00-설계서,원가계산,내역서" xfId="57"/>
    <cellStyle name="_대원공원설계서_율동자연공원내 화장실 보수 및 도색공사_내역서-최종0223" xfId="58"/>
    <cellStyle name="_대원공원설계서_율동자연공원내 화장실 보수 및 도색공사_내역서-최종0223_00-설계서,원가계산,내역서" xfId="59"/>
    <cellStyle name="_대원공원설계서_율동자연공원내 화장실 보수 및 도색공사_내역서-최종0223_설계서-1" xfId="60"/>
    <cellStyle name="_대원공원설계서_율동자연공원내 화장실 보수 및 도색공사_내역서-최종0223_설계서-1_00-설계서,원가계산,내역서" xfId="61"/>
    <cellStyle name="_대원공원설계서_율동자연공원내 화장실 보수 및 도색공사_내역서-최종0223_진해자은수량산출서(단지내)" xfId="62"/>
    <cellStyle name="_대원공원설계서_율동자연공원내 화장실 보수 및 도색공사_내역서-최종0223_진해자은수량산출서(단지내)_00-설계서,원가계산,내역서" xfId="63"/>
    <cellStyle name="_대원공원설계서_율동자연공원내 화장실 보수 및 도색공사_내역서-최종0223_진해자은수량산출서(단지내)_기초산출표-56-128-최종" xfId="64"/>
    <cellStyle name="_대원공원설계서_율동자연공원내 화장실 보수 및 도색공사_내역서-최종0223_진해자은수량산출서(단지내)_기초산출표-56-128-최종_00-설계서,원가계산,내역서" xfId="65"/>
    <cellStyle name="_대원공원설계서_율동자연공원내 화장실 보수 및 도색공사_내역서-최종0223_진해자은수량산출서(단지내)_기초산출표-56-128-최종_설계서-1" xfId="66"/>
    <cellStyle name="_대원공원설계서_율동자연공원내 화장실 보수 및 도색공사_내역서-최종0223_진해자은수량산출서(단지내)_기초산출표-56-128-최종_설계서-1_00-설계서,원가계산,내역서" xfId="67"/>
    <cellStyle name="_대원공원설계서_율동자연공원내 화장실 보수 및 도색공사_내역서-최종0223_진해자은수량산출서(단지내)_설계서-1" xfId="68"/>
    <cellStyle name="_대원공원설계서_율동자연공원내 화장실 보수 및 도색공사_내역서-최종0223_진해자은수량산출서(단지내)_설계서-1_00-설계서,원가계산,내역서" xfId="69"/>
    <cellStyle name="_대원공원설계서_율동자연공원내 화장실 보수 및 도색공사_내역서-최종0223_진해자은수량산출서(단지내)_취합" xfId="70"/>
    <cellStyle name="_대원공원설계서_율동자연공원내 화장실 보수 및 도색공사_내역서-최종0223_진해자은수량산출서(단지내)_취합_00-설계서,원가계산,내역서" xfId="71"/>
    <cellStyle name="_대원공원설계서_율동자연공원내 화장실 보수 및 도색공사_내역서-최종0223_진해자은수량산출서(단지내)_취합_설계서-1" xfId="72"/>
    <cellStyle name="_대원공원설계서_율동자연공원내 화장실 보수 및 도색공사_내역서-최종0223_진해자은수량산출서(단지내)_취합_설계서-1_00-설계서,원가계산,내역서" xfId="73"/>
    <cellStyle name="_대원공원설계서_율동자연공원내 화장실 보수 및 도색공사_설계서-1" xfId="74"/>
    <cellStyle name="_대원공원설계서_율동자연공원내 화장실 보수 및 도색공사_설계서-1_00-설계서,원가계산,내역서" xfId="75"/>
    <cellStyle name="_대원공원설계서_율동자연공원내 화장실 보수 및 도색공사_진해자은수량산출서(단지내)" xfId="76"/>
    <cellStyle name="_대원공원설계서_율동자연공원내 화장실 보수 및 도색공사_진해자은수량산출서(단지내)_00-설계서,원가계산,내역서" xfId="77"/>
    <cellStyle name="_대원공원설계서_율동자연공원내 화장실 보수 및 도색공사_진해자은수량산출서(단지내)_기초산출표-56-128-최종" xfId="78"/>
    <cellStyle name="_대원공원설계서_율동자연공원내 화장실 보수 및 도색공사_진해자은수량산출서(단지내)_기초산출표-56-128-최종_00-설계서,원가계산,내역서" xfId="79"/>
    <cellStyle name="_대원공원설계서_율동자연공원내 화장실 보수 및 도색공사_진해자은수량산출서(단지내)_기초산출표-56-128-최종_설계서-1" xfId="80"/>
    <cellStyle name="_대원공원설계서_율동자연공원내 화장실 보수 및 도색공사_진해자은수량산출서(단지내)_기초산출표-56-128-최종_설계서-1_00-설계서,원가계산,내역서" xfId="81"/>
    <cellStyle name="_대원공원설계서_율동자연공원내 화장실 보수 및 도색공사_진해자은수량산출서(단지내)_설계서-1" xfId="82"/>
    <cellStyle name="_대원공원설계서_율동자연공원내 화장실 보수 및 도색공사_진해자은수량산출서(단지내)_설계서-1_00-설계서,원가계산,내역서" xfId="83"/>
    <cellStyle name="_대원공원설계서_율동자연공원내 화장실 보수 및 도색공사_진해자은수량산출서(단지내)_취합" xfId="84"/>
    <cellStyle name="_대원공원설계서_율동자연공원내 화장실 보수 및 도색공사_진해자은수량산출서(단지내)_취합_00-설계서,원가계산,내역서" xfId="85"/>
    <cellStyle name="_대원공원설계서_율동자연공원내 화장실 보수 및 도색공사_진해자은수량산출서(단지내)_취합_설계서-1" xfId="86"/>
    <cellStyle name="_대원공원설계서_율동자연공원내 화장실 보수 및 도색공사_진해자은수량산출서(단지내)_취합_설계서-1_00-설계서,원가계산,내역서" xfId="87"/>
    <cellStyle name="_대원공원설계서_율동자연공원내 휴게편의점 도색작업-할증-천정면적추가" xfId="88"/>
    <cellStyle name="_대원공원설계서_율동자연공원내 휴게편의점 도색작업-할증-천정면적추가_00-설계서,원가계산,내역서" xfId="89"/>
    <cellStyle name="_대원공원설계서_율동자연공원내 휴게편의점 도색작업-할증-천정면적추가_내역서-최종0223" xfId="90"/>
    <cellStyle name="_대원공원설계서_율동자연공원내 휴게편의점 도색작업-할증-천정면적추가_내역서-최종0223_00-설계서,원가계산,내역서" xfId="91"/>
    <cellStyle name="_대원공원설계서_율동자연공원내 휴게편의점 도색작업-할증-천정면적추가_내역서-최종0223_설계서-1" xfId="92"/>
    <cellStyle name="_대원공원설계서_율동자연공원내 휴게편의점 도색작업-할증-천정면적추가_내역서-최종0223_설계서-1_00-설계서,원가계산,내역서" xfId="93"/>
    <cellStyle name="_대원공원설계서_율동자연공원내 휴게편의점 도색작업-할증-천정면적추가_내역서-최종0223_진해자은수량산출서(단지내)" xfId="94"/>
    <cellStyle name="_대원공원설계서_율동자연공원내 휴게편의점 도색작업-할증-천정면적추가_내역서-최종0223_진해자은수량산출서(단지내)_00-설계서,원가계산,내역서" xfId="95"/>
    <cellStyle name="_대원공원설계서_율동자연공원내 휴게편의점 도색작업-할증-천정면적추가_내역서-최종0223_진해자은수량산출서(단지내)_기초산출표-56-128-최종" xfId="96"/>
    <cellStyle name="_대원공원설계서_율동자연공원내 휴게편의점 도색작업-할증-천정면적추가_내역서-최종0223_진해자은수량산출서(단지내)_기초산출표-56-128-최종_00-설계서,원가계산,내역서" xfId="97"/>
    <cellStyle name="_대원공원설계서_율동자연공원내 휴게편의점 도색작업-할증-천정면적추가_내역서-최종0223_진해자은수량산출서(단지내)_기초산출표-56-128-최종_설계서-1" xfId="98"/>
    <cellStyle name="_대원공원설계서_율동자연공원내 휴게편의점 도색작업-할증-천정면적추가_내역서-최종0223_진해자은수량산출서(단지내)_기초산출표-56-128-최종_설계서-1_00-설계서,원가계산,내역서" xfId="99"/>
    <cellStyle name="_대원공원설계서_율동자연공원내 휴게편의점 도색작업-할증-천정면적추가_내역서-최종0223_진해자은수량산출서(단지내)_설계서-1" xfId="100"/>
    <cellStyle name="_대원공원설계서_율동자연공원내 휴게편의점 도색작업-할증-천정면적추가_내역서-최종0223_진해자은수량산출서(단지내)_설계서-1_00-설계서,원가계산,내역서" xfId="101"/>
    <cellStyle name="_대원공원설계서_율동자연공원내 휴게편의점 도색작업-할증-천정면적추가_내역서-최종0223_진해자은수량산출서(단지내)_취합" xfId="102"/>
    <cellStyle name="_대원공원설계서_율동자연공원내 휴게편의점 도색작업-할증-천정면적추가_내역서-최종0223_진해자은수량산출서(단지내)_취합_00-설계서,원가계산,내역서" xfId="103"/>
    <cellStyle name="_대원공원설계서_율동자연공원내 휴게편의점 도색작업-할증-천정면적추가_내역서-최종0223_진해자은수량산출서(단지내)_취합_설계서-1" xfId="104"/>
    <cellStyle name="_대원공원설계서_율동자연공원내 휴게편의점 도색작업-할증-천정면적추가_내역서-최종0223_진해자은수량산출서(단지내)_취합_설계서-1_00-설계서,원가계산,내역서" xfId="105"/>
    <cellStyle name="_대원공원설계서_율동자연공원내 휴게편의점 도색작업-할증-천정면적추가_설계서-1" xfId="106"/>
    <cellStyle name="_대원공원설계서_율동자연공원내 휴게편의점 도색작업-할증-천정면적추가_설계서-1_00-설계서,원가계산,내역서" xfId="107"/>
    <cellStyle name="_대원공원설계서_율동자연공원내 휴게편의점 도색작업-할증-천정면적추가_진해자은수량산출서(단지내)" xfId="108"/>
    <cellStyle name="_대원공원설계서_율동자연공원내 휴게편의점 도색작업-할증-천정면적추가_진해자은수량산출서(단지내)_00-설계서,원가계산,내역서" xfId="109"/>
    <cellStyle name="_대원공원설계서_율동자연공원내 휴게편의점 도색작업-할증-천정면적추가_진해자은수량산출서(단지내)_기초산출표-56-128-최종" xfId="110"/>
    <cellStyle name="_대원공원설계서_율동자연공원내 휴게편의점 도색작업-할증-천정면적추가_진해자은수량산출서(단지내)_기초산출표-56-128-최종_00-설계서,원가계산,내역서" xfId="111"/>
    <cellStyle name="_대원공원설계서_율동자연공원내 휴게편의점 도색작업-할증-천정면적추가_진해자은수량산출서(단지내)_기초산출표-56-128-최종_설계서-1" xfId="112"/>
    <cellStyle name="_대원공원설계서_율동자연공원내 휴게편의점 도색작업-할증-천정면적추가_진해자은수량산출서(단지내)_기초산출표-56-128-최종_설계서-1_00-설계서,원가계산,내역서" xfId="113"/>
    <cellStyle name="_대원공원설계서_율동자연공원내 휴게편의점 도색작업-할증-천정면적추가_진해자은수량산출서(단지내)_설계서-1" xfId="114"/>
    <cellStyle name="_대원공원설계서_율동자연공원내 휴게편의점 도색작업-할증-천정면적추가_진해자은수량산출서(단지내)_설계서-1_00-설계서,원가계산,내역서" xfId="115"/>
    <cellStyle name="_대원공원설계서_율동자연공원내 휴게편의점 도색작업-할증-천정면적추가_진해자은수량산출서(단지내)_취합" xfId="116"/>
    <cellStyle name="_대원공원설계서_율동자연공원내 휴게편의점 도색작업-할증-천정면적추가_진해자은수량산출서(단지내)_취합_00-설계서,원가계산,내역서" xfId="117"/>
    <cellStyle name="_대원공원설계서_율동자연공원내 휴게편의점 도색작업-할증-천정면적추가_진해자은수량산출서(단지내)_취합_설계서-1" xfId="118"/>
    <cellStyle name="_대원공원설계서_율동자연공원내 휴게편의점 도색작업-할증-천정면적추가_진해자은수량산출서(단지내)_취합_설계서-1_00-설계서,원가계산,내역서" xfId="119"/>
    <cellStyle name="_대원공원설계서_진해자은수량산출서(단지내)" xfId="120"/>
    <cellStyle name="_대원공원설계서_진해자은수량산출서(단지내)_00-설계서,원가계산,내역서" xfId="121"/>
    <cellStyle name="_대원공원설계서_진해자은수량산출서(단지내)_기초산출표-56-128-최종" xfId="122"/>
    <cellStyle name="_대원공원설계서_진해자은수량산출서(단지내)_기초산출표-56-128-최종_00-설계서,원가계산,내역서" xfId="123"/>
    <cellStyle name="_대원공원설계서_진해자은수량산출서(단지내)_기초산출표-56-128-최종_설계서-1" xfId="124"/>
    <cellStyle name="_대원공원설계서_진해자은수량산출서(단지내)_기초산출표-56-128-최종_설계서-1_00-설계서,원가계산,내역서" xfId="125"/>
    <cellStyle name="_대원공원설계서_진해자은수량산출서(단지내)_설계서-1" xfId="126"/>
    <cellStyle name="_대원공원설계서_진해자은수량산출서(단지내)_설계서-1_00-설계서,원가계산,내역서" xfId="127"/>
    <cellStyle name="_대원공원설계서_진해자은수량산출서(단지내)_취합" xfId="128"/>
    <cellStyle name="_대원공원설계서_진해자은수량산출서(단지내)_취합_00-설계서,원가계산,내역서" xfId="129"/>
    <cellStyle name="_대원공원설계서_진해자은수량산출서(단지내)_취합_설계서-1" xfId="130"/>
    <cellStyle name="_대원공원설계서_진해자은수량산출서(단지내)_취합_설계서-1_00-설계서,원가계산,내역서" xfId="131"/>
    <cellStyle name="_동래점 토공사 가시설발주2-김대리님" xfId="132"/>
    <cellStyle name="_라멘교 토공" xfId="133"/>
    <cellStyle name="_라멘교 토공_00-설계서,원가계산,내역서" xfId="134"/>
    <cellStyle name="_롯데본점 신관지하1층" xfId="135"/>
    <cellStyle name="_명품가약전" xfId="136"/>
    <cellStyle name="_명품가조명제어" xfId="137"/>
    <cellStyle name="_방동" xfId="138"/>
    <cellStyle name="_방동_00-설계서,원가계산,내역서" xfId="139"/>
    <cellStyle name="_방동_03구조~1" xfId="140"/>
    <cellStyle name="_방동_03구조~1_00-설계서,원가계산,내역서" xfId="141"/>
    <cellStyle name="_방동_03구조~1_라멘교 토공" xfId="142"/>
    <cellStyle name="_방동_03구조~1_라멘교 토공_00-설계서,원가계산,내역서" xfId="143"/>
    <cellStyle name="_방동_03구조~1_포장" xfId="144"/>
    <cellStyle name="_방동_03구조~1_포장_00-설계서,원가계산,내역서" xfId="145"/>
    <cellStyle name="_방동_03구조~1_포장_라멘교 토공" xfId="146"/>
    <cellStyle name="_방동_03구조~1_포장_라멘교 토공_00-설계서,원가계산,내역서" xfId="147"/>
    <cellStyle name="_방동_03구조물공" xfId="148"/>
    <cellStyle name="_방동_03구조물공_00-설계서,원가계산,내역서" xfId="149"/>
    <cellStyle name="_방동_03구조물공_라멘교 토공" xfId="150"/>
    <cellStyle name="_방동_03구조물공_라멘교 토공_00-설계서,원가계산,내역서" xfId="151"/>
    <cellStyle name="_방동_03구조물공_포장" xfId="152"/>
    <cellStyle name="_방동_03구조물공_포장_00-설계서,원가계산,내역서" xfId="153"/>
    <cellStyle name="_방동_03구조물공_포장_라멘교 토공" xfId="154"/>
    <cellStyle name="_방동_03구조물공_포장_라멘교 토공_00-설계서,원가계산,내역서" xfId="155"/>
    <cellStyle name="_방동_내역서-최종0223" xfId="156"/>
    <cellStyle name="_방동_내역서-최종0223_00-설계서,원가계산,내역서" xfId="157"/>
    <cellStyle name="_방동_내역서-최종0223_설계서-1" xfId="158"/>
    <cellStyle name="_방동_내역서-최종0223_설계서-1_00-설계서,원가계산,내역서" xfId="159"/>
    <cellStyle name="_방동_내역서-최종0223_진해자은수량산출서(단지내)" xfId="160"/>
    <cellStyle name="_방동_내역서-최종0223_진해자은수량산출서(단지내)_00-설계서,원가계산,내역서" xfId="161"/>
    <cellStyle name="_방동_내역서-최종0223_진해자은수량산출서(단지내)_기초산출표-56-128-최종" xfId="162"/>
    <cellStyle name="_방동_내역서-최종0223_진해자은수량산출서(단지내)_기초산출표-56-128-최종_00-설계서,원가계산,내역서" xfId="163"/>
    <cellStyle name="_방동_내역서-최종0223_진해자은수량산출서(단지내)_기초산출표-56-128-최종_설계서-1" xfId="164"/>
    <cellStyle name="_방동_내역서-최종0223_진해자은수량산출서(단지내)_기초산출표-56-128-최종_설계서-1_00-설계서,원가계산,내역서" xfId="165"/>
    <cellStyle name="_방동_내역서-최종0223_진해자은수량산출서(단지내)_설계서-1" xfId="166"/>
    <cellStyle name="_방동_내역서-최종0223_진해자은수량산출서(단지내)_설계서-1_00-설계서,원가계산,내역서" xfId="167"/>
    <cellStyle name="_방동_내역서-최종0223_진해자은수량산출서(단지내)_취합" xfId="168"/>
    <cellStyle name="_방동_내역서-최종0223_진해자은수량산출서(단지내)_취합_00-설계서,원가계산,내역서" xfId="169"/>
    <cellStyle name="_방동_내역서-최종0223_진해자은수량산출서(단지내)_취합_설계서-1" xfId="170"/>
    <cellStyle name="_방동_내역서-최종0223_진해자은수량산출서(단지내)_취합_설계서-1_00-설계서,원가계산,내역서" xfId="171"/>
    <cellStyle name="_방동_동막리소교량" xfId="172"/>
    <cellStyle name="_방동_동막리소교량_00-설계서,원가계산,내역서" xfId="173"/>
    <cellStyle name="_방동_동막리소교량_라멘교 토공" xfId="174"/>
    <cellStyle name="_방동_동막리소교량_라멘교 토공_00-설계서,원가계산,내역서" xfId="175"/>
    <cellStyle name="_방동_동막리소교량_포장" xfId="176"/>
    <cellStyle name="_방동_동막리소교량_포장_00-설계서,원가계산,내역서" xfId="177"/>
    <cellStyle name="_방동_동막리소교량_포장_라멘교 토공" xfId="178"/>
    <cellStyle name="_방동_동막리소교량_포장_라멘교 토공_00-설계서,원가계산,내역서" xfId="179"/>
    <cellStyle name="_방동_라멘교 토공" xfId="180"/>
    <cellStyle name="_방동_라멘교 토공_00-설계서,원가계산,내역서" xfId="181"/>
    <cellStyle name="_방동_마현12~1" xfId="182"/>
    <cellStyle name="_방동_마현12~1_00-설계서,원가계산,내역서" xfId="183"/>
    <cellStyle name="_방동_마현12~1_라멘교 토공" xfId="184"/>
    <cellStyle name="_방동_마현12~1_라멘교 토공_00-설계서,원가계산,내역서" xfId="185"/>
    <cellStyle name="_방동_마현12~1_포장" xfId="186"/>
    <cellStyle name="_방동_마현12~1_포장_00-설계서,원가계산,내역서" xfId="187"/>
    <cellStyle name="_방동_마현12~1_포장_라멘교 토공" xfId="188"/>
    <cellStyle name="_방동_마현12~1_포장_라멘교 토공_00-설계서,원가계산,내역서" xfId="189"/>
    <cellStyle name="_방동_문혜3리" xfId="190"/>
    <cellStyle name="_방동_문혜3리_00-설계서,원가계산,내역서" xfId="191"/>
    <cellStyle name="_방동_문혜3리_라멘교 토공" xfId="192"/>
    <cellStyle name="_방동_문혜3리_라멘교 토공_00-설계서,원가계산,내역서" xfId="193"/>
    <cellStyle name="_방동_문혜3리_포장" xfId="194"/>
    <cellStyle name="_방동_문혜3리_포장_00-설계서,원가계산,내역서" xfId="195"/>
    <cellStyle name="_방동_문혜3리_포장_라멘교 토공" xfId="196"/>
    <cellStyle name="_방동_문혜3리_포장_라멘교 토공_00-설계서,원가계산,내역서" xfId="197"/>
    <cellStyle name="_방동_방동" xfId="198"/>
    <cellStyle name="_방동_방동_00-설계서,원가계산,내역서" xfId="199"/>
    <cellStyle name="_방동_방동_내역서-최종0223" xfId="200"/>
    <cellStyle name="_방동_방동_내역서-최종0223_00-설계서,원가계산,내역서" xfId="201"/>
    <cellStyle name="_방동_방동_내역서-최종0223_설계서-1" xfId="202"/>
    <cellStyle name="_방동_방동_내역서-최종0223_설계서-1_00-설계서,원가계산,내역서" xfId="203"/>
    <cellStyle name="_방동_방동_내역서-최종0223_진해자은수량산출서(단지내)" xfId="204"/>
    <cellStyle name="_방동_방동_내역서-최종0223_진해자은수량산출서(단지내)_00-설계서,원가계산,내역서" xfId="205"/>
    <cellStyle name="_방동_방동_내역서-최종0223_진해자은수량산출서(단지내)_기초산출표-56-128-최종" xfId="206"/>
    <cellStyle name="_방동_방동_내역서-최종0223_진해자은수량산출서(단지내)_기초산출표-56-128-최종_00-설계서,원가계산,내역서" xfId="207"/>
    <cellStyle name="_방동_방동_내역서-최종0223_진해자은수량산출서(단지내)_기초산출표-56-128-최종_설계서-1" xfId="208"/>
    <cellStyle name="_방동_방동_내역서-최종0223_진해자은수량산출서(단지내)_기초산출표-56-128-최종_설계서-1_00-설계서,원가계산,내역서" xfId="209"/>
    <cellStyle name="_방동_방동_내역서-최종0223_진해자은수량산출서(단지내)_설계서-1" xfId="210"/>
    <cellStyle name="_방동_방동_내역서-최종0223_진해자은수량산출서(단지내)_설계서-1_00-설계서,원가계산,내역서" xfId="211"/>
    <cellStyle name="_방동_방동_내역서-최종0223_진해자은수량산출서(단지내)_취합" xfId="212"/>
    <cellStyle name="_방동_방동_내역서-최종0223_진해자은수량산출서(단지내)_취합_00-설계서,원가계산,내역서" xfId="213"/>
    <cellStyle name="_방동_방동_내역서-최종0223_진해자은수량산출서(단지내)_취합_설계서-1" xfId="214"/>
    <cellStyle name="_방동_방동_내역서-최종0223_진해자은수량산출서(단지내)_취합_설계서-1_00-설계서,원가계산,내역서" xfId="215"/>
    <cellStyle name="_방동_방동_라멘교 토공" xfId="216"/>
    <cellStyle name="_방동_방동_라멘교 토공_00-설계서,원가계산,내역서" xfId="217"/>
    <cellStyle name="_방동_방동_설계서-1" xfId="218"/>
    <cellStyle name="_방동_방동_설계서-1_00-설계서,원가계산,내역서" xfId="219"/>
    <cellStyle name="_방동_방동_율동자연공원내 화장실 보수 및 도색공사" xfId="220"/>
    <cellStyle name="_방동_방동_율동자연공원내 화장실 보수 및 도색공사_00-설계서,원가계산,내역서" xfId="221"/>
    <cellStyle name="_방동_방동_율동자연공원내 화장실 보수 및 도색공사_내역서-최종0223" xfId="222"/>
    <cellStyle name="_방동_방동_율동자연공원내 화장실 보수 및 도색공사_내역서-최종0223_00-설계서,원가계산,내역서" xfId="223"/>
    <cellStyle name="_방동_방동_율동자연공원내 화장실 보수 및 도색공사_내역서-최종0223_설계서-1" xfId="224"/>
    <cellStyle name="_방동_방동_율동자연공원내 화장실 보수 및 도색공사_내역서-최종0223_설계서-1_00-설계서,원가계산,내역서" xfId="225"/>
    <cellStyle name="_방동_방동_율동자연공원내 화장실 보수 및 도색공사_내역서-최종0223_진해자은수량산출서(단지내)" xfId="226"/>
    <cellStyle name="_방동_방동_율동자연공원내 화장실 보수 및 도색공사_내역서-최종0223_진해자은수량산출서(단지내)_00-설계서,원가계산,내역서" xfId="227"/>
    <cellStyle name="_방동_방동_율동자연공원내 화장실 보수 및 도색공사_내역서-최종0223_진해자은수량산출서(단지내)_기초산출표-56-128-최종" xfId="228"/>
    <cellStyle name="_방동_방동_율동자연공원내 화장실 보수 및 도색공사_내역서-최종0223_진해자은수량산출서(단지내)_기초산출표-56-128-최종_00-설계서,원가계산,내역서" xfId="229"/>
    <cellStyle name="_방동_방동_율동자연공원내 화장실 보수 및 도색공사_내역서-최종0223_진해자은수량산출서(단지내)_기초산출표-56-128-최종_설계서-1" xfId="230"/>
    <cellStyle name="_방동_방동_율동자연공원내 화장실 보수 및 도색공사_내역서-최종0223_진해자은수량산출서(단지내)_기초산출표-56-128-최종_설계서-1_00-설계서,원가계산,내역서" xfId="231"/>
    <cellStyle name="_방동_방동_율동자연공원내 화장실 보수 및 도색공사_내역서-최종0223_진해자은수량산출서(단지내)_설계서-1" xfId="232"/>
    <cellStyle name="_방동_방동_율동자연공원내 화장실 보수 및 도색공사_내역서-최종0223_진해자은수량산출서(단지내)_설계서-1_00-설계서,원가계산,내역서" xfId="233"/>
    <cellStyle name="_방동_방동_율동자연공원내 화장실 보수 및 도색공사_내역서-최종0223_진해자은수량산출서(단지내)_취합" xfId="234"/>
    <cellStyle name="_방동_방동_율동자연공원내 화장실 보수 및 도색공사_내역서-최종0223_진해자은수량산출서(단지내)_취합_00-설계서,원가계산,내역서" xfId="235"/>
    <cellStyle name="_방동_방동_율동자연공원내 화장실 보수 및 도색공사_내역서-최종0223_진해자은수량산출서(단지내)_취합_설계서-1" xfId="236"/>
    <cellStyle name="_방동_방동_율동자연공원내 화장실 보수 및 도색공사_내역서-최종0223_진해자은수량산출서(단지내)_취합_설계서-1_00-설계서,원가계산,내역서" xfId="237"/>
    <cellStyle name="_방동_방동_율동자연공원내 화장실 보수 및 도색공사_설계서-1" xfId="238"/>
    <cellStyle name="_방동_방동_율동자연공원내 화장실 보수 및 도색공사_설계서-1_00-설계서,원가계산,내역서" xfId="239"/>
    <cellStyle name="_방동_방동_율동자연공원내 화장실 보수 및 도색공사_진해자은수량산출서(단지내)" xfId="240"/>
    <cellStyle name="_방동_방동_율동자연공원내 화장실 보수 및 도색공사_진해자은수량산출서(단지내)_00-설계서,원가계산,내역서" xfId="241"/>
    <cellStyle name="_방동_방동_율동자연공원내 화장실 보수 및 도색공사_진해자은수량산출서(단지내)_기초산출표-56-128-최종" xfId="242"/>
    <cellStyle name="_방동_방동_율동자연공원내 화장실 보수 및 도색공사_진해자은수량산출서(단지내)_기초산출표-56-128-최종_00-설계서,원가계산,내역서" xfId="243"/>
    <cellStyle name="_방동_방동_율동자연공원내 화장실 보수 및 도색공사_진해자은수량산출서(단지내)_기초산출표-56-128-최종_설계서-1" xfId="244"/>
    <cellStyle name="_방동_방동_율동자연공원내 화장실 보수 및 도색공사_진해자은수량산출서(단지내)_기초산출표-56-128-최종_설계서-1_00-설계서,원가계산,내역서" xfId="245"/>
    <cellStyle name="_방동_방동_율동자연공원내 화장실 보수 및 도색공사_진해자은수량산출서(단지내)_설계서-1" xfId="246"/>
    <cellStyle name="_방동_방동_율동자연공원내 화장실 보수 및 도색공사_진해자은수량산출서(단지내)_설계서-1_00-설계서,원가계산,내역서" xfId="247"/>
    <cellStyle name="_방동_방동_율동자연공원내 화장실 보수 및 도색공사_진해자은수량산출서(단지내)_취합" xfId="248"/>
    <cellStyle name="_방동_방동_율동자연공원내 화장실 보수 및 도색공사_진해자은수량산출서(단지내)_취합_00-설계서,원가계산,내역서" xfId="249"/>
    <cellStyle name="_방동_방동_율동자연공원내 화장실 보수 및 도색공사_진해자은수량산출서(단지내)_취합_설계서-1" xfId="250"/>
    <cellStyle name="_방동_방동_율동자연공원내 화장실 보수 및 도색공사_진해자은수량산출서(단지내)_취합_설계서-1_00-설계서,원가계산,내역서" xfId="251"/>
    <cellStyle name="_방동_방동_율동자연공원내 휴게편의점 도색작업-할증-천정면적추가" xfId="252"/>
    <cellStyle name="_방동_방동_율동자연공원내 휴게편의점 도색작업-할증-천정면적추가_00-설계서,원가계산,내역서" xfId="253"/>
    <cellStyle name="_방동_방동_율동자연공원내 휴게편의점 도색작업-할증-천정면적추가_내역서-최종0223" xfId="254"/>
    <cellStyle name="_방동_방동_율동자연공원내 휴게편의점 도색작업-할증-천정면적추가_내역서-최종0223_00-설계서,원가계산,내역서" xfId="255"/>
    <cellStyle name="_방동_방동_율동자연공원내 휴게편의점 도색작업-할증-천정면적추가_내역서-최종0223_설계서-1" xfId="256"/>
    <cellStyle name="_방동_방동_율동자연공원내 휴게편의점 도색작업-할증-천정면적추가_내역서-최종0223_설계서-1_00-설계서,원가계산,내역서" xfId="257"/>
    <cellStyle name="_방동_방동_율동자연공원내 휴게편의점 도색작업-할증-천정면적추가_내역서-최종0223_진해자은수량산출서(단지내)" xfId="258"/>
    <cellStyle name="_방동_방동_율동자연공원내 휴게편의점 도색작업-할증-천정면적추가_내역서-최종0223_진해자은수량산출서(단지내)_00-설계서,원가계산,내역서" xfId="259"/>
    <cellStyle name="_방동_방동_율동자연공원내 휴게편의점 도색작업-할증-천정면적추가_내역서-최종0223_진해자은수량산출서(단지내)_기초산출표-56-128-최종" xfId="260"/>
    <cellStyle name="_방동_방동_율동자연공원내 휴게편의점 도색작업-할증-천정면적추가_내역서-최종0223_진해자은수량산출서(단지내)_기초산출표-56-128-최종_00-설계서,원가계산,내역서" xfId="261"/>
    <cellStyle name="_방동_방동_율동자연공원내 휴게편의점 도색작업-할증-천정면적추가_내역서-최종0223_진해자은수량산출서(단지내)_기초산출표-56-128-최종_설계서-1" xfId="262"/>
    <cellStyle name="_방동_방동_율동자연공원내 휴게편의점 도색작업-할증-천정면적추가_내역서-최종0223_진해자은수량산출서(단지내)_기초산출표-56-128-최종_설계서-1_00-설계서,원가계산,내역서" xfId="263"/>
    <cellStyle name="_방동_방동_율동자연공원내 휴게편의점 도색작업-할증-천정면적추가_내역서-최종0223_진해자은수량산출서(단지내)_설계서-1" xfId="264"/>
    <cellStyle name="_방동_방동_율동자연공원내 휴게편의점 도색작업-할증-천정면적추가_내역서-최종0223_진해자은수량산출서(단지내)_설계서-1_00-설계서,원가계산,내역서" xfId="265"/>
    <cellStyle name="_방동_방동_율동자연공원내 휴게편의점 도색작업-할증-천정면적추가_내역서-최종0223_진해자은수량산출서(단지내)_취합" xfId="266"/>
    <cellStyle name="_방동_방동_율동자연공원내 휴게편의점 도색작업-할증-천정면적추가_내역서-최종0223_진해자은수량산출서(단지내)_취합_00-설계서,원가계산,내역서" xfId="267"/>
    <cellStyle name="_방동_방동_율동자연공원내 휴게편의점 도색작업-할증-천정면적추가_내역서-최종0223_진해자은수량산출서(단지내)_취합_설계서-1" xfId="268"/>
    <cellStyle name="_방동_방동_율동자연공원내 휴게편의점 도색작업-할증-천정면적추가_내역서-최종0223_진해자은수량산출서(단지내)_취합_설계서-1_00-설계서,원가계산,내역서" xfId="269"/>
    <cellStyle name="_방동_방동_율동자연공원내 휴게편의점 도색작업-할증-천정면적추가_설계서-1" xfId="270"/>
    <cellStyle name="_방동_방동_율동자연공원내 휴게편의점 도색작업-할증-천정면적추가_설계서-1_00-설계서,원가계산,내역서" xfId="271"/>
    <cellStyle name="_방동_방동_율동자연공원내 휴게편의점 도색작업-할증-천정면적추가_진해자은수량산출서(단지내)" xfId="272"/>
    <cellStyle name="_방동_방동_율동자연공원내 휴게편의점 도색작업-할증-천정면적추가_진해자은수량산출서(단지내)_00-설계서,원가계산,내역서" xfId="273"/>
    <cellStyle name="_방동_방동_율동자연공원내 휴게편의점 도색작업-할증-천정면적추가_진해자은수량산출서(단지내)_기초산출표-56-128-최종" xfId="274"/>
    <cellStyle name="_방동_방동_율동자연공원내 휴게편의점 도색작업-할증-천정면적추가_진해자은수량산출서(단지내)_기초산출표-56-128-최종_00-설계서,원가계산,내역서" xfId="275"/>
    <cellStyle name="_방동_방동_율동자연공원내 휴게편의점 도색작업-할증-천정면적추가_진해자은수량산출서(단지내)_기초산출표-56-128-최종_설계서-1" xfId="276"/>
    <cellStyle name="_방동_방동_율동자연공원내 휴게편의점 도색작업-할증-천정면적추가_진해자은수량산출서(단지내)_기초산출표-56-128-최종_설계서-1_00-설계서,원가계산,내역서" xfId="277"/>
    <cellStyle name="_방동_방동_율동자연공원내 휴게편의점 도색작업-할증-천정면적추가_진해자은수량산출서(단지내)_설계서-1" xfId="278"/>
    <cellStyle name="_방동_방동_율동자연공원내 휴게편의점 도색작업-할증-천정면적추가_진해자은수량산출서(단지내)_설계서-1_00-설계서,원가계산,내역서" xfId="279"/>
    <cellStyle name="_방동_방동_율동자연공원내 휴게편의점 도색작업-할증-천정면적추가_진해자은수량산출서(단지내)_취합" xfId="280"/>
    <cellStyle name="_방동_방동_율동자연공원내 휴게편의점 도색작업-할증-천정면적추가_진해자은수량산출서(단지내)_취합_00-설계서,원가계산,내역서" xfId="281"/>
    <cellStyle name="_방동_방동_율동자연공원내 휴게편의점 도색작업-할증-천정면적추가_진해자은수량산출서(단지내)_취합_설계서-1" xfId="282"/>
    <cellStyle name="_방동_방동_율동자연공원내 휴게편의점 도색작업-할증-천정면적추가_진해자은수량산출서(단지내)_취합_설계서-1_00-설계서,원가계산,내역서" xfId="283"/>
    <cellStyle name="_방동_방동_이문동구간중랑천변녹화사업(수량산출서, 071127)-최종" xfId="284"/>
    <cellStyle name="_방동_방동_이문동구간중랑천변녹화사업(수량산출서, 071127)-최종_00-설계서,원가계산,내역서" xfId="285"/>
    <cellStyle name="_방동_방동_진해자은수량산출서(단지내)" xfId="286"/>
    <cellStyle name="_방동_방동_진해자은수량산출서(단지내)_00-설계서,원가계산,내역서" xfId="287"/>
    <cellStyle name="_방동_방동_진해자은수량산출서(단지내)_기초산출표-56-128-최종" xfId="288"/>
    <cellStyle name="_방동_방동_진해자은수량산출서(단지내)_기초산출표-56-128-최종_00-설계서,원가계산,내역서" xfId="289"/>
    <cellStyle name="_방동_방동_진해자은수량산출서(단지내)_기초산출표-56-128-최종_설계서-1" xfId="290"/>
    <cellStyle name="_방동_방동_진해자은수량산출서(단지내)_기초산출표-56-128-최종_설계서-1_00-설계서,원가계산,내역서" xfId="291"/>
    <cellStyle name="_방동_방동_진해자은수량산출서(단지내)_설계서-1" xfId="292"/>
    <cellStyle name="_방동_방동_진해자은수량산출서(단지내)_설계서-1_00-설계서,원가계산,내역서" xfId="293"/>
    <cellStyle name="_방동_방동_진해자은수량산출서(단지내)_취합" xfId="294"/>
    <cellStyle name="_방동_방동_진해자은수량산출서(단지내)_취합_00-설계서,원가계산,내역서" xfId="295"/>
    <cellStyle name="_방동_방동_진해자은수량산출서(단지내)_취합_설계서-1" xfId="296"/>
    <cellStyle name="_방동_방동_진해자은수량산출서(단지내)_취합_설계서-1_00-설계서,원가계산,내역서" xfId="297"/>
    <cellStyle name="_방동_방동_포장" xfId="298"/>
    <cellStyle name="_방동_방동_포장_00-설계서,원가계산,내역서" xfId="299"/>
    <cellStyle name="_방동_방동_포장_라멘교 토공" xfId="300"/>
    <cellStyle name="_방동_방동_포장_라멘교 토공_00-설계서,원가계산,내역서" xfId="301"/>
    <cellStyle name="_방동_산양2리지구" xfId="302"/>
    <cellStyle name="_방동_산양2리지구_00-설계서,원가계산,내역서" xfId="303"/>
    <cellStyle name="_방동_산양2리지구_라멘교 토공" xfId="304"/>
    <cellStyle name="_방동_산양2리지구_라멘교 토공_00-설계서,원가계산,내역서" xfId="305"/>
    <cellStyle name="_방동_산양2리지구_포장" xfId="306"/>
    <cellStyle name="_방동_산양2리지구_포장_00-설계서,원가계산,내역서" xfId="307"/>
    <cellStyle name="_방동_산양2리지구_포장_라멘교 토공" xfId="308"/>
    <cellStyle name="_방동_산양2리지구_포장_라멘교 토공_00-설계서,원가계산,내역서" xfId="309"/>
    <cellStyle name="_방동_산양리지구" xfId="310"/>
    <cellStyle name="_방동_산양리지구_00-설계서,원가계산,내역서" xfId="311"/>
    <cellStyle name="_방동_산양리지구_내역서-최종0223" xfId="312"/>
    <cellStyle name="_방동_산양리지구_내역서-최종0223_00-설계서,원가계산,내역서" xfId="313"/>
    <cellStyle name="_방동_산양리지구_내역서-최종0223_설계서-1" xfId="314"/>
    <cellStyle name="_방동_산양리지구_내역서-최종0223_설계서-1_00-설계서,원가계산,내역서" xfId="315"/>
    <cellStyle name="_방동_산양리지구_내역서-최종0223_진해자은수량산출서(단지내)" xfId="316"/>
    <cellStyle name="_방동_산양리지구_내역서-최종0223_진해자은수량산출서(단지내)_00-설계서,원가계산,내역서" xfId="317"/>
    <cellStyle name="_방동_산양리지구_내역서-최종0223_진해자은수량산출서(단지내)_기초산출표-56-128-최종" xfId="318"/>
    <cellStyle name="_방동_산양리지구_내역서-최종0223_진해자은수량산출서(단지내)_기초산출표-56-128-최종_00-설계서,원가계산,내역서" xfId="319"/>
    <cellStyle name="_방동_산양리지구_내역서-최종0223_진해자은수량산출서(단지내)_기초산출표-56-128-최종_설계서-1" xfId="320"/>
    <cellStyle name="_방동_산양리지구_내역서-최종0223_진해자은수량산출서(단지내)_기초산출표-56-128-최종_설계서-1_00-설계서,원가계산,내역서" xfId="321"/>
    <cellStyle name="_방동_산양리지구_내역서-최종0223_진해자은수량산출서(단지내)_설계서-1" xfId="322"/>
    <cellStyle name="_방동_산양리지구_내역서-최종0223_진해자은수량산출서(단지내)_설계서-1_00-설계서,원가계산,내역서" xfId="323"/>
    <cellStyle name="_방동_산양리지구_내역서-최종0223_진해자은수량산출서(단지내)_취합" xfId="324"/>
    <cellStyle name="_방동_산양리지구_내역서-최종0223_진해자은수량산출서(단지내)_취합_00-설계서,원가계산,내역서" xfId="325"/>
    <cellStyle name="_방동_산양리지구_내역서-최종0223_진해자은수량산출서(단지내)_취합_설계서-1" xfId="326"/>
    <cellStyle name="_방동_산양리지구_내역서-최종0223_진해자은수량산출서(단지내)_취합_설계서-1_00-설계서,원가계산,내역서" xfId="327"/>
    <cellStyle name="_방동_산양리지구_라멘교 토공" xfId="328"/>
    <cellStyle name="_방동_산양리지구_라멘교 토공_00-설계서,원가계산,내역서" xfId="329"/>
    <cellStyle name="_방동_산양리지구_설계서-1" xfId="330"/>
    <cellStyle name="_방동_산양리지구_설계서-1_00-설계서,원가계산,내역서" xfId="331"/>
    <cellStyle name="_방동_산양리지구_율동자연공원내 화장실 보수 및 도색공사" xfId="332"/>
    <cellStyle name="_방동_산양리지구_율동자연공원내 화장실 보수 및 도색공사_00-설계서,원가계산,내역서" xfId="333"/>
    <cellStyle name="_방동_산양리지구_율동자연공원내 화장실 보수 및 도색공사_내역서-최종0223" xfId="334"/>
    <cellStyle name="_방동_산양리지구_율동자연공원내 화장실 보수 및 도색공사_내역서-최종0223_00-설계서,원가계산,내역서" xfId="335"/>
    <cellStyle name="_방동_산양리지구_율동자연공원내 화장실 보수 및 도색공사_내역서-최종0223_설계서-1" xfId="336"/>
    <cellStyle name="_방동_산양리지구_율동자연공원내 화장실 보수 및 도색공사_내역서-최종0223_설계서-1_00-설계서,원가계산,내역서" xfId="337"/>
    <cellStyle name="_방동_산양리지구_율동자연공원내 화장실 보수 및 도색공사_내역서-최종0223_진해자은수량산출서(단지내)" xfId="338"/>
    <cellStyle name="_방동_산양리지구_율동자연공원내 화장실 보수 및 도색공사_내역서-최종0223_진해자은수량산출서(단지내)_00-설계서,원가계산,내역서" xfId="339"/>
    <cellStyle name="_방동_산양리지구_율동자연공원내 화장실 보수 및 도색공사_내역서-최종0223_진해자은수량산출서(단지내)_기초산출표-56-128-최종" xfId="340"/>
    <cellStyle name="_방동_산양리지구_율동자연공원내 화장실 보수 및 도색공사_내역서-최종0223_진해자은수량산출서(단지내)_기초산출표-56-128-최종_00-설계서,원가계산,내역서" xfId="341"/>
    <cellStyle name="_방동_산양리지구_율동자연공원내 화장실 보수 및 도색공사_내역서-최종0223_진해자은수량산출서(단지내)_기초산출표-56-128-최종_설계서-1" xfId="342"/>
    <cellStyle name="_방동_산양리지구_율동자연공원내 화장실 보수 및 도색공사_내역서-최종0223_진해자은수량산출서(단지내)_기초산출표-56-128-최종_설계서-1_00-설계서,원가계산,내역서" xfId="343"/>
    <cellStyle name="_방동_산양리지구_율동자연공원내 화장실 보수 및 도색공사_내역서-최종0223_진해자은수량산출서(단지내)_설계서-1" xfId="344"/>
    <cellStyle name="_방동_산양리지구_율동자연공원내 화장실 보수 및 도색공사_내역서-최종0223_진해자은수량산출서(단지내)_설계서-1_00-설계서,원가계산,내역서" xfId="345"/>
    <cellStyle name="_방동_산양리지구_율동자연공원내 화장실 보수 및 도색공사_내역서-최종0223_진해자은수량산출서(단지내)_취합" xfId="346"/>
    <cellStyle name="_방동_산양리지구_율동자연공원내 화장실 보수 및 도색공사_내역서-최종0223_진해자은수량산출서(단지내)_취합_00-설계서,원가계산,내역서" xfId="347"/>
    <cellStyle name="_방동_산양리지구_율동자연공원내 화장실 보수 및 도색공사_내역서-최종0223_진해자은수량산출서(단지내)_취합_설계서-1" xfId="348"/>
    <cellStyle name="_방동_산양리지구_율동자연공원내 화장실 보수 및 도색공사_내역서-최종0223_진해자은수량산출서(단지내)_취합_설계서-1_00-설계서,원가계산,내역서" xfId="349"/>
    <cellStyle name="_방동_산양리지구_율동자연공원내 화장실 보수 및 도색공사_설계서-1" xfId="350"/>
    <cellStyle name="_방동_산양리지구_율동자연공원내 화장실 보수 및 도색공사_설계서-1_00-설계서,원가계산,내역서" xfId="351"/>
    <cellStyle name="_방동_산양리지구_율동자연공원내 화장실 보수 및 도색공사_진해자은수량산출서(단지내)" xfId="352"/>
    <cellStyle name="_방동_산양리지구_율동자연공원내 화장실 보수 및 도색공사_진해자은수량산출서(단지내)_00-설계서,원가계산,내역서" xfId="353"/>
    <cellStyle name="_방동_산양리지구_율동자연공원내 화장실 보수 및 도색공사_진해자은수량산출서(단지내)_기초산출표-56-128-최종" xfId="354"/>
    <cellStyle name="_방동_산양리지구_율동자연공원내 화장실 보수 및 도색공사_진해자은수량산출서(단지내)_기초산출표-56-128-최종_00-설계서,원가계산,내역서" xfId="355"/>
    <cellStyle name="_방동_산양리지구_율동자연공원내 화장실 보수 및 도색공사_진해자은수량산출서(단지내)_기초산출표-56-128-최종_설계서-1" xfId="356"/>
    <cellStyle name="_방동_산양리지구_율동자연공원내 화장실 보수 및 도색공사_진해자은수량산출서(단지내)_기초산출표-56-128-최종_설계서-1_00-설계서,원가계산,내역서" xfId="357"/>
    <cellStyle name="_방동_산양리지구_율동자연공원내 화장실 보수 및 도색공사_진해자은수량산출서(단지내)_설계서-1" xfId="358"/>
    <cellStyle name="_방동_산양리지구_율동자연공원내 화장실 보수 및 도색공사_진해자은수량산출서(단지내)_설계서-1_00-설계서,원가계산,내역서" xfId="359"/>
    <cellStyle name="_방동_산양리지구_율동자연공원내 화장실 보수 및 도색공사_진해자은수량산출서(단지내)_취합" xfId="360"/>
    <cellStyle name="_방동_산양리지구_율동자연공원내 화장실 보수 및 도색공사_진해자은수량산출서(단지내)_취합_00-설계서,원가계산,내역서" xfId="361"/>
    <cellStyle name="_방동_산양리지구_율동자연공원내 화장실 보수 및 도색공사_진해자은수량산출서(단지내)_취합_설계서-1" xfId="362"/>
    <cellStyle name="_방동_산양리지구_율동자연공원내 화장실 보수 및 도색공사_진해자은수량산출서(단지내)_취합_설계서-1_00-설계서,원가계산,내역서" xfId="363"/>
    <cellStyle name="_방동_산양리지구_율동자연공원내 휴게편의점 도색작업-할증-천정면적추가" xfId="364"/>
    <cellStyle name="_방동_산양리지구_율동자연공원내 휴게편의점 도색작업-할증-천정면적추가_00-설계서,원가계산,내역서" xfId="365"/>
    <cellStyle name="_방동_산양리지구_율동자연공원내 휴게편의점 도색작업-할증-천정면적추가_내역서-최종0223" xfId="366"/>
    <cellStyle name="_방동_산양리지구_율동자연공원내 휴게편의점 도색작업-할증-천정면적추가_내역서-최종0223_00-설계서,원가계산,내역서" xfId="367"/>
    <cellStyle name="_방동_산양리지구_율동자연공원내 휴게편의점 도색작업-할증-천정면적추가_내역서-최종0223_설계서-1" xfId="368"/>
    <cellStyle name="_방동_산양리지구_율동자연공원내 휴게편의점 도색작업-할증-천정면적추가_내역서-최종0223_설계서-1_00-설계서,원가계산,내역서" xfId="369"/>
    <cellStyle name="_방동_산양리지구_율동자연공원내 휴게편의점 도색작업-할증-천정면적추가_내역서-최종0223_진해자은수량산출서(단지내)" xfId="370"/>
    <cellStyle name="_방동_산양리지구_율동자연공원내 휴게편의점 도색작업-할증-천정면적추가_내역서-최종0223_진해자은수량산출서(단지내)_00-설계서,원가계산,내역서" xfId="371"/>
    <cellStyle name="_방동_산양리지구_율동자연공원내 휴게편의점 도색작업-할증-천정면적추가_내역서-최종0223_진해자은수량산출서(단지내)_기초산출표-56-128-최종" xfId="372"/>
    <cellStyle name="_방동_산양리지구_율동자연공원내 휴게편의점 도색작업-할증-천정면적추가_내역서-최종0223_진해자은수량산출서(단지내)_기초산출표-56-128-최종_00-설계서,원가계산,내역서" xfId="373"/>
    <cellStyle name="_방동_산양리지구_율동자연공원내 휴게편의점 도색작업-할증-천정면적추가_내역서-최종0223_진해자은수량산출서(단지내)_기초산출표-56-128-최종_설계서-1" xfId="374"/>
    <cellStyle name="_방동_산양리지구_율동자연공원내 휴게편의점 도색작업-할증-천정면적추가_내역서-최종0223_진해자은수량산출서(단지내)_기초산출표-56-128-최종_설계서-1_00-설계서,원가계산,내역서" xfId="375"/>
    <cellStyle name="_방동_산양리지구_율동자연공원내 휴게편의점 도색작업-할증-천정면적추가_내역서-최종0223_진해자은수량산출서(단지내)_설계서-1" xfId="376"/>
    <cellStyle name="_방동_산양리지구_율동자연공원내 휴게편의점 도색작업-할증-천정면적추가_내역서-최종0223_진해자은수량산출서(단지내)_설계서-1_00-설계서,원가계산,내역서" xfId="377"/>
    <cellStyle name="_방동_산양리지구_율동자연공원내 휴게편의점 도색작업-할증-천정면적추가_내역서-최종0223_진해자은수량산출서(단지내)_취합" xfId="378"/>
    <cellStyle name="_방동_산양리지구_율동자연공원내 휴게편의점 도색작업-할증-천정면적추가_내역서-최종0223_진해자은수량산출서(단지내)_취합_00-설계서,원가계산,내역서" xfId="379"/>
    <cellStyle name="_방동_산양리지구_율동자연공원내 휴게편의점 도색작업-할증-천정면적추가_내역서-최종0223_진해자은수량산출서(단지내)_취합_설계서-1" xfId="380"/>
    <cellStyle name="_방동_산양리지구_율동자연공원내 휴게편의점 도색작업-할증-천정면적추가_내역서-최종0223_진해자은수량산출서(단지내)_취합_설계서-1_00-설계서,원가계산,내역서" xfId="381"/>
    <cellStyle name="_방동_산양리지구_율동자연공원내 휴게편의점 도색작업-할증-천정면적추가_설계서-1" xfId="382"/>
    <cellStyle name="_방동_산양리지구_율동자연공원내 휴게편의점 도색작업-할증-천정면적추가_설계서-1_00-설계서,원가계산,내역서" xfId="383"/>
    <cellStyle name="_방동_산양리지구_율동자연공원내 휴게편의점 도색작업-할증-천정면적추가_진해자은수량산출서(단지내)" xfId="384"/>
    <cellStyle name="_방동_산양리지구_율동자연공원내 휴게편의점 도색작업-할증-천정면적추가_진해자은수량산출서(단지내)_00-설계서,원가계산,내역서" xfId="385"/>
    <cellStyle name="_방동_산양리지구_율동자연공원내 휴게편의점 도색작업-할증-천정면적추가_진해자은수량산출서(단지내)_기초산출표-56-128-최종" xfId="386"/>
    <cellStyle name="_방동_산양리지구_율동자연공원내 휴게편의점 도색작업-할증-천정면적추가_진해자은수량산출서(단지내)_기초산출표-56-128-최종_00-설계서,원가계산,내역서" xfId="387"/>
    <cellStyle name="_방동_산양리지구_율동자연공원내 휴게편의점 도색작업-할증-천정면적추가_진해자은수량산출서(단지내)_기초산출표-56-128-최종_설계서-1" xfId="388"/>
    <cellStyle name="_방동_산양리지구_율동자연공원내 휴게편의점 도색작업-할증-천정면적추가_진해자은수량산출서(단지내)_기초산출표-56-128-최종_설계서-1_00-설계서,원가계산,내역서" xfId="389"/>
    <cellStyle name="_방동_산양리지구_율동자연공원내 휴게편의점 도색작업-할증-천정면적추가_진해자은수량산출서(단지내)_설계서-1" xfId="390"/>
    <cellStyle name="_방동_산양리지구_율동자연공원내 휴게편의점 도색작업-할증-천정면적추가_진해자은수량산출서(단지내)_설계서-1_00-설계서,원가계산,내역서" xfId="391"/>
    <cellStyle name="_방동_산양리지구_율동자연공원내 휴게편의점 도색작업-할증-천정면적추가_진해자은수량산출서(단지내)_취합" xfId="392"/>
    <cellStyle name="_방동_산양리지구_율동자연공원내 휴게편의점 도색작업-할증-천정면적추가_진해자은수량산출서(단지내)_취합_00-설계서,원가계산,내역서" xfId="393"/>
    <cellStyle name="_방동_산양리지구_율동자연공원내 휴게편의점 도색작업-할증-천정면적추가_진해자은수량산출서(단지내)_취합_설계서-1" xfId="394"/>
    <cellStyle name="_방동_산양리지구_율동자연공원내 휴게편의점 도색작업-할증-천정면적추가_진해자은수량산출서(단지내)_취합_설계서-1_00-설계서,원가계산,내역서" xfId="395"/>
    <cellStyle name="_방동_산양리지구_이문동구간중랑천변녹화사업(수량산출서, 071127)-최종" xfId="396"/>
    <cellStyle name="_방동_산양리지구_이문동구간중랑천변녹화사업(수량산출서, 071127)-최종_00-설계서,원가계산,내역서" xfId="397"/>
    <cellStyle name="_방동_산양리지구_진해자은수량산출서(단지내)" xfId="398"/>
    <cellStyle name="_방동_산양리지구_진해자은수량산출서(단지내)_00-설계서,원가계산,내역서" xfId="399"/>
    <cellStyle name="_방동_산양리지구_진해자은수량산출서(단지내)_기초산출표-56-128-최종" xfId="400"/>
    <cellStyle name="_방동_산양리지구_진해자은수량산출서(단지내)_기초산출표-56-128-최종_00-설계서,원가계산,내역서" xfId="401"/>
    <cellStyle name="_방동_산양리지구_진해자은수량산출서(단지내)_기초산출표-56-128-최종_설계서-1" xfId="402"/>
    <cellStyle name="_방동_산양리지구_진해자은수량산출서(단지내)_기초산출표-56-128-최종_설계서-1_00-설계서,원가계산,내역서" xfId="403"/>
    <cellStyle name="_방동_산양리지구_진해자은수량산출서(단지내)_설계서-1" xfId="404"/>
    <cellStyle name="_방동_산양리지구_진해자은수량산출서(단지내)_설계서-1_00-설계서,원가계산,내역서" xfId="405"/>
    <cellStyle name="_방동_산양리지구_진해자은수량산출서(단지내)_취합" xfId="406"/>
    <cellStyle name="_방동_산양리지구_진해자은수량산출서(단지내)_취합_00-설계서,원가계산,내역서" xfId="407"/>
    <cellStyle name="_방동_산양리지구_진해자은수량산출서(단지내)_취합_설계서-1" xfId="408"/>
    <cellStyle name="_방동_산양리지구_진해자은수량산출서(단지내)_취합_설계서-1_00-설계서,원가계산,내역서" xfId="409"/>
    <cellStyle name="_방동_산양리지구_포장" xfId="410"/>
    <cellStyle name="_방동_산양리지구_포장_00-설계서,원가계산,내역서" xfId="411"/>
    <cellStyle name="_방동_산양리지구_포장_라멘교 토공" xfId="412"/>
    <cellStyle name="_방동_산양리지구_포장_라멘교 토공_00-설계서,원가계산,내역서" xfId="413"/>
    <cellStyle name="_방동_서상2리" xfId="414"/>
    <cellStyle name="_방동_서상2리_00-설계서,원가계산,내역서" xfId="415"/>
    <cellStyle name="_방동_서상2리_내역서-최종0223" xfId="416"/>
    <cellStyle name="_방동_서상2리_내역서-최종0223_00-설계서,원가계산,내역서" xfId="417"/>
    <cellStyle name="_방동_서상2리_내역서-최종0223_설계서-1" xfId="418"/>
    <cellStyle name="_방동_서상2리_내역서-최종0223_설계서-1_00-설계서,원가계산,내역서" xfId="419"/>
    <cellStyle name="_방동_서상2리_내역서-최종0223_진해자은수량산출서(단지내)" xfId="420"/>
    <cellStyle name="_방동_서상2리_내역서-최종0223_진해자은수량산출서(단지내)_00-설계서,원가계산,내역서" xfId="421"/>
    <cellStyle name="_방동_서상2리_내역서-최종0223_진해자은수량산출서(단지내)_기초산출표-56-128-최종" xfId="422"/>
    <cellStyle name="_방동_서상2리_내역서-최종0223_진해자은수량산출서(단지내)_기초산출표-56-128-최종_00-설계서,원가계산,내역서" xfId="423"/>
    <cellStyle name="_방동_서상2리_내역서-최종0223_진해자은수량산출서(단지내)_기초산출표-56-128-최종_설계서-1" xfId="424"/>
    <cellStyle name="_방동_서상2리_내역서-최종0223_진해자은수량산출서(단지내)_기초산출표-56-128-최종_설계서-1_00-설계서,원가계산,내역서" xfId="425"/>
    <cellStyle name="_방동_서상2리_내역서-최종0223_진해자은수량산출서(단지내)_설계서-1" xfId="426"/>
    <cellStyle name="_방동_서상2리_내역서-최종0223_진해자은수량산출서(단지내)_설계서-1_00-설계서,원가계산,내역서" xfId="427"/>
    <cellStyle name="_방동_서상2리_내역서-최종0223_진해자은수량산출서(단지내)_취합" xfId="428"/>
    <cellStyle name="_방동_서상2리_내역서-최종0223_진해자은수량산출서(단지내)_취합_00-설계서,원가계산,내역서" xfId="429"/>
    <cellStyle name="_방동_서상2리_내역서-최종0223_진해자은수량산출서(단지내)_취합_설계서-1" xfId="430"/>
    <cellStyle name="_방동_서상2리_내역서-최종0223_진해자은수량산출서(단지내)_취합_설계서-1_00-설계서,원가계산,내역서" xfId="431"/>
    <cellStyle name="_방동_서상2리_라멘교 토공" xfId="432"/>
    <cellStyle name="_방동_서상2리_라멘교 토공_00-설계서,원가계산,내역서" xfId="433"/>
    <cellStyle name="_방동_서상2리_설계서-1" xfId="434"/>
    <cellStyle name="_방동_서상2리_설계서-1_00-설계서,원가계산,내역서" xfId="435"/>
    <cellStyle name="_방동_서상2리_율동자연공원내 화장실 보수 및 도색공사" xfId="436"/>
    <cellStyle name="_방동_서상2리_율동자연공원내 화장실 보수 및 도색공사_00-설계서,원가계산,내역서" xfId="437"/>
    <cellStyle name="_방동_서상2리_율동자연공원내 화장실 보수 및 도색공사_내역서-최종0223" xfId="438"/>
    <cellStyle name="_방동_서상2리_율동자연공원내 화장실 보수 및 도색공사_내역서-최종0223_00-설계서,원가계산,내역서" xfId="439"/>
    <cellStyle name="_방동_서상2리_율동자연공원내 화장실 보수 및 도색공사_내역서-최종0223_설계서-1" xfId="440"/>
    <cellStyle name="_방동_서상2리_율동자연공원내 화장실 보수 및 도색공사_내역서-최종0223_설계서-1_00-설계서,원가계산,내역서" xfId="441"/>
    <cellStyle name="_방동_서상2리_율동자연공원내 화장실 보수 및 도색공사_내역서-최종0223_진해자은수량산출서(단지내)" xfId="442"/>
    <cellStyle name="_방동_서상2리_율동자연공원내 화장실 보수 및 도색공사_내역서-최종0223_진해자은수량산출서(단지내)_00-설계서,원가계산,내역서" xfId="443"/>
    <cellStyle name="_방동_서상2리_율동자연공원내 화장실 보수 및 도색공사_내역서-최종0223_진해자은수량산출서(단지내)_기초산출표-56-128-최종" xfId="444"/>
    <cellStyle name="_방동_서상2리_율동자연공원내 화장실 보수 및 도색공사_내역서-최종0223_진해자은수량산출서(단지내)_기초산출표-56-128-최종_00-설계서,원가계산,내역서" xfId="445"/>
    <cellStyle name="_방동_서상2리_율동자연공원내 화장실 보수 및 도색공사_내역서-최종0223_진해자은수량산출서(단지내)_기초산출표-56-128-최종_설계서-1" xfId="446"/>
    <cellStyle name="_방동_서상2리_율동자연공원내 화장실 보수 및 도색공사_내역서-최종0223_진해자은수량산출서(단지내)_기초산출표-56-128-최종_설계서-1_00-설계서,원가계산,내역서" xfId="447"/>
    <cellStyle name="_방동_서상2리_율동자연공원내 화장실 보수 및 도색공사_내역서-최종0223_진해자은수량산출서(단지내)_설계서-1" xfId="448"/>
    <cellStyle name="_방동_서상2리_율동자연공원내 화장실 보수 및 도색공사_내역서-최종0223_진해자은수량산출서(단지내)_설계서-1_00-설계서,원가계산,내역서" xfId="449"/>
    <cellStyle name="_방동_서상2리_율동자연공원내 화장실 보수 및 도색공사_내역서-최종0223_진해자은수량산출서(단지내)_취합" xfId="450"/>
    <cellStyle name="_방동_서상2리_율동자연공원내 화장실 보수 및 도색공사_내역서-최종0223_진해자은수량산출서(단지내)_취합_00-설계서,원가계산,내역서" xfId="451"/>
    <cellStyle name="_방동_서상2리_율동자연공원내 화장실 보수 및 도색공사_내역서-최종0223_진해자은수량산출서(단지내)_취합_설계서-1" xfId="452"/>
    <cellStyle name="_방동_서상2리_율동자연공원내 화장실 보수 및 도색공사_내역서-최종0223_진해자은수량산출서(단지내)_취합_설계서-1_00-설계서,원가계산,내역서" xfId="453"/>
    <cellStyle name="_방동_서상2리_율동자연공원내 화장실 보수 및 도색공사_설계서-1" xfId="454"/>
    <cellStyle name="_방동_서상2리_율동자연공원내 화장실 보수 및 도색공사_설계서-1_00-설계서,원가계산,내역서" xfId="455"/>
    <cellStyle name="_방동_서상2리_율동자연공원내 화장실 보수 및 도색공사_진해자은수량산출서(단지내)" xfId="456"/>
    <cellStyle name="_방동_서상2리_율동자연공원내 화장실 보수 및 도색공사_진해자은수량산출서(단지내)_00-설계서,원가계산,내역서" xfId="457"/>
    <cellStyle name="_방동_서상2리_율동자연공원내 화장실 보수 및 도색공사_진해자은수량산출서(단지내)_기초산출표-56-128-최종" xfId="458"/>
    <cellStyle name="_방동_서상2리_율동자연공원내 화장실 보수 및 도색공사_진해자은수량산출서(단지내)_기초산출표-56-128-최종_00-설계서,원가계산,내역서" xfId="459"/>
    <cellStyle name="_방동_서상2리_율동자연공원내 화장실 보수 및 도색공사_진해자은수량산출서(단지내)_기초산출표-56-128-최종_설계서-1" xfId="460"/>
    <cellStyle name="_방동_서상2리_율동자연공원내 화장실 보수 및 도색공사_진해자은수량산출서(단지내)_기초산출표-56-128-최종_설계서-1_00-설계서,원가계산,내역서" xfId="461"/>
    <cellStyle name="_방동_서상2리_율동자연공원내 화장실 보수 및 도색공사_진해자은수량산출서(단지내)_설계서-1" xfId="462"/>
    <cellStyle name="_방동_서상2리_율동자연공원내 화장실 보수 및 도색공사_진해자은수량산출서(단지내)_설계서-1_00-설계서,원가계산,내역서" xfId="463"/>
    <cellStyle name="_방동_서상2리_율동자연공원내 화장실 보수 및 도색공사_진해자은수량산출서(단지내)_취합" xfId="464"/>
    <cellStyle name="_방동_서상2리_율동자연공원내 화장실 보수 및 도색공사_진해자은수량산출서(단지내)_취합_00-설계서,원가계산,내역서" xfId="465"/>
    <cellStyle name="_방동_서상2리_율동자연공원내 화장실 보수 및 도색공사_진해자은수량산출서(단지내)_취합_설계서-1" xfId="466"/>
    <cellStyle name="_방동_서상2리_율동자연공원내 화장실 보수 및 도색공사_진해자은수량산출서(단지내)_취합_설계서-1_00-설계서,원가계산,내역서" xfId="467"/>
    <cellStyle name="_방동_서상2리_율동자연공원내 휴게편의점 도색작업-할증-천정면적추가" xfId="468"/>
    <cellStyle name="_방동_서상2리_율동자연공원내 휴게편의점 도색작업-할증-천정면적추가_00-설계서,원가계산,내역서" xfId="469"/>
    <cellStyle name="_방동_서상2리_율동자연공원내 휴게편의점 도색작업-할증-천정면적추가_내역서-최종0223" xfId="470"/>
    <cellStyle name="_방동_서상2리_율동자연공원내 휴게편의점 도색작업-할증-천정면적추가_내역서-최종0223_00-설계서,원가계산,내역서" xfId="471"/>
    <cellStyle name="_방동_서상2리_율동자연공원내 휴게편의점 도색작업-할증-천정면적추가_내역서-최종0223_설계서-1" xfId="472"/>
    <cellStyle name="_방동_서상2리_율동자연공원내 휴게편의점 도색작업-할증-천정면적추가_내역서-최종0223_설계서-1_00-설계서,원가계산,내역서" xfId="473"/>
    <cellStyle name="_방동_서상2리_율동자연공원내 휴게편의점 도색작업-할증-천정면적추가_내역서-최종0223_진해자은수량산출서(단지내)" xfId="474"/>
    <cellStyle name="_방동_서상2리_율동자연공원내 휴게편의점 도색작업-할증-천정면적추가_내역서-최종0223_진해자은수량산출서(단지내)_00-설계서,원가계산,내역서" xfId="475"/>
    <cellStyle name="_방동_서상2리_율동자연공원내 휴게편의점 도색작업-할증-천정면적추가_내역서-최종0223_진해자은수량산출서(단지내)_기초산출표-56-128-최종" xfId="476"/>
    <cellStyle name="_방동_서상2리_율동자연공원내 휴게편의점 도색작업-할증-천정면적추가_내역서-최종0223_진해자은수량산출서(단지내)_기초산출표-56-128-최종_00-설계서,원가계산,내역서" xfId="477"/>
    <cellStyle name="_방동_서상2리_율동자연공원내 휴게편의점 도색작업-할증-천정면적추가_내역서-최종0223_진해자은수량산출서(단지내)_기초산출표-56-128-최종_설계서-1" xfId="478"/>
    <cellStyle name="_방동_서상2리_율동자연공원내 휴게편의점 도색작업-할증-천정면적추가_내역서-최종0223_진해자은수량산출서(단지내)_기초산출표-56-128-최종_설계서-1_00-설계서,원가계산,내역서" xfId="479"/>
    <cellStyle name="_방동_서상2리_율동자연공원내 휴게편의점 도색작업-할증-천정면적추가_내역서-최종0223_진해자은수량산출서(단지내)_설계서-1" xfId="480"/>
    <cellStyle name="_방동_서상2리_율동자연공원내 휴게편의점 도색작업-할증-천정면적추가_내역서-최종0223_진해자은수량산출서(단지내)_설계서-1_00-설계서,원가계산,내역서" xfId="481"/>
    <cellStyle name="_방동_서상2리_율동자연공원내 휴게편의점 도색작업-할증-천정면적추가_내역서-최종0223_진해자은수량산출서(단지내)_취합" xfId="482"/>
    <cellStyle name="_방동_서상2리_율동자연공원내 휴게편의점 도색작업-할증-천정면적추가_내역서-최종0223_진해자은수량산출서(단지내)_취합_00-설계서,원가계산,내역서" xfId="483"/>
    <cellStyle name="_방동_서상2리_율동자연공원내 휴게편의점 도색작업-할증-천정면적추가_내역서-최종0223_진해자은수량산출서(단지내)_취합_설계서-1" xfId="484"/>
    <cellStyle name="_방동_서상2리_율동자연공원내 휴게편의점 도색작업-할증-천정면적추가_내역서-최종0223_진해자은수량산출서(단지내)_취합_설계서-1_00-설계서,원가계산,내역서" xfId="485"/>
    <cellStyle name="_방동_서상2리_율동자연공원내 휴게편의점 도색작업-할증-천정면적추가_설계서-1" xfId="486"/>
    <cellStyle name="_방동_서상2리_율동자연공원내 휴게편의점 도색작업-할증-천정면적추가_설계서-1_00-설계서,원가계산,내역서" xfId="487"/>
    <cellStyle name="_방동_서상2리_율동자연공원내 휴게편의점 도색작업-할증-천정면적추가_진해자은수량산출서(단지내)" xfId="488"/>
    <cellStyle name="_방동_서상2리_율동자연공원내 휴게편의점 도색작업-할증-천정면적추가_진해자은수량산출서(단지내)_00-설계서,원가계산,내역서" xfId="489"/>
    <cellStyle name="_방동_서상2리_율동자연공원내 휴게편의점 도색작업-할증-천정면적추가_진해자은수량산출서(단지내)_기초산출표-56-128-최종" xfId="490"/>
    <cellStyle name="_방동_서상2리_율동자연공원내 휴게편의점 도색작업-할증-천정면적추가_진해자은수량산출서(단지내)_기초산출표-56-128-최종_00-설계서,원가계산,내역서" xfId="491"/>
    <cellStyle name="_방동_서상2리_율동자연공원내 휴게편의점 도색작업-할증-천정면적추가_진해자은수량산출서(단지내)_기초산출표-56-128-최종_설계서-1" xfId="492"/>
    <cellStyle name="_방동_서상2리_율동자연공원내 휴게편의점 도색작업-할증-천정면적추가_진해자은수량산출서(단지내)_기초산출표-56-128-최종_설계서-1_00-설계서,원가계산,내역서" xfId="493"/>
    <cellStyle name="_방동_서상2리_율동자연공원내 휴게편의점 도색작업-할증-천정면적추가_진해자은수량산출서(단지내)_설계서-1" xfId="494"/>
    <cellStyle name="_방동_서상2리_율동자연공원내 휴게편의점 도색작업-할증-천정면적추가_진해자은수량산출서(단지내)_설계서-1_00-설계서,원가계산,내역서" xfId="495"/>
    <cellStyle name="_방동_서상2리_율동자연공원내 휴게편의점 도색작업-할증-천정면적추가_진해자은수량산출서(단지내)_취합" xfId="496"/>
    <cellStyle name="_방동_서상2리_율동자연공원내 휴게편의점 도색작업-할증-천정면적추가_진해자은수량산출서(단지내)_취합_00-설계서,원가계산,내역서" xfId="497"/>
    <cellStyle name="_방동_서상2리_율동자연공원내 휴게편의점 도색작업-할증-천정면적추가_진해자은수량산출서(단지내)_취합_설계서-1" xfId="498"/>
    <cellStyle name="_방동_서상2리_율동자연공원내 휴게편의점 도색작업-할증-천정면적추가_진해자은수량산출서(단지내)_취합_설계서-1_00-설계서,원가계산,내역서" xfId="499"/>
    <cellStyle name="_방동_서상2리_이문동구간중랑천변녹화사업(수량산출서, 071127)-최종" xfId="500"/>
    <cellStyle name="_방동_서상2리_이문동구간중랑천변녹화사업(수량산출서, 071127)-최종_00-설계서,원가계산,내역서" xfId="501"/>
    <cellStyle name="_방동_서상2리_진해자은수량산출서(단지내)" xfId="502"/>
    <cellStyle name="_방동_서상2리_진해자은수량산출서(단지내)_00-설계서,원가계산,내역서" xfId="503"/>
    <cellStyle name="_방동_서상2리_진해자은수량산출서(단지내)_기초산출표-56-128-최종" xfId="504"/>
    <cellStyle name="_방동_서상2리_진해자은수량산출서(단지내)_기초산출표-56-128-최종_00-설계서,원가계산,내역서" xfId="505"/>
    <cellStyle name="_방동_서상2리_진해자은수량산출서(단지내)_기초산출표-56-128-최종_설계서-1" xfId="506"/>
    <cellStyle name="_방동_서상2리_진해자은수량산출서(단지내)_기초산출표-56-128-최종_설계서-1_00-설계서,원가계산,내역서" xfId="507"/>
    <cellStyle name="_방동_서상2리_진해자은수량산출서(단지내)_설계서-1" xfId="508"/>
    <cellStyle name="_방동_서상2리_진해자은수량산출서(단지내)_설계서-1_00-설계서,원가계산,내역서" xfId="509"/>
    <cellStyle name="_방동_서상2리_진해자은수량산출서(단지내)_취합" xfId="510"/>
    <cellStyle name="_방동_서상2리_진해자은수량산출서(단지내)_취합_00-설계서,원가계산,내역서" xfId="511"/>
    <cellStyle name="_방동_서상2리_진해자은수량산출서(단지내)_취합_설계서-1" xfId="512"/>
    <cellStyle name="_방동_서상2리_진해자은수량산출서(단지내)_취합_설계서-1_00-설계서,원가계산,내역서" xfId="513"/>
    <cellStyle name="_방동_서상2리_포장" xfId="514"/>
    <cellStyle name="_방동_서상2리_포장_00-설계서,원가계산,내역서" xfId="515"/>
    <cellStyle name="_방동_서상2리_포장_라멘교 토공" xfId="516"/>
    <cellStyle name="_방동_서상2리_포장_라멘교 토공_00-설계서,원가계산,내역서" xfId="517"/>
    <cellStyle name="_방동_설계서-1" xfId="518"/>
    <cellStyle name="_방동_설계서-1_00-설계서,원가계산,내역서" xfId="519"/>
    <cellStyle name="_방동_오항" xfId="520"/>
    <cellStyle name="_방동_오항_00-설계서,원가계산,내역서" xfId="521"/>
    <cellStyle name="_방동_오항_라멘교 토공" xfId="522"/>
    <cellStyle name="_방동_오항_라멘교 토공_00-설계서,원가계산,내역서" xfId="523"/>
    <cellStyle name="_방동_오항_포장" xfId="524"/>
    <cellStyle name="_방동_오항_포장_00-설계서,원가계산,내역서" xfId="525"/>
    <cellStyle name="_방동_오항_포장_라멘교 토공" xfId="526"/>
    <cellStyle name="_방동_오항_포장_라멘교 토공_00-설계서,원가계산,내역서" xfId="527"/>
    <cellStyle name="_방동_원평" xfId="528"/>
    <cellStyle name="_방동_원평_00-설계서,원가계산,내역서" xfId="529"/>
    <cellStyle name="_방동_원평_내역서-최종0223" xfId="530"/>
    <cellStyle name="_방동_원평_내역서-최종0223_00-설계서,원가계산,내역서" xfId="531"/>
    <cellStyle name="_방동_원평_내역서-최종0223_설계서-1" xfId="532"/>
    <cellStyle name="_방동_원평_내역서-최종0223_설계서-1_00-설계서,원가계산,내역서" xfId="533"/>
    <cellStyle name="_방동_원평_내역서-최종0223_진해자은수량산출서(단지내)" xfId="534"/>
    <cellStyle name="_방동_원평_내역서-최종0223_진해자은수량산출서(단지내)_00-설계서,원가계산,내역서" xfId="535"/>
    <cellStyle name="_방동_원평_내역서-최종0223_진해자은수량산출서(단지내)_기초산출표-56-128-최종" xfId="536"/>
    <cellStyle name="_방동_원평_내역서-최종0223_진해자은수량산출서(단지내)_기초산출표-56-128-최종_00-설계서,원가계산,내역서" xfId="537"/>
    <cellStyle name="_방동_원평_내역서-최종0223_진해자은수량산출서(단지내)_기초산출표-56-128-최종_설계서-1" xfId="538"/>
    <cellStyle name="_방동_원평_내역서-최종0223_진해자은수량산출서(단지내)_기초산출표-56-128-최종_설계서-1_00-설계서,원가계산,내역서" xfId="539"/>
    <cellStyle name="_방동_원평_내역서-최종0223_진해자은수량산출서(단지내)_설계서-1" xfId="540"/>
    <cellStyle name="_방동_원평_내역서-최종0223_진해자은수량산출서(단지내)_설계서-1_00-설계서,원가계산,내역서" xfId="541"/>
    <cellStyle name="_방동_원평_내역서-최종0223_진해자은수량산출서(단지내)_취합" xfId="542"/>
    <cellStyle name="_방동_원평_내역서-최종0223_진해자은수량산출서(단지내)_취합_00-설계서,원가계산,내역서" xfId="543"/>
    <cellStyle name="_방동_원평_내역서-최종0223_진해자은수량산출서(단지내)_취합_설계서-1" xfId="544"/>
    <cellStyle name="_방동_원평_내역서-최종0223_진해자은수량산출서(단지내)_취합_설계서-1_00-설계서,원가계산,내역서" xfId="545"/>
    <cellStyle name="_방동_원평_라멘교 토공" xfId="546"/>
    <cellStyle name="_방동_원평_라멘교 토공_00-설계서,원가계산,내역서" xfId="547"/>
    <cellStyle name="_방동_원평_설계서-1" xfId="548"/>
    <cellStyle name="_방동_원평_설계서-1_00-설계서,원가계산,내역서" xfId="549"/>
    <cellStyle name="_방동_원평_율동자연공원내 화장실 보수 및 도색공사" xfId="550"/>
    <cellStyle name="_방동_원평_율동자연공원내 화장실 보수 및 도색공사_00-설계서,원가계산,내역서" xfId="551"/>
    <cellStyle name="_방동_원평_율동자연공원내 화장실 보수 및 도색공사_내역서-최종0223" xfId="552"/>
    <cellStyle name="_방동_원평_율동자연공원내 화장실 보수 및 도색공사_내역서-최종0223_00-설계서,원가계산,내역서" xfId="553"/>
    <cellStyle name="_방동_원평_율동자연공원내 화장실 보수 및 도색공사_내역서-최종0223_설계서-1" xfId="554"/>
    <cellStyle name="_방동_원평_율동자연공원내 화장실 보수 및 도색공사_내역서-최종0223_설계서-1_00-설계서,원가계산,내역서" xfId="555"/>
    <cellStyle name="_방동_원평_율동자연공원내 화장실 보수 및 도색공사_내역서-최종0223_진해자은수량산출서(단지내)" xfId="556"/>
    <cellStyle name="_방동_원평_율동자연공원내 화장실 보수 및 도색공사_내역서-최종0223_진해자은수량산출서(단지내)_00-설계서,원가계산,내역서" xfId="557"/>
    <cellStyle name="_방동_원평_율동자연공원내 화장실 보수 및 도색공사_내역서-최종0223_진해자은수량산출서(단지내)_기초산출표-56-128-최종" xfId="558"/>
    <cellStyle name="_방동_원평_율동자연공원내 화장실 보수 및 도색공사_내역서-최종0223_진해자은수량산출서(단지내)_기초산출표-56-128-최종_00-설계서,원가계산,내역서" xfId="559"/>
    <cellStyle name="_방동_원평_율동자연공원내 화장실 보수 및 도색공사_내역서-최종0223_진해자은수량산출서(단지내)_기초산출표-56-128-최종_설계서-1" xfId="560"/>
    <cellStyle name="_방동_원평_율동자연공원내 화장실 보수 및 도색공사_내역서-최종0223_진해자은수량산출서(단지내)_기초산출표-56-128-최종_설계서-1_00-설계서,원가계산,내역서" xfId="561"/>
    <cellStyle name="_방동_원평_율동자연공원내 화장실 보수 및 도색공사_내역서-최종0223_진해자은수량산출서(단지내)_설계서-1" xfId="562"/>
    <cellStyle name="_방동_원평_율동자연공원내 화장실 보수 및 도색공사_내역서-최종0223_진해자은수량산출서(단지내)_설계서-1_00-설계서,원가계산,내역서" xfId="563"/>
    <cellStyle name="_방동_원평_율동자연공원내 화장실 보수 및 도색공사_내역서-최종0223_진해자은수량산출서(단지내)_취합" xfId="564"/>
    <cellStyle name="_방동_원평_율동자연공원내 화장실 보수 및 도색공사_내역서-최종0223_진해자은수량산출서(단지내)_취합_00-설계서,원가계산,내역서" xfId="565"/>
    <cellStyle name="_방동_원평_율동자연공원내 화장실 보수 및 도색공사_내역서-최종0223_진해자은수량산출서(단지내)_취합_설계서-1" xfId="566"/>
    <cellStyle name="_방동_원평_율동자연공원내 화장실 보수 및 도색공사_내역서-최종0223_진해자은수량산출서(단지내)_취합_설계서-1_00-설계서,원가계산,내역서" xfId="567"/>
    <cellStyle name="_방동_원평_율동자연공원내 화장실 보수 및 도색공사_설계서-1" xfId="568"/>
    <cellStyle name="_방동_원평_율동자연공원내 화장실 보수 및 도색공사_설계서-1_00-설계서,원가계산,내역서" xfId="569"/>
    <cellStyle name="_방동_원평_율동자연공원내 화장실 보수 및 도색공사_진해자은수량산출서(단지내)" xfId="570"/>
    <cellStyle name="_방동_원평_율동자연공원내 화장실 보수 및 도색공사_진해자은수량산출서(단지내)_00-설계서,원가계산,내역서" xfId="571"/>
    <cellStyle name="_방동_원평_율동자연공원내 화장실 보수 및 도색공사_진해자은수량산출서(단지내)_기초산출표-56-128-최종" xfId="572"/>
    <cellStyle name="_방동_원평_율동자연공원내 화장실 보수 및 도색공사_진해자은수량산출서(단지내)_기초산출표-56-128-최종_00-설계서,원가계산,내역서" xfId="573"/>
    <cellStyle name="_방동_원평_율동자연공원내 화장실 보수 및 도색공사_진해자은수량산출서(단지내)_기초산출표-56-128-최종_설계서-1" xfId="574"/>
    <cellStyle name="_방동_원평_율동자연공원내 화장실 보수 및 도색공사_진해자은수량산출서(단지내)_기초산출표-56-128-최종_설계서-1_00-설계서,원가계산,내역서" xfId="575"/>
    <cellStyle name="_방동_원평_율동자연공원내 화장실 보수 및 도색공사_진해자은수량산출서(단지내)_설계서-1" xfId="576"/>
    <cellStyle name="_방동_원평_율동자연공원내 화장실 보수 및 도색공사_진해자은수량산출서(단지내)_설계서-1_00-설계서,원가계산,내역서" xfId="577"/>
    <cellStyle name="_방동_원평_율동자연공원내 화장실 보수 및 도색공사_진해자은수량산출서(단지내)_취합" xfId="578"/>
    <cellStyle name="_방동_원평_율동자연공원내 화장실 보수 및 도색공사_진해자은수량산출서(단지내)_취합_00-설계서,원가계산,내역서" xfId="579"/>
    <cellStyle name="_방동_원평_율동자연공원내 화장실 보수 및 도색공사_진해자은수량산출서(단지내)_취합_설계서-1" xfId="580"/>
    <cellStyle name="_방동_원평_율동자연공원내 화장실 보수 및 도색공사_진해자은수량산출서(단지내)_취합_설계서-1_00-설계서,원가계산,내역서" xfId="581"/>
    <cellStyle name="_방동_원평_율동자연공원내 휴게편의점 도색작업-할증-천정면적추가" xfId="582"/>
    <cellStyle name="_방동_원평_율동자연공원내 휴게편의점 도색작업-할증-천정면적추가_00-설계서,원가계산,내역서" xfId="583"/>
    <cellStyle name="_방동_원평_율동자연공원내 휴게편의점 도색작업-할증-천정면적추가_내역서-최종0223" xfId="584"/>
    <cellStyle name="_방동_원평_율동자연공원내 휴게편의점 도색작업-할증-천정면적추가_내역서-최종0223_00-설계서,원가계산,내역서" xfId="585"/>
    <cellStyle name="_방동_원평_율동자연공원내 휴게편의점 도색작업-할증-천정면적추가_내역서-최종0223_설계서-1" xfId="586"/>
    <cellStyle name="_방동_원평_율동자연공원내 휴게편의점 도색작업-할증-천정면적추가_내역서-최종0223_설계서-1_00-설계서,원가계산,내역서" xfId="587"/>
    <cellStyle name="_방동_원평_율동자연공원내 휴게편의점 도색작업-할증-천정면적추가_내역서-최종0223_진해자은수량산출서(단지내)" xfId="588"/>
    <cellStyle name="_방동_원평_율동자연공원내 휴게편의점 도색작업-할증-천정면적추가_내역서-최종0223_진해자은수량산출서(단지내)_00-설계서,원가계산,내역서" xfId="589"/>
    <cellStyle name="_방동_원평_율동자연공원내 휴게편의점 도색작업-할증-천정면적추가_내역서-최종0223_진해자은수량산출서(단지내)_기초산출표-56-128-최종" xfId="590"/>
    <cellStyle name="_방동_원평_율동자연공원내 휴게편의점 도색작업-할증-천정면적추가_내역서-최종0223_진해자은수량산출서(단지내)_기초산출표-56-128-최종_00-설계서,원가계산,내역서" xfId="591"/>
    <cellStyle name="_방동_원평_율동자연공원내 휴게편의점 도색작업-할증-천정면적추가_내역서-최종0223_진해자은수량산출서(단지내)_기초산출표-56-128-최종_설계서-1" xfId="592"/>
    <cellStyle name="_방동_원평_율동자연공원내 휴게편의점 도색작업-할증-천정면적추가_내역서-최종0223_진해자은수량산출서(단지내)_기초산출표-56-128-최종_설계서-1_00-설계서,원가계산,내역서" xfId="593"/>
    <cellStyle name="_방동_원평_율동자연공원내 휴게편의점 도색작업-할증-천정면적추가_내역서-최종0223_진해자은수량산출서(단지내)_설계서-1" xfId="594"/>
    <cellStyle name="_방동_원평_율동자연공원내 휴게편의점 도색작업-할증-천정면적추가_내역서-최종0223_진해자은수량산출서(단지내)_설계서-1_00-설계서,원가계산,내역서" xfId="595"/>
    <cellStyle name="_방동_원평_율동자연공원내 휴게편의점 도색작업-할증-천정면적추가_내역서-최종0223_진해자은수량산출서(단지내)_취합" xfId="596"/>
    <cellStyle name="_방동_원평_율동자연공원내 휴게편의점 도색작업-할증-천정면적추가_내역서-최종0223_진해자은수량산출서(단지내)_취합_00-설계서,원가계산,내역서" xfId="597"/>
    <cellStyle name="_방동_원평_율동자연공원내 휴게편의점 도색작업-할증-천정면적추가_내역서-최종0223_진해자은수량산출서(단지내)_취합_설계서-1" xfId="598"/>
    <cellStyle name="_방동_원평_율동자연공원내 휴게편의점 도색작업-할증-천정면적추가_내역서-최종0223_진해자은수량산출서(단지내)_취합_설계서-1_00-설계서,원가계산,내역서" xfId="599"/>
    <cellStyle name="_방동_원평_율동자연공원내 휴게편의점 도색작업-할증-천정면적추가_설계서-1" xfId="600"/>
    <cellStyle name="_방동_원평_율동자연공원내 휴게편의점 도색작업-할증-천정면적추가_설계서-1_00-설계서,원가계산,내역서" xfId="601"/>
    <cellStyle name="_방동_원평_율동자연공원내 휴게편의점 도색작업-할증-천정면적추가_진해자은수량산출서(단지내)" xfId="602"/>
    <cellStyle name="_방동_원평_율동자연공원내 휴게편의점 도색작업-할증-천정면적추가_진해자은수량산출서(단지내)_00-설계서,원가계산,내역서" xfId="603"/>
    <cellStyle name="_방동_원평_율동자연공원내 휴게편의점 도색작업-할증-천정면적추가_진해자은수량산출서(단지내)_기초산출표-56-128-최종" xfId="604"/>
    <cellStyle name="_방동_원평_율동자연공원내 휴게편의점 도색작업-할증-천정면적추가_진해자은수량산출서(단지내)_기초산출표-56-128-최종_00-설계서,원가계산,내역서" xfId="605"/>
    <cellStyle name="_방동_원평_율동자연공원내 휴게편의점 도색작업-할증-천정면적추가_진해자은수량산출서(단지내)_기초산출표-56-128-최종_설계서-1" xfId="606"/>
    <cellStyle name="_방동_원평_율동자연공원내 휴게편의점 도색작업-할증-천정면적추가_진해자은수량산출서(단지내)_기초산출표-56-128-최종_설계서-1_00-설계서,원가계산,내역서" xfId="607"/>
    <cellStyle name="_방동_원평_율동자연공원내 휴게편의점 도색작업-할증-천정면적추가_진해자은수량산출서(단지내)_설계서-1" xfId="608"/>
    <cellStyle name="_방동_원평_율동자연공원내 휴게편의점 도색작업-할증-천정면적추가_진해자은수량산출서(단지내)_설계서-1_00-설계서,원가계산,내역서" xfId="609"/>
    <cellStyle name="_방동_원평_율동자연공원내 휴게편의점 도색작업-할증-천정면적추가_진해자은수량산출서(단지내)_취합" xfId="610"/>
    <cellStyle name="_방동_원평_율동자연공원내 휴게편의점 도색작업-할증-천정면적추가_진해자은수량산출서(단지내)_취합_00-설계서,원가계산,내역서" xfId="611"/>
    <cellStyle name="_방동_원평_율동자연공원내 휴게편의점 도색작업-할증-천정면적추가_진해자은수량산출서(단지내)_취합_설계서-1" xfId="612"/>
    <cellStyle name="_방동_원평_율동자연공원내 휴게편의점 도색작업-할증-천정면적추가_진해자은수량산출서(단지내)_취합_설계서-1_00-설계서,원가계산,내역서" xfId="613"/>
    <cellStyle name="_방동_원평_이문동구간중랑천변녹화사업(수량산출서, 071127)-최종" xfId="614"/>
    <cellStyle name="_방동_원평_이문동구간중랑천변녹화사업(수량산출서, 071127)-최종_00-설계서,원가계산,내역서" xfId="615"/>
    <cellStyle name="_방동_원평_진해자은수량산출서(단지내)" xfId="616"/>
    <cellStyle name="_방동_원평_진해자은수량산출서(단지내)_00-설계서,원가계산,내역서" xfId="617"/>
    <cellStyle name="_방동_원평_진해자은수량산출서(단지내)_기초산출표-56-128-최종" xfId="618"/>
    <cellStyle name="_방동_원평_진해자은수량산출서(단지내)_기초산출표-56-128-최종_00-설계서,원가계산,내역서" xfId="619"/>
    <cellStyle name="_방동_원평_진해자은수량산출서(단지내)_기초산출표-56-128-최종_설계서-1" xfId="620"/>
    <cellStyle name="_방동_원평_진해자은수량산출서(단지내)_기초산출표-56-128-최종_설계서-1_00-설계서,원가계산,내역서" xfId="621"/>
    <cellStyle name="_방동_원평_진해자은수량산출서(단지내)_설계서-1" xfId="622"/>
    <cellStyle name="_방동_원평_진해자은수량산출서(단지내)_설계서-1_00-설계서,원가계산,내역서" xfId="623"/>
    <cellStyle name="_방동_원평_진해자은수량산출서(단지내)_취합" xfId="624"/>
    <cellStyle name="_방동_원평_진해자은수량산출서(단지내)_취합_00-설계서,원가계산,내역서" xfId="625"/>
    <cellStyle name="_방동_원평_진해자은수량산출서(단지내)_취합_설계서-1" xfId="626"/>
    <cellStyle name="_방동_원평_진해자은수량산출서(단지내)_취합_설계서-1_00-설계서,원가계산,내역서" xfId="627"/>
    <cellStyle name="_방동_원평_포장" xfId="628"/>
    <cellStyle name="_방동_원평_포장_00-설계서,원가계산,내역서" xfId="629"/>
    <cellStyle name="_방동_원평_포장_라멘교 토공" xfId="630"/>
    <cellStyle name="_방동_원평_포장_라멘교 토공_00-설계서,원가계산,내역서" xfId="631"/>
    <cellStyle name="_방동_율동자연공원내 화장실 보수 및 도색공사" xfId="632"/>
    <cellStyle name="_방동_율동자연공원내 화장실 보수 및 도색공사_00-설계서,원가계산,내역서" xfId="633"/>
    <cellStyle name="_방동_율동자연공원내 화장실 보수 및 도색공사_내역서-최종0223" xfId="634"/>
    <cellStyle name="_방동_율동자연공원내 화장실 보수 및 도색공사_내역서-최종0223_00-설계서,원가계산,내역서" xfId="635"/>
    <cellStyle name="_방동_율동자연공원내 화장실 보수 및 도색공사_내역서-최종0223_설계서-1" xfId="636"/>
    <cellStyle name="_방동_율동자연공원내 화장실 보수 및 도색공사_내역서-최종0223_설계서-1_00-설계서,원가계산,내역서" xfId="637"/>
    <cellStyle name="_방동_율동자연공원내 화장실 보수 및 도색공사_내역서-최종0223_진해자은수량산출서(단지내)" xfId="638"/>
    <cellStyle name="_방동_율동자연공원내 화장실 보수 및 도색공사_내역서-최종0223_진해자은수량산출서(단지내)_00-설계서,원가계산,내역서" xfId="639"/>
    <cellStyle name="_방동_율동자연공원내 화장실 보수 및 도색공사_내역서-최종0223_진해자은수량산출서(단지내)_기초산출표-56-128-최종" xfId="640"/>
    <cellStyle name="_방동_율동자연공원내 화장실 보수 및 도색공사_내역서-최종0223_진해자은수량산출서(단지내)_기초산출표-56-128-최종_00-설계서,원가계산,내역서" xfId="641"/>
    <cellStyle name="_방동_율동자연공원내 화장실 보수 및 도색공사_내역서-최종0223_진해자은수량산출서(단지내)_기초산출표-56-128-최종_설계서-1" xfId="642"/>
    <cellStyle name="_방동_율동자연공원내 화장실 보수 및 도색공사_내역서-최종0223_진해자은수량산출서(단지내)_기초산출표-56-128-최종_설계서-1_00-설계서,원가계산,내역서" xfId="643"/>
    <cellStyle name="_방동_율동자연공원내 화장실 보수 및 도색공사_내역서-최종0223_진해자은수량산출서(단지내)_설계서-1" xfId="644"/>
    <cellStyle name="_방동_율동자연공원내 화장실 보수 및 도색공사_내역서-최종0223_진해자은수량산출서(단지내)_설계서-1_00-설계서,원가계산,내역서" xfId="645"/>
    <cellStyle name="_방동_율동자연공원내 화장실 보수 및 도색공사_내역서-최종0223_진해자은수량산출서(단지내)_취합" xfId="646"/>
    <cellStyle name="_방동_율동자연공원내 화장실 보수 및 도색공사_내역서-최종0223_진해자은수량산출서(단지내)_취합_00-설계서,원가계산,내역서" xfId="647"/>
    <cellStyle name="_방동_율동자연공원내 화장실 보수 및 도색공사_내역서-최종0223_진해자은수량산출서(단지내)_취합_설계서-1" xfId="648"/>
    <cellStyle name="_방동_율동자연공원내 화장실 보수 및 도색공사_내역서-최종0223_진해자은수량산출서(단지내)_취합_설계서-1_00-설계서,원가계산,내역서" xfId="649"/>
    <cellStyle name="_방동_율동자연공원내 화장실 보수 및 도색공사_설계서-1" xfId="650"/>
    <cellStyle name="_방동_율동자연공원내 화장실 보수 및 도색공사_설계서-1_00-설계서,원가계산,내역서" xfId="651"/>
    <cellStyle name="_방동_율동자연공원내 화장실 보수 및 도색공사_진해자은수량산출서(단지내)" xfId="652"/>
    <cellStyle name="_방동_율동자연공원내 화장실 보수 및 도색공사_진해자은수량산출서(단지내)_00-설계서,원가계산,내역서" xfId="653"/>
    <cellStyle name="_방동_율동자연공원내 화장실 보수 및 도색공사_진해자은수량산출서(단지내)_기초산출표-56-128-최종" xfId="654"/>
    <cellStyle name="_방동_율동자연공원내 화장실 보수 및 도색공사_진해자은수량산출서(단지내)_기초산출표-56-128-최종_00-설계서,원가계산,내역서" xfId="655"/>
    <cellStyle name="_방동_율동자연공원내 화장실 보수 및 도색공사_진해자은수량산출서(단지내)_기초산출표-56-128-최종_설계서-1" xfId="656"/>
    <cellStyle name="_방동_율동자연공원내 화장실 보수 및 도색공사_진해자은수량산출서(단지내)_기초산출표-56-128-최종_설계서-1_00-설계서,원가계산,내역서" xfId="657"/>
    <cellStyle name="_방동_율동자연공원내 화장실 보수 및 도색공사_진해자은수량산출서(단지내)_설계서-1" xfId="658"/>
    <cellStyle name="_방동_율동자연공원내 화장실 보수 및 도색공사_진해자은수량산출서(단지내)_설계서-1_00-설계서,원가계산,내역서" xfId="659"/>
    <cellStyle name="_방동_율동자연공원내 화장실 보수 및 도색공사_진해자은수량산출서(단지내)_취합" xfId="660"/>
    <cellStyle name="_방동_율동자연공원내 화장실 보수 및 도색공사_진해자은수량산출서(단지내)_취합_00-설계서,원가계산,내역서" xfId="661"/>
    <cellStyle name="_방동_율동자연공원내 화장실 보수 및 도색공사_진해자은수량산출서(단지내)_취합_설계서-1" xfId="662"/>
    <cellStyle name="_방동_율동자연공원내 화장실 보수 및 도색공사_진해자은수량산출서(단지내)_취합_설계서-1_00-설계서,원가계산,내역서" xfId="663"/>
    <cellStyle name="_방동_율동자연공원내 휴게편의점 도색작업-할증-천정면적추가" xfId="664"/>
    <cellStyle name="_방동_율동자연공원내 휴게편의점 도색작업-할증-천정면적추가_00-설계서,원가계산,내역서" xfId="665"/>
    <cellStyle name="_방동_율동자연공원내 휴게편의점 도색작업-할증-천정면적추가_내역서-최종0223" xfId="666"/>
    <cellStyle name="_방동_율동자연공원내 휴게편의점 도색작업-할증-천정면적추가_내역서-최종0223_00-설계서,원가계산,내역서" xfId="667"/>
    <cellStyle name="_방동_율동자연공원내 휴게편의점 도색작업-할증-천정면적추가_내역서-최종0223_설계서-1" xfId="668"/>
    <cellStyle name="_방동_율동자연공원내 휴게편의점 도색작업-할증-천정면적추가_내역서-최종0223_설계서-1_00-설계서,원가계산,내역서" xfId="669"/>
    <cellStyle name="_방동_율동자연공원내 휴게편의점 도색작업-할증-천정면적추가_내역서-최종0223_진해자은수량산출서(단지내)" xfId="670"/>
    <cellStyle name="_방동_율동자연공원내 휴게편의점 도색작업-할증-천정면적추가_내역서-최종0223_진해자은수량산출서(단지내)_00-설계서,원가계산,내역서" xfId="671"/>
    <cellStyle name="_방동_율동자연공원내 휴게편의점 도색작업-할증-천정면적추가_내역서-최종0223_진해자은수량산출서(단지내)_기초산출표-56-128-최종" xfId="672"/>
    <cellStyle name="_방동_율동자연공원내 휴게편의점 도색작업-할증-천정면적추가_내역서-최종0223_진해자은수량산출서(단지내)_기초산출표-56-128-최종_00-설계서,원가계산,내역서" xfId="673"/>
    <cellStyle name="_방동_율동자연공원내 휴게편의점 도색작업-할증-천정면적추가_내역서-최종0223_진해자은수량산출서(단지내)_기초산출표-56-128-최종_설계서-1" xfId="674"/>
    <cellStyle name="_방동_율동자연공원내 휴게편의점 도색작업-할증-천정면적추가_내역서-최종0223_진해자은수량산출서(단지내)_기초산출표-56-128-최종_설계서-1_00-설계서,원가계산,내역서" xfId="675"/>
    <cellStyle name="_방동_율동자연공원내 휴게편의점 도색작업-할증-천정면적추가_내역서-최종0223_진해자은수량산출서(단지내)_설계서-1" xfId="676"/>
    <cellStyle name="_방동_율동자연공원내 휴게편의점 도색작업-할증-천정면적추가_내역서-최종0223_진해자은수량산출서(단지내)_설계서-1_00-설계서,원가계산,내역서" xfId="677"/>
    <cellStyle name="_방동_율동자연공원내 휴게편의점 도색작업-할증-천정면적추가_내역서-최종0223_진해자은수량산출서(단지내)_취합" xfId="678"/>
    <cellStyle name="_방동_율동자연공원내 휴게편의점 도색작업-할증-천정면적추가_내역서-최종0223_진해자은수량산출서(단지내)_취합_00-설계서,원가계산,내역서" xfId="679"/>
    <cellStyle name="_방동_율동자연공원내 휴게편의점 도색작업-할증-천정면적추가_내역서-최종0223_진해자은수량산출서(단지내)_취합_설계서-1" xfId="680"/>
    <cellStyle name="_방동_율동자연공원내 휴게편의점 도색작업-할증-천정면적추가_내역서-최종0223_진해자은수량산출서(단지내)_취합_설계서-1_00-설계서,원가계산,내역서" xfId="681"/>
    <cellStyle name="_방동_율동자연공원내 휴게편의점 도색작업-할증-천정면적추가_설계서-1" xfId="682"/>
    <cellStyle name="_방동_율동자연공원내 휴게편의점 도색작업-할증-천정면적추가_설계서-1_00-설계서,원가계산,내역서" xfId="683"/>
    <cellStyle name="_방동_율동자연공원내 휴게편의점 도색작업-할증-천정면적추가_진해자은수량산출서(단지내)" xfId="684"/>
    <cellStyle name="_방동_율동자연공원내 휴게편의점 도색작업-할증-천정면적추가_진해자은수량산출서(단지내)_00-설계서,원가계산,내역서" xfId="685"/>
    <cellStyle name="_방동_율동자연공원내 휴게편의점 도색작업-할증-천정면적추가_진해자은수량산출서(단지내)_기초산출표-56-128-최종" xfId="686"/>
    <cellStyle name="_방동_율동자연공원내 휴게편의점 도색작업-할증-천정면적추가_진해자은수량산출서(단지내)_기초산출표-56-128-최종_00-설계서,원가계산,내역서" xfId="687"/>
    <cellStyle name="_방동_율동자연공원내 휴게편의점 도색작업-할증-천정면적추가_진해자은수량산출서(단지내)_기초산출표-56-128-최종_설계서-1" xfId="688"/>
    <cellStyle name="_방동_율동자연공원내 휴게편의점 도색작업-할증-천정면적추가_진해자은수량산출서(단지내)_기초산출표-56-128-최종_설계서-1_00-설계서,원가계산,내역서" xfId="689"/>
    <cellStyle name="_방동_율동자연공원내 휴게편의점 도색작업-할증-천정면적추가_진해자은수량산출서(단지내)_설계서-1" xfId="690"/>
    <cellStyle name="_방동_율동자연공원내 휴게편의점 도색작업-할증-천정면적추가_진해자은수량산출서(단지내)_설계서-1_00-설계서,원가계산,내역서" xfId="691"/>
    <cellStyle name="_방동_율동자연공원내 휴게편의점 도색작업-할증-천정면적추가_진해자은수량산출서(단지내)_취합" xfId="692"/>
    <cellStyle name="_방동_율동자연공원내 휴게편의점 도색작업-할증-천정면적추가_진해자은수량산출서(단지내)_취합_00-설계서,원가계산,내역서" xfId="693"/>
    <cellStyle name="_방동_율동자연공원내 휴게편의점 도색작업-할증-천정면적추가_진해자은수량산출서(단지내)_취합_설계서-1" xfId="694"/>
    <cellStyle name="_방동_율동자연공원내 휴게편의점 도색작업-할증-천정면적추가_진해자은수량산출서(단지내)_취합_설계서-1_00-설계서,원가계산,내역서" xfId="695"/>
    <cellStyle name="_방동_이문동구간중랑천변녹화사업(수량산출서, 071127)-최종" xfId="696"/>
    <cellStyle name="_방동_이문동구간중랑천변녹화사업(수량산출서, 071127)-최종_00-설계서,원가계산,내역서" xfId="697"/>
    <cellStyle name="_방동_진해자은수량산출서(단지내)" xfId="698"/>
    <cellStyle name="_방동_진해자은수량산출서(단지내)_00-설계서,원가계산,내역서" xfId="699"/>
    <cellStyle name="_방동_진해자은수량산출서(단지내)_기초산출표-56-128-최종" xfId="700"/>
    <cellStyle name="_방동_진해자은수량산출서(단지내)_기초산출표-56-128-최종_00-설계서,원가계산,내역서" xfId="701"/>
    <cellStyle name="_방동_진해자은수량산출서(단지내)_기초산출표-56-128-최종_설계서-1" xfId="702"/>
    <cellStyle name="_방동_진해자은수량산출서(단지내)_기초산출표-56-128-최종_설계서-1_00-설계서,원가계산,내역서" xfId="703"/>
    <cellStyle name="_방동_진해자은수량산출서(단지내)_설계서-1" xfId="704"/>
    <cellStyle name="_방동_진해자은수량산출서(단지내)_설계서-1_00-설계서,원가계산,내역서" xfId="705"/>
    <cellStyle name="_방동_진해자은수량산출서(단지내)_취합" xfId="706"/>
    <cellStyle name="_방동_진해자은수량산출서(단지내)_취합_00-설계서,원가계산,내역서" xfId="707"/>
    <cellStyle name="_방동_진해자은수량산출서(단지내)_취합_설계서-1" xfId="708"/>
    <cellStyle name="_방동_진해자은수량산출서(단지내)_취합_설계서-1_00-설계서,원가계산,내역서" xfId="709"/>
    <cellStyle name="_방동_추곡" xfId="710"/>
    <cellStyle name="_방동_추곡_00-설계서,원가계산,내역서" xfId="711"/>
    <cellStyle name="_방동_추곡_내역서-최종0223" xfId="712"/>
    <cellStyle name="_방동_추곡_내역서-최종0223_00-설계서,원가계산,내역서" xfId="713"/>
    <cellStyle name="_방동_추곡_내역서-최종0223_설계서-1" xfId="714"/>
    <cellStyle name="_방동_추곡_내역서-최종0223_설계서-1_00-설계서,원가계산,내역서" xfId="715"/>
    <cellStyle name="_방동_추곡_내역서-최종0223_진해자은수량산출서(단지내)" xfId="716"/>
    <cellStyle name="_방동_추곡_내역서-최종0223_진해자은수량산출서(단지내)_00-설계서,원가계산,내역서" xfId="717"/>
    <cellStyle name="_방동_추곡_내역서-최종0223_진해자은수량산출서(단지내)_기초산출표-56-128-최종" xfId="718"/>
    <cellStyle name="_방동_추곡_내역서-최종0223_진해자은수량산출서(단지내)_기초산출표-56-128-최종_00-설계서,원가계산,내역서" xfId="719"/>
    <cellStyle name="_방동_추곡_내역서-최종0223_진해자은수량산출서(단지내)_기초산출표-56-128-최종_설계서-1" xfId="720"/>
    <cellStyle name="_방동_추곡_내역서-최종0223_진해자은수량산출서(단지내)_기초산출표-56-128-최종_설계서-1_00-설계서,원가계산,내역서" xfId="721"/>
    <cellStyle name="_방동_추곡_내역서-최종0223_진해자은수량산출서(단지내)_설계서-1" xfId="722"/>
    <cellStyle name="_방동_추곡_내역서-최종0223_진해자은수량산출서(단지내)_설계서-1_00-설계서,원가계산,내역서" xfId="723"/>
    <cellStyle name="_방동_추곡_내역서-최종0223_진해자은수량산출서(단지내)_취합" xfId="724"/>
    <cellStyle name="_방동_추곡_내역서-최종0223_진해자은수량산출서(단지내)_취합_00-설계서,원가계산,내역서" xfId="725"/>
    <cellStyle name="_방동_추곡_내역서-최종0223_진해자은수량산출서(단지내)_취합_설계서-1" xfId="726"/>
    <cellStyle name="_방동_추곡_내역서-최종0223_진해자은수량산출서(단지내)_취합_설계서-1_00-설계서,원가계산,내역서" xfId="727"/>
    <cellStyle name="_방동_추곡_라멘교 토공" xfId="728"/>
    <cellStyle name="_방동_추곡_라멘교 토공_00-설계서,원가계산,내역서" xfId="729"/>
    <cellStyle name="_방동_추곡_설계서-1" xfId="730"/>
    <cellStyle name="_방동_추곡_설계서-1_00-설계서,원가계산,내역서" xfId="731"/>
    <cellStyle name="_방동_추곡_율동자연공원내 화장실 보수 및 도색공사" xfId="732"/>
    <cellStyle name="_방동_추곡_율동자연공원내 화장실 보수 및 도색공사_00-설계서,원가계산,내역서" xfId="733"/>
    <cellStyle name="_방동_추곡_율동자연공원내 화장실 보수 및 도색공사_내역서-최종0223" xfId="734"/>
    <cellStyle name="_방동_추곡_율동자연공원내 화장실 보수 및 도색공사_내역서-최종0223_00-설계서,원가계산,내역서" xfId="735"/>
    <cellStyle name="_방동_추곡_율동자연공원내 화장실 보수 및 도색공사_내역서-최종0223_설계서-1" xfId="736"/>
    <cellStyle name="_방동_추곡_율동자연공원내 화장실 보수 및 도색공사_내역서-최종0223_설계서-1_00-설계서,원가계산,내역서" xfId="737"/>
    <cellStyle name="_방동_추곡_율동자연공원내 화장실 보수 및 도색공사_내역서-최종0223_진해자은수량산출서(단지내)" xfId="738"/>
    <cellStyle name="_방동_추곡_율동자연공원내 화장실 보수 및 도색공사_내역서-최종0223_진해자은수량산출서(단지내)_00-설계서,원가계산,내역서" xfId="739"/>
    <cellStyle name="_방동_추곡_율동자연공원내 화장실 보수 및 도색공사_내역서-최종0223_진해자은수량산출서(단지내)_기초산출표-56-128-최종" xfId="740"/>
    <cellStyle name="_방동_추곡_율동자연공원내 화장실 보수 및 도색공사_내역서-최종0223_진해자은수량산출서(단지내)_기초산출표-56-128-최종_00-설계서,원가계산,내역서" xfId="741"/>
    <cellStyle name="_방동_추곡_율동자연공원내 화장실 보수 및 도색공사_내역서-최종0223_진해자은수량산출서(단지내)_기초산출표-56-128-최종_설계서-1" xfId="742"/>
    <cellStyle name="_방동_추곡_율동자연공원내 화장실 보수 및 도색공사_내역서-최종0223_진해자은수량산출서(단지내)_기초산출표-56-128-최종_설계서-1_00-설계서,원가계산,내역서" xfId="743"/>
    <cellStyle name="_방동_추곡_율동자연공원내 화장실 보수 및 도색공사_내역서-최종0223_진해자은수량산출서(단지내)_설계서-1" xfId="744"/>
    <cellStyle name="_방동_추곡_율동자연공원내 화장실 보수 및 도색공사_내역서-최종0223_진해자은수량산출서(단지내)_설계서-1_00-설계서,원가계산,내역서" xfId="745"/>
    <cellStyle name="_방동_추곡_율동자연공원내 화장실 보수 및 도색공사_내역서-최종0223_진해자은수량산출서(단지내)_취합" xfId="746"/>
    <cellStyle name="_방동_추곡_율동자연공원내 화장실 보수 및 도색공사_내역서-최종0223_진해자은수량산출서(단지내)_취합_00-설계서,원가계산,내역서" xfId="747"/>
    <cellStyle name="_방동_추곡_율동자연공원내 화장실 보수 및 도색공사_내역서-최종0223_진해자은수량산출서(단지내)_취합_설계서-1" xfId="748"/>
    <cellStyle name="_방동_추곡_율동자연공원내 화장실 보수 및 도색공사_내역서-최종0223_진해자은수량산출서(단지내)_취합_설계서-1_00-설계서,원가계산,내역서" xfId="749"/>
    <cellStyle name="_방동_추곡_율동자연공원내 화장실 보수 및 도색공사_설계서-1" xfId="750"/>
    <cellStyle name="_방동_추곡_율동자연공원내 화장실 보수 및 도색공사_설계서-1_00-설계서,원가계산,내역서" xfId="751"/>
    <cellStyle name="_방동_추곡_율동자연공원내 화장실 보수 및 도색공사_진해자은수량산출서(단지내)" xfId="752"/>
    <cellStyle name="_방동_추곡_율동자연공원내 화장실 보수 및 도색공사_진해자은수량산출서(단지내)_00-설계서,원가계산,내역서" xfId="753"/>
    <cellStyle name="_방동_추곡_율동자연공원내 화장실 보수 및 도색공사_진해자은수량산출서(단지내)_기초산출표-56-128-최종" xfId="754"/>
    <cellStyle name="_방동_추곡_율동자연공원내 화장실 보수 및 도색공사_진해자은수량산출서(단지내)_기초산출표-56-128-최종_00-설계서,원가계산,내역서" xfId="755"/>
    <cellStyle name="_방동_추곡_율동자연공원내 화장실 보수 및 도색공사_진해자은수량산출서(단지내)_기초산출표-56-128-최종_설계서-1" xfId="756"/>
    <cellStyle name="_방동_추곡_율동자연공원내 화장실 보수 및 도색공사_진해자은수량산출서(단지내)_기초산출표-56-128-최종_설계서-1_00-설계서,원가계산,내역서" xfId="757"/>
    <cellStyle name="_방동_추곡_율동자연공원내 화장실 보수 및 도색공사_진해자은수량산출서(단지내)_설계서-1" xfId="758"/>
    <cellStyle name="_방동_추곡_율동자연공원내 화장실 보수 및 도색공사_진해자은수량산출서(단지내)_설계서-1_00-설계서,원가계산,내역서" xfId="759"/>
    <cellStyle name="_방동_추곡_율동자연공원내 화장실 보수 및 도색공사_진해자은수량산출서(단지내)_취합" xfId="760"/>
    <cellStyle name="_방동_추곡_율동자연공원내 화장실 보수 및 도색공사_진해자은수량산출서(단지내)_취합_00-설계서,원가계산,내역서" xfId="761"/>
    <cellStyle name="_방동_추곡_율동자연공원내 화장실 보수 및 도색공사_진해자은수량산출서(단지내)_취합_설계서-1" xfId="762"/>
    <cellStyle name="_방동_추곡_율동자연공원내 화장실 보수 및 도색공사_진해자은수량산출서(단지내)_취합_설계서-1_00-설계서,원가계산,내역서" xfId="763"/>
    <cellStyle name="_방동_추곡_율동자연공원내 휴게편의점 도색작업-할증-천정면적추가" xfId="764"/>
    <cellStyle name="_방동_추곡_율동자연공원내 휴게편의점 도색작업-할증-천정면적추가_00-설계서,원가계산,내역서" xfId="765"/>
    <cellStyle name="_방동_추곡_율동자연공원내 휴게편의점 도색작업-할증-천정면적추가_내역서-최종0223" xfId="766"/>
    <cellStyle name="_방동_추곡_율동자연공원내 휴게편의점 도색작업-할증-천정면적추가_내역서-최종0223_00-설계서,원가계산,내역서" xfId="767"/>
    <cellStyle name="_방동_추곡_율동자연공원내 휴게편의점 도색작업-할증-천정면적추가_내역서-최종0223_설계서-1" xfId="768"/>
    <cellStyle name="_방동_추곡_율동자연공원내 휴게편의점 도색작업-할증-천정면적추가_내역서-최종0223_설계서-1_00-설계서,원가계산,내역서" xfId="769"/>
    <cellStyle name="_방동_추곡_율동자연공원내 휴게편의점 도색작업-할증-천정면적추가_내역서-최종0223_진해자은수량산출서(단지내)" xfId="770"/>
    <cellStyle name="_방동_추곡_율동자연공원내 휴게편의점 도색작업-할증-천정면적추가_내역서-최종0223_진해자은수량산출서(단지내)_00-설계서,원가계산,내역서" xfId="771"/>
    <cellStyle name="_방동_추곡_율동자연공원내 휴게편의점 도색작업-할증-천정면적추가_내역서-최종0223_진해자은수량산출서(단지내)_기초산출표-56-128-최종" xfId="772"/>
    <cellStyle name="_방동_추곡_율동자연공원내 휴게편의점 도색작업-할증-천정면적추가_내역서-최종0223_진해자은수량산출서(단지내)_기초산출표-56-128-최종_00-설계서,원가계산,내역서" xfId="773"/>
    <cellStyle name="_방동_추곡_율동자연공원내 휴게편의점 도색작업-할증-천정면적추가_내역서-최종0223_진해자은수량산출서(단지내)_기초산출표-56-128-최종_설계서-1" xfId="774"/>
    <cellStyle name="_방동_추곡_율동자연공원내 휴게편의점 도색작업-할증-천정면적추가_내역서-최종0223_진해자은수량산출서(단지내)_기초산출표-56-128-최종_설계서-1_00-설계서,원가계산,내역서" xfId="775"/>
    <cellStyle name="_방동_추곡_율동자연공원내 휴게편의점 도색작업-할증-천정면적추가_내역서-최종0223_진해자은수량산출서(단지내)_설계서-1" xfId="776"/>
    <cellStyle name="_방동_추곡_율동자연공원내 휴게편의점 도색작업-할증-천정면적추가_내역서-최종0223_진해자은수량산출서(단지내)_설계서-1_00-설계서,원가계산,내역서" xfId="777"/>
    <cellStyle name="_방동_추곡_율동자연공원내 휴게편의점 도색작업-할증-천정면적추가_내역서-최종0223_진해자은수량산출서(단지내)_취합" xfId="778"/>
    <cellStyle name="_방동_추곡_율동자연공원내 휴게편의점 도색작업-할증-천정면적추가_내역서-최종0223_진해자은수량산출서(단지내)_취합_00-설계서,원가계산,내역서" xfId="779"/>
    <cellStyle name="_방동_추곡_율동자연공원내 휴게편의점 도색작업-할증-천정면적추가_내역서-최종0223_진해자은수량산출서(단지내)_취합_설계서-1" xfId="780"/>
    <cellStyle name="_방동_추곡_율동자연공원내 휴게편의점 도색작업-할증-천정면적추가_내역서-최종0223_진해자은수량산출서(단지내)_취합_설계서-1_00-설계서,원가계산,내역서" xfId="781"/>
    <cellStyle name="_방동_추곡_율동자연공원내 휴게편의점 도색작업-할증-천정면적추가_설계서-1" xfId="782"/>
    <cellStyle name="_방동_추곡_율동자연공원내 휴게편의점 도색작업-할증-천정면적추가_설계서-1_00-설계서,원가계산,내역서" xfId="783"/>
    <cellStyle name="_방동_추곡_율동자연공원내 휴게편의점 도색작업-할증-천정면적추가_진해자은수량산출서(단지내)" xfId="784"/>
    <cellStyle name="_방동_추곡_율동자연공원내 휴게편의점 도색작업-할증-천정면적추가_진해자은수량산출서(단지내)_00-설계서,원가계산,내역서" xfId="785"/>
    <cellStyle name="_방동_추곡_율동자연공원내 휴게편의점 도색작업-할증-천정면적추가_진해자은수량산출서(단지내)_기초산출표-56-128-최종" xfId="786"/>
    <cellStyle name="_방동_추곡_율동자연공원내 휴게편의점 도색작업-할증-천정면적추가_진해자은수량산출서(단지내)_기초산출표-56-128-최종_00-설계서,원가계산,내역서" xfId="787"/>
    <cellStyle name="_방동_추곡_율동자연공원내 휴게편의점 도색작업-할증-천정면적추가_진해자은수량산출서(단지내)_기초산출표-56-128-최종_설계서-1" xfId="788"/>
    <cellStyle name="_방동_추곡_율동자연공원내 휴게편의점 도색작업-할증-천정면적추가_진해자은수량산출서(단지내)_기초산출표-56-128-최종_설계서-1_00-설계서,원가계산,내역서" xfId="789"/>
    <cellStyle name="_방동_추곡_율동자연공원내 휴게편의점 도색작업-할증-천정면적추가_진해자은수량산출서(단지내)_설계서-1" xfId="790"/>
    <cellStyle name="_방동_추곡_율동자연공원내 휴게편의점 도색작업-할증-천정면적추가_진해자은수량산출서(단지내)_설계서-1_00-설계서,원가계산,내역서" xfId="791"/>
    <cellStyle name="_방동_추곡_율동자연공원내 휴게편의점 도색작업-할증-천정면적추가_진해자은수량산출서(단지내)_취합" xfId="792"/>
    <cellStyle name="_방동_추곡_율동자연공원내 휴게편의점 도색작업-할증-천정면적추가_진해자은수량산출서(단지내)_취합_00-설계서,원가계산,내역서" xfId="793"/>
    <cellStyle name="_방동_추곡_율동자연공원내 휴게편의점 도색작업-할증-천정면적추가_진해자은수량산출서(단지내)_취합_설계서-1" xfId="794"/>
    <cellStyle name="_방동_추곡_율동자연공원내 휴게편의점 도색작업-할증-천정면적추가_진해자은수량산출서(단지내)_취합_설계서-1_00-설계서,원가계산,내역서" xfId="795"/>
    <cellStyle name="_방동_추곡_이문동구간중랑천변녹화사업(수량산출서, 071127)-최종" xfId="796"/>
    <cellStyle name="_방동_추곡_이문동구간중랑천변녹화사업(수량산출서, 071127)-최종_00-설계서,원가계산,내역서" xfId="797"/>
    <cellStyle name="_방동_추곡_진해자은수량산출서(단지내)" xfId="798"/>
    <cellStyle name="_방동_추곡_진해자은수량산출서(단지내)_00-설계서,원가계산,내역서" xfId="799"/>
    <cellStyle name="_방동_추곡_진해자은수량산출서(단지내)_기초산출표-56-128-최종" xfId="800"/>
    <cellStyle name="_방동_추곡_진해자은수량산출서(단지내)_기초산출표-56-128-최종_00-설계서,원가계산,내역서" xfId="801"/>
    <cellStyle name="_방동_추곡_진해자은수량산출서(단지내)_기초산출표-56-128-최종_설계서-1" xfId="802"/>
    <cellStyle name="_방동_추곡_진해자은수량산출서(단지내)_기초산출표-56-128-최종_설계서-1_00-설계서,원가계산,내역서" xfId="803"/>
    <cellStyle name="_방동_추곡_진해자은수량산출서(단지내)_설계서-1" xfId="804"/>
    <cellStyle name="_방동_추곡_진해자은수량산출서(단지내)_설계서-1_00-설계서,원가계산,내역서" xfId="805"/>
    <cellStyle name="_방동_추곡_진해자은수량산출서(단지내)_취합" xfId="806"/>
    <cellStyle name="_방동_추곡_진해자은수량산출서(단지내)_취합_00-설계서,원가계산,내역서" xfId="807"/>
    <cellStyle name="_방동_추곡_진해자은수량산출서(단지내)_취합_설계서-1" xfId="808"/>
    <cellStyle name="_방동_추곡_진해자은수량산출서(단지내)_취합_설계서-1_00-설계서,원가계산,내역서" xfId="809"/>
    <cellStyle name="_방동_추곡_포장" xfId="810"/>
    <cellStyle name="_방동_추곡_포장_00-설계서,원가계산,내역서" xfId="811"/>
    <cellStyle name="_방동_추곡_포장_라멘교 토공" xfId="812"/>
    <cellStyle name="_방동_추곡_포장_라멘교 토공_00-설계서,원가계산,내역서" xfId="813"/>
    <cellStyle name="_방동_포장" xfId="814"/>
    <cellStyle name="_방동_포장_00-설계서,원가계산,내역서" xfId="815"/>
    <cellStyle name="_방동_포장_라멘교 토공" xfId="816"/>
    <cellStyle name="_방동_포장_라멘교 토공_00-설계서,원가계산,내역서" xfId="817"/>
    <cellStyle name="_백운초통신내역(최종)" xfId="818"/>
    <cellStyle name="_부대토목 예정공사비(2007.09.28)" xfId="819"/>
    <cellStyle name="_부평점정산내역" xfId="820"/>
    <cellStyle name="_분전반~1" xfId="821"/>
    <cellStyle name="_서천공주(견적서)" xfId="822"/>
    <cellStyle name="_서천공주(견적서)_2004견적내역서리스트" xfId="823"/>
    <cellStyle name="_석은희지압보도" xfId="824"/>
    <cellStyle name="_석은희지압보도_00-설계서,원가계산,내역서" xfId="825"/>
    <cellStyle name="_석은희지압보도_내역서-최종0223" xfId="826"/>
    <cellStyle name="_석은희지압보도_내역서-최종0223_00-설계서,원가계산,내역서" xfId="827"/>
    <cellStyle name="_석은희지압보도_내역서-최종0223_설계서-1" xfId="828"/>
    <cellStyle name="_석은희지압보도_내역서-최종0223_설계서-1_00-설계서,원가계산,내역서" xfId="829"/>
    <cellStyle name="_석은희지압보도_내역서-최종0223_진해자은수량산출서(단지내)" xfId="830"/>
    <cellStyle name="_석은희지압보도_내역서-최종0223_진해자은수량산출서(단지내)_00-설계서,원가계산,내역서" xfId="831"/>
    <cellStyle name="_석은희지압보도_내역서-최종0223_진해자은수량산출서(단지내)_기초산출표-56-128-최종" xfId="832"/>
    <cellStyle name="_석은희지압보도_내역서-최종0223_진해자은수량산출서(단지내)_기초산출표-56-128-최종_00-설계서,원가계산,내역서" xfId="833"/>
    <cellStyle name="_석은희지압보도_내역서-최종0223_진해자은수량산출서(단지내)_기초산출표-56-128-최종_설계서-1" xfId="834"/>
    <cellStyle name="_석은희지압보도_내역서-최종0223_진해자은수량산출서(단지내)_기초산출표-56-128-최종_설계서-1_00-설계서,원가계산,내역서" xfId="835"/>
    <cellStyle name="_석은희지압보도_내역서-최종0223_진해자은수량산출서(단지내)_설계서-1" xfId="836"/>
    <cellStyle name="_석은희지압보도_내역서-최종0223_진해자은수량산출서(단지내)_설계서-1_00-설계서,원가계산,내역서" xfId="837"/>
    <cellStyle name="_석은희지압보도_내역서-최종0223_진해자은수량산출서(단지내)_취합" xfId="838"/>
    <cellStyle name="_석은희지압보도_내역서-최종0223_진해자은수량산출서(단지내)_취합_00-설계서,원가계산,내역서" xfId="839"/>
    <cellStyle name="_석은희지압보도_내역서-최종0223_진해자은수량산출서(단지내)_취합_설계서-1" xfId="840"/>
    <cellStyle name="_석은희지압보도_내역서-최종0223_진해자은수량산출서(단지내)_취합_설계서-1_00-설계서,원가계산,내역서" xfId="841"/>
    <cellStyle name="_석은희지압보도_설계서-1" xfId="842"/>
    <cellStyle name="_석은희지압보도_설계서-1_00-설계서,원가계산,내역서" xfId="843"/>
    <cellStyle name="_석은희지압보도_진해자은수량산출서(단지내)" xfId="844"/>
    <cellStyle name="_석은희지압보도_진해자은수량산출서(단지내)_00-설계서,원가계산,내역서" xfId="845"/>
    <cellStyle name="_석은희지압보도_진해자은수량산출서(단지내)_기초산출표-56-128-최종" xfId="846"/>
    <cellStyle name="_석은희지압보도_진해자은수량산출서(단지내)_기초산출표-56-128-최종_00-설계서,원가계산,내역서" xfId="847"/>
    <cellStyle name="_석은희지압보도_진해자은수량산출서(단지내)_기초산출표-56-128-최종_설계서-1" xfId="848"/>
    <cellStyle name="_석은희지압보도_진해자은수량산출서(단지내)_기초산출표-56-128-최종_설계서-1_00-설계서,원가계산,내역서" xfId="849"/>
    <cellStyle name="_석은희지압보도_진해자은수량산출서(단지내)_설계서-1" xfId="850"/>
    <cellStyle name="_석은희지압보도_진해자은수량산출서(단지내)_설계서-1_00-설계서,원가계산,내역서" xfId="851"/>
    <cellStyle name="_석은희지압보도_진해자은수량산출서(단지내)_취합" xfId="852"/>
    <cellStyle name="_석은희지압보도_진해자은수량산출서(단지내)_취합_00-설계서,원가계산,내역서" xfId="853"/>
    <cellStyle name="_석은희지압보도_진해자은수량산출서(단지내)_취합_설계서-1" xfId="854"/>
    <cellStyle name="_석은희지압보도_진해자은수량산출서(단지내)_취합_설계서-1_00-설계서,원가계산,내역서" xfId="855"/>
    <cellStyle name="_설계변경" xfId="856"/>
    <cellStyle name="_실시계획인가 예정용역비" xfId="857"/>
    <cellStyle name="_실시설계 공내역서" xfId="858"/>
    <cellStyle name="_연안권내역서(토목부문내역서)" xfId="859"/>
    <cellStyle name="_연안권역특화거리조성을위한음악분수대설치" xfId="860"/>
    <cellStyle name="_연안권역특화거리조성을위한음악분수대설치R6(제출EBS)-설비,전기,관리실" xfId="862"/>
    <cellStyle name="_연안권역특화거리조성을위한음악분수대설치R6(제출EBS)-설비,전기,관리실_00-설계서,원가계산,내역서" xfId="863"/>
    <cellStyle name="_연안권역특화거리조성을위한음악분수대설치_00-설계서,원가계산,내역서" xfId="861"/>
    <cellStyle name="_영화관약전설비(수정)" xfId="864"/>
    <cellStyle name="_울산롯데호텔소방전기견적서" xfId="865"/>
    <cellStyle name="_울산백화점 발의내역(계약단가적용)" xfId="866"/>
    <cellStyle name="_울산점소방전기공사(발주)" xfId="867"/>
    <cellStyle name="_유성약전발의내역1" xfId="868"/>
    <cellStyle name="_응급ES" xfId="869"/>
    <cellStyle name="_응급RE" xfId="870"/>
    <cellStyle name="_일반전기1공구" xfId="871"/>
    <cellStyle name="_일반전기2공구" xfId="872"/>
    <cellStyle name="_일반전기정산" xfId="873"/>
    <cellStyle name="_전기" xfId="874"/>
    <cellStyle name="_전력간선" xfId="875"/>
    <cellStyle name="_정산세부내역(건설사정)" xfId="876"/>
    <cellStyle name="_준공-약전설비공사" xfId="877"/>
    <cellStyle name="_추곡" xfId="878"/>
    <cellStyle name="_추곡_00-설계서,원가계산,내역서" xfId="879"/>
    <cellStyle name="_추곡_내역서-최종0223" xfId="880"/>
    <cellStyle name="_추곡_내역서-최종0223_00-설계서,원가계산,내역서" xfId="881"/>
    <cellStyle name="_추곡_내역서-최종0223_설계서-1" xfId="882"/>
    <cellStyle name="_추곡_내역서-최종0223_설계서-1_00-설계서,원가계산,내역서" xfId="883"/>
    <cellStyle name="_추곡_내역서-최종0223_진해자은수량산출서(단지내)" xfId="884"/>
    <cellStyle name="_추곡_내역서-최종0223_진해자은수량산출서(단지내)_00-설계서,원가계산,내역서" xfId="885"/>
    <cellStyle name="_추곡_내역서-최종0223_진해자은수량산출서(단지내)_기초산출표-56-128-최종" xfId="886"/>
    <cellStyle name="_추곡_내역서-최종0223_진해자은수량산출서(단지내)_기초산출표-56-128-최종_00-설계서,원가계산,내역서" xfId="887"/>
    <cellStyle name="_추곡_내역서-최종0223_진해자은수량산출서(단지내)_기초산출표-56-128-최종_설계서-1" xfId="888"/>
    <cellStyle name="_추곡_내역서-최종0223_진해자은수량산출서(단지내)_기초산출표-56-128-최종_설계서-1_00-설계서,원가계산,내역서" xfId="889"/>
    <cellStyle name="_추곡_내역서-최종0223_진해자은수량산출서(단지내)_설계서-1" xfId="890"/>
    <cellStyle name="_추곡_내역서-최종0223_진해자은수량산출서(단지내)_설계서-1_00-설계서,원가계산,내역서" xfId="891"/>
    <cellStyle name="_추곡_내역서-최종0223_진해자은수량산출서(단지내)_취합" xfId="892"/>
    <cellStyle name="_추곡_내역서-최종0223_진해자은수량산출서(단지내)_취합_00-설계서,원가계산,내역서" xfId="893"/>
    <cellStyle name="_추곡_내역서-최종0223_진해자은수량산출서(단지내)_취합_설계서-1" xfId="894"/>
    <cellStyle name="_추곡_내역서-최종0223_진해자은수량산출서(단지내)_취합_설계서-1_00-설계서,원가계산,내역서" xfId="895"/>
    <cellStyle name="_추곡_라멘교 토공" xfId="896"/>
    <cellStyle name="_추곡_라멘교 토공_00-설계서,원가계산,내역서" xfId="897"/>
    <cellStyle name="_추곡_설계서-1" xfId="898"/>
    <cellStyle name="_추곡_설계서-1_00-설계서,원가계산,내역서" xfId="899"/>
    <cellStyle name="_추곡_율동자연공원내 화장실 보수 및 도색공사" xfId="900"/>
    <cellStyle name="_추곡_율동자연공원내 화장실 보수 및 도색공사_00-설계서,원가계산,내역서" xfId="901"/>
    <cellStyle name="_추곡_율동자연공원내 화장실 보수 및 도색공사_내역서-최종0223" xfId="902"/>
    <cellStyle name="_추곡_율동자연공원내 화장실 보수 및 도색공사_내역서-최종0223_00-설계서,원가계산,내역서" xfId="903"/>
    <cellStyle name="_추곡_율동자연공원내 화장실 보수 및 도색공사_내역서-최종0223_설계서-1" xfId="904"/>
    <cellStyle name="_추곡_율동자연공원내 화장실 보수 및 도색공사_내역서-최종0223_설계서-1_00-설계서,원가계산,내역서" xfId="905"/>
    <cellStyle name="_추곡_율동자연공원내 화장실 보수 및 도색공사_내역서-최종0223_진해자은수량산출서(단지내)" xfId="906"/>
    <cellStyle name="_추곡_율동자연공원내 화장실 보수 및 도색공사_내역서-최종0223_진해자은수량산출서(단지내)_00-설계서,원가계산,내역서" xfId="907"/>
    <cellStyle name="_추곡_율동자연공원내 화장실 보수 및 도색공사_내역서-최종0223_진해자은수량산출서(단지내)_기초산출표-56-128-최종" xfId="908"/>
    <cellStyle name="_추곡_율동자연공원내 화장실 보수 및 도색공사_내역서-최종0223_진해자은수량산출서(단지내)_기초산출표-56-128-최종_00-설계서,원가계산,내역서" xfId="909"/>
    <cellStyle name="_추곡_율동자연공원내 화장실 보수 및 도색공사_내역서-최종0223_진해자은수량산출서(단지내)_기초산출표-56-128-최종_설계서-1" xfId="910"/>
    <cellStyle name="_추곡_율동자연공원내 화장실 보수 및 도색공사_내역서-최종0223_진해자은수량산출서(단지내)_기초산출표-56-128-최종_설계서-1_00-설계서,원가계산,내역서" xfId="911"/>
    <cellStyle name="_추곡_율동자연공원내 화장실 보수 및 도색공사_내역서-최종0223_진해자은수량산출서(단지내)_설계서-1" xfId="912"/>
    <cellStyle name="_추곡_율동자연공원내 화장실 보수 및 도색공사_내역서-최종0223_진해자은수량산출서(단지내)_설계서-1_00-설계서,원가계산,내역서" xfId="913"/>
    <cellStyle name="_추곡_율동자연공원내 화장실 보수 및 도색공사_내역서-최종0223_진해자은수량산출서(단지내)_취합" xfId="914"/>
    <cellStyle name="_추곡_율동자연공원내 화장실 보수 및 도색공사_내역서-최종0223_진해자은수량산출서(단지내)_취합_00-설계서,원가계산,내역서" xfId="915"/>
    <cellStyle name="_추곡_율동자연공원내 화장실 보수 및 도색공사_내역서-최종0223_진해자은수량산출서(단지내)_취합_설계서-1" xfId="916"/>
    <cellStyle name="_추곡_율동자연공원내 화장실 보수 및 도색공사_내역서-최종0223_진해자은수량산출서(단지내)_취합_설계서-1_00-설계서,원가계산,내역서" xfId="917"/>
    <cellStyle name="_추곡_율동자연공원내 화장실 보수 및 도색공사_설계서-1" xfId="918"/>
    <cellStyle name="_추곡_율동자연공원내 화장실 보수 및 도색공사_설계서-1_00-설계서,원가계산,내역서" xfId="919"/>
    <cellStyle name="_추곡_율동자연공원내 화장실 보수 및 도색공사_진해자은수량산출서(단지내)" xfId="920"/>
    <cellStyle name="_추곡_율동자연공원내 화장실 보수 및 도색공사_진해자은수량산출서(단지내)_00-설계서,원가계산,내역서" xfId="921"/>
    <cellStyle name="_추곡_율동자연공원내 화장실 보수 및 도색공사_진해자은수량산출서(단지내)_기초산출표-56-128-최종" xfId="922"/>
    <cellStyle name="_추곡_율동자연공원내 화장실 보수 및 도색공사_진해자은수량산출서(단지내)_기초산출표-56-128-최종_00-설계서,원가계산,내역서" xfId="923"/>
    <cellStyle name="_추곡_율동자연공원내 화장실 보수 및 도색공사_진해자은수량산출서(단지내)_기초산출표-56-128-최종_설계서-1" xfId="924"/>
    <cellStyle name="_추곡_율동자연공원내 화장실 보수 및 도색공사_진해자은수량산출서(단지내)_기초산출표-56-128-최종_설계서-1_00-설계서,원가계산,내역서" xfId="925"/>
    <cellStyle name="_추곡_율동자연공원내 화장실 보수 및 도색공사_진해자은수량산출서(단지내)_설계서-1" xfId="926"/>
    <cellStyle name="_추곡_율동자연공원내 화장실 보수 및 도색공사_진해자은수량산출서(단지내)_설계서-1_00-설계서,원가계산,내역서" xfId="927"/>
    <cellStyle name="_추곡_율동자연공원내 화장실 보수 및 도색공사_진해자은수량산출서(단지내)_취합" xfId="928"/>
    <cellStyle name="_추곡_율동자연공원내 화장실 보수 및 도색공사_진해자은수량산출서(단지내)_취합_00-설계서,원가계산,내역서" xfId="929"/>
    <cellStyle name="_추곡_율동자연공원내 화장실 보수 및 도색공사_진해자은수량산출서(단지내)_취합_설계서-1" xfId="930"/>
    <cellStyle name="_추곡_율동자연공원내 화장실 보수 및 도색공사_진해자은수량산출서(단지내)_취합_설계서-1_00-설계서,원가계산,내역서" xfId="931"/>
    <cellStyle name="_추곡_율동자연공원내 휴게편의점 도색작업-할증-천정면적추가" xfId="932"/>
    <cellStyle name="_추곡_율동자연공원내 휴게편의점 도색작업-할증-천정면적추가_00-설계서,원가계산,내역서" xfId="933"/>
    <cellStyle name="_추곡_율동자연공원내 휴게편의점 도색작업-할증-천정면적추가_내역서-최종0223" xfId="934"/>
    <cellStyle name="_추곡_율동자연공원내 휴게편의점 도색작업-할증-천정면적추가_내역서-최종0223_00-설계서,원가계산,내역서" xfId="935"/>
    <cellStyle name="_추곡_율동자연공원내 휴게편의점 도색작업-할증-천정면적추가_내역서-최종0223_설계서-1" xfId="936"/>
    <cellStyle name="_추곡_율동자연공원내 휴게편의점 도색작업-할증-천정면적추가_내역서-최종0223_설계서-1_00-설계서,원가계산,내역서" xfId="937"/>
    <cellStyle name="_추곡_율동자연공원내 휴게편의점 도색작업-할증-천정면적추가_내역서-최종0223_진해자은수량산출서(단지내)" xfId="938"/>
    <cellStyle name="_추곡_율동자연공원내 휴게편의점 도색작업-할증-천정면적추가_내역서-최종0223_진해자은수량산출서(단지내)_00-설계서,원가계산,내역서" xfId="939"/>
    <cellStyle name="_추곡_율동자연공원내 휴게편의점 도색작업-할증-천정면적추가_내역서-최종0223_진해자은수량산출서(단지내)_기초산출표-56-128-최종" xfId="940"/>
    <cellStyle name="_추곡_율동자연공원내 휴게편의점 도색작업-할증-천정면적추가_내역서-최종0223_진해자은수량산출서(단지내)_기초산출표-56-128-최종_00-설계서,원가계산,내역서" xfId="941"/>
    <cellStyle name="_추곡_율동자연공원내 휴게편의점 도색작업-할증-천정면적추가_내역서-최종0223_진해자은수량산출서(단지내)_기초산출표-56-128-최종_설계서-1" xfId="942"/>
    <cellStyle name="_추곡_율동자연공원내 휴게편의점 도색작업-할증-천정면적추가_내역서-최종0223_진해자은수량산출서(단지내)_기초산출표-56-128-최종_설계서-1_00-설계서,원가계산,내역서" xfId="943"/>
    <cellStyle name="_추곡_율동자연공원내 휴게편의점 도색작업-할증-천정면적추가_내역서-최종0223_진해자은수량산출서(단지내)_설계서-1" xfId="944"/>
    <cellStyle name="_추곡_율동자연공원내 휴게편의점 도색작업-할증-천정면적추가_내역서-최종0223_진해자은수량산출서(단지내)_설계서-1_00-설계서,원가계산,내역서" xfId="945"/>
    <cellStyle name="_추곡_율동자연공원내 휴게편의점 도색작업-할증-천정면적추가_내역서-최종0223_진해자은수량산출서(단지내)_취합" xfId="946"/>
    <cellStyle name="_추곡_율동자연공원내 휴게편의점 도색작업-할증-천정면적추가_내역서-최종0223_진해자은수량산출서(단지내)_취합_00-설계서,원가계산,내역서" xfId="947"/>
    <cellStyle name="_추곡_율동자연공원내 휴게편의점 도색작업-할증-천정면적추가_내역서-최종0223_진해자은수량산출서(단지내)_취합_설계서-1" xfId="948"/>
    <cellStyle name="_추곡_율동자연공원내 휴게편의점 도색작업-할증-천정면적추가_내역서-최종0223_진해자은수량산출서(단지내)_취합_설계서-1_00-설계서,원가계산,내역서" xfId="949"/>
    <cellStyle name="_추곡_율동자연공원내 휴게편의점 도색작업-할증-천정면적추가_설계서-1" xfId="950"/>
    <cellStyle name="_추곡_율동자연공원내 휴게편의점 도색작업-할증-천정면적추가_설계서-1_00-설계서,원가계산,내역서" xfId="951"/>
    <cellStyle name="_추곡_율동자연공원내 휴게편의점 도색작업-할증-천정면적추가_진해자은수량산출서(단지내)" xfId="952"/>
    <cellStyle name="_추곡_율동자연공원내 휴게편의점 도색작업-할증-천정면적추가_진해자은수량산출서(단지내)_00-설계서,원가계산,내역서" xfId="953"/>
    <cellStyle name="_추곡_율동자연공원내 휴게편의점 도색작업-할증-천정면적추가_진해자은수량산출서(단지내)_기초산출표-56-128-최종" xfId="954"/>
    <cellStyle name="_추곡_율동자연공원내 휴게편의점 도색작업-할증-천정면적추가_진해자은수량산출서(단지내)_기초산출표-56-128-최종_00-설계서,원가계산,내역서" xfId="955"/>
    <cellStyle name="_추곡_율동자연공원내 휴게편의점 도색작업-할증-천정면적추가_진해자은수량산출서(단지내)_기초산출표-56-128-최종_설계서-1" xfId="956"/>
    <cellStyle name="_추곡_율동자연공원내 휴게편의점 도색작업-할증-천정면적추가_진해자은수량산출서(단지내)_기초산출표-56-128-최종_설계서-1_00-설계서,원가계산,내역서" xfId="957"/>
    <cellStyle name="_추곡_율동자연공원내 휴게편의점 도색작업-할증-천정면적추가_진해자은수량산출서(단지내)_설계서-1" xfId="958"/>
    <cellStyle name="_추곡_율동자연공원내 휴게편의점 도색작업-할증-천정면적추가_진해자은수량산출서(단지내)_설계서-1_00-설계서,원가계산,내역서" xfId="959"/>
    <cellStyle name="_추곡_율동자연공원내 휴게편의점 도색작업-할증-천정면적추가_진해자은수량산출서(단지내)_취합" xfId="960"/>
    <cellStyle name="_추곡_율동자연공원내 휴게편의점 도색작업-할증-천정면적추가_진해자은수량산출서(단지내)_취합_00-설계서,원가계산,내역서" xfId="961"/>
    <cellStyle name="_추곡_율동자연공원내 휴게편의점 도색작업-할증-천정면적추가_진해자은수량산출서(단지내)_취합_설계서-1" xfId="962"/>
    <cellStyle name="_추곡_율동자연공원내 휴게편의점 도색작업-할증-천정면적추가_진해자은수량산출서(단지내)_취합_설계서-1_00-설계서,원가계산,내역서" xfId="963"/>
    <cellStyle name="_추곡_이문동구간중랑천변녹화사업(수량산출서, 071127)-최종" xfId="964"/>
    <cellStyle name="_추곡_이문동구간중랑천변녹화사업(수량산출서, 071127)-최종_00-설계서,원가계산,내역서" xfId="965"/>
    <cellStyle name="_추곡_진해자은수량산출서(단지내)" xfId="966"/>
    <cellStyle name="_추곡_진해자은수량산출서(단지내)_00-설계서,원가계산,내역서" xfId="967"/>
    <cellStyle name="_추곡_진해자은수량산출서(단지내)_기초산출표-56-128-최종" xfId="968"/>
    <cellStyle name="_추곡_진해자은수량산출서(단지내)_기초산출표-56-128-최종_00-설계서,원가계산,내역서" xfId="969"/>
    <cellStyle name="_추곡_진해자은수량산출서(단지내)_기초산출표-56-128-최종_설계서-1" xfId="970"/>
    <cellStyle name="_추곡_진해자은수량산출서(단지내)_기초산출표-56-128-최종_설계서-1_00-설계서,원가계산,내역서" xfId="971"/>
    <cellStyle name="_추곡_진해자은수량산출서(단지내)_설계서-1" xfId="972"/>
    <cellStyle name="_추곡_진해자은수량산출서(단지내)_설계서-1_00-설계서,원가계산,내역서" xfId="973"/>
    <cellStyle name="_추곡_진해자은수량산출서(단지내)_취합" xfId="974"/>
    <cellStyle name="_추곡_진해자은수량산출서(단지내)_취합_00-설계서,원가계산,내역서" xfId="975"/>
    <cellStyle name="_추곡_진해자은수량산출서(단지내)_취합_설계서-1" xfId="976"/>
    <cellStyle name="_추곡_진해자은수량산출서(단지내)_취합_설계서-1_00-설계서,원가계산,내역서" xfId="977"/>
    <cellStyle name="_추곡_추곡" xfId="978"/>
    <cellStyle name="_추곡_추곡_00-설계서,원가계산,내역서" xfId="979"/>
    <cellStyle name="_추곡_추곡_내역서-최종0223" xfId="980"/>
    <cellStyle name="_추곡_추곡_내역서-최종0223_00-설계서,원가계산,내역서" xfId="981"/>
    <cellStyle name="_추곡_추곡_내역서-최종0223_설계서-1" xfId="982"/>
    <cellStyle name="_추곡_추곡_내역서-최종0223_설계서-1_00-설계서,원가계산,내역서" xfId="983"/>
    <cellStyle name="_추곡_추곡_내역서-최종0223_진해자은수량산출서(단지내)" xfId="984"/>
    <cellStyle name="_추곡_추곡_내역서-최종0223_진해자은수량산출서(단지내)_00-설계서,원가계산,내역서" xfId="985"/>
    <cellStyle name="_추곡_추곡_내역서-최종0223_진해자은수량산출서(단지내)_기초산출표-56-128-최종" xfId="986"/>
    <cellStyle name="_추곡_추곡_내역서-최종0223_진해자은수량산출서(단지내)_기초산출표-56-128-최종_00-설계서,원가계산,내역서" xfId="987"/>
    <cellStyle name="_추곡_추곡_내역서-최종0223_진해자은수량산출서(단지내)_기초산출표-56-128-최종_설계서-1" xfId="988"/>
    <cellStyle name="_추곡_추곡_내역서-최종0223_진해자은수량산출서(단지내)_기초산출표-56-128-최종_설계서-1_00-설계서,원가계산,내역서" xfId="989"/>
    <cellStyle name="_추곡_추곡_내역서-최종0223_진해자은수량산출서(단지내)_설계서-1" xfId="990"/>
    <cellStyle name="_추곡_추곡_내역서-최종0223_진해자은수량산출서(단지내)_설계서-1_00-설계서,원가계산,내역서" xfId="991"/>
    <cellStyle name="_추곡_추곡_내역서-최종0223_진해자은수량산출서(단지내)_취합" xfId="992"/>
    <cellStyle name="_추곡_추곡_내역서-최종0223_진해자은수량산출서(단지내)_취합_00-설계서,원가계산,내역서" xfId="993"/>
    <cellStyle name="_추곡_추곡_내역서-최종0223_진해자은수량산출서(단지내)_취합_설계서-1" xfId="994"/>
    <cellStyle name="_추곡_추곡_내역서-최종0223_진해자은수량산출서(단지내)_취합_설계서-1_00-설계서,원가계산,내역서" xfId="995"/>
    <cellStyle name="_추곡_추곡_라멘교 토공" xfId="996"/>
    <cellStyle name="_추곡_추곡_라멘교 토공_00-설계서,원가계산,내역서" xfId="997"/>
    <cellStyle name="_추곡_추곡_설계서-1" xfId="998"/>
    <cellStyle name="_추곡_추곡_설계서-1_00-설계서,원가계산,내역서" xfId="999"/>
    <cellStyle name="_추곡_추곡_율동자연공원내 화장실 보수 및 도색공사" xfId="1000"/>
    <cellStyle name="_추곡_추곡_율동자연공원내 화장실 보수 및 도색공사_00-설계서,원가계산,내역서" xfId="1001"/>
    <cellStyle name="_추곡_추곡_율동자연공원내 화장실 보수 및 도색공사_내역서-최종0223" xfId="1002"/>
    <cellStyle name="_추곡_추곡_율동자연공원내 화장실 보수 및 도색공사_내역서-최종0223_00-설계서,원가계산,내역서" xfId="1003"/>
    <cellStyle name="_추곡_추곡_율동자연공원내 화장실 보수 및 도색공사_내역서-최종0223_설계서-1" xfId="1004"/>
    <cellStyle name="_추곡_추곡_율동자연공원내 화장실 보수 및 도색공사_내역서-최종0223_설계서-1_00-설계서,원가계산,내역서" xfId="1005"/>
    <cellStyle name="_추곡_추곡_율동자연공원내 화장실 보수 및 도색공사_내역서-최종0223_진해자은수량산출서(단지내)" xfId="1006"/>
    <cellStyle name="_추곡_추곡_율동자연공원내 화장실 보수 및 도색공사_내역서-최종0223_진해자은수량산출서(단지내)_00-설계서,원가계산,내역서" xfId="1007"/>
    <cellStyle name="_추곡_추곡_율동자연공원내 화장실 보수 및 도색공사_내역서-최종0223_진해자은수량산출서(단지내)_기초산출표-56-128-최종" xfId="1008"/>
    <cellStyle name="_추곡_추곡_율동자연공원내 화장실 보수 및 도색공사_내역서-최종0223_진해자은수량산출서(단지내)_기초산출표-56-128-최종_00-설계서,원가계산,내역서" xfId="1009"/>
    <cellStyle name="_추곡_추곡_율동자연공원내 화장실 보수 및 도색공사_내역서-최종0223_진해자은수량산출서(단지내)_기초산출표-56-128-최종_설계서-1" xfId="1010"/>
    <cellStyle name="_추곡_추곡_율동자연공원내 화장실 보수 및 도색공사_내역서-최종0223_진해자은수량산출서(단지내)_기초산출표-56-128-최종_설계서-1_00-설계서,원가계산,내역서" xfId="1011"/>
    <cellStyle name="_추곡_추곡_율동자연공원내 화장실 보수 및 도색공사_내역서-최종0223_진해자은수량산출서(단지내)_설계서-1" xfId="1012"/>
    <cellStyle name="_추곡_추곡_율동자연공원내 화장실 보수 및 도색공사_내역서-최종0223_진해자은수량산출서(단지내)_설계서-1_00-설계서,원가계산,내역서" xfId="1013"/>
    <cellStyle name="_추곡_추곡_율동자연공원내 화장실 보수 및 도색공사_내역서-최종0223_진해자은수량산출서(단지내)_취합" xfId="1014"/>
    <cellStyle name="_추곡_추곡_율동자연공원내 화장실 보수 및 도색공사_내역서-최종0223_진해자은수량산출서(단지내)_취합_00-설계서,원가계산,내역서" xfId="1015"/>
    <cellStyle name="_추곡_추곡_율동자연공원내 화장실 보수 및 도색공사_내역서-최종0223_진해자은수량산출서(단지내)_취합_설계서-1" xfId="1016"/>
    <cellStyle name="_추곡_추곡_율동자연공원내 화장실 보수 및 도색공사_내역서-최종0223_진해자은수량산출서(단지내)_취합_설계서-1_00-설계서,원가계산,내역서" xfId="1017"/>
    <cellStyle name="_추곡_추곡_율동자연공원내 화장실 보수 및 도색공사_설계서-1" xfId="1018"/>
    <cellStyle name="_추곡_추곡_율동자연공원내 화장실 보수 및 도색공사_설계서-1_00-설계서,원가계산,내역서" xfId="1019"/>
    <cellStyle name="_추곡_추곡_율동자연공원내 화장실 보수 및 도색공사_진해자은수량산출서(단지내)" xfId="1020"/>
    <cellStyle name="_추곡_추곡_율동자연공원내 화장실 보수 및 도색공사_진해자은수량산출서(단지내)_00-설계서,원가계산,내역서" xfId="1021"/>
    <cellStyle name="_추곡_추곡_율동자연공원내 화장실 보수 및 도색공사_진해자은수량산출서(단지내)_기초산출표-56-128-최종" xfId="1022"/>
    <cellStyle name="_추곡_추곡_율동자연공원내 화장실 보수 및 도색공사_진해자은수량산출서(단지내)_기초산출표-56-128-최종_00-설계서,원가계산,내역서" xfId="1023"/>
    <cellStyle name="_추곡_추곡_율동자연공원내 화장실 보수 및 도색공사_진해자은수량산출서(단지내)_기초산출표-56-128-최종_설계서-1" xfId="1024"/>
    <cellStyle name="_추곡_추곡_율동자연공원내 화장실 보수 및 도색공사_진해자은수량산출서(단지내)_기초산출표-56-128-최종_설계서-1_00-설계서,원가계산,내역서" xfId="1025"/>
    <cellStyle name="_추곡_추곡_율동자연공원내 화장실 보수 및 도색공사_진해자은수량산출서(단지내)_설계서-1" xfId="1026"/>
    <cellStyle name="_추곡_추곡_율동자연공원내 화장실 보수 및 도색공사_진해자은수량산출서(단지내)_설계서-1_00-설계서,원가계산,내역서" xfId="1027"/>
    <cellStyle name="_추곡_추곡_율동자연공원내 화장실 보수 및 도색공사_진해자은수량산출서(단지내)_취합" xfId="1028"/>
    <cellStyle name="_추곡_추곡_율동자연공원내 화장실 보수 및 도색공사_진해자은수량산출서(단지내)_취합_00-설계서,원가계산,내역서" xfId="1029"/>
    <cellStyle name="_추곡_추곡_율동자연공원내 화장실 보수 및 도색공사_진해자은수량산출서(단지내)_취합_설계서-1" xfId="1030"/>
    <cellStyle name="_추곡_추곡_율동자연공원내 화장실 보수 및 도색공사_진해자은수량산출서(단지내)_취합_설계서-1_00-설계서,원가계산,내역서" xfId="1031"/>
    <cellStyle name="_추곡_추곡_율동자연공원내 휴게편의점 도색작업-할증-천정면적추가" xfId="1032"/>
    <cellStyle name="_추곡_추곡_율동자연공원내 휴게편의점 도색작업-할증-천정면적추가_00-설계서,원가계산,내역서" xfId="1033"/>
    <cellStyle name="_추곡_추곡_율동자연공원내 휴게편의점 도색작업-할증-천정면적추가_내역서-최종0223" xfId="1034"/>
    <cellStyle name="_추곡_추곡_율동자연공원내 휴게편의점 도색작업-할증-천정면적추가_내역서-최종0223_00-설계서,원가계산,내역서" xfId="1035"/>
    <cellStyle name="_추곡_추곡_율동자연공원내 휴게편의점 도색작업-할증-천정면적추가_내역서-최종0223_설계서-1" xfId="1036"/>
    <cellStyle name="_추곡_추곡_율동자연공원내 휴게편의점 도색작업-할증-천정면적추가_내역서-최종0223_설계서-1_00-설계서,원가계산,내역서" xfId="1037"/>
    <cellStyle name="_추곡_추곡_율동자연공원내 휴게편의점 도색작업-할증-천정면적추가_내역서-최종0223_진해자은수량산출서(단지내)" xfId="1038"/>
    <cellStyle name="_추곡_추곡_율동자연공원내 휴게편의점 도색작업-할증-천정면적추가_내역서-최종0223_진해자은수량산출서(단지내)_00-설계서,원가계산,내역서" xfId="1039"/>
    <cellStyle name="_추곡_추곡_율동자연공원내 휴게편의점 도색작업-할증-천정면적추가_내역서-최종0223_진해자은수량산출서(단지내)_기초산출표-56-128-최종" xfId="1040"/>
    <cellStyle name="_추곡_추곡_율동자연공원내 휴게편의점 도색작업-할증-천정면적추가_내역서-최종0223_진해자은수량산출서(단지내)_기초산출표-56-128-최종_00-설계서,원가계산,내역서" xfId="1041"/>
    <cellStyle name="_추곡_추곡_율동자연공원내 휴게편의점 도색작업-할증-천정면적추가_내역서-최종0223_진해자은수량산출서(단지내)_기초산출표-56-128-최종_설계서-1" xfId="1042"/>
    <cellStyle name="_추곡_추곡_율동자연공원내 휴게편의점 도색작업-할증-천정면적추가_내역서-최종0223_진해자은수량산출서(단지내)_기초산출표-56-128-최종_설계서-1_00-설계서,원가계산,내역서" xfId="1043"/>
    <cellStyle name="_추곡_추곡_율동자연공원내 휴게편의점 도색작업-할증-천정면적추가_내역서-최종0223_진해자은수량산출서(단지내)_설계서-1" xfId="1044"/>
    <cellStyle name="_추곡_추곡_율동자연공원내 휴게편의점 도색작업-할증-천정면적추가_내역서-최종0223_진해자은수량산출서(단지내)_설계서-1_00-설계서,원가계산,내역서" xfId="1045"/>
    <cellStyle name="_추곡_추곡_율동자연공원내 휴게편의점 도색작업-할증-천정면적추가_내역서-최종0223_진해자은수량산출서(단지내)_취합" xfId="1046"/>
    <cellStyle name="_추곡_추곡_율동자연공원내 휴게편의점 도색작업-할증-천정면적추가_내역서-최종0223_진해자은수량산출서(단지내)_취합_00-설계서,원가계산,내역서" xfId="1047"/>
    <cellStyle name="_추곡_추곡_율동자연공원내 휴게편의점 도색작업-할증-천정면적추가_내역서-최종0223_진해자은수량산출서(단지내)_취합_설계서-1" xfId="1048"/>
    <cellStyle name="_추곡_추곡_율동자연공원내 휴게편의점 도색작업-할증-천정면적추가_내역서-최종0223_진해자은수량산출서(단지내)_취합_설계서-1_00-설계서,원가계산,내역서" xfId="1049"/>
    <cellStyle name="_추곡_추곡_율동자연공원내 휴게편의점 도색작업-할증-천정면적추가_설계서-1" xfId="1050"/>
    <cellStyle name="_추곡_추곡_율동자연공원내 휴게편의점 도색작업-할증-천정면적추가_설계서-1_00-설계서,원가계산,내역서" xfId="1051"/>
    <cellStyle name="_추곡_추곡_율동자연공원내 휴게편의점 도색작업-할증-천정면적추가_진해자은수량산출서(단지내)" xfId="1052"/>
    <cellStyle name="_추곡_추곡_율동자연공원내 휴게편의점 도색작업-할증-천정면적추가_진해자은수량산출서(단지내)_00-설계서,원가계산,내역서" xfId="1053"/>
    <cellStyle name="_추곡_추곡_율동자연공원내 휴게편의점 도색작업-할증-천정면적추가_진해자은수량산출서(단지내)_기초산출표-56-128-최종" xfId="1054"/>
    <cellStyle name="_추곡_추곡_율동자연공원내 휴게편의점 도색작업-할증-천정면적추가_진해자은수량산출서(단지내)_기초산출표-56-128-최종_00-설계서,원가계산,내역서" xfId="1055"/>
    <cellStyle name="_추곡_추곡_율동자연공원내 휴게편의점 도색작업-할증-천정면적추가_진해자은수량산출서(단지내)_기초산출표-56-128-최종_설계서-1" xfId="1056"/>
    <cellStyle name="_추곡_추곡_율동자연공원내 휴게편의점 도색작업-할증-천정면적추가_진해자은수량산출서(단지내)_기초산출표-56-128-최종_설계서-1_00-설계서,원가계산,내역서" xfId="1057"/>
    <cellStyle name="_추곡_추곡_율동자연공원내 휴게편의점 도색작업-할증-천정면적추가_진해자은수량산출서(단지내)_설계서-1" xfId="1058"/>
    <cellStyle name="_추곡_추곡_율동자연공원내 휴게편의점 도색작업-할증-천정면적추가_진해자은수량산출서(단지내)_설계서-1_00-설계서,원가계산,내역서" xfId="1059"/>
    <cellStyle name="_추곡_추곡_율동자연공원내 휴게편의점 도색작업-할증-천정면적추가_진해자은수량산출서(단지내)_취합" xfId="1060"/>
    <cellStyle name="_추곡_추곡_율동자연공원내 휴게편의점 도색작업-할증-천정면적추가_진해자은수량산출서(단지내)_취합_00-설계서,원가계산,내역서" xfId="1061"/>
    <cellStyle name="_추곡_추곡_율동자연공원내 휴게편의점 도색작업-할증-천정면적추가_진해자은수량산출서(단지내)_취합_설계서-1" xfId="1062"/>
    <cellStyle name="_추곡_추곡_율동자연공원내 휴게편의점 도색작업-할증-천정면적추가_진해자은수량산출서(단지내)_취합_설계서-1_00-설계서,원가계산,내역서" xfId="1063"/>
    <cellStyle name="_추곡_추곡_이문동구간중랑천변녹화사업(수량산출서, 071127)-최종" xfId="1064"/>
    <cellStyle name="_추곡_추곡_이문동구간중랑천변녹화사업(수량산출서, 071127)-최종_00-설계서,원가계산,내역서" xfId="1065"/>
    <cellStyle name="_추곡_추곡_진해자은수량산출서(단지내)" xfId="1066"/>
    <cellStyle name="_추곡_추곡_진해자은수량산출서(단지내)_00-설계서,원가계산,내역서" xfId="1067"/>
    <cellStyle name="_추곡_추곡_진해자은수량산출서(단지내)_기초산출표-56-128-최종" xfId="1068"/>
    <cellStyle name="_추곡_추곡_진해자은수량산출서(단지내)_기초산출표-56-128-최종_00-설계서,원가계산,내역서" xfId="1069"/>
    <cellStyle name="_추곡_추곡_진해자은수량산출서(단지내)_기초산출표-56-128-최종_설계서-1" xfId="1070"/>
    <cellStyle name="_추곡_추곡_진해자은수량산출서(단지내)_기초산출표-56-128-최종_설계서-1_00-설계서,원가계산,내역서" xfId="1071"/>
    <cellStyle name="_추곡_추곡_진해자은수량산출서(단지내)_설계서-1" xfId="1072"/>
    <cellStyle name="_추곡_추곡_진해자은수량산출서(단지내)_설계서-1_00-설계서,원가계산,내역서" xfId="1073"/>
    <cellStyle name="_추곡_추곡_진해자은수량산출서(단지내)_취합" xfId="1074"/>
    <cellStyle name="_추곡_추곡_진해자은수량산출서(단지내)_취합_00-설계서,원가계산,내역서" xfId="1075"/>
    <cellStyle name="_추곡_추곡_진해자은수량산출서(단지내)_취합_설계서-1" xfId="1076"/>
    <cellStyle name="_추곡_추곡_진해자은수량산출서(단지내)_취합_설계서-1_00-설계서,원가계산,내역서" xfId="1077"/>
    <cellStyle name="_추곡_추곡_포장" xfId="1078"/>
    <cellStyle name="_추곡_추곡_포장_00-설계서,원가계산,내역서" xfId="1079"/>
    <cellStyle name="_추곡_추곡_포장_라멘교 토공" xfId="1080"/>
    <cellStyle name="_추곡_추곡_포장_라멘교 토공_00-설계서,원가계산,내역서" xfId="1081"/>
    <cellStyle name="_추곡_포장" xfId="1082"/>
    <cellStyle name="_추곡_포장_00-설계서,원가계산,내역서" xfId="1083"/>
    <cellStyle name="_추곡_포장_라멘교 토공" xfId="1084"/>
    <cellStyle name="_추곡_포장_라멘교 토공_00-설계서,원가계산,내역서" xfId="1085"/>
    <cellStyle name="_포장" xfId="1086"/>
    <cellStyle name="_포장_00-설계서,원가계산,내역서" xfId="1087"/>
    <cellStyle name="_포장_라멘교 토공" xfId="1088"/>
    <cellStyle name="_포장_라멘교 토공_00-설계서,원가계산,내역서" xfId="1089"/>
    <cellStyle name="_호수SS내역서040920" xfId="1090"/>
    <cellStyle name="_호텔약전전기공사(1공구)-발의" xfId="1091"/>
    <cellStyle name="_홍보관수량참고(특성화설계서)" xfId="1092"/>
    <cellStyle name="args.style" xfId="2654"/>
    <cellStyle name="category" xfId="2673"/>
    <cellStyle name="comma zerodec" xfId="2675"/>
    <cellStyle name="currency-$" xfId="2682"/>
    <cellStyle name="kg" xfId="2711"/>
    <cellStyle name="mma_CASH &amp; DSO" xfId="2718"/>
    <cellStyle name="no dec" xfId="2724"/>
    <cellStyle name="oft Excel]_x000d__x000a_Comment=The open=/f lines load custom functions into the Paste Function list._x000d__x000a_Maximized=3_x000d__x000a_AutoFormat=" xfId="2729"/>
    <cellStyle name="oh" xfId="2730"/>
    <cellStyle name="per.style" xfId="2731"/>
    <cellStyle name="pricing" xfId="2733"/>
    <cellStyle name="s]_x000d__x000a_run=c:\Hedgehog\app31.exe_x000d__x000a_spooler=yes_x000d__x000a_load=_x000d__x000a_run=_x000d__x000a_Beep=yes_x000d__x000a_NullPort=None_x000d__x000a_BorderWidth=3_x000d__x000a_CursorBlinkRate=530_x000d__x000a_D" xfId="2736"/>
    <cellStyle name="sh" xfId="2737"/>
    <cellStyle name="ssh" xfId="2738"/>
    <cellStyle name="subhead" xfId="2741"/>
    <cellStyle name="title [1]" xfId="2744"/>
    <cellStyle name="title [2]" xfId="2745"/>
    <cellStyle name="ÊÝ [0.00]_Region Orders (2)" xfId="1101"/>
    <cellStyle name="ÊÝ_Region Orders (2)" xfId="1102"/>
    <cellStyle name="W_Pacific Region P&amp;L" xfId="1103"/>
    <cellStyle name="¤@?e_TEST-1 " xfId="1095"/>
    <cellStyle name="ÄÞ¸¶ [0]_¸ðÇü¸·" xfId="2656"/>
    <cellStyle name="ÄÞ¸¶ [0]_Á¤»ê¼­°©Áö" xfId="2658"/>
    <cellStyle name="ÄÞ¸¶_¸ðÇü¸·" xfId="2660"/>
    <cellStyle name="ÄÞ¸¶_Á¤»ê¼­°©Áö" xfId="2662"/>
    <cellStyle name="ÅëÈ­ [0]_¸ðÇü¸·" xfId="2642"/>
    <cellStyle name="ÅëÈ­ [0]_Á¤»ê¼­°©Áö" xfId="2644"/>
    <cellStyle name="ÅëÈ­_¸ðÇü¸·" xfId="2647"/>
    <cellStyle name="ÅëÈ­_Á¤»ê¼­°©Áö" xfId="2649"/>
    <cellStyle name="Ç¥ÁØ_°­´ç (2)" xfId="2668"/>
    <cellStyle name="Ç¥ÁØ_»óºÎ¼ö·®Áý°è " xfId="2666"/>
    <cellStyle name="Ç¥ÁØ_¼öÀÍ¼º " xfId="2670"/>
    <cellStyle name="Œ…?æ맖?e [0.00]_laroux" xfId="2727"/>
    <cellStyle name="Œ…?æ맖?e_laroux" xfId="2728"/>
    <cellStyle name="μU¿¡ ¿A´A CIAIÆU¸μAⓒ" xfId="2750"/>
    <cellStyle name="’E‰Y [0.00]_laroux" xfId="1093"/>
    <cellStyle name="’E‰Y_laroux" xfId="1094"/>
    <cellStyle name="△ [0]" xfId="1098"/>
    <cellStyle name="△ []" xfId="1097"/>
    <cellStyle name="△백분율" xfId="1099"/>
    <cellStyle name="△콤마" xfId="1100"/>
    <cellStyle name="標準_Akia(F）-8" xfId="3105"/>
    <cellStyle name="가운데" xfId="2751"/>
    <cellStyle name="고정소숫점" xfId="2752"/>
    <cellStyle name="고정출력1" xfId="2753"/>
    <cellStyle name="고정출력2" xfId="2754"/>
    <cellStyle name="공사원가계산서(조경)" xfId="2755"/>
    <cellStyle name="공종" xfId="2756"/>
    <cellStyle name="괘선" xfId="2757"/>
    <cellStyle name="괘선1" xfId="2758"/>
    <cellStyle name="기계" xfId="2759"/>
    <cellStyle name="기본숫자" xfId="2760"/>
    <cellStyle name="날짜" xfId="2761"/>
    <cellStyle name="내역서" xfId="2762"/>
    <cellStyle name="네모제목" xfId="2763"/>
    <cellStyle name="달러" xfId="2764"/>
    <cellStyle name="뒤에 오는 하이퍼링크" xfId="2765"/>
    <cellStyle name="똿뗦먛귟 [0.00]_laroux" xfId="2766"/>
    <cellStyle name="똿뗦먛귟_laroux" xfId="2767"/>
    <cellStyle name="마이너스키" xfId="2768"/>
    <cellStyle name="믅됞 [0.00]_laroux" xfId="2769"/>
    <cellStyle name="믅됞_laroux" xfId="2770"/>
    <cellStyle name="배분" xfId="2771"/>
    <cellStyle name="백" xfId="2772"/>
    <cellStyle name="백_22bl3lot수량산출" xfId="2773"/>
    <cellStyle name="백_22수량산출서(총괄)" xfId="2774"/>
    <cellStyle name="백분율 [0]" xfId="2777"/>
    <cellStyle name="백분율 [2]" xfId="2778"/>
    <cellStyle name="백분율 [△1]" xfId="2775"/>
    <cellStyle name="백분율 [△2]" xfId="2776"/>
    <cellStyle name="백분율［△1］" xfId="2779"/>
    <cellStyle name="백분율［△2］" xfId="2780"/>
    <cellStyle name="병합 후 가운데 맞춤" xfId="2781"/>
    <cellStyle name="병합 후 가운데 정열" xfId="2782"/>
    <cellStyle name="분수" xfId="2783"/>
    <cellStyle name="뷭?" xfId="2784"/>
    <cellStyle name="빨간색" xfId="2785"/>
    <cellStyle name="선택영역의 가운데로" xfId="2786"/>
    <cellStyle name="설계서" xfId="2787"/>
    <cellStyle name="수량1" xfId="2788"/>
    <cellStyle name="수목명" xfId="2789"/>
    <cellStyle name="숫자(R)" xfId="2790"/>
    <cellStyle name="쉼표 [0] 2" xfId="2791"/>
    <cellStyle name="쉼표 [0] 2 2" xfId="2792"/>
    <cellStyle name="쉼표 [0] 2 3" xfId="2793"/>
    <cellStyle name="쉼표 [0] 3" xfId="2794"/>
    <cellStyle name="쉼표 [0] 3 2" xfId="2795"/>
    <cellStyle name="쉼표 [0] 3 3" xfId="2796"/>
    <cellStyle name="쉼표 [0] 4" xfId="3113"/>
    <cellStyle name="스타일 1" xfId="2797"/>
    <cellStyle name="스타일 1 2" xfId="2798"/>
    <cellStyle name="스타일 10" xfId="2799"/>
    <cellStyle name="스타일 100" xfId="2800"/>
    <cellStyle name="스타일 101" xfId="2801"/>
    <cellStyle name="스타일 102" xfId="2802"/>
    <cellStyle name="스타일 103" xfId="2803"/>
    <cellStyle name="스타일 104" xfId="2804"/>
    <cellStyle name="스타일 105" xfId="2805"/>
    <cellStyle name="스타일 106" xfId="2806"/>
    <cellStyle name="스타일 107" xfId="2807"/>
    <cellStyle name="스타일 108" xfId="2808"/>
    <cellStyle name="스타일 109" xfId="2809"/>
    <cellStyle name="스타일 11" xfId="2810"/>
    <cellStyle name="스타일 110" xfId="2811"/>
    <cellStyle name="스타일 111" xfId="2812"/>
    <cellStyle name="스타일 112" xfId="2813"/>
    <cellStyle name="스타일 113" xfId="2814"/>
    <cellStyle name="스타일 114" xfId="2815"/>
    <cellStyle name="스타일 115" xfId="2816"/>
    <cellStyle name="스타일 116" xfId="2817"/>
    <cellStyle name="스타일 117" xfId="2818"/>
    <cellStyle name="스타일 118" xfId="2819"/>
    <cellStyle name="스타일 119" xfId="2820"/>
    <cellStyle name="스타일 12" xfId="2821"/>
    <cellStyle name="스타일 120" xfId="2822"/>
    <cellStyle name="스타일 121" xfId="2823"/>
    <cellStyle name="스타일 122" xfId="2824"/>
    <cellStyle name="스타일 123" xfId="2825"/>
    <cellStyle name="스타일 124" xfId="2826"/>
    <cellStyle name="스타일 125" xfId="2827"/>
    <cellStyle name="스타일 126" xfId="2828"/>
    <cellStyle name="스타일 127" xfId="2829"/>
    <cellStyle name="스타일 128" xfId="2830"/>
    <cellStyle name="스타일 129" xfId="2831"/>
    <cellStyle name="스타일 13" xfId="2832"/>
    <cellStyle name="스타일 130" xfId="2833"/>
    <cellStyle name="스타일 131" xfId="2834"/>
    <cellStyle name="스타일 132" xfId="2835"/>
    <cellStyle name="스타일 133" xfId="2836"/>
    <cellStyle name="스타일 134" xfId="2837"/>
    <cellStyle name="스타일 135" xfId="2838"/>
    <cellStyle name="스타일 136" xfId="2839"/>
    <cellStyle name="스타일 137" xfId="2840"/>
    <cellStyle name="스타일 138" xfId="2841"/>
    <cellStyle name="스타일 139" xfId="2842"/>
    <cellStyle name="스타일 14" xfId="2843"/>
    <cellStyle name="스타일 140" xfId="2844"/>
    <cellStyle name="스타일 141" xfId="2845"/>
    <cellStyle name="스타일 142" xfId="2846"/>
    <cellStyle name="스타일 143" xfId="2847"/>
    <cellStyle name="스타일 144" xfId="2848"/>
    <cellStyle name="스타일 145" xfId="2849"/>
    <cellStyle name="스타일 146" xfId="2850"/>
    <cellStyle name="스타일 147" xfId="2851"/>
    <cellStyle name="스타일 148" xfId="2852"/>
    <cellStyle name="스타일 149" xfId="2853"/>
    <cellStyle name="스타일 15" xfId="2854"/>
    <cellStyle name="스타일 150" xfId="2855"/>
    <cellStyle name="스타일 151" xfId="2856"/>
    <cellStyle name="스타일 152" xfId="2857"/>
    <cellStyle name="스타일 153" xfId="2858"/>
    <cellStyle name="스타일 154" xfId="2859"/>
    <cellStyle name="스타일 155" xfId="2860"/>
    <cellStyle name="스타일 156" xfId="2861"/>
    <cellStyle name="스타일 157" xfId="2862"/>
    <cellStyle name="스타일 158" xfId="2863"/>
    <cellStyle name="스타일 159" xfId="2864"/>
    <cellStyle name="스타일 16" xfId="2865"/>
    <cellStyle name="스타일 160" xfId="2866"/>
    <cellStyle name="스타일 161" xfId="2867"/>
    <cellStyle name="스타일 162" xfId="2868"/>
    <cellStyle name="스타일 163" xfId="2869"/>
    <cellStyle name="스타일 164" xfId="2870"/>
    <cellStyle name="스타일 165" xfId="2871"/>
    <cellStyle name="스타일 166" xfId="2872"/>
    <cellStyle name="스타일 167" xfId="2873"/>
    <cellStyle name="스타일 168" xfId="2874"/>
    <cellStyle name="스타일 169" xfId="2875"/>
    <cellStyle name="스타일 17" xfId="2876"/>
    <cellStyle name="스타일 170" xfId="2877"/>
    <cellStyle name="스타일 171" xfId="2878"/>
    <cellStyle name="스타일 172" xfId="2879"/>
    <cellStyle name="스타일 173" xfId="2880"/>
    <cellStyle name="스타일 174" xfId="2881"/>
    <cellStyle name="스타일 175" xfId="2882"/>
    <cellStyle name="스타일 176" xfId="2883"/>
    <cellStyle name="스타일 177" xfId="2884"/>
    <cellStyle name="스타일 178" xfId="2885"/>
    <cellStyle name="스타일 179" xfId="2886"/>
    <cellStyle name="스타일 18" xfId="2887"/>
    <cellStyle name="스타일 180" xfId="2888"/>
    <cellStyle name="스타일 181" xfId="2889"/>
    <cellStyle name="스타일 182" xfId="2890"/>
    <cellStyle name="스타일 183" xfId="2891"/>
    <cellStyle name="스타일 184" xfId="2892"/>
    <cellStyle name="스타일 185" xfId="2893"/>
    <cellStyle name="스타일 186" xfId="2894"/>
    <cellStyle name="스타일 187" xfId="2895"/>
    <cellStyle name="스타일 188" xfId="2896"/>
    <cellStyle name="스타일 189" xfId="2897"/>
    <cellStyle name="스타일 19" xfId="2898"/>
    <cellStyle name="스타일 190" xfId="2899"/>
    <cellStyle name="스타일 191" xfId="2900"/>
    <cellStyle name="스타일 192" xfId="2901"/>
    <cellStyle name="스타일 193" xfId="2902"/>
    <cellStyle name="스타일 194" xfId="2903"/>
    <cellStyle name="스타일 195" xfId="2904"/>
    <cellStyle name="스타일 196" xfId="2905"/>
    <cellStyle name="스타일 197" xfId="2906"/>
    <cellStyle name="스타일 198" xfId="2907"/>
    <cellStyle name="스타일 199" xfId="2908"/>
    <cellStyle name="스타일 2" xfId="2909"/>
    <cellStyle name="스타일 20" xfId="2910"/>
    <cellStyle name="스타일 200" xfId="2911"/>
    <cellStyle name="스타일 201" xfId="2912"/>
    <cellStyle name="스타일 202" xfId="2913"/>
    <cellStyle name="스타일 203" xfId="2914"/>
    <cellStyle name="스타일 204" xfId="2915"/>
    <cellStyle name="스타일 205" xfId="2916"/>
    <cellStyle name="스타일 206" xfId="2917"/>
    <cellStyle name="스타일 207" xfId="2918"/>
    <cellStyle name="스타일 208" xfId="2919"/>
    <cellStyle name="스타일 209" xfId="2920"/>
    <cellStyle name="스타일 21" xfId="2921"/>
    <cellStyle name="스타일 210" xfId="2922"/>
    <cellStyle name="스타일 211" xfId="2923"/>
    <cellStyle name="스타일 212" xfId="2924"/>
    <cellStyle name="스타일 213" xfId="2925"/>
    <cellStyle name="스타일 214" xfId="2926"/>
    <cellStyle name="스타일 215" xfId="2927"/>
    <cellStyle name="스타일 216" xfId="2928"/>
    <cellStyle name="스타일 217" xfId="2929"/>
    <cellStyle name="스타일 218" xfId="2930"/>
    <cellStyle name="스타일 219" xfId="2931"/>
    <cellStyle name="스타일 22" xfId="2932"/>
    <cellStyle name="스타일 220" xfId="2933"/>
    <cellStyle name="스타일 221" xfId="2934"/>
    <cellStyle name="스타일 222" xfId="2935"/>
    <cellStyle name="스타일 223" xfId="2936"/>
    <cellStyle name="스타일 224" xfId="2937"/>
    <cellStyle name="스타일 225" xfId="2938"/>
    <cellStyle name="스타일 226" xfId="2939"/>
    <cellStyle name="스타일 227" xfId="2940"/>
    <cellStyle name="스타일 228" xfId="2941"/>
    <cellStyle name="스타일 229" xfId="2942"/>
    <cellStyle name="스타일 23" xfId="2943"/>
    <cellStyle name="스타일 230" xfId="2944"/>
    <cellStyle name="스타일 231" xfId="2945"/>
    <cellStyle name="스타일 232" xfId="2946"/>
    <cellStyle name="스타일 233" xfId="2947"/>
    <cellStyle name="스타일 234" xfId="2948"/>
    <cellStyle name="스타일 235" xfId="2949"/>
    <cellStyle name="스타일 236" xfId="2950"/>
    <cellStyle name="스타일 237" xfId="2951"/>
    <cellStyle name="스타일 238" xfId="2952"/>
    <cellStyle name="스타일 239" xfId="2953"/>
    <cellStyle name="스타일 24" xfId="2954"/>
    <cellStyle name="스타일 240" xfId="2955"/>
    <cellStyle name="스타일 241" xfId="2956"/>
    <cellStyle name="스타일 242" xfId="2957"/>
    <cellStyle name="스타일 243" xfId="2958"/>
    <cellStyle name="스타일 244" xfId="2959"/>
    <cellStyle name="스타일 245" xfId="2960"/>
    <cellStyle name="스타일 246" xfId="2961"/>
    <cellStyle name="스타일 247" xfId="2962"/>
    <cellStyle name="스타일 248" xfId="2963"/>
    <cellStyle name="스타일 249" xfId="2964"/>
    <cellStyle name="스타일 25" xfId="2965"/>
    <cellStyle name="스타일 250" xfId="2966"/>
    <cellStyle name="스타일 251" xfId="2967"/>
    <cellStyle name="스타일 252" xfId="2968"/>
    <cellStyle name="스타일 253" xfId="2969"/>
    <cellStyle name="스타일 254" xfId="2970"/>
    <cellStyle name="스타일 255" xfId="2971"/>
    <cellStyle name="스타일 26" xfId="2972"/>
    <cellStyle name="스타일 27" xfId="2973"/>
    <cellStyle name="스타일 28" xfId="2974"/>
    <cellStyle name="스타일 29" xfId="2975"/>
    <cellStyle name="스타일 3" xfId="2976"/>
    <cellStyle name="스타일 30" xfId="2977"/>
    <cellStyle name="스타일 31" xfId="2978"/>
    <cellStyle name="스타일 32" xfId="2979"/>
    <cellStyle name="스타일 33" xfId="2980"/>
    <cellStyle name="스타일 34" xfId="2981"/>
    <cellStyle name="스타일 35" xfId="2982"/>
    <cellStyle name="스타일 36" xfId="2983"/>
    <cellStyle name="스타일 37" xfId="2984"/>
    <cellStyle name="스타일 38" xfId="2985"/>
    <cellStyle name="스타일 39" xfId="2986"/>
    <cellStyle name="스타일 4" xfId="2987"/>
    <cellStyle name="스타일 40" xfId="2988"/>
    <cellStyle name="스타일 41" xfId="2989"/>
    <cellStyle name="스타일 42" xfId="2990"/>
    <cellStyle name="스타일 43" xfId="2991"/>
    <cellStyle name="스타일 44" xfId="2992"/>
    <cellStyle name="스타일 45" xfId="2993"/>
    <cellStyle name="스타일 46" xfId="2994"/>
    <cellStyle name="스타일 47" xfId="2995"/>
    <cellStyle name="스타일 48" xfId="2996"/>
    <cellStyle name="스타일 49" xfId="2997"/>
    <cellStyle name="스타일 5" xfId="2998"/>
    <cellStyle name="스타일 50" xfId="2999"/>
    <cellStyle name="스타일 51" xfId="3000"/>
    <cellStyle name="스타일 52" xfId="3001"/>
    <cellStyle name="스타일 53" xfId="3002"/>
    <cellStyle name="스타일 54" xfId="3003"/>
    <cellStyle name="스타일 55" xfId="3004"/>
    <cellStyle name="스타일 56" xfId="3005"/>
    <cellStyle name="스타일 57" xfId="3006"/>
    <cellStyle name="스타일 58" xfId="3007"/>
    <cellStyle name="스타일 59" xfId="3008"/>
    <cellStyle name="스타일 6" xfId="3009"/>
    <cellStyle name="스타일 60" xfId="3010"/>
    <cellStyle name="스타일 61" xfId="3011"/>
    <cellStyle name="스타일 62" xfId="3012"/>
    <cellStyle name="스타일 63" xfId="3013"/>
    <cellStyle name="스타일 64" xfId="3014"/>
    <cellStyle name="스타일 65" xfId="3015"/>
    <cellStyle name="스타일 66" xfId="3016"/>
    <cellStyle name="스타일 67" xfId="3017"/>
    <cellStyle name="스타일 68" xfId="3018"/>
    <cellStyle name="스타일 69" xfId="3019"/>
    <cellStyle name="스타일 7" xfId="3020"/>
    <cellStyle name="스타일 70" xfId="3021"/>
    <cellStyle name="스타일 71" xfId="3022"/>
    <cellStyle name="스타일 72" xfId="3023"/>
    <cellStyle name="스타일 73" xfId="3024"/>
    <cellStyle name="스타일 74" xfId="3025"/>
    <cellStyle name="스타일 75" xfId="3026"/>
    <cellStyle name="스타일 76" xfId="3027"/>
    <cellStyle name="스타일 77" xfId="3028"/>
    <cellStyle name="스타일 78" xfId="3029"/>
    <cellStyle name="스타일 79" xfId="3030"/>
    <cellStyle name="스타일 8" xfId="3031"/>
    <cellStyle name="스타일 80" xfId="3032"/>
    <cellStyle name="스타일 81" xfId="3033"/>
    <cellStyle name="스타일 82" xfId="3034"/>
    <cellStyle name="스타일 83" xfId="3035"/>
    <cellStyle name="스타일 84" xfId="3036"/>
    <cellStyle name="스타일 85" xfId="3037"/>
    <cellStyle name="스타일 86" xfId="3038"/>
    <cellStyle name="스타일 87" xfId="3039"/>
    <cellStyle name="스타일 88" xfId="3040"/>
    <cellStyle name="스타일 89" xfId="3041"/>
    <cellStyle name="스타일 9" xfId="3042"/>
    <cellStyle name="스타일 90" xfId="3043"/>
    <cellStyle name="스타일 91" xfId="3044"/>
    <cellStyle name="스타일 92" xfId="3045"/>
    <cellStyle name="스타일 93" xfId="3046"/>
    <cellStyle name="스타일 94" xfId="3047"/>
    <cellStyle name="스타일 95" xfId="3048"/>
    <cellStyle name="스타일 96" xfId="3049"/>
    <cellStyle name="스타일 97" xfId="3050"/>
    <cellStyle name="스타일 98" xfId="3051"/>
    <cellStyle name="스타일 99" xfId="3052"/>
    <cellStyle name="안건회계법인" xfId="3053"/>
    <cellStyle name="왼쪽2" xfId="3054"/>
    <cellStyle name="원" xfId="3055"/>
    <cellStyle name="유1" xfId="3056"/>
    <cellStyle name="유영" xfId="3057"/>
    <cellStyle name="자리수" xfId="3058"/>
    <cellStyle name="자리수 - 유형1" xfId="3059"/>
    <cellStyle name="자리수0" xfId="3061"/>
    <cellStyle name="자리수_~MGaE" xfId="3060"/>
    <cellStyle name="정기수 - 유형1" xfId="3062"/>
    <cellStyle name="제목 1(中)" xfId="3064"/>
    <cellStyle name="제목 1(左)" xfId="3063"/>
    <cellStyle name="제목1" xfId="3068"/>
    <cellStyle name="제목2" xfId="3069"/>
    <cellStyle name="제목[1 줄]" xfId="3065"/>
    <cellStyle name="제목[2줄 아래]" xfId="3066"/>
    <cellStyle name="제목[2줄 위]" xfId="3067"/>
    <cellStyle name="좋음 2" xfId="3070"/>
    <cellStyle name="지정되지 않음" xfId="3071"/>
    <cellStyle name="콤" xfId="3072"/>
    <cellStyle name="콤마 1" xfId="3082"/>
    <cellStyle name="콤마 [" xfId="3073"/>
    <cellStyle name="콤마 [#]" xfId="3074"/>
    <cellStyle name="콤마 [0]" xfId="3076"/>
    <cellStyle name="콤마 [1]" xfId="3077"/>
    <cellStyle name="콤마 [2]" xfId="3078"/>
    <cellStyle name="콤마 []" xfId="3075"/>
    <cellStyle name="콤마 [금액]" xfId="3079"/>
    <cellStyle name="콤마 [소수]" xfId="3080"/>
    <cellStyle name="콤마 [수량]" xfId="3081"/>
    <cellStyle name="콤마[ ]" xfId="3083"/>
    <cellStyle name="콤마[*]" xfId="3084"/>
    <cellStyle name="콤마[,]" xfId="3085"/>
    <cellStyle name="콤마[.]" xfId="3086"/>
    <cellStyle name="콤마[0]" xfId="3087"/>
    <cellStyle name="콤마_  종  합  " xfId="3088"/>
    <cellStyle name="통" xfId="3089"/>
    <cellStyle name="통화 [" xfId="3090"/>
    <cellStyle name="통화 [0㉝〸" xfId="3091"/>
    <cellStyle name="퍼센트" xfId="3092"/>
    <cellStyle name="표" xfId="3093"/>
    <cellStyle name="표(가는선,가운데,중앙)" xfId="3094"/>
    <cellStyle name="표(가는선,왼쪽,중앙)" xfId="3095"/>
    <cellStyle name="표(세로쓰기)" xfId="3096"/>
    <cellStyle name="표머릿글(上)" xfId="3097"/>
    <cellStyle name="표머릿글(下)" xfId="3099"/>
    <cellStyle name="표머릿글(中)" xfId="3098"/>
    <cellStyle name="표준 2" xfId="3100"/>
    <cellStyle name="표준 2 2" xfId="3101"/>
    <cellStyle name="표준 3" xfId="3102"/>
    <cellStyle name="표준 4" xfId="3103"/>
    <cellStyle name="표준 5" xfId="3104"/>
    <cellStyle name="표준 6" xfId="3112"/>
    <cellStyle name="표준1" xfId="3106"/>
    <cellStyle name="표준2" xfId="3107"/>
    <cellStyle name="표준℘Sheet8 (3)" xfId="3108"/>
    <cellStyle name="합산" xfId="3109"/>
    <cellStyle name="화폐기호" xfId="3110"/>
    <cellStyle name="화폐기호0" xfId="31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externalLink" Target="externalLinks/externalLink1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image2.png"></Relationship><Relationship Id="rId2" Type="http://schemas.openxmlformats.org/officeDocument/2006/relationships/image" Target="../media/image3.png"></Relationship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image" Target="../media/image4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0</xdr:row>
      <xdr:rowOff>0</xdr:rowOff>
    </xdr:from>
    <xdr:to>
      <xdr:col>4</xdr:col>
      <xdr:colOff>228600</xdr:colOff>
      <xdr:row>0</xdr:row>
      <xdr:rowOff>0</xdr:rowOff>
    </xdr:to>
    <xdr:sp>
      <xdr:nvSpPr>
        <xdr:cNvPr id="2" name="Text Box 1"/>
        <xdr:cNvSpPr txBox="1">
          <a:spLocks/>
        </xdr:cNvSpPr>
      </xdr:nvSpPr>
      <xdr:spPr>
        <a:xfrm>
          <a:off x="2424430" y="0"/>
          <a:ext cx="288925" cy="0"/>
        </a:xfrm>
        <a:prstGeom prst="rect"/>
        <a:solidFill>
          <a:srgbClr val="FFFFFF"/>
        </a:solidFill>
        <a:ln w="9525" cap="flat" cmpd="sng">
          <a:noFill/>
          <a:prstDash/>
          <a:miter lim="800000"/>
          <a:headEnd type="none" w="med" len="med"/>
          <a:tailEnd type="none" w="med" len="med"/>
        </a:ln>
      </xdr:spPr>
      <xdr:txBody>
        <a:bodyPr wrap="square" lIns="54610" tIns="41275" rIns="54610" bIns="41275" anchor="ctr" vertOverflow="clip" horzOverflow="overflow">
          <a:noAutofit/>
        </a:bodyPr>
        <a:p>
          <a:pPr algn="ctr"/>
          <a:r>
            <a:rPr lang="ko-KR" altLang="en-US" sz="2400" kern="1200" b="1">
              <a:solidFill>
                <a:srgbClr val="000000"/>
              </a:solidFill>
              <a:latin typeface="바탕"/>
              <a:ea typeface="바탕"/>
            </a:rPr>
            <a:t>見 積 書</a:t>
          </a:r>
          <a:endParaRPr lang="ko-KR" altLang="en-US" sz="2400" kern="1200" b="1">
            <a:solidFill>
              <a:srgbClr val="000000"/>
            </a:solidFill>
            <a:latin typeface="바탕"/>
            <a:ea typeface="바탕"/>
          </a:endParaRPr>
        </a:p>
      </xdr:txBody>
    </xdr:sp>
    <xdr:clientData/>
  </xdr:twoCellAnchor>
  <xdr:twoCellAnchor editAs="oneCell">
    <xdr:from>
      <xdr:col>24</xdr:col>
      <xdr:colOff>69850</xdr:colOff>
      <xdr:row>35</xdr:row>
      <xdr:rowOff>200025</xdr:rowOff>
    </xdr:from>
    <xdr:to>
      <xdr:col>27</xdr:col>
      <xdr:colOff>95885</xdr:colOff>
      <xdr:row>37</xdr:row>
      <xdr:rowOff>567690</xdr:rowOff>
    </xdr:to>
    <xdr:pic>
      <xdr:nvPicPr>
        <xdr:cNvPr id="3" name="그림 1" descr="xl/media/image1.png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69604" y="8176260"/>
          <a:ext cx="883286" cy="86296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grpSp>
      <xdr:nvGrpSpPr>
        <xdr:cNvPr id="15086" name="Group 36"/>
        <xdr:cNvGrpSpPr/>
      </xdr:nvGrpSpPr>
      <xdr:grpSpPr>
        <a:xfrm>
          <a:off x="0" y="8281035"/>
          <a:ext cx="0" cy="0"/>
          <a:chOff x="0" y="8281035"/>
          <a:chExt cx="0" cy="0"/>
        </a:xfrm>
      </xdr:grpSpPr>
      <xdr:sp>
        <xdr:nvSpPr>
          <xdr:cNvPr id="3" name="Text Box 37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4" name="Text Box 38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  <a:endParaRPr lang="ko-KR" altLang="en-US" sz="10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5" name="Text Box 39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</a:p>
          <a:p>
            <a:pPr algn="l"/>
            <a:r>
              <a:rPr lang="ko-KR" altLang="en-US" sz="1100" kern="1200">
                <a:solidFill>
                  <a:srgbClr val="000000"/>
                </a:solidFill>
                <a:latin typeface="돋움"/>
                <a:ea typeface="돋움"/>
              </a:rPr>
              <a:t>사</a:t>
            </a:r>
            <a:endParaRPr lang="ko-KR" altLang="en-US" sz="11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6" name="Text Box 40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 editAs="oneCell">
    <xdr:from>
      <xdr:col>6</xdr:col>
      <xdr:colOff>282575</xdr:colOff>
      <xdr:row>32</xdr:row>
      <xdr:rowOff>228600</xdr:rowOff>
    </xdr:from>
    <xdr:to>
      <xdr:col>7</xdr:col>
      <xdr:colOff>522604</xdr:colOff>
      <xdr:row>35</xdr:row>
      <xdr:rowOff>160020</xdr:rowOff>
    </xdr:to>
    <xdr:pic>
      <xdr:nvPicPr>
        <xdr:cNvPr id="15087" name="그림 7" descr="xl/media/image2.png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6180" y="8801735"/>
          <a:ext cx="735330" cy="807720"/>
        </a:xfrm>
        <a:prstGeom prst="rect"/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241300</xdr:colOff>
      <xdr:row>32</xdr:row>
      <xdr:rowOff>0</xdr:rowOff>
    </xdr:from>
    <xdr:to>
      <xdr:col>2</xdr:col>
      <xdr:colOff>508000</xdr:colOff>
      <xdr:row>35</xdr:row>
      <xdr:rowOff>101600</xdr:rowOff>
    </xdr:to>
    <xdr:pic>
      <xdr:nvPicPr>
        <xdr:cNvPr id="1508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355" y="8573135"/>
          <a:ext cx="1190625" cy="977900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21</xdr:row>
      <xdr:rowOff>38100</xdr:rowOff>
    </xdr:from>
    <xdr:to>
      <xdr:col>8</xdr:col>
      <xdr:colOff>0</xdr:colOff>
      <xdr:row>24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2455" y="7893685"/>
          <a:ext cx="1498600" cy="124777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D1:AF1591"/>
  <sheetViews>
    <sheetView topLeftCell="C10" view="pageBreakPreview" zoomScaleNormal="100" zoomScaleSheetLayoutView="100" workbookViewId="0">
      <selection activeCell="N22" sqref="N22:AE22"/>
    </sheetView>
  </sheetViews>
  <sheetFormatPr defaultColWidth="8.83203125" defaultRowHeight="13.500000"/>
  <cols>
    <col min="1" max="3" style="90" width="8.78277800" customWidth="1" outlineLevel="0"/>
    <col min="4" max="5" style="92" width="3.33833334" customWidth="1" outlineLevel="0"/>
    <col min="6" max="12" style="91" width="3.33833334" customWidth="1" outlineLevel="0"/>
    <col min="13" max="31" style="90" width="3.33833334" customWidth="1" outlineLevel="0"/>
    <col min="32" max="32" style="90" width="2.33833334" customWidth="1" outlineLevel="0"/>
    <col min="33" max="259" style="90" width="6.78277800" customWidth="1" outlineLevel="0"/>
    <col min="260" max="16384" style="90" width="8.78277800" customWidth="1" outlineLevel="0"/>
  </cols>
  <sheetData>
    <row r="1" spans="4:31" s="96" customFormat="1" ht="42.000000" customHeight="1">
      <c r="D1" s="306" t="s">
        <v>84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</row>
    <row r="2" spans="4:31" s="96" customFormat="1" ht="12.000000" customHeight="1"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3"/>
      <c r="AC2" s="133"/>
      <c r="AD2" s="133"/>
      <c r="AE2" s="133"/>
    </row>
    <row r="3" spans="4:31" s="96" customFormat="1" ht="18.000000" customHeight="1">
      <c r="D3" s="307" t="s">
        <v>175</v>
      </c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</row>
    <row r="4" spans="4:31" s="96" customFormat="1" ht="7.500000" customHeight="1"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5"/>
      <c r="AC4" s="135"/>
      <c r="AD4" s="135"/>
      <c r="AE4" s="135"/>
    </row>
    <row r="5" spans="4:31" s="96" customFormat="1" ht="5.000000" customHeight="1"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3"/>
      <c r="AC5" s="133"/>
      <c r="AD5" s="133"/>
      <c r="AE5" s="133"/>
    </row>
    <row r="6" spans="4:31" s="96" customFormat="1" ht="20.000000" customHeight="1">
      <c r="D6" s="308" t="s">
        <v>83</v>
      </c>
      <c r="E6" s="308"/>
      <c r="F6" s="308"/>
      <c r="G6" s="308"/>
      <c r="H6" s="309" t="s">
        <v>82</v>
      </c>
      <c r="I6" s="309"/>
      <c r="J6" s="309"/>
      <c r="K6" s="309"/>
      <c r="L6" s="309"/>
      <c r="M6" s="309"/>
      <c r="N6" s="138"/>
      <c r="O6" s="138"/>
      <c r="P6" s="138"/>
      <c r="Q6" s="138"/>
      <c r="R6" s="138"/>
      <c r="S6" s="138"/>
      <c r="T6" s="138"/>
      <c r="U6" s="138"/>
      <c r="V6" s="138"/>
      <c r="W6" s="132"/>
      <c r="X6" s="132"/>
      <c r="Y6" s="132"/>
      <c r="Z6" s="132"/>
      <c r="AA6" s="132"/>
      <c r="AB6" s="132"/>
      <c r="AC6" s="132"/>
      <c r="AD6" s="132"/>
      <c r="AE6" s="132"/>
    </row>
    <row r="7" spans="4:31" s="96" customFormat="1" ht="20.000000" customHeight="1">
      <c r="D7" s="308" t="s">
        <v>81</v>
      </c>
      <c r="E7" s="308"/>
      <c r="F7" s="308"/>
      <c r="G7" s="308"/>
      <c r="H7" s="310">
        <v>46072</v>
      </c>
      <c r="I7" s="310"/>
      <c r="J7" s="310"/>
      <c r="K7" s="310"/>
      <c r="L7" s="310"/>
      <c r="M7" s="310"/>
      <c r="N7" s="310"/>
      <c r="O7" s="310"/>
      <c r="P7" s="138"/>
      <c r="Q7" s="138"/>
      <c r="R7" s="138"/>
      <c r="S7" s="138"/>
      <c r="T7" s="138"/>
      <c r="U7" s="138"/>
      <c r="V7" s="138"/>
      <c r="W7" s="132"/>
      <c r="X7" s="132"/>
      <c r="Y7" s="132"/>
      <c r="Z7" s="132"/>
      <c r="AA7" s="132"/>
      <c r="AB7" s="132"/>
      <c r="AC7" s="132"/>
      <c r="AD7" s="132"/>
      <c r="AE7" s="132"/>
    </row>
    <row r="8" spans="4:31" s="96" customFormat="1" ht="20.000000" customHeight="1">
      <c r="D8" s="308" t="s">
        <v>80</v>
      </c>
      <c r="E8" s="308"/>
      <c r="F8" s="308"/>
      <c r="G8" s="308"/>
      <c r="H8" s="309" t="s">
        <v>229</v>
      </c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AD8" s="309"/>
      <c r="AE8" s="309"/>
    </row>
    <row r="9" spans="4:31" s="96" customFormat="1" ht="20.000000" customHeight="1">
      <c r="D9" s="308" t="s">
        <v>79</v>
      </c>
      <c r="E9" s="308"/>
      <c r="F9" s="308"/>
      <c r="G9" s="308"/>
      <c r="H9" s="138" t="s">
        <v>78</v>
      </c>
      <c r="I9" s="138"/>
      <c r="J9" s="138"/>
    </row>
    <row r="10" spans="4:31" s="96" customFormat="1" ht="20.000000" customHeight="1">
      <c r="D10" s="308" t="s">
        <v>77</v>
      </c>
      <c r="E10" s="308"/>
      <c r="F10" s="308"/>
      <c r="G10" s="308"/>
      <c r="H10" s="309" t="s">
        <v>177</v>
      </c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  <c r="AC10" s="309"/>
      <c r="AD10" s="309"/>
      <c r="AE10" s="309"/>
    </row>
    <row r="11" spans="4:31" s="96" customFormat="1" ht="13.500000" hidden="1" customHeight="1">
      <c r="D11" s="139"/>
      <c r="E11" s="139"/>
      <c r="F11" s="139"/>
      <c r="G11" s="139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39"/>
      <c r="X11" s="139"/>
      <c r="Y11" s="139"/>
      <c r="Z11" s="139"/>
      <c r="AA11" s="139"/>
      <c r="AB11" s="139"/>
      <c r="AC11" s="139"/>
      <c r="AD11" s="139"/>
      <c r="AE11" s="139"/>
    </row>
    <row r="12" spans="4:31" s="96" customFormat="1" ht="7.500000" customHeight="1">
      <c r="D12" s="134"/>
      <c r="E12" s="134"/>
      <c r="F12" s="134"/>
      <c r="G12" s="134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34"/>
      <c r="X12" s="134"/>
      <c r="Y12" s="134"/>
      <c r="Z12" s="134"/>
      <c r="AA12" s="134"/>
      <c r="AB12" s="134"/>
      <c r="AC12" s="134"/>
      <c r="AD12" s="134"/>
      <c r="AE12" s="134"/>
    </row>
    <row r="13" spans="4:31" s="96" customFormat="1" ht="11.250000" customHeight="1"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</row>
    <row r="14" spans="4:31" s="96" customFormat="1" ht="20.000000" customHeight="1">
      <c r="D14" s="311" t="s">
        <v>237</v>
      </c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</row>
    <row r="15" spans="4:31" s="96" customFormat="1" ht="10.000000" customHeight="1"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</row>
    <row r="16" spans="4:31" s="96" customFormat="1" ht="63.750000" customHeight="1">
      <c r="D16" s="136" t="s">
        <v>238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</row>
    <row r="17" spans="4:31" s="96" customFormat="1" ht="5.000000" customHeight="1"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</row>
    <row r="18" spans="4:31" s="96" customFormat="1" ht="39.000000" customHeight="1">
      <c r="D18" s="136" t="s">
        <v>239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</row>
    <row r="19" spans="4:31" s="96" customFormat="1" ht="10.000000" customHeight="1"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</row>
    <row r="20" spans="4:31" s="96" customFormat="1" ht="20.000000" customHeight="1">
      <c r="D20" s="311" t="s">
        <v>240</v>
      </c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1"/>
      <c r="AE20" s="311"/>
    </row>
    <row r="21" spans="4:31" s="96" customFormat="1" ht="20.000000" customHeight="1">
      <c r="D21" s="132"/>
      <c r="E21" s="132"/>
      <c r="F21" s="132"/>
      <c r="G21" s="132"/>
      <c r="H21" s="311" t="s">
        <v>244</v>
      </c>
      <c r="I21" s="311"/>
      <c r="J21" s="311"/>
      <c r="K21" s="311"/>
      <c r="L21" s="311"/>
      <c r="M21" s="311"/>
      <c r="N21" s="309" t="s">
        <v>229</v>
      </c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</row>
    <row r="22" spans="4:31" s="96" customFormat="1" ht="20.000000" customHeight="1">
      <c r="D22" s="132"/>
      <c r="E22" s="132"/>
      <c r="F22" s="132"/>
      <c r="G22" s="132"/>
      <c r="H22" s="311" t="s">
        <v>254</v>
      </c>
      <c r="I22" s="311"/>
      <c r="J22" s="311"/>
      <c r="K22" s="311"/>
      <c r="L22" s="311"/>
      <c r="M22" s="311"/>
      <c r="N22" s="309" t="s">
        <v>86</v>
      </c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</row>
    <row r="23" spans="4:31" s="96" customFormat="1" ht="20.000000" customHeight="1">
      <c r="D23" s="132"/>
      <c r="E23" s="132"/>
      <c r="F23" s="132"/>
      <c r="G23" s="132"/>
      <c r="H23" s="311" t="s">
        <v>255</v>
      </c>
      <c r="I23" s="311"/>
      <c r="J23" s="311"/>
      <c r="K23" s="311"/>
      <c r="L23" s="311"/>
      <c r="M23" s="311"/>
      <c r="N23" s="309" t="s">
        <v>85</v>
      </c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</row>
    <row r="24" spans="4:31" s="96" customFormat="1" ht="20.000000" customHeight="1">
      <c r="D24" s="132"/>
      <c r="E24" s="132"/>
      <c r="F24" s="132"/>
      <c r="G24" s="132"/>
      <c r="H24" s="311" t="s">
        <v>224</v>
      </c>
      <c r="I24" s="311"/>
      <c r="J24" s="311"/>
      <c r="K24" s="311"/>
      <c r="L24" s="311"/>
      <c r="M24" s="311"/>
      <c r="N24" s="309" t="s">
        <v>87</v>
      </c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</row>
    <row r="25" spans="4:31" s="96" customFormat="1" ht="20.000000" customHeight="1">
      <c r="D25" s="132"/>
      <c r="E25" s="132"/>
      <c r="F25" s="132"/>
      <c r="G25" s="132"/>
      <c r="H25" s="311" t="s">
        <v>225</v>
      </c>
      <c r="I25" s="311"/>
      <c r="J25" s="311"/>
      <c r="K25" s="311"/>
      <c r="L25" s="311"/>
      <c r="M25" s="311"/>
      <c r="N25" s="309" t="s">
        <v>216</v>
      </c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</row>
    <row r="26" spans="4:31" s="96" customFormat="1" ht="10.000000" customHeight="1"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</row>
    <row r="27" spans="4:31" s="96" customFormat="1" ht="20.000000" customHeight="1">
      <c r="D27" s="311" t="s">
        <v>241</v>
      </c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</row>
    <row r="28" spans="4:31" s="96" customFormat="1" ht="20.000000" customHeight="1">
      <c r="D28" s="132"/>
      <c r="E28" s="132"/>
      <c r="F28" s="132"/>
      <c r="G28" s="132"/>
      <c r="H28" s="312" t="s">
        <v>219</v>
      </c>
      <c r="I28" s="312"/>
      <c r="J28" s="312"/>
      <c r="K28" s="312"/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</row>
    <row r="29" spans="4:31" s="96" customFormat="1" ht="20.000000" customHeight="1">
      <c r="D29" s="132"/>
      <c r="E29" s="132"/>
      <c r="F29" s="132"/>
      <c r="G29" s="132"/>
      <c r="H29" s="312" t="s">
        <v>220</v>
      </c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</row>
    <row r="30" spans="4:31" s="96" customFormat="1" ht="10.000000" customHeight="1"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</row>
    <row r="31" spans="4:31" s="96" customFormat="1" ht="20.000000" customHeight="1">
      <c r="D31" s="314" t="s">
        <v>243</v>
      </c>
      <c r="E31" s="314"/>
      <c r="F31" s="314"/>
      <c r="G31" s="314"/>
      <c r="H31" s="314"/>
      <c r="I31" s="314"/>
      <c r="J31" s="314"/>
      <c r="K31" s="314"/>
      <c r="L31" s="314"/>
      <c r="M31" s="314"/>
      <c r="N31" s="315" t="str">
        <f>"일금"&amp;NUMBERSTRING(대가산출!H29,1)&amp;"원정 (₩"&amp;TEXT(대가산출!H29,"#,##0")&amp;")"</f>
        <v>일금일백오십만원정 (₩1,500,000)</v>
      </c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 t="s">
        <v>179</v>
      </c>
      <c r="AC31" s="315"/>
      <c r="AD31" s="315"/>
      <c r="AE31" s="315"/>
    </row>
    <row r="32" spans="4:31" s="96" customFormat="1" ht="10.000000" customHeight="1"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</row>
    <row r="33" spans="4:32" s="96" customFormat="1" ht="20.000000" customHeight="1">
      <c r="D33" s="311" t="s">
        <v>242</v>
      </c>
      <c r="E33" s="311"/>
      <c r="F33" s="311"/>
      <c r="G33" s="311"/>
      <c r="H33" s="311"/>
      <c r="I33" s="311"/>
      <c r="J33" s="311"/>
      <c r="K33" s="311"/>
      <c r="L33" s="311"/>
      <c r="M33" s="311"/>
      <c r="N33" s="312" t="s">
        <v>176</v>
      </c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</row>
    <row r="34" spans="4:32" s="96" customFormat="1" ht="20.000000" customHeight="1"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</row>
    <row r="35" spans="4:32" s="96" customFormat="1" ht="10.000000" customHeight="1"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</row>
    <row r="36" spans="4:32" s="96" customFormat="1" ht="19.500000" customHeight="1">
      <c r="D36" s="132" t="s">
        <v>191</v>
      </c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</row>
    <row r="37" spans="4:32" s="96" customFormat="1" ht="19.500000" customHeight="1">
      <c r="D37" s="132"/>
      <c r="E37" s="132"/>
      <c r="F37" s="132"/>
      <c r="G37" s="132"/>
      <c r="H37" s="132"/>
      <c r="I37" s="132"/>
      <c r="J37" s="137"/>
      <c r="K37" s="137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</row>
    <row r="38" spans="4:32" s="96" customFormat="1" ht="46.500000" customHeight="1">
      <c r="D38" s="313" t="s">
        <v>76</v>
      </c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97"/>
    </row>
    <row r="39" spans="4:32">
      <c r="D39" s="90"/>
      <c r="E39" s="90"/>
      <c r="F39" s="95"/>
      <c r="G39" s="95"/>
      <c r="H39" s="95"/>
      <c r="I39" s="95"/>
      <c r="J39" s="95"/>
      <c r="K39" s="95"/>
      <c r="L39" s="95"/>
    </row>
    <row r="40" spans="4:32">
      <c r="D40" s="90"/>
      <c r="E40" s="90"/>
      <c r="F40" s="95"/>
      <c r="G40" s="95"/>
      <c r="H40" s="95"/>
      <c r="I40" s="95"/>
      <c r="J40" s="95"/>
      <c r="K40" s="95"/>
      <c r="L40" s="95"/>
    </row>
    <row r="41" spans="4:32">
      <c r="D41" s="90"/>
      <c r="E41" s="90"/>
      <c r="F41" s="95"/>
      <c r="G41" s="95"/>
      <c r="H41" s="95"/>
      <c r="I41" s="95"/>
      <c r="J41" s="95"/>
      <c r="K41" s="95"/>
      <c r="L41" s="95"/>
    </row>
    <row r="42" spans="4:32">
      <c r="D42" s="90"/>
      <c r="E42" s="90"/>
      <c r="F42" s="95"/>
      <c r="G42" s="95"/>
      <c r="H42" s="95"/>
      <c r="I42" s="95"/>
      <c r="J42" s="95"/>
      <c r="K42" s="95"/>
      <c r="L42" s="95"/>
    </row>
    <row r="43" spans="4:32">
      <c r="D43" s="90"/>
      <c r="E43" s="90"/>
      <c r="F43" s="95"/>
      <c r="G43" s="95"/>
      <c r="H43" s="95"/>
      <c r="I43" s="95"/>
      <c r="J43" s="95"/>
      <c r="K43" s="95"/>
      <c r="L43" s="95"/>
    </row>
    <row r="44" spans="4:32">
      <c r="D44" s="90"/>
      <c r="E44" s="90"/>
      <c r="F44" s="95"/>
      <c r="G44" s="95"/>
      <c r="H44" s="95"/>
      <c r="I44" s="95"/>
      <c r="J44" s="95"/>
      <c r="K44" s="95"/>
      <c r="L44" s="95"/>
    </row>
    <row r="45" spans="4:32">
      <c r="D45" s="90"/>
      <c r="E45" s="90"/>
      <c r="F45" s="95"/>
      <c r="G45" s="95"/>
      <c r="H45" s="95"/>
      <c r="I45" s="95"/>
      <c r="J45" s="95"/>
      <c r="K45" s="95"/>
      <c r="L45" s="95"/>
    </row>
    <row r="46" spans="4:32">
      <c r="D46" s="90"/>
      <c r="E46" s="90"/>
      <c r="F46" s="95"/>
      <c r="G46" s="95"/>
      <c r="H46" s="95"/>
      <c r="I46" s="95"/>
      <c r="J46" s="95"/>
      <c r="K46" s="95"/>
      <c r="L46" s="95"/>
    </row>
    <row r="47" spans="4:32">
      <c r="D47" s="90"/>
      <c r="E47" s="90"/>
      <c r="F47" s="95"/>
      <c r="G47" s="95"/>
      <c r="H47" s="95"/>
      <c r="I47" s="95"/>
      <c r="J47" s="95"/>
      <c r="K47" s="95"/>
      <c r="L47" s="95"/>
    </row>
    <row r="48" spans="4:32">
      <c r="D48" s="90"/>
      <c r="E48" s="90"/>
      <c r="F48" s="95"/>
      <c r="G48" s="95"/>
      <c r="H48" s="95"/>
      <c r="I48" s="95"/>
      <c r="J48" s="95"/>
      <c r="K48" s="95"/>
      <c r="L48" s="95"/>
    </row>
    <row r="49" spans="6:12" s="90" customFormat="1" ht="12.000000">
      <c r="F49" s="95"/>
      <c r="G49" s="95"/>
      <c r="H49" s="95"/>
      <c r="I49" s="95"/>
      <c r="J49" s="95"/>
      <c r="K49" s="95"/>
      <c r="L49" s="95"/>
    </row>
    <row r="50" spans="6:12" s="90" customFormat="1" ht="12.000000">
      <c r="F50" s="95"/>
      <c r="G50" s="95"/>
      <c r="H50" s="95"/>
      <c r="I50" s="95"/>
      <c r="J50" s="95"/>
      <c r="K50" s="95"/>
      <c r="L50" s="95"/>
    </row>
    <row r="51" spans="6:12" s="90" customFormat="1" ht="12.000000">
      <c r="F51" s="95"/>
      <c r="G51" s="95"/>
      <c r="H51" s="95"/>
      <c r="I51" s="95"/>
      <c r="J51" s="95"/>
      <c r="K51" s="95"/>
      <c r="L51" s="95"/>
    </row>
    <row r="52" spans="6:12" s="90" customFormat="1" ht="12.000000">
      <c r="F52" s="95"/>
      <c r="G52" s="95"/>
      <c r="H52" s="95"/>
      <c r="I52" s="95"/>
      <c r="J52" s="95"/>
      <c r="K52" s="95"/>
      <c r="L52" s="95"/>
    </row>
    <row r="53" spans="6:12" s="90" customFormat="1" ht="12.000000">
      <c r="F53" s="95"/>
      <c r="G53" s="95"/>
      <c r="H53" s="95"/>
      <c r="I53" s="95"/>
      <c r="J53" s="95"/>
      <c r="K53" s="95"/>
      <c r="L53" s="95"/>
    </row>
    <row r="54" spans="6:12" s="90" customFormat="1" ht="12.000000">
      <c r="F54" s="95"/>
      <c r="G54" s="95"/>
      <c r="H54" s="95"/>
      <c r="I54" s="95"/>
      <c r="J54" s="95"/>
      <c r="K54" s="95"/>
      <c r="L54" s="95"/>
    </row>
    <row r="55" spans="6:12" s="90" customFormat="1" ht="12.000000">
      <c r="F55" s="95"/>
      <c r="G55" s="95"/>
      <c r="H55" s="95"/>
      <c r="I55" s="95"/>
      <c r="J55" s="95"/>
      <c r="K55" s="95"/>
      <c r="L55" s="95"/>
    </row>
    <row r="56" spans="6:12" s="90" customFormat="1" ht="12.000000">
      <c r="F56" s="95"/>
      <c r="G56" s="95"/>
      <c r="H56" s="95"/>
      <c r="I56" s="95"/>
      <c r="J56" s="95"/>
      <c r="K56" s="95"/>
      <c r="L56" s="95"/>
    </row>
    <row r="57" spans="6:12" s="90" customFormat="1" ht="12.000000">
      <c r="F57" s="95"/>
      <c r="G57" s="95"/>
      <c r="H57" s="95"/>
      <c r="I57" s="95"/>
      <c r="J57" s="95"/>
      <c r="K57" s="95"/>
      <c r="L57" s="95"/>
    </row>
    <row r="58" spans="6:12" s="90" customFormat="1" ht="12.000000">
      <c r="F58" s="95"/>
      <c r="G58" s="95"/>
      <c r="H58" s="95"/>
      <c r="I58" s="95"/>
      <c r="J58" s="95"/>
      <c r="K58" s="95"/>
      <c r="L58" s="95"/>
    </row>
    <row r="59" spans="6:12" s="90" customFormat="1" ht="12.000000">
      <c r="F59" s="95"/>
      <c r="G59" s="95"/>
      <c r="H59" s="95"/>
      <c r="I59" s="95"/>
      <c r="J59" s="95"/>
      <c r="K59" s="95"/>
      <c r="L59" s="95"/>
    </row>
    <row r="60" spans="6:12" s="90" customFormat="1" ht="12.000000">
      <c r="F60" s="95"/>
      <c r="G60" s="95"/>
      <c r="H60" s="95"/>
      <c r="I60" s="95"/>
      <c r="J60" s="95"/>
      <c r="K60" s="95"/>
      <c r="L60" s="95"/>
    </row>
    <row r="61" spans="6:12" s="90" customFormat="1" ht="12.000000">
      <c r="F61" s="95"/>
      <c r="G61" s="95"/>
      <c r="H61" s="95"/>
      <c r="I61" s="95"/>
      <c r="J61" s="95"/>
      <c r="K61" s="95"/>
      <c r="L61" s="95"/>
    </row>
    <row r="62" spans="6:12" s="90" customFormat="1" ht="12.000000">
      <c r="F62" s="95"/>
      <c r="G62" s="95"/>
      <c r="H62" s="95"/>
      <c r="I62" s="95"/>
      <c r="J62" s="95"/>
      <c r="K62" s="95"/>
      <c r="L62" s="95"/>
    </row>
    <row r="63" spans="6:12" s="90" customFormat="1" ht="12.000000">
      <c r="F63" s="95"/>
      <c r="G63" s="95"/>
      <c r="H63" s="95"/>
      <c r="I63" s="95"/>
      <c r="J63" s="95"/>
      <c r="K63" s="95"/>
      <c r="L63" s="95"/>
    </row>
    <row r="64" spans="6:12" s="90" customFormat="1" ht="12.000000">
      <c r="F64" s="95"/>
      <c r="G64" s="95"/>
      <c r="H64" s="95"/>
      <c r="I64" s="95"/>
      <c r="J64" s="95"/>
      <c r="K64" s="95"/>
      <c r="L64" s="95"/>
    </row>
    <row r="65" spans="6:12" s="90" customFormat="1" ht="12.000000">
      <c r="F65" s="95"/>
      <c r="G65" s="95"/>
      <c r="H65" s="95"/>
      <c r="I65" s="95"/>
      <c r="J65" s="95"/>
      <c r="K65" s="95"/>
      <c r="L65" s="95"/>
    </row>
    <row r="66" spans="6:12" s="90" customFormat="1" ht="12.000000">
      <c r="F66" s="95"/>
      <c r="G66" s="95"/>
      <c r="H66" s="95"/>
      <c r="I66" s="95"/>
      <c r="J66" s="95"/>
      <c r="K66" s="95"/>
      <c r="L66" s="95"/>
    </row>
    <row r="67" spans="6:12" s="90" customFormat="1" ht="12.000000">
      <c r="F67" s="95"/>
      <c r="G67" s="95"/>
      <c r="H67" s="95"/>
      <c r="I67" s="95"/>
      <c r="J67" s="95"/>
      <c r="K67" s="95"/>
      <c r="L67" s="95"/>
    </row>
    <row r="68" spans="6:12" s="90" customFormat="1" ht="12.000000">
      <c r="F68" s="95"/>
      <c r="G68" s="95"/>
      <c r="H68" s="95"/>
      <c r="I68" s="95"/>
      <c r="J68" s="95"/>
      <c r="K68" s="95"/>
      <c r="L68" s="95"/>
    </row>
    <row r="69" spans="6:12" s="90" customFormat="1" ht="12.000000">
      <c r="F69" s="95"/>
      <c r="G69" s="95"/>
      <c r="H69" s="95"/>
      <c r="I69" s="95"/>
      <c r="J69" s="95"/>
      <c r="K69" s="95"/>
      <c r="L69" s="95"/>
    </row>
    <row r="70" spans="6:12" s="90" customFormat="1" ht="12.000000">
      <c r="F70" s="95"/>
      <c r="G70" s="95"/>
      <c r="H70" s="95"/>
      <c r="I70" s="95"/>
      <c r="J70" s="95"/>
      <c r="K70" s="95"/>
      <c r="L70" s="95"/>
    </row>
    <row r="71" spans="6:12" s="90" customFormat="1" ht="12.000000">
      <c r="F71" s="95"/>
      <c r="G71" s="95"/>
      <c r="H71" s="95"/>
      <c r="I71" s="95"/>
      <c r="J71" s="95"/>
      <c r="K71" s="95"/>
      <c r="L71" s="95"/>
    </row>
    <row r="72" spans="6:12" s="90" customFormat="1" ht="12.000000">
      <c r="F72" s="95"/>
      <c r="G72" s="95"/>
      <c r="H72" s="95"/>
      <c r="I72" s="95"/>
      <c r="J72" s="95"/>
      <c r="K72" s="95"/>
      <c r="L72" s="95"/>
    </row>
    <row r="73" spans="6:12" s="90" customFormat="1" ht="12.000000">
      <c r="F73" s="95"/>
      <c r="G73" s="95"/>
      <c r="H73" s="95"/>
      <c r="I73" s="95"/>
      <c r="J73" s="95"/>
      <c r="K73" s="95"/>
      <c r="L73" s="95"/>
    </row>
    <row r="74" spans="6:12" s="90" customFormat="1" ht="12.000000">
      <c r="F74" s="95"/>
      <c r="G74" s="95"/>
      <c r="H74" s="95"/>
      <c r="I74" s="95"/>
      <c r="J74" s="95"/>
      <c r="K74" s="95"/>
      <c r="L74" s="95"/>
    </row>
    <row r="75" spans="6:12" s="90" customFormat="1" ht="12.000000">
      <c r="F75" s="95"/>
      <c r="G75" s="95"/>
      <c r="H75" s="95"/>
      <c r="I75" s="95"/>
      <c r="J75" s="95"/>
      <c r="K75" s="95"/>
      <c r="L75" s="95"/>
    </row>
    <row r="76" spans="6:12" s="90" customFormat="1" ht="12.000000">
      <c r="F76" s="95"/>
      <c r="G76" s="95"/>
      <c r="H76" s="95"/>
      <c r="I76" s="95"/>
      <c r="J76" s="95"/>
      <c r="K76" s="95"/>
      <c r="L76" s="95"/>
    </row>
    <row r="77" spans="6:12" s="90" customFormat="1" ht="12.000000">
      <c r="F77" s="95"/>
      <c r="G77" s="95"/>
      <c r="H77" s="95"/>
      <c r="I77" s="95"/>
      <c r="J77" s="95"/>
      <c r="K77" s="95"/>
      <c r="L77" s="95"/>
    </row>
    <row r="78" spans="6:12" s="90" customFormat="1" ht="12.000000">
      <c r="F78" s="95"/>
      <c r="G78" s="95"/>
      <c r="H78" s="95"/>
      <c r="I78" s="95"/>
      <c r="J78" s="95"/>
      <c r="K78" s="95"/>
      <c r="L78" s="95"/>
    </row>
    <row r="79" spans="6:12" s="90" customFormat="1" ht="12.000000">
      <c r="F79" s="95"/>
      <c r="G79" s="95"/>
      <c r="H79" s="95"/>
      <c r="I79" s="95"/>
      <c r="J79" s="95"/>
      <c r="K79" s="95"/>
      <c r="L79" s="95"/>
    </row>
    <row r="80" spans="6:12" s="90" customFormat="1" ht="12.000000">
      <c r="F80" s="95"/>
      <c r="G80" s="95"/>
      <c r="H80" s="95"/>
      <c r="I80" s="95"/>
      <c r="J80" s="95"/>
      <c r="K80" s="95"/>
      <c r="L80" s="95"/>
    </row>
    <row r="81" spans="6:12" s="90" customFormat="1" ht="12.000000">
      <c r="F81" s="95"/>
      <c r="G81" s="95"/>
      <c r="H81" s="95"/>
      <c r="I81" s="95"/>
      <c r="J81" s="95"/>
      <c r="K81" s="95"/>
      <c r="L81" s="95"/>
    </row>
    <row r="82" spans="6:12" s="90" customFormat="1" ht="12.000000">
      <c r="F82" s="95"/>
      <c r="G82" s="95"/>
      <c r="H82" s="95"/>
      <c r="I82" s="95"/>
      <c r="J82" s="95"/>
      <c r="K82" s="95"/>
      <c r="L82" s="95"/>
    </row>
    <row r="83" spans="6:12" s="90" customFormat="1" ht="12.000000">
      <c r="F83" s="95"/>
      <c r="G83" s="95"/>
      <c r="H83" s="95"/>
      <c r="I83" s="95"/>
      <c r="J83" s="95"/>
      <c r="K83" s="95"/>
      <c r="L83" s="95"/>
    </row>
    <row r="84" spans="6:12" s="90" customFormat="1" ht="12.000000">
      <c r="F84" s="95"/>
      <c r="G84" s="95"/>
      <c r="H84" s="95"/>
      <c r="I84" s="95"/>
      <c r="J84" s="95"/>
      <c r="K84" s="95"/>
      <c r="L84" s="95"/>
    </row>
    <row r="85" spans="6:12" s="90" customFormat="1" ht="12.000000">
      <c r="F85" s="95"/>
      <c r="G85" s="95"/>
      <c r="H85" s="95"/>
      <c r="I85" s="95"/>
      <c r="J85" s="95"/>
      <c r="K85" s="95"/>
      <c r="L85" s="95"/>
    </row>
    <row r="86" spans="6:12" s="90" customFormat="1" ht="12.000000">
      <c r="F86" s="95"/>
      <c r="G86" s="95"/>
      <c r="H86" s="95"/>
      <c r="I86" s="95"/>
      <c r="J86" s="95"/>
      <c r="K86" s="95"/>
      <c r="L86" s="95"/>
    </row>
    <row r="87" spans="6:12" s="90" customFormat="1" ht="12.000000">
      <c r="F87" s="95"/>
      <c r="G87" s="95"/>
      <c r="H87" s="95"/>
      <c r="I87" s="95"/>
      <c r="J87" s="95"/>
      <c r="K87" s="95"/>
      <c r="L87" s="95"/>
    </row>
    <row r="88" spans="6:12" s="90" customFormat="1" ht="12.000000">
      <c r="F88" s="95"/>
      <c r="G88" s="95"/>
      <c r="H88" s="95"/>
      <c r="I88" s="95"/>
      <c r="J88" s="95"/>
      <c r="K88" s="95"/>
      <c r="L88" s="95"/>
    </row>
    <row r="89" spans="6:12" s="90" customFormat="1" ht="12.000000">
      <c r="F89" s="95"/>
      <c r="G89" s="95"/>
      <c r="H89" s="95"/>
      <c r="I89" s="95"/>
      <c r="J89" s="95"/>
      <c r="K89" s="95"/>
      <c r="L89" s="95"/>
    </row>
    <row r="90" spans="6:12" s="90" customFormat="1" ht="12.000000">
      <c r="F90" s="95"/>
      <c r="G90" s="95"/>
      <c r="H90" s="95"/>
      <c r="I90" s="95"/>
      <c r="J90" s="95"/>
      <c r="K90" s="95"/>
      <c r="L90" s="95"/>
    </row>
    <row r="91" spans="6:12" s="90" customFormat="1" ht="12.000000">
      <c r="F91" s="95"/>
      <c r="G91" s="95"/>
      <c r="H91" s="95"/>
      <c r="I91" s="95"/>
      <c r="J91" s="95"/>
      <c r="K91" s="95"/>
      <c r="L91" s="95"/>
    </row>
    <row r="92" spans="6:12" s="90" customFormat="1" ht="12.000000">
      <c r="F92" s="95"/>
      <c r="G92" s="95"/>
      <c r="H92" s="95"/>
      <c r="I92" s="95"/>
      <c r="J92" s="95"/>
      <c r="K92" s="95"/>
      <c r="L92" s="95"/>
    </row>
    <row r="93" spans="6:12" s="90" customFormat="1" ht="12.000000">
      <c r="F93" s="95"/>
      <c r="G93" s="95"/>
      <c r="H93" s="95"/>
      <c r="I93" s="95"/>
      <c r="J93" s="95"/>
      <c r="K93" s="95"/>
      <c r="L93" s="95"/>
    </row>
    <row r="94" spans="6:12" s="90" customFormat="1" ht="12.000000">
      <c r="F94" s="95"/>
      <c r="G94" s="95"/>
      <c r="H94" s="95"/>
      <c r="I94" s="95"/>
      <c r="J94" s="95"/>
      <c r="K94" s="95"/>
      <c r="L94" s="95"/>
    </row>
    <row r="95" spans="6:12" s="90" customFormat="1" ht="12.000000">
      <c r="F95" s="95"/>
      <c r="G95" s="95"/>
      <c r="H95" s="95"/>
      <c r="I95" s="95"/>
      <c r="J95" s="95"/>
      <c r="K95" s="95"/>
      <c r="L95" s="95"/>
    </row>
    <row r="96" spans="6:12" s="90" customFormat="1" ht="12.000000">
      <c r="F96" s="95"/>
      <c r="G96" s="95"/>
      <c r="H96" s="95"/>
      <c r="I96" s="95"/>
      <c r="J96" s="95"/>
      <c r="K96" s="95"/>
      <c r="L96" s="95"/>
    </row>
    <row r="97" spans="6:12" s="90" customFormat="1" ht="12.000000">
      <c r="F97" s="95"/>
      <c r="G97" s="95"/>
      <c r="H97" s="95"/>
      <c r="I97" s="95"/>
      <c r="J97" s="95"/>
      <c r="K97" s="95"/>
      <c r="L97" s="95"/>
    </row>
    <row r="98" spans="6:12" s="90" customFormat="1" ht="12.000000">
      <c r="F98" s="95"/>
      <c r="G98" s="95"/>
      <c r="H98" s="95"/>
      <c r="I98" s="95"/>
      <c r="J98" s="95"/>
      <c r="K98" s="95"/>
      <c r="L98" s="95"/>
    </row>
    <row r="99" spans="6:12" s="90" customFormat="1" ht="12.000000">
      <c r="F99" s="95"/>
      <c r="G99" s="95"/>
      <c r="H99" s="95"/>
      <c r="I99" s="95"/>
      <c r="J99" s="95"/>
      <c r="K99" s="95"/>
      <c r="L99" s="95"/>
    </row>
    <row r="100" spans="6:12" s="90" customFormat="1" ht="12.000000">
      <c r="F100" s="95"/>
      <c r="G100" s="95"/>
      <c r="H100" s="95"/>
      <c r="I100" s="95"/>
      <c r="J100" s="95"/>
      <c r="K100" s="95"/>
      <c r="L100" s="95"/>
    </row>
    <row r="101" spans="6:12" s="90" customFormat="1" ht="12.000000">
      <c r="F101" s="95"/>
      <c r="G101" s="95"/>
      <c r="H101" s="95"/>
      <c r="I101" s="95"/>
      <c r="J101" s="95"/>
      <c r="K101" s="95"/>
      <c r="L101" s="95"/>
    </row>
    <row r="102" spans="6:12" s="90" customFormat="1" ht="12.000000">
      <c r="F102" s="95"/>
      <c r="G102" s="95"/>
      <c r="H102" s="95"/>
      <c r="I102" s="95"/>
      <c r="J102" s="95"/>
      <c r="K102" s="95"/>
      <c r="L102" s="95"/>
    </row>
    <row r="103" spans="6:12" s="90" customFormat="1" ht="12.000000">
      <c r="F103" s="95"/>
      <c r="G103" s="95"/>
      <c r="H103" s="95"/>
      <c r="I103" s="95"/>
      <c r="J103" s="95"/>
      <c r="K103" s="95"/>
      <c r="L103" s="95"/>
    </row>
    <row r="104" spans="6:12" s="90" customFormat="1" ht="12.000000">
      <c r="F104" s="95"/>
      <c r="G104" s="95"/>
      <c r="H104" s="95"/>
      <c r="I104" s="95"/>
      <c r="J104" s="95"/>
      <c r="K104" s="95"/>
      <c r="L104" s="95"/>
    </row>
    <row r="105" spans="6:12" s="90" customFormat="1" ht="12.000000">
      <c r="F105" s="95"/>
      <c r="G105" s="95"/>
      <c r="H105" s="95"/>
      <c r="I105" s="95"/>
      <c r="J105" s="95"/>
      <c r="K105" s="95"/>
      <c r="L105" s="95"/>
    </row>
    <row r="106" spans="6:12" s="90" customFormat="1" ht="12.000000">
      <c r="F106" s="95"/>
      <c r="G106" s="95"/>
      <c r="H106" s="95"/>
      <c r="I106" s="95"/>
      <c r="J106" s="95"/>
      <c r="K106" s="95"/>
      <c r="L106" s="95"/>
    </row>
    <row r="107" spans="6:12" s="90" customFormat="1" ht="12.000000">
      <c r="F107" s="95"/>
      <c r="G107" s="95"/>
      <c r="H107" s="95"/>
      <c r="I107" s="95"/>
      <c r="J107" s="95"/>
      <c r="K107" s="95"/>
      <c r="L107" s="95"/>
    </row>
    <row r="108" spans="6:12" s="90" customFormat="1" ht="12.000000">
      <c r="F108" s="95"/>
      <c r="G108" s="95"/>
      <c r="H108" s="95"/>
      <c r="I108" s="95"/>
      <c r="J108" s="95"/>
      <c r="K108" s="95"/>
      <c r="L108" s="95"/>
    </row>
    <row r="109" spans="6:12" s="90" customFormat="1" ht="12.000000">
      <c r="F109" s="95"/>
      <c r="G109" s="95"/>
      <c r="H109" s="95"/>
      <c r="I109" s="95"/>
      <c r="J109" s="95"/>
      <c r="K109" s="95"/>
      <c r="L109" s="95"/>
    </row>
    <row r="110" spans="6:12" s="90" customFormat="1" ht="12.000000">
      <c r="F110" s="95"/>
      <c r="G110" s="95"/>
      <c r="H110" s="95"/>
      <c r="I110" s="95"/>
      <c r="J110" s="95"/>
      <c r="K110" s="95"/>
      <c r="L110" s="95"/>
    </row>
    <row r="111" spans="6:12" s="90" customFormat="1" ht="12.000000">
      <c r="F111" s="95"/>
      <c r="G111" s="95"/>
      <c r="H111" s="95"/>
      <c r="I111" s="95"/>
      <c r="J111" s="95"/>
      <c r="K111" s="95"/>
      <c r="L111" s="95"/>
    </row>
    <row r="112" spans="6:12" s="90" customFormat="1" ht="12.000000">
      <c r="F112" s="95"/>
      <c r="G112" s="95"/>
      <c r="H112" s="95"/>
      <c r="I112" s="95"/>
      <c r="J112" s="95"/>
      <c r="K112" s="95"/>
      <c r="L112" s="95"/>
    </row>
    <row r="113" spans="6:12" s="90" customFormat="1" ht="12.000000">
      <c r="F113" s="95"/>
      <c r="G113" s="95"/>
      <c r="H113" s="95"/>
      <c r="I113" s="95"/>
      <c r="J113" s="95"/>
      <c r="K113" s="95"/>
      <c r="L113" s="95"/>
    </row>
    <row r="114" spans="6:12" s="90" customFormat="1" ht="12.000000">
      <c r="F114" s="95"/>
      <c r="G114" s="95"/>
      <c r="H114" s="95"/>
      <c r="I114" s="95"/>
      <c r="J114" s="95"/>
      <c r="K114" s="95"/>
      <c r="L114" s="95"/>
    </row>
    <row r="115" spans="6:12" s="90" customFormat="1" ht="12.000000">
      <c r="F115" s="95"/>
      <c r="G115" s="95"/>
      <c r="H115" s="95"/>
      <c r="I115" s="95"/>
      <c r="J115" s="95"/>
      <c r="K115" s="95"/>
      <c r="L115" s="95"/>
    </row>
    <row r="116" spans="6:12" s="90" customFormat="1" ht="12.000000">
      <c r="F116" s="95"/>
      <c r="G116" s="95"/>
      <c r="H116" s="95"/>
      <c r="I116" s="95"/>
      <c r="J116" s="95"/>
      <c r="K116" s="95"/>
      <c r="L116" s="95"/>
    </row>
    <row r="117" spans="6:12" s="90" customFormat="1" ht="12.000000">
      <c r="F117" s="95"/>
      <c r="G117" s="95"/>
      <c r="H117" s="95"/>
      <c r="I117" s="95"/>
      <c r="J117" s="95"/>
      <c r="K117" s="95"/>
      <c r="L117" s="95"/>
    </row>
    <row r="118" spans="6:12" s="90" customFormat="1" ht="12.000000">
      <c r="F118" s="95"/>
      <c r="G118" s="95"/>
      <c r="H118" s="95"/>
      <c r="I118" s="95"/>
      <c r="J118" s="95"/>
      <c r="K118" s="95"/>
      <c r="L118" s="95"/>
    </row>
    <row r="119" spans="6:12" s="90" customFormat="1" ht="12.000000">
      <c r="F119" s="95"/>
      <c r="G119" s="95"/>
      <c r="H119" s="95"/>
      <c r="I119" s="95"/>
      <c r="J119" s="95"/>
      <c r="K119" s="95"/>
      <c r="L119" s="95"/>
    </row>
    <row r="120" spans="6:12" s="90" customFormat="1" ht="12.000000">
      <c r="F120" s="95"/>
      <c r="G120" s="95"/>
      <c r="H120" s="95"/>
      <c r="I120" s="95"/>
      <c r="J120" s="95"/>
      <c r="K120" s="95"/>
      <c r="L120" s="95"/>
    </row>
    <row r="121" spans="6:12" s="90" customFormat="1" ht="12.000000">
      <c r="F121" s="95"/>
      <c r="G121" s="95"/>
      <c r="H121" s="95"/>
      <c r="I121" s="95"/>
      <c r="J121" s="95"/>
      <c r="K121" s="95"/>
      <c r="L121" s="95"/>
    </row>
    <row r="122" spans="6:12" s="90" customFormat="1" ht="12.000000">
      <c r="F122" s="95"/>
      <c r="G122" s="95"/>
      <c r="H122" s="95"/>
      <c r="I122" s="95"/>
      <c r="J122" s="95"/>
      <c r="K122" s="95"/>
      <c r="L122" s="95"/>
    </row>
    <row r="123" spans="6:12" s="90" customFormat="1" ht="12.000000">
      <c r="F123" s="95"/>
      <c r="G123" s="95"/>
      <c r="H123" s="95"/>
      <c r="I123" s="95"/>
      <c r="J123" s="95"/>
      <c r="K123" s="95"/>
      <c r="L123" s="95"/>
    </row>
    <row r="124" spans="6:12" s="90" customFormat="1" ht="12.000000">
      <c r="F124" s="95"/>
      <c r="G124" s="95"/>
      <c r="H124" s="95"/>
      <c r="I124" s="95"/>
      <c r="J124" s="95"/>
      <c r="K124" s="95"/>
      <c r="L124" s="95"/>
    </row>
    <row r="125" spans="6:12" s="90" customFormat="1" ht="12.000000">
      <c r="F125" s="95"/>
      <c r="G125" s="95"/>
      <c r="H125" s="95"/>
      <c r="I125" s="95"/>
      <c r="J125" s="95"/>
      <c r="K125" s="95"/>
      <c r="L125" s="95"/>
    </row>
    <row r="126" spans="6:12" s="90" customFormat="1" ht="12.000000">
      <c r="F126" s="95"/>
      <c r="G126" s="95"/>
      <c r="H126" s="95"/>
      <c r="I126" s="95"/>
      <c r="J126" s="95"/>
      <c r="K126" s="95"/>
      <c r="L126" s="95"/>
    </row>
    <row r="127" spans="6:12" s="90" customFormat="1" ht="12.000000">
      <c r="F127" s="95"/>
      <c r="G127" s="95"/>
      <c r="H127" s="95"/>
      <c r="I127" s="95"/>
      <c r="J127" s="95"/>
      <c r="K127" s="95"/>
      <c r="L127" s="95"/>
    </row>
    <row r="128" spans="6:12" s="90" customFormat="1" ht="12.000000">
      <c r="F128" s="95"/>
      <c r="G128" s="95"/>
      <c r="H128" s="95"/>
      <c r="I128" s="95"/>
      <c r="J128" s="95"/>
      <c r="K128" s="95"/>
      <c r="L128" s="95"/>
    </row>
    <row r="129" spans="6:12" s="90" customFormat="1" ht="12.000000">
      <c r="F129" s="95"/>
      <c r="G129" s="95"/>
      <c r="H129" s="95"/>
      <c r="I129" s="95"/>
      <c r="J129" s="95"/>
      <c r="K129" s="95"/>
      <c r="L129" s="95"/>
    </row>
    <row r="130" spans="6:12" s="90" customFormat="1" ht="12.000000">
      <c r="F130" s="95"/>
      <c r="G130" s="95"/>
      <c r="H130" s="95"/>
      <c r="I130" s="95"/>
      <c r="J130" s="95"/>
      <c r="K130" s="95"/>
      <c r="L130" s="95"/>
    </row>
    <row r="131" spans="6:12" s="90" customFormat="1" ht="12.000000">
      <c r="F131" s="95"/>
      <c r="G131" s="95"/>
      <c r="H131" s="95"/>
      <c r="I131" s="95"/>
      <c r="J131" s="95"/>
      <c r="K131" s="95"/>
      <c r="L131" s="95"/>
    </row>
    <row r="132" spans="6:12" s="90" customFormat="1" ht="12.000000">
      <c r="F132" s="95"/>
      <c r="G132" s="95"/>
      <c r="H132" s="95"/>
      <c r="I132" s="95"/>
      <c r="J132" s="95"/>
      <c r="K132" s="95"/>
      <c r="L132" s="95"/>
    </row>
    <row r="133" spans="6:12" s="90" customFormat="1" ht="12.000000">
      <c r="F133" s="95"/>
      <c r="G133" s="95"/>
      <c r="H133" s="95"/>
      <c r="I133" s="95"/>
      <c r="J133" s="95"/>
      <c r="K133" s="95"/>
      <c r="L133" s="95"/>
    </row>
    <row r="134" spans="6:12" s="90" customFormat="1" ht="12.000000">
      <c r="F134" s="95"/>
      <c r="G134" s="95"/>
      <c r="H134" s="95"/>
      <c r="I134" s="95"/>
      <c r="J134" s="95"/>
      <c r="K134" s="95"/>
      <c r="L134" s="95"/>
    </row>
    <row r="135" spans="6:12" s="90" customFormat="1" ht="12.000000">
      <c r="F135" s="95"/>
      <c r="G135" s="95"/>
      <c r="H135" s="95"/>
      <c r="I135" s="95"/>
      <c r="J135" s="95"/>
      <c r="K135" s="95"/>
      <c r="L135" s="95"/>
    </row>
    <row r="136" spans="6:12" s="90" customFormat="1" ht="12.000000">
      <c r="F136" s="95"/>
      <c r="G136" s="95"/>
      <c r="H136" s="95"/>
      <c r="I136" s="95"/>
      <c r="J136" s="95"/>
      <c r="K136" s="95"/>
      <c r="L136" s="95"/>
    </row>
    <row r="137" spans="6:12" s="90" customFormat="1" ht="12.000000">
      <c r="F137" s="95"/>
      <c r="G137" s="95"/>
      <c r="H137" s="95"/>
      <c r="I137" s="95"/>
      <c r="J137" s="95"/>
      <c r="K137" s="95"/>
      <c r="L137" s="95"/>
    </row>
    <row r="138" spans="6:12" s="90" customFormat="1" ht="12.000000">
      <c r="F138" s="95"/>
      <c r="G138" s="95"/>
      <c r="H138" s="95"/>
      <c r="I138" s="95"/>
      <c r="J138" s="95"/>
      <c r="K138" s="95"/>
      <c r="L138" s="95"/>
    </row>
    <row r="139" spans="6:12" s="90" customFormat="1" ht="12.000000">
      <c r="F139" s="95"/>
      <c r="G139" s="95"/>
      <c r="H139" s="95"/>
      <c r="I139" s="95"/>
      <c r="J139" s="95"/>
      <c r="K139" s="95"/>
      <c r="L139" s="95"/>
    </row>
    <row r="140" spans="6:12" s="90" customFormat="1" ht="12.000000">
      <c r="F140" s="95"/>
      <c r="G140" s="95"/>
      <c r="H140" s="95"/>
      <c r="I140" s="95"/>
      <c r="J140" s="95"/>
      <c r="K140" s="95"/>
      <c r="L140" s="95"/>
    </row>
    <row r="141" spans="6:12" s="90" customFormat="1" ht="12.000000">
      <c r="F141" s="95"/>
      <c r="G141" s="95"/>
      <c r="H141" s="95"/>
      <c r="I141" s="95"/>
      <c r="J141" s="95"/>
      <c r="K141" s="95"/>
      <c r="L141" s="95"/>
    </row>
    <row r="142" spans="6:12" s="90" customFormat="1" ht="12.000000">
      <c r="F142" s="95"/>
      <c r="G142" s="95"/>
      <c r="H142" s="95"/>
      <c r="I142" s="95"/>
      <c r="J142" s="95"/>
      <c r="K142" s="95"/>
      <c r="L142" s="95"/>
    </row>
    <row r="143" spans="6:12" s="90" customFormat="1" ht="12.000000">
      <c r="F143" s="95"/>
      <c r="G143" s="95"/>
      <c r="H143" s="95"/>
      <c r="I143" s="95"/>
      <c r="J143" s="95"/>
      <c r="K143" s="95"/>
      <c r="L143" s="95"/>
    </row>
    <row r="144" spans="6:12" s="90" customFormat="1" ht="12.000000">
      <c r="F144" s="95"/>
      <c r="G144" s="95"/>
      <c r="H144" s="95"/>
      <c r="I144" s="95"/>
      <c r="J144" s="95"/>
      <c r="K144" s="95"/>
      <c r="L144" s="95"/>
    </row>
    <row r="145" spans="6:12" s="90" customFormat="1" ht="12.000000">
      <c r="F145" s="95"/>
      <c r="G145" s="95"/>
      <c r="H145" s="95"/>
      <c r="I145" s="95"/>
      <c r="J145" s="95"/>
      <c r="K145" s="95"/>
      <c r="L145" s="95"/>
    </row>
    <row r="146" spans="6:12" s="90" customFormat="1" ht="12.000000">
      <c r="F146" s="95"/>
      <c r="G146" s="95"/>
      <c r="H146" s="95"/>
      <c r="I146" s="95"/>
      <c r="J146" s="95"/>
      <c r="K146" s="95"/>
      <c r="L146" s="95"/>
    </row>
    <row r="147" spans="6:12" s="90" customFormat="1" ht="12.000000">
      <c r="F147" s="95"/>
      <c r="G147" s="95"/>
      <c r="H147" s="95"/>
      <c r="I147" s="95"/>
      <c r="J147" s="95"/>
      <c r="K147" s="95"/>
      <c r="L147" s="95"/>
    </row>
    <row r="148" spans="6:12" s="90" customFormat="1" ht="12.000000">
      <c r="F148" s="95"/>
      <c r="G148" s="95"/>
      <c r="H148" s="95"/>
      <c r="I148" s="95"/>
      <c r="J148" s="95"/>
      <c r="K148" s="95"/>
      <c r="L148" s="95"/>
    </row>
    <row r="149" spans="6:12" s="90" customFormat="1" ht="12.000000">
      <c r="F149" s="95"/>
      <c r="G149" s="95"/>
      <c r="H149" s="95"/>
      <c r="I149" s="95"/>
      <c r="J149" s="95"/>
      <c r="K149" s="95"/>
      <c r="L149" s="95"/>
    </row>
    <row r="150" spans="6:12" s="90" customFormat="1" ht="12.000000">
      <c r="F150" s="95"/>
      <c r="G150" s="95"/>
      <c r="H150" s="95"/>
      <c r="I150" s="95"/>
      <c r="J150" s="95"/>
      <c r="K150" s="95"/>
      <c r="L150" s="95"/>
    </row>
    <row r="151" spans="6:12" s="90" customFormat="1" ht="12.000000">
      <c r="F151" s="95"/>
      <c r="G151" s="95"/>
      <c r="H151" s="95"/>
      <c r="I151" s="95"/>
      <c r="J151" s="95"/>
      <c r="K151" s="95"/>
      <c r="L151" s="95"/>
    </row>
    <row r="152" spans="6:12" s="90" customFormat="1" ht="12.000000">
      <c r="F152" s="95"/>
      <c r="G152" s="95"/>
      <c r="H152" s="95"/>
      <c r="I152" s="95"/>
      <c r="J152" s="95"/>
      <c r="K152" s="95"/>
      <c r="L152" s="95"/>
    </row>
    <row r="153" spans="6:12" s="90" customFormat="1" ht="12.000000">
      <c r="F153" s="95"/>
      <c r="G153" s="95"/>
      <c r="H153" s="95"/>
      <c r="I153" s="95"/>
      <c r="J153" s="95"/>
      <c r="K153" s="95"/>
      <c r="L153" s="95"/>
    </row>
    <row r="154" spans="6:12" s="90" customFormat="1" ht="12.000000">
      <c r="F154" s="95"/>
      <c r="G154" s="95"/>
      <c r="H154" s="95"/>
      <c r="I154" s="95"/>
      <c r="J154" s="95"/>
      <c r="K154" s="95"/>
      <c r="L154" s="95"/>
    </row>
    <row r="155" spans="6:12" s="90" customFormat="1" ht="12.000000">
      <c r="F155" s="95"/>
      <c r="G155" s="95"/>
      <c r="H155" s="95"/>
      <c r="I155" s="95"/>
      <c r="J155" s="95"/>
      <c r="K155" s="95"/>
      <c r="L155" s="95"/>
    </row>
    <row r="156" spans="6:12" s="90" customFormat="1" ht="12.000000">
      <c r="F156" s="95"/>
      <c r="G156" s="95"/>
      <c r="H156" s="95"/>
      <c r="I156" s="95"/>
      <c r="J156" s="95"/>
      <c r="K156" s="95"/>
      <c r="L156" s="95"/>
    </row>
    <row r="157" spans="6:12" s="90" customFormat="1" ht="12.000000">
      <c r="F157" s="95"/>
      <c r="G157" s="95"/>
      <c r="H157" s="95"/>
      <c r="I157" s="95"/>
      <c r="J157" s="95"/>
      <c r="K157" s="95"/>
      <c r="L157" s="95"/>
    </row>
    <row r="158" spans="6:12" s="90" customFormat="1" ht="12.000000">
      <c r="F158" s="95"/>
      <c r="G158" s="95"/>
      <c r="H158" s="95"/>
      <c r="I158" s="95"/>
      <c r="J158" s="95"/>
      <c r="K158" s="95"/>
      <c r="L158" s="95"/>
    </row>
    <row r="159" spans="6:12" s="90" customFormat="1" ht="12.000000">
      <c r="F159" s="95"/>
      <c r="G159" s="95"/>
      <c r="H159" s="95"/>
      <c r="I159" s="95"/>
      <c r="J159" s="95"/>
      <c r="K159" s="95"/>
      <c r="L159" s="95"/>
    </row>
    <row r="160" spans="6:12" s="90" customFormat="1" ht="12.000000">
      <c r="F160" s="95"/>
      <c r="G160" s="95"/>
      <c r="H160" s="95"/>
      <c r="I160" s="95"/>
      <c r="J160" s="95"/>
      <c r="K160" s="95"/>
      <c r="L160" s="95"/>
    </row>
    <row r="161" spans="6:12" s="90" customFormat="1" ht="12.000000">
      <c r="F161" s="95"/>
      <c r="G161" s="95"/>
      <c r="H161" s="95"/>
      <c r="I161" s="95"/>
      <c r="J161" s="95"/>
      <c r="K161" s="95"/>
      <c r="L161" s="95"/>
    </row>
    <row r="162" spans="6:12" s="90" customFormat="1" ht="12.000000">
      <c r="F162" s="95"/>
      <c r="G162" s="95"/>
      <c r="H162" s="95"/>
      <c r="I162" s="95"/>
      <c r="J162" s="95"/>
      <c r="K162" s="95"/>
      <c r="L162" s="95"/>
    </row>
    <row r="163" spans="6:12" s="90" customFormat="1" ht="12.000000">
      <c r="F163" s="95"/>
      <c r="G163" s="95"/>
      <c r="H163" s="95"/>
      <c r="I163" s="95"/>
      <c r="J163" s="95"/>
      <c r="K163" s="95"/>
      <c r="L163" s="95"/>
    </row>
    <row r="164" spans="6:12" s="90" customFormat="1" ht="12.000000">
      <c r="F164" s="95"/>
      <c r="G164" s="95"/>
      <c r="H164" s="95"/>
      <c r="I164" s="95"/>
      <c r="J164" s="95"/>
      <c r="K164" s="95"/>
      <c r="L164" s="95"/>
    </row>
    <row r="165" spans="6:12" s="90" customFormat="1" ht="12.000000">
      <c r="F165" s="95"/>
      <c r="G165" s="95"/>
      <c r="H165" s="95"/>
      <c r="I165" s="95"/>
      <c r="J165" s="95"/>
      <c r="K165" s="95"/>
      <c r="L165" s="95"/>
    </row>
    <row r="166" spans="6:12" s="90" customFormat="1" ht="12.000000">
      <c r="F166" s="95"/>
      <c r="G166" s="95"/>
      <c r="H166" s="95"/>
      <c r="I166" s="95"/>
      <c r="J166" s="95"/>
      <c r="K166" s="95"/>
      <c r="L166" s="95"/>
    </row>
    <row r="167" spans="6:12" s="90" customFormat="1" ht="12.000000">
      <c r="F167" s="95"/>
      <c r="G167" s="95"/>
      <c r="H167" s="95"/>
      <c r="I167" s="95"/>
      <c r="J167" s="95"/>
      <c r="K167" s="95"/>
      <c r="L167" s="95"/>
    </row>
    <row r="168" spans="6:12" s="90" customFormat="1" ht="12.000000">
      <c r="F168" s="95"/>
      <c r="G168" s="95"/>
      <c r="H168" s="95"/>
      <c r="I168" s="95"/>
      <c r="J168" s="95"/>
      <c r="K168" s="95"/>
      <c r="L168" s="95"/>
    </row>
    <row r="169" spans="6:12" s="90" customFormat="1" ht="12.000000">
      <c r="F169" s="95"/>
      <c r="G169" s="95"/>
      <c r="H169" s="95"/>
      <c r="I169" s="95"/>
      <c r="J169" s="95"/>
      <c r="K169" s="95"/>
      <c r="L169" s="95"/>
    </row>
    <row r="170" spans="6:12" s="90" customFormat="1" ht="12.000000">
      <c r="F170" s="95"/>
      <c r="G170" s="95"/>
      <c r="H170" s="95"/>
      <c r="I170" s="95"/>
      <c r="J170" s="95"/>
      <c r="K170" s="95"/>
      <c r="L170" s="95"/>
    </row>
    <row r="171" spans="6:12" s="90" customFormat="1" ht="12.000000">
      <c r="F171" s="95"/>
      <c r="G171" s="95"/>
      <c r="H171" s="95"/>
      <c r="I171" s="95"/>
      <c r="J171" s="95"/>
      <c r="K171" s="95"/>
      <c r="L171" s="95"/>
    </row>
    <row r="172" spans="6:12" s="90" customFormat="1" ht="12.000000">
      <c r="F172" s="95"/>
      <c r="G172" s="95"/>
      <c r="H172" s="95"/>
      <c r="I172" s="95"/>
      <c r="J172" s="95"/>
      <c r="K172" s="95"/>
      <c r="L172" s="95"/>
    </row>
    <row r="173" spans="6:12" s="90" customFormat="1" ht="12.000000">
      <c r="F173" s="95"/>
      <c r="G173" s="95"/>
      <c r="H173" s="95"/>
      <c r="I173" s="95"/>
      <c r="J173" s="95"/>
      <c r="K173" s="95"/>
      <c r="L173" s="95"/>
    </row>
    <row r="174" spans="6:12" s="90" customFormat="1" ht="12.000000">
      <c r="F174" s="95"/>
      <c r="G174" s="95"/>
      <c r="H174" s="95"/>
      <c r="I174" s="95"/>
      <c r="J174" s="95"/>
      <c r="K174" s="95"/>
      <c r="L174" s="95"/>
    </row>
    <row r="175" spans="6:12" s="90" customFormat="1" ht="12.000000">
      <c r="F175" s="95"/>
      <c r="G175" s="95"/>
      <c r="H175" s="95"/>
      <c r="I175" s="95"/>
      <c r="J175" s="95"/>
      <c r="K175" s="95"/>
      <c r="L175" s="95"/>
    </row>
    <row r="176" spans="6:12" s="90" customFormat="1" ht="12.000000">
      <c r="F176" s="95"/>
      <c r="G176" s="95"/>
      <c r="H176" s="95"/>
      <c r="I176" s="95"/>
      <c r="J176" s="95"/>
      <c r="K176" s="95"/>
      <c r="L176" s="95"/>
    </row>
    <row r="177" spans="6:12" s="90" customFormat="1" ht="12.000000">
      <c r="F177" s="95"/>
      <c r="G177" s="95"/>
      <c r="H177" s="95"/>
      <c r="I177" s="95"/>
      <c r="J177" s="95"/>
      <c r="K177" s="95"/>
      <c r="L177" s="95"/>
    </row>
    <row r="178" spans="6:12" s="90" customFormat="1" ht="12.000000">
      <c r="F178" s="95"/>
      <c r="G178" s="95"/>
      <c r="H178" s="95"/>
      <c r="I178" s="95"/>
      <c r="J178" s="95"/>
      <c r="K178" s="95"/>
      <c r="L178" s="95"/>
    </row>
    <row r="179" spans="6:12" s="90" customFormat="1" ht="12.000000">
      <c r="F179" s="95"/>
      <c r="G179" s="95"/>
      <c r="H179" s="95"/>
      <c r="I179" s="95"/>
      <c r="J179" s="95"/>
      <c r="K179" s="95"/>
      <c r="L179" s="95"/>
    </row>
    <row r="180" spans="6:12" s="90" customFormat="1" ht="12.000000">
      <c r="F180" s="95"/>
      <c r="G180" s="95"/>
      <c r="H180" s="95"/>
      <c r="I180" s="95"/>
      <c r="J180" s="95"/>
      <c r="K180" s="95"/>
      <c r="L180" s="95"/>
    </row>
    <row r="181" spans="6:12" s="90" customFormat="1" ht="12.000000">
      <c r="F181" s="95"/>
      <c r="G181" s="95"/>
      <c r="H181" s="95"/>
      <c r="I181" s="95"/>
      <c r="J181" s="95"/>
      <c r="K181" s="95"/>
      <c r="L181" s="95"/>
    </row>
    <row r="182" spans="6:12" s="90" customFormat="1" ht="12.000000">
      <c r="F182" s="95"/>
      <c r="G182" s="95"/>
      <c r="H182" s="95"/>
      <c r="I182" s="95"/>
      <c r="J182" s="95"/>
      <c r="K182" s="95"/>
      <c r="L182" s="95"/>
    </row>
    <row r="183" spans="6:12" s="90" customFormat="1" ht="12.000000">
      <c r="F183" s="95"/>
      <c r="G183" s="95"/>
      <c r="H183" s="95"/>
      <c r="I183" s="95"/>
      <c r="J183" s="95"/>
      <c r="K183" s="95"/>
      <c r="L183" s="95"/>
    </row>
    <row r="184" spans="6:12" s="90" customFormat="1" ht="12.000000">
      <c r="F184" s="95"/>
      <c r="G184" s="95"/>
      <c r="H184" s="95"/>
      <c r="I184" s="95"/>
      <c r="J184" s="95"/>
      <c r="K184" s="95"/>
      <c r="L184" s="95"/>
    </row>
    <row r="185" spans="6:12" s="90" customFormat="1" ht="12.000000">
      <c r="F185" s="95"/>
      <c r="G185" s="95"/>
      <c r="H185" s="95"/>
      <c r="I185" s="95"/>
      <c r="J185" s="95"/>
      <c r="K185" s="95"/>
      <c r="L185" s="95"/>
    </row>
    <row r="186" spans="6:12" s="90" customFormat="1" ht="12.000000">
      <c r="F186" s="95"/>
      <c r="G186" s="95"/>
      <c r="H186" s="95"/>
      <c r="I186" s="95"/>
      <c r="J186" s="95"/>
      <c r="K186" s="95"/>
      <c r="L186" s="95"/>
    </row>
    <row r="187" spans="6:12" s="90" customFormat="1" ht="12.000000">
      <c r="F187" s="95"/>
      <c r="G187" s="95"/>
      <c r="H187" s="95"/>
      <c r="I187" s="95"/>
      <c r="J187" s="95"/>
      <c r="K187" s="95"/>
      <c r="L187" s="95"/>
    </row>
    <row r="188" spans="6:12" s="90" customFormat="1" ht="12.000000">
      <c r="F188" s="95"/>
      <c r="G188" s="95"/>
      <c r="H188" s="95"/>
      <c r="I188" s="95"/>
      <c r="J188" s="95"/>
      <c r="K188" s="95"/>
      <c r="L188" s="95"/>
    </row>
    <row r="189" spans="6:12" s="90" customFormat="1" ht="12.000000">
      <c r="F189" s="95"/>
      <c r="G189" s="95"/>
      <c r="H189" s="95"/>
      <c r="I189" s="95"/>
      <c r="J189" s="95"/>
      <c r="K189" s="95"/>
      <c r="L189" s="95"/>
    </row>
    <row r="190" spans="6:12" s="90" customFormat="1" ht="12.000000">
      <c r="F190" s="95"/>
      <c r="G190" s="95"/>
      <c r="H190" s="95"/>
      <c r="I190" s="95"/>
      <c r="J190" s="95"/>
      <c r="K190" s="95"/>
      <c r="L190" s="95"/>
    </row>
    <row r="191" spans="6:12" s="90" customFormat="1" ht="12.000000">
      <c r="F191" s="95"/>
      <c r="G191" s="95"/>
      <c r="H191" s="95"/>
      <c r="I191" s="95"/>
      <c r="J191" s="95"/>
      <c r="K191" s="95"/>
      <c r="L191" s="95"/>
    </row>
    <row r="192" spans="6:12" s="90" customFormat="1" ht="12.000000">
      <c r="F192" s="95"/>
      <c r="G192" s="95"/>
      <c r="H192" s="95"/>
      <c r="I192" s="95"/>
      <c r="J192" s="95"/>
      <c r="K192" s="95"/>
      <c r="L192" s="95"/>
    </row>
    <row r="193" spans="6:12" s="90" customFormat="1" ht="12.000000">
      <c r="F193" s="95"/>
      <c r="G193" s="95"/>
      <c r="H193" s="95"/>
      <c r="I193" s="95"/>
      <c r="J193" s="95"/>
      <c r="K193" s="95"/>
      <c r="L193" s="95"/>
    </row>
    <row r="194" spans="6:12" s="90" customFormat="1" ht="12.000000">
      <c r="F194" s="95"/>
      <c r="G194" s="95"/>
      <c r="H194" s="95"/>
      <c r="I194" s="95"/>
      <c r="J194" s="95"/>
      <c r="K194" s="95"/>
      <c r="L194" s="95"/>
    </row>
    <row r="195" spans="6:12" s="90" customFormat="1" ht="12.000000">
      <c r="F195" s="95"/>
      <c r="G195" s="95"/>
      <c r="H195" s="95"/>
      <c r="I195" s="95"/>
      <c r="J195" s="95"/>
      <c r="K195" s="95"/>
      <c r="L195" s="95"/>
    </row>
    <row r="196" spans="6:12" s="90" customFormat="1" ht="12.000000">
      <c r="F196" s="95"/>
      <c r="G196" s="95"/>
      <c r="H196" s="95"/>
      <c r="I196" s="95"/>
      <c r="J196" s="95"/>
      <c r="K196" s="95"/>
      <c r="L196" s="95"/>
    </row>
    <row r="197" spans="6:12" s="90" customFormat="1" ht="12.000000">
      <c r="F197" s="95"/>
      <c r="G197" s="95"/>
      <c r="H197" s="95"/>
      <c r="I197" s="95"/>
      <c r="J197" s="95"/>
      <c r="K197" s="95"/>
      <c r="L197" s="95"/>
    </row>
    <row r="198" spans="6:12" s="90" customFormat="1" ht="12.000000">
      <c r="F198" s="95"/>
      <c r="G198" s="95"/>
      <c r="H198" s="95"/>
      <c r="I198" s="95"/>
      <c r="J198" s="95"/>
      <c r="K198" s="95"/>
      <c r="L198" s="95"/>
    </row>
    <row r="199" spans="6:12" s="90" customFormat="1" ht="12.000000">
      <c r="F199" s="95"/>
      <c r="G199" s="95"/>
      <c r="H199" s="95"/>
      <c r="I199" s="95"/>
      <c r="J199" s="95"/>
      <c r="K199" s="95"/>
      <c r="L199" s="95"/>
    </row>
    <row r="200" spans="6:12" s="90" customFormat="1" ht="12.000000">
      <c r="F200" s="95"/>
      <c r="G200" s="95"/>
      <c r="H200" s="95"/>
      <c r="I200" s="95"/>
      <c r="J200" s="95"/>
      <c r="K200" s="95"/>
      <c r="L200" s="95"/>
    </row>
    <row r="201" spans="6:12" s="90" customFormat="1" ht="12.000000">
      <c r="F201" s="95"/>
      <c r="G201" s="95"/>
      <c r="H201" s="95"/>
      <c r="I201" s="95"/>
      <c r="J201" s="95"/>
      <c r="K201" s="95"/>
      <c r="L201" s="95"/>
    </row>
    <row r="202" spans="6:12" s="90" customFormat="1" ht="12.000000">
      <c r="F202" s="95"/>
      <c r="G202" s="95"/>
      <c r="H202" s="95"/>
      <c r="I202" s="95"/>
      <c r="J202" s="95"/>
      <c r="K202" s="95"/>
      <c r="L202" s="95"/>
    </row>
    <row r="203" spans="6:12" s="90" customFormat="1" ht="12.000000">
      <c r="F203" s="95"/>
      <c r="G203" s="95"/>
      <c r="H203" s="95"/>
      <c r="I203" s="95"/>
      <c r="J203" s="95"/>
      <c r="K203" s="95"/>
      <c r="L203" s="95"/>
    </row>
    <row r="204" spans="6:12" s="90" customFormat="1" ht="12.000000">
      <c r="F204" s="95"/>
      <c r="G204" s="95"/>
      <c r="H204" s="95"/>
      <c r="I204" s="95"/>
      <c r="J204" s="95"/>
      <c r="K204" s="95"/>
      <c r="L204" s="95"/>
    </row>
    <row r="205" spans="6:12" s="90" customFormat="1" ht="12.000000">
      <c r="F205" s="95"/>
      <c r="G205" s="95"/>
      <c r="H205" s="95"/>
      <c r="I205" s="95"/>
      <c r="J205" s="95"/>
      <c r="K205" s="95"/>
      <c r="L205" s="95"/>
    </row>
    <row r="206" spans="6:12" s="90" customFormat="1" ht="12.000000">
      <c r="F206" s="95"/>
      <c r="G206" s="95"/>
      <c r="H206" s="95"/>
      <c r="I206" s="95"/>
      <c r="J206" s="95"/>
      <c r="K206" s="95"/>
      <c r="L206" s="95"/>
    </row>
    <row r="207" spans="6:12" s="90" customFormat="1" ht="12.000000">
      <c r="F207" s="95"/>
      <c r="G207" s="95"/>
      <c r="H207" s="95"/>
      <c r="I207" s="95"/>
      <c r="J207" s="95"/>
      <c r="K207" s="95"/>
      <c r="L207" s="95"/>
    </row>
    <row r="208" spans="6:12" s="90" customFormat="1" ht="12.000000">
      <c r="F208" s="95"/>
      <c r="G208" s="95"/>
      <c r="H208" s="95"/>
      <c r="I208" s="95"/>
      <c r="J208" s="95"/>
      <c r="K208" s="95"/>
      <c r="L208" s="95"/>
    </row>
    <row r="209" spans="6:12" s="90" customFormat="1" ht="12.000000">
      <c r="F209" s="95"/>
      <c r="G209" s="95"/>
      <c r="H209" s="95"/>
      <c r="I209" s="95"/>
      <c r="J209" s="95"/>
      <c r="K209" s="95"/>
      <c r="L209" s="95"/>
    </row>
    <row r="210" spans="6:12" s="90" customFormat="1" ht="12.000000">
      <c r="F210" s="95"/>
      <c r="G210" s="95"/>
      <c r="H210" s="95"/>
      <c r="I210" s="95"/>
      <c r="J210" s="95"/>
      <c r="K210" s="95"/>
      <c r="L210" s="95"/>
    </row>
    <row r="211" spans="6:12" s="90" customFormat="1" ht="12.000000">
      <c r="F211" s="95"/>
      <c r="G211" s="95"/>
      <c r="H211" s="95"/>
      <c r="I211" s="95"/>
      <c r="J211" s="95"/>
      <c r="K211" s="95"/>
      <c r="L211" s="95"/>
    </row>
    <row r="212" spans="6:12" s="90" customFormat="1" ht="12.000000">
      <c r="F212" s="95"/>
      <c r="G212" s="95"/>
      <c r="H212" s="95"/>
      <c r="I212" s="95"/>
      <c r="J212" s="95"/>
      <c r="K212" s="95"/>
      <c r="L212" s="95"/>
    </row>
    <row r="213" spans="6:12" s="90" customFormat="1" ht="12.000000">
      <c r="F213" s="95"/>
      <c r="G213" s="95"/>
      <c r="H213" s="95"/>
      <c r="I213" s="95"/>
      <c r="J213" s="95"/>
      <c r="K213" s="95"/>
      <c r="L213" s="95"/>
    </row>
    <row r="214" spans="6:12" s="90" customFormat="1" ht="12.000000">
      <c r="F214" s="95"/>
      <c r="G214" s="95"/>
      <c r="H214" s="95"/>
      <c r="I214" s="95"/>
      <c r="J214" s="95"/>
      <c r="K214" s="95"/>
      <c r="L214" s="95"/>
    </row>
    <row r="215" spans="6:12" s="90" customFormat="1" ht="12.000000">
      <c r="F215" s="95"/>
      <c r="G215" s="95"/>
      <c r="H215" s="95"/>
      <c r="I215" s="95"/>
      <c r="J215" s="95"/>
      <c r="K215" s="95"/>
      <c r="L215" s="95"/>
    </row>
    <row r="216" spans="6:12" s="90" customFormat="1" ht="12.000000">
      <c r="F216" s="95"/>
      <c r="G216" s="95"/>
      <c r="H216" s="95"/>
      <c r="I216" s="95"/>
      <c r="J216" s="95"/>
      <c r="K216" s="95"/>
      <c r="L216" s="95"/>
    </row>
    <row r="217" spans="6:12" s="90" customFormat="1" ht="12.000000">
      <c r="F217" s="95"/>
      <c r="G217" s="95"/>
      <c r="H217" s="95"/>
      <c r="I217" s="95"/>
      <c r="J217" s="95"/>
      <c r="K217" s="95"/>
      <c r="L217" s="95"/>
    </row>
    <row r="218" spans="6:12" s="90" customFormat="1" ht="12.000000">
      <c r="F218" s="95"/>
      <c r="G218" s="95"/>
      <c r="H218" s="95"/>
      <c r="I218" s="95"/>
      <c r="J218" s="95"/>
      <c r="K218" s="95"/>
      <c r="L218" s="95"/>
    </row>
    <row r="219" spans="6:12" s="90" customFormat="1" ht="12.000000">
      <c r="F219" s="95"/>
      <c r="G219" s="95"/>
      <c r="H219" s="95"/>
      <c r="I219" s="95"/>
      <c r="J219" s="95"/>
      <c r="K219" s="95"/>
      <c r="L219" s="95"/>
    </row>
    <row r="220" spans="6:12" s="90" customFormat="1" ht="12.000000">
      <c r="F220" s="95"/>
      <c r="G220" s="95"/>
      <c r="H220" s="95"/>
      <c r="I220" s="95"/>
      <c r="J220" s="95"/>
      <c r="K220" s="95"/>
      <c r="L220" s="95"/>
    </row>
    <row r="221" spans="6:12" s="90" customFormat="1" ht="12.000000">
      <c r="F221" s="95"/>
      <c r="G221" s="95"/>
      <c r="H221" s="95"/>
      <c r="I221" s="95"/>
      <c r="J221" s="95"/>
      <c r="K221" s="95"/>
      <c r="L221" s="95"/>
    </row>
    <row r="222" spans="6:12" s="90" customFormat="1" ht="12.000000">
      <c r="F222" s="95"/>
      <c r="G222" s="95"/>
      <c r="H222" s="95"/>
      <c r="I222" s="95"/>
      <c r="J222" s="95"/>
      <c r="K222" s="95"/>
      <c r="L222" s="95"/>
    </row>
    <row r="223" spans="6:12" s="90" customFormat="1" ht="12.000000">
      <c r="F223" s="95"/>
      <c r="G223" s="95"/>
      <c r="H223" s="95"/>
      <c r="I223" s="95"/>
      <c r="J223" s="95"/>
      <c r="K223" s="95"/>
      <c r="L223" s="95"/>
    </row>
    <row r="224" spans="6:12" s="90" customFormat="1" ht="12.000000">
      <c r="F224" s="95"/>
      <c r="G224" s="95"/>
      <c r="H224" s="95"/>
      <c r="I224" s="95"/>
      <c r="J224" s="95"/>
      <c r="K224" s="95"/>
      <c r="L224" s="95"/>
    </row>
    <row r="225" spans="6:12" s="90" customFormat="1" ht="12.000000">
      <c r="F225" s="95"/>
      <c r="G225" s="95"/>
      <c r="H225" s="95"/>
      <c r="I225" s="95"/>
      <c r="J225" s="95"/>
      <c r="K225" s="95"/>
      <c r="L225" s="95"/>
    </row>
    <row r="226" spans="6:12" s="90" customFormat="1" ht="12.000000">
      <c r="F226" s="95"/>
      <c r="G226" s="95"/>
      <c r="H226" s="95"/>
      <c r="I226" s="95"/>
      <c r="J226" s="95"/>
      <c r="K226" s="95"/>
      <c r="L226" s="95"/>
    </row>
    <row r="227" spans="6:12" s="90" customFormat="1" ht="12.000000">
      <c r="F227" s="95"/>
      <c r="G227" s="95"/>
      <c r="H227" s="95"/>
      <c r="I227" s="95"/>
      <c r="J227" s="95"/>
      <c r="K227" s="95"/>
      <c r="L227" s="95"/>
    </row>
    <row r="228" spans="6:12" s="90" customFormat="1" ht="12.000000">
      <c r="F228" s="95"/>
      <c r="G228" s="95"/>
      <c r="H228" s="95"/>
      <c r="I228" s="95"/>
      <c r="J228" s="95"/>
      <c r="K228" s="95"/>
      <c r="L228" s="95"/>
    </row>
    <row r="229" spans="6:12" s="90" customFormat="1" ht="12.000000">
      <c r="F229" s="95"/>
      <c r="G229" s="95"/>
      <c r="H229" s="95"/>
      <c r="I229" s="95"/>
      <c r="J229" s="95"/>
      <c r="K229" s="95"/>
      <c r="L229" s="95"/>
    </row>
    <row r="230" spans="6:12" s="90" customFormat="1" ht="12.000000">
      <c r="F230" s="95"/>
      <c r="G230" s="95"/>
      <c r="H230" s="95"/>
      <c r="I230" s="95"/>
      <c r="J230" s="95"/>
      <c r="K230" s="95"/>
      <c r="L230" s="95"/>
    </row>
    <row r="231" spans="6:12" s="90" customFormat="1" ht="12.000000">
      <c r="F231" s="95"/>
      <c r="G231" s="95"/>
      <c r="H231" s="95"/>
      <c r="I231" s="95"/>
      <c r="J231" s="95"/>
      <c r="K231" s="95"/>
      <c r="L231" s="95"/>
    </row>
    <row r="232" spans="6:12" s="90" customFormat="1" ht="12.000000">
      <c r="F232" s="95"/>
      <c r="G232" s="95"/>
      <c r="H232" s="95"/>
      <c r="I232" s="95"/>
      <c r="J232" s="95"/>
      <c r="K232" s="95"/>
      <c r="L232" s="95"/>
    </row>
    <row r="233" spans="6:12" s="90" customFormat="1" ht="12.000000">
      <c r="F233" s="95"/>
      <c r="G233" s="95"/>
      <c r="H233" s="95"/>
      <c r="I233" s="95"/>
      <c r="J233" s="95"/>
      <c r="K233" s="95"/>
      <c r="L233" s="95"/>
    </row>
    <row r="234" spans="6:12" s="90" customFormat="1" ht="12.000000">
      <c r="F234" s="95"/>
      <c r="G234" s="95"/>
      <c r="H234" s="95"/>
      <c r="I234" s="95"/>
      <c r="J234" s="95"/>
      <c r="K234" s="95"/>
      <c r="L234" s="95"/>
    </row>
    <row r="235" spans="6:12" s="90" customFormat="1" ht="12.000000">
      <c r="F235" s="95"/>
      <c r="G235" s="95"/>
      <c r="H235" s="95"/>
      <c r="I235" s="95"/>
      <c r="J235" s="95"/>
      <c r="K235" s="95"/>
      <c r="L235" s="95"/>
    </row>
    <row r="236" spans="6:12" s="90" customFormat="1" ht="12.000000">
      <c r="F236" s="95"/>
      <c r="G236" s="95"/>
      <c r="H236" s="95"/>
      <c r="I236" s="95"/>
      <c r="J236" s="95"/>
      <c r="K236" s="95"/>
      <c r="L236" s="95"/>
    </row>
    <row r="237" spans="6:12" s="90" customFormat="1" ht="12.000000">
      <c r="F237" s="95"/>
      <c r="G237" s="95"/>
      <c r="H237" s="95"/>
      <c r="I237" s="95"/>
      <c r="J237" s="95"/>
      <c r="K237" s="95"/>
      <c r="L237" s="95"/>
    </row>
    <row r="238" spans="6:12" s="90" customFormat="1" ht="12.000000">
      <c r="F238" s="95"/>
      <c r="G238" s="95"/>
      <c r="H238" s="95"/>
      <c r="I238" s="95"/>
      <c r="J238" s="95"/>
      <c r="K238" s="95"/>
      <c r="L238" s="95"/>
    </row>
    <row r="239" spans="6:12" s="90" customFormat="1" ht="12.000000">
      <c r="F239" s="95"/>
      <c r="G239" s="95"/>
      <c r="H239" s="95"/>
      <c r="I239" s="95"/>
      <c r="J239" s="95"/>
      <c r="K239" s="95"/>
      <c r="L239" s="95"/>
    </row>
    <row r="240" spans="6:12" s="90" customFormat="1" ht="12.000000">
      <c r="F240" s="95"/>
      <c r="G240" s="95"/>
      <c r="H240" s="95"/>
      <c r="I240" s="95"/>
      <c r="J240" s="95"/>
      <c r="K240" s="95"/>
      <c r="L240" s="95"/>
    </row>
    <row r="241" spans="6:12" s="90" customFormat="1" ht="12.000000">
      <c r="F241" s="95"/>
      <c r="G241" s="95"/>
      <c r="H241" s="95"/>
      <c r="I241" s="95"/>
      <c r="J241" s="95"/>
      <c r="K241" s="95"/>
      <c r="L241" s="95"/>
    </row>
    <row r="242" spans="6:12" s="90" customFormat="1" ht="12.000000">
      <c r="F242" s="95"/>
      <c r="G242" s="95"/>
      <c r="H242" s="95"/>
      <c r="I242" s="95"/>
      <c r="J242" s="95"/>
      <c r="K242" s="95"/>
      <c r="L242" s="95"/>
    </row>
    <row r="243" spans="6:12" s="90" customFormat="1" ht="12.000000">
      <c r="F243" s="95"/>
      <c r="G243" s="95"/>
      <c r="H243" s="95"/>
      <c r="I243" s="95"/>
      <c r="J243" s="95"/>
      <c r="K243" s="95"/>
      <c r="L243" s="95"/>
    </row>
    <row r="244" spans="6:12" s="90" customFormat="1" ht="12.000000">
      <c r="F244" s="95"/>
      <c r="G244" s="95"/>
      <c r="H244" s="95"/>
      <c r="I244" s="95"/>
      <c r="J244" s="95"/>
      <c r="K244" s="95"/>
      <c r="L244" s="95"/>
    </row>
    <row r="245" spans="6:12" s="90" customFormat="1" ht="12.000000">
      <c r="F245" s="95"/>
      <c r="G245" s="95"/>
      <c r="H245" s="95"/>
      <c r="I245" s="95"/>
      <c r="J245" s="95"/>
      <c r="K245" s="95"/>
      <c r="L245" s="95"/>
    </row>
    <row r="246" spans="6:12" s="90" customFormat="1" ht="12.000000">
      <c r="F246" s="95"/>
      <c r="G246" s="95"/>
      <c r="H246" s="95"/>
      <c r="I246" s="95"/>
      <c r="J246" s="95"/>
      <c r="K246" s="95"/>
      <c r="L246" s="95"/>
    </row>
    <row r="247" spans="6:12" s="90" customFormat="1" ht="12.000000">
      <c r="F247" s="95"/>
      <c r="G247" s="95"/>
      <c r="H247" s="95"/>
      <c r="I247" s="95"/>
      <c r="J247" s="95"/>
      <c r="K247" s="95"/>
      <c r="L247" s="95"/>
    </row>
    <row r="248" spans="6:12" s="90" customFormat="1" ht="12.000000">
      <c r="F248" s="95"/>
      <c r="G248" s="95"/>
      <c r="H248" s="95"/>
      <c r="I248" s="95"/>
      <c r="J248" s="95"/>
      <c r="K248" s="95"/>
      <c r="L248" s="95"/>
    </row>
    <row r="249" spans="6:12" s="90" customFormat="1" ht="12.000000">
      <c r="F249" s="95"/>
      <c r="G249" s="95"/>
      <c r="H249" s="95"/>
      <c r="I249" s="95"/>
      <c r="J249" s="95"/>
      <c r="K249" s="95"/>
      <c r="L249" s="95"/>
    </row>
    <row r="250" spans="6:12" s="90" customFormat="1" ht="12.000000">
      <c r="F250" s="95"/>
      <c r="G250" s="95"/>
      <c r="H250" s="95"/>
      <c r="I250" s="95"/>
      <c r="J250" s="95"/>
      <c r="K250" s="95"/>
      <c r="L250" s="95"/>
    </row>
    <row r="251" spans="6:12" s="90" customFormat="1" ht="12.000000">
      <c r="F251" s="95"/>
      <c r="G251" s="95"/>
      <c r="H251" s="95"/>
      <c r="I251" s="95"/>
      <c r="J251" s="95"/>
      <c r="K251" s="95"/>
      <c r="L251" s="95"/>
    </row>
    <row r="252" spans="6:12" s="90" customFormat="1" ht="12.000000">
      <c r="F252" s="95"/>
      <c r="G252" s="95"/>
      <c r="H252" s="95"/>
      <c r="I252" s="95"/>
      <c r="J252" s="95"/>
      <c r="K252" s="95"/>
      <c r="L252" s="95"/>
    </row>
    <row r="253" spans="6:12" s="90" customFormat="1" ht="12.000000">
      <c r="F253" s="95"/>
      <c r="G253" s="95"/>
      <c r="H253" s="95"/>
      <c r="I253" s="95"/>
      <c r="J253" s="95"/>
      <c r="K253" s="95"/>
      <c r="L253" s="95"/>
    </row>
    <row r="254" spans="6:12" s="90" customFormat="1" ht="12.000000">
      <c r="F254" s="95"/>
      <c r="G254" s="95"/>
      <c r="H254" s="95"/>
      <c r="I254" s="95"/>
      <c r="J254" s="95"/>
      <c r="K254" s="95"/>
      <c r="L254" s="95"/>
    </row>
    <row r="255" spans="6:12" s="90" customFormat="1" ht="12.000000">
      <c r="F255" s="95"/>
      <c r="G255" s="95"/>
      <c r="H255" s="95"/>
      <c r="I255" s="95"/>
      <c r="J255" s="95"/>
      <c r="K255" s="95"/>
      <c r="L255" s="95"/>
    </row>
    <row r="256" spans="6:12" s="90" customFormat="1" ht="12.000000">
      <c r="F256" s="95"/>
      <c r="G256" s="95"/>
      <c r="H256" s="95"/>
      <c r="I256" s="95"/>
      <c r="J256" s="95"/>
      <c r="K256" s="95"/>
      <c r="L256" s="95"/>
    </row>
    <row r="257" spans="6:12" s="90" customFormat="1" ht="12.000000">
      <c r="F257" s="95"/>
      <c r="G257" s="95"/>
      <c r="H257" s="95"/>
      <c r="I257" s="95"/>
      <c r="J257" s="95"/>
      <c r="K257" s="95"/>
      <c r="L257" s="95"/>
    </row>
    <row r="258" spans="6:12" s="90" customFormat="1" ht="12.000000">
      <c r="F258" s="95"/>
      <c r="G258" s="95"/>
      <c r="H258" s="95"/>
      <c r="I258" s="95"/>
      <c r="J258" s="95"/>
      <c r="K258" s="95"/>
      <c r="L258" s="95"/>
    </row>
    <row r="259" spans="6:12" s="90" customFormat="1" ht="12.000000">
      <c r="F259" s="95"/>
      <c r="G259" s="95"/>
      <c r="H259" s="95"/>
      <c r="I259" s="95"/>
      <c r="J259" s="95"/>
      <c r="K259" s="95"/>
      <c r="L259" s="95"/>
    </row>
    <row r="260" spans="6:12" s="90" customFormat="1" ht="12.000000">
      <c r="F260" s="95"/>
      <c r="G260" s="95"/>
      <c r="H260" s="95"/>
      <c r="I260" s="95"/>
      <c r="J260" s="95"/>
      <c r="K260" s="95"/>
      <c r="L260" s="95"/>
    </row>
    <row r="261" spans="6:12" s="90" customFormat="1" ht="12.000000">
      <c r="F261" s="95"/>
      <c r="G261" s="95"/>
      <c r="H261" s="95"/>
      <c r="I261" s="95"/>
      <c r="J261" s="95"/>
      <c r="K261" s="95"/>
      <c r="L261" s="95"/>
    </row>
    <row r="262" spans="6:12" s="90" customFormat="1" ht="12.000000">
      <c r="F262" s="95"/>
      <c r="G262" s="95"/>
      <c r="H262" s="95"/>
      <c r="I262" s="95"/>
      <c r="J262" s="95"/>
      <c r="K262" s="95"/>
      <c r="L262" s="95"/>
    </row>
    <row r="263" spans="6:12" s="90" customFormat="1" ht="12.000000">
      <c r="F263" s="95"/>
      <c r="G263" s="95"/>
      <c r="H263" s="95"/>
      <c r="I263" s="95"/>
      <c r="J263" s="95"/>
      <c r="K263" s="95"/>
      <c r="L263" s="95"/>
    </row>
    <row r="264" spans="6:12" s="90" customFormat="1" ht="12.000000">
      <c r="F264" s="95"/>
      <c r="G264" s="95"/>
      <c r="H264" s="95"/>
      <c r="I264" s="95"/>
      <c r="J264" s="95"/>
      <c r="K264" s="95"/>
      <c r="L264" s="95"/>
    </row>
    <row r="265" spans="6:12" s="90" customFormat="1" ht="12.000000">
      <c r="F265" s="95"/>
      <c r="G265" s="95"/>
      <c r="H265" s="95"/>
      <c r="I265" s="95"/>
      <c r="J265" s="95"/>
      <c r="K265" s="95"/>
      <c r="L265" s="95"/>
    </row>
    <row r="266" spans="6:12" s="90" customFormat="1" ht="12.000000">
      <c r="F266" s="95"/>
      <c r="G266" s="95"/>
      <c r="H266" s="95"/>
      <c r="I266" s="95"/>
      <c r="J266" s="95"/>
      <c r="K266" s="95"/>
      <c r="L266" s="95"/>
    </row>
    <row r="267" spans="6:12" s="90" customFormat="1" ht="12.000000">
      <c r="F267" s="95"/>
      <c r="G267" s="95"/>
      <c r="H267" s="95"/>
      <c r="I267" s="95"/>
      <c r="J267" s="95"/>
      <c r="K267" s="95"/>
      <c r="L267" s="95"/>
    </row>
    <row r="268" spans="6:12" s="90" customFormat="1" ht="12.000000">
      <c r="F268" s="95"/>
      <c r="G268" s="95"/>
      <c r="H268" s="95"/>
      <c r="I268" s="95"/>
      <c r="J268" s="95"/>
      <c r="K268" s="95"/>
      <c r="L268" s="95"/>
    </row>
    <row r="269" spans="6:12" s="90" customFormat="1" ht="12.000000">
      <c r="F269" s="95"/>
      <c r="G269" s="95"/>
      <c r="H269" s="95"/>
      <c r="I269" s="95"/>
      <c r="J269" s="95"/>
      <c r="K269" s="95"/>
      <c r="L269" s="95"/>
    </row>
    <row r="270" spans="6:12" s="90" customFormat="1" ht="12.000000">
      <c r="F270" s="95"/>
      <c r="G270" s="95"/>
      <c r="H270" s="95"/>
      <c r="I270" s="95"/>
      <c r="J270" s="95"/>
      <c r="K270" s="95"/>
      <c r="L270" s="95"/>
    </row>
    <row r="271" spans="6:12" s="90" customFormat="1" ht="12.000000">
      <c r="F271" s="95"/>
      <c r="G271" s="95"/>
      <c r="H271" s="95"/>
      <c r="I271" s="95"/>
      <c r="J271" s="95"/>
      <c r="K271" s="95"/>
      <c r="L271" s="95"/>
    </row>
    <row r="272" spans="6:12" s="90" customFormat="1" ht="12.000000">
      <c r="F272" s="95"/>
      <c r="G272" s="95"/>
      <c r="H272" s="95"/>
      <c r="I272" s="95"/>
      <c r="J272" s="95"/>
      <c r="K272" s="95"/>
      <c r="L272" s="95"/>
    </row>
    <row r="273" spans="6:12" s="90" customFormat="1" ht="12.000000">
      <c r="F273" s="95"/>
      <c r="G273" s="95"/>
      <c r="H273" s="95"/>
      <c r="I273" s="95"/>
      <c r="J273" s="95"/>
      <c r="K273" s="95"/>
      <c r="L273" s="95"/>
    </row>
    <row r="274" spans="6:12" s="90" customFormat="1" ht="12.000000">
      <c r="F274" s="95"/>
      <c r="G274" s="95"/>
      <c r="H274" s="95"/>
      <c r="I274" s="95"/>
      <c r="J274" s="95"/>
      <c r="K274" s="95"/>
      <c r="L274" s="95"/>
    </row>
    <row r="275" spans="6:12" s="90" customFormat="1" ht="12.000000">
      <c r="F275" s="95"/>
      <c r="G275" s="95"/>
      <c r="H275" s="95"/>
      <c r="I275" s="95"/>
      <c r="J275" s="95"/>
      <c r="K275" s="95"/>
      <c r="L275" s="95"/>
    </row>
    <row r="276" spans="6:12" s="90" customFormat="1" ht="12.000000">
      <c r="F276" s="95"/>
      <c r="G276" s="95"/>
      <c r="H276" s="95"/>
      <c r="I276" s="95"/>
      <c r="J276" s="95"/>
      <c r="K276" s="95"/>
      <c r="L276" s="95"/>
    </row>
    <row r="277" spans="6:12" s="90" customFormat="1" ht="12.000000">
      <c r="F277" s="95"/>
      <c r="G277" s="95"/>
      <c r="H277" s="95"/>
      <c r="I277" s="95"/>
      <c r="J277" s="95"/>
      <c r="K277" s="95"/>
      <c r="L277" s="95"/>
    </row>
    <row r="278" spans="6:12" s="90" customFormat="1" ht="12.000000">
      <c r="F278" s="95"/>
      <c r="G278" s="95"/>
      <c r="H278" s="95"/>
      <c r="I278" s="95"/>
      <c r="J278" s="95"/>
      <c r="K278" s="95"/>
      <c r="L278" s="95"/>
    </row>
    <row r="279" spans="6:12" s="90" customFormat="1" ht="12.000000">
      <c r="F279" s="95"/>
      <c r="G279" s="95"/>
      <c r="H279" s="95"/>
      <c r="I279" s="95"/>
      <c r="J279" s="95"/>
      <c r="K279" s="95"/>
      <c r="L279" s="95"/>
    </row>
    <row r="280" spans="6:12" s="90" customFormat="1" ht="12.000000">
      <c r="F280" s="95"/>
      <c r="G280" s="95"/>
      <c r="H280" s="95"/>
      <c r="I280" s="95"/>
      <c r="J280" s="95"/>
      <c r="K280" s="95"/>
      <c r="L280" s="95"/>
    </row>
    <row r="281" spans="6:12" s="90" customFormat="1" ht="12.000000">
      <c r="F281" s="95"/>
      <c r="G281" s="95"/>
      <c r="H281" s="95"/>
      <c r="I281" s="95"/>
      <c r="J281" s="95"/>
      <c r="K281" s="95"/>
      <c r="L281" s="95"/>
    </row>
    <row r="282" spans="6:12" s="90" customFormat="1" ht="12.000000">
      <c r="F282" s="95"/>
      <c r="G282" s="95"/>
      <c r="H282" s="95"/>
      <c r="I282" s="95"/>
      <c r="J282" s="95"/>
      <c r="K282" s="95"/>
      <c r="L282" s="95"/>
    </row>
    <row r="283" spans="6:12" s="90" customFormat="1" ht="12.000000">
      <c r="F283" s="95"/>
      <c r="G283" s="95"/>
      <c r="H283" s="95"/>
      <c r="I283" s="95"/>
      <c r="J283" s="95"/>
      <c r="K283" s="95"/>
      <c r="L283" s="95"/>
    </row>
    <row r="284" spans="6:12" s="90" customFormat="1" ht="12.000000">
      <c r="F284" s="95"/>
      <c r="G284" s="95"/>
      <c r="H284" s="95"/>
      <c r="I284" s="95"/>
      <c r="J284" s="95"/>
      <c r="K284" s="95"/>
      <c r="L284" s="95"/>
    </row>
    <row r="285" spans="6:12" s="90" customFormat="1" ht="12.000000">
      <c r="F285" s="95"/>
      <c r="G285" s="95"/>
      <c r="H285" s="95"/>
      <c r="I285" s="95"/>
      <c r="J285" s="95"/>
      <c r="K285" s="95"/>
      <c r="L285" s="95"/>
    </row>
    <row r="286" spans="6:12" s="90" customFormat="1" ht="12.000000">
      <c r="F286" s="95"/>
      <c r="G286" s="95"/>
      <c r="H286" s="95"/>
      <c r="I286" s="95"/>
      <c r="J286" s="95"/>
      <c r="K286" s="95"/>
      <c r="L286" s="95"/>
    </row>
    <row r="287" spans="6:12" s="90" customFormat="1" ht="12.000000">
      <c r="F287" s="95"/>
      <c r="G287" s="95"/>
      <c r="H287" s="95"/>
      <c r="I287" s="95"/>
      <c r="J287" s="95"/>
      <c r="K287" s="95"/>
      <c r="L287" s="95"/>
    </row>
    <row r="288" spans="6:12" s="90" customFormat="1" ht="12.000000">
      <c r="F288" s="95"/>
      <c r="G288" s="95"/>
      <c r="H288" s="95"/>
      <c r="I288" s="95"/>
      <c r="J288" s="95"/>
      <c r="K288" s="95"/>
      <c r="L288" s="95"/>
    </row>
    <row r="289" spans="6:12" s="90" customFormat="1" ht="12.000000">
      <c r="F289" s="95"/>
      <c r="G289" s="95"/>
      <c r="H289" s="95"/>
      <c r="I289" s="95"/>
      <c r="J289" s="95"/>
      <c r="K289" s="95"/>
      <c r="L289" s="95"/>
    </row>
    <row r="290" spans="6:12" s="90" customFormat="1" ht="12.000000">
      <c r="F290" s="95"/>
      <c r="G290" s="95"/>
      <c r="H290" s="95"/>
      <c r="I290" s="95"/>
      <c r="J290" s="95"/>
      <c r="K290" s="95"/>
      <c r="L290" s="95"/>
    </row>
    <row r="291" spans="6:12" s="90" customFormat="1" ht="12.000000">
      <c r="F291" s="95"/>
      <c r="G291" s="95"/>
      <c r="H291" s="95"/>
      <c r="I291" s="95"/>
      <c r="J291" s="95"/>
      <c r="K291" s="95"/>
      <c r="L291" s="95"/>
    </row>
    <row r="292" spans="6:12" s="90" customFormat="1" ht="12.000000">
      <c r="F292" s="95"/>
      <c r="G292" s="95"/>
      <c r="H292" s="95"/>
      <c r="I292" s="95"/>
      <c r="J292" s="95"/>
      <c r="K292" s="95"/>
      <c r="L292" s="95"/>
    </row>
    <row r="293" spans="6:12" s="90" customFormat="1" ht="12.000000">
      <c r="F293" s="95"/>
      <c r="G293" s="95"/>
      <c r="H293" s="95"/>
      <c r="I293" s="95"/>
      <c r="J293" s="95"/>
      <c r="K293" s="95"/>
      <c r="L293" s="95"/>
    </row>
    <row r="294" spans="6:12" s="90" customFormat="1" ht="12.000000">
      <c r="F294" s="95"/>
      <c r="G294" s="95"/>
      <c r="H294" s="95"/>
      <c r="I294" s="95"/>
      <c r="J294" s="95"/>
      <c r="K294" s="95"/>
      <c r="L294" s="95"/>
    </row>
    <row r="295" spans="6:12" s="90" customFormat="1" ht="12.000000">
      <c r="F295" s="95"/>
      <c r="G295" s="95"/>
      <c r="H295" s="95"/>
      <c r="I295" s="95"/>
      <c r="J295" s="95"/>
      <c r="K295" s="95"/>
      <c r="L295" s="95"/>
    </row>
    <row r="296" spans="6:12" s="90" customFormat="1" ht="12.000000">
      <c r="F296" s="95"/>
      <c r="G296" s="95"/>
      <c r="H296" s="95"/>
      <c r="I296" s="95"/>
      <c r="J296" s="95"/>
      <c r="K296" s="95"/>
      <c r="L296" s="95"/>
    </row>
    <row r="297" spans="6:12" s="90" customFormat="1" ht="12.000000">
      <c r="F297" s="95"/>
      <c r="G297" s="95"/>
      <c r="H297" s="95"/>
      <c r="I297" s="95"/>
      <c r="J297" s="95"/>
      <c r="K297" s="95"/>
      <c r="L297" s="95"/>
    </row>
    <row r="298" spans="6:12" s="90" customFormat="1" ht="12.000000">
      <c r="F298" s="95"/>
      <c r="G298" s="95"/>
      <c r="H298" s="95"/>
      <c r="I298" s="95"/>
      <c r="J298" s="95"/>
      <c r="K298" s="95"/>
      <c r="L298" s="95"/>
    </row>
    <row r="299" spans="6:12" s="90" customFormat="1" ht="12.000000">
      <c r="F299" s="95"/>
      <c r="G299" s="95"/>
      <c r="H299" s="95"/>
      <c r="I299" s="95"/>
      <c r="J299" s="95"/>
      <c r="K299" s="95"/>
      <c r="L299" s="95"/>
    </row>
    <row r="300" spans="6:12" s="90" customFormat="1" ht="12.000000">
      <c r="F300" s="95"/>
      <c r="G300" s="95"/>
      <c r="H300" s="95"/>
      <c r="I300" s="95"/>
      <c r="J300" s="95"/>
      <c r="K300" s="95"/>
      <c r="L300" s="95"/>
    </row>
    <row r="301" spans="6:12" s="90" customFormat="1" ht="12.000000">
      <c r="F301" s="95"/>
      <c r="G301" s="95"/>
      <c r="H301" s="95"/>
      <c r="I301" s="95"/>
      <c r="J301" s="95"/>
      <c r="K301" s="95"/>
      <c r="L301" s="95"/>
    </row>
    <row r="302" spans="6:12" s="90" customFormat="1" ht="12.000000">
      <c r="F302" s="95"/>
      <c r="G302" s="95"/>
      <c r="H302" s="95"/>
      <c r="I302" s="95"/>
      <c r="J302" s="95"/>
      <c r="K302" s="95"/>
      <c r="L302" s="95"/>
    </row>
    <row r="303" spans="6:12" s="90" customFormat="1" ht="12.000000">
      <c r="F303" s="95"/>
      <c r="G303" s="95"/>
      <c r="H303" s="95"/>
      <c r="I303" s="95"/>
      <c r="J303" s="95"/>
      <c r="K303" s="95"/>
      <c r="L303" s="95"/>
    </row>
    <row r="304" spans="6:12" s="90" customFormat="1" ht="12.000000">
      <c r="F304" s="95"/>
      <c r="G304" s="95"/>
      <c r="H304" s="95"/>
      <c r="I304" s="95"/>
      <c r="J304" s="95"/>
      <c r="K304" s="95"/>
      <c r="L304" s="95"/>
    </row>
    <row r="305" spans="6:12" s="90" customFormat="1" ht="12.000000">
      <c r="F305" s="95"/>
      <c r="G305" s="95"/>
      <c r="H305" s="95"/>
      <c r="I305" s="95"/>
      <c r="J305" s="95"/>
      <c r="K305" s="95"/>
      <c r="L305" s="95"/>
    </row>
    <row r="306" spans="6:12" s="90" customFormat="1" ht="12.000000">
      <c r="F306" s="95"/>
      <c r="G306" s="95"/>
      <c r="H306" s="95"/>
      <c r="I306" s="95"/>
      <c r="J306" s="95"/>
      <c r="K306" s="95"/>
      <c r="L306" s="95"/>
    </row>
    <row r="307" spans="6:12" s="90" customFormat="1" ht="12.000000">
      <c r="F307" s="95"/>
      <c r="G307" s="95"/>
      <c r="H307" s="95"/>
      <c r="I307" s="95"/>
      <c r="J307" s="95"/>
      <c r="K307" s="95"/>
      <c r="L307" s="95"/>
    </row>
    <row r="308" spans="6:12" s="90" customFormat="1" ht="12.000000">
      <c r="F308" s="95"/>
      <c r="G308" s="95"/>
      <c r="H308" s="95"/>
      <c r="I308" s="95"/>
      <c r="J308" s="95"/>
      <c r="K308" s="95"/>
      <c r="L308" s="95"/>
    </row>
    <row r="309" spans="6:12" s="90" customFormat="1" ht="12.000000">
      <c r="F309" s="95"/>
      <c r="G309" s="95"/>
      <c r="H309" s="95"/>
      <c r="I309" s="95"/>
      <c r="J309" s="95"/>
      <c r="K309" s="95"/>
      <c r="L309" s="95"/>
    </row>
    <row r="310" spans="6:12" s="90" customFormat="1" ht="12.000000">
      <c r="F310" s="95"/>
      <c r="G310" s="95"/>
      <c r="H310" s="95"/>
      <c r="I310" s="95"/>
      <c r="J310" s="95"/>
      <c r="K310" s="95"/>
      <c r="L310" s="95"/>
    </row>
    <row r="311" spans="6:12" s="90" customFormat="1" ht="12.000000">
      <c r="F311" s="95"/>
      <c r="G311" s="95"/>
      <c r="H311" s="95"/>
      <c r="I311" s="95"/>
      <c r="J311" s="95"/>
      <c r="K311" s="95"/>
      <c r="L311" s="95"/>
    </row>
    <row r="312" spans="6:12" s="90" customFormat="1" ht="12.000000">
      <c r="F312" s="95"/>
      <c r="G312" s="95"/>
      <c r="H312" s="95"/>
      <c r="I312" s="95"/>
      <c r="J312" s="95"/>
      <c r="K312" s="95"/>
      <c r="L312" s="95"/>
    </row>
    <row r="313" spans="6:12" s="90" customFormat="1" ht="12.000000">
      <c r="F313" s="95"/>
      <c r="G313" s="95"/>
      <c r="H313" s="95"/>
      <c r="I313" s="95"/>
      <c r="J313" s="95"/>
      <c r="K313" s="95"/>
      <c r="L313" s="95"/>
    </row>
    <row r="314" spans="6:12" s="90" customFormat="1" ht="12.000000">
      <c r="F314" s="95"/>
      <c r="G314" s="95"/>
      <c r="H314" s="95"/>
      <c r="I314" s="95"/>
      <c r="J314" s="95"/>
      <c r="K314" s="95"/>
      <c r="L314" s="95"/>
    </row>
    <row r="315" spans="6:12" s="90" customFormat="1" ht="12.000000">
      <c r="F315" s="95"/>
      <c r="G315" s="95"/>
      <c r="H315" s="95"/>
      <c r="I315" s="95"/>
      <c r="J315" s="95"/>
      <c r="K315" s="95"/>
      <c r="L315" s="95"/>
    </row>
    <row r="316" spans="6:12" s="90" customFormat="1" ht="12.000000">
      <c r="F316" s="95"/>
      <c r="G316" s="95"/>
      <c r="H316" s="95"/>
      <c r="I316" s="95"/>
      <c r="J316" s="95"/>
      <c r="K316" s="95"/>
      <c r="L316" s="95"/>
    </row>
    <row r="317" spans="6:12" s="90" customFormat="1" ht="12.000000">
      <c r="F317" s="95"/>
      <c r="G317" s="95"/>
      <c r="H317" s="95"/>
      <c r="I317" s="95"/>
      <c r="J317" s="95"/>
      <c r="K317" s="95"/>
      <c r="L317" s="95"/>
    </row>
    <row r="318" spans="6:12" s="90" customFormat="1" ht="12.000000">
      <c r="F318" s="95"/>
      <c r="G318" s="95"/>
      <c r="H318" s="95"/>
      <c r="I318" s="95"/>
      <c r="J318" s="95"/>
      <c r="K318" s="95"/>
      <c r="L318" s="95"/>
    </row>
    <row r="319" spans="6:12" s="90" customFormat="1" ht="12.000000">
      <c r="F319" s="95"/>
      <c r="G319" s="95"/>
      <c r="H319" s="95"/>
      <c r="I319" s="95"/>
      <c r="J319" s="95"/>
      <c r="K319" s="95"/>
      <c r="L319" s="95"/>
    </row>
    <row r="320" spans="6:12" s="90" customFormat="1" ht="12.000000">
      <c r="F320" s="95"/>
      <c r="G320" s="95"/>
      <c r="H320" s="95"/>
      <c r="I320" s="95"/>
      <c r="J320" s="95"/>
      <c r="K320" s="95"/>
      <c r="L320" s="95"/>
    </row>
    <row r="321" spans="6:12" s="90" customFormat="1" ht="12.000000">
      <c r="F321" s="95"/>
      <c r="G321" s="95"/>
      <c r="H321" s="95"/>
      <c r="I321" s="95"/>
      <c r="J321" s="95"/>
      <c r="K321" s="95"/>
      <c r="L321" s="95"/>
    </row>
    <row r="322" spans="6:12" s="90" customFormat="1" ht="12.000000">
      <c r="F322" s="95"/>
      <c r="G322" s="95"/>
      <c r="H322" s="95"/>
      <c r="I322" s="95"/>
      <c r="J322" s="95"/>
      <c r="K322" s="95"/>
      <c r="L322" s="95"/>
    </row>
    <row r="323" spans="6:12" s="90" customFormat="1" ht="12.000000">
      <c r="F323" s="95"/>
      <c r="G323" s="95"/>
      <c r="H323" s="95"/>
      <c r="I323" s="95"/>
      <c r="J323" s="95"/>
      <c r="K323" s="95"/>
      <c r="L323" s="95"/>
    </row>
    <row r="324" spans="6:12" s="90" customFormat="1" ht="12.000000">
      <c r="F324" s="95"/>
      <c r="G324" s="95"/>
      <c r="H324" s="95"/>
      <c r="I324" s="95"/>
      <c r="J324" s="95"/>
      <c r="K324" s="95"/>
      <c r="L324" s="95"/>
    </row>
    <row r="325" spans="6:12" s="90" customFormat="1" ht="12.000000">
      <c r="F325" s="95"/>
      <c r="G325" s="95"/>
      <c r="H325" s="95"/>
      <c r="I325" s="95"/>
      <c r="J325" s="95"/>
      <c r="K325" s="95"/>
      <c r="L325" s="95"/>
    </row>
    <row r="326" spans="6:12" s="90" customFormat="1" ht="12.000000">
      <c r="F326" s="95"/>
      <c r="G326" s="95"/>
      <c r="H326" s="95"/>
      <c r="I326" s="95"/>
      <c r="J326" s="95"/>
      <c r="K326" s="95"/>
      <c r="L326" s="95"/>
    </row>
    <row r="327" spans="6:12" s="90" customFormat="1" ht="12.000000">
      <c r="F327" s="95"/>
      <c r="G327" s="95"/>
      <c r="H327" s="95"/>
      <c r="I327" s="95"/>
      <c r="J327" s="95"/>
      <c r="K327" s="95"/>
      <c r="L327" s="95"/>
    </row>
    <row r="328" spans="6:12" s="90" customFormat="1" ht="12.000000">
      <c r="F328" s="95"/>
      <c r="G328" s="95"/>
      <c r="H328" s="95"/>
      <c r="I328" s="95"/>
      <c r="J328" s="95"/>
      <c r="K328" s="95"/>
      <c r="L328" s="95"/>
    </row>
    <row r="329" spans="6:12" s="90" customFormat="1" ht="12.000000">
      <c r="F329" s="95"/>
      <c r="G329" s="95"/>
      <c r="H329" s="95"/>
      <c r="I329" s="95"/>
      <c r="J329" s="95"/>
      <c r="K329" s="95"/>
      <c r="L329" s="95"/>
    </row>
    <row r="330" spans="6:12" s="90" customFormat="1" ht="12.000000">
      <c r="F330" s="95"/>
      <c r="G330" s="95"/>
      <c r="H330" s="95"/>
      <c r="I330" s="95"/>
      <c r="J330" s="95"/>
      <c r="K330" s="95"/>
      <c r="L330" s="95"/>
    </row>
    <row r="331" spans="6:12" s="90" customFormat="1" ht="12.000000">
      <c r="F331" s="95"/>
      <c r="G331" s="95"/>
      <c r="H331" s="95"/>
      <c r="I331" s="95"/>
      <c r="J331" s="95"/>
      <c r="K331" s="95"/>
      <c r="L331" s="95"/>
    </row>
    <row r="332" spans="6:12" s="90" customFormat="1" ht="12.000000">
      <c r="F332" s="95"/>
      <c r="G332" s="95"/>
      <c r="H332" s="95"/>
      <c r="I332" s="95"/>
      <c r="J332" s="95"/>
      <c r="K332" s="95"/>
      <c r="L332" s="95"/>
    </row>
    <row r="333" spans="6:12" s="90" customFormat="1" ht="12.000000">
      <c r="F333" s="95"/>
      <c r="G333" s="95"/>
      <c r="H333" s="95"/>
      <c r="I333" s="95"/>
      <c r="J333" s="95"/>
      <c r="K333" s="95"/>
      <c r="L333" s="95"/>
    </row>
    <row r="334" spans="6:12" s="90" customFormat="1" ht="12.000000">
      <c r="F334" s="95"/>
      <c r="G334" s="95"/>
      <c r="H334" s="95"/>
      <c r="I334" s="95"/>
      <c r="J334" s="95"/>
      <c r="K334" s="95"/>
      <c r="L334" s="95"/>
    </row>
    <row r="335" spans="6:12" s="90" customFormat="1" ht="12.000000">
      <c r="F335" s="95"/>
      <c r="G335" s="95"/>
      <c r="H335" s="95"/>
      <c r="I335" s="95"/>
      <c r="J335" s="95"/>
      <c r="K335" s="95"/>
      <c r="L335" s="95"/>
    </row>
    <row r="336" spans="6:12" s="90" customFormat="1" ht="12.000000">
      <c r="F336" s="95"/>
      <c r="G336" s="95"/>
      <c r="H336" s="95"/>
      <c r="I336" s="95"/>
      <c r="J336" s="95"/>
      <c r="K336" s="95"/>
      <c r="L336" s="95"/>
    </row>
    <row r="337" spans="6:12" s="90" customFormat="1" ht="12.000000">
      <c r="F337" s="95"/>
      <c r="G337" s="95"/>
      <c r="H337" s="95"/>
      <c r="I337" s="95"/>
      <c r="J337" s="95"/>
      <c r="K337" s="95"/>
      <c r="L337" s="95"/>
    </row>
    <row r="338" spans="6:12" s="90" customFormat="1" ht="12.000000">
      <c r="F338" s="95"/>
      <c r="G338" s="95"/>
      <c r="H338" s="95"/>
      <c r="I338" s="95"/>
      <c r="J338" s="95"/>
      <c r="K338" s="95"/>
      <c r="L338" s="95"/>
    </row>
    <row r="339" spans="6:12" s="90" customFormat="1" ht="12.000000">
      <c r="F339" s="95"/>
      <c r="G339" s="95"/>
      <c r="H339" s="95"/>
      <c r="I339" s="95"/>
      <c r="J339" s="95"/>
      <c r="K339" s="95"/>
      <c r="L339" s="95"/>
    </row>
    <row r="340" spans="6:12" s="90" customFormat="1" ht="12.000000">
      <c r="F340" s="95"/>
      <c r="G340" s="95"/>
      <c r="H340" s="95"/>
      <c r="I340" s="95"/>
      <c r="J340" s="95"/>
      <c r="K340" s="95"/>
      <c r="L340" s="95"/>
    </row>
    <row r="341" spans="6:12" s="90" customFormat="1" ht="12.000000">
      <c r="F341" s="95"/>
      <c r="G341" s="95"/>
      <c r="H341" s="95"/>
      <c r="I341" s="95"/>
      <c r="J341" s="95"/>
      <c r="K341" s="95"/>
      <c r="L341" s="95"/>
    </row>
    <row r="342" spans="6:12" s="90" customFormat="1" ht="12.000000">
      <c r="F342" s="95"/>
      <c r="G342" s="95"/>
      <c r="H342" s="95"/>
      <c r="I342" s="95"/>
      <c r="J342" s="95"/>
      <c r="K342" s="95"/>
      <c r="L342" s="95"/>
    </row>
    <row r="343" spans="6:12" s="90" customFormat="1" ht="12.000000">
      <c r="F343" s="95"/>
      <c r="G343" s="95"/>
      <c r="H343" s="95"/>
      <c r="I343" s="95"/>
      <c r="J343" s="95"/>
      <c r="K343" s="95"/>
      <c r="L343" s="95"/>
    </row>
    <row r="344" spans="6:12" s="90" customFormat="1" ht="12.000000">
      <c r="F344" s="95"/>
      <c r="G344" s="95"/>
      <c r="H344" s="95"/>
      <c r="I344" s="95"/>
      <c r="J344" s="95"/>
      <c r="K344" s="95"/>
      <c r="L344" s="95"/>
    </row>
    <row r="345" spans="6:12" s="90" customFormat="1" ht="12.000000">
      <c r="F345" s="95"/>
      <c r="G345" s="95"/>
      <c r="H345" s="95"/>
      <c r="I345" s="95"/>
      <c r="J345" s="95"/>
      <c r="K345" s="95"/>
      <c r="L345" s="95"/>
    </row>
    <row r="346" spans="6:12" s="90" customFormat="1" ht="12.000000">
      <c r="F346" s="95"/>
      <c r="G346" s="95"/>
      <c r="H346" s="95"/>
      <c r="I346" s="95"/>
      <c r="J346" s="95"/>
      <c r="K346" s="95"/>
      <c r="L346" s="95"/>
    </row>
    <row r="347" spans="6:12" s="90" customFormat="1" ht="12.000000">
      <c r="F347" s="95"/>
      <c r="G347" s="95"/>
      <c r="H347" s="95"/>
      <c r="I347" s="95"/>
      <c r="J347" s="95"/>
      <c r="K347" s="95"/>
      <c r="L347" s="95"/>
    </row>
    <row r="348" spans="6:12" s="90" customFormat="1" ht="12.000000">
      <c r="F348" s="95"/>
      <c r="G348" s="95"/>
      <c r="H348" s="95"/>
      <c r="I348" s="95"/>
      <c r="J348" s="95"/>
      <c r="K348" s="95"/>
      <c r="L348" s="95"/>
    </row>
    <row r="349" spans="6:12" s="90" customFormat="1" ht="12.000000">
      <c r="F349" s="95"/>
      <c r="G349" s="95"/>
      <c r="H349" s="95"/>
      <c r="I349" s="95"/>
      <c r="J349" s="95"/>
      <c r="K349" s="95"/>
      <c r="L349" s="95"/>
    </row>
    <row r="350" spans="6:12" s="90" customFormat="1" ht="12.000000">
      <c r="F350" s="95"/>
      <c r="G350" s="95"/>
      <c r="H350" s="95"/>
      <c r="I350" s="95"/>
      <c r="J350" s="95"/>
      <c r="K350" s="95"/>
      <c r="L350" s="95"/>
    </row>
    <row r="351" spans="6:12" s="90" customFormat="1" ht="12.000000">
      <c r="F351" s="95"/>
      <c r="G351" s="95"/>
      <c r="H351" s="95"/>
      <c r="I351" s="95"/>
      <c r="J351" s="95"/>
      <c r="K351" s="95"/>
      <c r="L351" s="95"/>
    </row>
    <row r="352" spans="6:12" s="90" customFormat="1" ht="12.000000">
      <c r="F352" s="95"/>
      <c r="G352" s="95"/>
      <c r="H352" s="95"/>
      <c r="I352" s="95"/>
      <c r="J352" s="95"/>
      <c r="K352" s="95"/>
      <c r="L352" s="95"/>
    </row>
    <row r="353" spans="6:12" s="90" customFormat="1" ht="12.000000">
      <c r="F353" s="95"/>
      <c r="G353" s="95"/>
      <c r="H353" s="95"/>
      <c r="I353" s="95"/>
      <c r="J353" s="95"/>
      <c r="K353" s="95"/>
      <c r="L353" s="95"/>
    </row>
    <row r="354" spans="6:12" s="90" customFormat="1" ht="12.000000">
      <c r="F354" s="95"/>
      <c r="G354" s="95"/>
      <c r="H354" s="95"/>
      <c r="I354" s="95"/>
      <c r="J354" s="95"/>
      <c r="K354" s="95"/>
      <c r="L354" s="95"/>
    </row>
    <row r="355" spans="6:12" s="90" customFormat="1" ht="12.000000">
      <c r="F355" s="95"/>
      <c r="G355" s="95"/>
      <c r="H355" s="95"/>
      <c r="I355" s="95"/>
      <c r="J355" s="95"/>
      <c r="K355" s="95"/>
      <c r="L355" s="95"/>
    </row>
    <row r="356" spans="6:12" s="90" customFormat="1" ht="12.000000">
      <c r="F356" s="95"/>
      <c r="G356" s="95"/>
      <c r="H356" s="95"/>
      <c r="I356" s="95"/>
      <c r="J356" s="95"/>
      <c r="K356" s="95"/>
      <c r="L356" s="95"/>
    </row>
    <row r="357" spans="6:12" s="90" customFormat="1" ht="12.000000">
      <c r="F357" s="95"/>
      <c r="G357" s="95"/>
      <c r="H357" s="95"/>
      <c r="I357" s="95"/>
      <c r="J357" s="95"/>
      <c r="K357" s="95"/>
      <c r="L357" s="95"/>
    </row>
    <row r="358" spans="6:12" s="90" customFormat="1" ht="12.000000">
      <c r="F358" s="95"/>
      <c r="G358" s="95"/>
      <c r="H358" s="95"/>
      <c r="I358" s="95"/>
      <c r="J358" s="95"/>
      <c r="K358" s="95"/>
      <c r="L358" s="95"/>
    </row>
    <row r="359" spans="6:12" s="90" customFormat="1" ht="12.000000">
      <c r="F359" s="95"/>
      <c r="G359" s="95"/>
      <c r="H359" s="95"/>
      <c r="I359" s="95"/>
      <c r="J359" s="95"/>
      <c r="K359" s="95"/>
      <c r="L359" s="95"/>
    </row>
    <row r="360" spans="6:12" s="90" customFormat="1" ht="12.000000">
      <c r="F360" s="95"/>
      <c r="G360" s="95"/>
      <c r="H360" s="95"/>
      <c r="I360" s="95"/>
      <c r="J360" s="95"/>
      <c r="K360" s="95"/>
      <c r="L360" s="95"/>
    </row>
    <row r="361" spans="6:12" s="90" customFormat="1" ht="12.000000">
      <c r="F361" s="95"/>
      <c r="G361" s="95"/>
      <c r="H361" s="95"/>
      <c r="I361" s="95"/>
      <c r="J361" s="95"/>
      <c r="K361" s="95"/>
      <c r="L361" s="95"/>
    </row>
    <row r="362" spans="6:12" s="90" customFormat="1" ht="12.000000">
      <c r="F362" s="95"/>
      <c r="G362" s="95"/>
      <c r="H362" s="95"/>
      <c r="I362" s="95"/>
      <c r="J362" s="95"/>
      <c r="K362" s="95"/>
      <c r="L362" s="95"/>
    </row>
    <row r="363" spans="6:12" s="90" customFormat="1" ht="12.000000">
      <c r="F363" s="95"/>
      <c r="G363" s="95"/>
      <c r="H363" s="95"/>
      <c r="I363" s="95"/>
      <c r="J363" s="95"/>
      <c r="K363" s="95"/>
      <c r="L363" s="95"/>
    </row>
    <row r="364" spans="6:12" s="90" customFormat="1" ht="12.000000">
      <c r="F364" s="95"/>
      <c r="G364" s="95"/>
      <c r="H364" s="95"/>
      <c r="I364" s="95"/>
      <c r="J364" s="95"/>
      <c r="K364" s="95"/>
      <c r="L364" s="95"/>
    </row>
    <row r="365" spans="6:12" s="90" customFormat="1" ht="12.000000">
      <c r="F365" s="95"/>
      <c r="G365" s="95"/>
      <c r="H365" s="95"/>
      <c r="I365" s="95"/>
      <c r="J365" s="95"/>
      <c r="K365" s="95"/>
      <c r="L365" s="95"/>
    </row>
    <row r="366" spans="6:12" s="90" customFormat="1" ht="12.000000">
      <c r="F366" s="95"/>
      <c r="G366" s="95"/>
      <c r="H366" s="95"/>
      <c r="I366" s="95"/>
      <c r="J366" s="95"/>
      <c r="K366" s="95"/>
      <c r="L366" s="95"/>
    </row>
    <row r="367" spans="6:12" s="90" customFormat="1" ht="12.000000">
      <c r="F367" s="95"/>
      <c r="G367" s="95"/>
      <c r="H367" s="95"/>
      <c r="I367" s="95"/>
      <c r="J367" s="95"/>
      <c r="K367" s="95"/>
      <c r="L367" s="95"/>
    </row>
    <row r="368" spans="6:12" s="90" customFormat="1" ht="12.000000">
      <c r="F368" s="95"/>
      <c r="G368" s="95"/>
      <c r="H368" s="95"/>
      <c r="I368" s="95"/>
      <c r="J368" s="95"/>
      <c r="K368" s="95"/>
      <c r="L368" s="95"/>
    </row>
    <row r="369" spans="6:12" s="90" customFormat="1" ht="12.000000">
      <c r="F369" s="95"/>
      <c r="G369" s="95"/>
      <c r="H369" s="95"/>
      <c r="I369" s="95"/>
      <c r="J369" s="95"/>
      <c r="K369" s="95"/>
      <c r="L369" s="95"/>
    </row>
    <row r="370" spans="6:12" s="90" customFormat="1" ht="12.000000">
      <c r="F370" s="95"/>
      <c r="G370" s="95"/>
      <c r="H370" s="95"/>
      <c r="I370" s="95"/>
      <c r="J370" s="95"/>
      <c r="K370" s="95"/>
      <c r="L370" s="95"/>
    </row>
    <row r="371" spans="6:12" s="90" customFormat="1" ht="12.000000">
      <c r="F371" s="95"/>
      <c r="G371" s="95"/>
      <c r="H371" s="95"/>
      <c r="I371" s="95"/>
      <c r="J371" s="95"/>
      <c r="K371" s="95"/>
      <c r="L371" s="95"/>
    </row>
    <row r="372" spans="6:12" s="90" customFormat="1" ht="12.000000">
      <c r="F372" s="95"/>
      <c r="G372" s="95"/>
      <c r="H372" s="95"/>
      <c r="I372" s="95"/>
      <c r="J372" s="95"/>
      <c r="K372" s="95"/>
      <c r="L372" s="95"/>
    </row>
    <row r="373" spans="6:12" s="90" customFormat="1" ht="12.000000">
      <c r="F373" s="95"/>
      <c r="G373" s="95"/>
      <c r="H373" s="95"/>
      <c r="I373" s="95"/>
      <c r="J373" s="95"/>
      <c r="K373" s="95"/>
      <c r="L373" s="95"/>
    </row>
    <row r="374" spans="6:12" s="90" customFormat="1" ht="12.000000">
      <c r="F374" s="95"/>
      <c r="G374" s="95"/>
      <c r="H374" s="95"/>
      <c r="I374" s="95"/>
      <c r="J374" s="95"/>
      <c r="K374" s="95"/>
      <c r="L374" s="95"/>
    </row>
    <row r="375" spans="6:12" s="90" customFormat="1" ht="12.000000">
      <c r="F375" s="95"/>
      <c r="G375" s="95"/>
      <c r="H375" s="95"/>
      <c r="I375" s="95"/>
      <c r="J375" s="95"/>
      <c r="K375" s="95"/>
      <c r="L375" s="95"/>
    </row>
    <row r="376" spans="6:12" s="90" customFormat="1" ht="12.000000">
      <c r="F376" s="95"/>
      <c r="G376" s="95"/>
      <c r="H376" s="95"/>
      <c r="I376" s="95"/>
      <c r="J376" s="95"/>
      <c r="K376" s="95"/>
      <c r="L376" s="95"/>
    </row>
    <row r="377" spans="6:12" s="90" customFormat="1" ht="12.000000">
      <c r="F377" s="95"/>
      <c r="G377" s="95"/>
      <c r="H377" s="95"/>
      <c r="I377" s="95"/>
      <c r="J377" s="95"/>
      <c r="K377" s="95"/>
      <c r="L377" s="95"/>
    </row>
    <row r="378" spans="6:12" s="90" customFormat="1" ht="12.000000">
      <c r="F378" s="95"/>
      <c r="G378" s="95"/>
      <c r="H378" s="95"/>
      <c r="I378" s="95"/>
      <c r="J378" s="95"/>
      <c r="K378" s="95"/>
      <c r="L378" s="95"/>
    </row>
    <row r="379" spans="6:12" s="90" customFormat="1" ht="12.000000">
      <c r="F379" s="95"/>
      <c r="G379" s="95"/>
      <c r="H379" s="95"/>
      <c r="I379" s="95"/>
      <c r="J379" s="95"/>
      <c r="K379" s="95"/>
      <c r="L379" s="95"/>
    </row>
    <row r="380" spans="6:12" s="90" customFormat="1" ht="12.000000">
      <c r="F380" s="95"/>
      <c r="G380" s="95"/>
      <c r="H380" s="95"/>
      <c r="I380" s="95"/>
      <c r="J380" s="95"/>
      <c r="K380" s="95"/>
      <c r="L380" s="95"/>
    </row>
    <row r="381" spans="6:12" s="90" customFormat="1" ht="12.000000">
      <c r="F381" s="95"/>
      <c r="G381" s="95"/>
      <c r="H381" s="95"/>
      <c r="I381" s="95"/>
      <c r="J381" s="95"/>
      <c r="K381" s="95"/>
      <c r="L381" s="95"/>
    </row>
    <row r="382" spans="6:12" s="90" customFormat="1" ht="12.000000">
      <c r="F382" s="95"/>
      <c r="G382" s="95"/>
      <c r="H382" s="95"/>
      <c r="I382" s="95"/>
      <c r="J382" s="95"/>
      <c r="K382" s="95"/>
      <c r="L382" s="95"/>
    </row>
    <row r="383" spans="6:12" s="90" customFormat="1" ht="12.000000">
      <c r="F383" s="95"/>
      <c r="G383" s="95"/>
      <c r="H383" s="95"/>
      <c r="I383" s="95"/>
      <c r="J383" s="95"/>
      <c r="K383" s="95"/>
      <c r="L383" s="95"/>
    </row>
    <row r="384" spans="6:12" s="90" customFormat="1" ht="12.000000">
      <c r="F384" s="95"/>
      <c r="G384" s="95"/>
      <c r="H384" s="95"/>
      <c r="I384" s="95"/>
      <c r="J384" s="95"/>
      <c r="K384" s="95"/>
      <c r="L384" s="95"/>
    </row>
    <row r="385" spans="6:12" s="90" customFormat="1" ht="12.000000">
      <c r="F385" s="95"/>
      <c r="G385" s="95"/>
      <c r="H385" s="95"/>
      <c r="I385" s="95"/>
      <c r="J385" s="95"/>
      <c r="K385" s="95"/>
      <c r="L385" s="95"/>
    </row>
    <row r="386" spans="6:12" s="90" customFormat="1" ht="12.000000">
      <c r="F386" s="95"/>
      <c r="G386" s="95"/>
      <c r="H386" s="95"/>
      <c r="I386" s="95"/>
      <c r="J386" s="95"/>
      <c r="K386" s="95"/>
      <c r="L386" s="95"/>
    </row>
    <row r="387" spans="6:12" s="90" customFormat="1" ht="12.000000">
      <c r="F387" s="95"/>
      <c r="G387" s="95"/>
      <c r="H387" s="95"/>
      <c r="I387" s="95"/>
      <c r="J387" s="95"/>
      <c r="K387" s="95"/>
      <c r="L387" s="95"/>
    </row>
    <row r="388" spans="6:12" s="90" customFormat="1" ht="12.000000">
      <c r="F388" s="95"/>
      <c r="G388" s="95"/>
      <c r="H388" s="95"/>
      <c r="I388" s="95"/>
      <c r="J388" s="95"/>
      <c r="K388" s="95"/>
      <c r="L388" s="95"/>
    </row>
    <row r="389" spans="6:12" s="90" customFormat="1" ht="12.000000">
      <c r="F389" s="95"/>
      <c r="G389" s="95"/>
      <c r="H389" s="95"/>
      <c r="I389" s="95"/>
      <c r="J389" s="95"/>
      <c r="K389" s="95"/>
      <c r="L389" s="95"/>
    </row>
    <row r="390" spans="6:12" s="90" customFormat="1" ht="12.000000">
      <c r="F390" s="95"/>
      <c r="G390" s="95"/>
      <c r="H390" s="95"/>
      <c r="I390" s="95"/>
      <c r="J390" s="95"/>
      <c r="K390" s="95"/>
      <c r="L390" s="95"/>
    </row>
    <row r="391" spans="6:12" s="90" customFormat="1" ht="12.000000">
      <c r="F391" s="95"/>
      <c r="G391" s="95"/>
      <c r="H391" s="95"/>
      <c r="I391" s="95"/>
      <c r="J391" s="95"/>
      <c r="K391" s="95"/>
      <c r="L391" s="95"/>
    </row>
    <row r="392" spans="6:12" s="90" customFormat="1" ht="12.000000">
      <c r="F392" s="95"/>
      <c r="G392" s="95"/>
      <c r="H392" s="95"/>
      <c r="I392" s="95"/>
      <c r="J392" s="95"/>
      <c r="K392" s="95"/>
      <c r="L392" s="95"/>
    </row>
    <row r="393" spans="6:12" s="90" customFormat="1" ht="12.000000">
      <c r="F393" s="95"/>
      <c r="G393" s="95"/>
      <c r="H393" s="95"/>
      <c r="I393" s="95"/>
      <c r="J393" s="95"/>
      <c r="K393" s="95"/>
      <c r="L393" s="95"/>
    </row>
    <row r="394" spans="6:12" s="90" customFormat="1" ht="12.000000">
      <c r="F394" s="95"/>
      <c r="G394" s="95"/>
      <c r="H394" s="95"/>
      <c r="I394" s="95"/>
      <c r="J394" s="95"/>
      <c r="K394" s="95"/>
      <c r="L394" s="95"/>
    </row>
    <row r="395" spans="6:12" s="90" customFormat="1" ht="12.000000">
      <c r="F395" s="95"/>
      <c r="G395" s="95"/>
      <c r="H395" s="95"/>
      <c r="I395" s="95"/>
      <c r="J395" s="95"/>
      <c r="K395" s="95"/>
      <c r="L395" s="95"/>
    </row>
    <row r="396" spans="6:12" s="90" customFormat="1" ht="12.000000">
      <c r="F396" s="95"/>
      <c r="G396" s="95"/>
      <c r="H396" s="95"/>
      <c r="I396" s="95"/>
      <c r="J396" s="95"/>
      <c r="K396" s="95"/>
      <c r="L396" s="95"/>
    </row>
    <row r="397" spans="6:12" s="90" customFormat="1" ht="12.000000">
      <c r="F397" s="95"/>
      <c r="G397" s="95"/>
      <c r="H397" s="95"/>
      <c r="I397" s="95"/>
      <c r="J397" s="95"/>
      <c r="K397" s="95"/>
      <c r="L397" s="95"/>
    </row>
    <row r="398" spans="6:12" s="90" customFormat="1" ht="12.000000">
      <c r="F398" s="95"/>
      <c r="G398" s="95"/>
      <c r="H398" s="95"/>
      <c r="I398" s="95"/>
      <c r="J398" s="95"/>
      <c r="K398" s="95"/>
      <c r="L398" s="95"/>
    </row>
    <row r="399" spans="6:12" s="90" customFormat="1" ht="12.000000">
      <c r="F399" s="95"/>
      <c r="G399" s="95"/>
      <c r="H399" s="95"/>
      <c r="I399" s="95"/>
      <c r="J399" s="95"/>
      <c r="K399" s="95"/>
      <c r="L399" s="95"/>
    </row>
    <row r="400" spans="6:12" s="90" customFormat="1" ht="12.000000">
      <c r="F400" s="95"/>
      <c r="G400" s="95"/>
      <c r="H400" s="95"/>
      <c r="I400" s="95"/>
      <c r="J400" s="95"/>
      <c r="K400" s="95"/>
      <c r="L400" s="95"/>
    </row>
    <row r="401" spans="6:12" s="90" customFormat="1" ht="12.000000">
      <c r="F401" s="95"/>
      <c r="G401" s="95"/>
      <c r="H401" s="95"/>
      <c r="I401" s="95"/>
      <c r="J401" s="95"/>
      <c r="K401" s="95"/>
      <c r="L401" s="95"/>
    </row>
    <row r="402" spans="6:12" s="90" customFormat="1" ht="12.000000">
      <c r="F402" s="95"/>
      <c r="G402" s="95"/>
      <c r="H402" s="95"/>
      <c r="I402" s="95"/>
      <c r="J402" s="95"/>
      <c r="K402" s="95"/>
      <c r="L402" s="95"/>
    </row>
    <row r="403" spans="6:12" s="90" customFormat="1" ht="12.000000">
      <c r="F403" s="95"/>
      <c r="G403" s="95"/>
      <c r="H403" s="95"/>
      <c r="I403" s="95"/>
      <c r="J403" s="95"/>
      <c r="K403" s="95"/>
      <c r="L403" s="95"/>
    </row>
    <row r="404" spans="6:12" s="90" customFormat="1" ht="12.000000">
      <c r="F404" s="95"/>
      <c r="G404" s="95"/>
      <c r="H404" s="95"/>
      <c r="I404" s="95"/>
      <c r="J404" s="95"/>
      <c r="K404" s="95"/>
      <c r="L404" s="95"/>
    </row>
    <row r="405" spans="6:12" s="90" customFormat="1" ht="12.000000">
      <c r="F405" s="95"/>
      <c r="G405" s="95"/>
      <c r="H405" s="95"/>
      <c r="I405" s="95"/>
      <c r="J405" s="95"/>
      <c r="K405" s="95"/>
      <c r="L405" s="95"/>
    </row>
    <row r="406" spans="6:12" s="90" customFormat="1" ht="12.000000">
      <c r="F406" s="95"/>
      <c r="G406" s="95"/>
      <c r="H406" s="95"/>
      <c r="I406" s="95"/>
      <c r="J406" s="95"/>
      <c r="K406" s="95"/>
      <c r="L406" s="95"/>
    </row>
    <row r="407" spans="6:12" s="90" customFormat="1" ht="12.000000">
      <c r="F407" s="95"/>
      <c r="G407" s="95"/>
      <c r="H407" s="95"/>
      <c r="I407" s="95"/>
      <c r="J407" s="95"/>
      <c r="K407" s="95"/>
      <c r="L407" s="95"/>
    </row>
    <row r="408" spans="6:12" s="90" customFormat="1" ht="12.000000">
      <c r="F408" s="95"/>
      <c r="G408" s="95"/>
      <c r="H408" s="95"/>
      <c r="I408" s="95"/>
      <c r="J408" s="95"/>
      <c r="K408" s="95"/>
      <c r="L408" s="95"/>
    </row>
    <row r="409" spans="6:12" s="90" customFormat="1" ht="12.000000">
      <c r="F409" s="95"/>
      <c r="G409" s="95"/>
      <c r="H409" s="95"/>
      <c r="I409" s="95"/>
      <c r="J409" s="95"/>
      <c r="K409" s="95"/>
      <c r="L409" s="95"/>
    </row>
    <row r="410" spans="6:12" s="90" customFormat="1" ht="12.000000">
      <c r="F410" s="95"/>
      <c r="G410" s="95"/>
      <c r="H410" s="95"/>
      <c r="I410" s="95"/>
      <c r="J410" s="95"/>
      <c r="K410" s="95"/>
      <c r="L410" s="95"/>
    </row>
    <row r="411" spans="6:12" s="90" customFormat="1" ht="12.000000">
      <c r="F411" s="95"/>
      <c r="G411" s="95"/>
      <c r="H411" s="95"/>
      <c r="I411" s="95"/>
      <c r="J411" s="95"/>
      <c r="K411" s="95"/>
      <c r="L411" s="95"/>
    </row>
    <row r="412" spans="6:12" s="90" customFormat="1" ht="12.000000">
      <c r="F412" s="95"/>
      <c r="G412" s="95"/>
      <c r="H412" s="95"/>
      <c r="I412" s="95"/>
      <c r="J412" s="95"/>
      <c r="K412" s="95"/>
      <c r="L412" s="95"/>
    </row>
    <row r="413" spans="6:12" s="90" customFormat="1" ht="12.000000">
      <c r="F413" s="95"/>
      <c r="G413" s="95"/>
      <c r="H413" s="95"/>
      <c r="I413" s="95"/>
      <c r="J413" s="95"/>
      <c r="K413" s="95"/>
      <c r="L413" s="95"/>
    </row>
    <row r="414" spans="6:12" s="90" customFormat="1" ht="12.000000">
      <c r="F414" s="95"/>
      <c r="G414" s="95"/>
      <c r="H414" s="95"/>
      <c r="I414" s="95"/>
      <c r="J414" s="95"/>
      <c r="K414" s="95"/>
      <c r="L414" s="95"/>
    </row>
    <row r="415" spans="6:12" s="90" customFormat="1" ht="12.000000">
      <c r="F415" s="95"/>
      <c r="G415" s="95"/>
      <c r="H415" s="95"/>
      <c r="I415" s="95"/>
      <c r="J415" s="95"/>
      <c r="K415" s="95"/>
      <c r="L415" s="95"/>
    </row>
    <row r="416" spans="6:12" s="90" customFormat="1" ht="12.000000">
      <c r="F416" s="95"/>
      <c r="G416" s="95"/>
      <c r="H416" s="95"/>
      <c r="I416" s="95"/>
      <c r="J416" s="95"/>
      <c r="K416" s="95"/>
      <c r="L416" s="95"/>
    </row>
    <row r="417" spans="6:12" s="90" customFormat="1" ht="12.000000">
      <c r="F417" s="95"/>
      <c r="G417" s="95"/>
      <c r="H417" s="95"/>
      <c r="I417" s="95"/>
      <c r="J417" s="95"/>
      <c r="K417" s="95"/>
      <c r="L417" s="95"/>
    </row>
    <row r="418" spans="6:12" s="90" customFormat="1" ht="12.000000">
      <c r="F418" s="95"/>
      <c r="G418" s="95"/>
      <c r="H418" s="95"/>
      <c r="I418" s="95"/>
      <c r="J418" s="95"/>
      <c r="K418" s="95"/>
      <c r="L418" s="95"/>
    </row>
    <row r="419" spans="6:12" s="90" customFormat="1" ht="12.000000">
      <c r="F419" s="95"/>
      <c r="G419" s="95"/>
      <c r="H419" s="95"/>
      <c r="I419" s="95"/>
      <c r="J419" s="95"/>
      <c r="K419" s="95"/>
      <c r="L419" s="95"/>
    </row>
    <row r="420" spans="6:12" s="90" customFormat="1" ht="12.000000">
      <c r="F420" s="95"/>
      <c r="G420" s="95"/>
      <c r="H420" s="95"/>
      <c r="I420" s="95"/>
      <c r="J420" s="95"/>
      <c r="K420" s="95"/>
      <c r="L420" s="95"/>
    </row>
    <row r="421" spans="6:12" s="90" customFormat="1" ht="12.000000">
      <c r="F421" s="95"/>
      <c r="G421" s="95"/>
      <c r="H421" s="95"/>
      <c r="I421" s="95"/>
      <c r="J421" s="95"/>
      <c r="K421" s="95"/>
      <c r="L421" s="95"/>
    </row>
    <row r="422" spans="6:12" s="90" customFormat="1" ht="12.000000">
      <c r="F422" s="95"/>
      <c r="G422" s="95"/>
      <c r="H422" s="95"/>
      <c r="I422" s="95"/>
      <c r="J422" s="95"/>
      <c r="K422" s="95"/>
      <c r="L422" s="95"/>
    </row>
    <row r="423" spans="6:12" s="90" customFormat="1" ht="12.000000">
      <c r="F423" s="95"/>
      <c r="G423" s="95"/>
      <c r="H423" s="95"/>
      <c r="I423" s="95"/>
      <c r="J423" s="95"/>
      <c r="K423" s="95"/>
      <c r="L423" s="95"/>
    </row>
    <row r="424" spans="6:12" s="90" customFormat="1" ht="12.000000">
      <c r="F424" s="95"/>
      <c r="G424" s="95"/>
      <c r="H424" s="95"/>
      <c r="I424" s="95"/>
      <c r="J424" s="95"/>
      <c r="K424" s="95"/>
      <c r="L424" s="95"/>
    </row>
    <row r="425" spans="6:12" s="90" customFormat="1" ht="12.000000">
      <c r="F425" s="95"/>
      <c r="G425" s="95"/>
      <c r="H425" s="95"/>
      <c r="I425" s="95"/>
      <c r="J425" s="95"/>
      <c r="K425" s="95"/>
      <c r="L425" s="95"/>
    </row>
    <row r="426" spans="6:12" s="90" customFormat="1" ht="12.000000">
      <c r="F426" s="95"/>
      <c r="G426" s="95"/>
      <c r="H426" s="95"/>
      <c r="I426" s="95"/>
      <c r="J426" s="95"/>
      <c r="K426" s="95"/>
      <c r="L426" s="95"/>
    </row>
    <row r="427" spans="6:12" s="90" customFormat="1" ht="12.000000">
      <c r="F427" s="95"/>
      <c r="G427" s="95"/>
      <c r="H427" s="95"/>
      <c r="I427" s="95"/>
      <c r="J427" s="95"/>
      <c r="K427" s="95"/>
      <c r="L427" s="95"/>
    </row>
    <row r="428" spans="6:12" s="90" customFormat="1" ht="12.000000">
      <c r="F428" s="95"/>
      <c r="G428" s="95"/>
      <c r="H428" s="95"/>
      <c r="I428" s="95"/>
      <c r="J428" s="95"/>
      <c r="K428" s="95"/>
      <c r="L428" s="95"/>
    </row>
    <row r="429" spans="6:12" s="90" customFormat="1" ht="12.000000">
      <c r="F429" s="95"/>
      <c r="G429" s="95"/>
      <c r="H429" s="95"/>
      <c r="I429" s="95"/>
      <c r="J429" s="95"/>
      <c r="K429" s="95"/>
      <c r="L429" s="95"/>
    </row>
    <row r="430" spans="6:12" s="90" customFormat="1" ht="12.000000">
      <c r="F430" s="95"/>
      <c r="G430" s="95"/>
      <c r="H430" s="95"/>
      <c r="I430" s="95"/>
      <c r="J430" s="95"/>
      <c r="K430" s="95"/>
      <c r="L430" s="95"/>
    </row>
    <row r="431" spans="6:12" s="90" customFormat="1" ht="12.000000">
      <c r="F431" s="95"/>
      <c r="G431" s="95"/>
      <c r="H431" s="95"/>
      <c r="I431" s="95"/>
      <c r="J431" s="95"/>
      <c r="K431" s="95"/>
      <c r="L431" s="95"/>
    </row>
    <row r="432" spans="6:12" s="90" customFormat="1" ht="12.000000">
      <c r="F432" s="95"/>
      <c r="G432" s="95"/>
      <c r="H432" s="95"/>
      <c r="I432" s="95"/>
      <c r="J432" s="95"/>
      <c r="K432" s="95"/>
      <c r="L432" s="95"/>
    </row>
    <row r="433" spans="6:12" s="90" customFormat="1" ht="12.000000">
      <c r="F433" s="95"/>
      <c r="G433" s="95"/>
      <c r="H433" s="95"/>
      <c r="I433" s="95"/>
      <c r="J433" s="95"/>
      <c r="K433" s="95"/>
      <c r="L433" s="95"/>
    </row>
    <row r="434" spans="6:12" s="90" customFormat="1" ht="12.000000">
      <c r="F434" s="95"/>
      <c r="G434" s="95"/>
      <c r="H434" s="95"/>
      <c r="I434" s="95"/>
      <c r="J434" s="95"/>
      <c r="K434" s="95"/>
      <c r="L434" s="95"/>
    </row>
    <row r="435" spans="6:12" s="90" customFormat="1" ht="12.000000">
      <c r="F435" s="95"/>
      <c r="G435" s="95"/>
      <c r="H435" s="95"/>
      <c r="I435" s="95"/>
      <c r="J435" s="95"/>
      <c r="K435" s="95"/>
      <c r="L435" s="95"/>
    </row>
    <row r="436" spans="6:12" s="90" customFormat="1" ht="12.000000">
      <c r="F436" s="95"/>
      <c r="G436" s="95"/>
      <c r="H436" s="95"/>
      <c r="I436" s="95"/>
      <c r="J436" s="95"/>
      <c r="K436" s="95"/>
      <c r="L436" s="95"/>
    </row>
    <row r="437" spans="6:12" s="90" customFormat="1" ht="12.000000">
      <c r="F437" s="95"/>
      <c r="G437" s="95"/>
      <c r="H437" s="95"/>
      <c r="I437" s="95"/>
      <c r="J437" s="95"/>
      <c r="K437" s="95"/>
      <c r="L437" s="95"/>
    </row>
    <row r="438" spans="6:12" s="90" customFormat="1" ht="12.000000">
      <c r="F438" s="95"/>
      <c r="G438" s="95"/>
      <c r="H438" s="95"/>
      <c r="I438" s="95"/>
      <c r="J438" s="95"/>
      <c r="K438" s="95"/>
      <c r="L438" s="95"/>
    </row>
    <row r="439" spans="6:12" s="90" customFormat="1" ht="12.000000">
      <c r="F439" s="95"/>
      <c r="G439" s="95"/>
      <c r="H439" s="95"/>
      <c r="I439" s="95"/>
      <c r="J439" s="95"/>
      <c r="K439" s="95"/>
      <c r="L439" s="95"/>
    </row>
    <row r="440" spans="6:12" s="90" customFormat="1" ht="12.000000">
      <c r="F440" s="95"/>
      <c r="G440" s="95"/>
      <c r="H440" s="95"/>
      <c r="I440" s="95"/>
      <c r="J440" s="95"/>
      <c r="K440" s="95"/>
      <c r="L440" s="95"/>
    </row>
    <row r="441" spans="6:12" s="90" customFormat="1" ht="12.000000">
      <c r="F441" s="95"/>
      <c r="G441" s="95"/>
      <c r="H441" s="95"/>
      <c r="I441" s="95"/>
      <c r="J441" s="95"/>
      <c r="K441" s="95"/>
      <c r="L441" s="95"/>
    </row>
    <row r="442" spans="6:12" s="90" customFormat="1" ht="12.000000">
      <c r="F442" s="95"/>
      <c r="G442" s="95"/>
      <c r="H442" s="95"/>
      <c r="I442" s="95"/>
      <c r="J442" s="95"/>
      <c r="K442" s="95"/>
      <c r="L442" s="95"/>
    </row>
    <row r="443" spans="6:12" s="90" customFormat="1" ht="12.000000">
      <c r="F443" s="95"/>
      <c r="G443" s="95"/>
      <c r="H443" s="95"/>
      <c r="I443" s="95"/>
      <c r="J443" s="95"/>
      <c r="K443" s="95"/>
      <c r="L443" s="95"/>
    </row>
    <row r="444" spans="6:12" s="90" customFormat="1" ht="12.000000">
      <c r="F444" s="95"/>
      <c r="G444" s="95"/>
      <c r="H444" s="95"/>
      <c r="I444" s="95"/>
      <c r="J444" s="95"/>
      <c r="K444" s="95"/>
      <c r="L444" s="95"/>
    </row>
    <row r="445" spans="6:12" s="90" customFormat="1" ht="12.000000">
      <c r="F445" s="95"/>
      <c r="G445" s="95"/>
      <c r="H445" s="95"/>
      <c r="I445" s="95"/>
      <c r="J445" s="95"/>
      <c r="K445" s="95"/>
      <c r="L445" s="95"/>
    </row>
    <row r="446" spans="6:12" s="90" customFormat="1" ht="12.000000">
      <c r="F446" s="95"/>
      <c r="G446" s="95"/>
      <c r="H446" s="95"/>
      <c r="I446" s="95"/>
      <c r="J446" s="95"/>
      <c r="K446" s="95"/>
      <c r="L446" s="95"/>
    </row>
    <row r="447" spans="6:12" s="90" customFormat="1" ht="12.000000">
      <c r="F447" s="95"/>
      <c r="G447" s="95"/>
      <c r="H447" s="95"/>
      <c r="I447" s="95"/>
      <c r="J447" s="95"/>
      <c r="K447" s="95"/>
      <c r="L447" s="95"/>
    </row>
    <row r="448" spans="6:12" s="90" customFormat="1" ht="12.000000">
      <c r="F448" s="95"/>
      <c r="G448" s="95"/>
      <c r="H448" s="95"/>
      <c r="I448" s="95"/>
      <c r="J448" s="95"/>
      <c r="K448" s="95"/>
      <c r="L448" s="95"/>
    </row>
    <row r="449" spans="6:12" s="90" customFormat="1" ht="12.000000">
      <c r="F449" s="95"/>
      <c r="G449" s="95"/>
      <c r="H449" s="95"/>
      <c r="I449" s="95"/>
      <c r="J449" s="95"/>
      <c r="K449" s="95"/>
      <c r="L449" s="95"/>
    </row>
    <row r="450" spans="6:12" s="90" customFormat="1" ht="12.000000">
      <c r="F450" s="95"/>
      <c r="G450" s="95"/>
      <c r="H450" s="95"/>
      <c r="I450" s="95"/>
      <c r="J450" s="95"/>
      <c r="K450" s="95"/>
      <c r="L450" s="95"/>
    </row>
    <row r="451" spans="6:12" s="90" customFormat="1" ht="12.000000">
      <c r="F451" s="95"/>
      <c r="G451" s="95"/>
      <c r="H451" s="95"/>
      <c r="I451" s="95"/>
      <c r="J451" s="95"/>
      <c r="K451" s="95"/>
      <c r="L451" s="95"/>
    </row>
    <row r="452" spans="6:12" s="90" customFormat="1" ht="12.000000">
      <c r="F452" s="95"/>
      <c r="G452" s="95"/>
      <c r="H452" s="95"/>
      <c r="I452" s="95"/>
      <c r="J452" s="95"/>
      <c r="K452" s="95"/>
      <c r="L452" s="95"/>
    </row>
    <row r="453" spans="6:12" s="90" customFormat="1" ht="12.000000">
      <c r="F453" s="95"/>
      <c r="G453" s="95"/>
      <c r="H453" s="95"/>
      <c r="I453" s="95"/>
      <c r="J453" s="95"/>
      <c r="K453" s="95"/>
      <c r="L453" s="95"/>
    </row>
    <row r="454" spans="6:12" s="90" customFormat="1" ht="12.000000">
      <c r="F454" s="95"/>
      <c r="G454" s="95"/>
      <c r="H454" s="95"/>
      <c r="I454" s="95"/>
      <c r="J454" s="95"/>
      <c r="K454" s="95"/>
      <c r="L454" s="95"/>
    </row>
    <row r="455" spans="6:12" s="90" customFormat="1" ht="12.000000">
      <c r="F455" s="95"/>
      <c r="G455" s="95"/>
      <c r="H455" s="95"/>
      <c r="I455" s="95"/>
      <c r="J455" s="95"/>
      <c r="K455" s="95"/>
      <c r="L455" s="95"/>
    </row>
    <row r="456" spans="6:12" s="90" customFormat="1" ht="12.000000">
      <c r="F456" s="95"/>
      <c r="G456" s="95"/>
      <c r="H456" s="95"/>
      <c r="I456" s="95"/>
      <c r="J456" s="95"/>
      <c r="K456" s="95"/>
      <c r="L456" s="95"/>
    </row>
    <row r="457" spans="6:12" s="90" customFormat="1" ht="12.000000">
      <c r="F457" s="95"/>
      <c r="G457" s="95"/>
      <c r="H457" s="95"/>
      <c r="I457" s="95"/>
      <c r="J457" s="95"/>
      <c r="K457" s="95"/>
      <c r="L457" s="95"/>
    </row>
    <row r="458" spans="6:12" s="90" customFormat="1" ht="12.000000">
      <c r="F458" s="95"/>
      <c r="G458" s="95"/>
      <c r="H458" s="95"/>
      <c r="I458" s="95"/>
      <c r="J458" s="95"/>
      <c r="K458" s="95"/>
      <c r="L458" s="95"/>
    </row>
    <row r="459" spans="6:12" s="90" customFormat="1" ht="12.000000">
      <c r="F459" s="95"/>
      <c r="G459" s="95"/>
      <c r="H459" s="95"/>
      <c r="I459" s="95"/>
      <c r="J459" s="95"/>
      <c r="K459" s="95"/>
      <c r="L459" s="95"/>
    </row>
    <row r="460" spans="6:12" s="90" customFormat="1" ht="12.000000">
      <c r="F460" s="95"/>
      <c r="G460" s="95"/>
      <c r="H460" s="95"/>
      <c r="I460" s="95"/>
      <c r="J460" s="95"/>
      <c r="K460" s="95"/>
      <c r="L460" s="95"/>
    </row>
    <row r="461" spans="6:12" s="90" customFormat="1" ht="12.000000">
      <c r="F461" s="95"/>
      <c r="G461" s="95"/>
      <c r="H461" s="95"/>
      <c r="I461" s="95"/>
      <c r="J461" s="95"/>
      <c r="K461" s="95"/>
      <c r="L461" s="95"/>
    </row>
    <row r="462" spans="6:12" s="90" customFormat="1" ht="12.000000">
      <c r="F462" s="95"/>
      <c r="G462" s="95"/>
      <c r="H462" s="95"/>
      <c r="I462" s="95"/>
      <c r="J462" s="95"/>
      <c r="K462" s="95"/>
      <c r="L462" s="95"/>
    </row>
    <row r="463" spans="6:12" s="90" customFormat="1" ht="12.000000">
      <c r="F463" s="95"/>
      <c r="G463" s="95"/>
      <c r="H463" s="95"/>
      <c r="I463" s="95"/>
      <c r="J463" s="95"/>
      <c r="K463" s="95"/>
      <c r="L463" s="95"/>
    </row>
    <row r="464" spans="6:12" s="90" customFormat="1" ht="12.000000">
      <c r="F464" s="95"/>
      <c r="G464" s="95"/>
      <c r="H464" s="95"/>
      <c r="I464" s="95"/>
      <c r="J464" s="95"/>
      <c r="K464" s="95"/>
      <c r="L464" s="95"/>
    </row>
    <row r="465" spans="6:12" s="90" customFormat="1" ht="12.000000">
      <c r="F465" s="95"/>
      <c r="G465" s="95"/>
      <c r="H465" s="95"/>
      <c r="I465" s="95"/>
      <c r="J465" s="95"/>
      <c r="K465" s="95"/>
      <c r="L465" s="95"/>
    </row>
    <row r="466" spans="6:12" s="90" customFormat="1" ht="12.000000">
      <c r="F466" s="95"/>
      <c r="G466" s="95"/>
      <c r="H466" s="95"/>
      <c r="I466" s="95"/>
      <c r="J466" s="95"/>
      <c r="K466" s="95"/>
      <c r="L466" s="95"/>
    </row>
    <row r="467" spans="6:12" s="90" customFormat="1" ht="12.000000">
      <c r="F467" s="95"/>
      <c r="G467" s="95"/>
      <c r="H467" s="95"/>
      <c r="I467" s="95"/>
      <c r="J467" s="95"/>
      <c r="K467" s="95"/>
      <c r="L467" s="95"/>
    </row>
    <row r="468" spans="6:12" s="90" customFormat="1" ht="12.000000">
      <c r="F468" s="95"/>
      <c r="G468" s="95"/>
      <c r="H468" s="95"/>
      <c r="I468" s="95"/>
      <c r="J468" s="95"/>
      <c r="K468" s="95"/>
      <c r="L468" s="95"/>
    </row>
    <row r="469" spans="6:12" s="90" customFormat="1" ht="12.000000">
      <c r="F469" s="95"/>
      <c r="G469" s="95"/>
      <c r="H469" s="95"/>
      <c r="I469" s="95"/>
      <c r="J469" s="95"/>
      <c r="K469" s="95"/>
      <c r="L469" s="95"/>
    </row>
    <row r="470" spans="6:12" s="90" customFormat="1" ht="12.000000">
      <c r="F470" s="95"/>
      <c r="G470" s="95"/>
      <c r="H470" s="95"/>
      <c r="I470" s="95"/>
      <c r="J470" s="95"/>
      <c r="K470" s="95"/>
      <c r="L470" s="95"/>
    </row>
    <row r="471" spans="6:12" s="90" customFormat="1" ht="12.000000">
      <c r="F471" s="95"/>
      <c r="G471" s="95"/>
      <c r="H471" s="95"/>
      <c r="I471" s="95"/>
      <c r="J471" s="95"/>
      <c r="K471" s="95"/>
      <c r="L471" s="95"/>
    </row>
    <row r="472" spans="6:12" s="90" customFormat="1" ht="12.000000">
      <c r="F472" s="95"/>
      <c r="G472" s="95"/>
      <c r="H472" s="95"/>
      <c r="I472" s="95"/>
      <c r="J472" s="95"/>
      <c r="K472" s="95"/>
      <c r="L472" s="95"/>
    </row>
    <row r="473" spans="6:12" s="90" customFormat="1" ht="12.000000">
      <c r="F473" s="95"/>
      <c r="G473" s="95"/>
      <c r="H473" s="95"/>
      <c r="I473" s="95"/>
      <c r="J473" s="95"/>
      <c r="K473" s="95"/>
      <c r="L473" s="95"/>
    </row>
    <row r="474" spans="6:12" s="90" customFormat="1" ht="12.000000">
      <c r="F474" s="95"/>
      <c r="G474" s="95"/>
      <c r="H474" s="95"/>
      <c r="I474" s="95"/>
      <c r="J474" s="95"/>
      <c r="K474" s="95"/>
      <c r="L474" s="95"/>
    </row>
    <row r="475" spans="6:12" s="90" customFormat="1" ht="12.000000">
      <c r="F475" s="95"/>
      <c r="G475" s="95"/>
      <c r="H475" s="95"/>
      <c r="I475" s="95"/>
      <c r="J475" s="95"/>
      <c r="K475" s="95"/>
      <c r="L475" s="95"/>
    </row>
    <row r="476" spans="6:12" s="90" customFormat="1" ht="12.000000">
      <c r="F476" s="95"/>
      <c r="G476" s="95"/>
      <c r="H476" s="95"/>
      <c r="I476" s="95"/>
      <c r="J476" s="95"/>
      <c r="K476" s="95"/>
      <c r="L476" s="95"/>
    </row>
    <row r="477" spans="6:12" s="90" customFormat="1" ht="12.000000">
      <c r="F477" s="95"/>
      <c r="G477" s="95"/>
      <c r="H477" s="95"/>
      <c r="I477" s="95"/>
      <c r="J477" s="95"/>
      <c r="K477" s="95"/>
      <c r="L477" s="95"/>
    </row>
    <row r="478" spans="6:12" s="90" customFormat="1" ht="12.000000">
      <c r="F478" s="95"/>
      <c r="G478" s="95"/>
      <c r="H478" s="95"/>
      <c r="I478" s="95"/>
      <c r="J478" s="95"/>
      <c r="K478" s="95"/>
      <c r="L478" s="95"/>
    </row>
    <row r="479" spans="6:12" s="90" customFormat="1" ht="12.000000">
      <c r="F479" s="95"/>
      <c r="G479" s="95"/>
      <c r="H479" s="95"/>
      <c r="I479" s="95"/>
      <c r="J479" s="95"/>
      <c r="K479" s="95"/>
      <c r="L479" s="95"/>
    </row>
    <row r="480" spans="6:12" s="90" customFormat="1" ht="12.000000">
      <c r="F480" s="95"/>
      <c r="G480" s="95"/>
      <c r="H480" s="95"/>
      <c r="I480" s="95"/>
      <c r="J480" s="95"/>
      <c r="K480" s="95"/>
      <c r="L480" s="95"/>
    </row>
    <row r="481" spans="6:12" s="90" customFormat="1" ht="12.000000">
      <c r="F481" s="95"/>
      <c r="G481" s="95"/>
      <c r="H481" s="95"/>
      <c r="I481" s="95"/>
      <c r="J481" s="95"/>
      <c r="K481" s="95"/>
      <c r="L481" s="95"/>
    </row>
    <row r="482" spans="6:12" s="90" customFormat="1" ht="12.000000">
      <c r="F482" s="95"/>
      <c r="G482" s="95"/>
      <c r="H482" s="95"/>
      <c r="I482" s="95"/>
      <c r="J482" s="95"/>
      <c r="K482" s="95"/>
      <c r="L482" s="95"/>
    </row>
    <row r="483" spans="6:12" s="90" customFormat="1" ht="12.000000">
      <c r="F483" s="95"/>
      <c r="G483" s="95"/>
      <c r="H483" s="95"/>
      <c r="I483" s="95"/>
      <c r="J483" s="95"/>
      <c r="K483" s="95"/>
      <c r="L483" s="95"/>
    </row>
    <row r="484" spans="6:12" s="90" customFormat="1" ht="12.000000">
      <c r="F484" s="95"/>
      <c r="G484" s="95"/>
      <c r="H484" s="95"/>
      <c r="I484" s="95"/>
      <c r="J484" s="95"/>
      <c r="K484" s="95"/>
      <c r="L484" s="95"/>
    </row>
    <row r="485" spans="6:12" s="90" customFormat="1" ht="12.000000">
      <c r="F485" s="95"/>
      <c r="G485" s="95"/>
      <c r="H485" s="95"/>
      <c r="I485" s="95"/>
      <c r="J485" s="95"/>
      <c r="K485" s="95"/>
      <c r="L485" s="95"/>
    </row>
    <row r="486" spans="6:12" s="90" customFormat="1" ht="12.000000">
      <c r="F486" s="95"/>
      <c r="G486" s="95"/>
      <c r="H486" s="95"/>
      <c r="I486" s="95"/>
      <c r="J486" s="95"/>
      <c r="K486" s="95"/>
      <c r="L486" s="95"/>
    </row>
    <row r="487" spans="6:12" s="90" customFormat="1" ht="12.000000">
      <c r="F487" s="95"/>
      <c r="G487" s="95"/>
      <c r="H487" s="95"/>
      <c r="I487" s="95"/>
      <c r="J487" s="95"/>
      <c r="K487" s="95"/>
      <c r="L487" s="95"/>
    </row>
    <row r="488" spans="6:12" s="90" customFormat="1" ht="12.000000">
      <c r="F488" s="95"/>
      <c r="G488" s="95"/>
      <c r="H488" s="95"/>
      <c r="I488" s="95"/>
      <c r="J488" s="95"/>
      <c r="K488" s="95"/>
      <c r="L488" s="95"/>
    </row>
    <row r="489" spans="6:12" s="90" customFormat="1" ht="12.000000">
      <c r="F489" s="95"/>
      <c r="G489" s="95"/>
      <c r="H489" s="95"/>
      <c r="I489" s="95"/>
      <c r="J489" s="95"/>
      <c r="K489" s="95"/>
      <c r="L489" s="95"/>
    </row>
    <row r="490" spans="6:12" s="90" customFormat="1" ht="12.000000">
      <c r="F490" s="95"/>
      <c r="G490" s="95"/>
      <c r="H490" s="95"/>
      <c r="I490" s="95"/>
      <c r="J490" s="95"/>
      <c r="K490" s="95"/>
      <c r="L490" s="95"/>
    </row>
    <row r="491" spans="6:12" s="90" customFormat="1" ht="12.000000">
      <c r="F491" s="95"/>
      <c r="G491" s="95"/>
      <c r="H491" s="95"/>
      <c r="I491" s="95"/>
      <c r="J491" s="95"/>
      <c r="K491" s="95"/>
      <c r="L491" s="95"/>
    </row>
    <row r="492" spans="6:12" s="90" customFormat="1" ht="12.000000">
      <c r="F492" s="95"/>
      <c r="G492" s="95"/>
      <c r="H492" s="95"/>
      <c r="I492" s="95"/>
      <c r="J492" s="95"/>
      <c r="K492" s="95"/>
      <c r="L492" s="95"/>
    </row>
    <row r="493" spans="6:12" s="90" customFormat="1" ht="12.000000">
      <c r="F493" s="95"/>
      <c r="G493" s="95"/>
      <c r="H493" s="95"/>
      <c r="I493" s="95"/>
      <c r="J493" s="95"/>
      <c r="K493" s="95"/>
      <c r="L493" s="95"/>
    </row>
    <row r="494" spans="6:12" s="90" customFormat="1" ht="12.000000">
      <c r="F494" s="95"/>
      <c r="G494" s="95"/>
      <c r="H494" s="95"/>
      <c r="I494" s="95"/>
      <c r="J494" s="95"/>
      <c r="K494" s="95"/>
      <c r="L494" s="95"/>
    </row>
    <row r="495" spans="6:12" s="90" customFormat="1" ht="12.000000">
      <c r="F495" s="95"/>
      <c r="G495" s="95"/>
      <c r="H495" s="95"/>
      <c r="I495" s="95"/>
      <c r="J495" s="95"/>
      <c r="K495" s="95"/>
      <c r="L495" s="95"/>
    </row>
    <row r="496" spans="6:12" s="90" customFormat="1" ht="12.000000">
      <c r="F496" s="95"/>
      <c r="G496" s="95"/>
      <c r="H496" s="95"/>
      <c r="I496" s="95"/>
      <c r="J496" s="95"/>
      <c r="K496" s="95"/>
      <c r="L496" s="95"/>
    </row>
    <row r="497" spans="6:12" s="90" customFormat="1" ht="12.000000">
      <c r="F497" s="95"/>
      <c r="G497" s="95"/>
      <c r="H497" s="95"/>
      <c r="I497" s="95"/>
      <c r="J497" s="95"/>
      <c r="K497" s="95"/>
      <c r="L497" s="95"/>
    </row>
    <row r="498" spans="6:12" s="90" customFormat="1" ht="12.000000">
      <c r="F498" s="95"/>
      <c r="G498" s="95"/>
      <c r="H498" s="95"/>
      <c r="I498" s="95"/>
      <c r="J498" s="95"/>
      <c r="K498" s="95"/>
      <c r="L498" s="95"/>
    </row>
    <row r="499" spans="6:12" s="90" customFormat="1" ht="12.000000">
      <c r="F499" s="95"/>
      <c r="G499" s="95"/>
      <c r="H499" s="95"/>
      <c r="I499" s="95"/>
      <c r="J499" s="95"/>
      <c r="K499" s="95"/>
      <c r="L499" s="95"/>
    </row>
    <row r="500" spans="6:12" s="90" customFormat="1" ht="12.000000">
      <c r="F500" s="95"/>
      <c r="G500" s="95"/>
      <c r="H500" s="95"/>
      <c r="I500" s="95"/>
      <c r="J500" s="95"/>
      <c r="K500" s="95"/>
      <c r="L500" s="95"/>
    </row>
    <row r="501" spans="6:12" s="90" customFormat="1" ht="12.000000">
      <c r="F501" s="95"/>
      <c r="G501" s="95"/>
      <c r="H501" s="95"/>
      <c r="I501" s="95"/>
      <c r="J501" s="95"/>
      <c r="K501" s="95"/>
      <c r="L501" s="95"/>
    </row>
    <row r="502" spans="6:12" s="90" customFormat="1" ht="12.000000">
      <c r="F502" s="95"/>
      <c r="G502" s="95"/>
      <c r="H502" s="95"/>
      <c r="I502" s="95"/>
      <c r="J502" s="95"/>
      <c r="K502" s="95"/>
      <c r="L502" s="95"/>
    </row>
    <row r="503" spans="6:12" s="90" customFormat="1" ht="12.000000">
      <c r="F503" s="95"/>
      <c r="G503" s="95"/>
      <c r="H503" s="95"/>
      <c r="I503" s="95"/>
      <c r="J503" s="95"/>
      <c r="K503" s="95"/>
      <c r="L503" s="95"/>
    </row>
    <row r="504" spans="6:12" s="90" customFormat="1" ht="12.000000">
      <c r="F504" s="95"/>
      <c r="G504" s="95"/>
      <c r="H504" s="95"/>
      <c r="I504" s="95"/>
      <c r="J504" s="95"/>
      <c r="K504" s="95"/>
      <c r="L504" s="95"/>
    </row>
    <row r="505" spans="6:12" s="90" customFormat="1" ht="12.000000">
      <c r="F505" s="95"/>
      <c r="G505" s="95"/>
      <c r="H505" s="95"/>
      <c r="I505" s="95"/>
      <c r="J505" s="95"/>
      <c r="K505" s="95"/>
      <c r="L505" s="95"/>
    </row>
    <row r="506" spans="6:12" s="90" customFormat="1" ht="12.000000">
      <c r="F506" s="95"/>
      <c r="G506" s="95"/>
      <c r="H506" s="95"/>
      <c r="I506" s="95"/>
      <c r="J506" s="95"/>
      <c r="K506" s="95"/>
      <c r="L506" s="95"/>
    </row>
    <row r="507" spans="6:12" s="90" customFormat="1" ht="12.000000">
      <c r="F507" s="95"/>
      <c r="G507" s="95"/>
      <c r="H507" s="95"/>
      <c r="I507" s="95"/>
      <c r="J507" s="95"/>
      <c r="K507" s="95"/>
      <c r="L507" s="95"/>
    </row>
    <row r="508" spans="6:12" s="90" customFormat="1" ht="12.000000">
      <c r="F508" s="95"/>
      <c r="G508" s="95"/>
      <c r="H508" s="95"/>
      <c r="I508" s="95"/>
      <c r="J508" s="95"/>
      <c r="K508" s="95"/>
      <c r="L508" s="95"/>
    </row>
    <row r="509" spans="6:12" s="90" customFormat="1" ht="12.000000">
      <c r="F509" s="95"/>
      <c r="G509" s="95"/>
      <c r="H509" s="95"/>
      <c r="I509" s="95"/>
      <c r="J509" s="95"/>
      <c r="K509" s="95"/>
      <c r="L509" s="95"/>
    </row>
    <row r="510" spans="6:12" s="90" customFormat="1" ht="12.000000">
      <c r="F510" s="95"/>
      <c r="G510" s="95"/>
      <c r="H510" s="95"/>
      <c r="I510" s="95"/>
      <c r="J510" s="95"/>
      <c r="K510" s="95"/>
      <c r="L510" s="95"/>
    </row>
    <row r="511" spans="6:12" s="90" customFormat="1" ht="12.000000">
      <c r="F511" s="95"/>
      <c r="G511" s="95"/>
      <c r="H511" s="95"/>
      <c r="I511" s="95"/>
      <c r="J511" s="95"/>
      <c r="K511" s="95"/>
      <c r="L511" s="95"/>
    </row>
    <row r="512" spans="6:12" s="90" customFormat="1" ht="12.000000">
      <c r="F512" s="95"/>
      <c r="G512" s="95"/>
      <c r="H512" s="95"/>
      <c r="I512" s="95"/>
      <c r="J512" s="95"/>
      <c r="K512" s="95"/>
      <c r="L512" s="95"/>
    </row>
    <row r="513" spans="6:12" s="90" customFormat="1" ht="12.000000">
      <c r="F513" s="95"/>
      <c r="G513" s="95"/>
      <c r="H513" s="95"/>
      <c r="I513" s="95"/>
      <c r="J513" s="95"/>
      <c r="K513" s="95"/>
      <c r="L513" s="95"/>
    </row>
    <row r="514" spans="6:12" s="90" customFormat="1" ht="12.000000">
      <c r="F514" s="95"/>
      <c r="G514" s="95"/>
      <c r="H514" s="95"/>
      <c r="I514" s="95"/>
      <c r="J514" s="95"/>
      <c r="K514" s="95"/>
      <c r="L514" s="95"/>
    </row>
    <row r="515" spans="6:12" s="90" customFormat="1" ht="12.000000">
      <c r="F515" s="95"/>
      <c r="G515" s="95"/>
      <c r="H515" s="95"/>
      <c r="I515" s="95"/>
      <c r="J515" s="95"/>
      <c r="K515" s="95"/>
      <c r="L515" s="95"/>
    </row>
    <row r="516" spans="6:12" s="90" customFormat="1" ht="12.000000">
      <c r="F516" s="95"/>
      <c r="G516" s="95"/>
      <c r="H516" s="95"/>
      <c r="I516" s="95"/>
      <c r="J516" s="95"/>
      <c r="K516" s="95"/>
      <c r="L516" s="95"/>
    </row>
    <row r="517" spans="6:12" s="90" customFormat="1" ht="12.000000">
      <c r="F517" s="95"/>
      <c r="G517" s="95"/>
      <c r="H517" s="95"/>
      <c r="I517" s="95"/>
      <c r="J517" s="95"/>
      <c r="K517" s="95"/>
      <c r="L517" s="95"/>
    </row>
    <row r="518" spans="6:12" s="90" customFormat="1" ht="12.000000">
      <c r="F518" s="95"/>
      <c r="G518" s="95"/>
      <c r="H518" s="95"/>
      <c r="I518" s="95"/>
      <c r="J518" s="95"/>
      <c r="K518" s="95"/>
      <c r="L518" s="95"/>
    </row>
    <row r="519" spans="6:12" s="90" customFormat="1" ht="12.000000">
      <c r="F519" s="95"/>
      <c r="G519" s="95"/>
      <c r="H519" s="95"/>
      <c r="I519" s="95"/>
      <c r="J519" s="95"/>
      <c r="K519" s="95"/>
      <c r="L519" s="95"/>
    </row>
    <row r="520" spans="6:12" s="90" customFormat="1" ht="12.000000">
      <c r="F520" s="95"/>
      <c r="G520" s="95"/>
      <c r="H520" s="95"/>
      <c r="I520" s="95"/>
      <c r="J520" s="95"/>
      <c r="K520" s="95"/>
      <c r="L520" s="95"/>
    </row>
    <row r="521" spans="6:12" s="90" customFormat="1" ht="12.000000">
      <c r="F521" s="95"/>
      <c r="G521" s="95"/>
      <c r="H521" s="95"/>
      <c r="I521" s="95"/>
      <c r="J521" s="95"/>
      <c r="K521" s="95"/>
      <c r="L521" s="95"/>
    </row>
    <row r="522" spans="6:12" s="90" customFormat="1" ht="12.000000">
      <c r="F522" s="95"/>
      <c r="G522" s="95"/>
      <c r="H522" s="95"/>
      <c r="I522" s="95"/>
      <c r="J522" s="95"/>
      <c r="K522" s="95"/>
      <c r="L522" s="95"/>
    </row>
    <row r="523" spans="6:12" s="90" customFormat="1" ht="12.000000">
      <c r="F523" s="95"/>
      <c r="G523" s="95"/>
      <c r="H523" s="95"/>
      <c r="I523" s="95"/>
      <c r="J523" s="95"/>
      <c r="K523" s="95"/>
      <c r="L523" s="95"/>
    </row>
    <row r="524" spans="6:12" s="90" customFormat="1" ht="12.000000">
      <c r="F524" s="95"/>
      <c r="G524" s="95"/>
      <c r="H524" s="95"/>
      <c r="I524" s="95"/>
      <c r="J524" s="95"/>
      <c r="K524" s="95"/>
      <c r="L524" s="95"/>
    </row>
    <row r="525" spans="6:12" s="90" customFormat="1" ht="12.000000">
      <c r="F525" s="95"/>
      <c r="G525" s="95"/>
      <c r="H525" s="95"/>
      <c r="I525" s="95"/>
      <c r="J525" s="95"/>
      <c r="K525" s="95"/>
      <c r="L525" s="95"/>
    </row>
    <row r="526" spans="6:12" s="90" customFormat="1" ht="12.000000">
      <c r="F526" s="95"/>
      <c r="G526" s="95"/>
      <c r="H526" s="95"/>
      <c r="I526" s="95"/>
      <c r="J526" s="95"/>
      <c r="K526" s="95"/>
      <c r="L526" s="95"/>
    </row>
    <row r="527" spans="6:12" s="90" customFormat="1" ht="12.000000">
      <c r="F527" s="95"/>
      <c r="G527" s="95"/>
      <c r="H527" s="95"/>
      <c r="I527" s="95"/>
      <c r="J527" s="95"/>
      <c r="K527" s="95"/>
      <c r="L527" s="95"/>
    </row>
    <row r="528" spans="6:12" s="90" customFormat="1" ht="12.000000">
      <c r="F528" s="95"/>
      <c r="G528" s="95"/>
      <c r="H528" s="95"/>
      <c r="I528" s="95"/>
      <c r="J528" s="95"/>
      <c r="K528" s="95"/>
      <c r="L528" s="95"/>
    </row>
    <row r="529" spans="6:12" s="90" customFormat="1" ht="12.000000">
      <c r="F529" s="95"/>
      <c r="G529" s="95"/>
      <c r="H529" s="95"/>
      <c r="I529" s="95"/>
      <c r="J529" s="95"/>
      <c r="K529" s="95"/>
      <c r="L529" s="95"/>
    </row>
    <row r="530" spans="6:12" s="90" customFormat="1" ht="12.000000">
      <c r="F530" s="95"/>
      <c r="G530" s="95"/>
      <c r="H530" s="95"/>
      <c r="I530" s="95"/>
      <c r="J530" s="95"/>
      <c r="K530" s="95"/>
      <c r="L530" s="95"/>
    </row>
    <row r="531" spans="6:12" s="90" customFormat="1" ht="12.000000">
      <c r="F531" s="95"/>
      <c r="G531" s="95"/>
      <c r="H531" s="95"/>
      <c r="I531" s="95"/>
      <c r="J531" s="95"/>
      <c r="K531" s="95"/>
      <c r="L531" s="95"/>
    </row>
    <row r="532" spans="6:12" s="90" customFormat="1" ht="12.000000">
      <c r="F532" s="95"/>
      <c r="G532" s="95"/>
      <c r="H532" s="95"/>
      <c r="I532" s="95"/>
      <c r="J532" s="95"/>
      <c r="K532" s="95"/>
      <c r="L532" s="95"/>
    </row>
    <row r="533" spans="6:12" s="90" customFormat="1" ht="12.000000">
      <c r="F533" s="95"/>
      <c r="G533" s="95"/>
      <c r="H533" s="95"/>
      <c r="I533" s="95"/>
      <c r="J533" s="95"/>
      <c r="K533" s="95"/>
      <c r="L533" s="95"/>
    </row>
    <row r="534" spans="6:12" s="90" customFormat="1" ht="12.000000">
      <c r="F534" s="95"/>
      <c r="G534" s="95"/>
      <c r="H534" s="95"/>
      <c r="I534" s="95"/>
      <c r="J534" s="95"/>
      <c r="K534" s="95"/>
      <c r="L534" s="95"/>
    </row>
    <row r="535" spans="6:12" s="90" customFormat="1" ht="12.000000">
      <c r="F535" s="95"/>
      <c r="G535" s="95"/>
      <c r="H535" s="95"/>
      <c r="I535" s="95"/>
      <c r="J535" s="95"/>
      <c r="K535" s="95"/>
      <c r="L535" s="95"/>
    </row>
    <row r="536" spans="6:12" s="90" customFormat="1" ht="12.000000">
      <c r="F536" s="95"/>
      <c r="G536" s="95"/>
      <c r="H536" s="95"/>
      <c r="I536" s="95"/>
      <c r="J536" s="95"/>
      <c r="K536" s="95"/>
      <c r="L536" s="95"/>
    </row>
    <row r="537" spans="6:12" s="90" customFormat="1" ht="12.000000">
      <c r="F537" s="95"/>
      <c r="G537" s="95"/>
      <c r="H537" s="95"/>
      <c r="I537" s="95"/>
      <c r="J537" s="95"/>
      <c r="K537" s="95"/>
      <c r="L537" s="95"/>
    </row>
    <row r="538" spans="6:12" s="90" customFormat="1" ht="12.000000">
      <c r="F538" s="95"/>
      <c r="G538" s="95"/>
      <c r="H538" s="95"/>
      <c r="I538" s="95"/>
      <c r="J538" s="95"/>
      <c r="K538" s="95"/>
      <c r="L538" s="95"/>
    </row>
    <row r="539" spans="6:12" s="90" customFormat="1" ht="12.000000">
      <c r="F539" s="95"/>
      <c r="G539" s="95"/>
      <c r="H539" s="95"/>
      <c r="I539" s="95"/>
      <c r="J539" s="95"/>
      <c r="K539" s="95"/>
      <c r="L539" s="95"/>
    </row>
    <row r="540" spans="6:12" s="90" customFormat="1" ht="12.000000">
      <c r="F540" s="95"/>
      <c r="G540" s="95"/>
      <c r="H540" s="95"/>
      <c r="I540" s="95"/>
      <c r="J540" s="95"/>
      <c r="K540" s="95"/>
      <c r="L540" s="95"/>
    </row>
    <row r="541" spans="6:12" s="90" customFormat="1" ht="12.000000">
      <c r="F541" s="95"/>
      <c r="G541" s="95"/>
      <c r="H541" s="95"/>
      <c r="I541" s="95"/>
      <c r="J541" s="95"/>
      <c r="K541" s="95"/>
      <c r="L541" s="95"/>
    </row>
    <row r="542" spans="6:12" s="90" customFormat="1" ht="12.000000">
      <c r="F542" s="95"/>
      <c r="G542" s="95"/>
      <c r="H542" s="95"/>
      <c r="I542" s="95"/>
      <c r="J542" s="95"/>
      <c r="K542" s="95"/>
      <c r="L542" s="95"/>
    </row>
    <row r="543" spans="6:12" s="90" customFormat="1" ht="12.000000">
      <c r="F543" s="95"/>
      <c r="G543" s="95"/>
      <c r="H543" s="95"/>
      <c r="I543" s="95"/>
      <c r="J543" s="95"/>
      <c r="K543" s="95"/>
      <c r="L543" s="95"/>
    </row>
    <row r="544" spans="6:12" s="90" customFormat="1" ht="12.000000">
      <c r="F544" s="95"/>
      <c r="G544" s="95"/>
      <c r="H544" s="95"/>
      <c r="I544" s="95"/>
      <c r="J544" s="95"/>
      <c r="K544" s="95"/>
      <c r="L544" s="95"/>
    </row>
    <row r="545" spans="6:12" s="90" customFormat="1" ht="12.000000">
      <c r="F545" s="95"/>
      <c r="G545" s="95"/>
      <c r="H545" s="95"/>
      <c r="I545" s="95"/>
      <c r="J545" s="95"/>
      <c r="K545" s="95"/>
      <c r="L545" s="95"/>
    </row>
    <row r="546" spans="6:12" s="90" customFormat="1" ht="12.000000">
      <c r="F546" s="95"/>
      <c r="G546" s="95"/>
      <c r="H546" s="95"/>
      <c r="I546" s="95"/>
      <c r="J546" s="95"/>
      <c r="K546" s="95"/>
      <c r="L546" s="95"/>
    </row>
    <row r="547" spans="6:12" s="90" customFormat="1" ht="12.000000">
      <c r="F547" s="95"/>
      <c r="G547" s="95"/>
      <c r="H547" s="95"/>
      <c r="I547" s="95"/>
      <c r="J547" s="95"/>
      <c r="K547" s="95"/>
      <c r="L547" s="95"/>
    </row>
    <row r="548" spans="6:12" s="90" customFormat="1" ht="12.000000">
      <c r="F548" s="95"/>
      <c r="G548" s="95"/>
      <c r="H548" s="95"/>
      <c r="I548" s="95"/>
      <c r="J548" s="95"/>
      <c r="K548" s="95"/>
      <c r="L548" s="95"/>
    </row>
    <row r="549" spans="6:12" s="90" customFormat="1" ht="12.000000">
      <c r="F549" s="95"/>
      <c r="G549" s="95"/>
      <c r="H549" s="95"/>
      <c r="I549" s="95"/>
      <c r="J549" s="95"/>
      <c r="K549" s="95"/>
      <c r="L549" s="95"/>
    </row>
    <row r="550" spans="6:12" s="90" customFormat="1" ht="12.000000">
      <c r="F550" s="95"/>
      <c r="G550" s="95"/>
      <c r="H550" s="95"/>
      <c r="I550" s="95"/>
      <c r="J550" s="95"/>
      <c r="K550" s="95"/>
      <c r="L550" s="95"/>
    </row>
    <row r="551" spans="6:12" s="90" customFormat="1" ht="12.000000">
      <c r="F551" s="95"/>
      <c r="G551" s="95"/>
      <c r="H551" s="95"/>
      <c r="I551" s="95"/>
      <c r="J551" s="95"/>
      <c r="K551" s="95"/>
      <c r="L551" s="95"/>
    </row>
    <row r="552" spans="6:12" s="90" customFormat="1" ht="12.000000">
      <c r="F552" s="95"/>
      <c r="G552" s="95"/>
      <c r="H552" s="95"/>
      <c r="I552" s="95"/>
      <c r="J552" s="95"/>
      <c r="K552" s="95"/>
      <c r="L552" s="95"/>
    </row>
    <row r="553" spans="6:12" s="90" customFormat="1" ht="12.000000">
      <c r="F553" s="95"/>
      <c r="G553" s="95"/>
      <c r="H553" s="95"/>
      <c r="I553" s="95"/>
      <c r="J553" s="95"/>
      <c r="K553" s="95"/>
      <c r="L553" s="95"/>
    </row>
    <row r="554" spans="6:12" s="90" customFormat="1" ht="12.000000">
      <c r="F554" s="95"/>
      <c r="G554" s="95"/>
      <c r="H554" s="95"/>
      <c r="I554" s="95"/>
      <c r="J554" s="95"/>
      <c r="K554" s="95"/>
      <c r="L554" s="95"/>
    </row>
    <row r="555" spans="6:12" s="90" customFormat="1" ht="12.000000">
      <c r="F555" s="95"/>
      <c r="G555" s="95"/>
      <c r="H555" s="95"/>
      <c r="I555" s="95"/>
      <c r="J555" s="95"/>
      <c r="K555" s="95"/>
      <c r="L555" s="95"/>
    </row>
    <row r="556" spans="6:12" s="90" customFormat="1" ht="12.000000">
      <c r="F556" s="95"/>
      <c r="G556" s="95"/>
      <c r="H556" s="95"/>
      <c r="I556" s="95"/>
      <c r="J556" s="95"/>
      <c r="K556" s="95"/>
      <c r="L556" s="95"/>
    </row>
    <row r="557" spans="6:12" s="90" customFormat="1" ht="12.000000">
      <c r="F557" s="95"/>
      <c r="G557" s="95"/>
      <c r="H557" s="95"/>
      <c r="I557" s="95"/>
      <c r="J557" s="95"/>
      <c r="K557" s="95"/>
      <c r="L557" s="95"/>
    </row>
    <row r="558" spans="6:12" s="90" customFormat="1" ht="12.000000">
      <c r="F558" s="95"/>
      <c r="G558" s="95"/>
      <c r="H558" s="95"/>
      <c r="I558" s="95"/>
      <c r="J558" s="95"/>
      <c r="K558" s="95"/>
      <c r="L558" s="95"/>
    </row>
    <row r="559" spans="6:12" s="90" customFormat="1" ht="12.000000">
      <c r="F559" s="95"/>
      <c r="G559" s="95"/>
      <c r="H559" s="95"/>
      <c r="I559" s="95"/>
      <c r="J559" s="95"/>
      <c r="K559" s="95"/>
      <c r="L559" s="95"/>
    </row>
    <row r="560" spans="6:12" s="90" customFormat="1" ht="12.000000">
      <c r="F560" s="95"/>
      <c r="G560" s="95"/>
      <c r="H560" s="95"/>
      <c r="I560" s="95"/>
      <c r="J560" s="95"/>
      <c r="K560" s="95"/>
      <c r="L560" s="95"/>
    </row>
    <row r="561" spans="6:12" s="90" customFormat="1" ht="12.000000">
      <c r="F561" s="95"/>
      <c r="G561" s="95"/>
      <c r="H561" s="95"/>
      <c r="I561" s="95"/>
      <c r="J561" s="95"/>
      <c r="K561" s="95"/>
      <c r="L561" s="95"/>
    </row>
    <row r="562" spans="6:12" s="90" customFormat="1" ht="12.000000">
      <c r="F562" s="95"/>
      <c r="G562" s="95"/>
      <c r="H562" s="95"/>
      <c r="I562" s="95"/>
      <c r="J562" s="95"/>
      <c r="K562" s="95"/>
      <c r="L562" s="95"/>
    </row>
    <row r="563" spans="6:12" s="90" customFormat="1" ht="12.000000">
      <c r="F563" s="95"/>
      <c r="G563" s="95"/>
      <c r="H563" s="95"/>
      <c r="I563" s="95"/>
      <c r="J563" s="95"/>
      <c r="K563" s="95"/>
      <c r="L563" s="95"/>
    </row>
    <row r="564" spans="6:12" s="90" customFormat="1" ht="12.000000">
      <c r="F564" s="95"/>
      <c r="G564" s="95"/>
      <c r="H564" s="95"/>
      <c r="I564" s="95"/>
      <c r="J564" s="95"/>
      <c r="K564" s="95"/>
      <c r="L564" s="95"/>
    </row>
    <row r="565" spans="6:12" s="90" customFormat="1" ht="12.000000">
      <c r="F565" s="95"/>
      <c r="G565" s="95"/>
      <c r="H565" s="95"/>
      <c r="I565" s="95"/>
      <c r="J565" s="95"/>
      <c r="K565" s="95"/>
      <c r="L565" s="95"/>
    </row>
    <row r="566" spans="6:12" s="90" customFormat="1" ht="12.000000">
      <c r="F566" s="95"/>
      <c r="G566" s="95"/>
      <c r="H566" s="95"/>
      <c r="I566" s="95"/>
      <c r="J566" s="95"/>
      <c r="K566" s="95"/>
      <c r="L566" s="95"/>
    </row>
    <row r="567" spans="6:12" s="90" customFormat="1" ht="12.000000">
      <c r="F567" s="95"/>
      <c r="G567" s="95"/>
      <c r="H567" s="95"/>
      <c r="I567" s="95"/>
      <c r="J567" s="95"/>
      <c r="K567" s="95"/>
      <c r="L567" s="95"/>
    </row>
    <row r="568" spans="6:12" s="90" customFormat="1" ht="12.000000">
      <c r="F568" s="95"/>
      <c r="G568" s="95"/>
      <c r="H568" s="95"/>
      <c r="I568" s="95"/>
      <c r="J568" s="95"/>
      <c r="K568" s="95"/>
      <c r="L568" s="95"/>
    </row>
    <row r="569" spans="6:12" s="90" customFormat="1" ht="12.000000">
      <c r="F569" s="95"/>
      <c r="G569" s="95"/>
      <c r="H569" s="95"/>
      <c r="I569" s="95"/>
      <c r="J569" s="95"/>
      <c r="K569" s="95"/>
      <c r="L569" s="95"/>
    </row>
    <row r="570" spans="6:12" s="90" customFormat="1" ht="12.000000">
      <c r="F570" s="95"/>
      <c r="G570" s="95"/>
      <c r="H570" s="95"/>
      <c r="I570" s="95"/>
      <c r="J570" s="95"/>
      <c r="K570" s="95"/>
      <c r="L570" s="95"/>
    </row>
    <row r="571" spans="6:12" s="90" customFormat="1" ht="12.000000">
      <c r="F571" s="95"/>
      <c r="G571" s="95"/>
      <c r="H571" s="95"/>
      <c r="I571" s="95"/>
      <c r="J571" s="95"/>
      <c r="K571" s="95"/>
      <c r="L571" s="95"/>
    </row>
    <row r="572" spans="6:12" s="90" customFormat="1" ht="12.000000">
      <c r="F572" s="95"/>
      <c r="G572" s="95"/>
      <c r="H572" s="95"/>
      <c r="I572" s="95"/>
      <c r="J572" s="95"/>
      <c r="K572" s="95"/>
      <c r="L572" s="95"/>
    </row>
    <row r="573" spans="6:12" s="90" customFormat="1" ht="12.000000">
      <c r="F573" s="95"/>
      <c r="G573" s="95"/>
      <c r="H573" s="95"/>
      <c r="I573" s="95"/>
      <c r="J573" s="95"/>
      <c r="K573" s="95"/>
      <c r="L573" s="95"/>
    </row>
    <row r="574" spans="6:12" s="90" customFormat="1" ht="12.000000">
      <c r="F574" s="95"/>
      <c r="G574" s="95"/>
      <c r="H574" s="95"/>
      <c r="I574" s="95"/>
      <c r="J574" s="95"/>
      <c r="K574" s="95"/>
      <c r="L574" s="95"/>
    </row>
    <row r="575" spans="6:12" s="90" customFormat="1" ht="12.000000">
      <c r="F575" s="95"/>
      <c r="G575" s="95"/>
      <c r="H575" s="95"/>
      <c r="I575" s="95"/>
      <c r="J575" s="95"/>
      <c r="K575" s="95"/>
      <c r="L575" s="95"/>
    </row>
    <row r="576" spans="6:12" s="90" customFormat="1" ht="12.000000">
      <c r="F576" s="95"/>
      <c r="G576" s="95"/>
      <c r="H576" s="95"/>
      <c r="I576" s="95"/>
      <c r="J576" s="95"/>
      <c r="K576" s="95"/>
      <c r="L576" s="95"/>
    </row>
    <row r="577" spans="6:12" s="90" customFormat="1" ht="12.000000">
      <c r="F577" s="95"/>
      <c r="G577" s="95"/>
      <c r="H577" s="95"/>
      <c r="I577" s="95"/>
      <c r="J577" s="95"/>
      <c r="K577" s="95"/>
      <c r="L577" s="95"/>
    </row>
    <row r="578" spans="6:12" s="90" customFormat="1" ht="12.000000">
      <c r="F578" s="95"/>
      <c r="G578" s="95"/>
      <c r="H578" s="95"/>
      <c r="I578" s="95"/>
      <c r="J578" s="95"/>
      <c r="K578" s="95"/>
      <c r="L578" s="95"/>
    </row>
    <row r="579" spans="6:12" s="90" customFormat="1" ht="12.000000">
      <c r="F579" s="95"/>
      <c r="G579" s="95"/>
      <c r="H579" s="95"/>
      <c r="I579" s="95"/>
      <c r="J579" s="95"/>
      <c r="K579" s="95"/>
      <c r="L579" s="95"/>
    </row>
    <row r="580" spans="6:12" s="90" customFormat="1" ht="12.000000">
      <c r="F580" s="95"/>
      <c r="G580" s="95"/>
      <c r="H580" s="95"/>
      <c r="I580" s="95"/>
      <c r="J580" s="95"/>
      <c r="K580" s="95"/>
      <c r="L580" s="95"/>
    </row>
    <row r="581" spans="6:12" s="90" customFormat="1" ht="12.000000">
      <c r="F581" s="95"/>
      <c r="G581" s="95"/>
      <c r="H581" s="95"/>
      <c r="I581" s="95"/>
      <c r="J581" s="95"/>
      <c r="K581" s="95"/>
      <c r="L581" s="95"/>
    </row>
    <row r="582" spans="6:12" s="90" customFormat="1" ht="12.000000">
      <c r="F582" s="95"/>
      <c r="G582" s="95"/>
      <c r="H582" s="95"/>
      <c r="I582" s="95"/>
      <c r="J582" s="95"/>
      <c r="K582" s="95"/>
      <c r="L582" s="95"/>
    </row>
    <row r="583" spans="6:12" s="90" customFormat="1" ht="12.000000">
      <c r="F583" s="95"/>
      <c r="G583" s="95"/>
      <c r="H583" s="95"/>
      <c r="I583" s="95"/>
      <c r="J583" s="95"/>
      <c r="K583" s="95"/>
      <c r="L583" s="95"/>
    </row>
    <row r="584" spans="6:12" s="90" customFormat="1" ht="12.000000">
      <c r="F584" s="95"/>
      <c r="G584" s="95"/>
      <c r="H584" s="95"/>
      <c r="I584" s="95"/>
      <c r="J584" s="95"/>
      <c r="K584" s="95"/>
      <c r="L584" s="95"/>
    </row>
    <row r="585" spans="6:12" s="90" customFormat="1" ht="12.000000">
      <c r="F585" s="95"/>
      <c r="G585" s="95"/>
      <c r="H585" s="95"/>
      <c r="I585" s="95"/>
      <c r="J585" s="95"/>
      <c r="K585" s="95"/>
      <c r="L585" s="95"/>
    </row>
    <row r="586" spans="6:12" s="90" customFormat="1" ht="12.000000">
      <c r="F586" s="95"/>
      <c r="G586" s="95"/>
      <c r="H586" s="95"/>
      <c r="I586" s="95"/>
      <c r="J586" s="95"/>
      <c r="K586" s="95"/>
      <c r="L586" s="95"/>
    </row>
    <row r="587" spans="6:12" s="90" customFormat="1" ht="12.000000">
      <c r="F587" s="95"/>
      <c r="G587" s="95"/>
      <c r="H587" s="95"/>
      <c r="I587" s="95"/>
      <c r="J587" s="95"/>
      <c r="K587" s="95"/>
      <c r="L587" s="95"/>
    </row>
    <row r="588" spans="6:12" s="90" customFormat="1" ht="12.000000">
      <c r="F588" s="95"/>
      <c r="G588" s="95"/>
      <c r="H588" s="95"/>
      <c r="I588" s="95"/>
      <c r="J588" s="95"/>
      <c r="K588" s="95"/>
      <c r="L588" s="95"/>
    </row>
    <row r="589" spans="6:12" s="90" customFormat="1" ht="12.000000">
      <c r="F589" s="95"/>
      <c r="G589" s="95"/>
      <c r="H589" s="95"/>
      <c r="I589" s="95"/>
      <c r="J589" s="95"/>
      <c r="K589" s="95"/>
      <c r="L589" s="95"/>
    </row>
    <row r="590" spans="6:12" s="90" customFormat="1" ht="12.000000">
      <c r="F590" s="95"/>
      <c r="G590" s="95"/>
      <c r="H590" s="95"/>
      <c r="I590" s="95"/>
      <c r="J590" s="95"/>
      <c r="K590" s="95"/>
      <c r="L590" s="95"/>
    </row>
    <row r="591" spans="6:12" s="90" customFormat="1" ht="12.000000">
      <c r="F591" s="95"/>
      <c r="G591" s="95"/>
      <c r="H591" s="95"/>
      <c r="I591" s="95"/>
      <c r="J591" s="95"/>
      <c r="K591" s="95"/>
      <c r="L591" s="95"/>
    </row>
    <row r="592" spans="6:12" s="90" customFormat="1" ht="12.000000">
      <c r="F592" s="95"/>
      <c r="G592" s="95"/>
      <c r="H592" s="95"/>
      <c r="I592" s="95"/>
      <c r="J592" s="95"/>
      <c r="K592" s="95"/>
      <c r="L592" s="95"/>
    </row>
    <row r="593" spans="6:12" s="90" customFormat="1" ht="12.000000">
      <c r="F593" s="95"/>
      <c r="G593" s="95"/>
      <c r="H593" s="95"/>
      <c r="I593" s="95"/>
      <c r="J593" s="95"/>
      <c r="K593" s="95"/>
      <c r="L593" s="95"/>
    </row>
    <row r="594" spans="6:12" s="90" customFormat="1" ht="12.000000">
      <c r="F594" s="95"/>
      <c r="G594" s="95"/>
      <c r="H594" s="95"/>
      <c r="I594" s="95"/>
      <c r="J594" s="95"/>
      <c r="K594" s="95"/>
      <c r="L594" s="95"/>
    </row>
    <row r="595" spans="6:12" s="90" customFormat="1" ht="12.000000">
      <c r="F595" s="95"/>
      <c r="G595" s="95"/>
      <c r="H595" s="95"/>
      <c r="I595" s="95"/>
      <c r="J595" s="95"/>
      <c r="K595" s="95"/>
      <c r="L595" s="95"/>
    </row>
    <row r="596" spans="6:12" s="90" customFormat="1" ht="12.000000">
      <c r="F596" s="95"/>
      <c r="G596" s="95"/>
      <c r="H596" s="95"/>
      <c r="I596" s="95"/>
      <c r="J596" s="95"/>
      <c r="K596" s="95"/>
      <c r="L596" s="95"/>
    </row>
    <row r="597" spans="6:12" s="90" customFormat="1" ht="12.000000">
      <c r="F597" s="95"/>
      <c r="G597" s="95"/>
      <c r="H597" s="95"/>
      <c r="I597" s="95"/>
      <c r="J597" s="95"/>
      <c r="K597" s="95"/>
      <c r="L597" s="95"/>
    </row>
    <row r="598" spans="6:12" s="90" customFormat="1" ht="12.000000">
      <c r="F598" s="95"/>
      <c r="G598" s="95"/>
      <c r="H598" s="95"/>
      <c r="I598" s="95"/>
      <c r="J598" s="95"/>
      <c r="K598" s="95"/>
      <c r="L598" s="95"/>
    </row>
    <row r="599" spans="6:12" s="90" customFormat="1" ht="12.000000">
      <c r="F599" s="95"/>
      <c r="G599" s="95"/>
      <c r="H599" s="95"/>
      <c r="I599" s="95"/>
      <c r="J599" s="95"/>
      <c r="K599" s="95"/>
      <c r="L599" s="95"/>
    </row>
    <row r="600" spans="6:12" s="90" customFormat="1" ht="12.000000">
      <c r="F600" s="95"/>
      <c r="G600" s="95"/>
      <c r="H600" s="95"/>
      <c r="I600" s="95"/>
      <c r="J600" s="95"/>
      <c r="K600" s="95"/>
      <c r="L600" s="95"/>
    </row>
    <row r="601" spans="6:12" s="90" customFormat="1" ht="12.000000">
      <c r="F601" s="95"/>
      <c r="G601" s="95"/>
      <c r="H601" s="95"/>
      <c r="I601" s="95"/>
      <c r="J601" s="95"/>
      <c r="K601" s="95"/>
      <c r="L601" s="95"/>
    </row>
    <row r="602" spans="6:12" s="90" customFormat="1" ht="12.000000">
      <c r="F602" s="95"/>
      <c r="G602" s="95"/>
      <c r="H602" s="95"/>
      <c r="I602" s="95"/>
      <c r="J602" s="95"/>
      <c r="K602" s="95"/>
      <c r="L602" s="95"/>
    </row>
    <row r="603" spans="6:12" s="90" customFormat="1" ht="12.000000">
      <c r="F603" s="95"/>
      <c r="G603" s="95"/>
      <c r="H603" s="95"/>
      <c r="I603" s="95"/>
      <c r="J603" s="95"/>
      <c r="K603" s="95"/>
      <c r="L603" s="95"/>
    </row>
    <row r="604" spans="6:12" s="90" customFormat="1" ht="12.000000">
      <c r="F604" s="95"/>
      <c r="G604" s="95"/>
      <c r="H604" s="95"/>
      <c r="I604" s="95"/>
      <c r="J604" s="95"/>
      <c r="K604" s="95"/>
      <c r="L604" s="95"/>
    </row>
    <row r="605" spans="6:12" s="90" customFormat="1" ht="12.000000">
      <c r="F605" s="95"/>
      <c r="G605" s="95"/>
      <c r="H605" s="95"/>
      <c r="I605" s="95"/>
      <c r="J605" s="95"/>
      <c r="K605" s="95"/>
      <c r="L605" s="95"/>
    </row>
    <row r="606" spans="6:12" s="90" customFormat="1" ht="12.000000">
      <c r="F606" s="95"/>
      <c r="G606" s="95"/>
      <c r="H606" s="95"/>
      <c r="I606" s="95"/>
      <c r="J606" s="95"/>
      <c r="K606" s="95"/>
      <c r="L606" s="95"/>
    </row>
    <row r="607" spans="6:12" s="90" customFormat="1" ht="12.000000">
      <c r="F607" s="95"/>
      <c r="G607" s="95"/>
      <c r="H607" s="95"/>
      <c r="I607" s="95"/>
      <c r="J607" s="95"/>
      <c r="K607" s="95"/>
      <c r="L607" s="95"/>
    </row>
    <row r="608" spans="6:12" s="90" customFormat="1" ht="12.000000">
      <c r="F608" s="95"/>
      <c r="G608" s="95"/>
      <c r="H608" s="95"/>
      <c r="I608" s="95"/>
      <c r="J608" s="95"/>
      <c r="K608" s="95"/>
      <c r="L608" s="95"/>
    </row>
    <row r="609" spans="6:12" s="90" customFormat="1" ht="12.000000">
      <c r="F609" s="95"/>
      <c r="G609" s="95"/>
      <c r="H609" s="95"/>
      <c r="I609" s="95"/>
      <c r="J609" s="95"/>
      <c r="K609" s="95"/>
      <c r="L609" s="95"/>
    </row>
    <row r="610" spans="6:12" s="90" customFormat="1" ht="12.000000">
      <c r="F610" s="95"/>
      <c r="G610" s="95"/>
      <c r="H610" s="95"/>
      <c r="I610" s="95"/>
      <c r="J610" s="95"/>
      <c r="K610" s="95"/>
      <c r="L610" s="95"/>
    </row>
    <row r="611" spans="6:12" s="90" customFormat="1" ht="12.000000">
      <c r="F611" s="95"/>
      <c r="G611" s="95"/>
      <c r="H611" s="95"/>
      <c r="I611" s="95"/>
      <c r="J611" s="95"/>
      <c r="K611" s="95"/>
      <c r="L611" s="95"/>
    </row>
    <row r="612" spans="6:12" s="90" customFormat="1" ht="12.000000">
      <c r="F612" s="95"/>
      <c r="G612" s="95"/>
      <c r="H612" s="95"/>
      <c r="I612" s="95"/>
      <c r="J612" s="95"/>
      <c r="K612" s="95"/>
      <c r="L612" s="95"/>
    </row>
    <row r="613" spans="6:12" s="90" customFormat="1" ht="12.000000">
      <c r="F613" s="95"/>
      <c r="G613" s="95"/>
      <c r="H613" s="95"/>
      <c r="I613" s="95"/>
      <c r="J613" s="95"/>
      <c r="K613" s="95"/>
      <c r="L613" s="95"/>
    </row>
    <row r="614" spans="6:12" s="90" customFormat="1" ht="12.000000">
      <c r="F614" s="95"/>
      <c r="G614" s="95"/>
      <c r="H614" s="95"/>
      <c r="I614" s="95"/>
      <c r="J614" s="95"/>
      <c r="K614" s="95"/>
      <c r="L614" s="95"/>
    </row>
    <row r="615" spans="6:12" s="90" customFormat="1" ht="12.000000">
      <c r="F615" s="95"/>
      <c r="G615" s="95"/>
      <c r="H615" s="95"/>
      <c r="I615" s="95"/>
      <c r="J615" s="95"/>
      <c r="K615" s="95"/>
      <c r="L615" s="95"/>
    </row>
    <row r="616" spans="6:12" s="90" customFormat="1" ht="12.000000">
      <c r="F616" s="95"/>
      <c r="G616" s="95"/>
      <c r="H616" s="95"/>
      <c r="I616" s="95"/>
      <c r="J616" s="95"/>
      <c r="K616" s="95"/>
      <c r="L616" s="95"/>
    </row>
    <row r="617" spans="6:12" s="90" customFormat="1" ht="12.000000">
      <c r="F617" s="95"/>
      <c r="G617" s="95"/>
      <c r="H617" s="95"/>
      <c r="I617" s="95"/>
      <c r="J617" s="95"/>
      <c r="K617" s="95"/>
      <c r="L617" s="95"/>
    </row>
    <row r="618" spans="6:12" s="90" customFormat="1" ht="12.000000">
      <c r="F618" s="95"/>
      <c r="G618" s="95"/>
      <c r="H618" s="95"/>
      <c r="I618" s="95"/>
      <c r="J618" s="95"/>
      <c r="K618" s="95"/>
      <c r="L618" s="95"/>
    </row>
    <row r="619" spans="6:12" s="90" customFormat="1" ht="12.000000">
      <c r="F619" s="95"/>
      <c r="G619" s="95"/>
      <c r="H619" s="95"/>
      <c r="I619" s="95"/>
      <c r="J619" s="95"/>
      <c r="K619" s="95"/>
      <c r="L619" s="95"/>
    </row>
    <row r="620" spans="6:12" s="90" customFormat="1" ht="12.000000">
      <c r="F620" s="95"/>
      <c r="G620" s="95"/>
      <c r="H620" s="95"/>
      <c r="I620" s="95"/>
      <c r="J620" s="95"/>
      <c r="K620" s="95"/>
      <c r="L620" s="95"/>
    </row>
    <row r="621" spans="6:12" s="90" customFormat="1" ht="12.000000">
      <c r="F621" s="95"/>
      <c r="G621" s="95"/>
      <c r="H621" s="95"/>
      <c r="I621" s="95"/>
      <c r="J621" s="95"/>
      <c r="K621" s="95"/>
      <c r="L621" s="95"/>
    </row>
    <row r="622" spans="6:12" s="90" customFormat="1" ht="12.000000">
      <c r="F622" s="95"/>
      <c r="G622" s="95"/>
      <c r="H622" s="95"/>
      <c r="I622" s="95"/>
      <c r="J622" s="95"/>
      <c r="K622" s="95"/>
      <c r="L622" s="95"/>
    </row>
    <row r="623" spans="6:12" s="90" customFormat="1" ht="12.000000">
      <c r="F623" s="95"/>
      <c r="G623" s="95"/>
      <c r="H623" s="95"/>
      <c r="I623" s="95"/>
      <c r="J623" s="95"/>
      <c r="K623" s="95"/>
      <c r="L623" s="95"/>
    </row>
    <row r="624" spans="6:12" s="90" customFormat="1" ht="12.000000">
      <c r="F624" s="95"/>
      <c r="G624" s="95"/>
      <c r="H624" s="95"/>
      <c r="I624" s="95"/>
      <c r="J624" s="95"/>
      <c r="K624" s="95"/>
      <c r="L624" s="95"/>
    </row>
    <row r="625" spans="6:12" s="90" customFormat="1" ht="12.000000">
      <c r="F625" s="95"/>
      <c r="G625" s="95"/>
      <c r="H625" s="95"/>
      <c r="I625" s="95"/>
      <c r="J625" s="95"/>
      <c r="K625" s="95"/>
      <c r="L625" s="95"/>
    </row>
    <row r="626" spans="6:12" s="90" customFormat="1" ht="12.000000">
      <c r="F626" s="95"/>
      <c r="G626" s="95"/>
      <c r="H626" s="95"/>
      <c r="I626" s="95"/>
      <c r="J626" s="95"/>
      <c r="K626" s="95"/>
      <c r="L626" s="95"/>
    </row>
    <row r="627" spans="6:12" s="90" customFormat="1" ht="12.000000">
      <c r="F627" s="95"/>
      <c r="G627" s="95"/>
      <c r="H627" s="95"/>
      <c r="I627" s="95"/>
      <c r="J627" s="95"/>
      <c r="K627" s="95"/>
      <c r="L627" s="95"/>
    </row>
    <row r="628" spans="6:12" s="90" customFormat="1" ht="12.000000">
      <c r="F628" s="95"/>
      <c r="G628" s="95"/>
      <c r="H628" s="95"/>
      <c r="I628" s="95"/>
      <c r="J628" s="95"/>
      <c r="K628" s="95"/>
      <c r="L628" s="95"/>
    </row>
    <row r="629" spans="6:12" s="90" customFormat="1" ht="12.000000">
      <c r="F629" s="95"/>
      <c r="G629" s="95"/>
      <c r="H629" s="95"/>
      <c r="I629" s="95"/>
      <c r="J629" s="95"/>
      <c r="K629" s="95"/>
      <c r="L629" s="95"/>
    </row>
    <row r="630" spans="6:12" s="90" customFormat="1" ht="12.000000">
      <c r="F630" s="95"/>
      <c r="G630" s="95"/>
      <c r="H630" s="95"/>
      <c r="I630" s="95"/>
      <c r="J630" s="95"/>
      <c r="K630" s="95"/>
      <c r="L630" s="95"/>
    </row>
    <row r="631" spans="6:12" s="90" customFormat="1" ht="12.000000">
      <c r="F631" s="95"/>
      <c r="G631" s="95"/>
      <c r="H631" s="95"/>
      <c r="I631" s="95"/>
      <c r="J631" s="95"/>
      <c r="K631" s="95"/>
      <c r="L631" s="95"/>
    </row>
    <row r="632" spans="6:12" s="90" customFormat="1" ht="12.000000">
      <c r="F632" s="95"/>
      <c r="G632" s="95"/>
      <c r="H632" s="95"/>
      <c r="I632" s="95"/>
      <c r="J632" s="95"/>
      <c r="K632" s="95"/>
      <c r="L632" s="95"/>
    </row>
    <row r="633" spans="6:12" s="90" customFormat="1" ht="12.000000">
      <c r="F633" s="95"/>
      <c r="G633" s="95"/>
      <c r="H633" s="95"/>
      <c r="I633" s="95"/>
      <c r="J633" s="95"/>
      <c r="K633" s="95"/>
      <c r="L633" s="95"/>
    </row>
    <row r="634" spans="6:12" s="90" customFormat="1" ht="12.000000">
      <c r="F634" s="95"/>
      <c r="G634" s="95"/>
      <c r="H634" s="95"/>
      <c r="I634" s="95"/>
      <c r="J634" s="95"/>
      <c r="K634" s="95"/>
      <c r="L634" s="95"/>
    </row>
    <row r="635" spans="6:12" s="90" customFormat="1" ht="12.000000">
      <c r="F635" s="95"/>
      <c r="G635" s="95"/>
      <c r="H635" s="95"/>
      <c r="I635" s="95"/>
      <c r="J635" s="95"/>
      <c r="K635" s="95"/>
      <c r="L635" s="95"/>
    </row>
    <row r="636" spans="6:12" s="90" customFormat="1" ht="12.000000">
      <c r="F636" s="95"/>
      <c r="G636" s="95"/>
      <c r="H636" s="95"/>
      <c r="I636" s="95"/>
      <c r="J636" s="95"/>
      <c r="K636" s="95"/>
      <c r="L636" s="95"/>
    </row>
    <row r="637" spans="6:12" s="90" customFormat="1" ht="12.000000">
      <c r="F637" s="95"/>
      <c r="G637" s="95"/>
      <c r="H637" s="95"/>
      <c r="I637" s="95"/>
      <c r="J637" s="95"/>
      <c r="K637" s="95"/>
      <c r="L637" s="95"/>
    </row>
    <row r="638" spans="6:12" s="90" customFormat="1" ht="12.000000">
      <c r="F638" s="95"/>
      <c r="G638" s="95"/>
      <c r="H638" s="95"/>
      <c r="I638" s="95"/>
      <c r="J638" s="95"/>
      <c r="K638" s="95"/>
      <c r="L638" s="95"/>
    </row>
    <row r="639" spans="6:12" s="90" customFormat="1" ht="12.000000">
      <c r="F639" s="95"/>
      <c r="G639" s="95"/>
      <c r="H639" s="95"/>
      <c r="I639" s="95"/>
      <c r="J639" s="95"/>
      <c r="K639" s="95"/>
      <c r="L639" s="95"/>
    </row>
    <row r="640" spans="6:12" s="90" customFormat="1" ht="12.000000">
      <c r="F640" s="95"/>
      <c r="G640" s="95"/>
      <c r="H640" s="95"/>
      <c r="I640" s="95"/>
      <c r="J640" s="95"/>
      <c r="K640" s="95"/>
      <c r="L640" s="95"/>
    </row>
    <row r="641" spans="6:12" s="90" customFormat="1" ht="12.000000">
      <c r="F641" s="95"/>
      <c r="G641" s="95"/>
      <c r="H641" s="95"/>
      <c r="I641" s="95"/>
      <c r="J641" s="95"/>
      <c r="K641" s="95"/>
      <c r="L641" s="95"/>
    </row>
    <row r="642" spans="6:12" s="90" customFormat="1" ht="12.000000">
      <c r="F642" s="95"/>
      <c r="G642" s="95"/>
      <c r="H642" s="95"/>
      <c r="I642" s="95"/>
      <c r="J642" s="95"/>
      <c r="K642" s="95"/>
      <c r="L642" s="95"/>
    </row>
    <row r="643" spans="6:12" s="90" customFormat="1" ht="12.000000">
      <c r="F643" s="95"/>
      <c r="G643" s="95"/>
      <c r="H643" s="95"/>
      <c r="I643" s="95"/>
      <c r="J643" s="95"/>
      <c r="K643" s="95"/>
      <c r="L643" s="95"/>
    </row>
    <row r="644" spans="6:12" s="90" customFormat="1" ht="12.000000">
      <c r="F644" s="95"/>
      <c r="G644" s="95"/>
      <c r="H644" s="95"/>
      <c r="I644" s="95"/>
      <c r="J644" s="95"/>
      <c r="K644" s="95"/>
      <c r="L644" s="95"/>
    </row>
    <row r="645" spans="6:12" s="90" customFormat="1" ht="12.000000">
      <c r="F645" s="95"/>
      <c r="G645" s="95"/>
      <c r="H645" s="95"/>
      <c r="I645" s="95"/>
      <c r="J645" s="95"/>
      <c r="K645" s="95"/>
      <c r="L645" s="95"/>
    </row>
    <row r="646" spans="6:12" s="90" customFormat="1" ht="12.000000">
      <c r="F646" s="95"/>
      <c r="G646" s="95"/>
      <c r="H646" s="95"/>
      <c r="I646" s="95"/>
      <c r="J646" s="95"/>
      <c r="K646" s="95"/>
      <c r="L646" s="95"/>
    </row>
    <row r="647" spans="6:12" s="90" customFormat="1" ht="12.000000">
      <c r="F647" s="95"/>
      <c r="G647" s="95"/>
      <c r="H647" s="95"/>
      <c r="I647" s="95"/>
      <c r="J647" s="95"/>
      <c r="K647" s="95"/>
      <c r="L647" s="95"/>
    </row>
    <row r="648" spans="6:12" s="90" customFormat="1" ht="12.000000">
      <c r="F648" s="95"/>
      <c r="G648" s="95"/>
      <c r="H648" s="95"/>
      <c r="I648" s="95"/>
      <c r="J648" s="95"/>
      <c r="K648" s="95"/>
      <c r="L648" s="95"/>
    </row>
    <row r="649" spans="6:12" s="90" customFormat="1" ht="12.000000">
      <c r="F649" s="95"/>
      <c r="G649" s="95"/>
      <c r="H649" s="95"/>
      <c r="I649" s="95"/>
      <c r="J649" s="95"/>
      <c r="K649" s="95"/>
      <c r="L649" s="95"/>
    </row>
    <row r="650" spans="6:12" s="90" customFormat="1" ht="12.000000">
      <c r="F650" s="95"/>
      <c r="G650" s="95"/>
      <c r="H650" s="95"/>
      <c r="I650" s="95"/>
      <c r="J650" s="95"/>
      <c r="K650" s="95"/>
      <c r="L650" s="95"/>
    </row>
    <row r="651" spans="6:12" s="90" customFormat="1" ht="12.000000">
      <c r="F651" s="95"/>
      <c r="G651" s="95"/>
      <c r="H651" s="95"/>
      <c r="I651" s="95"/>
      <c r="J651" s="95"/>
      <c r="K651" s="95"/>
      <c r="L651" s="95"/>
    </row>
    <row r="652" spans="6:12" s="90" customFormat="1" ht="12.000000">
      <c r="F652" s="95"/>
      <c r="G652" s="95"/>
      <c r="H652" s="95"/>
      <c r="I652" s="95"/>
      <c r="J652" s="95"/>
      <c r="K652" s="95"/>
      <c r="L652" s="95"/>
    </row>
    <row r="653" spans="6:12" s="90" customFormat="1" ht="12.000000">
      <c r="F653" s="95"/>
      <c r="G653" s="95"/>
      <c r="H653" s="95"/>
      <c r="I653" s="95"/>
      <c r="J653" s="95"/>
      <c r="K653" s="95"/>
      <c r="L653" s="95"/>
    </row>
    <row r="654" spans="6:12" s="90" customFormat="1" ht="12.000000">
      <c r="F654" s="95"/>
      <c r="G654" s="95"/>
      <c r="H654" s="95"/>
      <c r="I654" s="95"/>
      <c r="J654" s="95"/>
      <c r="K654" s="95"/>
      <c r="L654" s="95"/>
    </row>
    <row r="655" spans="6:12" s="90" customFormat="1" ht="12.000000">
      <c r="F655" s="95"/>
      <c r="G655" s="95"/>
      <c r="H655" s="95"/>
      <c r="I655" s="95"/>
      <c r="J655" s="95"/>
      <c r="K655" s="95"/>
      <c r="L655" s="95"/>
    </row>
    <row r="656" spans="6:12" s="90" customFormat="1" ht="12.000000">
      <c r="F656" s="95"/>
      <c r="G656" s="95"/>
      <c r="H656" s="95"/>
      <c r="I656" s="95"/>
      <c r="J656" s="95"/>
      <c r="K656" s="95"/>
      <c r="L656" s="95"/>
    </row>
    <row r="657" spans="6:12" s="90" customFormat="1" ht="12.000000">
      <c r="F657" s="95"/>
      <c r="G657" s="95"/>
      <c r="H657" s="95"/>
      <c r="I657" s="95"/>
      <c r="J657" s="95"/>
      <c r="K657" s="95"/>
      <c r="L657" s="95"/>
    </row>
    <row r="658" spans="6:12" s="90" customFormat="1" ht="12.000000">
      <c r="F658" s="95"/>
      <c r="G658" s="95"/>
      <c r="H658" s="95"/>
      <c r="I658" s="95"/>
      <c r="J658" s="95"/>
      <c r="K658" s="95"/>
      <c r="L658" s="95"/>
    </row>
    <row r="659" spans="6:12" s="90" customFormat="1" ht="12.000000">
      <c r="F659" s="95"/>
      <c r="G659" s="95"/>
      <c r="H659" s="95"/>
      <c r="I659" s="95"/>
      <c r="J659" s="95"/>
      <c r="K659" s="95"/>
      <c r="L659" s="95"/>
    </row>
    <row r="660" spans="6:12" s="90" customFormat="1" ht="12.000000">
      <c r="F660" s="95"/>
      <c r="G660" s="95"/>
      <c r="H660" s="95"/>
      <c r="I660" s="95"/>
      <c r="J660" s="95"/>
      <c r="K660" s="95"/>
      <c r="L660" s="95"/>
    </row>
    <row r="661" spans="6:12" s="90" customFormat="1" ht="12.000000">
      <c r="F661" s="95"/>
      <c r="G661" s="95"/>
      <c r="H661" s="95"/>
      <c r="I661" s="95"/>
      <c r="J661" s="95"/>
      <c r="K661" s="95"/>
      <c r="L661" s="95"/>
    </row>
    <row r="662" spans="6:12" s="90" customFormat="1" ht="12.000000">
      <c r="F662" s="95"/>
      <c r="G662" s="95"/>
      <c r="H662" s="95"/>
      <c r="I662" s="95"/>
      <c r="J662" s="95"/>
      <c r="K662" s="95"/>
      <c r="L662" s="95"/>
    </row>
    <row r="663" spans="6:12" s="90" customFormat="1" ht="12.000000">
      <c r="F663" s="95"/>
      <c r="G663" s="95"/>
      <c r="H663" s="95"/>
      <c r="I663" s="95"/>
      <c r="J663" s="95"/>
      <c r="K663" s="95"/>
      <c r="L663" s="95"/>
    </row>
    <row r="664" spans="6:12" s="90" customFormat="1" ht="12.000000">
      <c r="F664" s="95"/>
      <c r="G664" s="95"/>
      <c r="H664" s="95"/>
      <c r="I664" s="95"/>
      <c r="J664" s="95"/>
      <c r="K664" s="95"/>
      <c r="L664" s="95"/>
    </row>
    <row r="665" spans="6:12" s="90" customFormat="1" ht="12.000000">
      <c r="F665" s="95"/>
      <c r="G665" s="95"/>
      <c r="H665" s="95"/>
      <c r="I665" s="95"/>
      <c r="J665" s="95"/>
      <c r="K665" s="95"/>
      <c r="L665" s="95"/>
    </row>
    <row r="666" spans="6:12" s="90" customFormat="1" ht="12.000000">
      <c r="F666" s="95"/>
      <c r="G666" s="95"/>
      <c r="H666" s="95"/>
      <c r="I666" s="95"/>
      <c r="J666" s="95"/>
      <c r="K666" s="95"/>
      <c r="L666" s="95"/>
    </row>
    <row r="667" spans="6:12" s="90" customFormat="1" ht="12.000000">
      <c r="F667" s="95"/>
      <c r="G667" s="95"/>
      <c r="H667" s="95"/>
      <c r="I667" s="95"/>
      <c r="J667" s="95"/>
      <c r="K667" s="95"/>
      <c r="L667" s="95"/>
    </row>
    <row r="668" spans="6:12" s="90" customFormat="1" ht="12.000000">
      <c r="F668" s="95"/>
      <c r="G668" s="95"/>
      <c r="H668" s="95"/>
      <c r="I668" s="95"/>
      <c r="J668" s="95"/>
      <c r="K668" s="95"/>
      <c r="L668" s="95"/>
    </row>
    <row r="669" spans="6:12" s="90" customFormat="1" ht="12.000000">
      <c r="F669" s="95"/>
      <c r="G669" s="95"/>
      <c r="H669" s="95"/>
      <c r="I669" s="95"/>
      <c r="J669" s="95"/>
      <c r="K669" s="95"/>
      <c r="L669" s="95"/>
    </row>
    <row r="670" spans="6:12" s="90" customFormat="1" ht="12.000000">
      <c r="F670" s="95"/>
      <c r="G670" s="95"/>
      <c r="H670" s="95"/>
      <c r="I670" s="95"/>
      <c r="J670" s="95"/>
      <c r="K670" s="95"/>
      <c r="L670" s="95"/>
    </row>
    <row r="671" spans="6:12" s="90" customFormat="1" ht="12.000000">
      <c r="F671" s="95"/>
      <c r="G671" s="95"/>
      <c r="H671" s="95"/>
      <c r="I671" s="95"/>
      <c r="J671" s="95"/>
      <c r="K671" s="95"/>
      <c r="L671" s="95"/>
    </row>
    <row r="672" spans="6:12" s="90" customFormat="1" ht="12.000000">
      <c r="F672" s="95"/>
      <c r="G672" s="95"/>
      <c r="H672" s="95"/>
      <c r="I672" s="95"/>
      <c r="J672" s="95"/>
      <c r="K672" s="95"/>
      <c r="L672" s="95"/>
    </row>
    <row r="673" spans="6:12" s="90" customFormat="1" ht="12.000000">
      <c r="F673" s="95"/>
      <c r="G673" s="95"/>
      <c r="H673" s="95"/>
      <c r="I673" s="95"/>
      <c r="J673" s="95"/>
      <c r="K673" s="95"/>
      <c r="L673" s="95"/>
    </row>
    <row r="674" spans="6:12" s="90" customFormat="1" ht="12.000000">
      <c r="F674" s="95"/>
      <c r="G674" s="95"/>
      <c r="H674" s="95"/>
      <c r="I674" s="95"/>
      <c r="J674" s="95"/>
      <c r="K674" s="95"/>
      <c r="L674" s="95"/>
    </row>
    <row r="675" spans="6:12" s="90" customFormat="1" ht="12.000000">
      <c r="F675" s="95"/>
      <c r="G675" s="95"/>
      <c r="H675" s="95"/>
      <c r="I675" s="95"/>
      <c r="J675" s="95"/>
      <c r="K675" s="95"/>
      <c r="L675" s="95"/>
    </row>
    <row r="676" spans="6:12" s="90" customFormat="1" ht="12.000000">
      <c r="F676" s="95"/>
      <c r="G676" s="95"/>
      <c r="H676" s="95"/>
      <c r="I676" s="95"/>
      <c r="J676" s="95"/>
      <c r="K676" s="95"/>
      <c r="L676" s="95"/>
    </row>
    <row r="677" spans="6:12" s="90" customFormat="1" ht="12.000000">
      <c r="F677" s="95"/>
      <c r="G677" s="95"/>
      <c r="H677" s="95"/>
      <c r="I677" s="95"/>
      <c r="J677" s="95"/>
      <c r="K677" s="95"/>
      <c r="L677" s="95"/>
    </row>
    <row r="678" spans="6:12" s="90" customFormat="1" ht="12.000000">
      <c r="F678" s="95"/>
      <c r="G678" s="95"/>
      <c r="H678" s="95"/>
      <c r="I678" s="95"/>
      <c r="J678" s="95"/>
      <c r="K678" s="95"/>
      <c r="L678" s="95"/>
    </row>
    <row r="679" spans="6:12" s="90" customFormat="1" ht="12.000000">
      <c r="F679" s="95"/>
      <c r="G679" s="95"/>
      <c r="H679" s="95"/>
      <c r="I679" s="95"/>
      <c r="J679" s="95"/>
      <c r="K679" s="95"/>
      <c r="L679" s="95"/>
    </row>
    <row r="680" spans="6:12" s="90" customFormat="1" ht="12.000000">
      <c r="F680" s="95"/>
      <c r="G680" s="95"/>
      <c r="H680" s="95"/>
      <c r="I680" s="95"/>
      <c r="J680" s="95"/>
      <c r="K680" s="95"/>
      <c r="L680" s="95"/>
    </row>
    <row r="681" spans="6:12" s="90" customFormat="1" ht="12.000000">
      <c r="F681" s="95"/>
      <c r="G681" s="95"/>
      <c r="H681" s="95"/>
      <c r="I681" s="95"/>
      <c r="J681" s="95"/>
      <c r="K681" s="95"/>
      <c r="L681" s="95"/>
    </row>
    <row r="682" spans="6:12" s="90" customFormat="1" ht="12.000000">
      <c r="F682" s="95"/>
      <c r="G682" s="95"/>
      <c r="H682" s="95"/>
      <c r="I682" s="95"/>
      <c r="J682" s="95"/>
      <c r="K682" s="95"/>
      <c r="L682" s="95"/>
    </row>
    <row r="683" spans="6:12" s="90" customFormat="1" ht="12.000000">
      <c r="F683" s="95"/>
      <c r="G683" s="95"/>
      <c r="H683" s="95"/>
      <c r="I683" s="95"/>
      <c r="J683" s="95"/>
      <c r="K683" s="95"/>
      <c r="L683" s="95"/>
    </row>
    <row r="684" spans="6:12" s="90" customFormat="1" ht="12.000000">
      <c r="F684" s="95"/>
      <c r="G684" s="95"/>
      <c r="H684" s="95"/>
      <c r="I684" s="95"/>
      <c r="J684" s="95"/>
      <c r="K684" s="95"/>
      <c r="L684" s="95"/>
    </row>
    <row r="685" spans="6:12" s="90" customFormat="1" ht="12.000000">
      <c r="F685" s="95"/>
      <c r="G685" s="95"/>
      <c r="H685" s="95"/>
      <c r="I685" s="95"/>
      <c r="J685" s="95"/>
      <c r="K685" s="95"/>
      <c r="L685" s="95"/>
    </row>
    <row r="686" spans="6:12" s="90" customFormat="1" ht="12.000000">
      <c r="F686" s="95"/>
      <c r="G686" s="95"/>
      <c r="H686" s="95"/>
      <c r="I686" s="95"/>
      <c r="J686" s="95"/>
      <c r="K686" s="95"/>
      <c r="L686" s="95"/>
    </row>
    <row r="687" spans="6:12" s="90" customFormat="1" ht="12.000000">
      <c r="F687" s="95"/>
      <c r="G687" s="95"/>
      <c r="H687" s="95"/>
      <c r="I687" s="95"/>
      <c r="J687" s="95"/>
      <c r="K687" s="95"/>
      <c r="L687" s="95"/>
    </row>
    <row r="688" spans="6:12" s="90" customFormat="1" ht="12.000000">
      <c r="F688" s="95"/>
      <c r="G688" s="95"/>
      <c r="H688" s="95"/>
      <c r="I688" s="95"/>
      <c r="J688" s="95"/>
      <c r="K688" s="95"/>
      <c r="L688" s="95"/>
    </row>
    <row r="689" spans="6:12" s="90" customFormat="1" ht="12.000000">
      <c r="F689" s="95"/>
      <c r="G689" s="95"/>
      <c r="H689" s="95"/>
      <c r="I689" s="95"/>
      <c r="J689" s="95"/>
      <c r="K689" s="95"/>
      <c r="L689" s="95"/>
    </row>
    <row r="690" spans="6:12" s="90" customFormat="1" ht="12.000000">
      <c r="F690" s="95"/>
      <c r="G690" s="95"/>
      <c r="H690" s="95"/>
      <c r="I690" s="95"/>
      <c r="J690" s="95"/>
      <c r="K690" s="95"/>
      <c r="L690" s="95"/>
    </row>
    <row r="691" spans="6:12" s="90" customFormat="1" ht="12.000000">
      <c r="F691" s="95"/>
      <c r="G691" s="95"/>
      <c r="H691" s="95"/>
      <c r="I691" s="95"/>
      <c r="J691" s="95"/>
      <c r="K691" s="95"/>
      <c r="L691" s="95"/>
    </row>
    <row r="692" spans="6:12" s="90" customFormat="1" ht="12.000000">
      <c r="F692" s="95"/>
      <c r="G692" s="95"/>
      <c r="H692" s="95"/>
      <c r="I692" s="95"/>
      <c r="J692" s="95"/>
      <c r="K692" s="95"/>
      <c r="L692" s="95"/>
    </row>
    <row r="693" spans="6:12" s="90" customFormat="1" ht="12.000000">
      <c r="F693" s="95"/>
      <c r="G693" s="95"/>
      <c r="H693" s="95"/>
      <c r="I693" s="95"/>
      <c r="J693" s="95"/>
      <c r="K693" s="95"/>
      <c r="L693" s="95"/>
    </row>
    <row r="694" spans="6:12" s="90" customFormat="1" ht="12.000000">
      <c r="F694" s="95"/>
      <c r="G694" s="95"/>
      <c r="H694" s="95"/>
      <c r="I694" s="95"/>
      <c r="J694" s="95"/>
      <c r="K694" s="95"/>
      <c r="L694" s="95"/>
    </row>
    <row r="695" spans="6:12" s="90" customFormat="1" ht="12.000000">
      <c r="F695" s="95"/>
      <c r="G695" s="95"/>
      <c r="H695" s="95"/>
      <c r="I695" s="95"/>
      <c r="J695" s="95"/>
      <c r="K695" s="95"/>
      <c r="L695" s="95"/>
    </row>
    <row r="696" spans="6:12" s="90" customFormat="1" ht="12.000000">
      <c r="F696" s="95"/>
      <c r="G696" s="95"/>
      <c r="H696" s="95"/>
      <c r="I696" s="95"/>
      <c r="J696" s="95"/>
      <c r="K696" s="95"/>
      <c r="L696" s="95"/>
    </row>
    <row r="697" spans="6:12" s="90" customFormat="1" ht="12.000000">
      <c r="F697" s="95"/>
      <c r="G697" s="95"/>
      <c r="H697" s="95"/>
      <c r="I697" s="95"/>
      <c r="J697" s="95"/>
      <c r="K697" s="95"/>
      <c r="L697" s="95"/>
    </row>
    <row r="698" spans="6:12" s="90" customFormat="1" ht="12.000000">
      <c r="F698" s="95"/>
      <c r="G698" s="95"/>
      <c r="H698" s="95"/>
      <c r="I698" s="95"/>
      <c r="J698" s="95"/>
      <c r="K698" s="95"/>
      <c r="L698" s="95"/>
    </row>
    <row r="699" spans="6:12" s="90" customFormat="1" ht="12.000000">
      <c r="F699" s="95"/>
      <c r="G699" s="95"/>
      <c r="H699" s="95"/>
      <c r="I699" s="95"/>
      <c r="J699" s="95"/>
      <c r="K699" s="95"/>
      <c r="L699" s="95"/>
    </row>
    <row r="700" spans="6:12" s="90" customFormat="1" ht="12.000000">
      <c r="F700" s="95"/>
      <c r="G700" s="95"/>
      <c r="H700" s="95"/>
      <c r="I700" s="95"/>
      <c r="J700" s="95"/>
      <c r="K700" s="95"/>
      <c r="L700" s="95"/>
    </row>
    <row r="701" spans="6:12" s="90" customFormat="1" ht="12.000000">
      <c r="F701" s="95"/>
      <c r="G701" s="95"/>
      <c r="H701" s="95"/>
      <c r="I701" s="95"/>
      <c r="J701" s="95"/>
      <c r="K701" s="95"/>
      <c r="L701" s="95"/>
    </row>
    <row r="702" spans="6:12" s="90" customFormat="1" ht="12.000000">
      <c r="F702" s="95"/>
      <c r="G702" s="95"/>
      <c r="H702" s="95"/>
      <c r="I702" s="95"/>
      <c r="J702" s="95"/>
      <c r="K702" s="95"/>
      <c r="L702" s="95"/>
    </row>
    <row r="703" spans="6:12" s="90" customFormat="1" ht="12.000000">
      <c r="F703" s="95"/>
      <c r="G703" s="95"/>
      <c r="H703" s="95"/>
      <c r="I703" s="95"/>
      <c r="J703" s="95"/>
      <c r="K703" s="95"/>
      <c r="L703" s="95"/>
    </row>
    <row r="704" spans="6:12" s="90" customFormat="1" ht="12.000000">
      <c r="F704" s="95"/>
      <c r="G704" s="95"/>
      <c r="H704" s="95"/>
      <c r="I704" s="95"/>
      <c r="J704" s="95"/>
      <c r="K704" s="95"/>
      <c r="L704" s="95"/>
    </row>
    <row r="705" spans="6:12" s="90" customFormat="1" ht="12.000000">
      <c r="F705" s="95"/>
      <c r="G705" s="95"/>
      <c r="H705" s="95"/>
      <c r="I705" s="95"/>
      <c r="J705" s="95"/>
      <c r="K705" s="95"/>
      <c r="L705" s="95"/>
    </row>
    <row r="706" spans="6:12" s="90" customFormat="1" ht="12.000000">
      <c r="F706" s="95"/>
      <c r="G706" s="95"/>
      <c r="H706" s="95"/>
      <c r="I706" s="95"/>
      <c r="J706" s="95"/>
      <c r="K706" s="95"/>
      <c r="L706" s="95"/>
    </row>
    <row r="707" spans="6:12" s="90" customFormat="1" ht="12.000000">
      <c r="F707" s="95"/>
      <c r="G707" s="95"/>
      <c r="H707" s="95"/>
      <c r="I707" s="95"/>
      <c r="J707" s="95"/>
      <c r="K707" s="95"/>
      <c r="L707" s="95"/>
    </row>
    <row r="708" spans="6:12" s="90" customFormat="1" ht="12.000000">
      <c r="F708" s="95"/>
      <c r="G708" s="95"/>
      <c r="H708" s="95"/>
      <c r="I708" s="95"/>
      <c r="J708" s="95"/>
      <c r="K708" s="95"/>
      <c r="L708" s="95"/>
    </row>
    <row r="709" spans="6:12" s="90" customFormat="1" ht="12.000000">
      <c r="F709" s="95"/>
      <c r="G709" s="95"/>
      <c r="H709" s="95"/>
      <c r="I709" s="95"/>
      <c r="J709" s="95"/>
      <c r="K709" s="95"/>
      <c r="L709" s="95"/>
    </row>
    <row r="710" spans="6:12" s="90" customFormat="1" ht="12.000000">
      <c r="F710" s="95"/>
      <c r="G710" s="95"/>
      <c r="H710" s="95"/>
      <c r="I710" s="95"/>
      <c r="J710" s="95"/>
      <c r="K710" s="95"/>
      <c r="L710" s="95"/>
    </row>
    <row r="711" spans="6:12" s="90" customFormat="1" ht="12.000000">
      <c r="F711" s="95"/>
      <c r="G711" s="95"/>
      <c r="H711" s="95"/>
      <c r="I711" s="95"/>
      <c r="J711" s="95"/>
      <c r="K711" s="95"/>
      <c r="L711" s="95"/>
    </row>
    <row r="712" spans="6:12" s="90" customFormat="1" ht="12.000000">
      <c r="F712" s="95"/>
      <c r="G712" s="95"/>
      <c r="H712" s="95"/>
      <c r="I712" s="95"/>
      <c r="J712" s="95"/>
      <c r="K712" s="95"/>
      <c r="L712" s="95"/>
    </row>
    <row r="713" spans="6:12" s="90" customFormat="1" ht="12.000000">
      <c r="F713" s="95"/>
      <c r="G713" s="95"/>
      <c r="H713" s="95"/>
      <c r="I713" s="95"/>
      <c r="J713" s="95"/>
      <c r="K713" s="95"/>
      <c r="L713" s="95"/>
    </row>
    <row r="714" spans="6:12" s="90" customFormat="1" ht="12.000000">
      <c r="F714" s="95"/>
      <c r="G714" s="95"/>
      <c r="H714" s="95"/>
      <c r="I714" s="95"/>
      <c r="J714" s="95"/>
      <c r="K714" s="95"/>
      <c r="L714" s="95"/>
    </row>
    <row r="715" spans="6:12" s="90" customFormat="1" ht="12.000000">
      <c r="F715" s="95"/>
      <c r="G715" s="95"/>
      <c r="H715" s="95"/>
      <c r="I715" s="95"/>
      <c r="J715" s="95"/>
      <c r="K715" s="95"/>
      <c r="L715" s="95"/>
    </row>
    <row r="716" spans="6:12" s="90" customFormat="1" ht="12.000000">
      <c r="F716" s="95"/>
      <c r="G716" s="95"/>
      <c r="H716" s="95"/>
      <c r="I716" s="95"/>
      <c r="J716" s="95"/>
      <c r="K716" s="95"/>
      <c r="L716" s="95"/>
    </row>
    <row r="717" spans="6:12" s="90" customFormat="1" ht="12.000000">
      <c r="F717" s="95"/>
      <c r="G717" s="95"/>
      <c r="H717" s="95"/>
      <c r="I717" s="95"/>
      <c r="J717" s="95"/>
      <c r="K717" s="95"/>
      <c r="L717" s="95"/>
    </row>
    <row r="718" spans="6:12" s="90" customFormat="1" ht="12.000000">
      <c r="F718" s="95"/>
      <c r="G718" s="95"/>
      <c r="H718" s="95"/>
      <c r="I718" s="95"/>
      <c r="J718" s="95"/>
      <c r="K718" s="95"/>
      <c r="L718" s="95"/>
    </row>
    <row r="719" spans="6:12" s="90" customFormat="1" ht="12.000000">
      <c r="F719" s="95"/>
      <c r="G719" s="95"/>
      <c r="H719" s="95"/>
      <c r="I719" s="95"/>
      <c r="J719" s="95"/>
      <c r="K719" s="95"/>
      <c r="L719" s="95"/>
    </row>
    <row r="720" spans="6:12" s="90" customFormat="1" ht="12.000000">
      <c r="F720" s="95"/>
      <c r="G720" s="95"/>
      <c r="H720" s="95"/>
      <c r="I720" s="95"/>
      <c r="J720" s="95"/>
      <c r="K720" s="95"/>
      <c r="L720" s="95"/>
    </row>
    <row r="721" spans="6:12" s="90" customFormat="1" ht="12.000000">
      <c r="F721" s="95"/>
      <c r="G721" s="95"/>
      <c r="H721" s="95"/>
      <c r="I721" s="95"/>
      <c r="J721" s="95"/>
      <c r="K721" s="95"/>
      <c r="L721" s="95"/>
    </row>
    <row r="722" spans="6:12" s="90" customFormat="1" ht="12.000000">
      <c r="F722" s="95"/>
      <c r="G722" s="95"/>
      <c r="H722" s="95"/>
      <c r="I722" s="95"/>
      <c r="J722" s="95"/>
      <c r="K722" s="95"/>
      <c r="L722" s="95"/>
    </row>
    <row r="723" spans="6:12" s="90" customFormat="1" ht="12.000000">
      <c r="F723" s="95"/>
      <c r="G723" s="95"/>
      <c r="H723" s="95"/>
      <c r="I723" s="95"/>
      <c r="J723" s="95"/>
      <c r="K723" s="95"/>
      <c r="L723" s="95"/>
    </row>
    <row r="724" spans="6:12" s="90" customFormat="1" ht="12.000000">
      <c r="F724" s="95"/>
      <c r="G724" s="95"/>
      <c r="H724" s="95"/>
      <c r="I724" s="95"/>
      <c r="J724" s="95"/>
      <c r="K724" s="95"/>
      <c r="L724" s="95"/>
    </row>
    <row r="725" spans="6:12" s="90" customFormat="1" ht="12.000000">
      <c r="F725" s="95"/>
      <c r="G725" s="95"/>
      <c r="H725" s="95"/>
      <c r="I725" s="95"/>
      <c r="J725" s="95"/>
      <c r="K725" s="95"/>
      <c r="L725" s="95"/>
    </row>
    <row r="726" spans="6:12" s="90" customFormat="1" ht="12.000000">
      <c r="F726" s="95"/>
      <c r="G726" s="95"/>
      <c r="H726" s="95"/>
      <c r="I726" s="95"/>
      <c r="J726" s="95"/>
      <c r="K726" s="95"/>
      <c r="L726" s="95"/>
    </row>
    <row r="727" spans="6:12" s="90" customFormat="1" ht="12.000000">
      <c r="F727" s="95"/>
      <c r="G727" s="95"/>
      <c r="H727" s="95"/>
      <c r="I727" s="95"/>
      <c r="J727" s="95"/>
      <c r="K727" s="95"/>
      <c r="L727" s="95"/>
    </row>
    <row r="728" spans="6:12" s="90" customFormat="1" ht="12.000000">
      <c r="F728" s="95"/>
      <c r="G728" s="95"/>
      <c r="H728" s="95"/>
      <c r="I728" s="95"/>
      <c r="J728" s="95"/>
      <c r="K728" s="95"/>
      <c r="L728" s="95"/>
    </row>
    <row r="729" spans="6:12" s="90" customFormat="1" ht="12.000000">
      <c r="F729" s="95"/>
      <c r="G729" s="95"/>
      <c r="H729" s="95"/>
      <c r="I729" s="95"/>
      <c r="J729" s="95"/>
      <c r="K729" s="95"/>
      <c r="L729" s="95"/>
    </row>
    <row r="730" spans="6:12" s="90" customFormat="1" ht="12.000000">
      <c r="F730" s="95"/>
      <c r="G730" s="95"/>
      <c r="H730" s="95"/>
      <c r="I730" s="95"/>
      <c r="J730" s="95"/>
      <c r="K730" s="95"/>
      <c r="L730" s="95"/>
    </row>
    <row r="731" spans="6:12" s="90" customFormat="1" ht="12.000000">
      <c r="F731" s="95"/>
      <c r="G731" s="95"/>
      <c r="H731" s="95"/>
      <c r="I731" s="95"/>
      <c r="J731" s="95"/>
      <c r="K731" s="95"/>
      <c r="L731" s="95"/>
    </row>
    <row r="732" spans="6:12" s="90" customFormat="1" ht="12.000000">
      <c r="F732" s="95"/>
      <c r="G732" s="95"/>
      <c r="H732" s="95"/>
      <c r="I732" s="95"/>
      <c r="J732" s="95"/>
      <c r="K732" s="95"/>
      <c r="L732" s="95"/>
    </row>
    <row r="733" spans="6:12" s="90" customFormat="1" ht="12.000000">
      <c r="F733" s="95"/>
      <c r="G733" s="95"/>
      <c r="H733" s="95"/>
      <c r="I733" s="95"/>
      <c r="J733" s="95"/>
      <c r="K733" s="95"/>
      <c r="L733" s="95"/>
    </row>
    <row r="734" spans="6:12" s="90" customFormat="1" ht="12.000000">
      <c r="F734" s="95"/>
      <c r="G734" s="95"/>
      <c r="H734" s="95"/>
      <c r="I734" s="95"/>
      <c r="J734" s="95"/>
      <c r="K734" s="95"/>
      <c r="L734" s="95"/>
    </row>
    <row r="735" spans="6:12" s="90" customFormat="1" ht="12.000000">
      <c r="F735" s="95"/>
      <c r="G735" s="95"/>
      <c r="H735" s="95"/>
      <c r="I735" s="95"/>
      <c r="J735" s="95"/>
      <c r="K735" s="95"/>
      <c r="L735" s="95"/>
    </row>
    <row r="736" spans="6:12" s="90" customFormat="1" ht="12.000000">
      <c r="F736" s="95"/>
      <c r="G736" s="95"/>
      <c r="H736" s="95"/>
      <c r="I736" s="95"/>
      <c r="J736" s="95"/>
      <c r="K736" s="95"/>
      <c r="L736" s="95"/>
    </row>
    <row r="737" spans="6:12" s="90" customFormat="1" ht="12.000000">
      <c r="F737" s="95"/>
      <c r="G737" s="95"/>
      <c r="H737" s="95"/>
      <c r="I737" s="95"/>
      <c r="J737" s="95"/>
      <c r="K737" s="95"/>
      <c r="L737" s="95"/>
    </row>
    <row r="738" spans="6:12" s="90" customFormat="1" ht="12.000000">
      <c r="F738" s="95"/>
      <c r="G738" s="95"/>
      <c r="H738" s="95"/>
      <c r="I738" s="95"/>
      <c r="J738" s="95"/>
      <c r="K738" s="95"/>
      <c r="L738" s="95"/>
    </row>
    <row r="739" spans="6:12" s="90" customFormat="1" ht="12.000000">
      <c r="F739" s="95"/>
      <c r="G739" s="95"/>
      <c r="H739" s="95"/>
      <c r="I739" s="95"/>
      <c r="J739" s="95"/>
      <c r="K739" s="95"/>
      <c r="L739" s="95"/>
    </row>
    <row r="740" spans="6:12" s="90" customFormat="1" ht="12.000000">
      <c r="F740" s="95"/>
      <c r="G740" s="95"/>
      <c r="H740" s="95"/>
      <c r="I740" s="95"/>
      <c r="J740" s="95"/>
      <c r="K740" s="95"/>
      <c r="L740" s="95"/>
    </row>
    <row r="741" spans="6:12" s="90" customFormat="1" ht="12.000000">
      <c r="F741" s="95"/>
      <c r="G741" s="95"/>
      <c r="H741" s="95"/>
      <c r="I741" s="95"/>
      <c r="J741" s="95"/>
      <c r="K741" s="95"/>
      <c r="L741" s="95"/>
    </row>
    <row r="742" spans="6:12" s="90" customFormat="1" ht="12.000000">
      <c r="F742" s="95"/>
      <c r="G742" s="95"/>
      <c r="H742" s="95"/>
      <c r="I742" s="95"/>
      <c r="J742" s="95"/>
      <c r="K742" s="95"/>
      <c r="L742" s="95"/>
    </row>
    <row r="743" spans="6:12" s="90" customFormat="1" ht="12.000000">
      <c r="F743" s="95"/>
      <c r="G743" s="95"/>
      <c r="H743" s="95"/>
      <c r="I743" s="95"/>
      <c r="J743" s="95"/>
      <c r="K743" s="95"/>
      <c r="L743" s="95"/>
    </row>
    <row r="744" spans="6:12" s="90" customFormat="1" ht="12.000000">
      <c r="F744" s="95"/>
      <c r="G744" s="95"/>
      <c r="H744" s="95"/>
      <c r="I744" s="95"/>
      <c r="J744" s="95"/>
      <c r="K744" s="95"/>
      <c r="L744" s="95"/>
    </row>
    <row r="745" spans="6:12" s="90" customFormat="1" ht="12.000000">
      <c r="F745" s="95"/>
      <c r="G745" s="95"/>
      <c r="H745" s="95"/>
      <c r="I745" s="95"/>
      <c r="J745" s="95"/>
      <c r="K745" s="95"/>
      <c r="L745" s="95"/>
    </row>
    <row r="746" spans="6:12" s="90" customFormat="1" ht="12.000000">
      <c r="F746" s="95"/>
      <c r="G746" s="95"/>
      <c r="H746" s="95"/>
      <c r="I746" s="95"/>
      <c r="J746" s="95"/>
      <c r="K746" s="95"/>
      <c r="L746" s="95"/>
    </row>
    <row r="747" spans="6:12" s="90" customFormat="1" ht="12.000000">
      <c r="F747" s="95"/>
      <c r="G747" s="95"/>
      <c r="H747" s="95"/>
      <c r="I747" s="95"/>
      <c r="J747" s="95"/>
      <c r="K747" s="95"/>
      <c r="L747" s="95"/>
    </row>
    <row r="748" spans="6:12" s="90" customFormat="1" ht="12.000000">
      <c r="F748" s="95"/>
      <c r="G748" s="95"/>
      <c r="H748" s="95"/>
      <c r="I748" s="95"/>
      <c r="J748" s="95"/>
      <c r="K748" s="95"/>
      <c r="L748" s="95"/>
    </row>
    <row r="749" spans="6:12" s="90" customFormat="1" ht="12.000000">
      <c r="F749" s="95"/>
      <c r="G749" s="95"/>
      <c r="H749" s="95"/>
      <c r="I749" s="95"/>
      <c r="J749" s="95"/>
      <c r="K749" s="95"/>
      <c r="L749" s="95"/>
    </row>
    <row r="750" spans="6:12" s="90" customFormat="1" ht="12.000000">
      <c r="F750" s="95"/>
      <c r="G750" s="95"/>
      <c r="H750" s="95"/>
      <c r="I750" s="95"/>
      <c r="J750" s="95"/>
      <c r="K750" s="95"/>
      <c r="L750" s="95"/>
    </row>
    <row r="751" spans="6:12" s="90" customFormat="1" ht="12.000000">
      <c r="F751" s="95"/>
      <c r="G751" s="95"/>
      <c r="H751" s="95"/>
      <c r="I751" s="95"/>
      <c r="J751" s="95"/>
      <c r="K751" s="95"/>
      <c r="L751" s="95"/>
    </row>
    <row r="752" spans="6:12" s="90" customFormat="1" ht="12.000000">
      <c r="F752" s="95"/>
      <c r="G752" s="95"/>
      <c r="H752" s="95"/>
      <c r="I752" s="95"/>
      <c r="J752" s="95"/>
      <c r="K752" s="95"/>
      <c r="L752" s="95"/>
    </row>
    <row r="753" spans="6:12" s="90" customFormat="1" ht="12.000000">
      <c r="F753" s="95"/>
      <c r="G753" s="95"/>
      <c r="H753" s="95"/>
      <c r="I753" s="95"/>
      <c r="J753" s="95"/>
      <c r="K753" s="95"/>
      <c r="L753" s="95"/>
    </row>
    <row r="754" spans="6:12" s="90" customFormat="1" ht="12.000000">
      <c r="F754" s="95"/>
      <c r="G754" s="95"/>
      <c r="H754" s="95"/>
      <c r="I754" s="95"/>
      <c r="J754" s="95"/>
      <c r="K754" s="95"/>
      <c r="L754" s="95"/>
    </row>
    <row r="755" spans="6:12" s="90" customFormat="1" ht="12.000000">
      <c r="F755" s="95"/>
      <c r="G755" s="95"/>
      <c r="H755" s="95"/>
      <c r="I755" s="95"/>
      <c r="J755" s="95"/>
      <c r="K755" s="95"/>
      <c r="L755" s="95"/>
    </row>
    <row r="756" spans="6:12" s="90" customFormat="1" ht="12.000000">
      <c r="F756" s="95"/>
      <c r="G756" s="95"/>
      <c r="H756" s="95"/>
      <c r="I756" s="95"/>
      <c r="J756" s="95"/>
      <c r="K756" s="95"/>
      <c r="L756" s="95"/>
    </row>
    <row r="757" spans="6:12" s="90" customFormat="1" ht="12.000000">
      <c r="F757" s="95"/>
      <c r="G757" s="95"/>
      <c r="H757" s="95"/>
      <c r="I757" s="95"/>
      <c r="J757" s="95"/>
      <c r="K757" s="95"/>
      <c r="L757" s="95"/>
    </row>
    <row r="758" spans="6:12" s="90" customFormat="1" ht="12.000000">
      <c r="F758" s="95"/>
      <c r="G758" s="95"/>
      <c r="H758" s="95"/>
      <c r="I758" s="95"/>
      <c r="J758" s="95"/>
      <c r="K758" s="95"/>
      <c r="L758" s="95"/>
    </row>
    <row r="759" spans="6:12" s="90" customFormat="1" ht="12.000000">
      <c r="F759" s="95"/>
      <c r="G759" s="95"/>
      <c r="H759" s="95"/>
      <c r="I759" s="95"/>
      <c r="J759" s="95"/>
      <c r="K759" s="95"/>
      <c r="L759" s="95"/>
    </row>
    <row r="760" spans="6:12" s="90" customFormat="1" ht="12.000000">
      <c r="F760" s="95"/>
      <c r="G760" s="95"/>
      <c r="H760" s="95"/>
      <c r="I760" s="95"/>
      <c r="J760" s="95"/>
      <c r="K760" s="95"/>
      <c r="L760" s="95"/>
    </row>
    <row r="761" spans="6:12" s="90" customFormat="1" ht="12.000000">
      <c r="F761" s="95"/>
      <c r="G761" s="95"/>
      <c r="H761" s="95"/>
      <c r="I761" s="95"/>
      <c r="J761" s="95"/>
      <c r="K761" s="95"/>
      <c r="L761" s="95"/>
    </row>
    <row r="762" spans="6:12" s="90" customFormat="1" ht="12.000000">
      <c r="F762" s="95"/>
      <c r="G762" s="95"/>
      <c r="H762" s="95"/>
      <c r="I762" s="95"/>
      <c r="J762" s="95"/>
      <c r="K762" s="95"/>
      <c r="L762" s="95"/>
    </row>
    <row r="763" spans="6:12" s="90" customFormat="1" ht="12.000000">
      <c r="F763" s="95"/>
      <c r="G763" s="95"/>
      <c r="H763" s="95"/>
      <c r="I763" s="95"/>
      <c r="J763" s="95"/>
      <c r="K763" s="95"/>
      <c r="L763" s="95"/>
    </row>
    <row r="764" spans="6:12" s="90" customFormat="1" ht="12.000000">
      <c r="F764" s="95"/>
      <c r="G764" s="95"/>
      <c r="H764" s="95"/>
      <c r="I764" s="95"/>
      <c r="J764" s="95"/>
      <c r="K764" s="95"/>
      <c r="L764" s="95"/>
    </row>
    <row r="765" spans="6:12" s="90" customFormat="1" ht="12.000000">
      <c r="F765" s="95"/>
      <c r="G765" s="95"/>
      <c r="H765" s="95"/>
      <c r="I765" s="95"/>
      <c r="J765" s="95"/>
      <c r="K765" s="95"/>
      <c r="L765" s="95"/>
    </row>
    <row r="766" spans="6:12" s="90" customFormat="1" ht="12.000000">
      <c r="F766" s="95"/>
      <c r="G766" s="95"/>
      <c r="H766" s="95"/>
      <c r="I766" s="95"/>
      <c r="J766" s="95"/>
      <c r="K766" s="95"/>
      <c r="L766" s="95"/>
    </row>
    <row r="767" spans="6:12" s="90" customFormat="1" ht="12.000000">
      <c r="F767" s="95"/>
      <c r="G767" s="95"/>
      <c r="H767" s="95"/>
      <c r="I767" s="95"/>
      <c r="J767" s="95"/>
      <c r="K767" s="95"/>
      <c r="L767" s="95"/>
    </row>
    <row r="768" spans="6:12" s="90" customFormat="1" ht="12.000000">
      <c r="F768" s="95"/>
      <c r="G768" s="95"/>
      <c r="H768" s="95"/>
      <c r="I768" s="95"/>
      <c r="J768" s="95"/>
      <c r="K768" s="95"/>
      <c r="L768" s="95"/>
    </row>
    <row r="769" spans="6:12" s="90" customFormat="1" ht="12.000000">
      <c r="F769" s="95"/>
      <c r="G769" s="95"/>
      <c r="H769" s="95"/>
      <c r="I769" s="95"/>
      <c r="J769" s="95"/>
      <c r="K769" s="95"/>
      <c r="L769" s="95"/>
    </row>
    <row r="770" spans="6:12" s="90" customFormat="1" ht="12.000000">
      <c r="F770" s="95"/>
      <c r="G770" s="95"/>
      <c r="H770" s="95"/>
      <c r="I770" s="95"/>
      <c r="J770" s="95"/>
      <c r="K770" s="95"/>
      <c r="L770" s="95"/>
    </row>
    <row r="771" spans="6:12" s="90" customFormat="1" ht="12.000000">
      <c r="F771" s="95"/>
      <c r="G771" s="95"/>
      <c r="H771" s="95"/>
      <c r="I771" s="95"/>
      <c r="J771" s="95"/>
      <c r="K771" s="95"/>
      <c r="L771" s="95"/>
    </row>
    <row r="772" spans="6:12" s="90" customFormat="1" ht="12.000000">
      <c r="F772" s="95"/>
      <c r="G772" s="95"/>
      <c r="H772" s="95"/>
      <c r="I772" s="95"/>
      <c r="J772" s="95"/>
      <c r="K772" s="95"/>
      <c r="L772" s="95"/>
    </row>
    <row r="773" spans="6:12" s="90" customFormat="1" ht="12.000000">
      <c r="F773" s="95"/>
      <c r="G773" s="95"/>
      <c r="H773" s="95"/>
      <c r="I773" s="95"/>
      <c r="J773" s="95"/>
      <c r="K773" s="95"/>
      <c r="L773" s="95"/>
    </row>
    <row r="774" spans="6:12" s="90" customFormat="1" ht="12.000000">
      <c r="F774" s="95"/>
      <c r="G774" s="95"/>
      <c r="H774" s="95"/>
      <c r="I774" s="95"/>
      <c r="J774" s="95"/>
      <c r="K774" s="95"/>
      <c r="L774" s="95"/>
    </row>
    <row r="775" spans="6:12" s="90" customFormat="1" ht="12.000000">
      <c r="F775" s="95"/>
      <c r="G775" s="95"/>
      <c r="H775" s="95"/>
      <c r="I775" s="95"/>
      <c r="J775" s="95"/>
      <c r="K775" s="95"/>
      <c r="L775" s="95"/>
    </row>
    <row r="776" spans="6:12" s="90" customFormat="1" ht="12.000000">
      <c r="F776" s="95"/>
      <c r="G776" s="95"/>
      <c r="H776" s="95"/>
      <c r="I776" s="95"/>
      <c r="J776" s="95"/>
      <c r="K776" s="95"/>
      <c r="L776" s="95"/>
    </row>
    <row r="777" spans="6:12" s="90" customFormat="1" ht="12.000000">
      <c r="F777" s="95"/>
      <c r="G777" s="95"/>
      <c r="H777" s="95"/>
      <c r="I777" s="95"/>
      <c r="J777" s="95"/>
      <c r="K777" s="95"/>
      <c r="L777" s="95"/>
    </row>
    <row r="778" spans="6:12" s="90" customFormat="1" ht="12.000000">
      <c r="F778" s="95"/>
      <c r="G778" s="95"/>
      <c r="H778" s="95"/>
      <c r="I778" s="95"/>
      <c r="J778" s="95"/>
      <c r="K778" s="95"/>
      <c r="L778" s="95"/>
    </row>
    <row r="779" spans="6:12" s="90" customFormat="1" ht="12.000000">
      <c r="F779" s="95"/>
      <c r="G779" s="95"/>
      <c r="H779" s="95"/>
      <c r="I779" s="95"/>
      <c r="J779" s="95"/>
      <c r="K779" s="95"/>
      <c r="L779" s="95"/>
    </row>
    <row r="780" spans="6:12" s="90" customFormat="1" ht="12.000000">
      <c r="F780" s="95"/>
      <c r="G780" s="95"/>
      <c r="H780" s="95"/>
      <c r="I780" s="95"/>
      <c r="J780" s="95"/>
      <c r="K780" s="95"/>
      <c r="L780" s="95"/>
    </row>
    <row r="781" spans="6:12" s="90" customFormat="1" ht="12.000000">
      <c r="F781" s="95"/>
      <c r="G781" s="95"/>
      <c r="H781" s="95"/>
      <c r="I781" s="95"/>
      <c r="J781" s="95"/>
      <c r="K781" s="95"/>
      <c r="L781" s="95"/>
    </row>
    <row r="782" spans="6:12" s="90" customFormat="1" ht="12.000000">
      <c r="F782" s="95"/>
      <c r="G782" s="95"/>
      <c r="H782" s="95"/>
      <c r="I782" s="95"/>
      <c r="J782" s="95"/>
      <c r="K782" s="95"/>
      <c r="L782" s="95"/>
    </row>
    <row r="783" spans="6:12" s="90" customFormat="1" ht="12.000000">
      <c r="F783" s="95"/>
      <c r="G783" s="95"/>
      <c r="H783" s="95"/>
      <c r="I783" s="95"/>
      <c r="J783" s="95"/>
      <c r="K783" s="95"/>
      <c r="L783" s="95"/>
    </row>
    <row r="784" spans="6:12" s="90" customFormat="1" ht="12.000000">
      <c r="F784" s="95"/>
      <c r="G784" s="95"/>
      <c r="H784" s="95"/>
      <c r="I784" s="95"/>
      <c r="J784" s="95"/>
      <c r="K784" s="95"/>
      <c r="L784" s="95"/>
    </row>
    <row r="785" spans="6:12" s="90" customFormat="1" ht="12.000000">
      <c r="F785" s="95"/>
      <c r="G785" s="95"/>
      <c r="H785" s="95"/>
      <c r="I785" s="95"/>
      <c r="J785" s="95"/>
      <c r="K785" s="95"/>
      <c r="L785" s="95"/>
    </row>
    <row r="786" spans="6:12" s="90" customFormat="1" ht="12.000000">
      <c r="F786" s="95"/>
      <c r="G786" s="95"/>
      <c r="H786" s="95"/>
      <c r="I786" s="95"/>
      <c r="J786" s="95"/>
      <c r="K786" s="95"/>
      <c r="L786" s="95"/>
    </row>
    <row r="787" spans="6:12" s="90" customFormat="1" ht="12.000000">
      <c r="F787" s="95"/>
      <c r="G787" s="95"/>
      <c r="H787" s="95"/>
      <c r="I787" s="95"/>
      <c r="J787" s="95"/>
      <c r="K787" s="95"/>
      <c r="L787" s="95"/>
    </row>
    <row r="788" spans="6:12" s="90" customFormat="1" ht="12.000000">
      <c r="F788" s="95"/>
      <c r="G788" s="95"/>
      <c r="H788" s="95"/>
      <c r="I788" s="95"/>
      <c r="J788" s="95"/>
      <c r="K788" s="95"/>
      <c r="L788" s="95"/>
    </row>
    <row r="789" spans="6:12" s="90" customFormat="1" ht="12.000000">
      <c r="F789" s="95"/>
      <c r="G789" s="95"/>
      <c r="H789" s="95"/>
      <c r="I789" s="95"/>
      <c r="J789" s="95"/>
      <c r="K789" s="95"/>
      <c r="L789" s="95"/>
    </row>
    <row r="790" spans="6:12" s="90" customFormat="1" ht="12.000000">
      <c r="F790" s="95"/>
      <c r="G790" s="95"/>
      <c r="H790" s="95"/>
      <c r="I790" s="95"/>
      <c r="J790" s="95"/>
      <c r="K790" s="95"/>
      <c r="L790" s="95"/>
    </row>
    <row r="791" spans="6:12" s="90" customFormat="1" ht="12.000000">
      <c r="F791" s="95"/>
      <c r="G791" s="95"/>
      <c r="H791" s="95"/>
      <c r="I791" s="95"/>
      <c r="J791" s="95"/>
      <c r="K791" s="95"/>
      <c r="L791" s="95"/>
    </row>
    <row r="792" spans="6:12" s="90" customFormat="1" ht="12.000000">
      <c r="F792" s="95"/>
      <c r="G792" s="95"/>
      <c r="H792" s="95"/>
      <c r="I792" s="95"/>
      <c r="J792" s="95"/>
      <c r="K792" s="95"/>
      <c r="L792" s="95"/>
    </row>
    <row r="793" spans="6:12" s="90" customFormat="1" ht="12.000000">
      <c r="F793" s="95"/>
      <c r="G793" s="95"/>
      <c r="H793" s="95"/>
      <c r="I793" s="95"/>
      <c r="J793" s="95"/>
      <c r="K793" s="95"/>
      <c r="L793" s="95"/>
    </row>
    <row r="794" spans="6:12" s="90" customFormat="1" ht="12.000000">
      <c r="F794" s="95"/>
      <c r="G794" s="95"/>
      <c r="H794" s="95"/>
      <c r="I794" s="95"/>
      <c r="J794" s="95"/>
      <c r="K794" s="95"/>
      <c r="L794" s="95"/>
    </row>
    <row r="795" spans="6:12" s="90" customFormat="1" ht="12.000000">
      <c r="F795" s="95"/>
      <c r="G795" s="95"/>
      <c r="H795" s="95"/>
      <c r="I795" s="95"/>
      <c r="J795" s="95"/>
      <c r="K795" s="95"/>
      <c r="L795" s="95"/>
    </row>
    <row r="796" spans="6:12" s="90" customFormat="1" ht="12.000000">
      <c r="F796" s="95"/>
      <c r="G796" s="95"/>
      <c r="H796" s="95"/>
      <c r="I796" s="95"/>
      <c r="J796" s="95"/>
      <c r="K796" s="95"/>
      <c r="L796" s="95"/>
    </row>
    <row r="797" spans="6:12" s="90" customFormat="1" ht="12.000000">
      <c r="F797" s="95"/>
      <c r="G797" s="95"/>
      <c r="H797" s="95"/>
      <c r="I797" s="95"/>
      <c r="J797" s="95"/>
      <c r="K797" s="95"/>
      <c r="L797" s="95"/>
    </row>
    <row r="798" spans="6:12" s="90" customFormat="1" ht="12.000000">
      <c r="F798" s="95"/>
      <c r="G798" s="95"/>
      <c r="H798" s="95"/>
      <c r="I798" s="95"/>
      <c r="J798" s="95"/>
      <c r="K798" s="95"/>
      <c r="L798" s="95"/>
    </row>
    <row r="799" spans="6:12" s="90" customFormat="1" ht="12.000000">
      <c r="F799" s="95"/>
      <c r="G799" s="95"/>
      <c r="H799" s="95"/>
      <c r="I799" s="95"/>
      <c r="J799" s="95"/>
      <c r="K799" s="95"/>
      <c r="L799" s="95"/>
    </row>
    <row r="800" spans="6:12" s="90" customFormat="1" ht="12.000000">
      <c r="F800" s="95"/>
      <c r="G800" s="95"/>
      <c r="H800" s="95"/>
      <c r="I800" s="95"/>
      <c r="J800" s="95"/>
      <c r="K800" s="95"/>
      <c r="L800" s="95"/>
    </row>
    <row r="801" spans="6:12" s="90" customFormat="1" ht="12.000000">
      <c r="F801" s="95"/>
      <c r="G801" s="95"/>
      <c r="H801" s="95"/>
      <c r="I801" s="95"/>
      <c r="J801" s="95"/>
      <c r="K801" s="95"/>
      <c r="L801" s="95"/>
    </row>
    <row r="802" spans="6:12" s="90" customFormat="1" ht="12.000000">
      <c r="F802" s="95"/>
      <c r="G802" s="95"/>
      <c r="H802" s="95"/>
      <c r="I802" s="95"/>
      <c r="J802" s="95"/>
      <c r="K802" s="95"/>
      <c r="L802" s="95"/>
    </row>
    <row r="803" spans="6:12" s="90" customFormat="1" ht="12.000000">
      <c r="F803" s="95"/>
      <c r="G803" s="95"/>
      <c r="H803" s="95"/>
      <c r="I803" s="95"/>
      <c r="J803" s="95"/>
      <c r="K803" s="95"/>
      <c r="L803" s="95"/>
    </row>
    <row r="804" spans="6:12" s="90" customFormat="1" ht="12.000000">
      <c r="F804" s="95"/>
      <c r="G804" s="95"/>
      <c r="H804" s="95"/>
      <c r="I804" s="95"/>
      <c r="J804" s="95"/>
      <c r="K804" s="95"/>
      <c r="L804" s="95"/>
    </row>
    <row r="805" spans="6:12" s="90" customFormat="1" ht="12.000000">
      <c r="F805" s="95"/>
      <c r="G805" s="95"/>
      <c r="H805" s="95"/>
      <c r="I805" s="95"/>
      <c r="J805" s="95"/>
      <c r="K805" s="95"/>
      <c r="L805" s="95"/>
    </row>
    <row r="806" spans="6:12" s="90" customFormat="1" ht="12.000000">
      <c r="F806" s="95"/>
      <c r="G806" s="95"/>
      <c r="H806" s="95"/>
      <c r="I806" s="95"/>
      <c r="J806" s="95"/>
      <c r="K806" s="95"/>
      <c r="L806" s="95"/>
    </row>
    <row r="807" spans="6:12" s="90" customFormat="1" ht="12.000000">
      <c r="F807" s="95"/>
      <c r="G807" s="95"/>
      <c r="H807" s="95"/>
      <c r="I807" s="95"/>
      <c r="J807" s="95"/>
      <c r="K807" s="95"/>
      <c r="L807" s="95"/>
    </row>
    <row r="808" spans="6:12" s="90" customFormat="1" ht="12.000000">
      <c r="F808" s="95"/>
      <c r="G808" s="95"/>
      <c r="H808" s="95"/>
      <c r="I808" s="95"/>
      <c r="J808" s="95"/>
      <c r="K808" s="95"/>
      <c r="L808" s="95"/>
    </row>
    <row r="809" spans="6:12" s="90" customFormat="1" ht="12.000000">
      <c r="F809" s="95"/>
      <c r="G809" s="95"/>
      <c r="H809" s="95"/>
      <c r="I809" s="95"/>
      <c r="J809" s="95"/>
      <c r="K809" s="95"/>
      <c r="L809" s="95"/>
    </row>
    <row r="810" spans="6:12" s="90" customFormat="1" ht="12.000000">
      <c r="F810" s="95"/>
      <c r="G810" s="95"/>
      <c r="H810" s="95"/>
      <c r="I810" s="95"/>
      <c r="J810" s="95"/>
      <c r="K810" s="95"/>
      <c r="L810" s="95"/>
    </row>
    <row r="811" spans="6:12" s="90" customFormat="1" ht="12.000000">
      <c r="F811" s="95"/>
      <c r="G811" s="95"/>
      <c r="H811" s="95"/>
      <c r="I811" s="95"/>
      <c r="J811" s="95"/>
      <c r="K811" s="95"/>
      <c r="L811" s="95"/>
    </row>
    <row r="812" spans="6:12" s="90" customFormat="1" ht="12.000000">
      <c r="F812" s="95"/>
      <c r="G812" s="95"/>
      <c r="H812" s="95"/>
      <c r="I812" s="95"/>
      <c r="J812" s="95"/>
      <c r="K812" s="95"/>
      <c r="L812" s="95"/>
    </row>
    <row r="813" spans="6:12" s="90" customFormat="1" ht="12.000000">
      <c r="F813" s="95"/>
      <c r="G813" s="95"/>
      <c r="H813" s="95"/>
      <c r="I813" s="95"/>
      <c r="J813" s="95"/>
      <c r="K813" s="95"/>
      <c r="L813" s="95"/>
    </row>
    <row r="814" spans="6:12" s="90" customFormat="1" ht="12.000000">
      <c r="F814" s="95"/>
      <c r="G814" s="95"/>
      <c r="H814" s="95"/>
      <c r="I814" s="95"/>
      <c r="J814" s="95"/>
      <c r="K814" s="95"/>
      <c r="L814" s="95"/>
    </row>
    <row r="815" spans="6:12" s="90" customFormat="1" ht="12.000000">
      <c r="F815" s="95"/>
      <c r="G815" s="95"/>
      <c r="H815" s="95"/>
      <c r="I815" s="95"/>
      <c r="J815" s="95"/>
      <c r="K815" s="95"/>
      <c r="L815" s="95"/>
    </row>
    <row r="816" spans="6:12" s="90" customFormat="1" ht="12.000000">
      <c r="F816" s="95"/>
      <c r="G816" s="95"/>
      <c r="H816" s="95"/>
      <c r="I816" s="95"/>
      <c r="J816" s="95"/>
      <c r="K816" s="95"/>
      <c r="L816" s="95"/>
    </row>
    <row r="817" spans="6:12" s="90" customFormat="1" ht="12.000000">
      <c r="F817" s="95"/>
      <c r="G817" s="95"/>
      <c r="H817" s="95"/>
      <c r="I817" s="95"/>
      <c r="J817" s="95"/>
      <c r="K817" s="95"/>
      <c r="L817" s="95"/>
    </row>
    <row r="818" spans="6:12" s="90" customFormat="1" ht="12.000000">
      <c r="F818" s="95"/>
      <c r="G818" s="95"/>
      <c r="H818" s="95"/>
      <c r="I818" s="95"/>
      <c r="J818" s="95"/>
      <c r="K818" s="95"/>
      <c r="L818" s="95"/>
    </row>
    <row r="819" spans="6:12" s="90" customFormat="1" ht="12.000000">
      <c r="F819" s="95"/>
      <c r="G819" s="95"/>
      <c r="H819" s="95"/>
      <c r="I819" s="95"/>
      <c r="J819" s="95"/>
      <c r="K819" s="95"/>
      <c r="L819" s="95"/>
    </row>
    <row r="820" spans="6:12" s="90" customFormat="1" ht="12.000000">
      <c r="F820" s="95"/>
      <c r="G820" s="95"/>
      <c r="H820" s="95"/>
      <c r="I820" s="95"/>
      <c r="J820" s="95"/>
      <c r="K820" s="95"/>
      <c r="L820" s="95"/>
    </row>
    <row r="821" spans="6:12" s="90" customFormat="1" ht="12.000000">
      <c r="F821" s="95"/>
      <c r="G821" s="95"/>
      <c r="H821" s="95"/>
      <c r="I821" s="95"/>
      <c r="J821" s="95"/>
      <c r="K821" s="95"/>
      <c r="L821" s="95"/>
    </row>
    <row r="822" spans="6:12" s="90" customFormat="1" ht="12.000000">
      <c r="F822" s="95"/>
      <c r="G822" s="95"/>
      <c r="H822" s="95"/>
      <c r="I822" s="95"/>
      <c r="J822" s="95"/>
      <c r="K822" s="95"/>
      <c r="L822" s="95"/>
    </row>
    <row r="823" spans="6:12" s="90" customFormat="1" ht="12.000000">
      <c r="F823" s="95"/>
      <c r="G823" s="95"/>
      <c r="H823" s="95"/>
      <c r="I823" s="95"/>
      <c r="J823" s="95"/>
      <c r="K823" s="95"/>
      <c r="L823" s="95"/>
    </row>
    <row r="824" spans="6:12" s="90" customFormat="1" ht="12.000000">
      <c r="F824" s="95"/>
      <c r="G824" s="95"/>
      <c r="H824" s="95"/>
      <c r="I824" s="95"/>
      <c r="J824" s="95"/>
      <c r="K824" s="95"/>
      <c r="L824" s="95"/>
    </row>
    <row r="825" spans="6:12" s="90" customFormat="1" ht="12.000000">
      <c r="F825" s="95"/>
      <c r="G825" s="95"/>
      <c r="H825" s="95"/>
      <c r="I825" s="95"/>
      <c r="J825" s="95"/>
      <c r="K825" s="95"/>
      <c r="L825" s="95"/>
    </row>
    <row r="826" spans="6:12" s="90" customFormat="1" ht="12.000000">
      <c r="F826" s="95"/>
      <c r="G826" s="95"/>
      <c r="H826" s="95"/>
      <c r="I826" s="95"/>
      <c r="J826" s="95"/>
      <c r="K826" s="95"/>
      <c r="L826" s="95"/>
    </row>
    <row r="827" spans="6:12" s="90" customFormat="1" ht="12.000000">
      <c r="F827" s="95"/>
      <c r="G827" s="95"/>
      <c r="H827" s="95"/>
      <c r="I827" s="95"/>
      <c r="J827" s="95"/>
      <c r="K827" s="95"/>
      <c r="L827" s="95"/>
    </row>
    <row r="828" spans="6:12" s="90" customFormat="1" ht="12.000000">
      <c r="F828" s="95"/>
      <c r="G828" s="95"/>
      <c r="H828" s="95"/>
      <c r="I828" s="95"/>
      <c r="J828" s="95"/>
      <c r="K828" s="95"/>
      <c r="L828" s="95"/>
    </row>
    <row r="829" spans="6:12" s="90" customFormat="1" ht="12.000000">
      <c r="F829" s="95"/>
      <c r="G829" s="95"/>
      <c r="H829" s="95"/>
      <c r="I829" s="95"/>
      <c r="J829" s="95"/>
      <c r="K829" s="95"/>
      <c r="L829" s="95"/>
    </row>
    <row r="830" spans="6:12" s="90" customFormat="1" ht="12.000000">
      <c r="F830" s="95"/>
      <c r="G830" s="95"/>
      <c r="H830" s="95"/>
      <c r="I830" s="95"/>
      <c r="J830" s="95"/>
      <c r="K830" s="95"/>
      <c r="L830" s="95"/>
    </row>
    <row r="831" spans="6:12" s="90" customFormat="1" ht="12.000000">
      <c r="F831" s="95"/>
      <c r="G831" s="95"/>
      <c r="H831" s="95"/>
      <c r="I831" s="95"/>
      <c r="J831" s="95"/>
      <c r="K831" s="95"/>
      <c r="L831" s="95"/>
    </row>
    <row r="832" spans="6:12" s="90" customFormat="1" ht="12.000000">
      <c r="F832" s="95"/>
      <c r="G832" s="95"/>
      <c r="H832" s="95"/>
      <c r="I832" s="95"/>
      <c r="J832" s="95"/>
      <c r="K832" s="95"/>
      <c r="L832" s="95"/>
    </row>
    <row r="833" spans="6:12" s="90" customFormat="1" ht="12.000000">
      <c r="F833" s="95"/>
      <c r="G833" s="95"/>
      <c r="H833" s="95"/>
      <c r="I833" s="95"/>
      <c r="J833" s="95"/>
      <c r="K833" s="95"/>
      <c r="L833" s="95"/>
    </row>
    <row r="834" spans="6:12" s="90" customFormat="1" ht="12.000000">
      <c r="F834" s="95"/>
      <c r="G834" s="95"/>
      <c r="H834" s="95"/>
      <c r="I834" s="95"/>
      <c r="J834" s="95"/>
      <c r="K834" s="95"/>
      <c r="L834" s="95"/>
    </row>
    <row r="835" spans="6:12" s="90" customFormat="1" ht="12.000000">
      <c r="F835" s="95"/>
      <c r="G835" s="95"/>
      <c r="H835" s="95"/>
      <c r="I835" s="95"/>
      <c r="J835" s="95"/>
      <c r="K835" s="95"/>
      <c r="L835" s="95"/>
    </row>
    <row r="836" spans="6:12" s="90" customFormat="1" ht="12.000000">
      <c r="F836" s="95"/>
      <c r="G836" s="95"/>
      <c r="H836" s="95"/>
      <c r="I836" s="95"/>
      <c r="J836" s="95"/>
      <c r="K836" s="95"/>
      <c r="L836" s="95"/>
    </row>
    <row r="837" spans="6:12" s="90" customFormat="1" ht="12.000000">
      <c r="F837" s="95"/>
      <c r="G837" s="95"/>
      <c r="H837" s="95"/>
      <c r="I837" s="95"/>
      <c r="J837" s="95"/>
      <c r="K837" s="95"/>
      <c r="L837" s="95"/>
    </row>
    <row r="838" spans="6:12" s="90" customFormat="1" ht="12.000000">
      <c r="F838" s="95"/>
      <c r="G838" s="95"/>
      <c r="H838" s="95"/>
      <c r="I838" s="95"/>
      <c r="J838" s="95"/>
      <c r="K838" s="95"/>
      <c r="L838" s="95"/>
    </row>
    <row r="839" spans="6:12" s="90" customFormat="1" ht="12.000000">
      <c r="F839" s="95"/>
      <c r="G839" s="95"/>
      <c r="H839" s="95"/>
      <c r="I839" s="95"/>
      <c r="J839" s="95"/>
      <c r="K839" s="95"/>
      <c r="L839" s="95"/>
    </row>
    <row r="840" spans="6:12" s="90" customFormat="1" ht="12.000000">
      <c r="F840" s="95"/>
      <c r="G840" s="95"/>
      <c r="H840" s="95"/>
      <c r="I840" s="95"/>
      <c r="J840" s="95"/>
      <c r="K840" s="95"/>
      <c r="L840" s="95"/>
    </row>
    <row r="841" spans="6:12" s="90" customFormat="1" ht="12.000000">
      <c r="F841" s="95"/>
      <c r="G841" s="95"/>
      <c r="H841" s="95"/>
      <c r="I841" s="95"/>
      <c r="J841" s="95"/>
      <c r="K841" s="95"/>
      <c r="L841" s="95"/>
    </row>
    <row r="842" spans="6:12" s="90" customFormat="1" ht="12.000000">
      <c r="F842" s="95"/>
      <c r="G842" s="95"/>
      <c r="H842" s="95"/>
      <c r="I842" s="95"/>
      <c r="J842" s="95"/>
      <c r="K842" s="95"/>
      <c r="L842" s="95"/>
    </row>
    <row r="843" spans="6:12" s="90" customFormat="1" ht="12.000000">
      <c r="F843" s="95"/>
      <c r="G843" s="95"/>
      <c r="H843" s="95"/>
      <c r="I843" s="95"/>
      <c r="J843" s="95"/>
      <c r="K843" s="95"/>
      <c r="L843" s="95"/>
    </row>
    <row r="844" spans="6:12" s="90" customFormat="1" ht="12.000000">
      <c r="F844" s="95"/>
      <c r="G844" s="95"/>
      <c r="H844" s="95"/>
      <c r="I844" s="95"/>
      <c r="J844" s="95"/>
      <c r="K844" s="95"/>
      <c r="L844" s="95"/>
    </row>
    <row r="845" spans="6:12" s="90" customFormat="1" ht="12.000000">
      <c r="F845" s="95"/>
      <c r="G845" s="95"/>
      <c r="H845" s="95"/>
      <c r="I845" s="95"/>
      <c r="J845" s="95"/>
      <c r="K845" s="95"/>
      <c r="L845" s="95"/>
    </row>
    <row r="846" spans="6:12" s="90" customFormat="1" ht="12.000000">
      <c r="F846" s="95"/>
      <c r="G846" s="95"/>
      <c r="H846" s="95"/>
      <c r="I846" s="95"/>
      <c r="J846" s="95"/>
      <c r="K846" s="95"/>
      <c r="L846" s="95"/>
    </row>
    <row r="847" spans="6:12" s="90" customFormat="1" ht="12.000000">
      <c r="F847" s="95"/>
      <c r="G847" s="95"/>
      <c r="H847" s="95"/>
      <c r="I847" s="95"/>
      <c r="J847" s="95"/>
      <c r="K847" s="95"/>
      <c r="L847" s="95"/>
    </row>
    <row r="848" spans="6:12" s="90" customFormat="1" ht="12.000000">
      <c r="F848" s="95"/>
      <c r="G848" s="95"/>
      <c r="H848" s="95"/>
      <c r="I848" s="95"/>
      <c r="J848" s="95"/>
      <c r="K848" s="95"/>
      <c r="L848" s="95"/>
    </row>
    <row r="849" spans="6:12" s="90" customFormat="1" ht="12.000000">
      <c r="F849" s="95"/>
      <c r="G849" s="95"/>
      <c r="H849" s="95"/>
      <c r="I849" s="95"/>
      <c r="J849" s="95"/>
      <c r="K849" s="95"/>
      <c r="L849" s="95"/>
    </row>
    <row r="850" spans="6:12" s="90" customFormat="1" ht="12.000000">
      <c r="F850" s="95"/>
      <c r="G850" s="95"/>
      <c r="H850" s="95"/>
      <c r="I850" s="95"/>
      <c r="J850" s="95"/>
      <c r="K850" s="95"/>
      <c r="L850" s="95"/>
    </row>
    <row r="851" spans="6:12" s="90" customFormat="1" ht="12.000000">
      <c r="F851" s="95"/>
      <c r="G851" s="95"/>
      <c r="H851" s="95"/>
      <c r="I851" s="95"/>
      <c r="J851" s="95"/>
      <c r="K851" s="95"/>
      <c r="L851" s="95"/>
    </row>
    <row r="852" spans="6:12" s="90" customFormat="1" ht="12.000000">
      <c r="F852" s="95"/>
      <c r="G852" s="95"/>
      <c r="H852" s="95"/>
      <c r="I852" s="95"/>
      <c r="J852" s="95"/>
      <c r="K852" s="95"/>
      <c r="L852" s="95"/>
    </row>
    <row r="853" spans="6:12" s="90" customFormat="1" ht="12.000000">
      <c r="F853" s="95"/>
      <c r="G853" s="95"/>
      <c r="H853" s="95"/>
      <c r="I853" s="95"/>
      <c r="J853" s="95"/>
      <c r="K853" s="95"/>
      <c r="L853" s="95"/>
    </row>
    <row r="854" spans="6:12" s="90" customFormat="1" ht="12.000000">
      <c r="F854" s="95"/>
      <c r="G854" s="95"/>
      <c r="H854" s="95"/>
      <c r="I854" s="95"/>
      <c r="J854" s="95"/>
      <c r="K854" s="95"/>
      <c r="L854" s="95"/>
    </row>
    <row r="855" spans="6:12" s="90" customFormat="1" ht="12.000000">
      <c r="F855" s="95"/>
      <c r="G855" s="95"/>
      <c r="H855" s="95"/>
      <c r="I855" s="95"/>
      <c r="J855" s="95"/>
      <c r="K855" s="95"/>
      <c r="L855" s="95"/>
    </row>
    <row r="856" spans="6:12" s="90" customFormat="1" ht="12.000000">
      <c r="F856" s="95"/>
      <c r="G856" s="95"/>
      <c r="H856" s="95"/>
      <c r="I856" s="95"/>
      <c r="J856" s="95"/>
      <c r="K856" s="95"/>
      <c r="L856" s="95"/>
    </row>
    <row r="857" spans="6:12" s="90" customFormat="1" ht="12.000000">
      <c r="F857" s="95"/>
      <c r="G857" s="95"/>
      <c r="H857" s="95"/>
      <c r="I857" s="95"/>
      <c r="J857" s="95"/>
      <c r="K857" s="95"/>
      <c r="L857" s="95"/>
    </row>
    <row r="858" spans="6:12" s="90" customFormat="1" ht="12.000000">
      <c r="F858" s="95"/>
      <c r="G858" s="95"/>
      <c r="H858" s="95"/>
      <c r="I858" s="95"/>
      <c r="J858" s="95"/>
      <c r="K858" s="95"/>
      <c r="L858" s="95"/>
    </row>
    <row r="859" spans="6:12" s="90" customFormat="1" ht="12.000000">
      <c r="F859" s="95"/>
      <c r="G859" s="95"/>
      <c r="H859" s="95"/>
      <c r="I859" s="95"/>
      <c r="J859" s="95"/>
      <c r="K859" s="95"/>
      <c r="L859" s="95"/>
    </row>
    <row r="860" spans="6:12" s="90" customFormat="1" ht="12.000000">
      <c r="F860" s="95"/>
      <c r="G860" s="95"/>
      <c r="H860" s="95"/>
      <c r="I860" s="95"/>
      <c r="J860" s="95"/>
      <c r="K860" s="95"/>
      <c r="L860" s="95"/>
    </row>
    <row r="861" spans="6:12" s="90" customFormat="1" ht="12.000000">
      <c r="F861" s="95"/>
      <c r="G861" s="95"/>
      <c r="H861" s="95"/>
      <c r="I861" s="95"/>
      <c r="J861" s="95"/>
      <c r="K861" s="95"/>
      <c r="L861" s="95"/>
    </row>
    <row r="862" spans="6:12" s="90" customFormat="1" ht="12.000000">
      <c r="F862" s="95"/>
      <c r="G862" s="95"/>
      <c r="H862" s="95"/>
      <c r="I862" s="95"/>
      <c r="J862" s="95"/>
      <c r="K862" s="95"/>
      <c r="L862" s="95"/>
    </row>
    <row r="863" spans="6:12" s="90" customFormat="1" ht="12.000000">
      <c r="F863" s="95"/>
      <c r="G863" s="95"/>
      <c r="H863" s="95"/>
      <c r="I863" s="95"/>
      <c r="J863" s="95"/>
      <c r="K863" s="95"/>
      <c r="L863" s="95"/>
    </row>
    <row r="864" spans="6:12" s="90" customFormat="1" ht="12.000000">
      <c r="F864" s="95"/>
      <c r="G864" s="95"/>
      <c r="H864" s="95"/>
      <c r="I864" s="95"/>
      <c r="J864" s="95"/>
      <c r="K864" s="95"/>
      <c r="L864" s="95"/>
    </row>
    <row r="865" spans="6:12" s="90" customFormat="1" ht="12.000000">
      <c r="F865" s="95"/>
      <c r="G865" s="95"/>
      <c r="H865" s="95"/>
      <c r="I865" s="95"/>
      <c r="J865" s="95"/>
      <c r="K865" s="95"/>
      <c r="L865" s="95"/>
    </row>
    <row r="866" spans="6:12" s="90" customFormat="1" ht="12.000000">
      <c r="F866" s="95"/>
      <c r="G866" s="95"/>
      <c r="H866" s="95"/>
      <c r="I866" s="95"/>
      <c r="J866" s="95"/>
      <c r="K866" s="95"/>
      <c r="L866" s="95"/>
    </row>
    <row r="867" spans="6:12" s="90" customFormat="1" ht="12.000000">
      <c r="F867" s="95"/>
      <c r="G867" s="95"/>
      <c r="H867" s="95"/>
      <c r="I867" s="95"/>
      <c r="J867" s="95"/>
      <c r="K867" s="95"/>
      <c r="L867" s="95"/>
    </row>
    <row r="868" spans="6:12" s="90" customFormat="1" ht="12.000000">
      <c r="F868" s="95"/>
      <c r="G868" s="95"/>
      <c r="H868" s="95"/>
      <c r="I868" s="95"/>
      <c r="J868" s="95"/>
      <c r="K868" s="95"/>
      <c r="L868" s="95"/>
    </row>
    <row r="869" spans="6:12" s="90" customFormat="1" ht="12.000000">
      <c r="F869" s="95"/>
      <c r="G869" s="95"/>
      <c r="H869" s="95"/>
      <c r="I869" s="95"/>
      <c r="J869" s="95"/>
      <c r="K869" s="95"/>
      <c r="L869" s="95"/>
    </row>
    <row r="870" spans="6:12" s="90" customFormat="1" ht="12.000000">
      <c r="F870" s="95"/>
      <c r="G870" s="95"/>
      <c r="H870" s="95"/>
      <c r="I870" s="95"/>
      <c r="J870" s="95"/>
      <c r="K870" s="95"/>
      <c r="L870" s="95"/>
    </row>
    <row r="871" spans="6:12" s="90" customFormat="1" ht="12.000000">
      <c r="F871" s="95"/>
      <c r="G871" s="95"/>
      <c r="H871" s="95"/>
      <c r="I871" s="95"/>
      <c r="J871" s="95"/>
      <c r="K871" s="95"/>
      <c r="L871" s="95"/>
    </row>
    <row r="872" spans="6:12" s="90" customFormat="1" ht="12.000000">
      <c r="F872" s="95"/>
      <c r="G872" s="95"/>
      <c r="H872" s="95"/>
      <c r="I872" s="95"/>
      <c r="J872" s="95"/>
      <c r="K872" s="95"/>
      <c r="L872" s="95"/>
    </row>
    <row r="873" spans="6:12" s="90" customFormat="1" ht="12.000000">
      <c r="F873" s="95"/>
      <c r="G873" s="95"/>
      <c r="H873" s="95"/>
      <c r="I873" s="95"/>
      <c r="J873" s="95"/>
      <c r="K873" s="95"/>
      <c r="L873" s="95"/>
    </row>
    <row r="874" spans="6:12" s="90" customFormat="1" ht="12.000000">
      <c r="F874" s="95"/>
      <c r="G874" s="95"/>
      <c r="H874" s="95"/>
      <c r="I874" s="95"/>
      <c r="J874" s="95"/>
      <c r="K874" s="95"/>
      <c r="L874" s="95"/>
    </row>
    <row r="875" spans="6:12" s="90" customFormat="1" ht="12.000000">
      <c r="F875" s="95"/>
      <c r="G875" s="95"/>
      <c r="H875" s="95"/>
      <c r="I875" s="95"/>
      <c r="J875" s="95"/>
      <c r="K875" s="95"/>
      <c r="L875" s="95"/>
    </row>
    <row r="876" spans="6:12" s="90" customFormat="1" ht="12.000000">
      <c r="F876" s="95"/>
      <c r="G876" s="95"/>
      <c r="H876" s="95"/>
      <c r="I876" s="95"/>
      <c r="J876" s="95"/>
      <c r="K876" s="95"/>
      <c r="L876" s="95"/>
    </row>
    <row r="877" spans="6:12" s="90" customFormat="1" ht="12.000000">
      <c r="F877" s="95"/>
      <c r="G877" s="95"/>
      <c r="H877" s="95"/>
      <c r="I877" s="95"/>
      <c r="J877" s="95"/>
      <c r="K877" s="95"/>
      <c r="L877" s="95"/>
    </row>
    <row r="878" spans="6:12" s="90" customFormat="1" ht="12.000000">
      <c r="F878" s="95"/>
      <c r="G878" s="95"/>
      <c r="H878" s="95"/>
      <c r="I878" s="95"/>
      <c r="J878" s="95"/>
      <c r="K878" s="95"/>
      <c r="L878" s="95"/>
    </row>
    <row r="879" spans="6:12" s="90" customFormat="1" ht="12.000000">
      <c r="F879" s="95"/>
      <c r="G879" s="95"/>
      <c r="H879" s="95"/>
      <c r="I879" s="95"/>
      <c r="J879" s="95"/>
      <c r="K879" s="95"/>
      <c r="L879" s="95"/>
    </row>
    <row r="880" spans="6:12" s="90" customFormat="1" ht="12.000000">
      <c r="F880" s="95"/>
      <c r="G880" s="95"/>
      <c r="H880" s="95"/>
      <c r="I880" s="95"/>
      <c r="J880" s="95"/>
      <c r="K880" s="95"/>
      <c r="L880" s="95"/>
    </row>
    <row r="881" spans="6:12" s="90" customFormat="1" ht="12.000000">
      <c r="F881" s="95"/>
      <c r="G881" s="95"/>
      <c r="H881" s="95"/>
      <c r="I881" s="95"/>
      <c r="J881" s="95"/>
      <c r="K881" s="95"/>
      <c r="L881" s="95"/>
    </row>
    <row r="882" spans="6:12" s="90" customFormat="1" ht="12.000000">
      <c r="F882" s="95"/>
      <c r="G882" s="95"/>
      <c r="H882" s="95"/>
      <c r="I882" s="95"/>
      <c r="J882" s="95"/>
      <c r="K882" s="95"/>
      <c r="L882" s="95"/>
    </row>
    <row r="883" spans="6:12" s="90" customFormat="1" ht="12.000000">
      <c r="F883" s="95"/>
      <c r="G883" s="95"/>
      <c r="H883" s="95"/>
      <c r="I883" s="95"/>
      <c r="J883" s="95"/>
      <c r="K883" s="95"/>
      <c r="L883" s="95"/>
    </row>
    <row r="884" spans="6:12" s="90" customFormat="1" ht="12.000000">
      <c r="F884" s="95"/>
      <c r="G884" s="95"/>
      <c r="H884" s="95"/>
      <c r="I884" s="95"/>
      <c r="J884" s="95"/>
      <c r="K884" s="95"/>
      <c r="L884" s="95"/>
    </row>
    <row r="885" spans="6:12" s="90" customFormat="1" ht="12.000000">
      <c r="F885" s="95"/>
      <c r="G885" s="95"/>
      <c r="H885" s="95"/>
      <c r="I885" s="95"/>
      <c r="J885" s="95"/>
      <c r="K885" s="95"/>
      <c r="L885" s="95"/>
    </row>
    <row r="886" spans="6:12" s="90" customFormat="1" ht="12.000000">
      <c r="F886" s="95"/>
      <c r="G886" s="95"/>
      <c r="H886" s="95"/>
      <c r="I886" s="95"/>
      <c r="J886" s="95"/>
      <c r="K886" s="95"/>
      <c r="L886" s="95"/>
    </row>
    <row r="887" spans="6:12" s="90" customFormat="1" ht="12.000000">
      <c r="F887" s="95"/>
      <c r="G887" s="95"/>
      <c r="H887" s="95"/>
      <c r="I887" s="95"/>
      <c r="J887" s="95"/>
      <c r="K887" s="95"/>
      <c r="L887" s="95"/>
    </row>
    <row r="888" spans="6:12" s="90" customFormat="1" ht="12.000000">
      <c r="F888" s="95"/>
      <c r="G888" s="95"/>
      <c r="H888" s="95"/>
      <c r="I888" s="95"/>
      <c r="J888" s="95"/>
      <c r="K888" s="95"/>
      <c r="L888" s="95"/>
    </row>
    <row r="889" spans="6:12" s="90" customFormat="1" ht="12.000000">
      <c r="F889" s="95"/>
      <c r="G889" s="95"/>
      <c r="H889" s="95"/>
      <c r="I889" s="95"/>
      <c r="J889" s="95"/>
      <c r="K889" s="95"/>
      <c r="L889" s="95"/>
    </row>
    <row r="890" spans="6:12" s="90" customFormat="1" ht="12.000000">
      <c r="F890" s="95"/>
      <c r="G890" s="95"/>
      <c r="H890" s="95"/>
      <c r="I890" s="95"/>
      <c r="J890" s="95"/>
      <c r="K890" s="95"/>
      <c r="L890" s="95"/>
    </row>
    <row r="891" spans="6:12" s="90" customFormat="1" ht="12.000000">
      <c r="F891" s="95"/>
      <c r="G891" s="95"/>
      <c r="H891" s="95"/>
      <c r="I891" s="95"/>
      <c r="J891" s="95"/>
      <c r="K891" s="95"/>
      <c r="L891" s="95"/>
    </row>
    <row r="892" spans="6:12" s="90" customFormat="1" ht="12.000000">
      <c r="F892" s="95"/>
      <c r="G892" s="95"/>
      <c r="H892" s="95"/>
      <c r="I892" s="95"/>
      <c r="J892" s="95"/>
      <c r="K892" s="95"/>
      <c r="L892" s="95"/>
    </row>
    <row r="893" spans="6:12" s="90" customFormat="1" ht="12.000000">
      <c r="F893" s="95"/>
      <c r="G893" s="95"/>
      <c r="H893" s="95"/>
      <c r="I893" s="95"/>
      <c r="J893" s="95"/>
      <c r="K893" s="95"/>
      <c r="L893" s="95"/>
    </row>
    <row r="894" spans="6:12" s="90" customFormat="1" ht="12.000000">
      <c r="F894" s="95"/>
      <c r="G894" s="95"/>
      <c r="H894" s="95"/>
      <c r="I894" s="95"/>
      <c r="J894" s="95"/>
      <c r="K894" s="95"/>
      <c r="L894" s="95"/>
    </row>
    <row r="895" spans="6:12" s="90" customFormat="1" ht="12.000000">
      <c r="F895" s="95"/>
      <c r="G895" s="95"/>
      <c r="H895" s="95"/>
      <c r="I895" s="95"/>
      <c r="J895" s="95"/>
      <c r="K895" s="95"/>
      <c r="L895" s="95"/>
    </row>
    <row r="896" spans="6:12" s="90" customFormat="1" ht="12.000000">
      <c r="F896" s="95"/>
      <c r="G896" s="95"/>
      <c r="H896" s="95"/>
      <c r="I896" s="95"/>
      <c r="J896" s="95"/>
      <c r="K896" s="95"/>
      <c r="L896" s="95"/>
    </row>
    <row r="897" spans="6:12" s="90" customFormat="1" ht="12.000000">
      <c r="F897" s="95"/>
      <c r="G897" s="95"/>
      <c r="H897" s="95"/>
      <c r="I897" s="95"/>
      <c r="J897" s="95"/>
      <c r="K897" s="95"/>
      <c r="L897" s="95"/>
    </row>
    <row r="898" spans="6:12" s="90" customFormat="1" ht="12.000000">
      <c r="F898" s="95"/>
      <c r="G898" s="95"/>
      <c r="H898" s="95"/>
      <c r="I898" s="95"/>
      <c r="J898" s="95"/>
      <c r="K898" s="95"/>
      <c r="L898" s="95"/>
    </row>
    <row r="899" spans="6:12" s="90" customFormat="1" ht="12.000000">
      <c r="F899" s="95"/>
      <c r="G899" s="95"/>
      <c r="H899" s="95"/>
      <c r="I899" s="95"/>
      <c r="J899" s="95"/>
      <c r="K899" s="95"/>
      <c r="L899" s="95"/>
    </row>
    <row r="900" spans="6:12" s="90" customFormat="1" ht="12.000000">
      <c r="F900" s="95"/>
      <c r="G900" s="95"/>
      <c r="H900" s="95"/>
      <c r="I900" s="95"/>
      <c r="J900" s="95"/>
      <c r="K900" s="95"/>
      <c r="L900" s="95"/>
    </row>
    <row r="901" spans="6:12" s="90" customFormat="1" ht="12.000000">
      <c r="F901" s="95"/>
      <c r="G901" s="95"/>
      <c r="H901" s="95"/>
      <c r="I901" s="95"/>
      <c r="J901" s="95"/>
      <c r="K901" s="95"/>
      <c r="L901" s="95"/>
    </row>
    <row r="902" spans="6:12" s="90" customFormat="1" ht="12.000000">
      <c r="F902" s="95"/>
      <c r="G902" s="95"/>
      <c r="H902" s="95"/>
      <c r="I902" s="95"/>
      <c r="J902" s="95"/>
      <c r="K902" s="95"/>
      <c r="L902" s="95"/>
    </row>
    <row r="903" spans="6:12" s="90" customFormat="1" ht="12.000000">
      <c r="F903" s="95"/>
      <c r="G903" s="95"/>
      <c r="H903" s="95"/>
      <c r="I903" s="95"/>
      <c r="J903" s="95"/>
      <c r="K903" s="95"/>
      <c r="L903" s="95"/>
    </row>
    <row r="904" spans="6:12" s="90" customFormat="1" ht="12.000000">
      <c r="F904" s="95"/>
      <c r="G904" s="95"/>
      <c r="H904" s="95"/>
      <c r="I904" s="95"/>
      <c r="J904" s="95"/>
      <c r="K904" s="95"/>
      <c r="L904" s="95"/>
    </row>
    <row r="905" spans="6:12" s="90" customFormat="1" ht="12.000000">
      <c r="F905" s="95"/>
      <c r="G905" s="95"/>
      <c r="H905" s="95"/>
      <c r="I905" s="95"/>
      <c r="J905" s="95"/>
      <c r="K905" s="95"/>
      <c r="L905" s="95"/>
    </row>
    <row r="906" spans="6:12" s="90" customFormat="1" ht="12.000000">
      <c r="F906" s="95"/>
      <c r="G906" s="95"/>
      <c r="H906" s="95"/>
      <c r="I906" s="95"/>
      <c r="J906" s="95"/>
      <c r="K906" s="95"/>
      <c r="L906" s="95"/>
    </row>
    <row r="907" spans="6:12" s="90" customFormat="1" ht="12.000000">
      <c r="F907" s="95"/>
      <c r="G907" s="95"/>
      <c r="H907" s="95"/>
      <c r="I907" s="95"/>
      <c r="J907" s="95"/>
      <c r="K907" s="95"/>
      <c r="L907" s="95"/>
    </row>
    <row r="908" spans="6:12" s="90" customFormat="1" ht="12.000000">
      <c r="F908" s="95"/>
      <c r="G908" s="95"/>
      <c r="H908" s="95"/>
      <c r="I908" s="95"/>
      <c r="J908" s="95"/>
      <c r="K908" s="95"/>
      <c r="L908" s="95"/>
    </row>
    <row r="909" spans="6:12" s="90" customFormat="1" ht="12.000000">
      <c r="F909" s="95"/>
      <c r="G909" s="95"/>
      <c r="H909" s="95"/>
      <c r="I909" s="95"/>
      <c r="J909" s="95"/>
      <c r="K909" s="95"/>
      <c r="L909" s="95"/>
    </row>
    <row r="910" spans="6:12" s="90" customFormat="1" ht="12.000000">
      <c r="F910" s="95"/>
      <c r="G910" s="95"/>
      <c r="H910" s="95"/>
      <c r="I910" s="95"/>
      <c r="J910" s="95"/>
      <c r="K910" s="95"/>
      <c r="L910" s="95"/>
    </row>
    <row r="911" spans="6:12" s="90" customFormat="1" ht="12.000000">
      <c r="F911" s="95"/>
      <c r="G911" s="95"/>
      <c r="H911" s="95"/>
      <c r="I911" s="95"/>
      <c r="J911" s="95"/>
      <c r="K911" s="95"/>
      <c r="L911" s="95"/>
    </row>
    <row r="912" spans="6:12" s="90" customFormat="1" ht="12.000000">
      <c r="F912" s="95"/>
      <c r="G912" s="95"/>
      <c r="H912" s="95"/>
      <c r="I912" s="95"/>
      <c r="J912" s="95"/>
      <c r="K912" s="95"/>
      <c r="L912" s="95"/>
    </row>
    <row r="913" spans="6:12" s="90" customFormat="1" ht="12.000000">
      <c r="F913" s="95"/>
      <c r="G913" s="95"/>
      <c r="H913" s="95"/>
      <c r="I913" s="95"/>
      <c r="J913" s="95"/>
      <c r="K913" s="95"/>
      <c r="L913" s="95"/>
    </row>
    <row r="914" spans="6:12" s="90" customFormat="1" ht="12.000000">
      <c r="F914" s="95"/>
      <c r="G914" s="95"/>
      <c r="H914" s="95"/>
      <c r="I914" s="95"/>
      <c r="J914" s="95"/>
      <c r="K914" s="95"/>
      <c r="L914" s="95"/>
    </row>
    <row r="915" spans="6:12" s="90" customFormat="1" ht="12.000000">
      <c r="F915" s="95"/>
      <c r="G915" s="95"/>
      <c r="H915" s="95"/>
      <c r="I915" s="95"/>
      <c r="J915" s="95"/>
      <c r="K915" s="95"/>
      <c r="L915" s="95"/>
    </row>
    <row r="916" spans="6:12" s="90" customFormat="1" ht="12.000000">
      <c r="F916" s="95"/>
      <c r="G916" s="95"/>
      <c r="H916" s="95"/>
      <c r="I916" s="95"/>
      <c r="J916" s="95"/>
      <c r="K916" s="95"/>
      <c r="L916" s="95"/>
    </row>
    <row r="917" spans="6:12" s="90" customFormat="1" ht="12.000000">
      <c r="F917" s="95"/>
      <c r="G917" s="95"/>
      <c r="H917" s="95"/>
      <c r="I917" s="95"/>
      <c r="J917" s="95"/>
      <c r="K917" s="95"/>
      <c r="L917" s="95"/>
    </row>
    <row r="918" spans="6:12" s="90" customFormat="1" ht="12.000000">
      <c r="F918" s="95"/>
      <c r="G918" s="95"/>
      <c r="H918" s="95"/>
      <c r="I918" s="95"/>
      <c r="J918" s="95"/>
      <c r="K918" s="95"/>
      <c r="L918" s="95"/>
    </row>
    <row r="919" spans="6:12" s="90" customFormat="1" ht="12.000000">
      <c r="F919" s="95"/>
      <c r="G919" s="95"/>
      <c r="H919" s="95"/>
      <c r="I919" s="95"/>
      <c r="J919" s="95"/>
      <c r="K919" s="95"/>
      <c r="L919" s="95"/>
    </row>
    <row r="920" spans="6:12" s="90" customFormat="1" ht="12.000000">
      <c r="F920" s="95"/>
      <c r="G920" s="95"/>
      <c r="H920" s="95"/>
      <c r="I920" s="95"/>
      <c r="J920" s="95"/>
      <c r="K920" s="95"/>
      <c r="L920" s="95"/>
    </row>
    <row r="921" spans="6:12" s="90" customFormat="1" ht="12.000000">
      <c r="F921" s="95"/>
      <c r="G921" s="95"/>
      <c r="H921" s="95"/>
      <c r="I921" s="95"/>
      <c r="J921" s="95"/>
      <c r="K921" s="95"/>
      <c r="L921" s="95"/>
    </row>
    <row r="922" spans="6:12" s="90" customFormat="1" ht="12.000000">
      <c r="F922" s="95"/>
      <c r="G922" s="95"/>
      <c r="H922" s="95"/>
      <c r="I922" s="95"/>
      <c r="J922" s="95"/>
      <c r="K922" s="95"/>
      <c r="L922" s="95"/>
    </row>
    <row r="923" spans="6:12" s="90" customFormat="1" ht="12.000000">
      <c r="F923" s="95"/>
      <c r="G923" s="95"/>
      <c r="H923" s="95"/>
      <c r="I923" s="95"/>
      <c r="J923" s="95"/>
      <c r="K923" s="95"/>
      <c r="L923" s="95"/>
    </row>
    <row r="924" spans="6:12" s="90" customFormat="1" ht="12.000000">
      <c r="F924" s="95"/>
      <c r="G924" s="95"/>
      <c r="H924" s="95"/>
      <c r="I924" s="95"/>
      <c r="J924" s="95"/>
      <c r="K924" s="95"/>
      <c r="L924" s="95"/>
    </row>
    <row r="925" spans="6:12" s="90" customFormat="1" ht="12.000000">
      <c r="F925" s="95"/>
      <c r="G925" s="95"/>
      <c r="H925" s="95"/>
      <c r="I925" s="95"/>
      <c r="J925" s="95"/>
      <c r="K925" s="95"/>
      <c r="L925" s="95"/>
    </row>
    <row r="926" spans="6:12" s="90" customFormat="1" ht="12.000000">
      <c r="F926" s="95"/>
      <c r="G926" s="95"/>
      <c r="H926" s="95"/>
      <c r="I926" s="95"/>
      <c r="J926" s="95"/>
      <c r="K926" s="95"/>
      <c r="L926" s="95"/>
    </row>
    <row r="927" spans="6:12" s="90" customFormat="1" ht="12.000000">
      <c r="F927" s="95"/>
      <c r="G927" s="95"/>
      <c r="H927" s="95"/>
      <c r="I927" s="95"/>
      <c r="J927" s="95"/>
      <c r="K927" s="95"/>
      <c r="L927" s="95"/>
    </row>
    <row r="928" spans="6:12" s="90" customFormat="1" ht="12.000000">
      <c r="F928" s="95"/>
      <c r="G928" s="95"/>
      <c r="H928" s="95"/>
      <c r="I928" s="95"/>
      <c r="J928" s="95"/>
      <c r="K928" s="95"/>
      <c r="L928" s="95"/>
    </row>
    <row r="929" spans="6:12" s="90" customFormat="1" ht="12.000000">
      <c r="F929" s="95"/>
      <c r="G929" s="95"/>
      <c r="H929" s="95"/>
      <c r="I929" s="95"/>
      <c r="J929" s="95"/>
      <c r="K929" s="95"/>
      <c r="L929" s="95"/>
    </row>
    <row r="930" spans="6:12" s="90" customFormat="1" ht="12.000000">
      <c r="F930" s="95"/>
      <c r="G930" s="95"/>
      <c r="H930" s="95"/>
      <c r="I930" s="95"/>
      <c r="J930" s="95"/>
      <c r="K930" s="95"/>
      <c r="L930" s="95"/>
    </row>
    <row r="931" spans="6:12" s="90" customFormat="1" ht="12.000000">
      <c r="F931" s="95"/>
      <c r="G931" s="95"/>
      <c r="H931" s="95"/>
      <c r="I931" s="95"/>
      <c r="J931" s="95"/>
      <c r="K931" s="95"/>
      <c r="L931" s="95"/>
    </row>
    <row r="932" spans="6:12" s="90" customFormat="1" ht="12.000000">
      <c r="F932" s="95"/>
      <c r="G932" s="95"/>
      <c r="H932" s="95"/>
      <c r="I932" s="95"/>
      <c r="J932" s="95"/>
      <c r="K932" s="95"/>
      <c r="L932" s="95"/>
    </row>
    <row r="933" spans="6:12" s="90" customFormat="1" ht="12.000000">
      <c r="F933" s="95"/>
      <c r="G933" s="95"/>
      <c r="H933" s="95"/>
      <c r="I933" s="95"/>
      <c r="J933" s="95"/>
      <c r="K933" s="95"/>
      <c r="L933" s="95"/>
    </row>
    <row r="934" spans="6:12" s="90" customFormat="1" ht="12.000000">
      <c r="F934" s="95"/>
      <c r="G934" s="95"/>
      <c r="H934" s="95"/>
      <c r="I934" s="95"/>
      <c r="J934" s="95"/>
      <c r="K934" s="95"/>
      <c r="L934" s="95"/>
    </row>
    <row r="935" spans="6:12" s="90" customFormat="1" ht="12.000000">
      <c r="F935" s="95"/>
      <c r="G935" s="95"/>
      <c r="H935" s="95"/>
      <c r="I935" s="95"/>
      <c r="J935" s="95"/>
      <c r="K935" s="95"/>
      <c r="L935" s="95"/>
    </row>
    <row r="936" spans="6:12" s="90" customFormat="1" ht="12.000000">
      <c r="F936" s="95"/>
      <c r="G936" s="95"/>
      <c r="H936" s="95"/>
      <c r="I936" s="95"/>
      <c r="J936" s="95"/>
      <c r="K936" s="95"/>
      <c r="L936" s="95"/>
    </row>
    <row r="937" spans="6:12" s="90" customFormat="1" ht="12.000000">
      <c r="F937" s="95"/>
      <c r="G937" s="95"/>
      <c r="H937" s="95"/>
      <c r="I937" s="95"/>
      <c r="J937" s="95"/>
      <c r="K937" s="95"/>
      <c r="L937" s="95"/>
    </row>
    <row r="938" spans="6:12" s="90" customFormat="1" ht="12.000000">
      <c r="F938" s="95"/>
      <c r="G938" s="95"/>
      <c r="H938" s="95"/>
      <c r="I938" s="95"/>
      <c r="J938" s="95"/>
      <c r="K938" s="95"/>
      <c r="L938" s="95"/>
    </row>
    <row r="939" spans="6:12" s="90" customFormat="1" ht="12.000000">
      <c r="F939" s="95"/>
      <c r="G939" s="95"/>
      <c r="H939" s="95"/>
      <c r="I939" s="95"/>
      <c r="J939" s="95"/>
      <c r="K939" s="95"/>
      <c r="L939" s="95"/>
    </row>
    <row r="940" spans="6:12" s="90" customFormat="1" ht="12.000000">
      <c r="F940" s="95"/>
      <c r="G940" s="95"/>
      <c r="H940" s="95"/>
      <c r="I940" s="95"/>
      <c r="J940" s="95"/>
      <c r="K940" s="95"/>
      <c r="L940" s="95"/>
    </row>
    <row r="941" spans="6:12" s="90" customFormat="1" ht="12.000000">
      <c r="F941" s="95"/>
      <c r="G941" s="95"/>
      <c r="H941" s="95"/>
      <c r="I941" s="95"/>
      <c r="J941" s="95"/>
      <c r="K941" s="95"/>
      <c r="L941" s="95"/>
    </row>
    <row r="942" spans="6:12" s="90" customFormat="1" ht="12.000000">
      <c r="F942" s="95"/>
      <c r="G942" s="95"/>
      <c r="H942" s="95"/>
      <c r="I942" s="95"/>
      <c r="J942" s="95"/>
      <c r="K942" s="95"/>
      <c r="L942" s="95"/>
    </row>
    <row r="943" spans="6:12" s="90" customFormat="1" ht="12.000000">
      <c r="F943" s="95"/>
      <c r="G943" s="95"/>
      <c r="H943" s="95"/>
      <c r="I943" s="95"/>
      <c r="J943" s="95"/>
      <c r="K943" s="95"/>
      <c r="L943" s="95"/>
    </row>
    <row r="944" spans="6:12" s="90" customFormat="1" ht="12.000000">
      <c r="F944" s="95"/>
      <c r="G944" s="95"/>
      <c r="H944" s="95"/>
      <c r="I944" s="95"/>
      <c r="J944" s="95"/>
      <c r="K944" s="95"/>
      <c r="L944" s="95"/>
    </row>
    <row r="945" spans="6:12" s="90" customFormat="1" ht="12.000000">
      <c r="F945" s="95"/>
      <c r="G945" s="95"/>
      <c r="H945" s="95"/>
      <c r="I945" s="95"/>
      <c r="J945" s="95"/>
      <c r="K945" s="95"/>
      <c r="L945" s="95"/>
    </row>
    <row r="946" spans="6:12" s="90" customFormat="1" ht="12.000000">
      <c r="F946" s="95"/>
      <c r="G946" s="95"/>
      <c r="H946" s="95"/>
      <c r="I946" s="95"/>
      <c r="J946" s="95"/>
      <c r="K946" s="95"/>
      <c r="L946" s="95"/>
    </row>
    <row r="947" spans="6:12" s="90" customFormat="1" ht="12.000000">
      <c r="F947" s="95"/>
      <c r="G947" s="95"/>
      <c r="H947" s="95"/>
      <c r="I947" s="95"/>
      <c r="J947" s="95"/>
      <c r="K947" s="95"/>
      <c r="L947" s="95"/>
    </row>
    <row r="948" spans="6:12" s="90" customFormat="1" ht="12.000000">
      <c r="F948" s="95"/>
      <c r="G948" s="95"/>
      <c r="H948" s="95"/>
      <c r="I948" s="95"/>
      <c r="J948" s="95"/>
      <c r="K948" s="95"/>
      <c r="L948" s="95"/>
    </row>
    <row r="949" spans="6:12" s="90" customFormat="1" ht="12.000000">
      <c r="F949" s="95"/>
      <c r="G949" s="95"/>
      <c r="H949" s="95"/>
      <c r="I949" s="95"/>
      <c r="J949" s="95"/>
      <c r="K949" s="95"/>
      <c r="L949" s="95"/>
    </row>
    <row r="950" spans="6:12" s="90" customFormat="1" ht="12.000000">
      <c r="F950" s="95"/>
      <c r="G950" s="95"/>
      <c r="H950" s="95"/>
      <c r="I950" s="95"/>
      <c r="J950" s="95"/>
      <c r="K950" s="95"/>
      <c r="L950" s="95"/>
    </row>
    <row r="951" spans="6:12" s="90" customFormat="1" ht="12.000000">
      <c r="F951" s="95"/>
      <c r="G951" s="95"/>
      <c r="H951" s="95"/>
      <c r="I951" s="95"/>
      <c r="J951" s="95"/>
      <c r="K951" s="95"/>
      <c r="L951" s="95"/>
    </row>
    <row r="952" spans="6:12" s="90" customFormat="1" ht="12.000000">
      <c r="F952" s="95"/>
      <c r="G952" s="95"/>
      <c r="H952" s="95"/>
      <c r="I952" s="95"/>
      <c r="J952" s="95"/>
      <c r="K952" s="95"/>
      <c r="L952" s="95"/>
    </row>
    <row r="953" spans="6:12" s="90" customFormat="1" ht="12.000000">
      <c r="F953" s="95"/>
      <c r="G953" s="95"/>
      <c r="H953" s="95"/>
      <c r="I953" s="95"/>
      <c r="J953" s="95"/>
      <c r="K953" s="95"/>
      <c r="L953" s="95"/>
    </row>
    <row r="954" spans="6:12" s="90" customFormat="1" ht="12.000000">
      <c r="F954" s="95"/>
      <c r="G954" s="95"/>
      <c r="H954" s="95"/>
      <c r="I954" s="95"/>
      <c r="J954" s="95"/>
      <c r="K954" s="95"/>
      <c r="L954" s="95"/>
    </row>
    <row r="955" spans="6:12" s="90" customFormat="1" ht="12.000000">
      <c r="F955" s="95"/>
      <c r="G955" s="95"/>
      <c r="H955" s="95"/>
      <c r="I955" s="95"/>
      <c r="J955" s="95"/>
      <c r="K955" s="95"/>
      <c r="L955" s="95"/>
    </row>
    <row r="956" spans="6:12" s="90" customFormat="1" ht="12.000000">
      <c r="F956" s="95"/>
      <c r="G956" s="95"/>
      <c r="H956" s="95"/>
      <c r="I956" s="95"/>
      <c r="J956" s="95"/>
      <c r="K956" s="95"/>
      <c r="L956" s="95"/>
    </row>
    <row r="957" spans="6:12" s="90" customFormat="1" ht="12.000000">
      <c r="F957" s="95"/>
      <c r="G957" s="95"/>
      <c r="H957" s="95"/>
      <c r="I957" s="95"/>
      <c r="J957" s="95"/>
      <c r="K957" s="95"/>
      <c r="L957" s="95"/>
    </row>
    <row r="958" spans="6:12" s="90" customFormat="1" ht="12.000000">
      <c r="F958" s="95"/>
      <c r="G958" s="95"/>
      <c r="H958" s="95"/>
      <c r="I958" s="95"/>
      <c r="J958" s="95"/>
      <c r="K958" s="95"/>
      <c r="L958" s="95"/>
    </row>
    <row r="959" spans="6:12" s="90" customFormat="1" ht="12.000000">
      <c r="F959" s="95"/>
      <c r="G959" s="95"/>
      <c r="H959" s="95"/>
      <c r="I959" s="95"/>
      <c r="J959" s="95"/>
      <c r="K959" s="95"/>
      <c r="L959" s="95"/>
    </row>
    <row r="960" spans="6:12" s="90" customFormat="1" ht="12.000000">
      <c r="F960" s="95"/>
      <c r="G960" s="95"/>
      <c r="H960" s="95"/>
      <c r="I960" s="95"/>
      <c r="J960" s="95"/>
      <c r="K960" s="95"/>
      <c r="L960" s="95"/>
    </row>
    <row r="961" spans="6:12" s="90" customFormat="1" ht="12.000000">
      <c r="F961" s="95"/>
      <c r="G961" s="95"/>
      <c r="H961" s="95"/>
      <c r="I961" s="95"/>
      <c r="J961" s="95"/>
      <c r="K961" s="95"/>
      <c r="L961" s="95"/>
    </row>
    <row r="962" spans="6:12" s="90" customFormat="1" ht="12.000000">
      <c r="F962" s="95"/>
      <c r="G962" s="95"/>
      <c r="H962" s="95"/>
      <c r="I962" s="95"/>
      <c r="J962" s="95"/>
      <c r="K962" s="95"/>
      <c r="L962" s="95"/>
    </row>
    <row r="963" spans="6:12" s="90" customFormat="1" ht="12.000000">
      <c r="F963" s="95"/>
      <c r="G963" s="95"/>
      <c r="H963" s="95"/>
      <c r="I963" s="95"/>
      <c r="J963" s="95"/>
      <c r="K963" s="95"/>
      <c r="L963" s="95"/>
    </row>
    <row r="964" spans="6:12" s="90" customFormat="1" ht="12.000000">
      <c r="F964" s="95"/>
      <c r="G964" s="95"/>
      <c r="H964" s="95"/>
      <c r="I964" s="95"/>
      <c r="J964" s="95"/>
      <c r="K964" s="95"/>
      <c r="L964" s="95"/>
    </row>
    <row r="965" spans="6:12" s="90" customFormat="1" ht="12.000000">
      <c r="F965" s="95"/>
      <c r="G965" s="95"/>
      <c r="H965" s="95"/>
      <c r="I965" s="95"/>
      <c r="J965" s="95"/>
      <c r="K965" s="95"/>
      <c r="L965" s="95"/>
    </row>
    <row r="966" spans="6:12" s="90" customFormat="1" ht="12.000000">
      <c r="F966" s="95"/>
      <c r="G966" s="95"/>
      <c r="H966" s="95"/>
      <c r="I966" s="95"/>
      <c r="J966" s="95"/>
      <c r="K966" s="95"/>
      <c r="L966" s="95"/>
    </row>
    <row r="967" spans="6:12" s="90" customFormat="1" ht="12.000000">
      <c r="F967" s="95"/>
      <c r="G967" s="95"/>
      <c r="H967" s="95"/>
      <c r="I967" s="95"/>
      <c r="J967" s="95"/>
      <c r="K967" s="95"/>
      <c r="L967" s="95"/>
    </row>
    <row r="968" spans="6:12" s="90" customFormat="1" ht="12.000000">
      <c r="F968" s="95"/>
      <c r="G968" s="95"/>
      <c r="H968" s="95"/>
      <c r="I968" s="95"/>
      <c r="J968" s="95"/>
      <c r="K968" s="95"/>
      <c r="L968" s="95"/>
    </row>
    <row r="969" spans="6:12" s="90" customFormat="1" ht="12.000000">
      <c r="F969" s="95"/>
      <c r="G969" s="95"/>
      <c r="H969" s="95"/>
      <c r="I969" s="95"/>
      <c r="J969" s="95"/>
      <c r="K969" s="95"/>
      <c r="L969" s="95"/>
    </row>
    <row r="970" spans="6:12" s="90" customFormat="1" ht="12.000000">
      <c r="F970" s="95"/>
      <c r="G970" s="95"/>
      <c r="H970" s="95"/>
      <c r="I970" s="95"/>
      <c r="J970" s="95"/>
      <c r="K970" s="95"/>
      <c r="L970" s="95"/>
    </row>
    <row r="971" spans="6:12" s="90" customFormat="1" ht="12.000000">
      <c r="F971" s="95"/>
      <c r="G971" s="95"/>
      <c r="H971" s="95"/>
      <c r="I971" s="95"/>
      <c r="J971" s="95"/>
      <c r="K971" s="95"/>
      <c r="L971" s="95"/>
    </row>
    <row r="972" spans="6:12" s="90" customFormat="1" ht="12.000000">
      <c r="F972" s="95"/>
      <c r="G972" s="95"/>
      <c r="H972" s="95"/>
      <c r="I972" s="95"/>
      <c r="J972" s="95"/>
      <c r="K972" s="95"/>
      <c r="L972" s="95"/>
    </row>
    <row r="973" spans="6:12" s="90" customFormat="1" ht="12.000000">
      <c r="F973" s="95"/>
      <c r="G973" s="95"/>
      <c r="H973" s="95"/>
      <c r="I973" s="95"/>
      <c r="J973" s="95"/>
      <c r="K973" s="95"/>
      <c r="L973" s="95"/>
    </row>
    <row r="974" spans="6:12" s="90" customFormat="1" ht="12.000000">
      <c r="F974" s="95"/>
      <c r="G974" s="95"/>
      <c r="H974" s="95"/>
      <c r="I974" s="95"/>
      <c r="J974" s="95"/>
      <c r="K974" s="95"/>
      <c r="L974" s="95"/>
    </row>
    <row r="975" spans="6:12" s="90" customFormat="1" ht="12.000000">
      <c r="F975" s="95"/>
      <c r="G975" s="95"/>
      <c r="H975" s="95"/>
      <c r="I975" s="95"/>
      <c r="J975" s="95"/>
      <c r="K975" s="95"/>
      <c r="L975" s="95"/>
    </row>
    <row r="976" spans="6:12" s="90" customFormat="1" ht="12.000000">
      <c r="F976" s="95"/>
      <c r="G976" s="95"/>
      <c r="H976" s="95"/>
      <c r="I976" s="95"/>
      <c r="J976" s="95"/>
      <c r="K976" s="95"/>
      <c r="L976" s="95"/>
    </row>
    <row r="977" spans="6:12" s="90" customFormat="1" ht="12.000000">
      <c r="F977" s="95"/>
      <c r="G977" s="95"/>
      <c r="H977" s="95"/>
      <c r="I977" s="95"/>
      <c r="J977" s="95"/>
      <c r="K977" s="95"/>
      <c r="L977" s="95"/>
    </row>
    <row r="978" spans="6:12" s="90" customFormat="1" ht="12.000000">
      <c r="F978" s="95"/>
      <c r="G978" s="95"/>
      <c r="H978" s="95"/>
      <c r="I978" s="95"/>
      <c r="J978" s="95"/>
      <c r="K978" s="95"/>
      <c r="L978" s="95"/>
    </row>
    <row r="979" spans="6:12" s="90" customFormat="1" ht="12.000000">
      <c r="F979" s="95"/>
      <c r="G979" s="95"/>
      <c r="H979" s="95"/>
      <c r="I979" s="95"/>
      <c r="J979" s="95"/>
      <c r="K979" s="95"/>
      <c r="L979" s="95"/>
    </row>
    <row r="980" spans="6:12" s="90" customFormat="1" ht="12.000000">
      <c r="F980" s="95"/>
      <c r="G980" s="95"/>
      <c r="H980" s="95"/>
      <c r="I980" s="95"/>
      <c r="J980" s="95"/>
      <c r="K980" s="95"/>
      <c r="L980" s="95"/>
    </row>
    <row r="981" spans="6:12" s="90" customFormat="1" ht="12.000000">
      <c r="F981" s="95"/>
      <c r="G981" s="95"/>
      <c r="H981" s="95"/>
      <c r="I981" s="95"/>
      <c r="J981" s="95"/>
      <c r="K981" s="95"/>
      <c r="L981" s="95"/>
    </row>
    <row r="982" spans="6:12" s="90" customFormat="1" ht="12.000000">
      <c r="F982" s="95"/>
      <c r="G982" s="95"/>
      <c r="H982" s="95"/>
      <c r="I982" s="95"/>
      <c r="J982" s="95"/>
      <c r="K982" s="95"/>
      <c r="L982" s="95"/>
    </row>
    <row r="983" spans="6:12" s="90" customFormat="1" ht="12.000000">
      <c r="F983" s="95"/>
      <c r="G983" s="95"/>
      <c r="H983" s="95"/>
      <c r="I983" s="95"/>
      <c r="J983" s="95"/>
      <c r="K983" s="95"/>
      <c r="L983" s="95"/>
    </row>
    <row r="984" spans="6:12" s="90" customFormat="1" ht="12.000000">
      <c r="F984" s="95"/>
      <c r="G984" s="95"/>
      <c r="H984" s="95"/>
      <c r="I984" s="95"/>
      <c r="J984" s="95"/>
      <c r="K984" s="95"/>
      <c r="L984" s="95"/>
    </row>
    <row r="985" spans="6:12" s="90" customFormat="1" ht="12.000000">
      <c r="F985" s="95"/>
      <c r="G985" s="95"/>
      <c r="H985" s="95"/>
      <c r="I985" s="95"/>
      <c r="J985" s="95"/>
      <c r="K985" s="95"/>
      <c r="L985" s="95"/>
    </row>
    <row r="986" spans="6:12" s="90" customFormat="1" ht="12.000000">
      <c r="F986" s="95"/>
      <c r="G986" s="95"/>
      <c r="H986" s="95"/>
      <c r="I986" s="95"/>
      <c r="J986" s="95"/>
      <c r="K986" s="95"/>
      <c r="L986" s="95"/>
    </row>
    <row r="987" spans="6:12" s="90" customFormat="1" ht="12.000000">
      <c r="F987" s="95"/>
      <c r="G987" s="95"/>
      <c r="H987" s="95"/>
      <c r="I987" s="95"/>
      <c r="J987" s="95"/>
      <c r="K987" s="95"/>
      <c r="L987" s="95"/>
    </row>
    <row r="988" spans="6:12" s="90" customFormat="1" ht="12.000000">
      <c r="F988" s="95"/>
      <c r="G988" s="95"/>
      <c r="H988" s="95"/>
      <c r="I988" s="95"/>
      <c r="J988" s="95"/>
      <c r="K988" s="95"/>
      <c r="L988" s="95"/>
    </row>
    <row r="989" spans="6:12" s="90" customFormat="1" ht="12.000000">
      <c r="F989" s="95"/>
      <c r="G989" s="95"/>
      <c r="H989" s="95"/>
      <c r="I989" s="95"/>
      <c r="J989" s="95"/>
      <c r="K989" s="95"/>
      <c r="L989" s="95"/>
    </row>
    <row r="990" spans="6:12" s="90" customFormat="1" ht="12.000000">
      <c r="F990" s="95"/>
      <c r="G990" s="95"/>
      <c r="H990" s="95"/>
      <c r="I990" s="95"/>
      <c r="J990" s="95"/>
      <c r="K990" s="95"/>
      <c r="L990" s="95"/>
    </row>
    <row r="991" spans="6:12" s="90" customFormat="1" ht="12.000000">
      <c r="F991" s="95"/>
      <c r="G991" s="95"/>
      <c r="H991" s="95"/>
      <c r="I991" s="95"/>
      <c r="J991" s="95"/>
      <c r="K991" s="95"/>
      <c r="L991" s="95"/>
    </row>
    <row r="992" spans="6:12" s="90" customFormat="1" ht="12.000000">
      <c r="F992" s="95"/>
      <c r="G992" s="95"/>
      <c r="H992" s="95"/>
      <c r="I992" s="95"/>
      <c r="J992" s="95"/>
      <c r="K992" s="95"/>
      <c r="L992" s="95"/>
    </row>
    <row r="993" spans="6:12" s="90" customFormat="1" ht="12.000000">
      <c r="F993" s="95"/>
      <c r="G993" s="95"/>
      <c r="H993" s="95"/>
      <c r="I993" s="95"/>
      <c r="J993" s="95"/>
      <c r="K993" s="95"/>
      <c r="L993" s="95"/>
    </row>
    <row r="994" spans="6:12" s="90" customFormat="1" ht="12.000000">
      <c r="F994" s="95"/>
      <c r="G994" s="95"/>
      <c r="H994" s="95"/>
      <c r="I994" s="95"/>
      <c r="J994" s="95"/>
      <c r="K994" s="95"/>
      <c r="L994" s="95"/>
    </row>
    <row r="995" spans="6:12" s="90" customFormat="1" ht="12.000000">
      <c r="F995" s="95"/>
      <c r="G995" s="95"/>
      <c r="H995" s="95"/>
      <c r="I995" s="95"/>
      <c r="J995" s="95"/>
      <c r="K995" s="95"/>
      <c r="L995" s="95"/>
    </row>
    <row r="996" spans="6:12" s="90" customFormat="1" ht="12.000000">
      <c r="F996" s="95"/>
      <c r="G996" s="95"/>
      <c r="H996" s="95"/>
      <c r="I996" s="95"/>
      <c r="J996" s="95"/>
      <c r="K996" s="95"/>
      <c r="L996" s="95"/>
    </row>
    <row r="997" spans="6:12" s="90" customFormat="1" ht="12.000000">
      <c r="F997" s="95"/>
      <c r="G997" s="95"/>
      <c r="H997" s="95"/>
      <c r="I997" s="95"/>
      <c r="J997" s="95"/>
      <c r="K997" s="95"/>
      <c r="L997" s="95"/>
    </row>
    <row r="998" spans="6:12" s="90" customFormat="1" ht="12.000000">
      <c r="F998" s="95"/>
      <c r="G998" s="95"/>
      <c r="H998" s="95"/>
      <c r="I998" s="95"/>
      <c r="J998" s="95"/>
      <c r="K998" s="95"/>
      <c r="L998" s="95"/>
    </row>
    <row r="999" spans="6:12" s="90" customFormat="1" ht="12.000000">
      <c r="F999" s="95"/>
      <c r="G999" s="95"/>
      <c r="H999" s="95"/>
      <c r="I999" s="95"/>
      <c r="J999" s="95"/>
      <c r="K999" s="95"/>
      <c r="L999" s="95"/>
    </row>
    <row r="1000" spans="6:12" s="90" customFormat="1" ht="12.000000">
      <c r="F1000" s="95"/>
      <c r="G1000" s="95"/>
      <c r="H1000" s="95"/>
      <c r="I1000" s="95"/>
      <c r="J1000" s="95"/>
      <c r="K1000" s="95"/>
      <c r="L1000" s="95"/>
    </row>
    <row r="1001" spans="6:12" s="90" customFormat="1" ht="12.000000">
      <c r="F1001" s="95"/>
      <c r="G1001" s="95"/>
      <c r="H1001" s="95"/>
      <c r="I1001" s="95"/>
      <c r="J1001" s="95"/>
      <c r="K1001" s="95"/>
      <c r="L1001" s="95"/>
    </row>
    <row r="1002" spans="6:12" s="90" customFormat="1" ht="12.000000">
      <c r="F1002" s="95"/>
      <c r="G1002" s="95"/>
      <c r="H1002" s="95"/>
      <c r="I1002" s="95"/>
      <c r="J1002" s="95"/>
      <c r="K1002" s="95"/>
      <c r="L1002" s="95"/>
    </row>
    <row r="1003" spans="6:12" s="90" customFormat="1" ht="12.000000">
      <c r="F1003" s="95"/>
      <c r="G1003" s="95"/>
      <c r="H1003" s="95"/>
      <c r="I1003" s="95"/>
      <c r="J1003" s="95"/>
      <c r="K1003" s="95"/>
      <c r="L1003" s="95"/>
    </row>
    <row r="1004" spans="6:12" s="90" customFormat="1" ht="12.000000">
      <c r="F1004" s="95"/>
      <c r="G1004" s="95"/>
      <c r="H1004" s="95"/>
      <c r="I1004" s="95"/>
      <c r="J1004" s="95"/>
      <c r="K1004" s="95"/>
      <c r="L1004" s="95"/>
    </row>
    <row r="1005" spans="6:12" s="90" customFormat="1" ht="12.000000">
      <c r="F1005" s="95"/>
      <c r="G1005" s="95"/>
      <c r="H1005" s="95"/>
      <c r="I1005" s="95"/>
      <c r="J1005" s="95"/>
      <c r="K1005" s="95"/>
      <c r="L1005" s="95"/>
    </row>
    <row r="1006" spans="6:12" s="90" customFormat="1" ht="12.000000">
      <c r="F1006" s="95"/>
      <c r="G1006" s="95"/>
      <c r="H1006" s="95"/>
      <c r="I1006" s="95"/>
      <c r="J1006" s="95"/>
      <c r="K1006" s="95"/>
      <c r="L1006" s="95"/>
    </row>
    <row r="1007" spans="6:12" s="90" customFormat="1" ht="12.000000">
      <c r="F1007" s="95"/>
      <c r="G1007" s="95"/>
      <c r="H1007" s="95"/>
      <c r="I1007" s="95"/>
      <c r="J1007" s="95"/>
      <c r="K1007" s="95"/>
      <c r="L1007" s="95"/>
    </row>
    <row r="1008" spans="6:12" s="90" customFormat="1" ht="12.000000">
      <c r="F1008" s="95"/>
      <c r="G1008" s="95"/>
      <c r="H1008" s="95"/>
      <c r="I1008" s="95"/>
      <c r="J1008" s="95"/>
      <c r="K1008" s="95"/>
      <c r="L1008" s="95"/>
    </row>
    <row r="1009" spans="6:12" s="90" customFormat="1" ht="12.000000">
      <c r="F1009" s="95"/>
      <c r="G1009" s="95"/>
      <c r="H1009" s="95"/>
      <c r="I1009" s="95"/>
      <c r="J1009" s="95"/>
      <c r="K1009" s="95"/>
      <c r="L1009" s="95"/>
    </row>
    <row r="1010" spans="6:12" s="90" customFormat="1" ht="12.000000">
      <c r="F1010" s="95"/>
      <c r="G1010" s="95"/>
      <c r="H1010" s="95"/>
      <c r="I1010" s="95"/>
      <c r="J1010" s="95"/>
      <c r="K1010" s="95"/>
      <c r="L1010" s="95"/>
    </row>
    <row r="1011" spans="6:12" s="90" customFormat="1" ht="12.000000">
      <c r="F1011" s="95"/>
      <c r="G1011" s="95"/>
      <c r="H1011" s="95"/>
      <c r="I1011" s="95"/>
      <c r="J1011" s="95"/>
      <c r="K1011" s="95"/>
      <c r="L1011" s="95"/>
    </row>
    <row r="1012" spans="6:12" s="90" customFormat="1" ht="12.000000">
      <c r="F1012" s="95"/>
      <c r="G1012" s="95"/>
      <c r="H1012" s="95"/>
      <c r="I1012" s="95"/>
      <c r="J1012" s="95"/>
      <c r="K1012" s="95"/>
      <c r="L1012" s="95"/>
    </row>
    <row r="1013" spans="6:12" s="90" customFormat="1" ht="12.000000">
      <c r="F1013" s="95"/>
      <c r="G1013" s="95"/>
      <c r="H1013" s="95"/>
      <c r="I1013" s="95"/>
      <c r="J1013" s="95"/>
      <c r="K1013" s="95"/>
      <c r="L1013" s="95"/>
    </row>
    <row r="1014" spans="6:12" s="90" customFormat="1" ht="12.000000">
      <c r="F1014" s="95"/>
      <c r="G1014" s="95"/>
      <c r="H1014" s="95"/>
      <c r="I1014" s="95"/>
      <c r="J1014" s="95"/>
      <c r="K1014" s="95"/>
      <c r="L1014" s="95"/>
    </row>
    <row r="1015" spans="6:12" s="90" customFormat="1" ht="12.000000">
      <c r="F1015" s="95"/>
      <c r="G1015" s="95"/>
      <c r="H1015" s="95"/>
      <c r="I1015" s="95"/>
      <c r="J1015" s="95"/>
      <c r="K1015" s="95"/>
      <c r="L1015" s="95"/>
    </row>
    <row r="1016" spans="6:12" s="90" customFormat="1" ht="12.000000">
      <c r="F1016" s="95"/>
      <c r="G1016" s="95"/>
      <c r="H1016" s="95"/>
      <c r="I1016" s="95"/>
      <c r="J1016" s="95"/>
      <c r="K1016" s="95"/>
      <c r="L1016" s="95"/>
    </row>
    <row r="1017" spans="6:12" s="90" customFormat="1" ht="12.000000">
      <c r="F1017" s="95"/>
      <c r="G1017" s="95"/>
      <c r="H1017" s="95"/>
      <c r="I1017" s="95"/>
      <c r="J1017" s="95"/>
      <c r="K1017" s="95"/>
      <c r="L1017" s="95"/>
    </row>
    <row r="1018" spans="6:12" s="90" customFormat="1" ht="12.000000">
      <c r="F1018" s="95"/>
      <c r="G1018" s="95"/>
      <c r="H1018" s="95"/>
      <c r="I1018" s="95"/>
      <c r="J1018" s="95"/>
      <c r="K1018" s="95"/>
      <c r="L1018" s="95"/>
    </row>
    <row r="1019" spans="6:12" s="90" customFormat="1" ht="12.000000">
      <c r="F1019" s="95"/>
      <c r="G1019" s="95"/>
      <c r="H1019" s="95"/>
      <c r="I1019" s="95"/>
      <c r="J1019" s="95"/>
      <c r="K1019" s="95"/>
      <c r="L1019" s="95"/>
    </row>
    <row r="1020" spans="6:12" s="90" customFormat="1" ht="12.000000">
      <c r="F1020" s="95"/>
      <c r="G1020" s="95"/>
      <c r="H1020" s="95"/>
      <c r="I1020" s="95"/>
      <c r="J1020" s="95"/>
      <c r="K1020" s="95"/>
      <c r="L1020" s="95"/>
    </row>
    <row r="1021" spans="6:12" s="90" customFormat="1" ht="12.000000">
      <c r="F1021" s="95"/>
      <c r="G1021" s="95"/>
      <c r="H1021" s="95"/>
      <c r="I1021" s="95"/>
      <c r="J1021" s="95"/>
      <c r="K1021" s="95"/>
      <c r="L1021" s="95"/>
    </row>
    <row r="1022" spans="6:12" s="90" customFormat="1" ht="12.000000">
      <c r="F1022" s="95"/>
      <c r="G1022" s="95"/>
      <c r="H1022" s="95"/>
      <c r="I1022" s="95"/>
      <c r="J1022" s="95"/>
      <c r="K1022" s="95"/>
      <c r="L1022" s="95"/>
    </row>
    <row r="1023" spans="6:12" s="90" customFormat="1" ht="12.000000">
      <c r="F1023" s="95"/>
      <c r="G1023" s="95"/>
      <c r="H1023" s="95"/>
      <c r="I1023" s="95"/>
      <c r="J1023" s="95"/>
      <c r="K1023" s="95"/>
      <c r="L1023" s="95"/>
    </row>
    <row r="1024" spans="6:12" s="90" customFormat="1" ht="12.000000">
      <c r="F1024" s="95"/>
      <c r="G1024" s="95"/>
      <c r="H1024" s="95"/>
      <c r="I1024" s="95"/>
      <c r="J1024" s="95"/>
      <c r="K1024" s="95"/>
      <c r="L1024" s="95"/>
    </row>
    <row r="1025" spans="6:12" s="90" customFormat="1" ht="12.000000">
      <c r="F1025" s="95"/>
      <c r="G1025" s="95"/>
      <c r="H1025" s="95"/>
      <c r="I1025" s="95"/>
      <c r="J1025" s="95"/>
      <c r="K1025" s="95"/>
      <c r="L1025" s="95"/>
    </row>
    <row r="1026" spans="6:12" s="90" customFormat="1" ht="12.000000">
      <c r="F1026" s="95"/>
      <c r="G1026" s="95"/>
      <c r="H1026" s="95"/>
      <c r="I1026" s="95"/>
      <c r="J1026" s="95"/>
      <c r="K1026" s="95"/>
      <c r="L1026" s="95"/>
    </row>
    <row r="1027" spans="6:12" s="90" customFormat="1" ht="12.000000">
      <c r="F1027" s="95"/>
      <c r="G1027" s="95"/>
      <c r="H1027" s="95"/>
      <c r="I1027" s="95"/>
      <c r="J1027" s="95"/>
      <c r="K1027" s="95"/>
      <c r="L1027" s="95"/>
    </row>
    <row r="1028" spans="6:12" s="90" customFormat="1" ht="12.000000">
      <c r="F1028" s="95"/>
      <c r="G1028" s="95"/>
      <c r="H1028" s="95"/>
      <c r="I1028" s="95"/>
      <c r="J1028" s="95"/>
      <c r="K1028" s="95"/>
      <c r="L1028" s="95"/>
    </row>
    <row r="1029" spans="6:12" s="90" customFormat="1" ht="12.000000">
      <c r="F1029" s="95"/>
      <c r="G1029" s="95"/>
      <c r="H1029" s="95"/>
      <c r="I1029" s="95"/>
      <c r="J1029" s="95"/>
      <c r="K1029" s="95"/>
      <c r="L1029" s="95"/>
    </row>
    <row r="1030" spans="6:12" s="90" customFormat="1" ht="12.000000">
      <c r="F1030" s="95"/>
      <c r="G1030" s="95"/>
      <c r="H1030" s="95"/>
      <c r="I1030" s="95"/>
      <c r="J1030" s="95"/>
      <c r="K1030" s="95"/>
      <c r="L1030" s="95"/>
    </row>
    <row r="1031" spans="6:12" s="90" customFormat="1" ht="12.000000">
      <c r="F1031" s="95"/>
      <c r="G1031" s="95"/>
      <c r="H1031" s="95"/>
      <c r="I1031" s="95"/>
      <c r="J1031" s="95"/>
      <c r="K1031" s="95"/>
      <c r="L1031" s="95"/>
    </row>
    <row r="1032" spans="6:12" s="90" customFormat="1" ht="12.000000">
      <c r="F1032" s="95"/>
      <c r="G1032" s="95"/>
      <c r="H1032" s="95"/>
      <c r="I1032" s="95"/>
      <c r="J1032" s="95"/>
      <c r="K1032" s="95"/>
      <c r="L1032" s="95"/>
    </row>
    <row r="1033" spans="6:12" s="90" customFormat="1" ht="12.000000">
      <c r="F1033" s="95"/>
      <c r="G1033" s="95"/>
      <c r="H1033" s="95"/>
      <c r="I1033" s="95"/>
      <c r="J1033" s="95"/>
      <c r="K1033" s="95"/>
      <c r="L1033" s="95"/>
    </row>
    <row r="1034" spans="6:12" s="90" customFormat="1" ht="12.000000">
      <c r="F1034" s="95"/>
      <c r="G1034" s="95"/>
      <c r="H1034" s="95"/>
      <c r="I1034" s="95"/>
      <c r="J1034" s="95"/>
      <c r="K1034" s="95"/>
      <c r="L1034" s="95"/>
    </row>
    <row r="1035" spans="6:12" s="90" customFormat="1" ht="12.000000">
      <c r="F1035" s="95"/>
      <c r="G1035" s="95"/>
      <c r="H1035" s="95"/>
      <c r="I1035" s="95"/>
      <c r="J1035" s="95"/>
      <c r="K1035" s="95"/>
      <c r="L1035" s="95"/>
    </row>
    <row r="1036" spans="6:12" s="90" customFormat="1" ht="12.000000">
      <c r="F1036" s="95"/>
      <c r="G1036" s="95"/>
      <c r="H1036" s="95"/>
      <c r="I1036" s="95"/>
      <c r="J1036" s="95"/>
      <c r="K1036" s="95"/>
      <c r="L1036" s="95"/>
    </row>
    <row r="1037" spans="6:12" s="90" customFormat="1" ht="12.000000">
      <c r="F1037" s="95"/>
      <c r="G1037" s="95"/>
      <c r="H1037" s="95"/>
      <c r="I1037" s="95"/>
      <c r="J1037" s="95"/>
      <c r="K1037" s="95"/>
      <c r="L1037" s="95"/>
    </row>
    <row r="1038" spans="6:12" s="90" customFormat="1" ht="12.000000">
      <c r="F1038" s="95"/>
      <c r="G1038" s="95"/>
      <c r="H1038" s="95"/>
      <c r="I1038" s="95"/>
      <c r="J1038" s="95"/>
      <c r="K1038" s="95"/>
      <c r="L1038" s="95"/>
    </row>
    <row r="1039" spans="6:12" s="90" customFormat="1" ht="12.000000">
      <c r="F1039" s="95"/>
      <c r="G1039" s="95"/>
      <c r="H1039" s="95"/>
      <c r="I1039" s="95"/>
      <c r="J1039" s="95"/>
      <c r="K1039" s="95"/>
      <c r="L1039" s="95"/>
    </row>
    <row r="1040" spans="6:12" s="90" customFormat="1" ht="12.000000">
      <c r="F1040" s="95"/>
      <c r="G1040" s="95"/>
      <c r="H1040" s="95"/>
      <c r="I1040" s="95"/>
      <c r="J1040" s="95"/>
      <c r="K1040" s="95"/>
      <c r="L1040" s="95"/>
    </row>
    <row r="1041" spans="6:12" s="90" customFormat="1" ht="12.000000">
      <c r="F1041" s="95"/>
      <c r="G1041" s="95"/>
      <c r="H1041" s="95"/>
      <c r="I1041" s="95"/>
      <c r="J1041" s="95"/>
      <c r="K1041" s="95"/>
      <c r="L1041" s="95"/>
    </row>
    <row r="1042" spans="6:12" s="90" customFormat="1" ht="12.000000">
      <c r="F1042" s="95"/>
      <c r="G1042" s="95"/>
      <c r="H1042" s="95"/>
      <c r="I1042" s="95"/>
      <c r="J1042" s="95"/>
      <c r="K1042" s="95"/>
      <c r="L1042" s="95"/>
    </row>
    <row r="1043" spans="6:12" s="90" customFormat="1" ht="12.000000">
      <c r="F1043" s="95"/>
      <c r="G1043" s="95"/>
      <c r="H1043" s="95"/>
      <c r="I1043" s="95"/>
      <c r="J1043" s="95"/>
      <c r="K1043" s="95"/>
      <c r="L1043" s="95"/>
    </row>
    <row r="1044" spans="6:12" s="90" customFormat="1" ht="12.000000">
      <c r="F1044" s="95"/>
      <c r="G1044" s="95"/>
      <c r="H1044" s="95"/>
      <c r="I1044" s="95"/>
      <c r="J1044" s="95"/>
      <c r="K1044" s="95"/>
      <c r="L1044" s="95"/>
    </row>
    <row r="1045" spans="6:12" s="90" customFormat="1" ht="12.000000">
      <c r="F1045" s="95"/>
      <c r="G1045" s="95"/>
      <c r="H1045" s="95"/>
      <c r="I1045" s="95"/>
      <c r="J1045" s="95"/>
      <c r="K1045" s="95"/>
      <c r="L1045" s="95"/>
    </row>
    <row r="1046" spans="6:12" s="90" customFormat="1" ht="12.000000">
      <c r="F1046" s="95"/>
      <c r="G1046" s="95"/>
      <c r="H1046" s="95"/>
      <c r="I1046" s="95"/>
      <c r="J1046" s="95"/>
      <c r="K1046" s="95"/>
      <c r="L1046" s="95"/>
    </row>
    <row r="1047" spans="6:12" s="90" customFormat="1" ht="12.000000">
      <c r="F1047" s="95"/>
      <c r="G1047" s="95"/>
      <c r="H1047" s="95"/>
      <c r="I1047" s="95"/>
      <c r="J1047" s="95"/>
      <c r="K1047" s="95"/>
      <c r="L1047" s="95"/>
    </row>
    <row r="1048" spans="6:12" s="90" customFormat="1" ht="12.000000">
      <c r="F1048" s="95"/>
      <c r="G1048" s="95"/>
      <c r="H1048" s="95"/>
      <c r="I1048" s="95"/>
      <c r="J1048" s="95"/>
      <c r="K1048" s="95"/>
      <c r="L1048" s="95"/>
    </row>
    <row r="1049" spans="6:12" s="90" customFormat="1" ht="12.000000">
      <c r="F1049" s="95"/>
      <c r="G1049" s="95"/>
      <c r="H1049" s="95"/>
      <c r="I1049" s="95"/>
      <c r="J1049" s="95"/>
      <c r="K1049" s="95"/>
      <c r="L1049" s="95"/>
    </row>
    <row r="1050" spans="6:12" s="90" customFormat="1" ht="12.000000">
      <c r="F1050" s="95"/>
      <c r="G1050" s="95"/>
      <c r="H1050" s="95"/>
      <c r="I1050" s="95"/>
      <c r="J1050" s="95"/>
      <c r="K1050" s="95"/>
      <c r="L1050" s="95"/>
    </row>
    <row r="1051" spans="6:12" s="90" customFormat="1" ht="12.000000">
      <c r="F1051" s="95"/>
      <c r="G1051" s="95"/>
      <c r="H1051" s="95"/>
      <c r="I1051" s="95"/>
      <c r="J1051" s="95"/>
      <c r="K1051" s="95"/>
      <c r="L1051" s="95"/>
    </row>
    <row r="1052" spans="6:12" s="90" customFormat="1" ht="12.000000">
      <c r="F1052" s="95"/>
      <c r="G1052" s="95"/>
      <c r="H1052" s="95"/>
      <c r="I1052" s="95"/>
      <c r="J1052" s="95"/>
      <c r="K1052" s="95"/>
      <c r="L1052" s="95"/>
    </row>
    <row r="1053" spans="6:12" s="90" customFormat="1" ht="12.000000">
      <c r="F1053" s="95"/>
      <c r="G1053" s="95"/>
      <c r="H1053" s="95"/>
      <c r="I1053" s="95"/>
      <c r="J1053" s="95"/>
      <c r="K1053" s="95"/>
      <c r="L1053" s="95"/>
    </row>
    <row r="1054" spans="6:12" s="90" customFormat="1" ht="12.000000">
      <c r="F1054" s="95"/>
      <c r="G1054" s="95"/>
      <c r="H1054" s="95"/>
      <c r="I1054" s="95"/>
      <c r="J1054" s="95"/>
      <c r="K1054" s="95"/>
      <c r="L1054" s="95"/>
    </row>
    <row r="1055" spans="6:12" s="90" customFormat="1" ht="12.000000">
      <c r="F1055" s="95"/>
      <c r="G1055" s="95"/>
      <c r="H1055" s="95"/>
      <c r="I1055" s="95"/>
      <c r="J1055" s="95"/>
      <c r="K1055" s="95"/>
      <c r="L1055" s="95"/>
    </row>
    <row r="1056" spans="6:12" s="90" customFormat="1" ht="12.000000">
      <c r="F1056" s="95"/>
      <c r="G1056" s="95"/>
      <c r="H1056" s="95"/>
      <c r="I1056" s="95"/>
      <c r="J1056" s="95"/>
      <c r="K1056" s="95"/>
      <c r="L1056" s="95"/>
    </row>
    <row r="1057" spans="6:12" s="90" customFormat="1" ht="12.000000">
      <c r="F1057" s="95"/>
      <c r="G1057" s="95"/>
      <c r="H1057" s="95"/>
      <c r="I1057" s="95"/>
      <c r="J1057" s="95"/>
      <c r="K1057" s="95"/>
      <c r="L1057" s="95"/>
    </row>
    <row r="1058" spans="6:12" s="90" customFormat="1" ht="12.000000">
      <c r="F1058" s="95"/>
      <c r="G1058" s="95"/>
      <c r="H1058" s="95"/>
      <c r="I1058" s="95"/>
      <c r="J1058" s="95"/>
      <c r="K1058" s="95"/>
      <c r="L1058" s="95"/>
    </row>
    <row r="1059" spans="6:12" s="90" customFormat="1" ht="12.000000">
      <c r="F1059" s="95"/>
      <c r="G1059" s="95"/>
      <c r="H1059" s="95"/>
      <c r="I1059" s="95"/>
      <c r="J1059" s="95"/>
      <c r="K1059" s="95"/>
      <c r="L1059" s="95"/>
    </row>
    <row r="1060" spans="6:12" s="90" customFormat="1" ht="12.000000">
      <c r="F1060" s="95"/>
      <c r="G1060" s="95"/>
      <c r="H1060" s="95"/>
      <c r="I1060" s="95"/>
      <c r="J1060" s="95"/>
      <c r="K1060" s="95"/>
      <c r="L1060" s="95"/>
    </row>
    <row r="1061" spans="6:12" s="90" customFormat="1" ht="12.000000">
      <c r="F1061" s="95"/>
      <c r="G1061" s="95"/>
      <c r="H1061" s="95"/>
      <c r="I1061" s="95"/>
      <c r="J1061" s="95"/>
      <c r="K1061" s="95"/>
      <c r="L1061" s="95"/>
    </row>
    <row r="1062" spans="6:12" s="90" customFormat="1" ht="12.000000">
      <c r="F1062" s="95"/>
      <c r="G1062" s="95"/>
      <c r="H1062" s="95"/>
      <c r="I1062" s="95"/>
      <c r="J1062" s="95"/>
      <c r="K1062" s="95"/>
      <c r="L1062" s="95"/>
    </row>
    <row r="1063" spans="6:12" s="90" customFormat="1" ht="12.000000">
      <c r="F1063" s="95"/>
      <c r="G1063" s="95"/>
      <c r="H1063" s="95"/>
      <c r="I1063" s="95"/>
      <c r="J1063" s="95"/>
      <c r="K1063" s="95"/>
      <c r="L1063" s="95"/>
    </row>
    <row r="1064" spans="6:12" s="90" customFormat="1" ht="12.000000">
      <c r="F1064" s="95"/>
      <c r="G1064" s="95"/>
      <c r="H1064" s="95"/>
      <c r="I1064" s="95"/>
      <c r="J1064" s="95"/>
      <c r="K1064" s="95"/>
      <c r="L1064" s="95"/>
    </row>
    <row r="1065" spans="6:12" s="90" customFormat="1" ht="12.000000">
      <c r="F1065" s="95"/>
      <c r="G1065" s="95"/>
      <c r="H1065" s="95"/>
      <c r="I1065" s="95"/>
      <c r="J1065" s="95"/>
      <c r="K1065" s="95"/>
      <c r="L1065" s="95"/>
    </row>
    <row r="1066" spans="6:12" s="90" customFormat="1" ht="12.000000">
      <c r="F1066" s="95"/>
      <c r="G1066" s="95"/>
      <c r="H1066" s="95"/>
      <c r="I1066" s="95"/>
      <c r="J1066" s="95"/>
      <c r="K1066" s="95"/>
      <c r="L1066" s="95"/>
    </row>
    <row r="1067" spans="6:12" s="90" customFormat="1" ht="12.000000">
      <c r="F1067" s="95"/>
      <c r="G1067" s="95"/>
      <c r="H1067" s="95"/>
      <c r="I1067" s="95"/>
      <c r="J1067" s="95"/>
      <c r="K1067" s="95"/>
      <c r="L1067" s="95"/>
    </row>
    <row r="1068" spans="6:12" s="90" customFormat="1" ht="12.000000">
      <c r="F1068" s="95"/>
      <c r="G1068" s="95"/>
      <c r="H1068" s="95"/>
      <c r="I1068" s="95"/>
      <c r="J1068" s="95"/>
      <c r="K1068" s="95"/>
      <c r="L1068" s="95"/>
    </row>
    <row r="1069" spans="6:12" s="90" customFormat="1" ht="12.000000">
      <c r="F1069" s="95"/>
      <c r="G1069" s="95"/>
      <c r="H1069" s="95"/>
      <c r="I1069" s="95"/>
      <c r="J1069" s="95"/>
      <c r="K1069" s="95"/>
      <c r="L1069" s="95"/>
    </row>
    <row r="1070" spans="6:12" s="90" customFormat="1" ht="12.000000">
      <c r="F1070" s="95"/>
      <c r="G1070" s="95"/>
      <c r="H1070" s="95"/>
      <c r="I1070" s="95"/>
      <c r="J1070" s="95"/>
      <c r="K1070" s="95"/>
      <c r="L1070" s="95"/>
    </row>
    <row r="1071" spans="6:12" s="90" customFormat="1" ht="12.000000">
      <c r="F1071" s="95"/>
      <c r="G1071" s="95"/>
      <c r="H1071" s="95"/>
      <c r="I1071" s="95"/>
      <c r="J1071" s="95"/>
      <c r="K1071" s="95"/>
      <c r="L1071" s="95"/>
    </row>
    <row r="1072" spans="6:12" s="90" customFormat="1" ht="12.000000">
      <c r="F1072" s="95"/>
      <c r="G1072" s="95"/>
      <c r="H1072" s="95"/>
      <c r="I1072" s="95"/>
      <c r="J1072" s="95"/>
      <c r="K1072" s="95"/>
      <c r="L1072" s="95"/>
    </row>
    <row r="1073" spans="6:12" s="90" customFormat="1" ht="12.000000">
      <c r="F1073" s="95"/>
      <c r="G1073" s="95"/>
      <c r="H1073" s="95"/>
      <c r="I1073" s="95"/>
      <c r="J1073" s="95"/>
      <c r="K1073" s="95"/>
      <c r="L1073" s="95"/>
    </row>
    <row r="1074" spans="6:12" s="90" customFormat="1" ht="12.000000">
      <c r="F1074" s="95"/>
      <c r="G1074" s="95"/>
      <c r="H1074" s="95"/>
      <c r="I1074" s="95"/>
      <c r="J1074" s="95"/>
      <c r="K1074" s="95"/>
      <c r="L1074" s="95"/>
    </row>
    <row r="1075" spans="6:12" s="90" customFormat="1" ht="12.000000">
      <c r="F1075" s="95"/>
      <c r="G1075" s="95"/>
      <c r="H1075" s="95"/>
      <c r="I1075" s="95"/>
      <c r="J1075" s="95"/>
      <c r="K1075" s="95"/>
      <c r="L1075" s="95"/>
    </row>
    <row r="1076" spans="6:12" s="90" customFormat="1" ht="12.000000">
      <c r="F1076" s="95"/>
      <c r="G1076" s="95"/>
      <c r="H1076" s="95"/>
      <c r="I1076" s="95"/>
      <c r="J1076" s="95"/>
      <c r="K1076" s="95"/>
      <c r="L1076" s="95"/>
    </row>
    <row r="1077" spans="6:12" s="90" customFormat="1" ht="12.000000">
      <c r="F1077" s="95"/>
      <c r="G1077" s="95"/>
      <c r="H1077" s="95"/>
      <c r="I1077" s="95"/>
      <c r="J1077" s="95"/>
      <c r="K1077" s="95"/>
      <c r="L1077" s="95"/>
    </row>
    <row r="1078" spans="6:12" s="90" customFormat="1" ht="12.000000">
      <c r="F1078" s="95"/>
      <c r="G1078" s="95"/>
      <c r="H1078" s="95"/>
      <c r="I1078" s="95"/>
      <c r="J1078" s="95"/>
      <c r="K1078" s="95"/>
      <c r="L1078" s="95"/>
    </row>
    <row r="1079" spans="6:12" s="90" customFormat="1" ht="12.000000">
      <c r="F1079" s="95"/>
      <c r="G1079" s="95"/>
      <c r="H1079" s="95"/>
      <c r="I1079" s="95"/>
      <c r="J1079" s="95"/>
      <c r="K1079" s="95"/>
      <c r="L1079" s="95"/>
    </row>
    <row r="1080" spans="6:12" s="90" customFormat="1" ht="12.000000">
      <c r="F1080" s="95"/>
      <c r="G1080" s="95"/>
      <c r="H1080" s="95"/>
      <c r="I1080" s="95"/>
      <c r="J1080" s="95"/>
      <c r="K1080" s="95"/>
      <c r="L1080" s="95"/>
    </row>
    <row r="1081" spans="6:12" s="90" customFormat="1" ht="12.000000">
      <c r="F1081" s="95"/>
      <c r="G1081" s="95"/>
      <c r="H1081" s="95"/>
      <c r="I1081" s="95"/>
      <c r="J1081" s="95"/>
      <c r="K1081" s="95"/>
      <c r="L1081" s="95"/>
    </row>
    <row r="1082" spans="6:12" s="90" customFormat="1" ht="12.000000">
      <c r="F1082" s="95"/>
      <c r="G1082" s="95"/>
      <c r="H1082" s="95"/>
      <c r="I1082" s="95"/>
      <c r="J1082" s="95"/>
      <c r="K1082" s="95"/>
      <c r="L1082" s="95"/>
    </row>
    <row r="1083" spans="6:12" s="90" customFormat="1" ht="12.000000">
      <c r="F1083" s="95"/>
      <c r="G1083" s="95"/>
      <c r="H1083" s="95"/>
      <c r="I1083" s="95"/>
      <c r="J1083" s="95"/>
      <c r="K1083" s="95"/>
      <c r="L1083" s="95"/>
    </row>
    <row r="1084" spans="6:12" s="90" customFormat="1" ht="12.000000">
      <c r="F1084" s="95"/>
      <c r="G1084" s="95"/>
      <c r="H1084" s="95"/>
      <c r="I1084" s="95"/>
      <c r="J1084" s="95"/>
      <c r="K1084" s="95"/>
      <c r="L1084" s="95"/>
    </row>
    <row r="1085" spans="6:12" s="90" customFormat="1" ht="12.000000">
      <c r="F1085" s="95"/>
      <c r="G1085" s="95"/>
      <c r="H1085" s="95"/>
      <c r="I1085" s="95"/>
      <c r="J1085" s="95"/>
      <c r="K1085" s="95"/>
      <c r="L1085" s="95"/>
    </row>
    <row r="1086" spans="6:12" s="90" customFormat="1" ht="12.000000">
      <c r="F1086" s="95"/>
      <c r="G1086" s="95"/>
      <c r="H1086" s="95"/>
      <c r="I1086" s="95"/>
      <c r="J1086" s="95"/>
      <c r="K1086" s="95"/>
      <c r="L1086" s="95"/>
    </row>
    <row r="1087" spans="6:12" s="90" customFormat="1" ht="12.000000">
      <c r="F1087" s="95"/>
      <c r="G1087" s="95"/>
      <c r="H1087" s="95"/>
      <c r="I1087" s="95"/>
      <c r="J1087" s="95"/>
      <c r="K1087" s="95"/>
      <c r="L1087" s="95"/>
    </row>
    <row r="1088" spans="6:12" s="90" customFormat="1" ht="12.000000">
      <c r="F1088" s="95"/>
      <c r="G1088" s="95"/>
      <c r="H1088" s="95"/>
      <c r="I1088" s="95"/>
      <c r="J1088" s="95"/>
      <c r="K1088" s="95"/>
      <c r="L1088" s="95"/>
    </row>
    <row r="1089" spans="6:12" s="90" customFormat="1" ht="12.000000">
      <c r="F1089" s="95"/>
      <c r="G1089" s="95"/>
      <c r="H1089" s="95"/>
      <c r="I1089" s="95"/>
      <c r="J1089" s="95"/>
      <c r="K1089" s="95"/>
      <c r="L1089" s="95"/>
    </row>
    <row r="1090" spans="6:12" s="90" customFormat="1" ht="12.000000">
      <c r="F1090" s="95"/>
      <c r="G1090" s="95"/>
      <c r="H1090" s="95"/>
      <c r="I1090" s="95"/>
      <c r="J1090" s="95"/>
      <c r="K1090" s="95"/>
      <c r="L1090" s="95"/>
    </row>
    <row r="1091" spans="6:12" s="90" customFormat="1" ht="12.000000">
      <c r="F1091" s="95"/>
      <c r="G1091" s="95"/>
      <c r="H1091" s="95"/>
      <c r="I1091" s="95"/>
      <c r="J1091" s="95"/>
      <c r="K1091" s="95"/>
      <c r="L1091" s="95"/>
    </row>
    <row r="1092" spans="6:12" s="90" customFormat="1" ht="12.000000">
      <c r="F1092" s="95"/>
      <c r="G1092" s="95"/>
      <c r="H1092" s="95"/>
      <c r="I1092" s="95"/>
      <c r="J1092" s="95"/>
      <c r="K1092" s="95"/>
      <c r="L1092" s="95"/>
    </row>
    <row r="1093" spans="6:12" s="90" customFormat="1" ht="12.000000">
      <c r="F1093" s="95"/>
      <c r="G1093" s="95"/>
      <c r="H1093" s="95"/>
      <c r="I1093" s="95"/>
      <c r="J1093" s="95"/>
      <c r="K1093" s="95"/>
      <c r="L1093" s="95"/>
    </row>
    <row r="1094" spans="6:12" s="90" customFormat="1" ht="12.000000">
      <c r="F1094" s="95"/>
      <c r="G1094" s="95"/>
      <c r="H1094" s="95"/>
      <c r="I1094" s="95"/>
      <c r="J1094" s="95"/>
      <c r="K1094" s="95"/>
      <c r="L1094" s="95"/>
    </row>
    <row r="1095" spans="6:12" s="90" customFormat="1" ht="12.000000">
      <c r="F1095" s="95"/>
      <c r="G1095" s="95"/>
      <c r="H1095" s="95"/>
      <c r="I1095" s="95"/>
      <c r="J1095" s="95"/>
      <c r="K1095" s="95"/>
      <c r="L1095" s="95"/>
    </row>
    <row r="1096" spans="6:12" s="90" customFormat="1" ht="12.000000">
      <c r="F1096" s="95"/>
      <c r="G1096" s="95"/>
      <c r="H1096" s="95"/>
      <c r="I1096" s="95"/>
      <c r="J1096" s="95"/>
      <c r="K1096" s="95"/>
      <c r="L1096" s="95"/>
    </row>
    <row r="1097" spans="6:12" s="90" customFormat="1" ht="12.000000">
      <c r="F1097" s="95"/>
      <c r="G1097" s="95"/>
      <c r="H1097" s="95"/>
      <c r="I1097" s="95"/>
      <c r="J1097" s="95"/>
      <c r="K1097" s="95"/>
      <c r="L1097" s="95"/>
    </row>
    <row r="1098" spans="6:12" s="90" customFormat="1" ht="12.000000">
      <c r="F1098" s="95"/>
      <c r="G1098" s="95"/>
      <c r="H1098" s="95"/>
      <c r="I1098" s="95"/>
      <c r="J1098" s="95"/>
      <c r="K1098" s="95"/>
      <c r="L1098" s="95"/>
    </row>
    <row r="1099" spans="6:12" s="90" customFormat="1" ht="12.000000">
      <c r="F1099" s="95"/>
      <c r="G1099" s="95"/>
      <c r="H1099" s="95"/>
      <c r="I1099" s="95"/>
      <c r="J1099" s="95"/>
      <c r="K1099" s="95"/>
      <c r="L1099" s="95"/>
    </row>
    <row r="1100" spans="6:12" s="90" customFormat="1" ht="12.000000">
      <c r="F1100" s="95"/>
      <c r="G1100" s="95"/>
      <c r="H1100" s="95"/>
      <c r="I1100" s="95"/>
      <c r="J1100" s="95"/>
      <c r="K1100" s="95"/>
      <c r="L1100" s="95"/>
    </row>
    <row r="1101" spans="6:12" s="90" customFormat="1" ht="12.000000">
      <c r="F1101" s="95"/>
      <c r="G1101" s="95"/>
      <c r="H1101" s="95"/>
      <c r="I1101" s="95"/>
      <c r="J1101" s="95"/>
      <c r="K1101" s="95"/>
      <c r="L1101" s="95"/>
    </row>
    <row r="1102" spans="6:12" s="90" customFormat="1" ht="12.000000">
      <c r="F1102" s="95"/>
      <c r="G1102" s="95"/>
      <c r="H1102" s="95"/>
      <c r="I1102" s="95"/>
      <c r="J1102" s="95"/>
      <c r="K1102" s="95"/>
      <c r="L1102" s="95"/>
    </row>
    <row r="1103" spans="6:12" s="90" customFormat="1" ht="12.000000">
      <c r="F1103" s="95"/>
      <c r="G1103" s="95"/>
      <c r="H1103" s="95"/>
      <c r="I1103" s="95"/>
      <c r="J1103" s="95"/>
      <c r="K1103" s="95"/>
      <c r="L1103" s="95"/>
    </row>
    <row r="1104" spans="6:12" s="90" customFormat="1" ht="12.000000">
      <c r="F1104" s="95"/>
      <c r="G1104" s="95"/>
      <c r="H1104" s="95"/>
      <c r="I1104" s="95"/>
      <c r="J1104" s="95"/>
      <c r="K1104" s="95"/>
      <c r="L1104" s="95"/>
    </row>
    <row r="1105" spans="6:12" s="90" customFormat="1" ht="12.000000">
      <c r="F1105" s="95"/>
      <c r="G1105" s="95"/>
      <c r="H1105" s="95"/>
      <c r="I1105" s="95"/>
      <c r="J1105" s="95"/>
      <c r="K1105" s="95"/>
      <c r="L1105" s="95"/>
    </row>
    <row r="1106" spans="6:12" s="90" customFormat="1" ht="12.000000">
      <c r="F1106" s="95"/>
      <c r="G1106" s="95"/>
      <c r="H1106" s="95"/>
      <c r="I1106" s="95"/>
      <c r="J1106" s="95"/>
      <c r="K1106" s="95"/>
      <c r="L1106" s="95"/>
    </row>
    <row r="1107" spans="6:12" s="90" customFormat="1" ht="12.000000">
      <c r="F1107" s="95"/>
      <c r="G1107" s="95"/>
      <c r="H1107" s="95"/>
      <c r="I1107" s="95"/>
      <c r="J1107" s="95"/>
      <c r="K1107" s="95"/>
      <c r="L1107" s="95"/>
    </row>
    <row r="1108" spans="6:12" s="90" customFormat="1" ht="12.000000">
      <c r="F1108" s="95"/>
      <c r="G1108" s="95"/>
      <c r="H1108" s="95"/>
      <c r="I1108" s="95"/>
      <c r="J1108" s="95"/>
      <c r="K1108" s="95"/>
      <c r="L1108" s="95"/>
    </row>
    <row r="1109" spans="6:12" s="90" customFormat="1" ht="12.000000">
      <c r="F1109" s="95"/>
      <c r="G1109" s="95"/>
      <c r="H1109" s="95"/>
      <c r="I1109" s="95"/>
      <c r="J1109" s="95"/>
      <c r="K1109" s="95"/>
      <c r="L1109" s="95"/>
    </row>
    <row r="1110" spans="6:12" s="90" customFormat="1" ht="12.000000">
      <c r="F1110" s="95"/>
      <c r="G1110" s="95"/>
      <c r="H1110" s="95"/>
      <c r="I1110" s="95"/>
      <c r="J1110" s="95"/>
      <c r="K1110" s="95"/>
      <c r="L1110" s="95"/>
    </row>
    <row r="1111" spans="6:12" s="90" customFormat="1" ht="12.000000">
      <c r="F1111" s="95"/>
      <c r="G1111" s="95"/>
      <c r="H1111" s="95"/>
      <c r="I1111" s="95"/>
      <c r="J1111" s="95"/>
      <c r="K1111" s="95"/>
      <c r="L1111" s="95"/>
    </row>
    <row r="1112" spans="6:12" s="90" customFormat="1" ht="12.000000">
      <c r="F1112" s="95"/>
      <c r="G1112" s="95"/>
      <c r="H1112" s="95"/>
      <c r="I1112" s="95"/>
      <c r="J1112" s="95"/>
      <c r="K1112" s="95"/>
      <c r="L1112" s="95"/>
    </row>
    <row r="1113" spans="6:12" s="90" customFormat="1" ht="12.000000">
      <c r="F1113" s="95"/>
      <c r="G1113" s="95"/>
      <c r="H1113" s="95"/>
      <c r="I1113" s="95"/>
      <c r="J1113" s="95"/>
      <c r="K1113" s="95"/>
      <c r="L1113" s="95"/>
    </row>
    <row r="1114" spans="6:12" s="90" customFormat="1" ht="12.000000">
      <c r="F1114" s="95"/>
      <c r="G1114" s="95"/>
      <c r="H1114" s="95"/>
      <c r="I1114" s="95"/>
      <c r="J1114" s="95"/>
      <c r="K1114" s="95"/>
      <c r="L1114" s="95"/>
    </row>
    <row r="1115" spans="6:12" s="90" customFormat="1" ht="12.000000">
      <c r="F1115" s="95"/>
      <c r="G1115" s="95"/>
      <c r="H1115" s="95"/>
      <c r="I1115" s="95"/>
      <c r="J1115" s="95"/>
      <c r="K1115" s="95"/>
      <c r="L1115" s="95"/>
    </row>
    <row r="1116" spans="6:12" s="90" customFormat="1" ht="12.000000">
      <c r="F1116" s="95"/>
      <c r="G1116" s="95"/>
      <c r="H1116" s="95"/>
      <c r="I1116" s="95"/>
      <c r="J1116" s="95"/>
      <c r="K1116" s="95"/>
      <c r="L1116" s="95"/>
    </row>
    <row r="1117" spans="6:12" s="90" customFormat="1" ht="12.000000">
      <c r="F1117" s="95"/>
      <c r="G1117" s="95"/>
      <c r="H1117" s="95"/>
      <c r="I1117" s="95"/>
      <c r="J1117" s="95"/>
      <c r="K1117" s="95"/>
      <c r="L1117" s="95"/>
    </row>
    <row r="1118" spans="6:12" s="90" customFormat="1" ht="12.000000">
      <c r="F1118" s="95"/>
      <c r="G1118" s="95"/>
      <c r="H1118" s="95"/>
      <c r="I1118" s="95"/>
      <c r="J1118" s="95"/>
      <c r="K1118" s="95"/>
      <c r="L1118" s="95"/>
    </row>
    <row r="1119" spans="6:12" s="90" customFormat="1" ht="12.000000">
      <c r="F1119" s="95"/>
      <c r="G1119" s="95"/>
      <c r="H1119" s="95"/>
      <c r="I1119" s="95"/>
      <c r="J1119" s="95"/>
      <c r="K1119" s="95"/>
      <c r="L1119" s="95"/>
    </row>
    <row r="1120" spans="6:12" s="90" customFormat="1" ht="12.000000">
      <c r="F1120" s="95"/>
      <c r="G1120" s="95"/>
      <c r="H1120" s="95"/>
      <c r="I1120" s="95"/>
      <c r="J1120" s="95"/>
      <c r="K1120" s="95"/>
      <c r="L1120" s="95"/>
    </row>
    <row r="1121" spans="6:12" s="90" customFormat="1" ht="12.000000">
      <c r="F1121" s="95"/>
      <c r="G1121" s="95"/>
      <c r="H1121" s="95"/>
      <c r="I1121" s="95"/>
      <c r="J1121" s="95"/>
      <c r="K1121" s="95"/>
      <c r="L1121" s="95"/>
    </row>
    <row r="1122" spans="6:12" s="90" customFormat="1" ht="12.000000">
      <c r="F1122" s="95"/>
      <c r="G1122" s="95"/>
      <c r="H1122" s="95"/>
      <c r="I1122" s="95"/>
      <c r="J1122" s="95"/>
      <c r="K1122" s="95"/>
      <c r="L1122" s="95"/>
    </row>
    <row r="1123" spans="6:12" s="90" customFormat="1" ht="12.000000">
      <c r="F1123" s="95"/>
      <c r="G1123" s="95"/>
      <c r="H1123" s="95"/>
      <c r="I1123" s="95"/>
      <c r="J1123" s="95"/>
      <c r="K1123" s="95"/>
      <c r="L1123" s="95"/>
    </row>
    <row r="1124" spans="6:12" s="90" customFormat="1" ht="12.000000">
      <c r="F1124" s="95"/>
      <c r="G1124" s="95"/>
      <c r="H1124" s="95"/>
      <c r="I1124" s="95"/>
      <c r="J1124" s="95"/>
      <c r="K1124" s="95"/>
      <c r="L1124" s="95"/>
    </row>
    <row r="1125" spans="6:12" s="90" customFormat="1" ht="12.000000">
      <c r="F1125" s="95"/>
      <c r="G1125" s="95"/>
      <c r="H1125" s="95"/>
      <c r="I1125" s="95"/>
      <c r="J1125" s="95"/>
      <c r="K1125" s="95"/>
      <c r="L1125" s="95"/>
    </row>
    <row r="1126" spans="6:12" s="90" customFormat="1" ht="12.000000">
      <c r="F1126" s="95"/>
      <c r="G1126" s="95"/>
      <c r="H1126" s="95"/>
      <c r="I1126" s="95"/>
      <c r="J1126" s="95"/>
      <c r="K1126" s="95"/>
      <c r="L1126" s="95"/>
    </row>
    <row r="1127" spans="6:12" s="90" customFormat="1" ht="12.000000">
      <c r="F1127" s="95"/>
      <c r="G1127" s="95"/>
      <c r="H1127" s="95"/>
      <c r="I1127" s="95"/>
      <c r="J1127" s="95"/>
      <c r="K1127" s="95"/>
      <c r="L1127" s="95"/>
    </row>
    <row r="1128" spans="6:12" s="90" customFormat="1" ht="12.000000">
      <c r="F1128" s="95"/>
      <c r="G1128" s="95"/>
      <c r="H1128" s="95"/>
      <c r="I1128" s="95"/>
      <c r="J1128" s="95"/>
      <c r="K1128" s="95"/>
      <c r="L1128" s="95"/>
    </row>
    <row r="1129" spans="6:12" s="90" customFormat="1" ht="12.000000">
      <c r="F1129" s="95"/>
      <c r="G1129" s="95"/>
      <c r="H1129" s="95"/>
      <c r="I1129" s="95"/>
      <c r="J1129" s="95"/>
      <c r="K1129" s="95"/>
      <c r="L1129" s="95"/>
    </row>
    <row r="1130" spans="6:12" s="90" customFormat="1" ht="12.000000">
      <c r="F1130" s="95"/>
      <c r="G1130" s="95"/>
      <c r="H1130" s="95"/>
      <c r="I1130" s="95"/>
      <c r="J1130" s="95"/>
      <c r="K1130" s="95"/>
      <c r="L1130" s="95"/>
    </row>
    <row r="1131" spans="6:12" s="90" customFormat="1" ht="12.000000">
      <c r="F1131" s="95"/>
      <c r="G1131" s="95"/>
      <c r="H1131" s="95"/>
      <c r="I1131" s="95"/>
      <c r="J1131" s="95"/>
      <c r="K1131" s="95"/>
      <c r="L1131" s="95"/>
    </row>
    <row r="1132" spans="6:12" s="90" customFormat="1" ht="12.000000">
      <c r="F1132" s="95"/>
      <c r="G1132" s="95"/>
      <c r="H1132" s="95"/>
      <c r="I1132" s="95"/>
      <c r="J1132" s="95"/>
      <c r="K1132" s="95"/>
      <c r="L1132" s="95"/>
    </row>
    <row r="1133" spans="6:12" s="90" customFormat="1" ht="12.000000">
      <c r="F1133" s="95"/>
      <c r="G1133" s="95"/>
      <c r="H1133" s="95"/>
      <c r="I1133" s="95"/>
      <c r="J1133" s="95"/>
      <c r="K1133" s="95"/>
      <c r="L1133" s="95"/>
    </row>
    <row r="1134" spans="6:12" s="90" customFormat="1" ht="12.000000">
      <c r="F1134" s="95"/>
      <c r="G1134" s="95"/>
      <c r="H1134" s="95"/>
      <c r="I1134" s="95"/>
      <c r="J1134" s="95"/>
      <c r="K1134" s="95"/>
      <c r="L1134" s="95"/>
    </row>
    <row r="1135" spans="6:12" s="90" customFormat="1" ht="12.000000">
      <c r="F1135" s="95"/>
      <c r="G1135" s="95"/>
      <c r="H1135" s="95"/>
      <c r="I1135" s="95"/>
      <c r="J1135" s="95"/>
      <c r="K1135" s="95"/>
      <c r="L1135" s="95"/>
    </row>
    <row r="1136" spans="6:12" s="90" customFormat="1" ht="12.000000">
      <c r="F1136" s="95"/>
      <c r="G1136" s="95"/>
      <c r="H1136" s="95"/>
      <c r="I1136" s="95"/>
      <c r="J1136" s="95"/>
      <c r="K1136" s="95"/>
      <c r="L1136" s="95"/>
    </row>
    <row r="1137" spans="6:12" s="90" customFormat="1" ht="12.000000">
      <c r="F1137" s="95"/>
      <c r="G1137" s="95"/>
      <c r="H1137" s="95"/>
      <c r="I1137" s="95"/>
      <c r="J1137" s="95"/>
      <c r="K1137" s="95"/>
      <c r="L1137" s="95"/>
    </row>
    <row r="1138" spans="6:12" s="90" customFormat="1" ht="12.000000">
      <c r="F1138" s="95"/>
      <c r="G1138" s="95"/>
      <c r="H1138" s="95"/>
      <c r="I1138" s="95"/>
      <c r="J1138" s="95"/>
      <c r="K1138" s="95"/>
      <c r="L1138" s="95"/>
    </row>
    <row r="1139" spans="6:12" s="90" customFormat="1" ht="12.000000">
      <c r="F1139" s="95"/>
      <c r="G1139" s="95"/>
      <c r="H1139" s="95"/>
      <c r="I1139" s="95"/>
      <c r="J1139" s="95"/>
      <c r="K1139" s="95"/>
      <c r="L1139" s="95"/>
    </row>
    <row r="1140" spans="6:12" s="90" customFormat="1" ht="12.000000">
      <c r="F1140" s="95"/>
      <c r="G1140" s="95"/>
      <c r="H1140" s="95"/>
      <c r="I1140" s="95"/>
      <c r="J1140" s="95"/>
      <c r="K1140" s="95"/>
      <c r="L1140" s="95"/>
    </row>
    <row r="1141" spans="6:12" s="90" customFormat="1" ht="12.000000">
      <c r="F1141" s="95"/>
      <c r="G1141" s="95"/>
      <c r="H1141" s="95"/>
      <c r="I1141" s="95"/>
      <c r="J1141" s="95"/>
      <c r="K1141" s="95"/>
      <c r="L1141" s="95"/>
    </row>
    <row r="1142" spans="6:12" s="90" customFormat="1" ht="12.000000">
      <c r="F1142" s="95"/>
      <c r="G1142" s="95"/>
      <c r="H1142" s="95"/>
      <c r="I1142" s="95"/>
      <c r="J1142" s="95"/>
      <c r="K1142" s="95"/>
      <c r="L1142" s="95"/>
    </row>
    <row r="1143" spans="6:12" s="90" customFormat="1" ht="12.000000">
      <c r="F1143" s="95"/>
      <c r="G1143" s="95"/>
      <c r="H1143" s="95"/>
      <c r="I1143" s="95"/>
      <c r="J1143" s="95"/>
      <c r="K1143" s="95"/>
      <c r="L1143" s="95"/>
    </row>
    <row r="1144" spans="6:12" s="90" customFormat="1" ht="12.000000">
      <c r="F1144" s="95"/>
      <c r="G1144" s="95"/>
      <c r="H1144" s="95"/>
      <c r="I1144" s="95"/>
      <c r="J1144" s="95"/>
      <c r="K1144" s="95"/>
      <c r="L1144" s="95"/>
    </row>
    <row r="1145" spans="6:12" s="90" customFormat="1" ht="12.000000">
      <c r="F1145" s="95"/>
      <c r="G1145" s="95"/>
      <c r="H1145" s="95"/>
      <c r="I1145" s="95"/>
      <c r="J1145" s="95"/>
      <c r="K1145" s="95"/>
      <c r="L1145" s="95"/>
    </row>
    <row r="1146" spans="6:12" s="90" customFormat="1" ht="12.000000">
      <c r="F1146" s="95"/>
      <c r="G1146" s="95"/>
      <c r="H1146" s="95"/>
      <c r="I1146" s="95"/>
      <c r="J1146" s="95"/>
      <c r="K1146" s="95"/>
      <c r="L1146" s="95"/>
    </row>
    <row r="1147" spans="6:12" s="90" customFormat="1" ht="12.000000">
      <c r="F1147" s="95"/>
      <c r="G1147" s="95"/>
      <c r="H1147" s="95"/>
      <c r="I1147" s="95"/>
      <c r="J1147" s="95"/>
      <c r="K1147" s="95"/>
      <c r="L1147" s="95"/>
    </row>
    <row r="1148" spans="6:12" s="90" customFormat="1" ht="12.000000">
      <c r="F1148" s="95"/>
      <c r="G1148" s="95"/>
      <c r="H1148" s="95"/>
      <c r="I1148" s="95"/>
      <c r="J1148" s="95"/>
      <c r="K1148" s="95"/>
      <c r="L1148" s="95"/>
    </row>
    <row r="1149" spans="6:12" s="90" customFormat="1" ht="12.000000">
      <c r="F1149" s="95"/>
      <c r="G1149" s="95"/>
      <c r="H1149" s="95"/>
      <c r="I1149" s="95"/>
      <c r="J1149" s="95"/>
      <c r="K1149" s="95"/>
      <c r="L1149" s="95"/>
    </row>
    <row r="1150" spans="6:12" s="90" customFormat="1" ht="12.000000">
      <c r="F1150" s="95"/>
      <c r="G1150" s="95"/>
      <c r="H1150" s="95"/>
      <c r="I1150" s="95"/>
      <c r="J1150" s="95"/>
      <c r="K1150" s="95"/>
      <c r="L1150" s="95"/>
    </row>
    <row r="1151" spans="6:12" s="90" customFormat="1" ht="12.000000">
      <c r="F1151" s="95"/>
      <c r="G1151" s="95"/>
      <c r="H1151" s="95"/>
      <c r="I1151" s="95"/>
      <c r="J1151" s="95"/>
      <c r="K1151" s="95"/>
      <c r="L1151" s="95"/>
    </row>
    <row r="1152" spans="6:12" s="90" customFormat="1" ht="12.000000">
      <c r="F1152" s="95"/>
      <c r="G1152" s="95"/>
      <c r="H1152" s="95"/>
      <c r="I1152" s="95"/>
      <c r="J1152" s="95"/>
      <c r="K1152" s="95"/>
      <c r="L1152" s="95"/>
    </row>
    <row r="1153" spans="6:12" s="90" customFormat="1" ht="12.000000">
      <c r="F1153" s="95"/>
      <c r="G1153" s="95"/>
      <c r="H1153" s="95"/>
      <c r="I1153" s="95"/>
      <c r="J1153" s="95"/>
      <c r="K1153" s="95"/>
      <c r="L1153" s="95"/>
    </row>
    <row r="1154" spans="6:12" s="90" customFormat="1" ht="12.000000">
      <c r="F1154" s="95"/>
      <c r="G1154" s="95"/>
      <c r="H1154" s="95"/>
      <c r="I1154" s="95"/>
      <c r="J1154" s="95"/>
      <c r="K1154" s="95"/>
      <c r="L1154" s="95"/>
    </row>
    <row r="1155" spans="6:12" s="90" customFormat="1" ht="12.000000">
      <c r="F1155" s="95"/>
      <c r="G1155" s="95"/>
      <c r="H1155" s="95"/>
      <c r="I1155" s="95"/>
      <c r="J1155" s="95"/>
      <c r="K1155" s="95"/>
      <c r="L1155" s="95"/>
    </row>
    <row r="1156" spans="6:12" s="90" customFormat="1" ht="12.000000">
      <c r="F1156" s="95"/>
      <c r="G1156" s="95"/>
      <c r="H1156" s="95"/>
      <c r="I1156" s="95"/>
      <c r="J1156" s="95"/>
      <c r="K1156" s="95"/>
      <c r="L1156" s="95"/>
    </row>
    <row r="1157" spans="6:12" s="90" customFormat="1" ht="12.000000">
      <c r="F1157" s="95"/>
      <c r="G1157" s="95"/>
      <c r="H1157" s="95"/>
      <c r="I1157" s="95"/>
      <c r="J1157" s="95"/>
      <c r="K1157" s="95"/>
      <c r="L1157" s="95"/>
    </row>
    <row r="1158" spans="6:12" s="90" customFormat="1" ht="12.000000">
      <c r="F1158" s="95"/>
      <c r="G1158" s="95"/>
      <c r="H1158" s="95"/>
      <c r="I1158" s="95"/>
      <c r="J1158" s="95"/>
      <c r="K1158" s="95"/>
      <c r="L1158" s="95"/>
    </row>
    <row r="1159" spans="6:12" s="90" customFormat="1" ht="12.000000">
      <c r="F1159" s="95"/>
      <c r="G1159" s="95"/>
      <c r="H1159" s="95"/>
      <c r="I1159" s="95"/>
      <c r="J1159" s="95"/>
      <c r="K1159" s="95"/>
      <c r="L1159" s="95"/>
    </row>
    <row r="1160" spans="6:12" s="90" customFormat="1" ht="12.000000">
      <c r="F1160" s="95"/>
      <c r="G1160" s="95"/>
      <c r="H1160" s="95"/>
      <c r="I1160" s="95"/>
      <c r="J1160" s="95"/>
      <c r="K1160" s="95"/>
      <c r="L1160" s="95"/>
    </row>
    <row r="1161" spans="6:12" s="90" customFormat="1" ht="12.000000">
      <c r="F1161" s="95"/>
      <c r="G1161" s="95"/>
      <c r="H1161" s="95"/>
      <c r="I1161" s="95"/>
      <c r="J1161" s="95"/>
      <c r="K1161" s="95"/>
      <c r="L1161" s="95"/>
    </row>
    <row r="1162" spans="6:12" s="90" customFormat="1" ht="12.000000">
      <c r="F1162" s="95"/>
      <c r="G1162" s="95"/>
      <c r="H1162" s="95"/>
      <c r="I1162" s="95"/>
      <c r="J1162" s="95"/>
      <c r="K1162" s="95"/>
      <c r="L1162" s="95"/>
    </row>
    <row r="1163" spans="6:12" s="90" customFormat="1" ht="12.000000">
      <c r="F1163" s="95"/>
      <c r="G1163" s="95"/>
      <c r="H1163" s="95"/>
      <c r="I1163" s="95"/>
      <c r="J1163" s="95"/>
      <c r="K1163" s="95"/>
      <c r="L1163" s="95"/>
    </row>
    <row r="1164" spans="6:12" s="90" customFormat="1" ht="12.000000">
      <c r="F1164" s="95"/>
      <c r="G1164" s="95"/>
      <c r="H1164" s="95"/>
      <c r="I1164" s="95"/>
      <c r="J1164" s="95"/>
      <c r="K1164" s="95"/>
      <c r="L1164" s="95"/>
    </row>
    <row r="1165" spans="6:12" s="90" customFormat="1" ht="12.000000">
      <c r="F1165" s="95"/>
      <c r="G1165" s="95"/>
      <c r="H1165" s="95"/>
      <c r="I1165" s="95"/>
      <c r="J1165" s="95"/>
      <c r="K1165" s="95"/>
      <c r="L1165" s="95"/>
    </row>
    <row r="1166" spans="6:12" s="90" customFormat="1" ht="12.000000">
      <c r="F1166" s="95"/>
      <c r="G1166" s="95"/>
      <c r="H1166" s="95"/>
      <c r="I1166" s="95"/>
      <c r="J1166" s="95"/>
      <c r="K1166" s="95"/>
      <c r="L1166" s="95"/>
    </row>
    <row r="1167" spans="6:12" s="90" customFormat="1" ht="12.000000">
      <c r="F1167" s="95"/>
      <c r="G1167" s="95"/>
      <c r="H1167" s="95"/>
      <c r="I1167" s="95"/>
      <c r="J1167" s="95"/>
      <c r="K1167" s="95"/>
      <c r="L1167" s="95"/>
    </row>
    <row r="1168" spans="6:12" s="90" customFormat="1" ht="12.000000">
      <c r="F1168" s="95"/>
      <c r="G1168" s="95"/>
      <c r="H1168" s="95"/>
      <c r="I1168" s="95"/>
      <c r="J1168" s="95"/>
      <c r="K1168" s="95"/>
      <c r="L1168" s="95"/>
    </row>
    <row r="1169" spans="6:12" s="90" customFormat="1" ht="12.000000">
      <c r="F1169" s="95"/>
      <c r="G1169" s="95"/>
      <c r="H1169" s="95"/>
      <c r="I1169" s="95"/>
      <c r="J1169" s="95"/>
      <c r="K1169" s="95"/>
      <c r="L1169" s="95"/>
    </row>
    <row r="1170" spans="6:12" s="90" customFormat="1" ht="12.000000">
      <c r="F1170" s="95"/>
      <c r="G1170" s="95"/>
      <c r="H1170" s="95"/>
      <c r="I1170" s="95"/>
      <c r="J1170" s="95"/>
      <c r="K1170" s="95"/>
      <c r="L1170" s="95"/>
    </row>
    <row r="1171" spans="6:12" s="90" customFormat="1" ht="12.000000">
      <c r="F1171" s="95"/>
      <c r="G1171" s="95"/>
      <c r="H1171" s="95"/>
      <c r="I1171" s="95"/>
      <c r="J1171" s="95"/>
      <c r="K1171" s="95"/>
      <c r="L1171" s="95"/>
    </row>
    <row r="1172" spans="6:12" s="90" customFormat="1" ht="12.000000">
      <c r="F1172" s="95"/>
      <c r="G1172" s="95"/>
      <c r="H1172" s="95"/>
      <c r="I1172" s="95"/>
      <c r="J1172" s="95"/>
      <c r="K1172" s="95"/>
      <c r="L1172" s="95"/>
    </row>
    <row r="1173" spans="6:12" s="90" customFormat="1" ht="12.000000">
      <c r="F1173" s="95"/>
      <c r="G1173" s="95"/>
      <c r="H1173" s="95"/>
      <c r="I1173" s="95"/>
      <c r="J1173" s="95"/>
      <c r="K1173" s="95"/>
      <c r="L1173" s="95"/>
    </row>
    <row r="1174" spans="6:12" s="90" customFormat="1" ht="12.000000">
      <c r="F1174" s="95"/>
      <c r="G1174" s="95"/>
      <c r="H1174" s="95"/>
      <c r="I1174" s="95"/>
      <c r="J1174" s="95"/>
      <c r="K1174" s="95"/>
      <c r="L1174" s="95"/>
    </row>
    <row r="1175" spans="6:12" s="90" customFormat="1" ht="12.000000">
      <c r="F1175" s="95"/>
      <c r="G1175" s="95"/>
      <c r="H1175" s="95"/>
      <c r="I1175" s="95"/>
      <c r="J1175" s="95"/>
      <c r="K1175" s="95"/>
      <c r="L1175" s="95"/>
    </row>
    <row r="1176" spans="6:12" s="90" customFormat="1" ht="12.000000">
      <c r="F1176" s="95"/>
      <c r="G1176" s="95"/>
      <c r="H1176" s="95"/>
      <c r="I1176" s="95"/>
      <c r="J1176" s="95"/>
      <c r="K1176" s="95"/>
      <c r="L1176" s="95"/>
    </row>
    <row r="1177" spans="6:12" s="90" customFormat="1" ht="12.000000">
      <c r="F1177" s="95"/>
      <c r="G1177" s="95"/>
      <c r="H1177" s="95"/>
      <c r="I1177" s="95"/>
      <c r="J1177" s="95"/>
      <c r="K1177" s="95"/>
      <c r="L1177" s="95"/>
    </row>
    <row r="1178" spans="6:12" s="90" customFormat="1" ht="12.000000">
      <c r="F1178" s="95"/>
      <c r="G1178" s="95"/>
      <c r="H1178" s="95"/>
      <c r="I1178" s="95"/>
      <c r="J1178" s="95"/>
      <c r="K1178" s="95"/>
      <c r="L1178" s="95"/>
    </row>
    <row r="1179" spans="6:12" s="90" customFormat="1" ht="12.000000">
      <c r="F1179" s="95"/>
      <c r="G1179" s="95"/>
      <c r="H1179" s="95"/>
      <c r="I1179" s="95"/>
      <c r="J1179" s="95"/>
      <c r="K1179" s="95"/>
      <c r="L1179" s="95"/>
    </row>
    <row r="1180" spans="6:12" s="90" customFormat="1" ht="12.000000">
      <c r="F1180" s="95"/>
      <c r="G1180" s="95"/>
      <c r="H1180" s="95"/>
      <c r="I1180" s="95"/>
      <c r="J1180" s="95"/>
      <c r="K1180" s="95"/>
      <c r="L1180" s="95"/>
    </row>
    <row r="1181" spans="6:12" s="90" customFormat="1" ht="12.000000">
      <c r="F1181" s="95"/>
      <c r="G1181" s="95"/>
      <c r="H1181" s="95"/>
      <c r="I1181" s="95"/>
      <c r="J1181" s="95"/>
      <c r="K1181" s="95"/>
      <c r="L1181" s="95"/>
    </row>
    <row r="1182" spans="6:12" s="90" customFormat="1" ht="12.000000">
      <c r="F1182" s="95"/>
      <c r="G1182" s="95"/>
      <c r="H1182" s="95"/>
      <c r="I1182" s="95"/>
      <c r="J1182" s="95"/>
      <c r="K1182" s="95"/>
      <c r="L1182" s="95"/>
    </row>
    <row r="1183" spans="6:12" s="90" customFormat="1" ht="12.000000">
      <c r="F1183" s="95"/>
      <c r="G1183" s="95"/>
      <c r="H1183" s="95"/>
      <c r="I1183" s="95"/>
      <c r="J1183" s="95"/>
      <c r="K1183" s="95"/>
      <c r="L1183" s="95"/>
    </row>
    <row r="1184" spans="6:12" s="90" customFormat="1" ht="12.000000">
      <c r="F1184" s="95"/>
      <c r="G1184" s="95"/>
      <c r="H1184" s="95"/>
      <c r="I1184" s="95"/>
      <c r="J1184" s="95"/>
      <c r="K1184" s="95"/>
      <c r="L1184" s="95"/>
    </row>
    <row r="1185" spans="6:12" s="90" customFormat="1" ht="12.000000">
      <c r="F1185" s="95"/>
      <c r="G1185" s="95"/>
      <c r="H1185" s="95"/>
      <c r="I1185" s="95"/>
      <c r="J1185" s="95"/>
      <c r="K1185" s="95"/>
      <c r="L1185" s="95"/>
    </row>
    <row r="1186" spans="6:12" s="90" customFormat="1" ht="12.000000">
      <c r="F1186" s="95"/>
      <c r="G1186" s="95"/>
      <c r="H1186" s="95"/>
      <c r="I1186" s="95"/>
      <c r="J1186" s="95"/>
      <c r="K1186" s="95"/>
      <c r="L1186" s="95"/>
    </row>
    <row r="1187" spans="6:12" s="90" customFormat="1" ht="12.000000">
      <c r="F1187" s="95"/>
      <c r="G1187" s="95"/>
      <c r="H1187" s="95"/>
      <c r="I1187" s="95"/>
      <c r="J1187" s="95"/>
      <c r="K1187" s="95"/>
      <c r="L1187" s="95"/>
    </row>
    <row r="1188" spans="6:12" s="90" customFormat="1" ht="12.000000">
      <c r="F1188" s="95"/>
      <c r="G1188" s="95"/>
      <c r="H1188" s="95"/>
      <c r="I1188" s="95"/>
      <c r="J1188" s="95"/>
      <c r="K1188" s="95"/>
      <c r="L1188" s="95"/>
    </row>
    <row r="1189" spans="6:12" s="90" customFormat="1" ht="12.000000">
      <c r="F1189" s="95"/>
      <c r="G1189" s="95"/>
      <c r="H1189" s="95"/>
      <c r="I1189" s="95"/>
      <c r="J1189" s="95"/>
      <c r="K1189" s="95"/>
      <c r="L1189" s="95"/>
    </row>
    <row r="1190" spans="6:12" s="90" customFormat="1" ht="12.000000">
      <c r="F1190" s="95"/>
      <c r="G1190" s="95"/>
      <c r="H1190" s="95"/>
      <c r="I1190" s="95"/>
      <c r="J1190" s="95"/>
      <c r="K1190" s="95"/>
      <c r="L1190" s="95"/>
    </row>
    <row r="1191" spans="6:12" s="90" customFormat="1" ht="12.000000">
      <c r="F1191" s="95"/>
      <c r="G1191" s="95"/>
      <c r="H1191" s="95"/>
      <c r="I1191" s="95"/>
      <c r="J1191" s="95"/>
      <c r="K1191" s="95"/>
      <c r="L1191" s="95"/>
    </row>
    <row r="1192" spans="6:12" s="90" customFormat="1" ht="12.000000">
      <c r="F1192" s="95"/>
      <c r="G1192" s="95"/>
      <c r="H1192" s="95"/>
      <c r="I1192" s="95"/>
      <c r="J1192" s="95"/>
      <c r="K1192" s="95"/>
      <c r="L1192" s="95"/>
    </row>
    <row r="1193" spans="6:12" s="90" customFormat="1" ht="12.000000">
      <c r="F1193" s="95"/>
      <c r="G1193" s="95"/>
      <c r="H1193" s="95"/>
      <c r="I1193" s="95"/>
      <c r="J1193" s="95"/>
      <c r="K1193" s="95"/>
      <c r="L1193" s="95"/>
    </row>
    <row r="1194" spans="6:12" s="90" customFormat="1" ht="12.000000">
      <c r="F1194" s="95"/>
      <c r="G1194" s="95"/>
      <c r="H1194" s="95"/>
      <c r="I1194" s="95"/>
      <c r="J1194" s="95"/>
      <c r="K1194" s="95"/>
      <c r="L1194" s="95"/>
    </row>
    <row r="1195" spans="6:12" s="90" customFormat="1" ht="12.000000">
      <c r="F1195" s="95"/>
      <c r="G1195" s="95"/>
      <c r="H1195" s="95"/>
      <c r="I1195" s="95"/>
      <c r="J1195" s="95"/>
      <c r="K1195" s="95"/>
      <c r="L1195" s="95"/>
    </row>
    <row r="1196" spans="6:12" s="90" customFormat="1" ht="12.000000">
      <c r="F1196" s="95"/>
      <c r="G1196" s="95"/>
      <c r="H1196" s="95"/>
      <c r="I1196" s="95"/>
      <c r="J1196" s="95"/>
      <c r="K1196" s="95"/>
      <c r="L1196" s="95"/>
    </row>
    <row r="1197" spans="6:12" s="90" customFormat="1" ht="12.000000">
      <c r="F1197" s="95"/>
      <c r="G1197" s="95"/>
      <c r="H1197" s="95"/>
      <c r="I1197" s="95"/>
      <c r="J1197" s="95"/>
      <c r="K1197" s="95"/>
      <c r="L1197" s="95"/>
    </row>
    <row r="1198" spans="6:12" s="90" customFormat="1" ht="12.000000">
      <c r="F1198" s="95"/>
      <c r="G1198" s="95"/>
      <c r="H1198" s="95"/>
      <c r="I1198" s="95"/>
      <c r="J1198" s="95"/>
      <c r="K1198" s="95"/>
      <c r="L1198" s="95"/>
    </row>
    <row r="1199" spans="6:12" s="90" customFormat="1" ht="12.000000">
      <c r="F1199" s="95"/>
      <c r="G1199" s="95"/>
      <c r="H1199" s="95"/>
      <c r="I1199" s="95"/>
      <c r="J1199" s="95"/>
      <c r="K1199" s="95"/>
      <c r="L1199" s="95"/>
    </row>
    <row r="1200" spans="6:12" s="90" customFormat="1" ht="12.000000">
      <c r="F1200" s="95"/>
      <c r="G1200" s="95"/>
      <c r="H1200" s="95"/>
      <c r="I1200" s="95"/>
      <c r="J1200" s="95"/>
      <c r="K1200" s="95"/>
      <c r="L1200" s="95"/>
    </row>
    <row r="1201" spans="6:12" s="90" customFormat="1" ht="12.000000">
      <c r="F1201" s="95"/>
      <c r="G1201" s="95"/>
      <c r="H1201" s="95"/>
      <c r="I1201" s="95"/>
      <c r="J1201" s="95"/>
      <c r="K1201" s="95"/>
      <c r="L1201" s="95"/>
    </row>
    <row r="1202" spans="6:12" s="90" customFormat="1" ht="12.000000">
      <c r="F1202" s="95"/>
      <c r="G1202" s="95"/>
      <c r="H1202" s="95"/>
      <c r="I1202" s="95"/>
      <c r="J1202" s="95"/>
      <c r="K1202" s="95"/>
      <c r="L1202" s="95"/>
    </row>
    <row r="1203" spans="6:12" s="90" customFormat="1" ht="12.000000">
      <c r="F1203" s="95"/>
      <c r="G1203" s="95"/>
      <c r="H1203" s="95"/>
      <c r="I1203" s="95"/>
      <c r="J1203" s="95"/>
      <c r="K1203" s="95"/>
      <c r="L1203" s="95"/>
    </row>
    <row r="1204" spans="6:12" s="90" customFormat="1" ht="12.000000">
      <c r="F1204" s="95"/>
      <c r="G1204" s="95"/>
      <c r="H1204" s="95"/>
      <c r="I1204" s="95"/>
      <c r="J1204" s="95"/>
      <c r="K1204" s="95"/>
      <c r="L1204" s="95"/>
    </row>
    <row r="1205" spans="6:12" s="90" customFormat="1" ht="12.000000">
      <c r="F1205" s="95"/>
      <c r="G1205" s="95"/>
      <c r="H1205" s="95"/>
      <c r="I1205" s="95"/>
      <c r="J1205" s="95"/>
      <c r="K1205" s="95"/>
      <c r="L1205" s="95"/>
    </row>
    <row r="1206" spans="6:12" s="90" customFormat="1" ht="12.000000">
      <c r="F1206" s="95"/>
      <c r="G1206" s="95"/>
      <c r="H1206" s="95"/>
      <c r="I1206" s="95"/>
      <c r="J1206" s="95"/>
      <c r="K1206" s="95"/>
      <c r="L1206" s="95"/>
    </row>
    <row r="1207" spans="6:12" s="90" customFormat="1" ht="12.000000">
      <c r="F1207" s="95"/>
      <c r="G1207" s="95"/>
      <c r="H1207" s="95"/>
      <c r="I1207" s="95"/>
      <c r="J1207" s="95"/>
      <c r="K1207" s="95"/>
      <c r="L1207" s="95"/>
    </row>
    <row r="1208" spans="6:12" s="90" customFormat="1" ht="12.000000">
      <c r="F1208" s="95"/>
      <c r="G1208" s="95"/>
      <c r="H1208" s="95"/>
      <c r="I1208" s="95"/>
      <c r="J1208" s="95"/>
      <c r="K1208" s="95"/>
      <c r="L1208" s="95"/>
    </row>
    <row r="1209" spans="6:12" s="90" customFormat="1" ht="12.000000">
      <c r="F1209" s="95"/>
      <c r="G1209" s="95"/>
      <c r="H1209" s="95"/>
      <c r="I1209" s="95"/>
      <c r="J1209" s="95"/>
      <c r="K1209" s="95"/>
      <c r="L1209" s="95"/>
    </row>
    <row r="1210" spans="6:12" s="90" customFormat="1" ht="12.000000">
      <c r="F1210" s="95"/>
      <c r="G1210" s="95"/>
      <c r="H1210" s="95"/>
      <c r="I1210" s="95"/>
      <c r="J1210" s="95"/>
      <c r="K1210" s="95"/>
      <c r="L1210" s="95"/>
    </row>
    <row r="1211" spans="6:12" s="90" customFormat="1" ht="12.000000">
      <c r="F1211" s="95"/>
      <c r="G1211" s="95"/>
      <c r="H1211" s="95"/>
      <c r="I1211" s="95"/>
      <c r="J1211" s="95"/>
      <c r="K1211" s="95"/>
      <c r="L1211" s="95"/>
    </row>
    <row r="1212" spans="6:12" s="90" customFormat="1" ht="12.000000">
      <c r="F1212" s="95"/>
      <c r="G1212" s="95"/>
      <c r="H1212" s="95"/>
      <c r="I1212" s="95"/>
      <c r="J1212" s="95"/>
      <c r="K1212" s="95"/>
      <c r="L1212" s="95"/>
    </row>
    <row r="1213" spans="6:12" s="90" customFormat="1" ht="12.000000">
      <c r="F1213" s="95"/>
      <c r="G1213" s="95"/>
      <c r="H1213" s="95"/>
      <c r="I1213" s="95"/>
      <c r="J1213" s="95"/>
      <c r="K1213" s="95"/>
      <c r="L1213" s="95"/>
    </row>
    <row r="1214" spans="6:12" s="90" customFormat="1" ht="12.000000">
      <c r="F1214" s="95"/>
      <c r="G1214" s="95"/>
      <c r="H1214" s="95"/>
      <c r="I1214" s="95"/>
      <c r="J1214" s="95"/>
      <c r="K1214" s="95"/>
      <c r="L1214" s="95"/>
    </row>
    <row r="1215" spans="6:12" s="90" customFormat="1" ht="12.000000">
      <c r="F1215" s="95"/>
      <c r="G1215" s="95"/>
      <c r="H1215" s="95"/>
      <c r="I1215" s="95"/>
      <c r="J1215" s="95"/>
      <c r="K1215" s="95"/>
      <c r="L1215" s="95"/>
    </row>
    <row r="1216" spans="6:12" s="90" customFormat="1" ht="12.000000">
      <c r="F1216" s="95"/>
      <c r="G1216" s="95"/>
      <c r="H1216" s="95"/>
      <c r="I1216" s="95"/>
      <c r="J1216" s="95"/>
      <c r="K1216" s="95"/>
      <c r="L1216" s="95"/>
    </row>
    <row r="1217" spans="6:12" s="90" customFormat="1" ht="12.000000">
      <c r="F1217" s="95"/>
      <c r="G1217" s="95"/>
      <c r="H1217" s="95"/>
      <c r="I1217" s="95"/>
      <c r="J1217" s="95"/>
      <c r="K1217" s="95"/>
      <c r="L1217" s="95"/>
    </row>
    <row r="1218" spans="6:12" s="90" customFormat="1" ht="12.000000">
      <c r="F1218" s="95"/>
      <c r="G1218" s="95"/>
      <c r="H1218" s="95"/>
      <c r="I1218" s="95"/>
      <c r="J1218" s="95"/>
      <c r="K1218" s="95"/>
      <c r="L1218" s="95"/>
    </row>
    <row r="1219" spans="6:12" s="90" customFormat="1" ht="12.000000">
      <c r="F1219" s="95"/>
      <c r="G1219" s="95"/>
      <c r="H1219" s="95"/>
      <c r="I1219" s="95"/>
      <c r="J1219" s="95"/>
      <c r="K1219" s="95"/>
      <c r="L1219" s="95"/>
    </row>
    <row r="1220" spans="6:12" s="90" customFormat="1" ht="12.000000">
      <c r="F1220" s="95"/>
      <c r="G1220" s="95"/>
      <c r="H1220" s="95"/>
      <c r="I1220" s="95"/>
      <c r="J1220" s="95"/>
      <c r="K1220" s="95"/>
      <c r="L1220" s="95"/>
    </row>
    <row r="1221" spans="6:12" s="90" customFormat="1" ht="12.000000">
      <c r="F1221" s="95"/>
      <c r="G1221" s="95"/>
      <c r="H1221" s="95"/>
      <c r="I1221" s="95"/>
      <c r="J1221" s="95"/>
      <c r="K1221" s="95"/>
      <c r="L1221" s="95"/>
    </row>
    <row r="1222" spans="6:12" s="90" customFormat="1" ht="12.000000">
      <c r="F1222" s="95"/>
      <c r="G1222" s="95"/>
      <c r="H1222" s="95"/>
      <c r="I1222" s="95"/>
      <c r="J1222" s="95"/>
      <c r="K1222" s="95"/>
      <c r="L1222" s="95"/>
    </row>
    <row r="1223" spans="6:12" s="90" customFormat="1" ht="12.000000">
      <c r="F1223" s="95"/>
      <c r="G1223" s="95"/>
      <c r="H1223" s="95"/>
      <c r="I1223" s="95"/>
      <c r="J1223" s="95"/>
      <c r="K1223" s="95"/>
      <c r="L1223" s="95"/>
    </row>
    <row r="1224" spans="6:12" s="90" customFormat="1" ht="12.000000">
      <c r="F1224" s="95"/>
      <c r="G1224" s="95"/>
      <c r="H1224" s="95"/>
      <c r="I1224" s="95"/>
      <c r="J1224" s="95"/>
      <c r="K1224" s="95"/>
      <c r="L1224" s="95"/>
    </row>
    <row r="1225" spans="6:12" s="90" customFormat="1" ht="12.000000">
      <c r="F1225" s="95"/>
      <c r="G1225" s="95"/>
      <c r="H1225" s="95"/>
      <c r="I1225" s="95"/>
      <c r="J1225" s="95"/>
      <c r="K1225" s="95"/>
      <c r="L1225" s="95"/>
    </row>
    <row r="1226" spans="6:12" s="90" customFormat="1" ht="12.000000">
      <c r="F1226" s="95"/>
      <c r="G1226" s="95"/>
      <c r="H1226" s="95"/>
      <c r="I1226" s="95"/>
      <c r="J1226" s="95"/>
      <c r="K1226" s="95"/>
      <c r="L1226" s="95"/>
    </row>
    <row r="1227" spans="6:12" s="90" customFormat="1" ht="12.000000">
      <c r="F1227" s="95"/>
      <c r="G1227" s="95"/>
      <c r="H1227" s="95"/>
      <c r="I1227" s="95"/>
      <c r="J1227" s="95"/>
      <c r="K1227" s="95"/>
      <c r="L1227" s="95"/>
    </row>
    <row r="1228" spans="6:12" s="90" customFormat="1" ht="12.000000">
      <c r="F1228" s="95"/>
      <c r="G1228" s="95"/>
      <c r="H1228" s="95"/>
      <c r="I1228" s="95"/>
      <c r="J1228" s="95"/>
      <c r="K1228" s="95"/>
      <c r="L1228" s="95"/>
    </row>
    <row r="1229" spans="6:12" s="90" customFormat="1" ht="12.000000">
      <c r="F1229" s="95"/>
      <c r="G1229" s="95"/>
      <c r="H1229" s="95"/>
      <c r="I1229" s="95"/>
      <c r="J1229" s="95"/>
      <c r="K1229" s="95"/>
      <c r="L1229" s="95"/>
    </row>
    <row r="1230" spans="6:12" s="90" customFormat="1" ht="12.000000">
      <c r="F1230" s="95"/>
      <c r="G1230" s="95"/>
      <c r="H1230" s="95"/>
      <c r="I1230" s="95"/>
      <c r="J1230" s="95"/>
      <c r="K1230" s="95"/>
      <c r="L1230" s="95"/>
    </row>
    <row r="1231" spans="6:12" s="90" customFormat="1" ht="12.000000">
      <c r="F1231" s="95"/>
      <c r="G1231" s="95"/>
      <c r="H1231" s="95"/>
      <c r="I1231" s="95"/>
      <c r="J1231" s="95"/>
      <c r="K1231" s="95"/>
      <c r="L1231" s="95"/>
    </row>
    <row r="1232" spans="6:12" s="90" customFormat="1" ht="12.000000">
      <c r="F1232" s="95"/>
      <c r="G1232" s="95"/>
      <c r="H1232" s="95"/>
      <c r="I1232" s="95"/>
      <c r="J1232" s="95"/>
      <c r="K1232" s="95"/>
      <c r="L1232" s="95"/>
    </row>
    <row r="1233" spans="6:12" s="90" customFormat="1" ht="12.000000">
      <c r="F1233" s="95"/>
      <c r="G1233" s="95"/>
      <c r="H1233" s="95"/>
      <c r="I1233" s="95"/>
      <c r="J1233" s="95"/>
      <c r="K1233" s="95"/>
      <c r="L1233" s="95"/>
    </row>
    <row r="1234" spans="6:12" s="90" customFormat="1" ht="12.000000">
      <c r="F1234" s="95"/>
      <c r="G1234" s="95"/>
      <c r="H1234" s="95"/>
      <c r="I1234" s="95"/>
      <c r="J1234" s="95"/>
      <c r="K1234" s="95"/>
      <c r="L1234" s="95"/>
    </row>
    <row r="1235" spans="6:12" s="90" customFormat="1" ht="12.000000">
      <c r="F1235" s="95"/>
      <c r="G1235" s="95"/>
      <c r="H1235" s="95"/>
      <c r="I1235" s="95"/>
      <c r="J1235" s="95"/>
      <c r="K1235" s="95"/>
      <c r="L1235" s="95"/>
    </row>
    <row r="1236" spans="6:12" s="90" customFormat="1" ht="12.000000">
      <c r="F1236" s="95"/>
      <c r="G1236" s="95"/>
      <c r="H1236" s="95"/>
      <c r="I1236" s="95"/>
      <c r="J1236" s="95"/>
      <c r="K1236" s="95"/>
      <c r="L1236" s="95"/>
    </row>
    <row r="1237" spans="6:12" s="90" customFormat="1" ht="12.000000">
      <c r="F1237" s="95"/>
      <c r="G1237" s="95"/>
      <c r="H1237" s="95"/>
      <c r="I1237" s="95"/>
      <c r="J1237" s="95"/>
      <c r="K1237" s="95"/>
      <c r="L1237" s="95"/>
    </row>
    <row r="1238" spans="6:12" s="90" customFormat="1" ht="12.000000">
      <c r="F1238" s="95"/>
      <c r="G1238" s="95"/>
      <c r="H1238" s="95"/>
      <c r="I1238" s="95"/>
      <c r="J1238" s="95"/>
      <c r="K1238" s="95"/>
      <c r="L1238" s="95"/>
    </row>
    <row r="1239" spans="6:12" s="90" customFormat="1" ht="12.000000">
      <c r="F1239" s="95"/>
      <c r="G1239" s="95"/>
      <c r="H1239" s="95"/>
      <c r="I1239" s="95"/>
      <c r="J1239" s="95"/>
      <c r="K1239" s="95"/>
      <c r="L1239" s="95"/>
    </row>
    <row r="1240" spans="6:12" s="90" customFormat="1" ht="12.000000">
      <c r="F1240" s="95"/>
      <c r="G1240" s="95"/>
      <c r="H1240" s="95"/>
      <c r="I1240" s="95"/>
      <c r="J1240" s="95"/>
      <c r="K1240" s="95"/>
      <c r="L1240" s="95"/>
    </row>
    <row r="1241" spans="6:12" s="90" customFormat="1" ht="12.000000">
      <c r="F1241" s="95"/>
      <c r="G1241" s="95"/>
      <c r="H1241" s="95"/>
      <c r="I1241" s="95"/>
      <c r="J1241" s="95"/>
      <c r="K1241" s="95"/>
      <c r="L1241" s="95"/>
    </row>
    <row r="1242" spans="6:12" s="90" customFormat="1" ht="12.000000">
      <c r="F1242" s="95"/>
      <c r="G1242" s="95"/>
      <c r="H1242" s="95"/>
      <c r="I1242" s="95"/>
      <c r="J1242" s="95"/>
      <c r="K1242" s="95"/>
      <c r="L1242" s="95"/>
    </row>
    <row r="1243" spans="6:12" s="90" customFormat="1" ht="12.000000">
      <c r="F1243" s="95"/>
      <c r="G1243" s="95"/>
      <c r="H1243" s="95"/>
      <c r="I1243" s="95"/>
      <c r="J1243" s="95"/>
      <c r="K1243" s="95"/>
      <c r="L1243" s="95"/>
    </row>
    <row r="1244" spans="6:12" s="90" customFormat="1" ht="12.000000">
      <c r="F1244" s="95"/>
      <c r="G1244" s="95"/>
      <c r="H1244" s="95"/>
      <c r="I1244" s="95"/>
      <c r="J1244" s="95"/>
      <c r="K1244" s="95"/>
      <c r="L1244" s="95"/>
    </row>
    <row r="1245" spans="6:12" s="90" customFormat="1" ht="12.000000">
      <c r="F1245" s="95"/>
      <c r="G1245" s="95"/>
      <c r="H1245" s="95"/>
      <c r="I1245" s="95"/>
      <c r="J1245" s="95"/>
      <c r="K1245" s="95"/>
      <c r="L1245" s="95"/>
    </row>
    <row r="1246" spans="6:12" s="90" customFormat="1" ht="12.000000">
      <c r="F1246" s="95"/>
      <c r="G1246" s="95"/>
      <c r="H1246" s="95"/>
      <c r="I1246" s="95"/>
      <c r="J1246" s="95"/>
      <c r="K1246" s="95"/>
      <c r="L1246" s="95"/>
    </row>
    <row r="1247" spans="6:12" s="90" customFormat="1" ht="12.000000">
      <c r="F1247" s="95"/>
      <c r="G1247" s="95"/>
      <c r="H1247" s="95"/>
      <c r="I1247" s="95"/>
      <c r="J1247" s="95"/>
      <c r="K1247" s="95"/>
      <c r="L1247" s="95"/>
    </row>
    <row r="1248" spans="6:12" s="90" customFormat="1" ht="12.000000">
      <c r="F1248" s="95"/>
      <c r="G1248" s="95"/>
      <c r="H1248" s="95"/>
      <c r="I1248" s="95"/>
      <c r="J1248" s="95"/>
      <c r="K1248" s="95"/>
      <c r="L1248" s="95"/>
    </row>
    <row r="1249" spans="6:12" s="90" customFormat="1" ht="12.000000">
      <c r="F1249" s="95"/>
      <c r="G1249" s="95"/>
      <c r="H1249" s="95"/>
      <c r="I1249" s="95"/>
      <c r="J1249" s="95"/>
      <c r="K1249" s="95"/>
      <c r="L1249" s="95"/>
    </row>
    <row r="1250" spans="6:12" s="90" customFormat="1" ht="12.000000">
      <c r="F1250" s="95"/>
      <c r="G1250" s="95"/>
      <c r="H1250" s="95"/>
      <c r="I1250" s="95"/>
      <c r="J1250" s="95"/>
      <c r="K1250" s="95"/>
      <c r="L1250" s="95"/>
    </row>
    <row r="1251" spans="6:12" s="90" customFormat="1" ht="12.000000">
      <c r="F1251" s="95"/>
      <c r="G1251" s="95"/>
      <c r="H1251" s="95"/>
      <c r="I1251" s="95"/>
      <c r="J1251" s="95"/>
      <c r="K1251" s="95"/>
      <c r="L1251" s="95"/>
    </row>
    <row r="1252" spans="6:12" s="90" customFormat="1" ht="12.000000">
      <c r="F1252" s="95"/>
      <c r="G1252" s="95"/>
      <c r="H1252" s="95"/>
      <c r="I1252" s="95"/>
      <c r="J1252" s="95"/>
      <c r="K1252" s="95"/>
      <c r="L1252" s="95"/>
    </row>
    <row r="1253" spans="6:12" s="90" customFormat="1" ht="12.000000">
      <c r="F1253" s="95"/>
      <c r="G1253" s="95"/>
      <c r="H1253" s="95"/>
      <c r="I1253" s="95"/>
      <c r="J1253" s="95"/>
      <c r="K1253" s="95"/>
      <c r="L1253" s="95"/>
    </row>
    <row r="1254" spans="6:12" s="90" customFormat="1" ht="12.000000">
      <c r="F1254" s="95"/>
      <c r="G1254" s="95"/>
      <c r="H1254" s="95"/>
      <c r="I1254" s="95"/>
      <c r="J1254" s="95"/>
      <c r="K1254" s="95"/>
      <c r="L1254" s="95"/>
    </row>
    <row r="1255" spans="6:12" s="90" customFormat="1" ht="12.000000">
      <c r="F1255" s="95"/>
      <c r="G1255" s="95"/>
      <c r="H1255" s="95"/>
      <c r="I1255" s="95"/>
      <c r="J1255" s="95"/>
      <c r="K1255" s="95"/>
      <c r="L1255" s="95"/>
    </row>
    <row r="1256" spans="6:12" s="90" customFormat="1" ht="12.000000">
      <c r="F1256" s="95"/>
      <c r="G1256" s="95"/>
      <c r="H1256" s="95"/>
      <c r="I1256" s="95"/>
      <c r="J1256" s="95"/>
      <c r="K1256" s="95"/>
      <c r="L1256" s="95"/>
    </row>
    <row r="1257" spans="6:12" s="90" customFormat="1" ht="12.000000">
      <c r="F1257" s="95"/>
      <c r="G1257" s="95"/>
      <c r="H1257" s="95"/>
      <c r="I1257" s="95"/>
      <c r="J1257" s="95"/>
      <c r="K1257" s="95"/>
      <c r="L1257" s="95"/>
    </row>
    <row r="1258" spans="6:12" s="90" customFormat="1" ht="12.000000">
      <c r="F1258" s="95"/>
      <c r="G1258" s="95"/>
      <c r="H1258" s="95"/>
      <c r="I1258" s="95"/>
      <c r="J1258" s="95"/>
      <c r="K1258" s="95"/>
      <c r="L1258" s="95"/>
    </row>
    <row r="1259" spans="6:12" s="90" customFormat="1" ht="12.000000">
      <c r="F1259" s="95"/>
      <c r="G1259" s="95"/>
      <c r="H1259" s="95"/>
      <c r="I1259" s="95"/>
      <c r="J1259" s="95"/>
      <c r="K1259" s="95"/>
      <c r="L1259" s="95"/>
    </row>
    <row r="1260" spans="6:12" s="90" customFormat="1" ht="12.000000">
      <c r="F1260" s="95"/>
      <c r="G1260" s="95"/>
      <c r="H1260" s="95"/>
      <c r="I1260" s="95"/>
      <c r="J1260" s="95"/>
      <c r="K1260" s="95"/>
      <c r="L1260" s="95"/>
    </row>
    <row r="1261" spans="6:12" s="90" customFormat="1" ht="12.000000">
      <c r="F1261" s="95"/>
      <c r="G1261" s="95"/>
      <c r="H1261" s="95"/>
      <c r="I1261" s="95"/>
      <c r="J1261" s="95"/>
      <c r="K1261" s="95"/>
      <c r="L1261" s="95"/>
    </row>
    <row r="1262" spans="6:12" s="90" customFormat="1" ht="12.000000">
      <c r="F1262" s="95"/>
      <c r="G1262" s="95"/>
      <c r="H1262" s="95"/>
      <c r="I1262" s="95"/>
      <c r="J1262" s="95"/>
      <c r="K1262" s="95"/>
      <c r="L1262" s="95"/>
    </row>
    <row r="1263" spans="6:12" s="90" customFormat="1" ht="12.000000">
      <c r="F1263" s="95"/>
      <c r="G1263" s="95"/>
      <c r="H1263" s="95"/>
      <c r="I1263" s="95"/>
      <c r="J1263" s="95"/>
      <c r="K1263" s="95"/>
      <c r="L1263" s="95"/>
    </row>
    <row r="1264" spans="6:12" s="90" customFormat="1" ht="12.000000">
      <c r="F1264" s="95"/>
      <c r="G1264" s="95"/>
      <c r="H1264" s="95"/>
      <c r="I1264" s="95"/>
      <c r="J1264" s="95"/>
      <c r="K1264" s="95"/>
      <c r="L1264" s="95"/>
    </row>
    <row r="1265" spans="6:12" s="90" customFormat="1" ht="12.000000">
      <c r="F1265" s="95"/>
      <c r="G1265" s="95"/>
      <c r="H1265" s="95"/>
      <c r="I1265" s="95"/>
      <c r="J1265" s="95"/>
      <c r="K1265" s="95"/>
      <c r="L1265" s="95"/>
    </row>
    <row r="1266" spans="6:12" s="90" customFormat="1" ht="12.000000">
      <c r="F1266" s="95"/>
      <c r="G1266" s="95"/>
      <c r="H1266" s="95"/>
      <c r="I1266" s="95"/>
      <c r="J1266" s="95"/>
      <c r="K1266" s="95"/>
      <c r="L1266" s="95"/>
    </row>
    <row r="1267" spans="6:12" s="90" customFormat="1" ht="12.000000">
      <c r="F1267" s="95"/>
      <c r="G1267" s="95"/>
      <c r="H1267" s="95"/>
      <c r="I1267" s="95"/>
      <c r="J1267" s="95"/>
      <c r="K1267" s="95"/>
      <c r="L1267" s="95"/>
    </row>
    <row r="1268" spans="6:12" s="90" customFormat="1" ht="12.000000">
      <c r="F1268" s="95"/>
      <c r="G1268" s="95"/>
      <c r="H1268" s="95"/>
      <c r="I1268" s="95"/>
      <c r="J1268" s="95"/>
      <c r="K1268" s="95"/>
      <c r="L1268" s="95"/>
    </row>
    <row r="1269" spans="6:12" s="90" customFormat="1" ht="12.000000">
      <c r="F1269" s="95"/>
      <c r="G1269" s="95"/>
      <c r="H1269" s="95"/>
      <c r="I1269" s="95"/>
      <c r="J1269" s="95"/>
      <c r="K1269" s="95"/>
      <c r="L1269" s="95"/>
    </row>
    <row r="1270" spans="6:12" s="90" customFormat="1" ht="12.000000">
      <c r="F1270" s="95"/>
      <c r="G1270" s="95"/>
      <c r="H1270" s="95"/>
      <c r="I1270" s="95"/>
      <c r="J1270" s="95"/>
      <c r="K1270" s="95"/>
      <c r="L1270" s="95"/>
    </row>
    <row r="1271" spans="6:12" s="90" customFormat="1" ht="12.000000">
      <c r="F1271" s="95"/>
      <c r="G1271" s="95"/>
      <c r="H1271" s="95"/>
      <c r="I1271" s="95"/>
      <c r="J1271" s="95"/>
      <c r="K1271" s="95"/>
      <c r="L1271" s="95"/>
    </row>
    <row r="1272" spans="6:12" s="90" customFormat="1" ht="12.000000">
      <c r="F1272" s="95"/>
      <c r="G1272" s="95"/>
      <c r="H1272" s="95"/>
      <c r="I1272" s="95"/>
      <c r="J1272" s="95"/>
      <c r="K1272" s="95"/>
      <c r="L1272" s="95"/>
    </row>
    <row r="1273" spans="6:12" s="90" customFormat="1" ht="12.000000">
      <c r="F1273" s="95"/>
      <c r="G1273" s="95"/>
      <c r="H1273" s="95"/>
      <c r="I1273" s="95"/>
      <c r="J1273" s="95"/>
      <c r="K1273" s="95"/>
      <c r="L1273" s="95"/>
    </row>
    <row r="1274" spans="6:12" s="90" customFormat="1" ht="12.000000">
      <c r="F1274" s="95"/>
      <c r="G1274" s="95"/>
      <c r="H1274" s="95"/>
      <c r="I1274" s="95"/>
      <c r="J1274" s="95"/>
      <c r="K1274" s="95"/>
      <c r="L1274" s="95"/>
    </row>
    <row r="1275" spans="6:12" s="90" customFormat="1" ht="12.000000">
      <c r="F1275" s="95"/>
      <c r="G1275" s="95"/>
      <c r="H1275" s="95"/>
      <c r="I1275" s="95"/>
      <c r="J1275" s="95"/>
      <c r="K1275" s="95"/>
      <c r="L1275" s="95"/>
    </row>
    <row r="1276" spans="6:12" s="90" customFormat="1" ht="12.000000">
      <c r="F1276" s="95"/>
      <c r="G1276" s="95"/>
      <c r="H1276" s="95"/>
      <c r="I1276" s="95"/>
      <c r="J1276" s="95"/>
      <c r="K1276" s="95"/>
      <c r="L1276" s="95"/>
    </row>
    <row r="1277" spans="6:12" s="90" customFormat="1" ht="12.000000">
      <c r="F1277" s="95"/>
      <c r="G1277" s="95"/>
      <c r="H1277" s="95"/>
      <c r="I1277" s="95"/>
      <c r="J1277" s="95"/>
      <c r="K1277" s="95"/>
      <c r="L1277" s="95"/>
    </row>
    <row r="1278" spans="6:12" s="90" customFormat="1" ht="12.000000">
      <c r="F1278" s="95"/>
      <c r="G1278" s="95"/>
      <c r="H1278" s="95"/>
      <c r="I1278" s="95"/>
      <c r="J1278" s="95"/>
      <c r="K1278" s="95"/>
      <c r="L1278" s="95"/>
    </row>
    <row r="1279" spans="6:12" s="90" customFormat="1" ht="12.000000">
      <c r="F1279" s="95"/>
      <c r="G1279" s="95"/>
      <c r="H1279" s="95"/>
      <c r="I1279" s="95"/>
      <c r="J1279" s="95"/>
      <c r="K1279" s="95"/>
      <c r="L1279" s="95"/>
    </row>
    <row r="1280" spans="6:12" s="90" customFormat="1" ht="12.000000">
      <c r="F1280" s="95"/>
      <c r="G1280" s="95"/>
      <c r="H1280" s="95"/>
      <c r="I1280" s="95"/>
      <c r="J1280" s="95"/>
      <c r="K1280" s="95"/>
      <c r="L1280" s="95"/>
    </row>
    <row r="1281" spans="6:12" s="90" customFormat="1" ht="12.000000">
      <c r="F1281" s="95"/>
      <c r="G1281" s="95"/>
      <c r="H1281" s="95"/>
      <c r="I1281" s="95"/>
      <c r="J1281" s="95"/>
      <c r="K1281" s="95"/>
      <c r="L1281" s="95"/>
    </row>
    <row r="1282" spans="6:12" s="90" customFormat="1" ht="12.000000">
      <c r="F1282" s="95"/>
      <c r="G1282" s="95"/>
      <c r="H1282" s="95"/>
      <c r="I1282" s="95"/>
      <c r="J1282" s="95"/>
      <c r="K1282" s="95"/>
      <c r="L1282" s="95"/>
    </row>
    <row r="1283" spans="6:12" s="90" customFormat="1" ht="12.000000">
      <c r="F1283" s="95"/>
      <c r="G1283" s="95"/>
      <c r="H1283" s="95"/>
      <c r="I1283" s="95"/>
      <c r="J1283" s="95"/>
      <c r="K1283" s="95"/>
      <c r="L1283" s="95"/>
    </row>
    <row r="1284" spans="6:12" s="90" customFormat="1" ht="12.000000">
      <c r="F1284" s="95"/>
      <c r="G1284" s="95"/>
      <c r="H1284" s="95"/>
      <c r="I1284" s="95"/>
      <c r="J1284" s="95"/>
      <c r="K1284" s="95"/>
      <c r="L1284" s="95"/>
    </row>
    <row r="1285" spans="6:12" s="90" customFormat="1" ht="12.000000">
      <c r="F1285" s="95"/>
      <c r="G1285" s="95"/>
      <c r="H1285" s="95"/>
      <c r="I1285" s="95"/>
      <c r="J1285" s="95"/>
      <c r="K1285" s="95"/>
      <c r="L1285" s="95"/>
    </row>
    <row r="1286" spans="6:12" s="90" customFormat="1" ht="12.000000">
      <c r="F1286" s="95"/>
      <c r="G1286" s="95"/>
      <c r="H1286" s="95"/>
      <c r="I1286" s="95"/>
      <c r="J1286" s="95"/>
      <c r="K1286" s="95"/>
      <c r="L1286" s="95"/>
    </row>
    <row r="1287" spans="6:12" s="90" customFormat="1" ht="12.000000">
      <c r="F1287" s="95"/>
      <c r="G1287" s="95"/>
      <c r="H1287" s="95"/>
      <c r="I1287" s="95"/>
      <c r="J1287" s="95"/>
      <c r="K1287" s="95"/>
      <c r="L1287" s="95"/>
    </row>
    <row r="1288" spans="6:12" s="90" customFormat="1" ht="12.000000">
      <c r="F1288" s="95"/>
      <c r="G1288" s="95"/>
      <c r="H1288" s="95"/>
      <c r="I1288" s="95"/>
      <c r="J1288" s="95"/>
      <c r="K1288" s="95"/>
      <c r="L1288" s="95"/>
    </row>
    <row r="1289" spans="6:12" s="90" customFormat="1" ht="12.000000">
      <c r="F1289" s="95"/>
      <c r="G1289" s="95"/>
      <c r="H1289" s="95"/>
      <c r="I1289" s="95"/>
      <c r="J1289" s="95"/>
      <c r="K1289" s="95"/>
      <c r="L1289" s="95"/>
    </row>
    <row r="1290" spans="6:12" s="90" customFormat="1" ht="12.000000">
      <c r="F1290" s="95"/>
      <c r="G1290" s="95"/>
      <c r="H1290" s="95"/>
      <c r="I1290" s="95"/>
      <c r="J1290" s="95"/>
      <c r="K1290" s="95"/>
      <c r="L1290" s="95"/>
    </row>
    <row r="1291" spans="6:12" s="90" customFormat="1" ht="12.000000">
      <c r="F1291" s="95"/>
      <c r="G1291" s="95"/>
      <c r="H1291" s="95"/>
      <c r="I1291" s="95"/>
      <c r="J1291" s="95"/>
      <c r="K1291" s="95"/>
      <c r="L1291" s="95"/>
    </row>
    <row r="1292" spans="6:12" s="90" customFormat="1" ht="12.000000">
      <c r="F1292" s="95"/>
      <c r="G1292" s="95"/>
      <c r="H1292" s="95"/>
      <c r="I1292" s="95"/>
      <c r="J1292" s="95"/>
      <c r="K1292" s="95"/>
      <c r="L1292" s="95"/>
    </row>
    <row r="1293" spans="6:12" s="90" customFormat="1" ht="12.000000">
      <c r="F1293" s="95"/>
      <c r="G1293" s="95"/>
      <c r="H1293" s="95"/>
      <c r="I1293" s="95"/>
      <c r="J1293" s="95"/>
      <c r="K1293" s="95"/>
      <c r="L1293" s="95"/>
    </row>
    <row r="1294" spans="6:12" s="90" customFormat="1" ht="12.000000">
      <c r="F1294" s="95"/>
      <c r="G1294" s="95"/>
      <c r="H1294" s="95"/>
      <c r="I1294" s="95"/>
      <c r="J1294" s="95"/>
      <c r="K1294" s="95"/>
      <c r="L1294" s="95"/>
    </row>
    <row r="1295" spans="6:12" s="90" customFormat="1" ht="12.000000">
      <c r="F1295" s="95"/>
      <c r="G1295" s="95"/>
      <c r="H1295" s="95"/>
      <c r="I1295" s="95"/>
      <c r="J1295" s="95"/>
      <c r="K1295" s="95"/>
      <c r="L1295" s="95"/>
    </row>
    <row r="1296" spans="6:12" s="90" customFormat="1" ht="12.000000">
      <c r="F1296" s="95"/>
      <c r="G1296" s="95"/>
      <c r="H1296" s="95"/>
      <c r="I1296" s="95"/>
      <c r="J1296" s="95"/>
      <c r="K1296" s="95"/>
      <c r="L1296" s="95"/>
    </row>
    <row r="1297" spans="6:12" s="90" customFormat="1" ht="12.000000">
      <c r="F1297" s="95"/>
      <c r="G1297" s="95"/>
      <c r="H1297" s="95"/>
      <c r="I1297" s="95"/>
      <c r="J1297" s="95"/>
      <c r="K1297" s="95"/>
      <c r="L1297" s="95"/>
    </row>
    <row r="1298" spans="6:12" s="90" customFormat="1" ht="12.000000">
      <c r="F1298" s="95"/>
      <c r="G1298" s="95"/>
      <c r="H1298" s="95"/>
      <c r="I1298" s="95"/>
      <c r="J1298" s="95"/>
      <c r="K1298" s="95"/>
      <c r="L1298" s="95"/>
    </row>
    <row r="1299" spans="6:12" s="90" customFormat="1" ht="12.000000">
      <c r="F1299" s="95"/>
      <c r="G1299" s="95"/>
      <c r="H1299" s="95"/>
      <c r="I1299" s="95"/>
      <c r="J1299" s="95"/>
      <c r="K1299" s="95"/>
      <c r="L1299" s="95"/>
    </row>
    <row r="1300" spans="6:12" s="90" customFormat="1" ht="12.000000">
      <c r="F1300" s="95"/>
      <c r="G1300" s="95"/>
      <c r="H1300" s="95"/>
      <c r="I1300" s="95"/>
      <c r="J1300" s="95"/>
      <c r="K1300" s="95"/>
      <c r="L1300" s="95"/>
    </row>
    <row r="1301" spans="6:12" s="90" customFormat="1" ht="12.000000">
      <c r="F1301" s="95"/>
      <c r="G1301" s="95"/>
      <c r="H1301" s="95"/>
      <c r="I1301" s="95"/>
      <c r="J1301" s="95"/>
      <c r="K1301" s="95"/>
      <c r="L1301" s="95"/>
    </row>
    <row r="1302" spans="6:12" s="90" customFormat="1" ht="12.000000">
      <c r="F1302" s="95"/>
      <c r="G1302" s="95"/>
      <c r="H1302" s="95"/>
      <c r="I1302" s="95"/>
      <c r="J1302" s="95"/>
      <c r="K1302" s="95"/>
      <c r="L1302" s="95"/>
    </row>
    <row r="1303" spans="6:12" s="90" customFormat="1" ht="12.000000">
      <c r="F1303" s="95"/>
      <c r="G1303" s="95"/>
      <c r="H1303" s="95"/>
      <c r="I1303" s="95"/>
      <c r="J1303" s="95"/>
      <c r="K1303" s="95"/>
      <c r="L1303" s="95"/>
    </row>
    <row r="1304" spans="6:12" s="90" customFormat="1" ht="12.000000">
      <c r="F1304" s="95"/>
      <c r="G1304" s="95"/>
      <c r="H1304" s="95"/>
      <c r="I1304" s="95"/>
      <c r="J1304" s="95"/>
      <c r="K1304" s="95"/>
      <c r="L1304" s="95"/>
    </row>
    <row r="1305" spans="6:12" s="90" customFormat="1" ht="12.000000">
      <c r="F1305" s="95"/>
      <c r="G1305" s="95"/>
      <c r="H1305" s="95"/>
      <c r="I1305" s="95"/>
      <c r="J1305" s="95"/>
      <c r="K1305" s="95"/>
      <c r="L1305" s="95"/>
    </row>
    <row r="1306" spans="6:12" s="90" customFormat="1" ht="12.000000">
      <c r="F1306" s="95"/>
      <c r="G1306" s="95"/>
      <c r="H1306" s="95"/>
      <c r="I1306" s="95"/>
      <c r="J1306" s="95"/>
      <c r="K1306" s="95"/>
      <c r="L1306" s="95"/>
    </row>
    <row r="1307" spans="6:12" s="90" customFormat="1" ht="12.000000">
      <c r="F1307" s="95"/>
      <c r="G1307" s="95"/>
      <c r="H1307" s="95"/>
      <c r="I1307" s="95"/>
      <c r="J1307" s="95"/>
      <c r="K1307" s="95"/>
      <c r="L1307" s="95"/>
    </row>
    <row r="1308" spans="6:12" s="90" customFormat="1" ht="12.000000">
      <c r="F1308" s="95"/>
      <c r="G1308" s="95"/>
      <c r="H1308" s="95"/>
      <c r="I1308" s="95"/>
      <c r="J1308" s="95"/>
      <c r="K1308" s="95"/>
      <c r="L1308" s="95"/>
    </row>
    <row r="1309" spans="6:12" s="90" customFormat="1" ht="12.000000">
      <c r="F1309" s="95"/>
      <c r="G1309" s="95"/>
      <c r="H1309" s="95"/>
      <c r="I1309" s="95"/>
      <c r="J1309" s="95"/>
      <c r="K1309" s="95"/>
      <c r="L1309" s="95"/>
    </row>
    <row r="1310" spans="6:12" s="90" customFormat="1" ht="12.000000">
      <c r="F1310" s="95"/>
      <c r="G1310" s="95"/>
      <c r="H1310" s="95"/>
      <c r="I1310" s="95"/>
      <c r="J1310" s="95"/>
      <c r="K1310" s="95"/>
      <c r="L1310" s="95"/>
    </row>
    <row r="1311" spans="6:12" s="90" customFormat="1" ht="12.000000">
      <c r="F1311" s="95"/>
      <c r="G1311" s="95"/>
      <c r="H1311" s="95"/>
      <c r="I1311" s="95"/>
      <c r="J1311" s="95"/>
      <c r="K1311" s="95"/>
      <c r="L1311" s="95"/>
    </row>
    <row r="1312" spans="6:12" s="90" customFormat="1" ht="12.000000">
      <c r="F1312" s="95"/>
      <c r="G1312" s="95"/>
      <c r="H1312" s="95"/>
      <c r="I1312" s="95"/>
      <c r="J1312" s="95"/>
      <c r="K1312" s="95"/>
      <c r="L1312" s="95"/>
    </row>
    <row r="1313" spans="6:12" s="90" customFormat="1" ht="12.000000">
      <c r="F1313" s="95"/>
      <c r="G1313" s="95"/>
      <c r="H1313" s="95"/>
      <c r="I1313" s="95"/>
      <c r="J1313" s="95"/>
      <c r="K1313" s="95"/>
      <c r="L1313" s="95"/>
    </row>
    <row r="1314" spans="6:12" s="90" customFormat="1" ht="12.000000">
      <c r="F1314" s="95"/>
      <c r="G1314" s="95"/>
      <c r="H1314" s="95"/>
      <c r="I1314" s="95"/>
      <c r="J1314" s="95"/>
      <c r="K1314" s="95"/>
      <c r="L1314" s="95"/>
    </row>
    <row r="1315" spans="6:12" s="90" customFormat="1" ht="12.000000">
      <c r="F1315" s="95"/>
      <c r="G1315" s="95"/>
      <c r="H1315" s="95"/>
      <c r="I1315" s="95"/>
      <c r="J1315" s="95"/>
      <c r="K1315" s="95"/>
      <c r="L1315" s="95"/>
    </row>
    <row r="1316" spans="6:12" s="90" customFormat="1" ht="12.000000">
      <c r="F1316" s="95"/>
      <c r="G1316" s="95"/>
      <c r="H1316" s="95"/>
      <c r="I1316" s="95"/>
      <c r="J1316" s="95"/>
      <c r="K1316" s="95"/>
      <c r="L1316" s="95"/>
    </row>
    <row r="1317" spans="6:12" s="90" customFormat="1" ht="12.000000">
      <c r="F1317" s="95"/>
      <c r="G1317" s="95"/>
      <c r="H1317" s="95"/>
      <c r="I1317" s="95"/>
      <c r="J1317" s="95"/>
      <c r="K1317" s="95"/>
      <c r="L1317" s="95"/>
    </row>
    <row r="1318" spans="6:12" s="90" customFormat="1" ht="12.000000">
      <c r="F1318" s="95"/>
      <c r="G1318" s="95"/>
      <c r="H1318" s="95"/>
      <c r="I1318" s="95"/>
      <c r="J1318" s="95"/>
      <c r="K1318" s="95"/>
      <c r="L1318" s="95"/>
    </row>
    <row r="1319" spans="6:12" s="90" customFormat="1" ht="12.000000">
      <c r="F1319" s="95"/>
      <c r="G1319" s="95"/>
      <c r="H1319" s="95"/>
      <c r="I1319" s="95"/>
      <c r="J1319" s="95"/>
      <c r="K1319" s="95"/>
      <c r="L1319" s="95"/>
    </row>
    <row r="1320" spans="6:12" s="90" customFormat="1" ht="12.000000">
      <c r="F1320" s="95"/>
      <c r="G1320" s="95"/>
      <c r="H1320" s="95"/>
      <c r="I1320" s="95"/>
      <c r="J1320" s="95"/>
      <c r="K1320" s="95"/>
      <c r="L1320" s="95"/>
    </row>
    <row r="1321" spans="6:12" s="90" customFormat="1" ht="12.000000">
      <c r="F1321" s="95"/>
      <c r="G1321" s="95"/>
      <c r="H1321" s="95"/>
      <c r="I1321" s="95"/>
      <c r="J1321" s="95"/>
      <c r="K1321" s="95"/>
      <c r="L1321" s="95"/>
    </row>
    <row r="1322" spans="6:12" s="90" customFormat="1" ht="12.000000">
      <c r="F1322" s="95"/>
      <c r="G1322" s="95"/>
      <c r="H1322" s="95"/>
      <c r="I1322" s="95"/>
      <c r="J1322" s="95"/>
      <c r="K1322" s="95"/>
      <c r="L1322" s="95"/>
    </row>
    <row r="1323" spans="6:12" s="90" customFormat="1" ht="12.000000">
      <c r="F1323" s="95"/>
      <c r="G1323" s="95"/>
      <c r="H1323" s="95"/>
      <c r="I1323" s="95"/>
      <c r="J1323" s="95"/>
      <c r="K1323" s="95"/>
      <c r="L1323" s="95"/>
    </row>
    <row r="1324" spans="6:12" s="90" customFormat="1" ht="12.000000">
      <c r="F1324" s="95"/>
      <c r="G1324" s="95"/>
      <c r="H1324" s="95"/>
      <c r="I1324" s="95"/>
      <c r="J1324" s="95"/>
      <c r="K1324" s="95"/>
      <c r="L1324" s="95"/>
    </row>
    <row r="1325" spans="6:12" s="90" customFormat="1" ht="12.000000">
      <c r="F1325" s="95"/>
      <c r="G1325" s="95"/>
      <c r="H1325" s="95"/>
      <c r="I1325" s="95"/>
      <c r="J1325" s="95"/>
      <c r="K1325" s="95"/>
      <c r="L1325" s="95"/>
    </row>
    <row r="1326" spans="6:12" s="90" customFormat="1" ht="12.000000">
      <c r="F1326" s="95"/>
      <c r="G1326" s="95"/>
      <c r="H1326" s="95"/>
      <c r="I1326" s="95"/>
      <c r="J1326" s="95"/>
      <c r="K1326" s="95"/>
      <c r="L1326" s="95"/>
    </row>
    <row r="1327" spans="6:12" s="90" customFormat="1" ht="12.000000">
      <c r="F1327" s="95"/>
      <c r="G1327" s="95"/>
      <c r="H1327" s="95"/>
      <c r="I1327" s="95"/>
      <c r="J1327" s="95"/>
      <c r="K1327" s="95"/>
      <c r="L1327" s="95"/>
    </row>
    <row r="1328" spans="6:12" s="90" customFormat="1" ht="12.000000">
      <c r="F1328" s="95"/>
      <c r="G1328" s="95"/>
      <c r="H1328" s="95"/>
      <c r="I1328" s="95"/>
      <c r="J1328" s="95"/>
      <c r="K1328" s="95"/>
      <c r="L1328" s="95"/>
    </row>
    <row r="1329" spans="6:12" s="90" customFormat="1" ht="12.000000">
      <c r="F1329" s="95"/>
      <c r="G1329" s="95"/>
      <c r="H1329" s="95"/>
      <c r="I1329" s="95"/>
      <c r="J1329" s="95"/>
      <c r="K1329" s="95"/>
      <c r="L1329" s="95"/>
    </row>
    <row r="1330" spans="6:12" s="90" customFormat="1" ht="12.000000">
      <c r="F1330" s="95"/>
      <c r="G1330" s="95"/>
      <c r="H1330" s="95"/>
      <c r="I1330" s="95"/>
      <c r="J1330" s="95"/>
      <c r="K1330" s="95"/>
      <c r="L1330" s="95"/>
    </row>
    <row r="1331" spans="6:12" s="90" customFormat="1" ht="12.000000">
      <c r="F1331" s="95"/>
      <c r="G1331" s="95"/>
      <c r="H1331" s="95"/>
      <c r="I1331" s="95"/>
      <c r="J1331" s="95"/>
      <c r="K1331" s="95"/>
      <c r="L1331" s="95"/>
    </row>
    <row r="1332" spans="6:12" s="90" customFormat="1" ht="12.000000">
      <c r="F1332" s="95"/>
      <c r="G1332" s="95"/>
      <c r="H1332" s="95"/>
      <c r="I1332" s="95"/>
      <c r="J1332" s="95"/>
      <c r="K1332" s="95"/>
      <c r="L1332" s="95"/>
    </row>
    <row r="1333" spans="6:12" s="90" customFormat="1" ht="12.000000">
      <c r="F1333" s="95"/>
      <c r="G1333" s="95"/>
      <c r="H1333" s="95"/>
      <c r="I1333" s="95"/>
      <c r="J1333" s="95"/>
      <c r="K1333" s="95"/>
      <c r="L1333" s="95"/>
    </row>
    <row r="1334" spans="6:12" s="90" customFormat="1" ht="12.000000">
      <c r="F1334" s="95"/>
      <c r="G1334" s="95"/>
      <c r="H1334" s="95"/>
      <c r="I1334" s="95"/>
      <c r="J1334" s="95"/>
      <c r="K1334" s="95"/>
      <c r="L1334" s="95"/>
    </row>
    <row r="1335" spans="6:12" s="90" customFormat="1" ht="12.000000">
      <c r="F1335" s="95"/>
      <c r="G1335" s="95"/>
      <c r="H1335" s="95"/>
      <c r="I1335" s="95"/>
      <c r="J1335" s="95"/>
      <c r="K1335" s="95"/>
      <c r="L1335" s="95"/>
    </row>
    <row r="1336" spans="6:12" s="90" customFormat="1" ht="12.000000">
      <c r="F1336" s="95"/>
      <c r="G1336" s="95"/>
      <c r="H1336" s="95"/>
      <c r="I1336" s="95"/>
      <c r="J1336" s="95"/>
      <c r="K1336" s="95"/>
      <c r="L1336" s="95"/>
    </row>
    <row r="1337" spans="6:12" s="90" customFormat="1" ht="12.000000">
      <c r="F1337" s="95"/>
      <c r="G1337" s="95"/>
      <c r="H1337" s="95"/>
      <c r="I1337" s="95"/>
      <c r="J1337" s="95"/>
      <c r="K1337" s="95"/>
      <c r="L1337" s="95"/>
    </row>
    <row r="1338" spans="6:12" s="90" customFormat="1" ht="12.000000">
      <c r="F1338" s="95"/>
      <c r="G1338" s="95"/>
      <c r="H1338" s="95"/>
      <c r="I1338" s="95"/>
      <c r="J1338" s="95"/>
      <c r="K1338" s="95"/>
      <c r="L1338" s="95"/>
    </row>
    <row r="1339" spans="6:12" s="90" customFormat="1" ht="12.000000">
      <c r="F1339" s="95"/>
      <c r="G1339" s="95"/>
      <c r="H1339" s="95"/>
      <c r="I1339" s="95"/>
      <c r="J1339" s="95"/>
      <c r="K1339" s="95"/>
      <c r="L1339" s="95"/>
    </row>
    <row r="1340" spans="6:12" s="90" customFormat="1" ht="12.000000">
      <c r="F1340" s="95"/>
      <c r="G1340" s="95"/>
      <c r="H1340" s="95"/>
      <c r="I1340" s="95"/>
      <c r="J1340" s="95"/>
      <c r="K1340" s="95"/>
      <c r="L1340" s="95"/>
    </row>
    <row r="1341" spans="6:12" s="90" customFormat="1" ht="12.000000">
      <c r="F1341" s="95"/>
      <c r="G1341" s="95"/>
      <c r="H1341" s="95"/>
      <c r="I1341" s="95"/>
      <c r="J1341" s="95"/>
      <c r="K1341" s="95"/>
      <c r="L1341" s="95"/>
    </row>
    <row r="1342" spans="6:12" s="90" customFormat="1" ht="12.000000">
      <c r="F1342" s="95"/>
      <c r="G1342" s="95"/>
      <c r="H1342" s="95"/>
      <c r="I1342" s="95"/>
      <c r="J1342" s="95"/>
      <c r="K1342" s="95"/>
      <c r="L1342" s="95"/>
    </row>
    <row r="1343" spans="6:12" s="90" customFormat="1" ht="12.000000">
      <c r="F1343" s="95"/>
      <c r="G1343" s="95"/>
      <c r="H1343" s="95"/>
      <c r="I1343" s="95"/>
      <c r="J1343" s="95"/>
      <c r="K1343" s="95"/>
      <c r="L1343" s="95"/>
    </row>
    <row r="1344" spans="6:12" s="90" customFormat="1" ht="12.000000">
      <c r="F1344" s="95"/>
      <c r="G1344" s="95"/>
      <c r="H1344" s="95"/>
      <c r="I1344" s="95"/>
      <c r="J1344" s="95"/>
      <c r="K1344" s="95"/>
      <c r="L1344" s="95"/>
    </row>
    <row r="1345" spans="6:12" s="90" customFormat="1" ht="12.000000">
      <c r="F1345" s="95"/>
      <c r="G1345" s="95"/>
      <c r="H1345" s="95"/>
      <c r="I1345" s="95"/>
      <c r="J1345" s="95"/>
      <c r="K1345" s="95"/>
      <c r="L1345" s="95"/>
    </row>
    <row r="1346" spans="6:12" s="90" customFormat="1" ht="12.000000">
      <c r="F1346" s="95"/>
      <c r="G1346" s="95"/>
      <c r="H1346" s="95"/>
      <c r="I1346" s="95"/>
      <c r="J1346" s="95"/>
      <c r="K1346" s="95"/>
      <c r="L1346" s="95"/>
    </row>
    <row r="1347" spans="6:12" s="90" customFormat="1" ht="12.000000">
      <c r="F1347" s="95"/>
      <c r="G1347" s="95"/>
      <c r="H1347" s="95"/>
      <c r="I1347" s="95"/>
      <c r="J1347" s="95"/>
      <c r="K1347" s="95"/>
      <c r="L1347" s="95"/>
    </row>
    <row r="1348" spans="6:12" s="90" customFormat="1" ht="12.000000">
      <c r="F1348" s="95"/>
      <c r="G1348" s="95"/>
      <c r="H1348" s="95"/>
      <c r="I1348" s="95"/>
      <c r="J1348" s="95"/>
      <c r="K1348" s="95"/>
      <c r="L1348" s="95"/>
    </row>
    <row r="1349" spans="6:12" s="90" customFormat="1" ht="12.000000">
      <c r="F1349" s="95"/>
      <c r="G1349" s="95"/>
      <c r="H1349" s="95"/>
      <c r="I1349" s="95"/>
      <c r="J1349" s="95"/>
      <c r="K1349" s="95"/>
      <c r="L1349" s="95"/>
    </row>
    <row r="1350" spans="6:12" s="90" customFormat="1" ht="12.000000">
      <c r="F1350" s="95"/>
      <c r="G1350" s="95"/>
      <c r="H1350" s="95"/>
      <c r="I1350" s="95"/>
      <c r="J1350" s="95"/>
      <c r="K1350" s="95"/>
      <c r="L1350" s="95"/>
    </row>
    <row r="1351" spans="6:12" s="90" customFormat="1" ht="12.000000">
      <c r="F1351" s="95"/>
      <c r="G1351" s="95"/>
      <c r="H1351" s="95"/>
      <c r="I1351" s="95"/>
      <c r="J1351" s="95"/>
      <c r="K1351" s="95"/>
      <c r="L1351" s="95"/>
    </row>
    <row r="1352" spans="6:12" s="90" customFormat="1" ht="12.000000">
      <c r="F1352" s="95"/>
      <c r="G1352" s="95"/>
      <c r="H1352" s="95"/>
      <c r="I1352" s="95"/>
      <c r="J1352" s="95"/>
      <c r="K1352" s="95"/>
      <c r="L1352" s="95"/>
    </row>
    <row r="1353" spans="6:12" s="90" customFormat="1" ht="12.000000">
      <c r="F1353" s="95"/>
      <c r="G1353" s="95"/>
      <c r="H1353" s="95"/>
      <c r="I1353" s="95"/>
      <c r="J1353" s="95"/>
      <c r="K1353" s="95"/>
      <c r="L1353" s="95"/>
    </row>
    <row r="1354" spans="6:12" s="90" customFormat="1" ht="12.000000">
      <c r="F1354" s="95"/>
      <c r="G1354" s="95"/>
      <c r="H1354" s="95"/>
      <c r="I1354" s="95"/>
      <c r="J1354" s="95"/>
      <c r="K1354" s="95"/>
      <c r="L1354" s="95"/>
    </row>
    <row r="1355" spans="6:12" s="90" customFormat="1" ht="12.000000">
      <c r="F1355" s="95"/>
      <c r="G1355" s="95"/>
      <c r="H1355" s="95"/>
      <c r="I1355" s="95"/>
      <c r="J1355" s="95"/>
      <c r="K1355" s="95"/>
      <c r="L1355" s="95"/>
    </row>
    <row r="1356" spans="6:12" s="90" customFormat="1" ht="12.000000">
      <c r="F1356" s="95"/>
      <c r="G1356" s="95"/>
      <c r="H1356" s="95"/>
      <c r="I1356" s="95"/>
      <c r="J1356" s="95"/>
      <c r="K1356" s="95"/>
      <c r="L1356" s="95"/>
    </row>
    <row r="1357" spans="6:12" s="90" customFormat="1" ht="12.000000">
      <c r="F1357" s="95"/>
      <c r="G1357" s="95"/>
      <c r="H1357" s="95"/>
      <c r="I1357" s="95"/>
      <c r="J1357" s="95"/>
      <c r="K1357" s="95"/>
      <c r="L1357" s="95"/>
    </row>
    <row r="1358" spans="6:12" s="90" customFormat="1" ht="12.000000">
      <c r="F1358" s="95"/>
      <c r="G1358" s="95"/>
      <c r="H1358" s="95"/>
      <c r="I1358" s="95"/>
      <c r="J1358" s="95"/>
      <c r="K1358" s="95"/>
      <c r="L1358" s="95"/>
    </row>
    <row r="1359" spans="6:12" s="90" customFormat="1" ht="12.000000">
      <c r="F1359" s="95"/>
      <c r="G1359" s="95"/>
      <c r="H1359" s="95"/>
      <c r="I1359" s="95"/>
      <c r="J1359" s="95"/>
      <c r="K1359" s="95"/>
      <c r="L1359" s="95"/>
    </row>
    <row r="1360" spans="6:12" s="90" customFormat="1" ht="12.000000">
      <c r="F1360" s="95"/>
      <c r="G1360" s="95"/>
      <c r="H1360" s="95"/>
      <c r="I1360" s="95"/>
      <c r="J1360" s="95"/>
      <c r="K1360" s="95"/>
      <c r="L1360" s="95"/>
    </row>
    <row r="1361" spans="6:12" s="90" customFormat="1" ht="12.000000">
      <c r="F1361" s="95"/>
      <c r="G1361" s="95"/>
      <c r="H1361" s="95"/>
      <c r="I1361" s="95"/>
      <c r="J1361" s="95"/>
      <c r="K1361" s="95"/>
      <c r="L1361" s="95"/>
    </row>
    <row r="1362" spans="6:12" s="90" customFormat="1" ht="12.000000">
      <c r="F1362" s="95"/>
      <c r="G1362" s="95"/>
      <c r="H1362" s="95"/>
      <c r="I1362" s="95"/>
      <c r="J1362" s="95"/>
      <c r="K1362" s="95"/>
      <c r="L1362" s="95"/>
    </row>
    <row r="1363" spans="6:12" s="90" customFormat="1" ht="12.000000">
      <c r="F1363" s="95"/>
      <c r="G1363" s="95"/>
      <c r="H1363" s="95"/>
      <c r="I1363" s="95"/>
      <c r="J1363" s="95"/>
      <c r="K1363" s="95"/>
      <c r="L1363" s="95"/>
    </row>
    <row r="1364" spans="6:12" s="90" customFormat="1" ht="12.000000">
      <c r="F1364" s="95"/>
      <c r="G1364" s="95"/>
      <c r="H1364" s="95"/>
      <c r="I1364" s="95"/>
      <c r="J1364" s="95"/>
      <c r="K1364" s="95"/>
      <c r="L1364" s="95"/>
    </row>
    <row r="1365" spans="6:12" s="90" customFormat="1" ht="12.000000">
      <c r="F1365" s="95"/>
      <c r="G1365" s="95"/>
      <c r="H1365" s="95"/>
      <c r="I1365" s="95"/>
      <c r="J1365" s="95"/>
      <c r="K1365" s="95"/>
      <c r="L1365" s="95"/>
    </row>
    <row r="1366" spans="6:12" s="90" customFormat="1" ht="12.000000">
      <c r="F1366" s="95"/>
      <c r="G1366" s="95"/>
      <c r="H1366" s="95"/>
      <c r="I1366" s="95"/>
      <c r="J1366" s="95"/>
      <c r="K1366" s="95"/>
      <c r="L1366" s="95"/>
    </row>
    <row r="1367" spans="6:12" s="90" customFormat="1" ht="12.000000">
      <c r="F1367" s="95"/>
      <c r="G1367" s="95"/>
      <c r="H1367" s="95"/>
      <c r="I1367" s="95"/>
      <c r="J1367" s="95"/>
      <c r="K1367" s="95"/>
      <c r="L1367" s="95"/>
    </row>
    <row r="1368" spans="6:12" s="90" customFormat="1" ht="12.000000">
      <c r="F1368" s="95"/>
      <c r="G1368" s="95"/>
      <c r="H1368" s="95"/>
      <c r="I1368" s="95"/>
      <c r="J1368" s="95"/>
      <c r="K1368" s="95"/>
      <c r="L1368" s="95"/>
    </row>
    <row r="1369" spans="6:12" s="90" customFormat="1" ht="12.000000">
      <c r="F1369" s="95"/>
      <c r="G1369" s="95"/>
      <c r="H1369" s="95"/>
      <c r="I1369" s="95"/>
      <c r="J1369" s="95"/>
      <c r="K1369" s="95"/>
      <c r="L1369" s="95"/>
    </row>
    <row r="1370" spans="6:12" s="90" customFormat="1" ht="12.000000">
      <c r="F1370" s="95"/>
      <c r="G1370" s="95"/>
      <c r="H1370" s="95"/>
      <c r="I1370" s="95"/>
      <c r="J1370" s="95"/>
      <c r="K1370" s="95"/>
      <c r="L1370" s="95"/>
    </row>
    <row r="1371" spans="6:12" s="90" customFormat="1" ht="12.000000">
      <c r="F1371" s="95"/>
      <c r="G1371" s="95"/>
      <c r="H1371" s="95"/>
      <c r="I1371" s="95"/>
      <c r="J1371" s="95"/>
      <c r="K1371" s="95"/>
      <c r="L1371" s="95"/>
    </row>
    <row r="1372" spans="6:12" s="90" customFormat="1" ht="12.000000">
      <c r="F1372" s="95"/>
      <c r="G1372" s="95"/>
      <c r="H1372" s="95"/>
      <c r="I1372" s="95"/>
      <c r="J1372" s="95"/>
      <c r="K1372" s="95"/>
      <c r="L1372" s="95"/>
    </row>
    <row r="1373" spans="6:12" s="90" customFormat="1" ht="12.000000">
      <c r="F1373" s="95"/>
      <c r="G1373" s="95"/>
      <c r="H1373" s="95"/>
      <c r="I1373" s="95"/>
      <c r="J1373" s="95"/>
      <c r="K1373" s="95"/>
      <c r="L1373" s="95"/>
    </row>
    <row r="1374" spans="6:12" s="90" customFormat="1" ht="12.000000">
      <c r="F1374" s="95"/>
      <c r="G1374" s="95"/>
      <c r="H1374" s="95"/>
      <c r="I1374" s="95"/>
      <c r="J1374" s="95"/>
      <c r="K1374" s="95"/>
      <c r="L1374" s="95"/>
    </row>
    <row r="1375" spans="6:12" s="90" customFormat="1" ht="12.000000">
      <c r="F1375" s="95"/>
      <c r="G1375" s="95"/>
      <c r="H1375" s="95"/>
      <c r="I1375" s="95"/>
      <c r="J1375" s="95"/>
      <c r="K1375" s="95"/>
      <c r="L1375" s="95"/>
    </row>
    <row r="1376" spans="6:12" s="90" customFormat="1" ht="12.000000">
      <c r="F1376" s="95"/>
      <c r="G1376" s="95"/>
      <c r="H1376" s="95"/>
      <c r="I1376" s="95"/>
      <c r="J1376" s="95"/>
      <c r="K1376" s="95"/>
      <c r="L1376" s="95"/>
    </row>
    <row r="1377" spans="6:12" s="90" customFormat="1" ht="12.000000">
      <c r="F1377" s="95"/>
      <c r="G1377" s="95"/>
      <c r="H1377" s="95"/>
      <c r="I1377" s="95"/>
      <c r="J1377" s="95"/>
      <c r="K1377" s="95"/>
      <c r="L1377" s="95"/>
    </row>
    <row r="1378" spans="6:12" s="90" customFormat="1" ht="12.000000">
      <c r="F1378" s="95"/>
      <c r="G1378" s="95"/>
      <c r="H1378" s="95"/>
      <c r="I1378" s="95"/>
      <c r="J1378" s="95"/>
      <c r="K1378" s="95"/>
      <c r="L1378" s="95"/>
    </row>
    <row r="1379" spans="6:12" s="90" customFormat="1" ht="12.000000">
      <c r="F1379" s="95"/>
      <c r="G1379" s="95"/>
      <c r="H1379" s="95"/>
      <c r="I1379" s="95"/>
      <c r="J1379" s="95"/>
      <c r="K1379" s="95"/>
      <c r="L1379" s="95"/>
    </row>
    <row r="1380" spans="6:12" s="90" customFormat="1" ht="12.000000">
      <c r="F1380" s="95"/>
      <c r="G1380" s="95"/>
      <c r="H1380" s="95"/>
      <c r="I1380" s="95"/>
      <c r="J1380" s="95"/>
      <c r="K1380" s="95"/>
      <c r="L1380" s="95"/>
    </row>
    <row r="1381" spans="6:12" s="90" customFormat="1" ht="12.000000">
      <c r="F1381" s="95"/>
      <c r="G1381" s="95"/>
      <c r="H1381" s="95"/>
      <c r="I1381" s="95"/>
      <c r="J1381" s="95"/>
      <c r="K1381" s="95"/>
      <c r="L1381" s="95"/>
    </row>
    <row r="1382" spans="6:12" s="90" customFormat="1" ht="12.000000">
      <c r="F1382" s="95"/>
      <c r="G1382" s="95"/>
      <c r="H1382" s="95"/>
      <c r="I1382" s="95"/>
      <c r="J1382" s="95"/>
      <c r="K1382" s="95"/>
      <c r="L1382" s="95"/>
    </row>
    <row r="1383" spans="6:12" s="90" customFormat="1" ht="12.000000">
      <c r="F1383" s="95"/>
      <c r="G1383" s="95"/>
      <c r="H1383" s="95"/>
      <c r="I1383" s="95"/>
      <c r="J1383" s="95"/>
      <c r="K1383" s="95"/>
      <c r="L1383" s="95"/>
    </row>
    <row r="1384" spans="6:12" s="90" customFormat="1" ht="12.000000">
      <c r="F1384" s="95"/>
      <c r="G1384" s="95"/>
      <c r="H1384" s="95"/>
      <c r="I1384" s="95"/>
      <c r="J1384" s="95"/>
      <c r="K1384" s="95"/>
      <c r="L1384" s="95"/>
    </row>
    <row r="1385" spans="6:12" s="90" customFormat="1" ht="12.000000">
      <c r="F1385" s="95"/>
      <c r="G1385" s="95"/>
      <c r="H1385" s="95"/>
      <c r="I1385" s="95"/>
      <c r="J1385" s="95"/>
      <c r="K1385" s="95"/>
      <c r="L1385" s="95"/>
    </row>
    <row r="1386" spans="6:12" s="90" customFormat="1" ht="12.000000">
      <c r="F1386" s="95"/>
      <c r="G1386" s="95"/>
      <c r="H1386" s="95"/>
      <c r="I1386" s="95"/>
      <c r="J1386" s="95"/>
      <c r="K1386" s="95"/>
      <c r="L1386" s="95"/>
    </row>
    <row r="1387" spans="6:12" s="90" customFormat="1" ht="12.000000">
      <c r="F1387" s="95"/>
      <c r="G1387" s="95"/>
      <c r="H1387" s="95"/>
      <c r="I1387" s="95"/>
      <c r="J1387" s="95"/>
      <c r="K1387" s="95"/>
      <c r="L1387" s="95"/>
    </row>
    <row r="1388" spans="6:12" s="90" customFormat="1" ht="12.000000">
      <c r="F1388" s="95"/>
      <c r="G1388" s="95"/>
      <c r="H1388" s="95"/>
      <c r="I1388" s="95"/>
      <c r="J1388" s="95"/>
      <c r="K1388" s="95"/>
      <c r="L1388" s="95"/>
    </row>
    <row r="1389" spans="6:12" s="90" customFormat="1" ht="12.000000">
      <c r="F1389" s="95"/>
      <c r="G1389" s="95"/>
      <c r="H1389" s="95"/>
      <c r="I1389" s="95"/>
      <c r="J1389" s="95"/>
      <c r="K1389" s="95"/>
      <c r="L1389" s="95"/>
    </row>
    <row r="1390" spans="6:12" s="90" customFormat="1" ht="12.000000">
      <c r="F1390" s="95"/>
      <c r="G1390" s="95"/>
      <c r="H1390" s="95"/>
      <c r="I1390" s="95"/>
      <c r="J1390" s="95"/>
      <c r="K1390" s="95"/>
      <c r="L1390" s="95"/>
    </row>
    <row r="1391" spans="6:12" s="90" customFormat="1" ht="12.000000">
      <c r="F1391" s="95"/>
      <c r="G1391" s="95"/>
      <c r="H1391" s="95"/>
      <c r="I1391" s="95"/>
      <c r="J1391" s="95"/>
      <c r="K1391" s="95"/>
      <c r="L1391" s="95"/>
    </row>
    <row r="1392" spans="6:12" s="90" customFormat="1" ht="12.000000">
      <c r="F1392" s="95"/>
      <c r="G1392" s="95"/>
      <c r="H1392" s="95"/>
      <c r="I1392" s="95"/>
      <c r="J1392" s="95"/>
      <c r="K1392" s="95"/>
      <c r="L1392" s="95"/>
    </row>
    <row r="1393" spans="6:12" s="90" customFormat="1" ht="12.000000">
      <c r="F1393" s="95"/>
      <c r="G1393" s="95"/>
      <c r="H1393" s="95"/>
      <c r="I1393" s="95"/>
      <c r="J1393" s="95"/>
      <c r="K1393" s="95"/>
      <c r="L1393" s="95"/>
    </row>
    <row r="1394" spans="6:12" s="90" customFormat="1" ht="12.000000">
      <c r="F1394" s="95"/>
      <c r="G1394" s="95"/>
      <c r="H1394" s="95"/>
      <c r="I1394" s="95"/>
      <c r="J1394" s="95"/>
      <c r="K1394" s="95"/>
      <c r="L1394" s="95"/>
    </row>
    <row r="1395" spans="6:12" s="90" customFormat="1" ht="12.000000">
      <c r="F1395" s="95"/>
      <c r="G1395" s="95"/>
      <c r="H1395" s="95"/>
      <c r="I1395" s="95"/>
      <c r="J1395" s="95"/>
      <c r="K1395" s="95"/>
      <c r="L1395" s="95"/>
    </row>
    <row r="1396" spans="6:12" s="90" customFormat="1" ht="12.000000">
      <c r="F1396" s="95"/>
      <c r="G1396" s="95"/>
      <c r="H1396" s="95"/>
      <c r="I1396" s="95"/>
      <c r="J1396" s="95"/>
      <c r="K1396" s="95"/>
      <c r="L1396" s="95"/>
    </row>
    <row r="1397" spans="6:12" s="90" customFormat="1" ht="12.000000">
      <c r="F1397" s="95"/>
      <c r="G1397" s="95"/>
      <c r="H1397" s="95"/>
      <c r="I1397" s="95"/>
      <c r="J1397" s="95"/>
      <c r="K1397" s="95"/>
      <c r="L1397" s="95"/>
    </row>
    <row r="1398" spans="6:12" s="90" customFormat="1" ht="12.000000">
      <c r="F1398" s="95"/>
      <c r="G1398" s="95"/>
      <c r="H1398" s="95"/>
      <c r="I1398" s="95"/>
      <c r="J1398" s="95"/>
      <c r="K1398" s="95"/>
      <c r="L1398" s="95"/>
    </row>
    <row r="1399" spans="6:12" s="90" customFormat="1" ht="12.000000">
      <c r="F1399" s="95"/>
      <c r="G1399" s="95"/>
      <c r="H1399" s="95"/>
      <c r="I1399" s="95"/>
      <c r="J1399" s="95"/>
      <c r="K1399" s="95"/>
      <c r="L1399" s="95"/>
    </row>
    <row r="1400" spans="6:12" s="90" customFormat="1" ht="12.000000">
      <c r="F1400" s="95"/>
      <c r="G1400" s="95"/>
      <c r="H1400" s="95"/>
      <c r="I1400" s="95"/>
      <c r="J1400" s="95"/>
      <c r="K1400" s="95"/>
      <c r="L1400" s="95"/>
    </row>
    <row r="1401" spans="6:12" s="90" customFormat="1" ht="12.000000">
      <c r="F1401" s="95"/>
      <c r="G1401" s="95"/>
      <c r="H1401" s="95"/>
      <c r="I1401" s="95"/>
      <c r="J1401" s="95"/>
      <c r="K1401" s="95"/>
      <c r="L1401" s="95"/>
    </row>
    <row r="1402" spans="6:12" s="90" customFormat="1" ht="12.000000">
      <c r="F1402" s="95"/>
      <c r="G1402" s="95"/>
      <c r="H1402" s="95"/>
      <c r="I1402" s="95"/>
      <c r="J1402" s="95"/>
      <c r="K1402" s="95"/>
      <c r="L1402" s="95"/>
    </row>
    <row r="1403" spans="6:12" s="90" customFormat="1" ht="12.000000">
      <c r="F1403" s="95"/>
      <c r="G1403" s="95"/>
      <c r="H1403" s="95"/>
      <c r="I1403" s="95"/>
      <c r="J1403" s="95"/>
      <c r="K1403" s="95"/>
      <c r="L1403" s="95"/>
    </row>
    <row r="1404" spans="6:12" s="90" customFormat="1" ht="12.000000">
      <c r="F1404" s="95"/>
      <c r="G1404" s="95"/>
      <c r="H1404" s="95"/>
      <c r="I1404" s="95"/>
      <c r="J1404" s="95"/>
      <c r="K1404" s="95"/>
      <c r="L1404" s="95"/>
    </row>
    <row r="1405" spans="6:12" s="90" customFormat="1" ht="12.000000">
      <c r="F1405" s="95"/>
      <c r="G1405" s="95"/>
      <c r="H1405" s="95"/>
      <c r="I1405" s="95"/>
      <c r="J1405" s="95"/>
      <c r="K1405" s="95"/>
      <c r="L1405" s="95"/>
    </row>
    <row r="1406" spans="6:12" s="90" customFormat="1" ht="12.000000">
      <c r="F1406" s="95"/>
      <c r="G1406" s="95"/>
      <c r="H1406" s="95"/>
      <c r="I1406" s="95"/>
      <c r="J1406" s="95"/>
      <c r="K1406" s="95"/>
      <c r="L1406" s="95"/>
    </row>
    <row r="1407" spans="6:12" s="90" customFormat="1" ht="12.000000">
      <c r="F1407" s="95"/>
      <c r="G1407" s="95"/>
      <c r="H1407" s="95"/>
      <c r="I1407" s="95"/>
      <c r="J1407" s="95"/>
      <c r="K1407" s="95"/>
      <c r="L1407" s="95"/>
    </row>
    <row r="1408" spans="6:12" s="90" customFormat="1" ht="12.000000">
      <c r="F1408" s="95"/>
      <c r="G1408" s="95"/>
      <c r="H1408" s="95"/>
      <c r="I1408" s="95"/>
      <c r="J1408" s="95"/>
      <c r="K1408" s="95"/>
      <c r="L1408" s="95"/>
    </row>
    <row r="1409" spans="6:12" s="90" customFormat="1" ht="12.000000">
      <c r="F1409" s="95"/>
      <c r="G1409" s="95"/>
      <c r="H1409" s="95"/>
      <c r="I1409" s="95"/>
      <c r="J1409" s="95"/>
      <c r="K1409" s="95"/>
      <c r="L1409" s="95"/>
    </row>
    <row r="1410" spans="6:12" s="90" customFormat="1" ht="12.000000">
      <c r="F1410" s="95"/>
      <c r="G1410" s="95"/>
      <c r="H1410" s="95"/>
      <c r="I1410" s="95"/>
      <c r="J1410" s="95"/>
      <c r="K1410" s="95"/>
      <c r="L1410" s="95"/>
    </row>
    <row r="1411" spans="6:12" s="90" customFormat="1" ht="12.000000">
      <c r="F1411" s="95"/>
      <c r="G1411" s="95"/>
      <c r="H1411" s="95"/>
      <c r="I1411" s="95"/>
      <c r="J1411" s="95"/>
      <c r="K1411" s="95"/>
      <c r="L1411" s="95"/>
    </row>
    <row r="1412" spans="6:12" s="90" customFormat="1" ht="12.000000">
      <c r="F1412" s="95"/>
      <c r="G1412" s="95"/>
      <c r="H1412" s="95"/>
      <c r="I1412" s="95"/>
      <c r="J1412" s="95"/>
      <c r="K1412" s="95"/>
      <c r="L1412" s="95"/>
    </row>
    <row r="1413" spans="6:12" s="90" customFormat="1" ht="12.000000">
      <c r="F1413" s="95"/>
      <c r="G1413" s="95"/>
      <c r="H1413" s="95"/>
      <c r="I1413" s="95"/>
      <c r="J1413" s="95"/>
      <c r="K1413" s="95"/>
      <c r="L1413" s="95"/>
    </row>
    <row r="1414" spans="6:12" s="90" customFormat="1" ht="12.000000">
      <c r="F1414" s="95"/>
      <c r="G1414" s="95"/>
      <c r="H1414" s="95"/>
      <c r="I1414" s="95"/>
      <c r="J1414" s="95"/>
      <c r="K1414" s="95"/>
      <c r="L1414" s="95"/>
    </row>
    <row r="1415" spans="6:12" s="90" customFormat="1" ht="12.000000">
      <c r="F1415" s="95"/>
      <c r="G1415" s="95"/>
      <c r="H1415" s="95"/>
      <c r="I1415" s="95"/>
      <c r="J1415" s="95"/>
      <c r="K1415" s="95"/>
      <c r="L1415" s="95"/>
    </row>
    <row r="1416" spans="6:12" s="90" customFormat="1" ht="12.000000">
      <c r="F1416" s="95"/>
      <c r="G1416" s="95"/>
      <c r="H1416" s="95"/>
      <c r="I1416" s="95"/>
      <c r="J1416" s="95"/>
      <c r="K1416" s="95"/>
      <c r="L1416" s="95"/>
    </row>
    <row r="1417" spans="6:12" s="90" customFormat="1" ht="12.000000">
      <c r="F1417" s="95"/>
      <c r="G1417" s="95"/>
      <c r="H1417" s="95"/>
      <c r="I1417" s="95"/>
      <c r="J1417" s="95"/>
      <c r="K1417" s="95"/>
      <c r="L1417" s="95"/>
    </row>
    <row r="1418" spans="6:12" s="90" customFormat="1" ht="12.000000">
      <c r="F1418" s="95"/>
      <c r="G1418" s="95"/>
      <c r="H1418" s="95"/>
      <c r="I1418" s="95"/>
      <c r="J1418" s="95"/>
      <c r="K1418" s="95"/>
      <c r="L1418" s="95"/>
    </row>
    <row r="1419" spans="6:12" s="90" customFormat="1" ht="12.000000">
      <c r="F1419" s="95"/>
      <c r="G1419" s="95"/>
      <c r="H1419" s="95"/>
      <c r="I1419" s="95"/>
      <c r="J1419" s="95"/>
      <c r="K1419" s="95"/>
      <c r="L1419" s="95"/>
    </row>
    <row r="1420" spans="6:12" s="90" customFormat="1" ht="12.000000">
      <c r="F1420" s="95"/>
      <c r="G1420" s="95"/>
      <c r="H1420" s="95"/>
      <c r="I1420" s="95"/>
      <c r="J1420" s="95"/>
      <c r="K1420" s="95"/>
      <c r="L1420" s="95"/>
    </row>
    <row r="1421" spans="6:12" s="90" customFormat="1" ht="12.000000">
      <c r="F1421" s="95"/>
      <c r="G1421" s="95"/>
      <c r="H1421" s="95"/>
      <c r="I1421" s="95"/>
      <c r="J1421" s="95"/>
      <c r="K1421" s="95"/>
      <c r="L1421" s="95"/>
    </row>
    <row r="1422" spans="6:12" s="90" customFormat="1" ht="12.000000">
      <c r="F1422" s="95"/>
      <c r="G1422" s="95"/>
      <c r="H1422" s="95"/>
      <c r="I1422" s="95"/>
      <c r="J1422" s="95"/>
      <c r="K1422" s="95"/>
      <c r="L1422" s="95"/>
    </row>
    <row r="1423" spans="6:12" s="90" customFormat="1" ht="12.000000">
      <c r="F1423" s="95"/>
      <c r="G1423" s="95"/>
      <c r="H1423" s="95"/>
      <c r="I1423" s="95"/>
      <c r="J1423" s="95"/>
      <c r="K1423" s="95"/>
      <c r="L1423" s="95"/>
    </row>
    <row r="1424" spans="6:12" s="90" customFormat="1" ht="12.000000">
      <c r="F1424" s="95"/>
      <c r="G1424" s="95"/>
      <c r="H1424" s="95"/>
      <c r="I1424" s="95"/>
      <c r="J1424" s="95"/>
      <c r="K1424" s="95"/>
      <c r="L1424" s="95"/>
    </row>
    <row r="1425" spans="6:12" s="90" customFormat="1" ht="12.000000">
      <c r="F1425" s="95"/>
      <c r="G1425" s="95"/>
      <c r="H1425" s="95"/>
      <c r="I1425" s="95"/>
      <c r="J1425" s="95"/>
      <c r="K1425" s="95"/>
      <c r="L1425" s="95"/>
    </row>
    <row r="1426" spans="6:12" s="90" customFormat="1" ht="12.000000">
      <c r="F1426" s="95"/>
      <c r="G1426" s="95"/>
      <c r="H1426" s="95"/>
      <c r="I1426" s="95"/>
      <c r="J1426" s="95"/>
      <c r="K1426" s="95"/>
      <c r="L1426" s="95"/>
    </row>
    <row r="1427" spans="6:12" s="90" customFormat="1" ht="12.000000">
      <c r="F1427" s="95"/>
      <c r="G1427" s="95"/>
      <c r="H1427" s="95"/>
      <c r="I1427" s="95"/>
      <c r="J1427" s="95"/>
      <c r="K1427" s="95"/>
      <c r="L1427" s="95"/>
    </row>
    <row r="1428" spans="6:12" s="90" customFormat="1" ht="12.000000">
      <c r="F1428" s="95"/>
      <c r="G1428" s="95"/>
      <c r="H1428" s="95"/>
      <c r="I1428" s="95"/>
      <c r="J1428" s="95"/>
      <c r="K1428" s="95"/>
      <c r="L1428" s="95"/>
    </row>
    <row r="1429" spans="6:12" s="90" customFormat="1" ht="12.000000">
      <c r="F1429" s="95"/>
      <c r="G1429" s="95"/>
      <c r="H1429" s="95"/>
      <c r="I1429" s="95"/>
      <c r="J1429" s="95"/>
      <c r="K1429" s="95"/>
      <c r="L1429" s="95"/>
    </row>
    <row r="1430" spans="6:12" s="90" customFormat="1" ht="12.000000">
      <c r="F1430" s="95"/>
      <c r="G1430" s="95"/>
      <c r="H1430" s="95"/>
      <c r="I1430" s="95"/>
      <c r="J1430" s="95"/>
      <c r="K1430" s="95"/>
      <c r="L1430" s="95"/>
    </row>
    <row r="1431" spans="6:12" s="90" customFormat="1" ht="12.000000">
      <c r="F1431" s="95"/>
      <c r="G1431" s="95"/>
      <c r="H1431" s="95"/>
      <c r="I1431" s="95"/>
      <c r="J1431" s="95"/>
      <c r="K1431" s="95"/>
      <c r="L1431" s="95"/>
    </row>
    <row r="1432" spans="6:12" s="90" customFormat="1" ht="12.000000">
      <c r="F1432" s="95"/>
      <c r="G1432" s="95"/>
      <c r="H1432" s="95"/>
      <c r="I1432" s="95"/>
      <c r="J1432" s="95"/>
      <c r="K1432" s="95"/>
      <c r="L1432" s="95"/>
    </row>
    <row r="1433" spans="6:12" s="90" customFormat="1" ht="12.000000">
      <c r="F1433" s="95"/>
      <c r="G1433" s="95"/>
      <c r="H1433" s="95"/>
      <c r="I1433" s="95"/>
      <c r="J1433" s="95"/>
      <c r="K1433" s="95"/>
      <c r="L1433" s="95"/>
    </row>
    <row r="1434" spans="6:12" s="90" customFormat="1" ht="12.000000">
      <c r="F1434" s="95"/>
      <c r="G1434" s="95"/>
      <c r="H1434" s="95"/>
      <c r="I1434" s="95"/>
      <c r="J1434" s="95"/>
      <c r="K1434" s="95"/>
      <c r="L1434" s="95"/>
    </row>
    <row r="1435" spans="6:12" s="90" customFormat="1" ht="12.000000">
      <c r="F1435" s="95"/>
      <c r="G1435" s="95"/>
      <c r="H1435" s="95"/>
      <c r="I1435" s="95"/>
      <c r="J1435" s="95"/>
      <c r="K1435" s="95"/>
      <c r="L1435" s="95"/>
    </row>
    <row r="1436" spans="6:12" s="90" customFormat="1" ht="12.000000">
      <c r="F1436" s="95"/>
      <c r="G1436" s="95"/>
      <c r="H1436" s="95"/>
      <c r="I1436" s="95"/>
      <c r="J1436" s="95"/>
      <c r="K1436" s="95"/>
      <c r="L1436" s="95"/>
    </row>
    <row r="1437" spans="6:12" s="90" customFormat="1" ht="12.000000">
      <c r="F1437" s="95"/>
      <c r="G1437" s="95"/>
      <c r="H1437" s="95"/>
      <c r="I1437" s="95"/>
      <c r="J1437" s="95"/>
      <c r="K1437" s="95"/>
      <c r="L1437" s="95"/>
    </row>
    <row r="1438" spans="6:12" s="90" customFormat="1" ht="12.000000">
      <c r="F1438" s="95"/>
      <c r="G1438" s="95"/>
      <c r="H1438" s="95"/>
      <c r="I1438" s="95"/>
      <c r="J1438" s="95"/>
      <c r="K1438" s="95"/>
      <c r="L1438" s="95"/>
    </row>
    <row r="1439" spans="6:12" s="90" customFormat="1" ht="12.000000">
      <c r="F1439" s="95"/>
      <c r="G1439" s="95"/>
      <c r="H1439" s="95"/>
      <c r="I1439" s="95"/>
      <c r="J1439" s="95"/>
      <c r="K1439" s="95"/>
      <c r="L1439" s="95"/>
    </row>
    <row r="1440" spans="6:12" s="90" customFormat="1" ht="12.000000">
      <c r="F1440" s="95"/>
      <c r="G1440" s="95"/>
      <c r="H1440" s="95"/>
      <c r="I1440" s="95"/>
      <c r="J1440" s="95"/>
      <c r="K1440" s="95"/>
      <c r="L1440" s="95"/>
    </row>
    <row r="1441" spans="6:12" s="90" customFormat="1" ht="12.000000">
      <c r="F1441" s="95"/>
      <c r="G1441" s="95"/>
      <c r="H1441" s="95"/>
      <c r="I1441" s="95"/>
      <c r="J1441" s="95"/>
      <c r="K1441" s="95"/>
      <c r="L1441" s="95"/>
    </row>
    <row r="1442" spans="6:12" s="90" customFormat="1" ht="12.000000">
      <c r="F1442" s="95"/>
      <c r="G1442" s="95"/>
      <c r="H1442" s="95"/>
      <c r="I1442" s="95"/>
      <c r="J1442" s="95"/>
      <c r="K1442" s="95"/>
      <c r="L1442" s="95"/>
    </row>
    <row r="1443" spans="6:12" s="90" customFormat="1" ht="12.000000">
      <c r="F1443" s="95"/>
      <c r="G1443" s="95"/>
      <c r="H1443" s="95"/>
      <c r="I1443" s="95"/>
      <c r="J1443" s="95"/>
      <c r="K1443" s="95"/>
      <c r="L1443" s="95"/>
    </row>
    <row r="1444" spans="6:12" s="90" customFormat="1" ht="12.000000">
      <c r="F1444" s="95"/>
      <c r="G1444" s="95"/>
      <c r="H1444" s="95"/>
      <c r="I1444" s="95"/>
      <c r="J1444" s="95"/>
      <c r="K1444" s="95"/>
      <c r="L1444" s="95"/>
    </row>
    <row r="1445" spans="6:12" s="90" customFormat="1" ht="12.000000">
      <c r="F1445" s="95"/>
      <c r="G1445" s="95"/>
      <c r="H1445" s="95"/>
      <c r="I1445" s="95"/>
      <c r="J1445" s="95"/>
      <c r="K1445" s="95"/>
      <c r="L1445" s="95"/>
    </row>
    <row r="1446" spans="6:12" s="90" customFormat="1" ht="12.000000">
      <c r="F1446" s="95"/>
      <c r="G1446" s="95"/>
      <c r="H1446" s="95"/>
      <c r="I1446" s="95"/>
      <c r="J1446" s="95"/>
      <c r="K1446" s="95"/>
      <c r="L1446" s="95"/>
    </row>
    <row r="1447" spans="6:12" s="90" customFormat="1" ht="12.000000">
      <c r="F1447" s="95"/>
      <c r="G1447" s="95"/>
      <c r="H1447" s="95"/>
      <c r="I1447" s="95"/>
      <c r="J1447" s="95"/>
      <c r="K1447" s="95"/>
      <c r="L1447" s="95"/>
    </row>
    <row r="1448" spans="6:12" s="90" customFormat="1" ht="12.000000">
      <c r="F1448" s="95"/>
      <c r="G1448" s="95"/>
      <c r="H1448" s="95"/>
      <c r="I1448" s="95"/>
      <c r="J1448" s="95"/>
      <c r="K1448" s="95"/>
      <c r="L1448" s="95"/>
    </row>
    <row r="1449" spans="6:12" s="90" customFormat="1" ht="12.000000">
      <c r="F1449" s="95"/>
      <c r="G1449" s="95"/>
      <c r="H1449" s="95"/>
      <c r="I1449" s="95"/>
      <c r="J1449" s="95"/>
      <c r="K1449" s="95"/>
      <c r="L1449" s="95"/>
    </row>
    <row r="1450" spans="6:12" s="90" customFormat="1" ht="12.000000">
      <c r="F1450" s="95"/>
      <c r="G1450" s="95"/>
      <c r="H1450" s="95"/>
      <c r="I1450" s="95"/>
      <c r="J1450" s="95"/>
      <c r="K1450" s="95"/>
      <c r="L1450" s="95"/>
    </row>
    <row r="1451" spans="6:12" s="90" customFormat="1" ht="12.000000">
      <c r="F1451" s="95"/>
      <c r="G1451" s="95"/>
      <c r="H1451" s="95"/>
      <c r="I1451" s="95"/>
      <c r="J1451" s="95"/>
      <c r="K1451" s="95"/>
      <c r="L1451" s="95"/>
    </row>
    <row r="1452" spans="6:12" s="90" customFormat="1" ht="12.000000">
      <c r="F1452" s="95"/>
      <c r="G1452" s="95"/>
      <c r="H1452" s="95"/>
      <c r="I1452" s="95"/>
      <c r="J1452" s="95"/>
      <c r="K1452" s="95"/>
      <c r="L1452" s="95"/>
    </row>
    <row r="1453" spans="6:12" s="90" customFormat="1" ht="12.000000">
      <c r="F1453" s="95"/>
      <c r="G1453" s="95"/>
      <c r="H1453" s="95"/>
      <c r="I1453" s="95"/>
      <c r="J1453" s="95"/>
      <c r="K1453" s="95"/>
      <c r="L1453" s="95"/>
    </row>
    <row r="1454" spans="6:12" s="90" customFormat="1" ht="12.000000">
      <c r="F1454" s="95"/>
      <c r="G1454" s="95"/>
      <c r="H1454" s="95"/>
      <c r="I1454" s="95"/>
      <c r="J1454" s="95"/>
      <c r="K1454" s="95"/>
      <c r="L1454" s="95"/>
    </row>
    <row r="1455" spans="6:12" s="90" customFormat="1" ht="12.000000">
      <c r="F1455" s="95"/>
      <c r="G1455" s="95"/>
      <c r="H1455" s="95"/>
      <c r="I1455" s="95"/>
      <c r="J1455" s="95"/>
      <c r="K1455" s="95"/>
      <c r="L1455" s="95"/>
    </row>
    <row r="1456" spans="6:12" s="90" customFormat="1" ht="12.000000">
      <c r="F1456" s="95"/>
      <c r="G1456" s="95"/>
      <c r="H1456" s="95"/>
      <c r="I1456" s="95"/>
      <c r="J1456" s="95"/>
      <c r="K1456" s="95"/>
      <c r="L1456" s="95"/>
    </row>
    <row r="1457" spans="6:12" s="90" customFormat="1" ht="12.000000">
      <c r="F1457" s="95"/>
      <c r="G1457" s="95"/>
      <c r="H1457" s="95"/>
      <c r="I1457" s="95"/>
      <c r="J1457" s="95"/>
      <c r="K1457" s="95"/>
      <c r="L1457" s="95"/>
    </row>
    <row r="1458" spans="6:12" s="90" customFormat="1" ht="12.000000">
      <c r="F1458" s="95"/>
      <c r="G1458" s="95"/>
      <c r="H1458" s="95"/>
      <c r="I1458" s="95"/>
      <c r="J1458" s="95"/>
      <c r="K1458" s="95"/>
      <c r="L1458" s="95"/>
    </row>
    <row r="1459" spans="6:12" s="90" customFormat="1" ht="12.000000">
      <c r="F1459" s="95"/>
      <c r="G1459" s="95"/>
      <c r="H1459" s="95"/>
      <c r="I1459" s="95"/>
      <c r="J1459" s="95"/>
      <c r="K1459" s="95"/>
      <c r="L1459" s="95"/>
    </row>
    <row r="1460" spans="6:12" s="90" customFormat="1" ht="12.000000">
      <c r="F1460" s="95"/>
      <c r="G1460" s="95"/>
      <c r="H1460" s="95"/>
      <c r="I1460" s="95"/>
      <c r="J1460" s="95"/>
      <c r="K1460" s="95"/>
      <c r="L1460" s="95"/>
    </row>
    <row r="1461" spans="6:12" s="90" customFormat="1" ht="12.000000">
      <c r="F1461" s="95"/>
      <c r="G1461" s="95"/>
      <c r="H1461" s="95"/>
      <c r="I1461" s="95"/>
      <c r="J1461" s="95"/>
      <c r="K1461" s="95"/>
      <c r="L1461" s="95"/>
    </row>
    <row r="1462" spans="6:12" s="90" customFormat="1" ht="12.000000">
      <c r="F1462" s="95"/>
      <c r="G1462" s="95"/>
      <c r="H1462" s="95"/>
      <c r="I1462" s="95"/>
      <c r="J1462" s="95"/>
      <c r="K1462" s="95"/>
      <c r="L1462" s="95"/>
    </row>
    <row r="1463" spans="6:12" s="90" customFormat="1" ht="12.000000">
      <c r="F1463" s="95"/>
      <c r="G1463" s="95"/>
      <c r="H1463" s="95"/>
      <c r="I1463" s="95"/>
      <c r="J1463" s="95"/>
      <c r="K1463" s="95"/>
      <c r="L1463" s="95"/>
    </row>
    <row r="1464" spans="6:12" s="90" customFormat="1" ht="12.000000">
      <c r="F1464" s="95"/>
      <c r="G1464" s="95"/>
      <c r="H1464" s="95"/>
      <c r="I1464" s="95"/>
      <c r="J1464" s="95"/>
      <c r="K1464" s="95"/>
      <c r="L1464" s="95"/>
    </row>
    <row r="1465" spans="6:12" s="90" customFormat="1" ht="12.000000">
      <c r="F1465" s="95"/>
      <c r="G1465" s="95"/>
      <c r="H1465" s="95"/>
      <c r="I1465" s="95"/>
      <c r="J1465" s="95"/>
      <c r="K1465" s="95"/>
      <c r="L1465" s="95"/>
    </row>
    <row r="1466" spans="6:12" s="90" customFormat="1" ht="12.000000">
      <c r="F1466" s="95"/>
      <c r="G1466" s="95"/>
      <c r="H1466" s="95"/>
      <c r="I1466" s="95"/>
      <c r="J1466" s="95"/>
      <c r="K1466" s="95"/>
      <c r="L1466" s="95"/>
    </row>
    <row r="1467" spans="6:12" s="90" customFormat="1" ht="12.000000">
      <c r="F1467" s="95"/>
      <c r="G1467" s="95"/>
      <c r="H1467" s="95"/>
      <c r="I1467" s="95"/>
      <c r="J1467" s="95"/>
      <c r="K1467" s="95"/>
      <c r="L1467" s="95"/>
    </row>
    <row r="1468" spans="6:12" s="90" customFormat="1" ht="12.000000">
      <c r="F1468" s="95"/>
      <c r="G1468" s="95"/>
      <c r="H1468" s="95"/>
      <c r="I1468" s="95"/>
      <c r="J1468" s="95"/>
      <c r="K1468" s="95"/>
      <c r="L1468" s="95"/>
    </row>
    <row r="1469" spans="6:12" s="90" customFormat="1" ht="12.000000">
      <c r="F1469" s="95"/>
      <c r="G1469" s="95"/>
      <c r="H1469" s="95"/>
      <c r="I1469" s="95"/>
      <c r="J1469" s="95"/>
      <c r="K1469" s="95"/>
      <c r="L1469" s="95"/>
    </row>
    <row r="1470" spans="6:12" s="90" customFormat="1" ht="12.000000">
      <c r="F1470" s="95"/>
      <c r="G1470" s="95"/>
      <c r="H1470" s="95"/>
      <c r="I1470" s="95"/>
      <c r="J1470" s="95"/>
      <c r="K1470" s="95"/>
      <c r="L1470" s="95"/>
    </row>
    <row r="1471" spans="6:12" s="90" customFormat="1" ht="12.000000">
      <c r="F1471" s="95"/>
      <c r="G1471" s="95"/>
      <c r="H1471" s="95"/>
      <c r="I1471" s="95"/>
      <c r="J1471" s="95"/>
      <c r="K1471" s="95"/>
      <c r="L1471" s="95"/>
    </row>
    <row r="1472" spans="6:12" s="90" customFormat="1" ht="12.000000">
      <c r="F1472" s="95"/>
      <c r="G1472" s="95"/>
      <c r="H1472" s="95"/>
      <c r="I1472" s="95"/>
      <c r="J1472" s="95"/>
      <c r="K1472" s="95"/>
      <c r="L1472" s="95"/>
    </row>
    <row r="1473" spans="6:12" s="90" customFormat="1" ht="12.000000">
      <c r="F1473" s="95"/>
      <c r="G1473" s="95"/>
      <c r="H1473" s="95"/>
      <c r="I1473" s="95"/>
      <c r="J1473" s="95"/>
      <c r="K1473" s="95"/>
      <c r="L1473" s="95"/>
    </row>
    <row r="1474" spans="6:12" s="90" customFormat="1" ht="12.000000">
      <c r="F1474" s="95"/>
      <c r="G1474" s="95"/>
      <c r="H1474" s="95"/>
      <c r="I1474" s="95"/>
      <c r="J1474" s="95"/>
      <c r="K1474" s="95"/>
      <c r="L1474" s="95"/>
    </row>
    <row r="1475" spans="6:12" s="90" customFormat="1" ht="12.000000">
      <c r="F1475" s="95"/>
      <c r="G1475" s="95"/>
      <c r="H1475" s="95"/>
      <c r="I1475" s="95"/>
      <c r="J1475" s="95"/>
      <c r="K1475" s="95"/>
      <c r="L1475" s="95"/>
    </row>
    <row r="1476" spans="6:12" s="90" customFormat="1" ht="12.000000">
      <c r="F1476" s="95"/>
      <c r="G1476" s="95"/>
      <c r="H1476" s="95"/>
      <c r="I1476" s="95"/>
      <c r="J1476" s="95"/>
      <c r="K1476" s="95"/>
      <c r="L1476" s="95"/>
    </row>
    <row r="1477" spans="6:12" s="90" customFormat="1" ht="12.000000">
      <c r="F1477" s="95"/>
      <c r="G1477" s="95"/>
      <c r="H1477" s="95"/>
      <c r="I1477" s="95"/>
      <c r="J1477" s="95"/>
      <c r="K1477" s="95"/>
      <c r="L1477" s="95"/>
    </row>
    <row r="1478" spans="6:12" s="90" customFormat="1" ht="12.000000">
      <c r="F1478" s="95"/>
      <c r="G1478" s="95"/>
      <c r="H1478" s="95"/>
      <c r="I1478" s="95"/>
      <c r="J1478" s="95"/>
      <c r="K1478" s="95"/>
      <c r="L1478" s="95"/>
    </row>
    <row r="1479" spans="6:12" s="90" customFormat="1" ht="12.000000">
      <c r="F1479" s="95"/>
      <c r="G1479" s="95"/>
      <c r="H1479" s="95"/>
      <c r="I1479" s="95"/>
      <c r="J1479" s="95"/>
      <c r="K1479" s="95"/>
      <c r="L1479" s="95"/>
    </row>
    <row r="1480" spans="6:12" s="90" customFormat="1" ht="12.000000">
      <c r="F1480" s="95"/>
      <c r="G1480" s="95"/>
      <c r="H1480" s="95"/>
      <c r="I1480" s="95"/>
      <c r="J1480" s="95"/>
      <c r="K1480" s="95"/>
      <c r="L1480" s="95"/>
    </row>
    <row r="1481" spans="6:12" s="90" customFormat="1" ht="12.000000">
      <c r="F1481" s="95"/>
      <c r="G1481" s="95"/>
      <c r="H1481" s="95"/>
      <c r="I1481" s="95"/>
      <c r="J1481" s="95"/>
      <c r="K1481" s="95"/>
      <c r="L1481" s="95"/>
    </row>
    <row r="1482" spans="6:12" s="90" customFormat="1" ht="12.000000">
      <c r="F1482" s="95"/>
      <c r="G1482" s="95"/>
      <c r="H1482" s="95"/>
      <c r="I1482" s="95"/>
      <c r="J1482" s="95"/>
      <c r="K1482" s="95"/>
      <c r="L1482" s="95"/>
    </row>
    <row r="1483" spans="6:12" s="90" customFormat="1" ht="12.000000">
      <c r="F1483" s="95"/>
      <c r="G1483" s="95"/>
      <c r="H1483" s="95"/>
      <c r="I1483" s="95"/>
      <c r="J1483" s="95"/>
      <c r="K1483" s="95"/>
      <c r="L1483" s="95"/>
    </row>
    <row r="1484" spans="6:12" s="90" customFormat="1" ht="12.000000">
      <c r="F1484" s="95"/>
      <c r="G1484" s="95"/>
      <c r="H1484" s="95"/>
      <c r="I1484" s="95"/>
      <c r="J1484" s="95"/>
      <c r="K1484" s="95"/>
      <c r="L1484" s="95"/>
    </row>
    <row r="1485" spans="6:12" s="90" customFormat="1" ht="12.000000">
      <c r="F1485" s="95"/>
      <c r="G1485" s="95"/>
      <c r="H1485" s="95"/>
      <c r="I1485" s="95"/>
      <c r="J1485" s="95"/>
      <c r="K1485" s="95"/>
      <c r="L1485" s="95"/>
    </row>
    <row r="1486" spans="6:12" s="90" customFormat="1" ht="12.000000">
      <c r="F1486" s="95"/>
      <c r="G1486" s="95"/>
      <c r="H1486" s="95"/>
      <c r="I1486" s="95"/>
      <c r="J1486" s="95"/>
      <c r="K1486" s="95"/>
      <c r="L1486" s="95"/>
    </row>
    <row r="1487" spans="6:12" s="90" customFormat="1" ht="12.000000">
      <c r="F1487" s="95"/>
      <c r="G1487" s="95"/>
      <c r="H1487" s="95"/>
      <c r="I1487" s="95"/>
      <c r="J1487" s="95"/>
      <c r="K1487" s="95"/>
      <c r="L1487" s="95"/>
    </row>
    <row r="1488" spans="6:12" s="90" customFormat="1" ht="12.000000">
      <c r="F1488" s="95"/>
      <c r="G1488" s="95"/>
      <c r="H1488" s="95"/>
      <c r="I1488" s="95"/>
      <c r="J1488" s="95"/>
      <c r="K1488" s="95"/>
      <c r="L1488" s="95"/>
    </row>
    <row r="1489" spans="6:12" s="90" customFormat="1" ht="12.000000">
      <c r="F1489" s="95"/>
      <c r="G1489" s="95"/>
      <c r="H1489" s="95"/>
      <c r="I1489" s="95"/>
      <c r="J1489" s="95"/>
      <c r="K1489" s="95"/>
      <c r="L1489" s="95"/>
    </row>
    <row r="1490" spans="6:12" s="90" customFormat="1" ht="12.000000">
      <c r="F1490" s="95"/>
      <c r="G1490" s="95"/>
      <c r="H1490" s="95"/>
      <c r="I1490" s="95"/>
      <c r="J1490" s="95"/>
      <c r="K1490" s="95"/>
      <c r="L1490" s="95"/>
    </row>
    <row r="1491" spans="6:12" s="90" customFormat="1" ht="12.000000">
      <c r="F1491" s="95"/>
      <c r="G1491" s="95"/>
      <c r="H1491" s="95"/>
      <c r="I1491" s="95"/>
      <c r="J1491" s="95"/>
      <c r="K1491" s="95"/>
      <c r="L1491" s="95"/>
    </row>
    <row r="1492" spans="6:12" s="90" customFormat="1" ht="12.000000">
      <c r="F1492" s="95"/>
      <c r="G1492" s="95"/>
      <c r="H1492" s="95"/>
      <c r="I1492" s="95"/>
      <c r="J1492" s="95"/>
      <c r="K1492" s="95"/>
      <c r="L1492" s="95"/>
    </row>
    <row r="1493" spans="6:12" s="90" customFormat="1" ht="12.000000">
      <c r="F1493" s="95"/>
      <c r="G1493" s="95"/>
      <c r="H1493" s="95"/>
      <c r="I1493" s="95"/>
      <c r="J1493" s="95"/>
      <c r="K1493" s="95"/>
      <c r="L1493" s="95"/>
    </row>
    <row r="1494" spans="6:12" s="90" customFormat="1" ht="12.000000">
      <c r="F1494" s="95"/>
      <c r="G1494" s="95"/>
      <c r="H1494" s="95"/>
      <c r="I1494" s="95"/>
      <c r="J1494" s="95"/>
      <c r="K1494" s="95"/>
      <c r="L1494" s="95"/>
    </row>
    <row r="1495" spans="6:12" s="90" customFormat="1" ht="12.000000">
      <c r="F1495" s="95"/>
      <c r="G1495" s="95"/>
      <c r="H1495" s="95"/>
      <c r="I1495" s="95"/>
      <c r="J1495" s="95"/>
      <c r="K1495" s="95"/>
      <c r="L1495" s="95"/>
    </row>
    <row r="1496" spans="6:12" s="90" customFormat="1" ht="12.000000">
      <c r="F1496" s="95"/>
      <c r="G1496" s="95"/>
      <c r="H1496" s="95"/>
      <c r="I1496" s="95"/>
      <c r="J1496" s="95"/>
      <c r="K1496" s="95"/>
      <c r="L1496" s="95"/>
    </row>
    <row r="1497" spans="6:12" s="90" customFormat="1" ht="12.000000">
      <c r="F1497" s="95"/>
      <c r="G1497" s="95"/>
      <c r="H1497" s="95"/>
      <c r="I1497" s="95"/>
      <c r="J1497" s="95"/>
      <c r="K1497" s="95"/>
      <c r="L1497" s="95"/>
    </row>
    <row r="1498" spans="6:12" s="90" customFormat="1" ht="12.000000">
      <c r="F1498" s="95"/>
      <c r="G1498" s="95"/>
      <c r="H1498" s="95"/>
      <c r="I1498" s="95"/>
      <c r="J1498" s="95"/>
      <c r="K1498" s="95"/>
      <c r="L1498" s="95"/>
    </row>
    <row r="1499" spans="6:12" s="90" customFormat="1" ht="12.000000">
      <c r="F1499" s="95"/>
      <c r="G1499" s="95"/>
      <c r="H1499" s="95"/>
      <c r="I1499" s="95"/>
      <c r="J1499" s="95"/>
      <c r="K1499" s="95"/>
      <c r="L1499" s="95"/>
    </row>
    <row r="1500" spans="6:12" s="90" customFormat="1" ht="12.000000">
      <c r="F1500" s="95"/>
      <c r="G1500" s="95"/>
      <c r="H1500" s="95"/>
      <c r="I1500" s="95"/>
      <c r="J1500" s="95"/>
      <c r="K1500" s="95"/>
      <c r="L1500" s="95"/>
    </row>
    <row r="1501" spans="6:12" s="90" customFormat="1" ht="12.000000">
      <c r="F1501" s="95"/>
      <c r="G1501" s="95"/>
      <c r="H1501" s="95"/>
      <c r="I1501" s="95"/>
      <c r="J1501" s="95"/>
      <c r="K1501" s="95"/>
      <c r="L1501" s="95"/>
    </row>
    <row r="1502" spans="6:12" s="90" customFormat="1" ht="12.000000">
      <c r="F1502" s="95"/>
      <c r="G1502" s="95"/>
      <c r="H1502" s="95"/>
      <c r="I1502" s="95"/>
      <c r="J1502" s="95"/>
      <c r="K1502" s="95"/>
      <c r="L1502" s="95"/>
    </row>
    <row r="1503" spans="6:12" s="90" customFormat="1" ht="12.000000">
      <c r="F1503" s="95"/>
      <c r="G1503" s="95"/>
      <c r="H1503" s="95"/>
      <c r="I1503" s="95"/>
      <c r="J1503" s="95"/>
      <c r="K1503" s="95"/>
      <c r="L1503" s="95"/>
    </row>
    <row r="1504" spans="6:12" s="90" customFormat="1" ht="12.000000">
      <c r="F1504" s="95"/>
      <c r="G1504" s="95"/>
      <c r="H1504" s="95"/>
      <c r="I1504" s="95"/>
      <c r="J1504" s="95"/>
      <c r="K1504" s="95"/>
      <c r="L1504" s="95"/>
    </row>
    <row r="1505" spans="6:12" s="90" customFormat="1" ht="12.000000">
      <c r="F1505" s="95"/>
      <c r="G1505" s="95"/>
      <c r="H1505" s="95"/>
      <c r="I1505" s="95"/>
      <c r="J1505" s="95"/>
      <c r="K1505" s="95"/>
      <c r="L1505" s="95"/>
    </row>
    <row r="1506" spans="6:12" s="90" customFormat="1" ht="12.000000">
      <c r="F1506" s="95"/>
      <c r="G1506" s="95"/>
      <c r="H1506" s="95"/>
      <c r="I1506" s="95"/>
      <c r="J1506" s="95"/>
      <c r="K1506" s="95"/>
      <c r="L1506" s="95"/>
    </row>
    <row r="1507" spans="6:12" s="90" customFormat="1" ht="12.000000">
      <c r="F1507" s="95"/>
      <c r="G1507" s="95"/>
      <c r="H1507" s="95"/>
      <c r="I1507" s="95"/>
      <c r="J1507" s="95"/>
      <c r="K1507" s="95"/>
      <c r="L1507" s="95"/>
    </row>
    <row r="1508" spans="6:12" s="90" customFormat="1" ht="12.000000">
      <c r="F1508" s="95"/>
      <c r="G1508" s="95"/>
      <c r="H1508" s="95"/>
      <c r="I1508" s="95"/>
      <c r="J1508" s="95"/>
      <c r="K1508" s="95"/>
      <c r="L1508" s="95"/>
    </row>
    <row r="1509" spans="6:12" s="90" customFormat="1" ht="12.000000">
      <c r="F1509" s="95"/>
      <c r="G1509" s="95"/>
      <c r="H1509" s="95"/>
      <c r="I1509" s="95"/>
      <c r="J1509" s="95"/>
      <c r="K1509" s="95"/>
      <c r="L1509" s="95"/>
    </row>
    <row r="1510" spans="6:12" s="90" customFormat="1" ht="12.000000">
      <c r="F1510" s="95"/>
      <c r="G1510" s="95"/>
      <c r="H1510" s="95"/>
      <c r="I1510" s="95"/>
      <c r="J1510" s="95"/>
      <c r="K1510" s="95"/>
      <c r="L1510" s="95"/>
    </row>
    <row r="1511" spans="6:12" s="90" customFormat="1" ht="12.000000">
      <c r="F1511" s="95"/>
      <c r="G1511" s="95"/>
      <c r="H1511" s="95"/>
      <c r="I1511" s="95"/>
      <c r="J1511" s="95"/>
      <c r="K1511" s="95"/>
      <c r="L1511" s="95"/>
    </row>
    <row r="1512" spans="6:12" s="90" customFormat="1" ht="12.000000">
      <c r="F1512" s="95"/>
      <c r="G1512" s="95"/>
      <c r="H1512" s="95"/>
      <c r="I1512" s="95"/>
      <c r="J1512" s="95"/>
      <c r="K1512" s="95"/>
      <c r="L1512" s="95"/>
    </row>
    <row r="1513" spans="6:12" s="90" customFormat="1" ht="12.000000">
      <c r="F1513" s="95"/>
      <c r="G1513" s="95"/>
      <c r="H1513" s="95"/>
      <c r="I1513" s="95"/>
      <c r="J1513" s="95"/>
      <c r="K1513" s="95"/>
      <c r="L1513" s="95"/>
    </row>
    <row r="1514" spans="6:12" s="90" customFormat="1" ht="12.000000">
      <c r="F1514" s="95"/>
      <c r="G1514" s="95"/>
      <c r="H1514" s="95"/>
      <c r="I1514" s="95"/>
      <c r="J1514" s="95"/>
      <c r="K1514" s="95"/>
      <c r="L1514" s="95"/>
    </row>
    <row r="1515" spans="6:12" s="90" customFormat="1" ht="12.000000">
      <c r="F1515" s="95"/>
      <c r="G1515" s="95"/>
      <c r="H1515" s="95"/>
      <c r="I1515" s="95"/>
      <c r="J1515" s="95"/>
      <c r="K1515" s="95"/>
      <c r="L1515" s="95"/>
    </row>
    <row r="1516" spans="6:12" s="90" customFormat="1" ht="12.000000">
      <c r="F1516" s="95"/>
      <c r="G1516" s="95"/>
      <c r="H1516" s="95"/>
      <c r="I1516" s="95"/>
      <c r="J1516" s="95"/>
      <c r="K1516" s="95"/>
      <c r="L1516" s="95"/>
    </row>
    <row r="1517" spans="6:12" s="90" customFormat="1" ht="12.000000">
      <c r="F1517" s="95"/>
      <c r="G1517" s="95"/>
      <c r="H1517" s="95"/>
      <c r="I1517" s="95"/>
      <c r="J1517" s="95"/>
      <c r="K1517" s="95"/>
      <c r="L1517" s="95"/>
    </row>
    <row r="1518" spans="6:12" s="90" customFormat="1" ht="12.000000">
      <c r="F1518" s="95"/>
      <c r="G1518" s="95"/>
      <c r="H1518" s="95"/>
      <c r="I1518" s="95"/>
      <c r="J1518" s="95"/>
      <c r="K1518" s="95"/>
      <c r="L1518" s="95"/>
    </row>
    <row r="1519" spans="6:12" s="90" customFormat="1" ht="12.000000">
      <c r="F1519" s="95"/>
      <c r="G1519" s="95"/>
      <c r="H1519" s="95"/>
      <c r="I1519" s="95"/>
      <c r="J1519" s="95"/>
      <c r="K1519" s="95"/>
      <c r="L1519" s="95"/>
    </row>
    <row r="1520" spans="6:12" s="90" customFormat="1" ht="12.000000">
      <c r="F1520" s="95"/>
      <c r="G1520" s="95"/>
      <c r="H1520" s="95"/>
      <c r="I1520" s="95"/>
      <c r="J1520" s="95"/>
      <c r="K1520" s="95"/>
      <c r="L1520" s="95"/>
    </row>
    <row r="1521" spans="6:12" s="90" customFormat="1" ht="12.000000">
      <c r="F1521" s="95"/>
      <c r="G1521" s="95"/>
      <c r="H1521" s="95"/>
      <c r="I1521" s="95"/>
      <c r="J1521" s="95"/>
      <c r="K1521" s="95"/>
      <c r="L1521" s="95"/>
    </row>
    <row r="1522" spans="6:12" s="90" customFormat="1" ht="12.000000">
      <c r="F1522" s="95"/>
      <c r="G1522" s="95"/>
      <c r="H1522" s="95"/>
      <c r="I1522" s="95"/>
      <c r="J1522" s="95"/>
      <c r="K1522" s="95"/>
      <c r="L1522" s="95"/>
    </row>
    <row r="1523" spans="6:12" s="90" customFormat="1" ht="12.000000">
      <c r="F1523" s="95"/>
      <c r="G1523" s="95"/>
      <c r="H1523" s="95"/>
      <c r="I1523" s="95"/>
      <c r="J1523" s="95"/>
      <c r="K1523" s="95"/>
      <c r="L1523" s="95"/>
    </row>
    <row r="1524" spans="6:12" s="90" customFormat="1" ht="12.000000">
      <c r="F1524" s="95"/>
      <c r="G1524" s="95"/>
      <c r="H1524" s="95"/>
      <c r="I1524" s="95"/>
      <c r="J1524" s="95"/>
      <c r="K1524" s="95"/>
      <c r="L1524" s="95"/>
    </row>
    <row r="1525" spans="6:12" s="90" customFormat="1" ht="12.000000">
      <c r="F1525" s="95"/>
      <c r="G1525" s="95"/>
      <c r="H1525" s="95"/>
      <c r="I1525" s="95"/>
      <c r="J1525" s="95"/>
      <c r="K1525" s="95"/>
      <c r="L1525" s="95"/>
    </row>
    <row r="1526" spans="6:12" s="90" customFormat="1" ht="12.000000">
      <c r="F1526" s="95"/>
      <c r="G1526" s="95"/>
      <c r="H1526" s="95"/>
      <c r="I1526" s="95"/>
      <c r="J1526" s="95"/>
      <c r="K1526" s="95"/>
      <c r="L1526" s="95"/>
    </row>
    <row r="1527" spans="6:12" s="90" customFormat="1" ht="12.000000">
      <c r="F1527" s="95"/>
      <c r="G1527" s="95"/>
      <c r="H1527" s="95"/>
      <c r="I1527" s="95"/>
      <c r="J1527" s="95"/>
      <c r="K1527" s="95"/>
      <c r="L1527" s="95"/>
    </row>
    <row r="1528" spans="6:12" s="90" customFormat="1" ht="12.000000">
      <c r="F1528" s="95"/>
      <c r="G1528" s="95"/>
      <c r="H1528" s="95"/>
      <c r="I1528" s="95"/>
      <c r="J1528" s="95"/>
      <c r="K1528" s="95"/>
      <c r="L1528" s="95"/>
    </row>
    <row r="1529" spans="6:12" s="90" customFormat="1" ht="12.000000">
      <c r="F1529" s="95"/>
      <c r="G1529" s="95"/>
      <c r="H1529" s="95"/>
      <c r="I1529" s="95"/>
      <c r="J1529" s="95"/>
      <c r="K1529" s="95"/>
      <c r="L1529" s="95"/>
    </row>
    <row r="1530" spans="6:12" s="90" customFormat="1" ht="12.000000">
      <c r="F1530" s="95"/>
      <c r="G1530" s="95"/>
      <c r="H1530" s="95"/>
      <c r="I1530" s="95"/>
      <c r="J1530" s="95"/>
      <c r="K1530" s="95"/>
      <c r="L1530" s="95"/>
    </row>
    <row r="1531" spans="6:12" s="90" customFormat="1" ht="12.000000">
      <c r="F1531" s="95"/>
      <c r="G1531" s="95"/>
      <c r="H1531" s="95"/>
      <c r="I1531" s="95"/>
      <c r="J1531" s="95"/>
      <c r="K1531" s="95"/>
      <c r="L1531" s="95"/>
    </row>
    <row r="1532" spans="6:12" s="90" customFormat="1" ht="12.000000">
      <c r="F1532" s="95"/>
      <c r="G1532" s="95"/>
      <c r="H1532" s="95"/>
      <c r="I1532" s="95"/>
      <c r="J1532" s="95"/>
      <c r="K1532" s="95"/>
      <c r="L1532" s="95"/>
    </row>
    <row r="1533" spans="6:12" s="90" customFormat="1" ht="12.000000">
      <c r="F1533" s="95"/>
      <c r="G1533" s="95"/>
      <c r="H1533" s="95"/>
      <c r="I1533" s="95"/>
      <c r="J1533" s="95"/>
      <c r="K1533" s="95"/>
      <c r="L1533" s="95"/>
    </row>
    <row r="1534" spans="6:12" s="90" customFormat="1" ht="12.000000">
      <c r="F1534" s="95"/>
      <c r="G1534" s="95"/>
      <c r="H1534" s="95"/>
      <c r="I1534" s="95"/>
      <c r="J1534" s="95"/>
      <c r="K1534" s="95"/>
      <c r="L1534" s="95"/>
    </row>
    <row r="1535" spans="6:12" s="90" customFormat="1" ht="12.000000">
      <c r="F1535" s="95"/>
      <c r="G1535" s="95"/>
      <c r="H1535" s="95"/>
      <c r="I1535" s="95"/>
      <c r="J1535" s="95"/>
      <c r="K1535" s="95"/>
      <c r="L1535" s="95"/>
    </row>
    <row r="1536" spans="6:12" s="90" customFormat="1" ht="12.000000">
      <c r="F1536" s="95"/>
      <c r="G1536" s="95"/>
      <c r="H1536" s="95"/>
      <c r="I1536" s="95"/>
      <c r="J1536" s="95"/>
      <c r="K1536" s="95"/>
      <c r="L1536" s="95"/>
    </row>
    <row r="1537" spans="6:12" s="90" customFormat="1" ht="12.000000">
      <c r="F1537" s="95"/>
      <c r="G1537" s="95"/>
      <c r="H1537" s="95"/>
      <c r="I1537" s="95"/>
      <c r="J1537" s="95"/>
      <c r="K1537" s="95"/>
      <c r="L1537" s="95"/>
    </row>
    <row r="1538" spans="6:12" s="90" customFormat="1" ht="12.000000">
      <c r="F1538" s="95"/>
      <c r="G1538" s="95"/>
      <c r="H1538" s="95"/>
      <c r="I1538" s="95"/>
      <c r="J1538" s="95"/>
      <c r="K1538" s="95"/>
      <c r="L1538" s="95"/>
    </row>
    <row r="1539" spans="6:12" s="90" customFormat="1" ht="12.000000">
      <c r="F1539" s="95"/>
      <c r="G1539" s="95"/>
      <c r="H1539" s="95"/>
      <c r="I1539" s="95"/>
      <c r="J1539" s="95"/>
      <c r="K1539" s="95"/>
      <c r="L1539" s="95"/>
    </row>
    <row r="1540" spans="6:12" s="90" customFormat="1" ht="12.000000">
      <c r="F1540" s="95"/>
      <c r="G1540" s="95"/>
      <c r="H1540" s="95"/>
      <c r="I1540" s="95"/>
      <c r="J1540" s="95"/>
      <c r="K1540" s="95"/>
      <c r="L1540" s="95"/>
    </row>
    <row r="1541" spans="6:12" s="90" customFormat="1" ht="12.000000">
      <c r="F1541" s="95"/>
      <c r="G1541" s="95"/>
      <c r="H1541" s="95"/>
      <c r="I1541" s="95"/>
      <c r="J1541" s="95"/>
      <c r="K1541" s="95"/>
      <c r="L1541" s="95"/>
    </row>
    <row r="1542" spans="6:12" s="90" customFormat="1" ht="12.000000">
      <c r="F1542" s="95"/>
      <c r="G1542" s="95"/>
      <c r="H1542" s="95"/>
      <c r="I1542" s="95"/>
      <c r="J1542" s="95"/>
      <c r="K1542" s="95"/>
      <c r="L1542" s="95"/>
    </row>
    <row r="1543" spans="6:12" s="90" customFormat="1" ht="12.000000">
      <c r="F1543" s="95"/>
      <c r="G1543" s="95"/>
      <c r="H1543" s="95"/>
      <c r="I1543" s="95"/>
      <c r="J1543" s="95"/>
      <c r="K1543" s="95"/>
      <c r="L1543" s="95"/>
    </row>
    <row r="1544" spans="6:12" s="90" customFormat="1" ht="12.000000">
      <c r="F1544" s="95"/>
      <c r="G1544" s="95"/>
      <c r="H1544" s="95"/>
      <c r="I1544" s="95"/>
      <c r="J1544" s="95"/>
      <c r="K1544" s="95"/>
      <c r="L1544" s="95"/>
    </row>
    <row r="1545" spans="6:12" s="90" customFormat="1" ht="12.000000">
      <c r="F1545" s="95"/>
      <c r="G1545" s="95"/>
      <c r="H1545" s="95"/>
      <c r="I1545" s="95"/>
      <c r="J1545" s="95"/>
      <c r="K1545" s="95"/>
      <c r="L1545" s="95"/>
    </row>
    <row r="1546" spans="6:12" s="90" customFormat="1" ht="12.000000">
      <c r="F1546" s="95"/>
      <c r="G1546" s="95"/>
      <c r="H1546" s="95"/>
      <c r="I1546" s="95"/>
      <c r="J1546" s="95"/>
      <c r="K1546" s="95"/>
      <c r="L1546" s="95"/>
    </row>
    <row r="1547" spans="6:12" s="90" customFormat="1" ht="12.000000">
      <c r="F1547" s="95"/>
      <c r="G1547" s="95"/>
      <c r="H1547" s="95"/>
      <c r="I1547" s="95"/>
      <c r="J1547" s="95"/>
      <c r="K1547" s="95"/>
      <c r="L1547" s="95"/>
    </row>
    <row r="1548" spans="6:12" s="90" customFormat="1" ht="12.000000">
      <c r="F1548" s="95"/>
      <c r="G1548" s="95"/>
      <c r="H1548" s="95"/>
      <c r="I1548" s="95"/>
      <c r="J1548" s="95"/>
      <c r="K1548" s="95"/>
      <c r="L1548" s="95"/>
    </row>
    <row r="1549" spans="6:12" s="90" customFormat="1" ht="12.000000">
      <c r="F1549" s="95"/>
      <c r="G1549" s="95"/>
      <c r="H1549" s="95"/>
      <c r="I1549" s="95"/>
      <c r="J1549" s="95"/>
      <c r="K1549" s="95"/>
      <c r="L1549" s="95"/>
    </row>
    <row r="1550" spans="6:12" s="90" customFormat="1" ht="12.000000">
      <c r="F1550" s="95"/>
      <c r="G1550" s="95"/>
      <c r="H1550" s="95"/>
      <c r="I1550" s="95"/>
      <c r="J1550" s="95"/>
      <c r="K1550" s="95"/>
      <c r="L1550" s="95"/>
    </row>
    <row r="1551" spans="6:12" s="90" customFormat="1" ht="12.000000">
      <c r="F1551" s="95"/>
      <c r="G1551" s="95"/>
      <c r="H1551" s="95"/>
      <c r="I1551" s="95"/>
      <c r="J1551" s="95"/>
      <c r="K1551" s="95"/>
      <c r="L1551" s="95"/>
    </row>
    <row r="1552" spans="6:12" s="90" customFormat="1" ht="12.000000">
      <c r="F1552" s="95"/>
      <c r="G1552" s="95"/>
      <c r="H1552" s="95"/>
      <c r="I1552" s="95"/>
      <c r="J1552" s="95"/>
      <c r="K1552" s="95"/>
      <c r="L1552" s="95"/>
    </row>
    <row r="1553" spans="6:12" s="90" customFormat="1" ht="12.000000">
      <c r="F1553" s="95"/>
      <c r="G1553" s="95"/>
      <c r="H1553" s="95"/>
      <c r="I1553" s="95"/>
      <c r="J1553" s="95"/>
      <c r="K1553" s="95"/>
      <c r="L1553" s="95"/>
    </row>
    <row r="1554" spans="6:12" s="90" customFormat="1" ht="12.000000">
      <c r="F1554" s="95"/>
      <c r="G1554" s="95"/>
      <c r="H1554" s="95"/>
      <c r="I1554" s="95"/>
      <c r="J1554" s="95"/>
      <c r="K1554" s="95"/>
      <c r="L1554" s="95"/>
    </row>
    <row r="1555" spans="6:12" s="90" customFormat="1" ht="12.000000">
      <c r="F1555" s="95"/>
      <c r="G1555" s="95"/>
      <c r="H1555" s="95"/>
      <c r="I1555" s="95"/>
      <c r="J1555" s="95"/>
      <c r="K1555" s="95"/>
      <c r="L1555" s="95"/>
    </row>
    <row r="1556" spans="6:12" s="90" customFormat="1" ht="12.000000">
      <c r="F1556" s="95"/>
      <c r="G1556" s="95"/>
      <c r="H1556" s="95"/>
      <c r="I1556" s="95"/>
      <c r="J1556" s="95"/>
      <c r="K1556" s="95"/>
      <c r="L1556" s="95"/>
    </row>
    <row r="1557" spans="6:12" s="90" customFormat="1" ht="12.000000">
      <c r="F1557" s="95"/>
      <c r="G1557" s="95"/>
      <c r="H1557" s="95"/>
      <c r="I1557" s="95"/>
      <c r="J1557" s="95"/>
      <c r="K1557" s="95"/>
      <c r="L1557" s="95"/>
    </row>
    <row r="1558" spans="6:12" s="90" customFormat="1" ht="12.000000">
      <c r="F1558" s="95"/>
      <c r="G1558" s="95"/>
      <c r="H1558" s="95"/>
      <c r="I1558" s="95"/>
      <c r="J1558" s="95"/>
      <c r="K1558" s="95"/>
      <c r="L1558" s="95"/>
    </row>
    <row r="1559" spans="6:12" s="90" customFormat="1" ht="12.000000">
      <c r="F1559" s="95"/>
      <c r="G1559" s="95"/>
      <c r="H1559" s="95"/>
      <c r="I1559" s="95"/>
      <c r="J1559" s="95"/>
      <c r="K1559" s="95"/>
      <c r="L1559" s="95"/>
    </row>
    <row r="1560" spans="6:12" s="90" customFormat="1" ht="12.000000">
      <c r="F1560" s="95"/>
      <c r="G1560" s="95"/>
      <c r="H1560" s="95"/>
      <c r="I1560" s="95"/>
      <c r="J1560" s="95"/>
      <c r="K1560" s="95"/>
      <c r="L1560" s="95"/>
    </row>
    <row r="1561" spans="6:12" s="90" customFormat="1" ht="12.000000">
      <c r="F1561" s="95"/>
      <c r="G1561" s="95"/>
      <c r="H1561" s="95"/>
      <c r="I1561" s="95"/>
      <c r="J1561" s="95"/>
      <c r="K1561" s="95"/>
      <c r="L1561" s="95"/>
    </row>
    <row r="1562" spans="6:12" s="90" customFormat="1" ht="12.000000">
      <c r="F1562" s="95"/>
      <c r="G1562" s="95"/>
      <c r="H1562" s="95"/>
      <c r="I1562" s="95"/>
      <c r="J1562" s="95"/>
      <c r="K1562" s="95"/>
      <c r="L1562" s="95"/>
    </row>
    <row r="1563" spans="6:12" s="90" customFormat="1" ht="12.000000">
      <c r="F1563" s="95"/>
      <c r="G1563" s="95"/>
      <c r="H1563" s="95"/>
      <c r="I1563" s="95"/>
      <c r="J1563" s="95"/>
      <c r="K1563" s="95"/>
      <c r="L1563" s="95"/>
    </row>
    <row r="1564" spans="6:12" s="90" customFormat="1" ht="12.000000">
      <c r="F1564" s="95"/>
      <c r="G1564" s="95"/>
      <c r="H1564" s="95"/>
      <c r="I1564" s="95"/>
      <c r="J1564" s="95"/>
      <c r="K1564" s="95"/>
      <c r="L1564" s="95"/>
    </row>
    <row r="1565" spans="6:12" s="90" customFormat="1" ht="12.000000">
      <c r="F1565" s="95"/>
      <c r="G1565" s="95"/>
      <c r="H1565" s="95"/>
      <c r="I1565" s="95"/>
      <c r="J1565" s="95"/>
      <c r="K1565" s="95"/>
      <c r="L1565" s="95"/>
    </row>
    <row r="1566" spans="6:12" s="90" customFormat="1" ht="12.000000">
      <c r="F1566" s="95"/>
      <c r="G1566" s="95"/>
      <c r="H1566" s="95"/>
      <c r="I1566" s="95"/>
      <c r="J1566" s="95"/>
      <c r="K1566" s="95"/>
      <c r="L1566" s="95"/>
    </row>
    <row r="1567" spans="6:12" s="90" customFormat="1" ht="12.000000">
      <c r="F1567" s="95"/>
      <c r="G1567" s="95"/>
      <c r="H1567" s="95"/>
      <c r="I1567" s="95"/>
      <c r="J1567" s="95"/>
      <c r="K1567" s="95"/>
      <c r="L1567" s="95"/>
    </row>
    <row r="1568" spans="6:12" s="90" customFormat="1" ht="12.000000">
      <c r="F1568" s="95"/>
      <c r="G1568" s="95"/>
      <c r="H1568" s="95"/>
      <c r="I1568" s="95"/>
      <c r="J1568" s="95"/>
      <c r="K1568" s="95"/>
      <c r="L1568" s="95"/>
    </row>
    <row r="1569" spans="6:12" s="90" customFormat="1" ht="12.000000">
      <c r="F1569" s="95"/>
      <c r="G1569" s="95"/>
      <c r="H1569" s="95"/>
      <c r="I1569" s="95"/>
      <c r="J1569" s="95"/>
      <c r="K1569" s="95"/>
      <c r="L1569" s="95"/>
    </row>
    <row r="1570" spans="6:12" s="90" customFormat="1" ht="12.000000">
      <c r="F1570" s="95"/>
      <c r="G1570" s="95"/>
      <c r="H1570" s="95"/>
      <c r="I1570" s="95"/>
      <c r="J1570" s="95"/>
      <c r="K1570" s="95"/>
      <c r="L1570" s="95"/>
    </row>
    <row r="1571" spans="6:12" s="90" customFormat="1" ht="12.000000">
      <c r="F1571" s="95"/>
      <c r="G1571" s="95"/>
      <c r="H1571" s="95"/>
      <c r="I1571" s="95"/>
      <c r="J1571" s="95"/>
      <c r="K1571" s="95"/>
      <c r="L1571" s="95"/>
    </row>
    <row r="1572" spans="6:12" s="90" customFormat="1" ht="12.000000">
      <c r="F1572" s="95"/>
      <c r="G1572" s="95"/>
      <c r="H1572" s="95"/>
      <c r="I1572" s="95"/>
      <c r="J1572" s="95"/>
      <c r="K1572" s="95"/>
      <c r="L1572" s="95"/>
    </row>
    <row r="1573" spans="6:12" s="90" customFormat="1" ht="12.000000">
      <c r="F1573" s="95"/>
      <c r="G1573" s="95"/>
      <c r="H1573" s="95"/>
      <c r="I1573" s="95"/>
      <c r="J1573" s="95"/>
      <c r="K1573" s="95"/>
      <c r="L1573" s="95"/>
    </row>
    <row r="1574" spans="6:12" s="90" customFormat="1" ht="12.000000">
      <c r="F1574" s="95"/>
      <c r="G1574" s="95"/>
      <c r="H1574" s="95"/>
      <c r="I1574" s="95"/>
      <c r="J1574" s="95"/>
      <c r="K1574" s="95"/>
      <c r="L1574" s="95"/>
    </row>
    <row r="1575" spans="6:12" s="90" customFormat="1" ht="12.000000">
      <c r="F1575" s="95"/>
      <c r="G1575" s="95"/>
      <c r="H1575" s="95"/>
      <c r="I1575" s="95"/>
      <c r="J1575" s="95"/>
      <c r="K1575" s="95"/>
      <c r="L1575" s="95"/>
    </row>
    <row r="1576" spans="6:12" s="90" customFormat="1" ht="12.000000">
      <c r="F1576" s="95"/>
      <c r="G1576" s="95"/>
      <c r="H1576" s="95"/>
      <c r="I1576" s="95"/>
      <c r="J1576" s="95"/>
      <c r="K1576" s="95"/>
      <c r="L1576" s="95"/>
    </row>
    <row r="1577" spans="6:12" s="90" customFormat="1" ht="12.000000">
      <c r="F1577" s="95"/>
      <c r="G1577" s="95"/>
      <c r="H1577" s="95"/>
      <c r="I1577" s="95"/>
      <c r="J1577" s="95"/>
      <c r="K1577" s="95"/>
      <c r="L1577" s="95"/>
    </row>
    <row r="1578" spans="6:12" s="90" customFormat="1" ht="12.000000">
      <c r="F1578" s="95"/>
      <c r="G1578" s="95"/>
      <c r="H1578" s="95"/>
      <c r="I1578" s="95"/>
      <c r="J1578" s="95"/>
      <c r="K1578" s="95"/>
      <c r="L1578" s="95"/>
    </row>
    <row r="1579" spans="6:12" s="90" customFormat="1" ht="12.000000">
      <c r="F1579" s="95"/>
      <c r="G1579" s="95"/>
      <c r="H1579" s="95"/>
      <c r="I1579" s="95"/>
      <c r="J1579" s="95"/>
      <c r="K1579" s="95"/>
      <c r="L1579" s="95"/>
    </row>
    <row r="1580" spans="6:12" s="90" customFormat="1" ht="12.000000">
      <c r="F1580" s="95"/>
      <c r="G1580" s="95"/>
      <c r="H1580" s="95"/>
      <c r="I1580" s="95"/>
      <c r="J1580" s="95"/>
      <c r="K1580" s="95"/>
      <c r="L1580" s="95"/>
    </row>
    <row r="1581" spans="6:12" s="90" customFormat="1" ht="12.000000">
      <c r="F1581" s="95"/>
      <c r="G1581" s="95"/>
      <c r="H1581" s="95"/>
      <c r="I1581" s="95"/>
      <c r="J1581" s="95"/>
      <c r="K1581" s="95"/>
      <c r="L1581" s="95"/>
    </row>
    <row r="1582" spans="6:12" s="90" customFormat="1" ht="12.000000">
      <c r="F1582" s="95"/>
      <c r="G1582" s="95"/>
      <c r="H1582" s="95"/>
      <c r="I1582" s="95"/>
      <c r="J1582" s="95"/>
      <c r="K1582" s="95"/>
      <c r="L1582" s="95"/>
    </row>
    <row r="1583" spans="6:12" s="90" customFormat="1" ht="12.000000">
      <c r="F1583" s="95"/>
      <c r="G1583" s="95"/>
      <c r="H1583" s="95"/>
      <c r="I1583" s="95"/>
      <c r="J1583" s="95"/>
      <c r="K1583" s="95"/>
      <c r="L1583" s="95"/>
    </row>
    <row r="1584" spans="6:12" s="90" customFormat="1" ht="12.000000">
      <c r="F1584" s="95"/>
      <c r="G1584" s="95"/>
      <c r="H1584" s="95"/>
      <c r="I1584" s="95"/>
      <c r="J1584" s="95"/>
      <c r="K1584" s="95"/>
      <c r="L1584" s="95"/>
    </row>
    <row r="1585" spans="4:12">
      <c r="D1585" s="90"/>
      <c r="E1585" s="90"/>
      <c r="F1585" s="95"/>
      <c r="G1585" s="95"/>
      <c r="H1585" s="95"/>
      <c r="I1585" s="95"/>
      <c r="J1585" s="95"/>
      <c r="K1585" s="95"/>
      <c r="L1585" s="95"/>
    </row>
    <row r="1586" spans="4:12">
      <c r="D1586" s="90"/>
      <c r="E1586" s="90"/>
      <c r="F1586" s="95"/>
      <c r="G1586" s="95"/>
      <c r="H1586" s="95"/>
      <c r="I1586" s="95"/>
      <c r="J1586" s="95"/>
      <c r="K1586" s="95"/>
      <c r="L1586" s="95"/>
    </row>
    <row r="1587" spans="4:12">
      <c r="D1587" s="90"/>
      <c r="E1587" s="90"/>
      <c r="F1587" s="95"/>
      <c r="G1587" s="95"/>
      <c r="H1587" s="95"/>
      <c r="I1587" s="95"/>
      <c r="J1587" s="95"/>
      <c r="K1587" s="95"/>
      <c r="L1587" s="95"/>
    </row>
    <row r="1588" spans="4:12">
      <c r="D1588" s="90"/>
      <c r="E1588" s="90"/>
      <c r="F1588" s="95"/>
      <c r="G1588" s="95"/>
      <c r="H1588" s="95"/>
      <c r="I1588" s="95"/>
      <c r="J1588" s="95"/>
      <c r="K1588" s="95"/>
      <c r="L1588" s="95"/>
    </row>
    <row r="1589" spans="4:12">
      <c r="D1589" s="90"/>
      <c r="E1589" s="90"/>
      <c r="F1589" s="95"/>
      <c r="G1589" s="95"/>
      <c r="H1589" s="95"/>
      <c r="I1589" s="95"/>
      <c r="J1589" s="95"/>
      <c r="K1589" s="95"/>
      <c r="L1589" s="95"/>
    </row>
    <row r="1590" spans="4:12">
      <c r="D1590" s="90"/>
      <c r="E1590" s="90"/>
      <c r="F1590" s="95"/>
      <c r="G1590" s="95"/>
      <c r="H1590" s="95"/>
      <c r="I1590" s="95"/>
      <c r="J1590" s="95"/>
      <c r="K1590" s="95"/>
      <c r="L1590" s="95"/>
    </row>
    <row r="1591" spans="4:12">
      <c r="D1591" s="94"/>
      <c r="E1591" s="94"/>
      <c r="F1591" s="93"/>
      <c r="G1591" s="93"/>
      <c r="H1591" s="93"/>
      <c r="I1591" s="93"/>
      <c r="J1591" s="93"/>
      <c r="K1591" s="93"/>
      <c r="L1591" s="93"/>
    </row>
  </sheetData>
  <mergeCells count="36">
    <mergeCell ref="D1:AE1"/>
    <mergeCell ref="D3:AE3"/>
    <mergeCell ref="D6:G6"/>
    <mergeCell ref="H6:M6"/>
    <mergeCell ref="D7:G7"/>
    <mergeCell ref="H7:O7"/>
    <mergeCell ref="D8:G8"/>
    <mergeCell ref="H8:AE8"/>
    <mergeCell ref="D9:G9"/>
    <mergeCell ref="D10:G10"/>
    <mergeCell ref="H10:AE10"/>
    <mergeCell ref="D14:AE14"/>
    <mergeCell ref="D16:AE16"/>
    <mergeCell ref="D18:AE18"/>
    <mergeCell ref="D20:AE20"/>
    <mergeCell ref="H21:M21"/>
    <mergeCell ref="N21:AE21"/>
    <mergeCell ref="H22:M22"/>
    <mergeCell ref="N22:AE22"/>
    <mergeCell ref="H23:M23"/>
    <mergeCell ref="N23:AE23"/>
    <mergeCell ref="H24:M24"/>
    <mergeCell ref="N24:AE24"/>
    <mergeCell ref="H25:M25"/>
    <mergeCell ref="N25:AE25"/>
    <mergeCell ref="D27:AE27"/>
    <mergeCell ref="H28:AE28"/>
    <mergeCell ref="H29:AE29"/>
    <mergeCell ref="D31:M31"/>
    <mergeCell ref="N31:AA31"/>
    <mergeCell ref="AB31:AE31"/>
    <mergeCell ref="D33:M33"/>
    <mergeCell ref="N33:AE33"/>
    <mergeCell ref="D34:AE34"/>
    <mergeCell ref="D36:AE36"/>
    <mergeCell ref="D38:AE38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1" manualBreakCount="1">
    <brk id="31" max="3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6"/>
  <sheetViews>
    <sheetView topLeftCell="A15" view="pageBreakPreview" zoomScaleNormal="100" zoomScaleSheetLayoutView="100" workbookViewId="0">
      <selection activeCell="H19" sqref="H19"/>
    </sheetView>
  </sheetViews>
  <sheetFormatPr defaultColWidth="11.50000000" defaultRowHeight="13.500000"/>
  <cols>
    <col min="1" max="1" width="8.78277800" customWidth="1" outlineLevel="0"/>
    <col min="2" max="3" width="10.78277800" customWidth="1" outlineLevel="0"/>
    <col min="4" max="5" width="9.78277800" customWidth="1" outlineLevel="0"/>
    <col min="6" max="7" style="11" width="5.78277800" customWidth="1" outlineLevel="0"/>
    <col min="8" max="8" width="12.78277800" customWidth="1" outlineLevel="0"/>
    <col min="9" max="9" style="9" width="14.78277800" customWidth="1" outlineLevel="0"/>
    <col min="10" max="256" width="8.78277800" customWidth="1" outlineLevel="0"/>
  </cols>
  <sheetData>
    <row r="1" spans="2:9" s="3" customFormat="1" ht="39.000000" customHeight="1">
      <c r="B1" s="316" t="s">
        <v>88</v>
      </c>
      <c r="C1" s="317"/>
      <c r="D1" s="317"/>
      <c r="E1" s="317"/>
      <c r="F1" s="317"/>
      <c r="G1" s="317"/>
      <c r="H1" s="317"/>
      <c r="I1" s="317"/>
    </row>
    <row r="2" spans="2:9" s="3" customFormat="1" ht="18.000000" customHeight="1">
      <c r="B2" s="61"/>
      <c r="C2" s="61"/>
      <c r="D2" s="61"/>
      <c r="E2" s="61"/>
      <c r="F2" s="61"/>
      <c r="G2" s="61"/>
      <c r="H2" s="318"/>
      <c r="I2" s="318"/>
    </row>
    <row r="3" spans="2:9" s="1" customFormat="1" ht="34.500000" customHeight="1">
      <c r="B3" s="319" t="s">
        <v>34</v>
      </c>
      <c r="C3" s="320"/>
      <c r="D3" s="325" t="str">
        <f>"일금"&amp;NUMBERSTRING(H29,1)&amp;"원정 (₩"&amp;TEXT(H29,"#,##0")&amp;") - VAT별도"</f>
        <v>일금일백오십만원정 (₩1,500,000) - VAT별도</v>
      </c>
      <c r="E3" s="326"/>
      <c r="F3" s="326"/>
      <c r="G3" s="326"/>
      <c r="H3" s="326"/>
      <c r="I3" s="327"/>
    </row>
    <row r="4" spans="2:9" s="1" customFormat="1" ht="38.250000" hidden="1" customHeight="1">
      <c r="B4" s="321" t="s">
        <v>29</v>
      </c>
      <c r="C4" s="322"/>
      <c r="D4" s="323" t="str">
        <f>"일금 "&amp;NUMBERSTRING(H29,1)&amp;"원정"&amp;TEXT(H29,"(￦ #,##0)")&amp;" "</f>
        <v xml:space="preserve">일금 일백오십만원정(₩ 1,500,000) </v>
      </c>
      <c r="E4" s="323"/>
      <c r="F4" s="323"/>
      <c r="G4" s="323"/>
      <c r="H4" s="323"/>
      <c r="I4" s="324"/>
    </row>
    <row r="5" spans="2:9" s="1" customFormat="1" ht="38.250000" hidden="1" customHeight="1">
      <c r="B5" s="328" t="s">
        <v>30</v>
      </c>
      <c r="C5" s="329"/>
      <c r="D5" s="330">
        <f>"일금 "&amp;NUMBERSTRING(H30,1)&amp;"원정"&amp;TEXT(H30,"(￦ #,##0)")&amp;" "</f>
        <v/>
      </c>
      <c r="E5" s="330"/>
      <c r="F5" s="330"/>
      <c r="G5" s="330"/>
      <c r="H5" s="330"/>
      <c r="I5" s="331"/>
    </row>
    <row r="6" spans="2:9" s="1" customFormat="1" ht="31.500000" customHeight="1">
      <c r="B6" s="332" t="s">
        <v>26</v>
      </c>
      <c r="C6" s="333"/>
      <c r="D6" s="333"/>
      <c r="E6" s="333"/>
      <c r="F6" s="333"/>
      <c r="G6" s="333"/>
      <c r="H6" s="333"/>
      <c r="I6" s="334"/>
    </row>
    <row r="7" spans="2:9" s="2" customFormat="1" ht="30.000000" customHeight="1">
      <c r="B7" s="335" t="s">
        <v>8</v>
      </c>
      <c r="C7" s="24"/>
      <c r="D7" s="24" t="s">
        <v>5</v>
      </c>
      <c r="E7" s="24" t="s">
        <v>6</v>
      </c>
      <c r="F7" s="24" t="s">
        <v>21</v>
      </c>
      <c r="G7" s="24" t="s">
        <v>74</v>
      </c>
      <c r="H7" s="24" t="s">
        <v>1</v>
      </c>
      <c r="I7" s="25" t="s">
        <v>7</v>
      </c>
    </row>
    <row r="8" spans="2:9" s="2" customFormat="1" ht="28.000000" customHeight="1">
      <c r="B8" s="336" t="s">
        <v>190</v>
      </c>
      <c r="C8" s="337"/>
      <c r="D8" s="27"/>
      <c r="E8" s="27"/>
      <c r="F8" s="27"/>
      <c r="G8" s="27"/>
      <c r="H8" s="28">
        <f>INT(SUM(H9,H10,H11,H12,H13,H14,H15,H16))</f>
        <v>1092686</v>
      </c>
      <c r="I8" s="68" t="s">
        <v>35</v>
      </c>
    </row>
    <row r="9" spans="2:9" s="2" customFormat="1" ht="18.000000" customHeight="1">
      <c r="B9" s="26"/>
      <c r="C9" s="29" t="s">
        <v>226</v>
      </c>
      <c r="D9" s="30" t="s">
        <v>3</v>
      </c>
      <c r="E9" s="31">
        <v>373353</v>
      </c>
      <c r="F9" s="30" t="s">
        <v>22</v>
      </c>
      <c r="G9" s="30">
        <v>0</v>
      </c>
      <c r="H9" s="32">
        <f>INT(E9*G9)</f>
        <v>0</v>
      </c>
      <c r="I9" s="8"/>
    </row>
    <row r="10" spans="2:9" s="2" customFormat="1" ht="18.000000" customHeight="1">
      <c r="B10" s="12"/>
      <c r="C10" s="33"/>
      <c r="D10" s="34" t="s">
        <v>4</v>
      </c>
      <c r="E10" s="35">
        <v>310884</v>
      </c>
      <c r="F10" s="34" t="s">
        <v>22</v>
      </c>
      <c r="G10" s="51">
        <v>1</v>
      </c>
      <c r="H10" s="32">
        <f>INT(E10*G10)</f>
        <v>310884</v>
      </c>
      <c r="I10" s="8"/>
    </row>
    <row r="11" spans="2:9" s="2" customFormat="1" ht="18.000000" customHeight="1">
      <c r="B11" s="12"/>
      <c r="C11" s="33"/>
      <c r="D11" s="34" t="s">
        <v>27</v>
      </c>
      <c r="E11" s="35">
        <v>295138</v>
      </c>
      <c r="F11" s="34" t="s">
        <v>22</v>
      </c>
      <c r="G11" s="51">
        <v>0</v>
      </c>
      <c r="H11" s="32">
        <f>INT(E11*G11)</f>
        <v>0</v>
      </c>
      <c r="I11" s="8"/>
    </row>
    <row r="12" spans="2:9" s="2" customFormat="1" ht="18.000000" customHeight="1">
      <c r="B12" s="12"/>
      <c r="C12" s="33"/>
      <c r="D12" s="34" t="s">
        <v>28</v>
      </c>
      <c r="E12" s="35">
        <v>235459</v>
      </c>
      <c r="F12" s="34" t="s">
        <v>22</v>
      </c>
      <c r="G12" s="51">
        <v>1</v>
      </c>
      <c r="H12" s="32">
        <f>INT(E12*G12)</f>
        <v>235459</v>
      </c>
      <c r="I12" s="8"/>
    </row>
    <row r="13" spans="2:9" s="2" customFormat="1" ht="18.000000" customHeight="1">
      <c r="B13" s="13"/>
      <c r="C13" s="36" t="s">
        <v>227</v>
      </c>
      <c r="D13" s="34" t="s">
        <v>3</v>
      </c>
      <c r="E13" s="72">
        <v>373353</v>
      </c>
      <c r="F13" s="34" t="s">
        <v>22</v>
      </c>
      <c r="G13" s="51">
        <v>0</v>
      </c>
      <c r="H13" s="32">
        <f>INT(E13*G13)</f>
        <v>0</v>
      </c>
      <c r="I13" s="8"/>
    </row>
    <row r="14" spans="2:9" s="2" customFormat="1" ht="18.000000" customHeight="1">
      <c r="B14" s="12"/>
      <c r="C14" s="33"/>
      <c r="D14" s="34" t="s">
        <v>4</v>
      </c>
      <c r="E14" s="35">
        <v>310884</v>
      </c>
      <c r="F14" s="34" t="s">
        <v>22</v>
      </c>
      <c r="G14" s="51">
        <v>1</v>
      </c>
      <c r="H14" s="32">
        <f>INT(E14*G14)</f>
        <v>310884</v>
      </c>
      <c r="I14" s="8"/>
    </row>
    <row r="15" spans="2:9" s="2" customFormat="1" ht="18.000000" customHeight="1">
      <c r="B15" s="12"/>
      <c r="C15" s="33"/>
      <c r="D15" s="34" t="s">
        <v>27</v>
      </c>
      <c r="E15" s="35">
        <v>295138</v>
      </c>
      <c r="F15" s="34" t="s">
        <v>22</v>
      </c>
      <c r="G15" s="51">
        <v>0</v>
      </c>
      <c r="H15" s="32">
        <f>INT(E15*G15)</f>
        <v>0</v>
      </c>
      <c r="I15" s="8"/>
    </row>
    <row r="16" spans="2:9" s="2" customFormat="1" ht="18.000000" customHeight="1">
      <c r="B16" s="12"/>
      <c r="C16" s="33"/>
      <c r="D16" s="34" t="s">
        <v>28</v>
      </c>
      <c r="E16" s="35">
        <v>235459</v>
      </c>
      <c r="F16" s="34" t="s">
        <v>22</v>
      </c>
      <c r="G16" s="51">
        <v>1</v>
      </c>
      <c r="H16" s="32">
        <f>INT(E16*G16)</f>
        <v>235459</v>
      </c>
      <c r="I16" s="8"/>
    </row>
    <row r="17" spans="2:13" s="2" customFormat="1" ht="28.000000" customHeight="1">
      <c r="B17" s="338" t="s">
        <v>10</v>
      </c>
      <c r="C17" s="339"/>
      <c r="D17" s="14"/>
      <c r="E17" s="15"/>
      <c r="F17" s="16" t="s">
        <v>24</v>
      </c>
      <c r="G17" s="16">
        <v>10</v>
      </c>
      <c r="H17" s="17">
        <f>ROUND(H8*G17%,0)</f>
        <v>109269</v>
      </c>
      <c r="I17" s="18" t="s">
        <v>180</v>
      </c>
    </row>
    <row r="18" spans="2:13" s="2" customFormat="1" ht="28.000000" customHeight="1">
      <c r="B18" s="338" t="s">
        <v>11</v>
      </c>
      <c r="C18" s="339"/>
      <c r="D18" s="14"/>
      <c r="E18" s="15"/>
      <c r="F18" s="16" t="s">
        <v>24</v>
      </c>
      <c r="G18" s="16">
        <v>10</v>
      </c>
      <c r="H18" s="19">
        <f>ROUND((H8+H17)*G18%,0)</f>
        <v>120196</v>
      </c>
      <c r="I18" s="18" t="s">
        <v>174</v>
      </c>
    </row>
    <row r="19" spans="2:13" s="2" customFormat="1" ht="28.000000" customHeight="1">
      <c r="B19" s="338" t="s">
        <v>12</v>
      </c>
      <c r="C19" s="339"/>
      <c r="D19" s="20"/>
      <c r="E19" s="21"/>
      <c r="F19" s="22"/>
      <c r="G19" s="22"/>
      <c r="H19" s="19">
        <f>INT(SUM(H21,H22,H23,H24,H25,))</f>
        <v>219268</v>
      </c>
      <c r="I19" s="18"/>
    </row>
    <row r="20" spans="2:13" s="2" customFormat="1" ht="18.000000" customHeight="1">
      <c r="B20" s="37" t="s">
        <v>13</v>
      </c>
      <c r="C20" s="38"/>
      <c r="D20" s="38"/>
      <c r="E20" s="39"/>
      <c r="F20" s="40"/>
      <c r="G20" s="40"/>
      <c r="H20" s="41"/>
      <c r="I20" s="42"/>
    </row>
    <row r="21" spans="2:13" s="2" customFormat="1" ht="18.000000" customHeight="1">
      <c r="B21" s="43" t="s">
        <v>14</v>
      </c>
      <c r="C21" s="44"/>
      <c r="D21" s="44"/>
      <c r="E21" s="45">
        <v>20000</v>
      </c>
      <c r="F21" s="30">
        <v>1</v>
      </c>
      <c r="G21" s="30">
        <v>2</v>
      </c>
      <c r="H21" s="46">
        <f>G21*E21*F21</f>
        <v>40000</v>
      </c>
      <c r="I21" s="10"/>
      <c r="M21" s="55"/>
    </row>
    <row r="22" spans="2:13" s="2" customFormat="1" ht="18.000000" customHeight="1">
      <c r="B22" s="47" t="s">
        <v>15</v>
      </c>
      <c r="C22" s="48"/>
      <c r="D22" s="48"/>
      <c r="E22" s="45">
        <v>20000</v>
      </c>
      <c r="F22" s="34">
        <v>1</v>
      </c>
      <c r="G22" s="30">
        <v>2</v>
      </c>
      <c r="H22" s="49">
        <f>G22*E22*F22</f>
        <v>40000</v>
      </c>
      <c r="I22" s="10"/>
    </row>
    <row r="23" spans="2:13" s="2" customFormat="1" ht="18.000000" customHeight="1">
      <c r="B23" s="47" t="s">
        <v>16</v>
      </c>
      <c r="C23" s="34"/>
      <c r="D23" s="48"/>
      <c r="E23" s="7"/>
      <c r="F23" s="34" t="s">
        <v>23</v>
      </c>
      <c r="G23" s="52">
        <v>10</v>
      </c>
      <c r="H23" s="49">
        <f>ROUND((SUM(H9:H12))*G23%,0)</f>
        <v>54634</v>
      </c>
      <c r="I23" s="10" t="s">
        <v>20</v>
      </c>
    </row>
    <row r="24" spans="2:13" s="2" customFormat="1" ht="18.000000" customHeight="1">
      <c r="B24" s="47" t="s">
        <v>17</v>
      </c>
      <c r="C24" s="34"/>
      <c r="D24" s="48"/>
      <c r="E24" s="7"/>
      <c r="F24" s="34" t="s">
        <v>23</v>
      </c>
      <c r="G24" s="53">
        <v>5</v>
      </c>
      <c r="H24" s="49">
        <f>ROUND(H8*G24%,0)</f>
        <v>54634</v>
      </c>
      <c r="I24" s="10" t="s">
        <v>75</v>
      </c>
    </row>
    <row r="25" spans="2:13" s="2" customFormat="1" ht="18.000000" customHeight="1">
      <c r="B25" s="56" t="s">
        <v>18</v>
      </c>
      <c r="C25" s="54"/>
      <c r="D25" s="50"/>
      <c r="E25" s="57">
        <v>30000</v>
      </c>
      <c r="F25" s="51" t="s">
        <v>0</v>
      </c>
      <c r="G25" s="58">
        <v>1</v>
      </c>
      <c r="H25" s="59">
        <f>INT(G25*E25)</f>
        <v>30000</v>
      </c>
      <c r="I25" s="8"/>
    </row>
    <row r="26" spans="2:13" s="2" customFormat="1" ht="28.000000" customHeight="1">
      <c r="B26" s="340" t="s">
        <v>19</v>
      </c>
      <c r="C26" s="341"/>
      <c r="D26" s="14"/>
      <c r="E26" s="60"/>
      <c r="F26" s="16"/>
      <c r="G26" s="16"/>
      <c r="H26" s="23">
        <f>INT(SUM(H8,H17,H18,H19)*0)</f>
        <v>0</v>
      </c>
      <c r="I26" s="62" t="s">
        <v>32</v>
      </c>
    </row>
    <row r="27" spans="2:13" s="2" customFormat="1" ht="28.000000" customHeight="1">
      <c r="B27" s="342" t="s">
        <v>189</v>
      </c>
      <c r="C27" s="343"/>
      <c r="D27" s="344" t="s">
        <v>25</v>
      </c>
      <c r="E27" s="344"/>
      <c r="F27" s="344"/>
      <c r="G27" s="344"/>
      <c r="H27" s="67">
        <f>(SUM(H8,H17,H18,H19,H26))</f>
        <v>1541419</v>
      </c>
      <c r="I27" s="63"/>
    </row>
    <row r="28" spans="2:13" s="2" customFormat="1" ht="18.000000" customHeight="1">
      <c r="B28" s="345" t="s">
        <v>33</v>
      </c>
      <c r="C28" s="346"/>
      <c r="D28" s="344"/>
      <c r="E28" s="344"/>
      <c r="F28" s="344"/>
      <c r="G28" s="344"/>
      <c r="H28" s="67">
        <v>41419</v>
      </c>
      <c r="I28" s="64"/>
    </row>
    <row r="29" spans="2:13" s="2" customFormat="1" ht="18.000000" customHeight="1">
      <c r="B29" s="347" t="s">
        <v>31</v>
      </c>
      <c r="C29" s="348"/>
      <c r="D29" s="349"/>
      <c r="E29" s="349"/>
      <c r="F29" s="349"/>
      <c r="G29" s="349"/>
      <c r="H29" s="69">
        <f>H27-H28</f>
        <v>1500000</v>
      </c>
      <c r="I29" s="70"/>
    </row>
    <row r="30" spans="2:13" s="2" customFormat="1" ht="18.000000" customHeight="1">
      <c r="B30" s="345" t="s">
        <v>2</v>
      </c>
      <c r="C30" s="346"/>
      <c r="D30" s="344"/>
      <c r="E30" s="344"/>
      <c r="F30" s="344"/>
      <c r="G30" s="344"/>
      <c r="H30" s="71" t="s">
        <v>37</v>
      </c>
      <c r="I30" s="64"/>
    </row>
    <row r="31" spans="2:13" s="2" customFormat="1" ht="28.000000" customHeight="1">
      <c r="B31" s="350" t="s">
        <v>9</v>
      </c>
      <c r="C31" s="351"/>
      <c r="D31" s="352"/>
      <c r="E31" s="352"/>
      <c r="F31" s="352"/>
      <c r="G31" s="352"/>
      <c r="H31" s="65">
        <f>H29</f>
        <v>1500000</v>
      </c>
      <c r="I31" s="66" t="s">
        <v>36</v>
      </c>
    </row>
    <row r="32" spans="2:13" s="6" customFormat="1" ht="23.000000" customHeight="1">
      <c r="B32" s="353"/>
      <c r="C32" s="354"/>
      <c r="D32" s="359" t="s">
        <v>38</v>
      </c>
      <c r="E32" s="359"/>
      <c r="F32" s="359"/>
      <c r="G32" s="359"/>
      <c r="H32" s="359"/>
      <c r="I32" s="75"/>
    </row>
    <row r="33" spans="2:9" s="6" customFormat="1" ht="23.000000" customHeight="1">
      <c r="B33" s="355"/>
      <c r="C33" s="356"/>
      <c r="D33" s="360" t="s">
        <v>215</v>
      </c>
      <c r="E33" s="361"/>
      <c r="F33" s="361"/>
      <c r="G33" s="361"/>
      <c r="H33" s="361"/>
      <c r="I33" s="73" t="s">
        <v>39</v>
      </c>
    </row>
    <row r="34" spans="2:9" s="6" customFormat="1" ht="23.000000" customHeight="1">
      <c r="B34" s="355"/>
      <c r="C34" s="356"/>
      <c r="D34" s="362" t="s">
        <v>40</v>
      </c>
      <c r="E34" s="362"/>
      <c r="F34" s="362"/>
      <c r="G34" s="362"/>
      <c r="H34" s="362"/>
      <c r="I34" s="73" t="s">
        <v>41</v>
      </c>
    </row>
    <row r="35" spans="2:9" s="6" customFormat="1" ht="23.000000" customHeight="1">
      <c r="B35" s="355"/>
      <c r="C35" s="356"/>
      <c r="D35" s="361" t="s">
        <v>42</v>
      </c>
      <c r="E35" s="361"/>
      <c r="F35" s="361"/>
      <c r="G35" s="361"/>
      <c r="H35" s="361"/>
      <c r="I35" s="73" t="s">
        <v>43</v>
      </c>
    </row>
    <row r="36" spans="2:9" s="6" customFormat="1" ht="23.000000" customHeight="1">
      <c r="B36" s="357"/>
      <c r="C36" s="358"/>
      <c r="D36" s="363" t="s">
        <v>44</v>
      </c>
      <c r="E36" s="363"/>
      <c r="F36" s="363"/>
      <c r="G36" s="363"/>
      <c r="H36" s="363"/>
      <c r="I36" s="74" t="s">
        <v>45</v>
      </c>
    </row>
  </sheetData>
  <mergeCells count="31">
    <mergeCell ref="B1:I1"/>
    <mergeCell ref="H2:I2"/>
    <mergeCell ref="B3:C3"/>
    <mergeCell ref="D3:I3"/>
    <mergeCell ref="B4:C4"/>
    <mergeCell ref="D4:I4"/>
    <mergeCell ref="B5:C5"/>
    <mergeCell ref="D5:I5"/>
    <mergeCell ref="B6:I6"/>
    <mergeCell ref="B7:C7"/>
    <mergeCell ref="B8:C8"/>
    <mergeCell ref="B17:C17"/>
    <mergeCell ref="B18:C18"/>
    <mergeCell ref="B19:C19"/>
    <mergeCell ref="B26:C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B32:C36"/>
    <mergeCell ref="D32:H32"/>
    <mergeCell ref="D33:H33"/>
    <mergeCell ref="D34:H34"/>
    <mergeCell ref="D35:H35"/>
    <mergeCell ref="D36:H36"/>
  </mergeCells>
  <phoneticPr fontId="1" type="noConversion"/>
  <printOptions horizontalCentered="1" verticalCentered="1"/>
  <pageMargins left="0.79" right="0.79" top="0.59" bottom="0.39" header="0.31" footer="0.31"/>
  <pageSetup paperSize="9" scale="90" orientation="portrait"/>
  <colBreaks count="2" manualBreakCount="2">
    <brk id="9" max="35" man="1"/>
    <brk id="9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92d050"/>
  </sheetPr>
  <dimension ref="B1:U160"/>
  <sheetViews>
    <sheetView topLeftCell="A152" tabSelected="1" view="pageBreakPreview" zoomScaleNormal="100" zoomScaleSheetLayoutView="100" workbookViewId="0">
      <selection activeCell="R156" sqref="R156:U156"/>
    </sheetView>
  </sheetViews>
  <sheetFormatPr defaultColWidth="8.83203125" defaultRowHeight="13.500000"/>
  <cols>
    <col min="2" max="6" width="4.44944451" customWidth="1" outlineLevel="0"/>
    <col min="7" max="7" style="11" width="4.44944451" customWidth="1" outlineLevel="0"/>
    <col min="8" max="9" style="76" width="4.44944451" customWidth="1" outlineLevel="0"/>
    <col min="10" max="10" width="4.44944451" customWidth="1" outlineLevel="0"/>
    <col min="11" max="11" style="9" width="4.44944451" customWidth="1" outlineLevel="0"/>
    <col min="12" max="21" width="4.44944451" customWidth="1" outlineLevel="0"/>
    <col min="250" max="255" width="3.78277776" customWidth="1" outlineLevel="0"/>
    <col min="256" max="256" width="5.78277800" customWidth="1" outlineLevel="0"/>
    <col min="257" max="269" width="3.78277776" customWidth="1" outlineLevel="0"/>
    <col min="506" max="511" width="3.78277776" customWidth="1" outlineLevel="0"/>
    <col min="512" max="512" width="5.78277800" customWidth="1" outlineLevel="0"/>
    <col min="513" max="525" width="3.78277776" customWidth="1" outlineLevel="0"/>
    <col min="762" max="767" width="3.78277776" customWidth="1" outlineLevel="0"/>
    <col min="768" max="768" width="5.78277800" customWidth="1" outlineLevel="0"/>
    <col min="769" max="781" width="3.78277776" customWidth="1" outlineLevel="0"/>
    <col min="1018" max="1023" width="3.78277776" customWidth="1" outlineLevel="0"/>
    <col min="1024" max="1024" width="5.78277800" customWidth="1" outlineLevel="0"/>
    <col min="1025" max="1037" width="3.78277776" customWidth="1" outlineLevel="0"/>
    <col min="1274" max="1279" width="3.78277776" customWidth="1" outlineLevel="0"/>
    <col min="1280" max="1280" width="5.78277800" customWidth="1" outlineLevel="0"/>
    <col min="1281" max="1293" width="3.78277776" customWidth="1" outlineLevel="0"/>
    <col min="1530" max="1535" width="3.78277776" customWidth="1" outlineLevel="0"/>
    <col min="1536" max="1536" width="5.78277800" customWidth="1" outlineLevel="0"/>
    <col min="1537" max="1549" width="3.78277776" customWidth="1" outlineLevel="0"/>
    <col min="1786" max="1791" width="3.78277776" customWidth="1" outlineLevel="0"/>
    <col min="1792" max="1792" width="5.78277800" customWidth="1" outlineLevel="0"/>
    <col min="1793" max="1805" width="3.78277776" customWidth="1" outlineLevel="0"/>
    <col min="2042" max="2047" width="3.78277776" customWidth="1" outlineLevel="0"/>
    <col min="2048" max="2048" width="5.78277800" customWidth="1" outlineLevel="0"/>
    <col min="2049" max="2061" width="3.78277776" customWidth="1" outlineLevel="0"/>
    <col min="2298" max="2303" width="3.78277776" customWidth="1" outlineLevel="0"/>
    <col min="2304" max="2304" width="5.78277800" customWidth="1" outlineLevel="0"/>
    <col min="2305" max="2317" width="3.78277776" customWidth="1" outlineLevel="0"/>
    <col min="2554" max="2559" width="3.78277776" customWidth="1" outlineLevel="0"/>
    <col min="2560" max="2560" width="5.78277800" customWidth="1" outlineLevel="0"/>
    <col min="2561" max="2573" width="3.78277776" customWidth="1" outlineLevel="0"/>
    <col min="2810" max="2815" width="3.78277776" customWidth="1" outlineLevel="0"/>
    <col min="2816" max="2816" width="5.78277800" customWidth="1" outlineLevel="0"/>
    <col min="2817" max="2829" width="3.78277776" customWidth="1" outlineLevel="0"/>
    <col min="3066" max="3071" width="3.78277776" customWidth="1" outlineLevel="0"/>
    <col min="3072" max="3072" width="5.78277800" customWidth="1" outlineLevel="0"/>
    <col min="3073" max="3085" width="3.78277776" customWidth="1" outlineLevel="0"/>
    <col min="3322" max="3327" width="3.78277776" customWidth="1" outlineLevel="0"/>
    <col min="3328" max="3328" width="5.78277800" customWidth="1" outlineLevel="0"/>
    <col min="3329" max="3341" width="3.78277776" customWidth="1" outlineLevel="0"/>
    <col min="3578" max="3583" width="3.78277776" customWidth="1" outlineLevel="0"/>
    <col min="3584" max="3584" width="5.78277800" customWidth="1" outlineLevel="0"/>
    <col min="3585" max="3597" width="3.78277776" customWidth="1" outlineLevel="0"/>
    <col min="3834" max="3839" width="3.78277776" customWidth="1" outlineLevel="0"/>
    <col min="3840" max="3840" width="5.78277800" customWidth="1" outlineLevel="0"/>
    <col min="3841" max="3853" width="3.78277776" customWidth="1" outlineLevel="0"/>
    <col min="4090" max="4095" width="3.78277776" customWidth="1" outlineLevel="0"/>
    <col min="4096" max="4096" width="5.78277800" customWidth="1" outlineLevel="0"/>
    <col min="4097" max="4109" width="3.78277776" customWidth="1" outlineLevel="0"/>
    <col min="4346" max="4351" width="3.78277776" customWidth="1" outlineLevel="0"/>
    <col min="4352" max="4352" width="5.78277800" customWidth="1" outlineLevel="0"/>
    <col min="4353" max="4365" width="3.78277776" customWidth="1" outlineLevel="0"/>
    <col min="4602" max="4607" width="3.78277776" customWidth="1" outlineLevel="0"/>
    <col min="4608" max="4608" width="5.78277800" customWidth="1" outlineLevel="0"/>
    <col min="4609" max="4621" width="3.78277776" customWidth="1" outlineLevel="0"/>
    <col min="4858" max="4863" width="3.78277776" customWidth="1" outlineLevel="0"/>
    <col min="4864" max="4864" width="5.78277800" customWidth="1" outlineLevel="0"/>
    <col min="4865" max="4877" width="3.78277776" customWidth="1" outlineLevel="0"/>
    <col min="5114" max="5119" width="3.78277776" customWidth="1" outlineLevel="0"/>
    <col min="5120" max="5120" width="5.78277800" customWidth="1" outlineLevel="0"/>
    <col min="5121" max="5133" width="3.78277776" customWidth="1" outlineLevel="0"/>
    <col min="5370" max="5375" width="3.78277776" customWidth="1" outlineLevel="0"/>
    <col min="5376" max="5376" width="5.78277800" customWidth="1" outlineLevel="0"/>
    <col min="5377" max="5389" width="3.78277776" customWidth="1" outlineLevel="0"/>
    <col min="5626" max="5631" width="3.78277776" customWidth="1" outlineLevel="0"/>
    <col min="5632" max="5632" width="5.78277800" customWidth="1" outlineLevel="0"/>
    <col min="5633" max="5645" width="3.78277776" customWidth="1" outlineLevel="0"/>
    <col min="5882" max="5887" width="3.78277776" customWidth="1" outlineLevel="0"/>
    <col min="5888" max="5888" width="5.78277800" customWidth="1" outlineLevel="0"/>
    <col min="5889" max="5901" width="3.78277776" customWidth="1" outlineLevel="0"/>
    <col min="6138" max="6143" width="3.78277776" customWidth="1" outlineLevel="0"/>
    <col min="6144" max="6144" width="5.78277800" customWidth="1" outlineLevel="0"/>
    <col min="6145" max="6157" width="3.78277776" customWidth="1" outlineLevel="0"/>
    <col min="6394" max="6399" width="3.78277776" customWidth="1" outlineLevel="0"/>
    <col min="6400" max="6400" width="5.78277800" customWidth="1" outlineLevel="0"/>
    <col min="6401" max="6413" width="3.78277776" customWidth="1" outlineLevel="0"/>
    <col min="6650" max="6655" width="3.78277776" customWidth="1" outlineLevel="0"/>
    <col min="6656" max="6656" width="5.78277800" customWidth="1" outlineLevel="0"/>
    <col min="6657" max="6669" width="3.78277776" customWidth="1" outlineLevel="0"/>
    <col min="6906" max="6911" width="3.78277776" customWidth="1" outlineLevel="0"/>
    <col min="6912" max="6912" width="5.78277800" customWidth="1" outlineLevel="0"/>
    <col min="6913" max="6925" width="3.78277776" customWidth="1" outlineLevel="0"/>
    <col min="7162" max="7167" width="3.78277776" customWidth="1" outlineLevel="0"/>
    <col min="7168" max="7168" width="5.78277800" customWidth="1" outlineLevel="0"/>
    <col min="7169" max="7181" width="3.78277776" customWidth="1" outlineLevel="0"/>
    <col min="7418" max="7423" width="3.78277776" customWidth="1" outlineLevel="0"/>
    <col min="7424" max="7424" width="5.78277800" customWidth="1" outlineLevel="0"/>
    <col min="7425" max="7437" width="3.78277776" customWidth="1" outlineLevel="0"/>
    <col min="7674" max="7679" width="3.78277776" customWidth="1" outlineLevel="0"/>
    <col min="7680" max="7680" width="5.78277800" customWidth="1" outlineLevel="0"/>
    <col min="7681" max="7693" width="3.78277776" customWidth="1" outlineLevel="0"/>
    <col min="7930" max="7935" width="3.78277776" customWidth="1" outlineLevel="0"/>
    <col min="7936" max="7936" width="5.78277800" customWidth="1" outlineLevel="0"/>
    <col min="7937" max="7949" width="3.78277776" customWidth="1" outlineLevel="0"/>
    <col min="8186" max="8191" width="3.78277776" customWidth="1" outlineLevel="0"/>
    <col min="8192" max="8192" width="5.78277800" customWidth="1" outlineLevel="0"/>
    <col min="8193" max="8205" width="3.78277776" customWidth="1" outlineLevel="0"/>
    <col min="8442" max="8447" width="3.78277776" customWidth="1" outlineLevel="0"/>
    <col min="8448" max="8448" width="5.78277800" customWidth="1" outlineLevel="0"/>
    <col min="8449" max="8461" width="3.78277776" customWidth="1" outlineLevel="0"/>
    <col min="8698" max="8703" width="3.78277776" customWidth="1" outlineLevel="0"/>
    <col min="8704" max="8704" width="5.78277800" customWidth="1" outlineLevel="0"/>
    <col min="8705" max="8717" width="3.78277776" customWidth="1" outlineLevel="0"/>
    <col min="8954" max="8959" width="3.78277776" customWidth="1" outlineLevel="0"/>
    <col min="8960" max="8960" width="5.78277800" customWidth="1" outlineLevel="0"/>
    <col min="8961" max="8973" width="3.78277776" customWidth="1" outlineLevel="0"/>
    <col min="9210" max="9215" width="3.78277776" customWidth="1" outlineLevel="0"/>
    <col min="9216" max="9216" width="5.78277800" customWidth="1" outlineLevel="0"/>
    <col min="9217" max="9229" width="3.78277776" customWidth="1" outlineLevel="0"/>
    <col min="9466" max="9471" width="3.78277776" customWidth="1" outlineLevel="0"/>
    <col min="9472" max="9472" width="5.78277800" customWidth="1" outlineLevel="0"/>
    <col min="9473" max="9485" width="3.78277776" customWidth="1" outlineLevel="0"/>
    <col min="9722" max="9727" width="3.78277776" customWidth="1" outlineLevel="0"/>
    <col min="9728" max="9728" width="5.78277800" customWidth="1" outlineLevel="0"/>
    <col min="9729" max="9741" width="3.78277776" customWidth="1" outlineLevel="0"/>
    <col min="9978" max="9983" width="3.78277776" customWidth="1" outlineLevel="0"/>
    <col min="9984" max="9984" width="5.78277800" customWidth="1" outlineLevel="0"/>
    <col min="9985" max="9997" width="3.78277776" customWidth="1" outlineLevel="0"/>
    <col min="10234" max="10239" width="3.78277776" customWidth="1" outlineLevel="0"/>
    <col min="10240" max="10240" width="5.78277800" customWidth="1" outlineLevel="0"/>
    <col min="10241" max="10253" width="3.78277776" customWidth="1" outlineLevel="0"/>
    <col min="10490" max="10495" width="3.78277776" customWidth="1" outlineLevel="0"/>
    <col min="10496" max="10496" width="5.78277800" customWidth="1" outlineLevel="0"/>
    <col min="10497" max="10509" width="3.78277776" customWidth="1" outlineLevel="0"/>
    <col min="10746" max="10751" width="3.78277776" customWidth="1" outlineLevel="0"/>
    <col min="10752" max="10752" width="5.78277800" customWidth="1" outlineLevel="0"/>
    <col min="10753" max="10765" width="3.78277776" customWidth="1" outlineLevel="0"/>
    <col min="11002" max="11007" width="3.78277776" customWidth="1" outlineLevel="0"/>
    <col min="11008" max="11008" width="5.78277800" customWidth="1" outlineLevel="0"/>
    <col min="11009" max="11021" width="3.78277776" customWidth="1" outlineLevel="0"/>
    <col min="11258" max="11263" width="3.78277776" customWidth="1" outlineLevel="0"/>
    <col min="11264" max="11264" width="5.78277800" customWidth="1" outlineLevel="0"/>
    <col min="11265" max="11277" width="3.78277776" customWidth="1" outlineLevel="0"/>
    <col min="11514" max="11519" width="3.78277776" customWidth="1" outlineLevel="0"/>
    <col min="11520" max="11520" width="5.78277800" customWidth="1" outlineLevel="0"/>
    <col min="11521" max="11533" width="3.78277776" customWidth="1" outlineLevel="0"/>
    <col min="11770" max="11775" width="3.78277776" customWidth="1" outlineLevel="0"/>
    <col min="11776" max="11776" width="5.78277800" customWidth="1" outlineLevel="0"/>
    <col min="11777" max="11789" width="3.78277776" customWidth="1" outlineLevel="0"/>
    <col min="12026" max="12031" width="3.78277776" customWidth="1" outlineLevel="0"/>
    <col min="12032" max="12032" width="5.78277800" customWidth="1" outlineLevel="0"/>
    <col min="12033" max="12045" width="3.78277776" customWidth="1" outlineLevel="0"/>
    <col min="12282" max="12287" width="3.78277776" customWidth="1" outlineLevel="0"/>
    <col min="12288" max="12288" width="5.78277800" customWidth="1" outlineLevel="0"/>
    <col min="12289" max="12301" width="3.78277776" customWidth="1" outlineLevel="0"/>
    <col min="12538" max="12543" width="3.78277776" customWidth="1" outlineLevel="0"/>
    <col min="12544" max="12544" width="5.78277800" customWidth="1" outlineLevel="0"/>
    <col min="12545" max="12557" width="3.78277776" customWidth="1" outlineLevel="0"/>
    <col min="12794" max="12799" width="3.78277776" customWidth="1" outlineLevel="0"/>
    <col min="12800" max="12800" width="5.78277800" customWidth="1" outlineLevel="0"/>
    <col min="12801" max="12813" width="3.78277776" customWidth="1" outlineLevel="0"/>
    <col min="13050" max="13055" width="3.78277776" customWidth="1" outlineLevel="0"/>
    <col min="13056" max="13056" width="5.78277800" customWidth="1" outlineLevel="0"/>
    <col min="13057" max="13069" width="3.78277776" customWidth="1" outlineLevel="0"/>
    <col min="13306" max="13311" width="3.78277776" customWidth="1" outlineLevel="0"/>
    <col min="13312" max="13312" width="5.78277800" customWidth="1" outlineLevel="0"/>
    <col min="13313" max="13325" width="3.78277776" customWidth="1" outlineLevel="0"/>
    <col min="13562" max="13567" width="3.78277776" customWidth="1" outlineLevel="0"/>
    <col min="13568" max="13568" width="5.78277800" customWidth="1" outlineLevel="0"/>
    <col min="13569" max="13581" width="3.78277776" customWidth="1" outlineLevel="0"/>
    <col min="13818" max="13823" width="3.78277776" customWidth="1" outlineLevel="0"/>
    <col min="13824" max="13824" width="5.78277800" customWidth="1" outlineLevel="0"/>
    <col min="13825" max="13837" width="3.78277776" customWidth="1" outlineLevel="0"/>
    <col min="14074" max="14079" width="3.78277776" customWidth="1" outlineLevel="0"/>
    <col min="14080" max="14080" width="5.78277800" customWidth="1" outlineLevel="0"/>
    <col min="14081" max="14093" width="3.78277776" customWidth="1" outlineLevel="0"/>
    <col min="14330" max="14335" width="3.78277776" customWidth="1" outlineLevel="0"/>
    <col min="14336" max="14336" width="5.78277800" customWidth="1" outlineLevel="0"/>
    <col min="14337" max="14349" width="3.78277776" customWidth="1" outlineLevel="0"/>
    <col min="14586" max="14591" width="3.78277776" customWidth="1" outlineLevel="0"/>
    <col min="14592" max="14592" width="5.78277800" customWidth="1" outlineLevel="0"/>
    <col min="14593" max="14605" width="3.78277776" customWidth="1" outlineLevel="0"/>
    <col min="14842" max="14847" width="3.78277776" customWidth="1" outlineLevel="0"/>
    <col min="14848" max="14848" width="5.78277800" customWidth="1" outlineLevel="0"/>
    <col min="14849" max="14861" width="3.78277776" customWidth="1" outlineLevel="0"/>
    <col min="15098" max="15103" width="3.78277776" customWidth="1" outlineLevel="0"/>
    <col min="15104" max="15104" width="5.78277800" customWidth="1" outlineLevel="0"/>
    <col min="15105" max="15117" width="3.78277776" customWidth="1" outlineLevel="0"/>
    <col min="15354" max="15359" width="3.78277776" customWidth="1" outlineLevel="0"/>
    <col min="15360" max="15360" width="5.78277800" customWidth="1" outlineLevel="0"/>
    <col min="15361" max="15373" width="3.78277776" customWidth="1" outlineLevel="0"/>
    <col min="15610" max="15615" width="3.78277776" customWidth="1" outlineLevel="0"/>
    <col min="15616" max="15616" width="5.78277800" customWidth="1" outlineLevel="0"/>
    <col min="15617" max="15629" width="3.78277776" customWidth="1" outlineLevel="0"/>
    <col min="15866" max="15871" width="3.78277776" customWidth="1" outlineLevel="0"/>
    <col min="15872" max="15872" width="5.78277800" customWidth="1" outlineLevel="0"/>
    <col min="15873" max="15885" width="3.78277776" customWidth="1" outlineLevel="0"/>
    <col min="16122" max="16127" width="3.78277776" customWidth="1" outlineLevel="0"/>
    <col min="16128" max="16128" width="5.78277800" customWidth="1" outlineLevel="0"/>
    <col min="16129" max="16141" width="3.78277776" customWidth="1" outlineLevel="0"/>
  </cols>
  <sheetData>
    <row r="1" spans="2:21">
      <c r="B1" s="107"/>
      <c r="C1" s="107"/>
    </row>
    <row r="2" spans="2:21">
      <c r="B2" s="107"/>
      <c r="C2" s="107"/>
    </row>
    <row r="3" spans="2:21">
      <c r="B3" s="107"/>
      <c r="C3" s="107"/>
    </row>
    <row r="4" spans="2:21">
      <c r="B4" s="107"/>
      <c r="C4" s="107"/>
    </row>
    <row r="5" spans="2:21">
      <c r="B5" s="107"/>
      <c r="C5" s="107"/>
    </row>
    <row r="6" spans="2:21">
      <c r="B6" s="107"/>
      <c r="C6" s="107"/>
    </row>
    <row r="7" spans="2:21" ht="4.000000" customHeight="1">
      <c r="B7" s="157" t="s">
        <v>46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</row>
    <row r="8" spans="2:21" ht="66.000000" customHeight="1">
      <c r="B8" s="159" t="s">
        <v>170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</row>
    <row r="9" spans="2:21" ht="44.000000" customHeight="1">
      <c r="B9" s="160" t="str">
        <f>갑지!H8</f>
        <v>효성뉴서울5차아파트</v>
      </c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</row>
    <row r="10" spans="2:21" ht="4.000000" customHeight="1">
      <c r="B10" s="161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</row>
    <row r="11" spans="2:21" ht="40.000000" customHeight="1">
      <c r="B11" s="125"/>
      <c r="C11" s="125"/>
    </row>
    <row r="12" spans="2:21" ht="40.000000" customHeight="1">
      <c r="B12" s="125"/>
      <c r="C12" s="125"/>
    </row>
    <row r="13" spans="2:21" ht="40.000000" customHeight="1">
      <c r="B13" s="125"/>
      <c r="C13" s="125"/>
    </row>
    <row r="14" spans="2:21" ht="40.000000" customHeight="1">
      <c r="B14" s="125"/>
      <c r="C14" s="125"/>
    </row>
    <row r="15" spans="2:21" ht="40.000000" customHeight="1">
      <c r="B15" s="125"/>
      <c r="C15" s="125"/>
    </row>
    <row r="16" spans="2:21" ht="22.500000">
      <c r="B16" s="163" t="str">
        <f>갑지!H10</f>
        <v>2026년 상반기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</row>
    <row r="17" spans="2:21" ht="40.000000" customHeight="1">
      <c r="B17" s="125"/>
      <c r="C17" s="125"/>
    </row>
    <row r="18" spans="2:21" ht="40.000000" customHeight="1">
      <c r="B18" s="125"/>
      <c r="C18" s="125"/>
    </row>
    <row r="19" spans="2:21" ht="40.000000" customHeight="1">
      <c r="B19" s="125"/>
      <c r="C19" s="125"/>
    </row>
    <row r="20" spans="2:21" ht="40.000000" customHeight="1">
      <c r="B20" s="125"/>
      <c r="C20" s="125"/>
    </row>
    <row r="21" spans="2:21" ht="40.000000" customHeight="1">
      <c r="B21" s="107"/>
      <c r="C21" s="107"/>
    </row>
    <row r="22" spans="2:21" ht="53.250000" customHeight="1">
      <c r="D22" s="124"/>
      <c r="E22" s="124"/>
      <c r="I22" s="164" t="s">
        <v>169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</row>
    <row r="23" spans="2:21" ht="24.000000" customHeight="1">
      <c r="D23" s="120"/>
      <c r="E23" s="120"/>
      <c r="F23" s="120"/>
      <c r="I23" s="116" t="s">
        <v>47</v>
      </c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</row>
    <row r="24" spans="2:21" ht="24.000000" customHeight="1">
      <c r="D24" s="120"/>
      <c r="E24" s="120"/>
      <c r="F24" s="120"/>
      <c r="I24" s="116" t="s">
        <v>168</v>
      </c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</row>
    <row r="25" spans="2:21" ht="24.000000" customHeight="1">
      <c r="D25" s="120"/>
      <c r="E25" s="120"/>
      <c r="F25" s="120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</row>
    <row r="26" spans="2:21" ht="24.000000" customHeight="1">
      <c r="D26" s="120"/>
      <c r="E26" s="120"/>
      <c r="F26" s="120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</row>
    <row r="27" spans="2:21" ht="43.500000" customHeight="1">
      <c r="B27" s="165" t="s">
        <v>167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7"/>
    </row>
    <row r="28" spans="2:21" ht="24.950000" customHeight="1">
      <c r="B28" s="168" t="s">
        <v>166</v>
      </c>
      <c r="C28" s="169"/>
      <c r="D28" s="172" t="s">
        <v>48</v>
      </c>
      <c r="E28" s="172"/>
      <c r="F28" s="172"/>
      <c r="G28" s="173" t="str">
        <f>B9</f>
        <v>효성뉴서울5차아파트</v>
      </c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4"/>
    </row>
    <row r="29" spans="2:21" ht="24.950000" customHeight="1">
      <c r="B29" s="170"/>
      <c r="C29" s="171"/>
      <c r="D29" s="154" t="s">
        <v>165</v>
      </c>
      <c r="E29" s="154"/>
      <c r="F29" s="154"/>
      <c r="G29" s="175" t="s">
        <v>197</v>
      </c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6"/>
    </row>
    <row r="30" spans="2:21" ht="24.950000" customHeight="1">
      <c r="B30" s="170"/>
      <c r="C30" s="171"/>
      <c r="D30" s="154"/>
      <c r="E30" s="154"/>
      <c r="F30" s="154"/>
      <c r="G30" s="175" t="s">
        <v>198</v>
      </c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6"/>
    </row>
    <row r="31" spans="2:21" ht="24.950000" customHeight="1">
      <c r="B31" s="170"/>
      <c r="C31" s="171"/>
      <c r="D31" s="154"/>
      <c r="E31" s="154"/>
      <c r="F31" s="154"/>
      <c r="G31" s="175" t="s">
        <v>199</v>
      </c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6"/>
    </row>
    <row r="32" spans="2:21" ht="24.950000" customHeight="1">
      <c r="B32" s="170"/>
      <c r="C32" s="171"/>
      <c r="D32" s="154"/>
      <c r="E32" s="154"/>
      <c r="F32" s="154"/>
      <c r="G32" s="175" t="s">
        <v>200</v>
      </c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6"/>
    </row>
    <row r="33" spans="2:21" ht="24.950000" customHeight="1">
      <c r="B33" s="170"/>
      <c r="C33" s="171"/>
      <c r="D33" s="154"/>
      <c r="E33" s="154"/>
      <c r="F33" s="154"/>
      <c r="G33" s="177" t="s">
        <v>201</v>
      </c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8"/>
    </row>
    <row r="34" spans="2:21" ht="24.950000" customHeight="1">
      <c r="B34" s="199" t="s">
        <v>164</v>
      </c>
      <c r="C34" s="200"/>
      <c r="D34" s="154" t="s">
        <v>163</v>
      </c>
      <c r="E34" s="154"/>
      <c r="F34" s="154"/>
      <c r="G34" s="183" t="str">
        <f>G28&amp;" 정기안전점검 용역"</f>
        <v>효성뉴서울5차아파트 정기안전점검 용역</v>
      </c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80"/>
    </row>
    <row r="35" spans="2:21" ht="24.950000" customHeight="1">
      <c r="B35" s="201"/>
      <c r="C35" s="202"/>
      <c r="D35" s="154" t="s">
        <v>162</v>
      </c>
      <c r="E35" s="154"/>
      <c r="F35" s="154"/>
      <c r="G35" s="155" t="str">
        <f>갑지!N31&amp;" - VAT별도"</f>
        <v>일금일백오십만원정 (₩1,500,000) - VAT별도</v>
      </c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79"/>
      <c r="S35" s="179"/>
      <c r="T35" s="179"/>
      <c r="U35" s="180"/>
    </row>
    <row r="36" spans="2:21" ht="24.950000" customHeight="1">
      <c r="B36" s="201"/>
      <c r="C36" s="202"/>
      <c r="D36" s="154" t="s">
        <v>161</v>
      </c>
      <c r="E36" s="154"/>
      <c r="F36" s="154"/>
      <c r="G36" s="152" t="str">
        <f>G35</f>
        <v>일금일백오십만원정 (₩1,500,000) - VAT별도</v>
      </c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0"/>
      <c r="S36" s="150"/>
      <c r="T36" s="150"/>
      <c r="U36" s="151"/>
    </row>
    <row r="37" spans="2:21" ht="24.950000" customHeight="1">
      <c r="B37" s="201"/>
      <c r="C37" s="202"/>
      <c r="D37" s="154" t="s">
        <v>160</v>
      </c>
      <c r="E37" s="154"/>
      <c r="F37" s="154"/>
      <c r="G37" s="181" t="s">
        <v>159</v>
      </c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2"/>
    </row>
    <row r="38" spans="2:21" ht="24.950000" customHeight="1">
      <c r="B38" s="201"/>
      <c r="C38" s="202"/>
      <c r="D38" s="154" t="s">
        <v>158</v>
      </c>
      <c r="E38" s="154"/>
      <c r="F38" s="154"/>
      <c r="G38" s="181" t="s">
        <v>221</v>
      </c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2"/>
    </row>
    <row r="39" spans="2:21" ht="24.950000" customHeight="1">
      <c r="B39" s="201"/>
      <c r="C39" s="202"/>
      <c r="D39" s="154" t="s">
        <v>157</v>
      </c>
      <c r="E39" s="154"/>
      <c r="F39" s="154"/>
      <c r="G39" s="181" t="str">
        <f>갑지!N22</f>
        <v>인천 계양구 아나지로 199 (효성동)</v>
      </c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2"/>
    </row>
    <row r="40" spans="2:21" ht="24.950000" customHeight="1">
      <c r="B40" s="201"/>
      <c r="C40" s="202"/>
      <c r="D40" s="154"/>
      <c r="E40" s="154"/>
      <c r="F40" s="154"/>
      <c r="G40" s="208" t="s">
        <v>172</v>
      </c>
      <c r="H40" s="149"/>
      <c r="I40" s="149" t="s">
        <v>218</v>
      </c>
      <c r="J40" s="149"/>
      <c r="K40" s="149"/>
      <c r="L40" s="149"/>
      <c r="M40" s="149"/>
      <c r="N40" s="149" t="s">
        <v>171</v>
      </c>
      <c r="O40" s="149" t="s">
        <v>173</v>
      </c>
      <c r="P40" s="149"/>
      <c r="Q40" s="149" t="s">
        <v>217</v>
      </c>
      <c r="R40" s="149"/>
      <c r="S40" s="149"/>
      <c r="T40" s="149"/>
      <c r="U40" s="209"/>
    </row>
    <row r="41" spans="2:21" ht="24.950000" customHeight="1">
      <c r="B41" s="201"/>
      <c r="C41" s="202"/>
      <c r="D41" s="205" t="s">
        <v>156</v>
      </c>
      <c r="E41" s="206"/>
      <c r="F41" s="207"/>
      <c r="G41" s="190" t="s">
        <v>155</v>
      </c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2"/>
    </row>
    <row r="42" spans="2:21" ht="24.950000" customHeight="1">
      <c r="B42" s="203"/>
      <c r="C42" s="204"/>
      <c r="D42" s="205" t="s">
        <v>154</v>
      </c>
      <c r="E42" s="206"/>
      <c r="F42" s="207"/>
      <c r="G42" s="190" t="s">
        <v>181</v>
      </c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2"/>
    </row>
    <row r="43" spans="2:21" ht="24.950000" hidden="1" customHeight="1">
      <c r="B43" s="144"/>
      <c r="C43" s="145"/>
      <c r="D43" s="146"/>
      <c r="E43" s="147"/>
      <c r="F43" s="148"/>
      <c r="G43" s="193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5"/>
    </row>
    <row r="44" spans="2:21">
      <c r="B44" s="196"/>
      <c r="C44" s="197"/>
      <c r="D44" s="197"/>
      <c r="E44" s="197"/>
      <c r="U44" s="5"/>
    </row>
    <row r="45" spans="2:21" ht="55.500000" customHeight="1">
      <c r="B45" s="121" t="s">
        <v>153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98"/>
    </row>
    <row r="46" spans="2:21">
      <c r="B46" s="122"/>
      <c r="C46" s="126"/>
      <c r="D46" s="126"/>
      <c r="E46" s="126"/>
      <c r="U46" s="5"/>
    </row>
    <row r="47" spans="2:21" ht="24.950000" customHeight="1">
      <c r="B47" s="184" t="s">
        <v>49</v>
      </c>
      <c r="C47" s="123"/>
      <c r="D47" s="123"/>
      <c r="E47" s="116" t="s">
        <v>152</v>
      </c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213"/>
    </row>
    <row r="48" spans="2:21" ht="24.950000" customHeight="1">
      <c r="B48" s="121"/>
      <c r="C48" s="120"/>
      <c r="D48" s="120"/>
      <c r="E48" s="116" t="s">
        <v>151</v>
      </c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213"/>
    </row>
    <row r="49" spans="2:21" ht="24.950000" customHeight="1">
      <c r="B49" s="121"/>
      <c r="C49" s="120"/>
      <c r="D49" s="120"/>
      <c r="E49" s="116" t="s">
        <v>150</v>
      </c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213"/>
    </row>
    <row r="50" spans="2:21">
      <c r="B50" s="196"/>
      <c r="C50" s="197"/>
      <c r="D50" s="197"/>
      <c r="E50" s="197"/>
      <c r="U50" s="5"/>
    </row>
    <row r="51" spans="2:21" ht="24.950000" customHeight="1">
      <c r="B51" s="184" t="s">
        <v>50</v>
      </c>
      <c r="C51" s="123"/>
      <c r="D51" s="123"/>
      <c r="E51" s="185" t="s">
        <v>178</v>
      </c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6"/>
    </row>
    <row r="52" spans="2:21" ht="26.250000" customHeight="1">
      <c r="B52" s="187" t="s">
        <v>51</v>
      </c>
      <c r="C52" s="188"/>
      <c r="D52" s="188"/>
      <c r="E52" s="188"/>
      <c r="F52" s="188"/>
      <c r="G52" s="188"/>
      <c r="H52" s="188"/>
      <c r="I52" s="188"/>
      <c r="J52" s="188"/>
      <c r="K52" s="188"/>
      <c r="L52" s="188" t="s">
        <v>52</v>
      </c>
      <c r="M52" s="188"/>
      <c r="N52" s="188"/>
      <c r="O52" s="188"/>
      <c r="P52" s="188"/>
      <c r="Q52" s="188"/>
      <c r="R52" s="188"/>
      <c r="S52" s="188"/>
      <c r="T52" s="188"/>
      <c r="U52" s="189"/>
    </row>
    <row r="53" spans="2:21" ht="40.500000" customHeight="1">
      <c r="B53" s="187" t="s">
        <v>53</v>
      </c>
      <c r="C53" s="188"/>
      <c r="D53" s="188"/>
      <c r="E53" s="210" t="str">
        <f>B9</f>
        <v>효성뉴서울5차아파트</v>
      </c>
      <c r="F53" s="210"/>
      <c r="G53" s="210"/>
      <c r="H53" s="210"/>
      <c r="I53" s="210"/>
      <c r="J53" s="210"/>
      <c r="K53" s="210"/>
      <c r="L53" s="188" t="s">
        <v>54</v>
      </c>
      <c r="M53" s="188"/>
      <c r="N53" s="188"/>
      <c r="O53" s="211" t="s">
        <v>55</v>
      </c>
      <c r="P53" s="211"/>
      <c r="Q53" s="211"/>
      <c r="R53" s="211"/>
      <c r="S53" s="211"/>
      <c r="T53" s="211"/>
      <c r="U53" s="212"/>
    </row>
    <row r="54" spans="2:21" ht="40.500000" customHeight="1">
      <c r="B54" s="187" t="s">
        <v>149</v>
      </c>
      <c r="C54" s="188"/>
      <c r="D54" s="188"/>
      <c r="E54" s="210" t="str">
        <f>G39</f>
        <v>인천 계양구 아나지로 199 (효성동)</v>
      </c>
      <c r="F54" s="210"/>
      <c r="G54" s="210"/>
      <c r="H54" s="210"/>
      <c r="I54" s="210"/>
      <c r="J54" s="210"/>
      <c r="K54" s="210"/>
      <c r="L54" s="188" t="s">
        <v>56</v>
      </c>
      <c r="M54" s="188"/>
      <c r="N54" s="188"/>
      <c r="O54" s="214" t="s">
        <v>235</v>
      </c>
      <c r="P54" s="214"/>
      <c r="Q54" s="214"/>
      <c r="R54" s="214"/>
      <c r="S54" s="214"/>
      <c r="T54" s="214"/>
      <c r="U54" s="215"/>
    </row>
    <row r="55" spans="2:21" ht="40.500000" customHeight="1">
      <c r="B55" s="216" t="s">
        <v>148</v>
      </c>
      <c r="C55" s="217"/>
      <c r="D55" s="217"/>
      <c r="E55" s="218" t="s">
        <v>147</v>
      </c>
      <c r="F55" s="218"/>
      <c r="G55" s="218"/>
      <c r="H55" s="218"/>
      <c r="I55" s="218"/>
      <c r="J55" s="218"/>
      <c r="K55" s="218"/>
      <c r="L55" s="217" t="s">
        <v>57</v>
      </c>
      <c r="M55" s="217"/>
      <c r="N55" s="217"/>
      <c r="O55" s="219" t="s">
        <v>146</v>
      </c>
      <c r="P55" s="219"/>
      <c r="Q55" s="219"/>
      <c r="R55" s="219"/>
      <c r="S55" s="219"/>
      <c r="T55" s="219"/>
      <c r="U55" s="220"/>
    </row>
    <row r="56" spans="2:21" ht="16.500000">
      <c r="B56" s="221" t="s">
        <v>58</v>
      </c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</row>
    <row r="57" spans="2:21" ht="25.500000">
      <c r="B57" s="222" t="s">
        <v>145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</row>
    <row r="58" spans="2:21" ht="14.250000">
      <c r="B58" s="119"/>
      <c r="F58" s="11"/>
      <c r="G58" s="76"/>
      <c r="I58" s="9"/>
    </row>
    <row r="59" spans="2:21" ht="24.950000" customHeight="1">
      <c r="B59" s="224" t="s">
        <v>256</v>
      </c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</row>
    <row r="60" spans="2:21" ht="24.950000" customHeight="1">
      <c r="B60" s="370" t="s">
        <v>257</v>
      </c>
      <c r="C60" s="370"/>
      <c r="D60" s="370"/>
      <c r="E60" s="370"/>
      <c r="F60" s="370"/>
      <c r="G60" s="370"/>
      <c r="H60" s="370"/>
      <c r="I60" s="369" t="str">
        <f>B9</f>
        <v>효성뉴서울5차아파트</v>
      </c>
      <c r="J60" s="369"/>
      <c r="K60" s="369"/>
      <c r="L60" s="369"/>
      <c r="M60" s="369"/>
      <c r="N60" s="369"/>
      <c r="O60" s="369"/>
      <c r="P60" s="223" t="s">
        <v>234</v>
      </c>
      <c r="Q60" s="223"/>
      <c r="R60" s="223"/>
      <c r="S60" s="223"/>
      <c r="T60" s="223"/>
      <c r="U60" s="223"/>
    </row>
    <row r="61" spans="2:21" ht="24.950000" customHeight="1">
      <c r="B61" s="224" t="s">
        <v>233</v>
      </c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</row>
    <row r="62" spans="2:21" ht="20.000000" customHeight="1">
      <c r="B62" s="116"/>
      <c r="C62" s="116"/>
      <c r="D62" s="116"/>
      <c r="E62" s="116"/>
      <c r="F62" s="116"/>
      <c r="G62" s="116"/>
      <c r="H62" s="116"/>
      <c r="I62" s="116"/>
      <c r="J62" s="116"/>
    </row>
    <row r="63" spans="2:21" ht="20.000000" customHeight="1">
      <c r="B63" s="143" t="s">
        <v>202</v>
      </c>
      <c r="C63" s="143"/>
      <c r="D63" s="143"/>
      <c r="E63" s="143"/>
      <c r="F63" s="143"/>
      <c r="G63" s="143"/>
      <c r="H63" s="143"/>
      <c r="I63" s="143"/>
      <c r="J63" s="143"/>
    </row>
    <row r="64" spans="2:21" ht="80.000000" customHeight="1">
      <c r="C64" s="116" t="s">
        <v>192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</row>
    <row r="65" spans="2:21" ht="20.000000" customHeight="1">
      <c r="B65" s="114"/>
      <c r="F65" s="11"/>
      <c r="G65" s="76"/>
      <c r="I65" s="9"/>
    </row>
    <row r="66" spans="2:21" ht="20.000000" customHeight="1">
      <c r="B66" s="143" t="s">
        <v>203</v>
      </c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</row>
    <row r="67" spans="2:21" ht="20.000000" customHeight="1">
      <c r="C67" s="115" t="str">
        <f>"① 시설물명 : "&amp;E53</f>
        <v>① 시설물명 : 효성뉴서울5차아파트</v>
      </c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</row>
    <row r="68" spans="2:21" ht="20.000000" customHeight="1">
      <c r="C68" s="115" t="str">
        <f>"② 위      치 : "&amp;갑지!N22</f>
        <v>② 위      치 : 인천 계양구 아나지로 199 (효성동)</v>
      </c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</row>
    <row r="69" spans="2:21" ht="20.000000" customHeight="1">
      <c r="C69" s="115" t="s">
        <v>230</v>
      </c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</row>
    <row r="70" spans="2:21" ht="20.000000" customHeight="1">
      <c r="C70" s="115" t="str">
        <f>"④ 정기안전점검 대상시설물의 범위 : "&amp;갑지!N23</f>
        <v xml:space="preserve">④ 정기안전점검 대상시설물의 범위 : 아파트 6개동 648세대 (해당동 : 6개동) </v>
      </c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</row>
    <row r="71" spans="2:21" ht="20.000000" customHeight="1">
      <c r="B71" s="114"/>
      <c r="F71" s="11"/>
      <c r="G71" s="76"/>
      <c r="I71" s="9"/>
    </row>
    <row r="72" spans="2:21" ht="20.000000" customHeight="1">
      <c r="B72" s="143" t="s">
        <v>204</v>
      </c>
      <c r="C72" s="143"/>
      <c r="D72" s="143"/>
      <c r="E72" s="143"/>
      <c r="F72" s="143"/>
      <c r="G72" s="143"/>
      <c r="H72" s="143"/>
      <c r="I72" s="143"/>
      <c r="J72" s="143"/>
    </row>
    <row r="73" spans="2:21" ht="20.000000" customHeight="1">
      <c r="C73" s="117" t="s">
        <v>144</v>
      </c>
      <c r="D73" s="117"/>
      <c r="E73" s="117"/>
      <c r="F73" s="117"/>
      <c r="G73" s="117"/>
      <c r="H73" s="117"/>
      <c r="I73" s="117"/>
      <c r="J73" s="117"/>
    </row>
    <row r="74" spans="2:21" ht="40.000000" customHeight="1">
      <c r="C74" s="116" t="s">
        <v>143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</row>
    <row r="75" spans="2:21" ht="20.000000" customHeight="1">
      <c r="B75" s="114"/>
      <c r="F75" s="11"/>
      <c r="G75" s="76"/>
      <c r="I75" s="9"/>
    </row>
    <row r="76" spans="2:21" ht="20.000000" customHeight="1">
      <c r="B76" s="143" t="s">
        <v>205</v>
      </c>
      <c r="C76" s="143"/>
      <c r="D76" s="143"/>
      <c r="E76" s="143"/>
      <c r="F76" s="143"/>
      <c r="G76" s="143"/>
      <c r="H76" s="143"/>
      <c r="I76" s="143"/>
      <c r="J76" s="143"/>
    </row>
    <row r="77" spans="2:21" ht="40.000000" customHeight="1">
      <c r="C77" s="116" t="s">
        <v>142</v>
      </c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</row>
    <row r="78" spans="2:21" ht="40.000000" customHeight="1">
      <c r="B78" s="118"/>
      <c r="C78" s="116" t="s">
        <v>59</v>
      </c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</row>
    <row r="79" spans="2:21" ht="40.000000" customHeight="1">
      <c r="B79" s="77"/>
      <c r="C79" s="116" t="s">
        <v>141</v>
      </c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</row>
    <row r="80" spans="2:21" ht="20.000000" customHeight="1">
      <c r="C80" s="117"/>
      <c r="D80" s="117"/>
      <c r="E80" s="117"/>
      <c r="F80" s="117"/>
      <c r="G80" s="117"/>
      <c r="H80" s="117"/>
      <c r="I80" s="117"/>
      <c r="J80" s="117"/>
    </row>
    <row r="81" spans="2:21" ht="20.000000" customHeight="1">
      <c r="B81" s="143" t="s">
        <v>206</v>
      </c>
      <c r="C81" s="143"/>
      <c r="D81" s="143"/>
      <c r="E81" s="143"/>
      <c r="F81" s="143"/>
      <c r="G81" s="143"/>
      <c r="H81" s="143"/>
      <c r="I81" s="143"/>
      <c r="J81" s="143"/>
    </row>
    <row r="82" spans="2:21" ht="40.000000" customHeight="1">
      <c r="C82" s="116" t="s">
        <v>140</v>
      </c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</row>
    <row r="83" spans="2:21" ht="20.000000" customHeight="1"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</row>
    <row r="84" spans="2:21" ht="20.000000" customHeight="1">
      <c r="B84" s="143" t="s">
        <v>207</v>
      </c>
      <c r="C84" s="143"/>
      <c r="D84" s="143"/>
      <c r="E84" s="143"/>
      <c r="F84" s="143"/>
      <c r="G84" s="143"/>
      <c r="H84" s="143"/>
      <c r="I84" s="143"/>
      <c r="J84" s="143"/>
    </row>
    <row r="85" spans="2:21" ht="40.000000" customHeight="1">
      <c r="C85" s="116" t="s">
        <v>60</v>
      </c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</row>
    <row r="86" spans="2:21" ht="40.000000" customHeight="1">
      <c r="C86" s="116" t="s">
        <v>139</v>
      </c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</row>
    <row r="87" spans="2:21" ht="60.000000" customHeight="1">
      <c r="C87" s="116" t="s">
        <v>138</v>
      </c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2:21" ht="40.000000" customHeight="1">
      <c r="C88" s="116" t="s">
        <v>61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2:21" ht="20.000000" customHeight="1">
      <c r="B89" s="114"/>
      <c r="F89" s="11"/>
      <c r="G89" s="76"/>
      <c r="I89" s="9"/>
    </row>
    <row r="90" spans="2:21" ht="20.000000" customHeight="1">
      <c r="B90" s="143" t="s">
        <v>208</v>
      </c>
      <c r="C90" s="143"/>
      <c r="D90" s="143"/>
      <c r="E90" s="143"/>
      <c r="F90" s="143"/>
      <c r="G90" s="143"/>
      <c r="H90" s="143"/>
      <c r="I90" s="143"/>
      <c r="J90" s="143"/>
    </row>
    <row r="91" spans="2:21" ht="40.000000" customHeight="1">
      <c r="C91" s="116" t="s">
        <v>182</v>
      </c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</row>
    <row r="92" spans="2:21" ht="40.000000" customHeight="1">
      <c r="C92" s="116" t="s">
        <v>137</v>
      </c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2:21" ht="40.000000" customHeight="1">
      <c r="C93" s="116" t="s">
        <v>136</v>
      </c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2:21" ht="20.000000" customHeight="1">
      <c r="B94" s="114"/>
      <c r="F94" s="11"/>
      <c r="G94" s="76"/>
      <c r="I94" s="9"/>
    </row>
    <row r="95" spans="2:21" ht="20.000000" customHeight="1">
      <c r="B95" s="143" t="s">
        <v>209</v>
      </c>
      <c r="C95" s="143"/>
      <c r="D95" s="143"/>
      <c r="E95" s="143"/>
      <c r="F95" s="143"/>
      <c r="G95" s="143"/>
      <c r="H95" s="143"/>
      <c r="I95" s="143"/>
      <c r="J95" s="143"/>
    </row>
    <row r="96" spans="2:21" ht="60.000000" customHeight="1">
      <c r="C96" s="116" t="s">
        <v>135</v>
      </c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</row>
    <row r="97" spans="2:21" ht="40.000000" customHeight="1">
      <c r="C97" s="116" t="s">
        <v>62</v>
      </c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</row>
    <row r="98" spans="2:21" ht="20.000000" customHeight="1">
      <c r="B98" s="114"/>
      <c r="F98" s="11"/>
      <c r="G98" s="76"/>
      <c r="I98" s="9"/>
    </row>
    <row r="99" spans="2:21" ht="20.000000" customHeight="1">
      <c r="B99" s="143" t="s">
        <v>210</v>
      </c>
      <c r="C99" s="143"/>
      <c r="D99" s="143"/>
      <c r="E99" s="143"/>
      <c r="F99" s="143"/>
      <c r="G99" s="143"/>
      <c r="H99" s="143"/>
      <c r="I99" s="143"/>
      <c r="J99" s="143"/>
    </row>
    <row r="100" spans="2:21" ht="40.000000" customHeight="1">
      <c r="B100" s="77"/>
      <c r="C100" s="116" t="s">
        <v>134</v>
      </c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</row>
    <row r="101" spans="2:21" ht="69.000000" customHeight="1">
      <c r="B101" s="77"/>
      <c r="C101" s="116" t="s">
        <v>183</v>
      </c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</row>
    <row r="102" spans="2:21" ht="40.000000" customHeight="1">
      <c r="B102" s="77"/>
      <c r="C102" s="116" t="s">
        <v>133</v>
      </c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</row>
    <row r="103" spans="2:21" ht="20.000000" customHeight="1">
      <c r="B103" s="114"/>
      <c r="F103" s="11"/>
      <c r="G103" s="76"/>
      <c r="I103" s="9"/>
    </row>
    <row r="104" spans="2:21" ht="20.000000" customHeight="1">
      <c r="B104" s="143" t="s">
        <v>211</v>
      </c>
      <c r="C104" s="143"/>
      <c r="D104" s="143"/>
      <c r="E104" s="143"/>
      <c r="F104" s="143"/>
      <c r="G104" s="143"/>
      <c r="H104" s="143"/>
      <c r="I104" s="143"/>
      <c r="J104" s="143"/>
    </row>
    <row r="105" spans="2:21" ht="40.000000" customHeight="1">
      <c r="C105" s="116" t="s">
        <v>132</v>
      </c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</row>
    <row r="106" spans="2:21" ht="20.000000" customHeight="1">
      <c r="B106" s="114"/>
      <c r="F106" s="11"/>
      <c r="G106" s="76"/>
      <c r="I106" s="9"/>
    </row>
    <row r="107" spans="2:21" ht="20.000000" customHeight="1">
      <c r="B107" s="143" t="s">
        <v>212</v>
      </c>
      <c r="C107" s="115"/>
      <c r="D107" s="115"/>
      <c r="E107" s="115"/>
      <c r="F107" s="115"/>
      <c r="G107" s="115"/>
      <c r="H107" s="115"/>
      <c r="I107" s="115"/>
      <c r="J107" s="115"/>
    </row>
    <row r="108" spans="2:21" ht="20.000000" customHeight="1">
      <c r="C108" s="115" t="s">
        <v>63</v>
      </c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</row>
    <row r="109" spans="2:21" ht="20.000000" customHeight="1">
      <c r="B109" s="78"/>
      <c r="C109" s="224" t="s">
        <v>193</v>
      </c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</row>
    <row r="110" spans="2:21" ht="20.000000" customHeight="1">
      <c r="B110" s="78"/>
      <c r="C110" s="224" t="s">
        <v>194</v>
      </c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</row>
    <row r="111" spans="2:21" ht="20.000000" customHeight="1">
      <c r="B111" s="78"/>
      <c r="C111" s="224" t="s">
        <v>195</v>
      </c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</row>
    <row r="112" spans="2:21" ht="20.000000" customHeight="1">
      <c r="B112" s="78"/>
      <c r="C112" s="224" t="s">
        <v>196</v>
      </c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</row>
    <row r="113" spans="2:21" ht="20.000000" customHeight="1">
      <c r="B113" s="114"/>
      <c r="F113" s="11"/>
      <c r="G113" s="76"/>
      <c r="I113" s="9"/>
    </row>
    <row r="114" spans="2:21" ht="20.000000" customHeight="1">
      <c r="B114" s="143" t="s">
        <v>213</v>
      </c>
      <c r="C114" s="115"/>
      <c r="D114" s="115"/>
      <c r="E114" s="115"/>
      <c r="F114" s="115"/>
      <c r="G114" s="115"/>
      <c r="H114" s="115"/>
      <c r="I114" s="115"/>
      <c r="J114" s="115"/>
    </row>
    <row r="115" spans="2:21" ht="40.000000" customHeight="1">
      <c r="C115" s="116" t="s">
        <v>131</v>
      </c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</row>
    <row r="116" spans="2:21" ht="20.000000" customHeight="1">
      <c r="B116" s="114"/>
      <c r="F116" s="11"/>
      <c r="G116" s="76"/>
      <c r="I116" s="9"/>
    </row>
    <row r="117" spans="2:21" ht="20.000000" customHeight="1">
      <c r="B117" s="143" t="s">
        <v>214</v>
      </c>
      <c r="C117" s="143"/>
      <c r="D117" s="143"/>
      <c r="E117" s="143"/>
      <c r="F117" s="143"/>
      <c r="G117" s="143"/>
      <c r="H117" s="143"/>
      <c r="I117" s="143"/>
      <c r="J117" s="143"/>
    </row>
    <row r="118" spans="2:21" s="142" customFormat="1" ht="124.000000" customHeight="1">
      <c r="C118" s="226" t="s">
        <v>130</v>
      </c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</row>
    <row r="119" ht="409.500000" customHeight="1"/>
    <row r="120" spans="2:21" ht="20.000000" customHeight="1">
      <c r="B120" s="227" t="s">
        <v>64</v>
      </c>
      <c r="C120" s="227"/>
      <c r="D120" s="227"/>
      <c r="E120" s="227"/>
      <c r="F120" s="227"/>
      <c r="G120" s="227"/>
      <c r="H120" s="227"/>
      <c r="I120" s="227"/>
    </row>
    <row r="121" spans="2:21" ht="33.750000" customHeight="1">
      <c r="B121" s="228" t="s">
        <v>129</v>
      </c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</row>
    <row r="122" spans="2:21" ht="49.950000" customHeight="1">
      <c r="B122" s="229" t="s">
        <v>128</v>
      </c>
      <c r="C122" s="230"/>
      <c r="D122" s="230"/>
      <c r="E122" s="230"/>
      <c r="F122" s="231" t="s">
        <v>127</v>
      </c>
      <c r="G122" s="230"/>
      <c r="H122" s="230"/>
      <c r="I122" s="230"/>
      <c r="J122" s="230"/>
      <c r="K122" s="230"/>
      <c r="L122" s="230"/>
      <c r="M122" s="231" t="s">
        <v>126</v>
      </c>
      <c r="N122" s="230"/>
      <c r="O122" s="230"/>
      <c r="P122" s="230"/>
      <c r="Q122" s="230"/>
      <c r="R122" s="230"/>
      <c r="S122" s="230"/>
      <c r="T122" s="230"/>
      <c r="U122" s="232"/>
    </row>
    <row r="123" spans="2:21" ht="55.000000" customHeight="1">
      <c r="B123" s="233" t="s">
        <v>125</v>
      </c>
      <c r="C123" s="234"/>
      <c r="D123" s="234"/>
      <c r="E123" s="234"/>
      <c r="F123" s="239" t="s">
        <v>124</v>
      </c>
      <c r="G123" s="240"/>
      <c r="H123" s="240"/>
      <c r="I123" s="240"/>
      <c r="J123" s="240"/>
      <c r="K123" s="240"/>
      <c r="L123" s="241"/>
      <c r="M123" s="242" t="s">
        <v>114</v>
      </c>
      <c r="N123" s="242"/>
      <c r="O123" s="242"/>
      <c r="P123" s="242"/>
      <c r="Q123" s="242"/>
      <c r="R123" s="242"/>
      <c r="S123" s="242"/>
      <c r="T123" s="242"/>
      <c r="U123" s="243"/>
    </row>
    <row r="124" spans="2:21" ht="55.000000" customHeight="1">
      <c r="B124" s="235"/>
      <c r="C124" s="236"/>
      <c r="D124" s="236"/>
      <c r="E124" s="236"/>
      <c r="F124" s="244" t="s">
        <v>123</v>
      </c>
      <c r="G124" s="245"/>
      <c r="H124" s="245"/>
      <c r="I124" s="245"/>
      <c r="J124" s="245"/>
      <c r="K124" s="245"/>
      <c r="L124" s="246"/>
      <c r="M124" s="242"/>
      <c r="N124" s="242"/>
      <c r="O124" s="242"/>
      <c r="P124" s="242"/>
      <c r="Q124" s="242"/>
      <c r="R124" s="242"/>
      <c r="S124" s="242"/>
      <c r="T124" s="242"/>
      <c r="U124" s="243"/>
    </row>
    <row r="125" spans="2:21" ht="55.000000" customHeight="1">
      <c r="B125" s="235"/>
      <c r="C125" s="236"/>
      <c r="D125" s="236"/>
      <c r="E125" s="236"/>
      <c r="F125" s="244" t="s">
        <v>122</v>
      </c>
      <c r="G125" s="245"/>
      <c r="H125" s="245"/>
      <c r="I125" s="245"/>
      <c r="J125" s="245"/>
      <c r="K125" s="245"/>
      <c r="L125" s="246"/>
      <c r="M125" s="242"/>
      <c r="N125" s="242"/>
      <c r="O125" s="242"/>
      <c r="P125" s="242"/>
      <c r="Q125" s="242"/>
      <c r="R125" s="242"/>
      <c r="S125" s="242"/>
      <c r="T125" s="242"/>
      <c r="U125" s="243"/>
    </row>
    <row r="126" spans="2:21" ht="55.000000" customHeight="1">
      <c r="B126" s="237"/>
      <c r="C126" s="238"/>
      <c r="D126" s="238"/>
      <c r="E126" s="238"/>
      <c r="F126" s="247" t="s">
        <v>121</v>
      </c>
      <c r="G126" s="248"/>
      <c r="H126" s="248"/>
      <c r="I126" s="248"/>
      <c r="J126" s="248"/>
      <c r="K126" s="248"/>
      <c r="L126" s="249"/>
      <c r="M126" s="242"/>
      <c r="N126" s="242"/>
      <c r="O126" s="242"/>
      <c r="P126" s="242"/>
      <c r="Q126" s="242"/>
      <c r="R126" s="242"/>
      <c r="S126" s="242"/>
      <c r="T126" s="242"/>
      <c r="U126" s="243"/>
    </row>
    <row r="127" spans="2:21" ht="55.000000" customHeight="1">
      <c r="B127" s="233" t="s">
        <v>120</v>
      </c>
      <c r="C127" s="234"/>
      <c r="D127" s="234"/>
      <c r="E127" s="234"/>
      <c r="F127" s="239" t="s">
        <v>184</v>
      </c>
      <c r="G127" s="240"/>
      <c r="H127" s="240"/>
      <c r="I127" s="240"/>
      <c r="J127" s="240"/>
      <c r="K127" s="240"/>
      <c r="L127" s="241"/>
      <c r="M127" s="242" t="s">
        <v>114</v>
      </c>
      <c r="N127" s="242"/>
      <c r="O127" s="242"/>
      <c r="P127" s="242"/>
      <c r="Q127" s="242"/>
      <c r="R127" s="242"/>
      <c r="S127" s="242"/>
      <c r="T127" s="242"/>
      <c r="U127" s="243"/>
    </row>
    <row r="128" spans="2:21" ht="55.000000" customHeight="1">
      <c r="B128" s="235"/>
      <c r="C128" s="236"/>
      <c r="D128" s="236"/>
      <c r="E128" s="236"/>
      <c r="F128" s="250" t="s">
        <v>185</v>
      </c>
      <c r="G128" s="251"/>
      <c r="H128" s="251"/>
      <c r="I128" s="251"/>
      <c r="J128" s="251"/>
      <c r="K128" s="251"/>
      <c r="L128" s="252"/>
      <c r="M128" s="242"/>
      <c r="N128" s="242"/>
      <c r="O128" s="242"/>
      <c r="P128" s="242"/>
      <c r="Q128" s="242"/>
      <c r="R128" s="242"/>
      <c r="S128" s="242"/>
      <c r="T128" s="242"/>
      <c r="U128" s="243"/>
    </row>
    <row r="129" spans="2:21" ht="55.000000" customHeight="1">
      <c r="B129" s="237"/>
      <c r="C129" s="238"/>
      <c r="D129" s="238"/>
      <c r="E129" s="238"/>
      <c r="F129" s="247" t="s">
        <v>187</v>
      </c>
      <c r="G129" s="248"/>
      <c r="H129" s="248"/>
      <c r="I129" s="248"/>
      <c r="J129" s="248"/>
      <c r="K129" s="248"/>
      <c r="L129" s="249"/>
      <c r="M129" s="242"/>
      <c r="N129" s="242"/>
      <c r="O129" s="242"/>
      <c r="P129" s="242"/>
      <c r="Q129" s="242"/>
      <c r="R129" s="242"/>
      <c r="S129" s="242"/>
      <c r="T129" s="242"/>
      <c r="U129" s="243"/>
    </row>
    <row r="130" spans="2:21" ht="55.000000" customHeight="1">
      <c r="B130" s="235" t="s">
        <v>236</v>
      </c>
      <c r="C130" s="236"/>
      <c r="D130" s="236"/>
      <c r="E130" s="236"/>
      <c r="F130" s="244" t="s">
        <v>186</v>
      </c>
      <c r="G130" s="245"/>
      <c r="H130" s="245"/>
      <c r="I130" s="245"/>
      <c r="J130" s="245"/>
      <c r="K130" s="245"/>
      <c r="L130" s="246"/>
      <c r="M130" s="242" t="s">
        <v>114</v>
      </c>
      <c r="N130" s="242"/>
      <c r="O130" s="242"/>
      <c r="P130" s="242"/>
      <c r="Q130" s="242"/>
      <c r="R130" s="242"/>
      <c r="S130" s="242"/>
      <c r="T130" s="242"/>
      <c r="U130" s="243"/>
    </row>
    <row r="131" spans="2:21" ht="55.000000" customHeight="1">
      <c r="B131" s="235"/>
      <c r="C131" s="236"/>
      <c r="D131" s="236"/>
      <c r="E131" s="236"/>
      <c r="F131" s="244" t="s">
        <v>228</v>
      </c>
      <c r="G131" s="245"/>
      <c r="H131" s="245"/>
      <c r="I131" s="245"/>
      <c r="J131" s="245"/>
      <c r="K131" s="245"/>
      <c r="L131" s="246"/>
      <c r="M131" s="242"/>
      <c r="N131" s="242"/>
      <c r="O131" s="242"/>
      <c r="P131" s="242"/>
      <c r="Q131" s="242"/>
      <c r="R131" s="242"/>
      <c r="S131" s="242"/>
      <c r="T131" s="242"/>
      <c r="U131" s="243"/>
    </row>
    <row r="132" spans="2:21" ht="55.000000" customHeight="1">
      <c r="B132" s="253" t="s">
        <v>119</v>
      </c>
      <c r="C132" s="254"/>
      <c r="D132" s="254"/>
      <c r="E132" s="254"/>
      <c r="F132" s="255" t="s">
        <v>117</v>
      </c>
      <c r="G132" s="256"/>
      <c r="H132" s="256"/>
      <c r="I132" s="256"/>
      <c r="J132" s="256"/>
      <c r="K132" s="256"/>
      <c r="L132" s="257"/>
      <c r="M132" s="242" t="s">
        <v>117</v>
      </c>
      <c r="N132" s="242"/>
      <c r="O132" s="242"/>
      <c r="P132" s="242"/>
      <c r="Q132" s="242"/>
      <c r="R132" s="242"/>
      <c r="S132" s="242"/>
      <c r="T132" s="242"/>
      <c r="U132" s="243"/>
    </row>
    <row r="133" spans="2:21" ht="55.000000" customHeight="1">
      <c r="B133" s="235" t="s">
        <v>118</v>
      </c>
      <c r="C133" s="236"/>
      <c r="D133" s="236"/>
      <c r="E133" s="236"/>
      <c r="F133" s="244" t="s">
        <v>117</v>
      </c>
      <c r="G133" s="245"/>
      <c r="H133" s="245"/>
      <c r="I133" s="245"/>
      <c r="J133" s="245"/>
      <c r="K133" s="245"/>
      <c r="L133" s="246"/>
      <c r="M133" s="242" t="s">
        <v>117</v>
      </c>
      <c r="N133" s="242"/>
      <c r="O133" s="242"/>
      <c r="P133" s="242"/>
      <c r="Q133" s="242"/>
      <c r="R133" s="242"/>
      <c r="S133" s="242"/>
      <c r="T133" s="242"/>
      <c r="U133" s="243"/>
    </row>
    <row r="134" spans="2:21" ht="55.000000" customHeight="1">
      <c r="B134" s="258" t="s">
        <v>116</v>
      </c>
      <c r="C134" s="259"/>
      <c r="D134" s="259"/>
      <c r="E134" s="259"/>
      <c r="F134" s="260" t="s">
        <v>115</v>
      </c>
      <c r="G134" s="261"/>
      <c r="H134" s="261"/>
      <c r="I134" s="261"/>
      <c r="J134" s="261"/>
      <c r="K134" s="261"/>
      <c r="L134" s="262"/>
      <c r="M134" s="263" t="s">
        <v>114</v>
      </c>
      <c r="N134" s="263"/>
      <c r="O134" s="263"/>
      <c r="P134" s="263"/>
      <c r="Q134" s="263"/>
      <c r="R134" s="263"/>
      <c r="S134" s="263"/>
      <c r="T134" s="263"/>
      <c r="U134" s="264"/>
    </row>
    <row r="135" spans="2:21" ht="20.000000" customHeight="1">
      <c r="B135" s="227" t="s">
        <v>65</v>
      </c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</row>
    <row r="136" spans="2:21" ht="42.000000" customHeight="1">
      <c r="B136" s="228" t="s">
        <v>113</v>
      </c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</row>
    <row r="137" spans="2:21" ht="30.000000" customHeight="1">
      <c r="B137" s="265" t="s">
        <v>190</v>
      </c>
      <c r="C137" s="266"/>
      <c r="D137" s="266"/>
      <c r="E137" s="266"/>
      <c r="F137" s="266"/>
      <c r="G137" s="266"/>
      <c r="H137" s="266"/>
      <c r="I137" s="267"/>
      <c r="J137" s="267"/>
      <c r="K137" s="267"/>
      <c r="L137" s="267"/>
      <c r="M137" s="268" t="s">
        <v>112</v>
      </c>
      <c r="N137" s="268"/>
      <c r="O137" s="112"/>
      <c r="P137" s="113" t="s">
        <v>111</v>
      </c>
      <c r="Q137" s="112"/>
      <c r="R137" s="269">
        <f>INT(SUM(R138,R139,R140,R141,R142,R143,R144,R145))</f>
        <v>1092686</v>
      </c>
      <c r="S137" s="269"/>
      <c r="T137" s="269"/>
      <c r="U137" s="270"/>
    </row>
    <row r="138" spans="2:21" ht="30.000000" customHeight="1">
      <c r="B138" s="111"/>
      <c r="C138" s="271" t="s">
        <v>110</v>
      </c>
      <c r="D138" s="271"/>
      <c r="E138" s="271"/>
      <c r="F138" s="100" t="s">
        <v>67</v>
      </c>
      <c r="G138" s="100"/>
      <c r="H138" s="100"/>
      <c r="I138" s="272">
        <v>373353</v>
      </c>
      <c r="J138" s="272"/>
      <c r="K138" s="272"/>
      <c r="L138" s="272"/>
      <c r="M138" s="127" t="s">
        <v>109</v>
      </c>
      <c r="N138" s="127"/>
      <c r="O138" s="100" t="s">
        <v>97</v>
      </c>
      <c r="P138" s="127">
        <f>대가산출!G9</f>
        <v>0</v>
      </c>
      <c r="Q138" s="80"/>
      <c r="R138" s="273">
        <f>P138*I138</f>
        <v>0</v>
      </c>
      <c r="S138" s="273"/>
      <c r="T138" s="273"/>
      <c r="U138" s="274"/>
    </row>
    <row r="139" spans="2:21" ht="30.000000" customHeight="1">
      <c r="B139" s="79"/>
      <c r="C139" s="101"/>
      <c r="F139" s="99" t="s">
        <v>68</v>
      </c>
      <c r="G139" s="99"/>
      <c r="H139" s="99"/>
      <c r="I139" s="275">
        <v>310884</v>
      </c>
      <c r="J139" s="275"/>
      <c r="K139" s="275"/>
      <c r="L139" s="275"/>
      <c r="M139" s="107" t="s">
        <v>109</v>
      </c>
      <c r="N139" s="107"/>
      <c r="O139" s="99" t="s">
        <v>97</v>
      </c>
      <c r="P139" s="107">
        <f>대가산출!G10</f>
        <v>1</v>
      </c>
      <c r="Q139" s="4"/>
      <c r="R139" s="276">
        <f>P139*I139</f>
        <v>310884</v>
      </c>
      <c r="S139" s="276"/>
      <c r="T139" s="276"/>
      <c r="U139" s="277"/>
    </row>
    <row r="140" spans="2:21" ht="30.000000" customHeight="1">
      <c r="B140" s="79"/>
      <c r="C140" s="101"/>
      <c r="F140" s="99" t="s">
        <v>69</v>
      </c>
      <c r="G140" s="99"/>
      <c r="H140" s="99"/>
      <c r="I140" s="275">
        <v>295138</v>
      </c>
      <c r="J140" s="275"/>
      <c r="K140" s="275"/>
      <c r="L140" s="275"/>
      <c r="M140" s="107" t="s">
        <v>66</v>
      </c>
      <c r="N140" s="107"/>
      <c r="O140" s="99" t="s">
        <v>97</v>
      </c>
      <c r="P140" s="107">
        <f>대가산출!G11</f>
        <v>0</v>
      </c>
      <c r="Q140" s="4"/>
      <c r="R140" s="276">
        <f>P140*I140</f>
        <v>0</v>
      </c>
      <c r="S140" s="276"/>
      <c r="T140" s="276"/>
      <c r="U140" s="277"/>
    </row>
    <row r="141" spans="2:21" ht="30.000000" customHeight="1">
      <c r="B141" s="79"/>
      <c r="C141" s="101"/>
      <c r="F141" s="99" t="s">
        <v>70</v>
      </c>
      <c r="G141" s="99"/>
      <c r="H141" s="99"/>
      <c r="I141" s="275">
        <v>235459</v>
      </c>
      <c r="J141" s="275"/>
      <c r="K141" s="275"/>
      <c r="L141" s="275"/>
      <c r="M141" s="107" t="s">
        <v>66</v>
      </c>
      <c r="N141" s="107"/>
      <c r="O141" s="99" t="s">
        <v>97</v>
      </c>
      <c r="P141" s="107">
        <f>대가산출!G12</f>
        <v>1</v>
      </c>
      <c r="Q141" s="4"/>
      <c r="R141" s="276">
        <f>P141*I141</f>
        <v>235459</v>
      </c>
      <c r="S141" s="276"/>
      <c r="T141" s="276"/>
      <c r="U141" s="277"/>
    </row>
    <row r="142" spans="2:21" ht="30.000000" customHeight="1">
      <c r="B142" s="130"/>
      <c r="C142" s="278" t="s">
        <v>108</v>
      </c>
      <c r="D142" s="278"/>
      <c r="E142" s="278"/>
      <c r="F142" s="100" t="s">
        <v>67</v>
      </c>
      <c r="G142" s="100"/>
      <c r="H142" s="100"/>
      <c r="I142" s="272">
        <v>373353</v>
      </c>
      <c r="J142" s="272"/>
      <c r="K142" s="272"/>
      <c r="L142" s="272"/>
      <c r="M142" s="127" t="s">
        <v>66</v>
      </c>
      <c r="N142" s="127"/>
      <c r="O142" s="100" t="s">
        <v>97</v>
      </c>
      <c r="P142" s="127">
        <f>대가산출!G13</f>
        <v>0</v>
      </c>
      <c r="Q142" s="80"/>
      <c r="R142" s="273">
        <f>P142*I142</f>
        <v>0</v>
      </c>
      <c r="S142" s="273"/>
      <c r="T142" s="273"/>
      <c r="U142" s="274"/>
    </row>
    <row r="143" spans="2:21" ht="30.000000" customHeight="1">
      <c r="B143" s="79"/>
      <c r="C143" s="101"/>
      <c r="F143" s="99" t="s">
        <v>68</v>
      </c>
      <c r="G143" s="99"/>
      <c r="H143" s="99"/>
      <c r="I143" s="275">
        <v>310884</v>
      </c>
      <c r="J143" s="275"/>
      <c r="K143" s="275"/>
      <c r="L143" s="275"/>
      <c r="M143" s="107" t="s">
        <v>66</v>
      </c>
      <c r="N143" s="107"/>
      <c r="O143" s="99" t="s">
        <v>97</v>
      </c>
      <c r="P143" s="107">
        <f>대가산출!G14</f>
        <v>1</v>
      </c>
      <c r="Q143" s="4"/>
      <c r="R143" s="276">
        <f>P143*I143</f>
        <v>310884</v>
      </c>
      <c r="S143" s="276"/>
      <c r="T143" s="276"/>
      <c r="U143" s="277"/>
    </row>
    <row r="144" spans="2:21" ht="30.000000" customHeight="1">
      <c r="B144" s="79"/>
      <c r="C144" s="131"/>
      <c r="F144" s="99" t="s">
        <v>69</v>
      </c>
      <c r="G144" s="99"/>
      <c r="H144" s="99"/>
      <c r="I144" s="275">
        <v>295138</v>
      </c>
      <c r="J144" s="275"/>
      <c r="K144" s="275"/>
      <c r="L144" s="275"/>
      <c r="M144" s="107" t="s">
        <v>66</v>
      </c>
      <c r="N144" s="107"/>
      <c r="O144" s="99" t="s">
        <v>97</v>
      </c>
      <c r="P144" s="107">
        <f>대가산출!G15</f>
        <v>0</v>
      </c>
      <c r="Q144" s="4"/>
      <c r="R144" s="276">
        <f>P144*I144</f>
        <v>0</v>
      </c>
      <c r="S144" s="276"/>
      <c r="T144" s="276"/>
      <c r="U144" s="277"/>
    </row>
    <row r="145" spans="2:21" ht="30.000000" customHeight="1">
      <c r="B145" s="81"/>
      <c r="C145" s="110"/>
      <c r="D145" s="82"/>
      <c r="E145" s="82"/>
      <c r="F145" s="128" t="s">
        <v>70</v>
      </c>
      <c r="G145" s="128"/>
      <c r="H145" s="128"/>
      <c r="I145" s="279">
        <v>235459</v>
      </c>
      <c r="J145" s="279"/>
      <c r="K145" s="279"/>
      <c r="L145" s="279"/>
      <c r="M145" s="129" t="s">
        <v>66</v>
      </c>
      <c r="N145" s="129"/>
      <c r="O145" s="128" t="s">
        <v>97</v>
      </c>
      <c r="P145" s="129">
        <f>대가산출!G16</f>
        <v>1</v>
      </c>
      <c r="Q145" s="83"/>
      <c r="R145" s="280">
        <f>P145*I145</f>
        <v>235459</v>
      </c>
      <c r="S145" s="280"/>
      <c r="T145" s="280"/>
      <c r="U145" s="281"/>
    </row>
    <row r="146" spans="2:21" ht="30.000000" customHeight="1">
      <c r="B146" s="282" t="s">
        <v>107</v>
      </c>
      <c r="C146" s="283"/>
      <c r="D146" s="283"/>
      <c r="E146" s="283"/>
      <c r="F146" s="283"/>
      <c r="G146" s="283"/>
      <c r="H146" s="283"/>
      <c r="I146" s="98" t="s">
        <v>106</v>
      </c>
      <c r="J146" s="98"/>
      <c r="K146" s="98"/>
      <c r="L146" s="98"/>
      <c r="M146" s="284" t="s">
        <v>103</v>
      </c>
      <c r="N146" s="284"/>
      <c r="O146" s="88"/>
      <c r="P146" s="98">
        <f>대가산출!G17</f>
        <v>10</v>
      </c>
      <c r="Q146" s="88"/>
      <c r="R146" s="285">
        <f>ROUND(R137*P146%,0)</f>
        <v>109269</v>
      </c>
      <c r="S146" s="285"/>
      <c r="T146" s="285"/>
      <c r="U146" s="286"/>
    </row>
    <row r="147" spans="2:21" ht="30.000000" customHeight="1">
      <c r="B147" s="282" t="s">
        <v>105</v>
      </c>
      <c r="C147" s="283"/>
      <c r="D147" s="283"/>
      <c r="E147" s="283"/>
      <c r="F147" s="283"/>
      <c r="G147" s="283"/>
      <c r="H147" s="283"/>
      <c r="I147" s="287" t="s">
        <v>104</v>
      </c>
      <c r="J147" s="287"/>
      <c r="K147" s="287"/>
      <c r="L147" s="287"/>
      <c r="M147" s="284" t="s">
        <v>103</v>
      </c>
      <c r="N147" s="284"/>
      <c r="O147" s="88"/>
      <c r="P147" s="98">
        <f>대가산출!G18</f>
        <v>10</v>
      </c>
      <c r="Q147" s="88"/>
      <c r="R147" s="288">
        <f>ROUND((R137+R146)*P147%,0)</f>
        <v>120196</v>
      </c>
      <c r="S147" s="288"/>
      <c r="T147" s="288"/>
      <c r="U147" s="289"/>
    </row>
    <row r="148" spans="2:21" ht="30.000000" customHeight="1">
      <c r="B148" s="290" t="s">
        <v>102</v>
      </c>
      <c r="C148" s="291"/>
      <c r="D148" s="291"/>
      <c r="E148" s="291"/>
      <c r="F148" s="291"/>
      <c r="G148" s="291"/>
      <c r="H148" s="291"/>
      <c r="I148" s="100"/>
      <c r="J148" s="100"/>
      <c r="K148" s="100"/>
      <c r="L148" s="100"/>
      <c r="M148" s="109"/>
      <c r="N148" s="80"/>
      <c r="O148" s="100"/>
      <c r="P148" s="80"/>
      <c r="Q148" s="80"/>
      <c r="R148" s="292">
        <f>INT(SUM(R150:R154))</f>
        <v>219268</v>
      </c>
      <c r="S148" s="292"/>
      <c r="T148" s="292"/>
      <c r="U148" s="293"/>
    </row>
    <row r="149" spans="2:21" ht="30.000000" customHeight="1">
      <c r="B149" s="85" t="s">
        <v>101</v>
      </c>
      <c r="C149" s="4"/>
      <c r="I149" s="84"/>
      <c r="J149" s="4"/>
      <c r="K149" s="86"/>
      <c r="L149" s="107"/>
      <c r="M149" s="108"/>
      <c r="N149" s="4"/>
      <c r="O149" s="107"/>
      <c r="P149" s="4"/>
      <c r="Q149" s="4"/>
      <c r="R149" s="276">
        <f>INT(M149*O149)</f>
        <v>0</v>
      </c>
      <c r="S149" s="276"/>
      <c r="T149" s="276"/>
      <c r="U149" s="277"/>
    </row>
    <row r="150" spans="2:21" ht="30.000000" customHeight="1">
      <c r="B150" s="85" t="s">
        <v>100</v>
      </c>
      <c r="C150" s="4"/>
      <c r="I150" s="294">
        <v>20000</v>
      </c>
      <c r="J150" s="294"/>
      <c r="K150" s="294"/>
      <c r="L150" s="294"/>
      <c r="M150" s="107" t="s">
        <v>98</v>
      </c>
      <c r="N150" s="107"/>
      <c r="O150" s="99" t="s">
        <v>97</v>
      </c>
      <c r="P150" s="106">
        <f>대가산출!G21</f>
        <v>2</v>
      </c>
      <c r="Q150" s="4"/>
      <c r="R150" s="276">
        <f>P150*I150</f>
        <v>40000</v>
      </c>
      <c r="S150" s="276"/>
      <c r="T150" s="276"/>
      <c r="U150" s="277"/>
    </row>
    <row r="151" spans="2:21" ht="30.000000" customHeight="1">
      <c r="B151" s="85" t="s">
        <v>99</v>
      </c>
      <c r="C151" s="4"/>
      <c r="I151" s="305">
        <v>20000</v>
      </c>
      <c r="J151" s="305"/>
      <c r="K151" s="305"/>
      <c r="L151" s="305"/>
      <c r="M151" s="99" t="s">
        <v>98</v>
      </c>
      <c r="N151" s="99"/>
      <c r="O151" s="99" t="s">
        <v>97</v>
      </c>
      <c r="P151" s="106">
        <f>대가산출!G22</f>
        <v>2</v>
      </c>
      <c r="Q151" s="4"/>
      <c r="R151" s="276">
        <f>P151*I151</f>
        <v>40000</v>
      </c>
      <c r="S151" s="276"/>
      <c r="T151" s="276"/>
      <c r="U151" s="277"/>
    </row>
    <row r="152" spans="2:21" ht="30.000000" customHeight="1">
      <c r="B152" s="85" t="s">
        <v>96</v>
      </c>
      <c r="C152" s="99"/>
      <c r="I152" s="107" t="s">
        <v>95</v>
      </c>
      <c r="J152" s="107"/>
      <c r="K152" s="107"/>
      <c r="L152" s="107"/>
      <c r="M152" s="107"/>
      <c r="N152" s="107"/>
      <c r="O152" s="107"/>
      <c r="P152" s="107"/>
      <c r="Q152" s="107"/>
      <c r="R152" s="276">
        <f>ROUND(SUM(R138:R141)*10%,0)</f>
        <v>54634</v>
      </c>
      <c r="S152" s="276"/>
      <c r="T152" s="276"/>
      <c r="U152" s="277"/>
    </row>
    <row r="153" spans="2:21" ht="30.000000" customHeight="1">
      <c r="B153" s="85" t="s">
        <v>94</v>
      </c>
      <c r="C153" s="99"/>
      <c r="I153" s="107" t="s">
        <v>75</v>
      </c>
      <c r="J153" s="107"/>
      <c r="K153" s="107"/>
      <c r="L153" s="107"/>
      <c r="M153" s="107"/>
      <c r="N153" s="107"/>
      <c r="O153" s="107"/>
      <c r="P153" s="107"/>
      <c r="Q153" s="107"/>
      <c r="R153" s="276">
        <f>ROUND(R137*5%,0)</f>
        <v>54634</v>
      </c>
      <c r="S153" s="276"/>
      <c r="T153" s="276"/>
      <c r="U153" s="277"/>
    </row>
    <row r="154" spans="2:21" ht="30.000000" customHeight="1">
      <c r="B154" s="85" t="s">
        <v>93</v>
      </c>
      <c r="C154" s="99"/>
      <c r="I154" s="129"/>
      <c r="J154" s="129"/>
      <c r="K154" s="129"/>
      <c r="L154" s="129"/>
      <c r="M154" s="129"/>
      <c r="N154" s="129"/>
      <c r="O154" s="129"/>
      <c r="P154" s="129"/>
      <c r="Q154" s="129"/>
      <c r="R154" s="280">
        <v>30000</v>
      </c>
      <c r="S154" s="280"/>
      <c r="T154" s="280"/>
      <c r="U154" s="281"/>
    </row>
    <row r="155" spans="2:21" ht="30.000000" customHeight="1">
      <c r="B155" s="282" t="s">
        <v>188</v>
      </c>
      <c r="C155" s="283"/>
      <c r="D155" s="283"/>
      <c r="E155" s="283"/>
      <c r="F155" s="283"/>
      <c r="G155" s="283"/>
      <c r="H155" s="283"/>
      <c r="I155" s="284" t="s">
        <v>92</v>
      </c>
      <c r="J155" s="284"/>
      <c r="K155" s="284"/>
      <c r="L155" s="284"/>
      <c r="M155" s="284"/>
      <c r="N155" s="284"/>
      <c r="O155" s="284"/>
      <c r="P155" s="284"/>
      <c r="Q155" s="284"/>
      <c r="R155" s="288">
        <v>0</v>
      </c>
      <c r="S155" s="288"/>
      <c r="T155" s="288"/>
      <c r="U155" s="289"/>
    </row>
    <row r="156" spans="2:21" ht="30.000000" customHeight="1">
      <c r="B156" s="282" t="s">
        <v>189</v>
      </c>
      <c r="C156" s="283"/>
      <c r="D156" s="283"/>
      <c r="E156" s="283"/>
      <c r="F156" s="283"/>
      <c r="G156" s="283"/>
      <c r="H156" s="283"/>
      <c r="I156" s="87"/>
      <c r="J156" s="88"/>
      <c r="K156" s="89"/>
      <c r="L156" s="98" t="s">
        <v>91</v>
      </c>
      <c r="M156" s="98"/>
      <c r="N156" s="98"/>
      <c r="O156" s="98"/>
      <c r="P156" s="88"/>
      <c r="Q156" s="88"/>
      <c r="R156" s="303">
        <f>R137+R146+R147+R148</f>
        <v>1541419</v>
      </c>
      <c r="S156" s="303"/>
      <c r="T156" s="303"/>
      <c r="U156" s="304"/>
    </row>
    <row r="157" spans="2:21" ht="30.000000" customHeight="1">
      <c r="B157" s="295" t="s">
        <v>71</v>
      </c>
      <c r="C157" s="296"/>
      <c r="D157" s="296"/>
      <c r="E157" s="296"/>
      <c r="F157" s="296"/>
      <c r="G157" s="296"/>
      <c r="H157" s="296"/>
      <c r="I157" s="87"/>
      <c r="J157" s="88"/>
      <c r="K157" s="89"/>
      <c r="L157" s="98"/>
      <c r="M157" s="98"/>
      <c r="N157" s="98"/>
      <c r="O157" s="98"/>
      <c r="P157" s="88"/>
      <c r="Q157" s="88"/>
      <c r="R157" s="288">
        <f>대가산출!H28</f>
        <v>41419</v>
      </c>
      <c r="S157" s="288"/>
      <c r="T157" s="288"/>
      <c r="U157" s="289"/>
    </row>
    <row r="158" spans="2:21" ht="30.000000" customHeight="1">
      <c r="B158" s="295" t="s">
        <v>72</v>
      </c>
      <c r="C158" s="296"/>
      <c r="D158" s="296"/>
      <c r="E158" s="296"/>
      <c r="F158" s="296"/>
      <c r="G158" s="296"/>
      <c r="H158" s="296"/>
      <c r="I158" s="87"/>
      <c r="J158" s="88"/>
      <c r="K158" s="89"/>
      <c r="L158" s="98"/>
      <c r="M158" s="98"/>
      <c r="N158" s="98"/>
      <c r="O158" s="98"/>
      <c r="P158" s="88"/>
      <c r="Q158" s="88"/>
      <c r="R158" s="288">
        <f>대가산출!H29</f>
        <v>1500000</v>
      </c>
      <c r="S158" s="288"/>
      <c r="T158" s="288"/>
      <c r="U158" s="289"/>
    </row>
    <row r="159" spans="2:21" ht="30.000000" customHeight="1">
      <c r="B159" s="295" t="s">
        <v>73</v>
      </c>
      <c r="C159" s="296"/>
      <c r="D159" s="296"/>
      <c r="E159" s="296"/>
      <c r="F159" s="296"/>
      <c r="G159" s="296"/>
      <c r="H159" s="296"/>
      <c r="I159" s="87"/>
      <c r="J159" s="88"/>
      <c r="K159" s="89"/>
      <c r="L159" s="98"/>
      <c r="M159" s="98"/>
      <c r="N159" s="98"/>
      <c r="O159" s="98"/>
      <c r="P159" s="88"/>
      <c r="Q159" s="88"/>
      <c r="R159" s="297" t="s">
        <v>90</v>
      </c>
      <c r="S159" s="297"/>
      <c r="T159" s="297"/>
      <c r="U159" s="298"/>
    </row>
    <row r="160" spans="2:21" ht="30.000000" customHeight="1">
      <c r="B160" s="299" t="s">
        <v>89</v>
      </c>
      <c r="C160" s="300"/>
      <c r="D160" s="300"/>
      <c r="E160" s="300"/>
      <c r="F160" s="300"/>
      <c r="G160" s="300"/>
      <c r="H160" s="300"/>
      <c r="I160" s="105"/>
      <c r="J160" s="102"/>
      <c r="K160" s="104"/>
      <c r="L160" s="103"/>
      <c r="M160" s="103"/>
      <c r="N160" s="103"/>
      <c r="O160" s="103"/>
      <c r="P160" s="102"/>
      <c r="Q160" s="102"/>
      <c r="R160" s="301">
        <f>대가산출!H31</f>
        <v>1500000</v>
      </c>
      <c r="S160" s="301"/>
      <c r="T160" s="301"/>
      <c r="U160" s="302"/>
    </row>
    <row r="161" ht="24.950000" customHeight="1"/>
    <row r="162" ht="24.950000" customHeight="1"/>
    <row r="163" ht="24.950000" customHeight="1"/>
    <row r="164" ht="24.950000" customHeight="1"/>
    <row r="165" ht="24.950000" customHeight="1"/>
    <row r="166" ht="24.950000" customHeight="1"/>
    <row r="167" ht="24.950000" customHeight="1"/>
    <row r="168" ht="24.950000" customHeight="1"/>
  </sheetData>
  <mergeCells count="218">
    <mergeCell ref="B7:U7"/>
    <mergeCell ref="B8:U8"/>
    <mergeCell ref="B9:U9"/>
    <mergeCell ref="B10:U10"/>
    <mergeCell ref="B16:U16"/>
    <mergeCell ref="I22:U22"/>
    <mergeCell ref="I23:U23"/>
    <mergeCell ref="I24:U24"/>
    <mergeCell ref="B27:U27"/>
    <mergeCell ref="B28:C33"/>
    <mergeCell ref="D28:F28"/>
    <mergeCell ref="G28:U28"/>
    <mergeCell ref="D29:F33"/>
    <mergeCell ref="G29:U29"/>
    <mergeCell ref="G30:U30"/>
    <mergeCell ref="G31:U31"/>
    <mergeCell ref="G32:U32"/>
    <mergeCell ref="G33:U33"/>
    <mergeCell ref="B34:C42"/>
    <mergeCell ref="D34:F34"/>
    <mergeCell ref="G34:U34"/>
    <mergeCell ref="D35:F35"/>
    <mergeCell ref="G35:Q35"/>
    <mergeCell ref="R35:U35"/>
    <mergeCell ref="D36:F36"/>
    <mergeCell ref="G36:Q36"/>
    <mergeCell ref="D37:F37"/>
    <mergeCell ref="G37:U37"/>
    <mergeCell ref="D38:F38"/>
    <mergeCell ref="G38:U38"/>
    <mergeCell ref="D39:F40"/>
    <mergeCell ref="G39:U39"/>
    <mergeCell ref="G40:H40"/>
    <mergeCell ref="I40:M40"/>
    <mergeCell ref="O40:P40"/>
    <mergeCell ref="Q40:U40"/>
    <mergeCell ref="D41:F41"/>
    <mergeCell ref="G41:U41"/>
    <mergeCell ref="D42:F42"/>
    <mergeCell ref="G42:U42"/>
    <mergeCell ref="G43:U43"/>
    <mergeCell ref="B44:E44"/>
    <mergeCell ref="B45:U45"/>
    <mergeCell ref="B47:D47"/>
    <mergeCell ref="E47:U47"/>
    <mergeCell ref="E48:U48"/>
    <mergeCell ref="E49:U49"/>
    <mergeCell ref="B50:E50"/>
    <mergeCell ref="B51:D51"/>
    <mergeCell ref="E51:U51"/>
    <mergeCell ref="B52:K52"/>
    <mergeCell ref="L52:U52"/>
    <mergeCell ref="B53:D53"/>
    <mergeCell ref="E53:K53"/>
    <mergeCell ref="L53:N53"/>
    <mergeCell ref="O53:U53"/>
    <mergeCell ref="B54:D54"/>
    <mergeCell ref="E54:K54"/>
    <mergeCell ref="L54:N54"/>
    <mergeCell ref="O54:U54"/>
    <mergeCell ref="B55:D55"/>
    <mergeCell ref="E55:K55"/>
    <mergeCell ref="L55:N55"/>
    <mergeCell ref="O55:U55"/>
    <mergeCell ref="B56:U56"/>
    <mergeCell ref="B57:U57"/>
    <mergeCell ref="B59:U59"/>
    <mergeCell ref="B60:H60"/>
    <mergeCell ref="I60:O60"/>
    <mergeCell ref="P60:U60"/>
    <mergeCell ref="B61:U61"/>
    <mergeCell ref="B63:J63"/>
    <mergeCell ref="C64:U64"/>
    <mergeCell ref="B66:U66"/>
    <mergeCell ref="C67:U67"/>
    <mergeCell ref="C68:U68"/>
    <mergeCell ref="C69:U69"/>
    <mergeCell ref="C70:U70"/>
    <mergeCell ref="B72:J72"/>
    <mergeCell ref="C74:U74"/>
    <mergeCell ref="B76:J76"/>
    <mergeCell ref="C77:U77"/>
    <mergeCell ref="C78:U78"/>
    <mergeCell ref="C79:U79"/>
    <mergeCell ref="B81:J81"/>
    <mergeCell ref="C82:U82"/>
    <mergeCell ref="B84:J84"/>
    <mergeCell ref="C85:U85"/>
    <mergeCell ref="C86:U86"/>
    <mergeCell ref="C87:U87"/>
    <mergeCell ref="C88:U88"/>
    <mergeCell ref="B90:J90"/>
    <mergeCell ref="C91:U91"/>
    <mergeCell ref="C92:U92"/>
    <mergeCell ref="C93:U93"/>
    <mergeCell ref="B95:J95"/>
    <mergeCell ref="C96:U96"/>
    <mergeCell ref="C97:U97"/>
    <mergeCell ref="B99:J99"/>
    <mergeCell ref="C100:U100"/>
    <mergeCell ref="C101:U101"/>
    <mergeCell ref="C102:U102"/>
    <mergeCell ref="B104:J104"/>
    <mergeCell ref="C105:U105"/>
    <mergeCell ref="C108:U108"/>
    <mergeCell ref="C109:U109"/>
    <mergeCell ref="C110:U110"/>
    <mergeCell ref="C111:U111"/>
    <mergeCell ref="C112:U112"/>
    <mergeCell ref="C115:U115"/>
    <mergeCell ref="B117:J117"/>
    <mergeCell ref="C118:U118"/>
    <mergeCell ref="B120:I120"/>
    <mergeCell ref="B121:U121"/>
    <mergeCell ref="B122:E122"/>
    <mergeCell ref="F122:L122"/>
    <mergeCell ref="M122:U122"/>
    <mergeCell ref="B123:E126"/>
    <mergeCell ref="F123:L123"/>
    <mergeCell ref="M123:U126"/>
    <mergeCell ref="F124:L124"/>
    <mergeCell ref="F125:L125"/>
    <mergeCell ref="F126:L126"/>
    <mergeCell ref="B127:E129"/>
    <mergeCell ref="F127:L127"/>
    <mergeCell ref="M127:U129"/>
    <mergeCell ref="F128:L128"/>
    <mergeCell ref="F129:L129"/>
    <mergeCell ref="B130:E131"/>
    <mergeCell ref="F130:L130"/>
    <mergeCell ref="M130:U131"/>
    <mergeCell ref="F131:L131"/>
    <mergeCell ref="B132:E132"/>
    <mergeCell ref="F132:L132"/>
    <mergeCell ref="M132:U132"/>
    <mergeCell ref="B133:E133"/>
    <mergeCell ref="F133:L133"/>
    <mergeCell ref="M133:U133"/>
    <mergeCell ref="B134:E134"/>
    <mergeCell ref="F134:L134"/>
    <mergeCell ref="M134:U134"/>
    <mergeCell ref="B135:U135"/>
    <mergeCell ref="B136:U136"/>
    <mergeCell ref="B137:H137"/>
    <mergeCell ref="I137:L137"/>
    <mergeCell ref="M137:N137"/>
    <mergeCell ref="R137:U137"/>
    <mergeCell ref="C138:E138"/>
    <mergeCell ref="F138:H138"/>
    <mergeCell ref="I138:L138"/>
    <mergeCell ref="M138:N138"/>
    <mergeCell ref="R138:U138"/>
    <mergeCell ref="F139:H139"/>
    <mergeCell ref="I139:L139"/>
    <mergeCell ref="M139:N139"/>
    <mergeCell ref="R139:U139"/>
    <mergeCell ref="F140:H140"/>
    <mergeCell ref="I140:L140"/>
    <mergeCell ref="M140:N140"/>
    <mergeCell ref="R140:U140"/>
    <mergeCell ref="F141:H141"/>
    <mergeCell ref="I141:L141"/>
    <mergeCell ref="M141:N141"/>
    <mergeCell ref="R141:U141"/>
    <mergeCell ref="C142:E142"/>
    <mergeCell ref="F142:H142"/>
    <mergeCell ref="I142:L142"/>
    <mergeCell ref="M142:N142"/>
    <mergeCell ref="R142:U142"/>
    <mergeCell ref="F143:H143"/>
    <mergeCell ref="I143:L143"/>
    <mergeCell ref="M143:N143"/>
    <mergeCell ref="R143:U143"/>
    <mergeCell ref="F144:H144"/>
    <mergeCell ref="I144:L144"/>
    <mergeCell ref="M144:N144"/>
    <mergeCell ref="R144:U144"/>
    <mergeCell ref="F145:H145"/>
    <mergeCell ref="I145:L145"/>
    <mergeCell ref="M145:N145"/>
    <mergeCell ref="R145:U145"/>
    <mergeCell ref="B146:H146"/>
    <mergeCell ref="I146:L146"/>
    <mergeCell ref="M146:N146"/>
    <mergeCell ref="R146:U146"/>
    <mergeCell ref="B147:H147"/>
    <mergeCell ref="I147:L147"/>
    <mergeCell ref="M147:N147"/>
    <mergeCell ref="R147:U147"/>
    <mergeCell ref="B148:H148"/>
    <mergeCell ref="I148:K148"/>
    <mergeCell ref="R148:U148"/>
    <mergeCell ref="R149:U149"/>
    <mergeCell ref="I150:L150"/>
    <mergeCell ref="M150:N150"/>
    <mergeCell ref="R150:U150"/>
    <mergeCell ref="I151:L151"/>
    <mergeCell ref="M151:N151"/>
    <mergeCell ref="R151:U151"/>
    <mergeCell ref="I152:Q152"/>
    <mergeCell ref="R152:U152"/>
    <mergeCell ref="I153:Q153"/>
    <mergeCell ref="R153:U153"/>
    <mergeCell ref="I154:Q154"/>
    <mergeCell ref="R154:U154"/>
    <mergeCell ref="B155:H155"/>
    <mergeCell ref="I155:Q155"/>
    <mergeCell ref="R155:U155"/>
    <mergeCell ref="B156:H156"/>
    <mergeCell ref="R156:U156"/>
    <mergeCell ref="B157:H157"/>
    <mergeCell ref="R157:U157"/>
    <mergeCell ref="B158:H158"/>
    <mergeCell ref="R158:U158"/>
    <mergeCell ref="B159:H159"/>
    <mergeCell ref="R159:U159"/>
    <mergeCell ref="B160:H160"/>
    <mergeCell ref="R160:U160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rowBreaks count="6" manualBreakCount="6">
    <brk id="26" min="1" max="20" man="1"/>
    <brk id="55" min="1" max="20" man="1"/>
    <brk id="83" min="1" max="20" man="1"/>
    <brk id="106" min="1" max="20" man="1"/>
    <brk id="119" min="1" max="20" man="1"/>
    <brk id="134" min="1" max="20" man="1"/>
  </rowBreaks>
  <colBreaks count="1" manualBreakCount="1">
    <brk id="21" max="16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사랑의나무</dc:creator>
  <cp:lastModifiedBy>djg04078</cp:lastModifiedBy>
  <dcterms:modified xsi:type="dcterms:W3CDTF">2026-05-08T07:47:44Z</dcterms:modified>
</cp:coreProperties>
</file>