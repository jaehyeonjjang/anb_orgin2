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17100" yWindow="675" windowWidth="17100" windowHeight="18300" tabRatio="731" activeTab="1"/>
  </bookViews>
  <sheets>
    <sheet name="갑지" sheetId="21" r:id="rId1"/>
    <sheet name="대가산출" sheetId="22" r:id="rId2"/>
    <sheet name="계약서1" sheetId="20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갑지!$B$1:$AC$37</definedName>
    <definedName name="_xlnm.Print_Area" localSheetId="2">계약서1!$B$1:$U$129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20" l="1"/>
  <c r="C69" i="20"/>
  <c r="C68" i="20"/>
  <c r="C67" i="20"/>
  <c r="G35" i="20"/>
  <c r="B9" i="20"/>
  <c r="G40" i="20"/>
  <c r="L31" i="21"/>
  <c r="H25" i="22"/>
  <c r="H22" i="22"/>
  <c r="H21" i="22"/>
  <c r="H10" i="22"/>
  <c r="H11" i="22"/>
  <c r="H12" i="22"/>
  <c r="H13" i="22"/>
  <c r="H14" i="22"/>
  <c r="H15" i="22"/>
  <c r="H16" i="22"/>
  <c r="H9" i="22"/>
  <c r="H23" i="22" s="1"/>
  <c r="D5" i="22"/>
  <c r="H8" i="22" l="1"/>
  <c r="E54" i="20"/>
  <c r="B16" i="20"/>
  <c r="L21" i="21"/>
  <c r="H17" i="22" l="1"/>
  <c r="H18" i="22" s="1"/>
  <c r="H24" i="22"/>
  <c r="H19" i="22" s="1"/>
  <c r="H27" i="22" l="1"/>
  <c r="H26" i="22"/>
  <c r="H29" i="22" s="1"/>
  <c r="D4" i="22" l="1"/>
  <c r="D3" i="22"/>
  <c r="H31" i="22"/>
  <c r="G29" i="20"/>
  <c r="E53" i="20" l="1"/>
  <c r="I60" i="20" l="1"/>
  <c r="G37" i="20" l="1"/>
  <c r="G36" i="20"/>
</calcChain>
</file>

<file path=xl/sharedStrings.xml><?xml version="1.0" encoding="utf-8"?>
<sst xmlns="http://schemas.openxmlformats.org/spreadsheetml/2006/main" count="200" uniqueCount="184">
  <si>
    <t>공 급 가 액</t>
    <phoneticPr fontId="1" type="noConversion"/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</si>
  <si>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</si>
  <si>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</si>
  <si>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</si>
  <si>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</si>
  <si>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</si>
  <si>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</si>
  <si>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</si>
  <si>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</si>
  <si>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</si>
  <si>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</si>
  <si>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㈜ 에이앤비</t>
    <phoneticPr fontId="1" type="noConversion"/>
  </si>
  <si>
    <r>
      <t xml:space="preserve">경기도 용인시 기흥구 마북로 </t>
    </r>
    <r>
      <rPr>
        <sz val="12"/>
        <color indexed="8"/>
        <rFont val="돋움"/>
        <family val="3"/>
        <charset val="129"/>
      </rPr>
      <t>159 한성프라자 207호</t>
    </r>
  </si>
  <si>
    <t>계  약  자</t>
    <phoneticPr fontId="1" type="noConversion"/>
  </si>
  <si>
    <t>관 리 주 체</t>
  </si>
  <si>
    <t>계약상대자</t>
    <phoneticPr fontId="1" type="noConversion"/>
  </si>
  <si>
    <t>계  약  내  용</t>
    <phoneticPr fontId="1" type="noConversion"/>
  </si>
  <si>
    <t>계 약 건 명</t>
    <phoneticPr fontId="1" type="noConversion"/>
  </si>
  <si>
    <t>계 약 금 액</t>
    <phoneticPr fontId="1" type="noConversion"/>
  </si>
  <si>
    <t>부가 가치세</t>
    <phoneticPr fontId="1" type="noConversion"/>
  </si>
  <si>
    <t>10% 별도</t>
    <phoneticPr fontId="1" type="noConversion"/>
  </si>
  <si>
    <t>계 약  기 간</t>
    <phoneticPr fontId="1" type="noConversion"/>
  </si>
  <si>
    <t>위          치</t>
    <phoneticPr fontId="1" type="noConversion"/>
  </si>
  <si>
    <t>보고서 납품</t>
    <phoneticPr fontId="1" type="noConversion"/>
  </si>
  <si>
    <t>기 타 사 항</t>
    <phoneticPr fontId="1" type="noConversion"/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</si>
  <si>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phoneticPr fontId="1" type="noConversion"/>
  </si>
  <si>
    <r>
      <t>붙</t>
    </r>
    <r>
      <rPr>
        <sz val="12"/>
        <color indexed="8"/>
        <rFont val="돋움"/>
        <family val="3"/>
        <charset val="129"/>
      </rPr>
      <t xml:space="preserve"> 임 서 류 :</t>
    </r>
  </si>
  <si>
    <r>
      <t>계</t>
    </r>
    <r>
      <rPr>
        <sz val="12"/>
        <color indexed="8"/>
        <rFont val="돋움"/>
        <family val="3"/>
        <charset val="129"/>
      </rPr>
      <t xml:space="preserve"> 약 일 자 : </t>
    </r>
  </si>
  <si>
    <r>
      <t>관 리 주 체</t>
    </r>
    <r>
      <rPr>
        <sz val="12"/>
        <color indexed="8"/>
        <rFont val="돋움"/>
        <family val="3"/>
        <charset val="129"/>
      </rPr>
      <t>(발 주 자)</t>
    </r>
  </si>
  <si>
    <r>
      <t>계 약 상 대 자</t>
    </r>
    <r>
      <rPr>
        <sz val="12"/>
        <color indexed="8"/>
        <rFont val="돋움"/>
        <family val="3"/>
        <charset val="129"/>
      </rPr>
      <t>(수 주 자)</t>
    </r>
  </si>
  <si>
    <r>
      <t>상</t>
    </r>
    <r>
      <rPr>
        <sz val="12"/>
        <color indexed="8"/>
        <rFont val="돋움"/>
        <family val="3"/>
        <charset val="129"/>
      </rPr>
      <t xml:space="preserve">      호  :</t>
    </r>
  </si>
  <si>
    <r>
      <t xml:space="preserve">상      호 </t>
    </r>
    <r>
      <rPr>
        <sz val="12"/>
        <color indexed="8"/>
        <rFont val="돋움"/>
        <family val="3"/>
        <charset val="129"/>
      </rPr>
      <t>:</t>
    </r>
  </si>
  <si>
    <r>
      <rPr>
        <sz val="12"/>
        <color indexed="8"/>
        <rFont val="돋움"/>
        <family val="3"/>
        <charset val="129"/>
      </rPr>
      <t xml:space="preserve"> ㈜  에  이  앤  비</t>
    </r>
  </si>
  <si>
    <r>
      <t xml:space="preserve">주   </t>
    </r>
    <r>
      <rPr>
        <sz val="12"/>
        <color indexed="8"/>
        <rFont val="돋움"/>
        <family val="3"/>
        <charset val="129"/>
      </rPr>
      <t xml:space="preserve"> </t>
    </r>
    <r>
      <rPr>
        <sz val="12"/>
        <color indexed="8"/>
        <rFont val="돋움"/>
        <family val="3"/>
        <charset val="129"/>
      </rPr>
      <t xml:space="preserve">  소  </t>
    </r>
    <r>
      <rPr>
        <sz val="12"/>
        <color indexed="8"/>
        <rFont val="돋움"/>
        <family val="3"/>
        <charset val="129"/>
      </rPr>
      <t>:</t>
    </r>
  </si>
  <si>
    <r>
      <t xml:space="preserve">주      소 </t>
    </r>
    <r>
      <rPr>
        <sz val="12"/>
        <color indexed="8"/>
        <rFont val="돋움"/>
        <family val="3"/>
        <charset val="129"/>
      </rPr>
      <t>:</t>
    </r>
  </si>
  <si>
    <r>
      <t>관리소장</t>
    </r>
    <r>
      <rPr>
        <sz val="12"/>
        <color indexed="8"/>
        <rFont val="돋움"/>
        <family val="3"/>
        <charset val="129"/>
      </rPr>
      <t xml:space="preserve">  : </t>
    </r>
  </si>
  <si>
    <t xml:space="preserve">                                      (인)</t>
    <phoneticPr fontId="1" type="noConversion"/>
  </si>
  <si>
    <r>
      <t xml:space="preserve">대표이사 </t>
    </r>
    <r>
      <rPr>
        <sz val="12"/>
        <color indexed="8"/>
        <rFont val="돋움"/>
        <family val="3"/>
        <charset val="129"/>
      </rPr>
      <t xml:space="preserve">: </t>
    </r>
  </si>
  <si>
    <t xml:space="preserve"> 서        응       원    (인)</t>
    <phoneticPr fontId="1" type="noConversion"/>
  </si>
  <si>
    <r>
      <t>&lt;</t>
    </r>
    <r>
      <rPr>
        <sz val="13"/>
        <color indexed="8"/>
        <rFont val="돋움"/>
        <family val="3"/>
        <charset val="129"/>
      </rPr>
      <t>붙임 1&gt;</t>
    </r>
  </si>
  <si>
    <t>이 계약에 명시되지 아니한 사항은 기획재정부가 회계예규로 정한 기술용역계약 일반조건과 관계법령에 의한다.</t>
    <phoneticPr fontId="1" type="noConversion"/>
  </si>
  <si>
    <t>인  원</t>
  </si>
  <si>
    <t>2026년</t>
  </si>
  <si>
    <t>직접인건비 * 10%</t>
  </si>
  <si>
    <t>(직접인건비 + 제경비) * 10%</t>
  </si>
  <si>
    <t>직접인건비의 5%</t>
  </si>
  <si>
    <t xml:space="preserve">2026   .     .     .   ~   2026 .     .     . </t>
  </si>
  <si>
    <t>㈜에이앤비 대표이사</t>
    <phoneticPr fontId="1" type="noConversion"/>
  </si>
  <si>
    <t>제    목 :</t>
    <phoneticPr fontId="1" type="noConversion"/>
  </si>
  <si>
    <t>관리소장</t>
    <phoneticPr fontId="105" type="noConversion"/>
  </si>
  <si>
    <t>참    조 :</t>
    <phoneticPr fontId="1" type="noConversion"/>
  </si>
  <si>
    <t>수    신 :</t>
    <phoneticPr fontId="1" type="noConversion"/>
  </si>
  <si>
    <t>작성일자 :</t>
    <phoneticPr fontId="1" type="noConversion"/>
  </si>
  <si>
    <t>ANB-20260219-9</t>
  </si>
  <si>
    <t>문서번호 :</t>
    <phoneticPr fontId="1" type="noConversion"/>
  </si>
  <si>
    <t>(우) 16910     경기도 용인시 기흥구 마북로 159 (마북동)        전화: 031-283-3328        팩스: 031-284-3328</t>
    <phoneticPr fontId="1" type="noConversion"/>
  </si>
  <si>
    <t>㈜  에  이  앤  비</t>
    <phoneticPr fontId="1" type="noConversion"/>
  </si>
  <si>
    <t>효성뉴서울5차아파트</t>
    <phoneticPr fontId="1" type="noConversion"/>
  </si>
  <si>
    <t xml:space="preserve">아파트 6개동 648세대 (해당동 : 6개동) </t>
    <phoneticPr fontId="1" type="noConversion"/>
  </si>
  <si>
    <t>인천 계양구 아나지로 199 (효성동)</t>
    <phoneticPr fontId="1" type="noConversion"/>
  </si>
  <si>
    <t>1994년 12월</t>
    <phoneticPr fontId="1" type="noConversion"/>
  </si>
  <si>
    <r>
      <t xml:space="preserve">전화 </t>
    </r>
    <r>
      <rPr>
        <sz val="12"/>
        <color indexed="8"/>
        <rFont val="돋움"/>
        <family val="3"/>
        <charset val="129"/>
      </rPr>
      <t>: 031-283-3328        팩스 :031-284-3328</t>
    </r>
    <phoneticPr fontId="1" type="noConversion"/>
  </si>
  <si>
    <t>총  용  역  비</t>
    <phoneticPr fontId="1" type="noConversion"/>
  </si>
  <si>
    <t>공급가액</t>
    <phoneticPr fontId="1" type="noConversion"/>
  </si>
  <si>
    <t>부가가치세</t>
    <phoneticPr fontId="1" type="noConversion"/>
  </si>
  <si>
    <t>산  출  내  역  서</t>
    <phoneticPr fontId="1" type="noConversion"/>
  </si>
  <si>
    <t>구        분</t>
    <phoneticPr fontId="1" type="noConversion"/>
  </si>
  <si>
    <t>기술자등급</t>
    <phoneticPr fontId="1" type="noConversion"/>
  </si>
  <si>
    <t>단   가</t>
    <phoneticPr fontId="1" type="noConversion"/>
  </si>
  <si>
    <t>단  위</t>
    <phoneticPr fontId="1" type="noConversion"/>
  </si>
  <si>
    <t>금      액</t>
    <phoneticPr fontId="1" type="noConversion"/>
  </si>
  <si>
    <t>비       고</t>
    <phoneticPr fontId="1" type="noConversion"/>
  </si>
  <si>
    <t>인원은 변경될수 있음</t>
    <phoneticPr fontId="1" type="noConversion"/>
  </si>
  <si>
    <t>특급기술자</t>
    <phoneticPr fontId="1" type="noConversion"/>
  </si>
  <si>
    <t>인·일</t>
    <phoneticPr fontId="1" type="noConversion"/>
  </si>
  <si>
    <t>고급기술자</t>
    <phoneticPr fontId="1" type="noConversion"/>
  </si>
  <si>
    <t>중급기술자</t>
    <phoneticPr fontId="1" type="noConversion"/>
  </si>
  <si>
    <t>초급기술자</t>
    <phoneticPr fontId="1" type="noConversion"/>
  </si>
  <si>
    <t xml:space="preserve"> 2. 제   경   비</t>
    <phoneticPr fontId="1" type="noConversion"/>
  </si>
  <si>
    <t>%</t>
    <phoneticPr fontId="1" type="noConversion"/>
  </si>
  <si>
    <t xml:space="preserve"> 3. 기   술   료</t>
    <phoneticPr fontId="1" type="noConversion"/>
  </si>
  <si>
    <t xml:space="preserve"> 4. 직 접  경 비</t>
    <phoneticPr fontId="1" type="noConversion"/>
  </si>
  <si>
    <t>가. 체재비 및 차량비</t>
    <phoneticPr fontId="1" type="noConversion"/>
  </si>
  <si>
    <t xml:space="preserve">  (1) 여비 및 현장체재비</t>
    <phoneticPr fontId="1" type="noConversion"/>
  </si>
  <si>
    <t xml:space="preserve">  (2) 차량운행비</t>
    <phoneticPr fontId="1" type="noConversion"/>
  </si>
  <si>
    <t xml:space="preserve">  (3) 위험수당</t>
    <phoneticPr fontId="1" type="noConversion"/>
  </si>
  <si>
    <t>외업인건비의 10%</t>
    <phoneticPr fontId="1" type="noConversion"/>
  </si>
  <si>
    <t xml:space="preserve">  (4) 기계기구손료</t>
    <phoneticPr fontId="1" type="noConversion"/>
  </si>
  <si>
    <t xml:space="preserve">  (5) 인쇄비</t>
    <phoneticPr fontId="1" type="noConversion"/>
  </si>
  <si>
    <t>식</t>
    <phoneticPr fontId="1" type="noConversion"/>
  </si>
  <si>
    <t xml:space="preserve"> 5. 조   정   비</t>
    <phoneticPr fontId="1" type="noConversion"/>
  </si>
  <si>
    <t>구조형식,용도,경과년수</t>
    <phoneticPr fontId="1" type="noConversion"/>
  </si>
  <si>
    <t>( 1 + 2 + 3 + 4 )</t>
    <phoneticPr fontId="1" type="noConversion"/>
  </si>
  <si>
    <t>절 삭 금 액</t>
    <phoneticPr fontId="1" type="noConversion"/>
  </si>
  <si>
    <t>공 급 가 액</t>
    <phoneticPr fontId="1" type="noConversion"/>
  </si>
  <si>
    <t>부가가치세</t>
    <phoneticPr fontId="1" type="noConversion"/>
  </si>
  <si>
    <t>별도</t>
    <phoneticPr fontId="1" type="noConversion"/>
  </si>
  <si>
    <t>견  적  금  액</t>
    <phoneticPr fontId="1" type="noConversion"/>
  </si>
  <si>
    <t>부가세 별도</t>
    <phoneticPr fontId="1" type="noConversion"/>
  </si>
  <si>
    <t>설계 · 감리 용역 견적서</t>
    <phoneticPr fontId="1" type="noConversion"/>
  </si>
  <si>
    <t xml:space="preserve">제2조(단지 개요) </t>
    <phoneticPr fontId="1" type="noConversion"/>
  </si>
  <si>
    <t xml:space="preserve">제3조(용역의 범위) </t>
    <phoneticPr fontId="1" type="noConversion"/>
  </si>
  <si>
    <t>가. 계약서 초안 작성 및 검토, 계약관련 서류 검토 후 의견서 제출</t>
    <phoneticPr fontId="1" type="noConversion"/>
  </si>
  <si>
    <t>나. 사용자재의 규격 및 품질에 대한 적합성 검토 확인</t>
    <phoneticPr fontId="1" type="noConversion"/>
  </si>
  <si>
    <t>다. 시공자 작성한 시공계획, 공정표, 시공도면, 공사관리의 적정여부에 대한 검토확인</t>
    <phoneticPr fontId="1" type="noConversion"/>
  </si>
  <si>
    <t>라. 해당 주요공정을 감독 및 검수</t>
    <phoneticPr fontId="1" type="noConversion"/>
  </si>
  <si>
    <t>마. 주1회 이상 현장방문하여 관련자 면담, 공정률확인, 공사목적물 확인 입회</t>
    <phoneticPr fontId="1" type="noConversion"/>
  </si>
  <si>
    <t>바. 감리일지 작성(회차 별) 및 완료보고서 작성</t>
    <phoneticPr fontId="1" type="noConversion"/>
  </si>
  <si>
    <t>사. 재해예방 대책관리의 확인</t>
    <phoneticPr fontId="1" type="noConversion"/>
  </si>
  <si>
    <t>아. 해당용역과 관련하여 발주자가 요청하는 사항</t>
    <phoneticPr fontId="1" type="noConversion"/>
  </si>
  <si>
    <t>계약기간 중 물가변동으로 인한 계약금액의 조정은 기획재정부가 회계예규로 정한 기술용역계약 일반조건의 관련조항에 따라 품목 조정율을 적용한다.</t>
    <phoneticPr fontId="1" type="noConversion"/>
  </si>
  <si>
    <t>① 설계의 용역의 대가는 보고서 납품 후 10일 이내에 지급한다.</t>
    <phoneticPr fontId="1" type="noConversion"/>
  </si>
  <si>
    <t>② 감리의 용역의 대가는 감리완료보고서 납품 후 10일 이내에 지급한다.</t>
    <phoneticPr fontId="1" type="noConversion"/>
  </si>
  <si>
    <t>③ 보고서 납품 후 추가적인 조정은 6개월 이내에는 "수주자"는 "발주자"의 요구가 있을 시 언제든지 응하여야 하며, 이때 추가비용이 발생하는 부분에 대하여는 상호간에 협의하여 정한다.</t>
    <phoneticPr fontId="1" type="noConversion"/>
  </si>
  <si>
    <t>제4조(계약기간)</t>
    <phoneticPr fontId="1" type="noConversion"/>
  </si>
  <si>
    <t>제5조(계약금액의 산정 및 변경)</t>
    <phoneticPr fontId="1" type="noConversion"/>
  </si>
  <si>
    <t xml:space="preserve">제6조(대가의 지급 등) </t>
    <phoneticPr fontId="1" type="noConversion"/>
  </si>
  <si>
    <t xml:space="preserve">제7조(당사자의 의무와 자료의 제공 및 보관 책임) </t>
    <phoneticPr fontId="1" type="noConversion"/>
  </si>
  <si>
    <t>① "수주자"는 모든 지식과 기술을 활용하여 신의성실의 원칙에 따라 선량한 관리자로서 본 계약서에 정한 위임업무를 처리해야 하고, "발주자"는 "수주자"의 위임업무처리에 필요하다고 인정되는 경우는 성실히 협조를 해야 한다. 또한 위임업무를 처리를 위하여 "발주자"는 "수주자"에게 제공한 서류와 자료는 위임업무가 종료 될 때 반환한다.</t>
    <phoneticPr fontId="1" type="noConversion"/>
  </si>
  <si>
    <t>② 계약업무 처리 시 필요한 자료는 건축도면</t>
    <phoneticPr fontId="1" type="noConversion"/>
  </si>
  <si>
    <t>③ "수주자"는 "수주자"의 아파트 단지 상황에 따라 도면을 급히 반환 또는 열람을 요구하는 경우는 언제든지 응하여야 한다.</t>
    <phoneticPr fontId="1" type="noConversion"/>
  </si>
  <si>
    <t xml:space="preserve">제8조("수주자"의 의무) </t>
    <phoneticPr fontId="1" type="noConversion"/>
  </si>
  <si>
    <t xml:space="preserve">제9조(통지 · 통보 방법) </t>
    <phoneticPr fontId="1" type="noConversion"/>
  </si>
  <si>
    <t>① "수주자"과 "발주자"는 상대방의 승락없이 계약상의 권리, 의무를 제3자에게 양도, 대여, 담보 제공 등의 기타 처분행위를 할 수 없다.</t>
    <phoneticPr fontId="1" type="noConversion"/>
  </si>
  <si>
    <t>② "발주자"는 업무수행 중 취득한 정보를 제3자에게 누설하여서는 않된다.</t>
    <phoneticPr fontId="1" type="noConversion"/>
  </si>
  <si>
    <t>② "발주자"의 계획변경 및 "수주자"의 불가항력적인 사유의 발생, 기타 공사감리 업무를 변경하거나 계약 기간을 연장할 상당한 사유가 있을 때에는 "발주자"와 "수주자"는 서로 협의하여 계약의 내용을 변경할 수 있다.</t>
    <phoneticPr fontId="1" type="noConversion"/>
  </si>
  <si>
    <t xml:space="preserve">제10조(계약의 양도 및 변경) </t>
    <phoneticPr fontId="1" type="noConversion"/>
  </si>
  <si>
    <t xml:space="preserve">제11조(계약의 해제와 해지 및 승계) </t>
    <phoneticPr fontId="1" type="noConversion"/>
  </si>
  <si>
    <t>① 본계약은 다음의 경우에는 해제 또는 해지할 수 있다.</t>
    <phoneticPr fontId="1" type="noConversion"/>
  </si>
  <si>
    <t>1. 천재지변, 전쟁, 기타 불가항력의 사유로 인하여 의임업무를 부행이 불가능할 때</t>
    <phoneticPr fontId="1" type="noConversion"/>
  </si>
  <si>
    <t>2. "발주자"의 귀책사유(업무방해, 대금지급 지연 등)로 "수주자"가 위임업무를 수행이 불가할 때</t>
    <phoneticPr fontId="1" type="noConversion"/>
  </si>
  <si>
    <t>3. 계약 당시 위임업무와 다르게  현저하게 위임업무가 변경되어 그 실현이 객관적으로 불가능한 것이 명백할 때</t>
    <phoneticPr fontId="1" type="noConversion"/>
  </si>
  <si>
    <t>② 상대방의 구성원이 변경이 있을 경우에도 본 계약은 자동적으로 승계된 것으로 본다.</t>
    <phoneticPr fontId="1" type="noConversion"/>
  </si>
  <si>
    <t xml:space="preserve">제12조(위임업무 중단시의 보수 지급) </t>
    <phoneticPr fontId="1" type="noConversion"/>
  </si>
  <si>
    <t>① "수주자"의 귀책사유로 인하여 위임업무의 전부 또는 일부가 중단된 경우에는 "발주자"는 "수주자"가 이미 수행한 위임업무에 대하여 중단된 시점까지의 보수를 지급한다.</t>
    <phoneticPr fontId="1" type="noConversion"/>
  </si>
  <si>
    <t>② 중단된 시점까지의 수행한 업무에 대한 보수는 엔지니어링사업대가 기준에 의하여 산정한다</t>
    <phoneticPr fontId="1" type="noConversion"/>
  </si>
  <si>
    <t xml:space="preserve">제13조(관할의 합의) </t>
    <phoneticPr fontId="1" type="noConversion"/>
  </si>
  <si>
    <t>제14조(기타사항)</t>
    <phoneticPr fontId="1" type="noConversion"/>
  </si>
  <si>
    <t>감리 용역 계약서</t>
    <phoneticPr fontId="1" type="noConversion"/>
  </si>
  <si>
    <t>감리계약서</t>
    <phoneticPr fontId="1" type="noConversion"/>
  </si>
  <si>
    <t>상기 금액은 감리 용역대가임.</t>
    <phoneticPr fontId="1" type="noConversion"/>
  </si>
  <si>
    <t>감 리 계 약  일 반 사 항</t>
    <phoneticPr fontId="1" type="noConversion"/>
  </si>
  <si>
    <t>이 계약은 "발주자"가 관리하고 있는 시설물에 대하여 "수주자"는 감리을 실시하는데 그 목적이 있다. 계약서 초안 작성 및 검토, 계약 관련 제출서류 검토 후 의견서 제출, 사용자재의 규격 및 품질에 대한 적합성 검토, 시공자자 작성한 시공계획, 공정표, 시공도면, 공사관리의 적정여부 검토확인, 해당 주요공정 감독, 검수, 작업일지 확인 후 감리일지 회차별 작성 및 완료보고서 작성제출까지가 감리의 용역이다. 또한 재해예방 대책관리의 확인과 해당 용역과 관련하여 발주자가 요청하는 사항을 확인하는데 그 요역을 수행하는데 목적이 있다.</t>
    <phoneticPr fontId="1" type="noConversion"/>
  </si>
  <si>
    <t>① 감리의 용역</t>
    <phoneticPr fontId="1" type="noConversion"/>
  </si>
  <si>
    <t>감리의 용역은 공사 착공일로부터 공사 준공승인시 한다.</t>
    <phoneticPr fontId="1" type="noConversion"/>
  </si>
  <si>
    <t xml:space="preserve">가. 조  사  대  상 : </t>
    <phoneticPr fontId="1" type="noConversion"/>
  </si>
  <si>
    <t xml:space="preserve">나. 점  검  범  위 : </t>
    <phoneticPr fontId="1" type="noConversion"/>
  </si>
  <si>
    <t xml:space="preserve">다. 소    재    지 : </t>
    <phoneticPr fontId="1" type="noConversion"/>
  </si>
  <si>
    <t xml:space="preserve">라. 준    공    일 : </t>
    <phoneticPr fontId="1" type="noConversion"/>
  </si>
  <si>
    <t>마. 전 화 / 팩 스  :</t>
    <phoneticPr fontId="1" type="noConversion"/>
  </si>
  <si>
    <t>가. 설계용역 - 공사물량산출, 내역서 산출, 공사방법 제안, 공사시방서 작성 등</t>
    <phoneticPr fontId="1" type="noConversion"/>
  </si>
  <si>
    <t xml:space="preserve">나. 감리용역 - 계약서 초안 작성, 사용자재 규격, 품질 등 적합성 검토, 시공자 작성한 시공계획 공정표 등 적정여부 검토, 주요공정을 감독및 검수, 감리 일지 작성 </t>
    <phoneticPr fontId="1" type="noConversion"/>
  </si>
  <si>
    <t>공동주택관리법 제25조, 동법 시행령 제25조 및 「국토교통부고사 제2024-196호」</t>
    <phoneticPr fontId="1" type="noConversion"/>
  </si>
  <si>
    <t xml:space="preserve">사업자 선정지침 규정에 따라 </t>
    <phoneticPr fontId="1" type="noConversion"/>
  </si>
  <si>
    <t>① "수주자"는 계약에 관련한 사항을 통지 · 통보하고자 하는 때에는 서면으로 하는 것을 원칙으로 하고, 10일 이내에 "발주자"의 회신이 없는 경우는 "발주자"가 통지 · 통보를내영을 승낙한 것으로 본다.</t>
    <phoneticPr fontId="1" type="noConversion"/>
  </si>
  <si>
    <r>
      <t xml:space="preserve">설계 · 감리 실시자인 </t>
    </r>
    <r>
      <rPr>
        <b/>
        <sz val="12"/>
        <color indexed="8"/>
        <rFont val="돋움"/>
        <family val="2"/>
        <charset val="129"/>
      </rPr>
      <t>㈜에이앤비</t>
    </r>
    <r>
      <rPr>
        <sz val="12"/>
        <color indexed="8"/>
        <rFont val="돋움"/>
        <family val="2"/>
        <charset val="129"/>
      </rPr>
      <t>(이하 "수주자"라 한다)는 다음과 같이 계약을 체결한다.</t>
    </r>
    <phoneticPr fontId="1" type="noConversion"/>
  </si>
  <si>
    <t>전화 :</t>
    <phoneticPr fontId="1" type="noConversion"/>
  </si>
  <si>
    <t>/</t>
    <phoneticPr fontId="1" type="noConversion"/>
  </si>
  <si>
    <t>팩스 :</t>
    <phoneticPr fontId="1" type="noConversion"/>
  </si>
  <si>
    <t>① "수주자"는 계약 체결 후 "발주자" 착수 시점을 협의 후 위임업무를 시작한다.</t>
    <phoneticPr fontId="1" type="noConversion"/>
  </si>
  <si>
    <t>"발주자"와 "수주자"사이에 분쟁이 발생한 경우 "수주자"에게 이익이 되는 법원을 관할법원으로 정한다.</t>
    <phoneticPr fontId="1" type="noConversion"/>
  </si>
  <si>
    <r>
      <t>제</t>
    </r>
    <r>
      <rPr>
        <b/>
        <sz val="14"/>
        <color indexed="8"/>
        <rFont val="돋움"/>
        <family val="2"/>
        <charset val="129"/>
      </rPr>
      <t>1조(목적)</t>
    </r>
  </si>
  <si>
    <t>1. 감리 표준계약조건 1부.</t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</si>
  <si>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상호또는법인명 : (주)에이앤비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</si>
  <si>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사업자등록번호 : 863-87-00907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</si>
  <si>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주 소 : 경기도 용인시 기흥구 마북로 159 한성프라자 207호</t>
    </r>
    <phoneticPr fontId="1" type="noConversion"/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</si>
  <si>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전화번호 : 031-283-3328     팩스번호 : 031-284-3328</t>
    </r>
  </si>
  <si>
    <r>
      <rPr>
        <sz val="8"/>
        <color theme="1"/>
        <rFont val="돋움"/>
        <family val="2"/>
        <charset val="129"/>
      </rPr>
      <t xml:space="preserve">●   </t>
    </r>
    <r>
      <rPr>
        <sz val="12"/>
        <color theme="1"/>
        <rFont val="돋움"/>
        <family val="2"/>
        <charset val="129"/>
      </rPr>
      <t>대 표 자 : 서 응 원</t>
    </r>
  </si>
  <si>
    <t>※ 첨    부 :  1. 견적서   1부   끝.</t>
    <phoneticPr fontId="105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</si>
  <si>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</si>
  <si>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</si>
  <si>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>가. 외업</t>
    <phoneticPr fontId="1" type="noConversion"/>
  </si>
  <si>
    <t>나. 내업</t>
    <phoneticPr fontId="1" type="noConversion"/>
  </si>
  <si>
    <t>③ "수주자"의 귀책사유로 인하여 위임업무의 전부 또는 일부가 중단된 경우에는 "수주자"는 "발주자"에게 이미 지급받은 용역대금을 정상 환불한다.</t>
    <phoneticPr fontId="1" type="noConversion"/>
  </si>
  <si>
    <t>(이하 "발주자"라 한다)와</t>
    <phoneticPr fontId="1" type="noConversion"/>
  </si>
  <si>
    <t>경기도 용인시 기흥구 마북로 159, 한성프라자 207호(마북동)</t>
    <phoneticPr fontId="1" type="noConversion"/>
  </si>
  <si>
    <r>
      <rPr>
        <b/>
        <sz val="12"/>
        <rFont val="바탕체"/>
        <family val="1"/>
        <charset val="129"/>
      </rPr>
      <t xml:space="preserve">    </t>
    </r>
    <r>
      <rPr>
        <b/>
        <sz val="14"/>
        <rFont val="바탕체"/>
        <family val="1"/>
        <charset val="129"/>
      </rPr>
      <t xml:space="preserve">      6. 용  역  비  :</t>
    </r>
    <phoneticPr fontId="1" type="noConversion"/>
  </si>
  <si>
    <t>귀설계·감리 견적 건</t>
    <phoneticPr fontId="105" type="noConversion"/>
  </si>
  <si>
    <r>
      <rPr>
        <sz val="10"/>
        <rFont val="바탕체"/>
        <family val="1"/>
        <charset val="129"/>
      </rPr>
      <t xml:space="preserve">    </t>
    </r>
    <r>
      <rPr>
        <sz val="12"/>
        <rFont val="바탕체"/>
        <family val="1"/>
        <charset val="129"/>
      </rPr>
      <t xml:space="preserve">        1. 귀 아파트(사)의 무궁한 발전을 기원합니다.</t>
    </r>
    <phoneticPr fontId="105" type="noConversion"/>
  </si>
  <si>
    <r>
      <rPr>
        <sz val="10"/>
        <rFont val="바탕체"/>
        <family val="1"/>
        <charset val="129"/>
      </rPr>
      <t xml:space="preserve">    </t>
    </r>
    <r>
      <rPr>
        <sz val="12"/>
        <rFont val="바탕체"/>
        <family val="1"/>
        <charset val="129"/>
      </rPr>
      <t xml:space="preserve">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보수공사 감리, 기술자문 등을 주 업무로 하는 ㈜에이앤비입니다.</t>
    </r>
    <phoneticPr fontId="105" type="noConversion"/>
  </si>
  <si>
    <r>
      <rPr>
        <sz val="10"/>
        <rFont val="바탕체"/>
        <family val="1"/>
        <charset val="129"/>
      </rPr>
      <t xml:space="preserve">    </t>
    </r>
    <r>
      <rPr>
        <sz val="12"/>
        <rFont val="바탕체"/>
        <family val="1"/>
        <charset val="129"/>
      </rPr>
      <t xml:space="preserve">        3. 귀 아파트(사)에서 의뢰하신 감리건에 대한 견적서를 제출하오니 업무에 참고하시기 바랍니다.</t>
    </r>
    <phoneticPr fontId="105" type="noConversion"/>
  </si>
  <si>
    <r>
      <rPr>
        <sz val="10"/>
        <rFont val="바탕체"/>
        <family val="1"/>
        <charset val="129"/>
      </rPr>
      <t xml:space="preserve">    </t>
    </r>
    <r>
      <rPr>
        <sz val="12"/>
        <rFont val="바탕체"/>
        <family val="1"/>
        <charset val="129"/>
      </rPr>
      <t xml:space="preserve">        4. 시설물 개요</t>
    </r>
    <phoneticPr fontId="1" type="noConversion"/>
  </si>
  <si>
    <r>
      <rPr>
        <sz val="10"/>
        <rFont val="바탕체"/>
        <family val="1"/>
        <charset val="129"/>
      </rPr>
      <t xml:space="preserve">    </t>
    </r>
    <r>
      <rPr>
        <sz val="12"/>
        <rFont val="바탕체"/>
        <family val="1"/>
        <charset val="129"/>
      </rPr>
      <t xml:space="preserve">        5. 용역의 범위</t>
    </r>
    <phoneticPr fontId="1" type="noConversion"/>
  </si>
  <si>
    <r>
      <rPr>
        <sz val="10"/>
        <rFont val="바탕체"/>
        <family val="1"/>
        <charset val="129"/>
      </rPr>
      <t xml:space="preserve">    </t>
    </r>
    <r>
      <rPr>
        <sz val="12"/>
        <rFont val="바탕체"/>
        <family val="1"/>
        <charset val="129"/>
      </rPr>
      <t xml:space="preserve">        7. 기 타 사 항 :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</si>
</sst>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1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#,##0_ "/>
    <numFmt numFmtId="178" formatCode="0.000"/>
    <numFmt numFmtId="179" formatCode="0.0"/>
    <numFmt numFmtId="180" formatCode="&quot;일금&quot;\ [$-412]General&quot;원&quot;&quot;정&quot;"/>
    <numFmt numFmtId="181" formatCode="&quot;₩&quot;#,##0"/>
    <numFmt numFmtId="182" formatCode="\ "/>
    <numFmt numFmtId="183" formatCode="mm&quot;월&quot;\ dd&quot;일&quot;"/>
    <numFmt numFmtId="184" formatCode="_-* #,##0.0_-;\-* #,##0.0_-;_-* &quot;-&quot;??_-;_-@_-"/>
    <numFmt numFmtId="185" formatCode="_-* #,##0_-;\-* #,##0_-;_-* &quot;-&quot;??_-;_-@_-"/>
    <numFmt numFmtId="186" formatCode="_-&quot;$&quot;* #,##0.00_-;\-&quot;$&quot;* #,##0.00_-;_-&quot;$&quot;* &quot;-&quot;??_-;_-@_-"/>
    <numFmt numFmtId="187" formatCode="_-&quot;$&quot;* #,##0_-;\-&quot;$&quot;* #,##0_-;_-&quot;$&quot;* &quot;-&quot;_-;_-@_-"/>
    <numFmt numFmtId="188" formatCode="_ * #,##0_ ;_ * \-#,##0_ ;_ * &quot;-&quot;_ ;_ @_ "/>
    <numFmt numFmtId="189" formatCode="#,##0;&quot;-&quot;#,##0"/>
    <numFmt numFmtId="190" formatCode="#,##0.0;[Red]#,##0.0;&quot; &quot;"/>
    <numFmt numFmtId="191" formatCode="0.0000%"/>
    <numFmt numFmtId="192" formatCode="#,##0.0000"/>
    <numFmt numFmtId="193" formatCode="0.0000"/>
    <numFmt numFmtId="194" formatCode="#,##0,"/>
    <numFmt numFmtId="195" formatCode="#,##0.00;[Red]#,##0.00;&quot; &quot;"/>
    <numFmt numFmtId="196" formatCode="_ &quot;₩&quot;* #,##0_ ;_ &quot;₩&quot;* \-#,##0_ ;_ &quot;₩&quot;* &quot;-&quot;_ ;_ @_ "/>
    <numFmt numFmtId="197" formatCode="_ &quot;₩&quot;* #,##0.00_ ;_ &quot;₩&quot;* \-#,##0.00_ ;_ &quot;₩&quot;* &quot;-&quot;??_ ;_ @_ "/>
    <numFmt numFmtId="198" formatCode="_ * #,##0.00_ ;_ * \-#,##0.00_ ;_ * &quot;-&quot;??_ ;_ @_ "/>
    <numFmt numFmtId="199" formatCode="\$#,##0;\(\$#,##0\)"/>
    <numFmt numFmtId="200" formatCode="0.00&quot;  &quot;"/>
    <numFmt numFmtId="201" formatCode="0,###,###"/>
    <numFmt numFmtId="202" formatCode="0.##"/>
    <numFmt numFmtId="203" formatCode="#,##0\ &quot;Esc.&quot;;[Red]\-#,##0\ &quot;Esc.&quot;"/>
    <numFmt numFmtId="204" formatCode="#,##0.00&quot; F&quot;_);\(#,##0.00&quot; F&quot;\)"/>
    <numFmt numFmtId="205" formatCode="#,##0.000\ &quot;EA &quot;"/>
    <numFmt numFmtId="206" formatCode="###"/>
    <numFmt numFmtId="207" formatCode="##"/>
    <numFmt numFmtId="208" formatCode="#,##0.0_);\(#,##0.0\)"/>
    <numFmt numFmtId="209" formatCode="#,##0.000\ &quot;㎏ &quot;"/>
    <numFmt numFmtId="210" formatCode="#,##0.000\ &quot;m  &quot;"/>
    <numFmt numFmtId="211" formatCode="#,##0.000\ &quot;㎡ &quot;"/>
    <numFmt numFmtId="212" formatCode="#,##0.000\ &quot;㎥ &quot;"/>
    <numFmt numFmtId="213" formatCode="&quot;$&quot;#,##0.0_);\(&quot;$&quot;#,##0.0\)"/>
    <numFmt numFmtId="214" formatCode="&quot;$&quot;#,##0;\-&quot;$&quot;#,##0"/>
    <numFmt numFmtId="215" formatCode="0.00_);[Red]\(0.00\)"/>
    <numFmt numFmtId="216" formatCode="_-* #,##0\ &quot;DM&quot;_-;\-* #,##0\ &quot;DM&quot;_-;_-* &quot;-&quot;\ &quot;DM&quot;_-;_-@_-"/>
    <numFmt numFmtId="217" formatCode="_-* #,##0.00\ &quot;DM&quot;_-;\-* #,##0.00\ &quot;DM&quot;_-;_-* &quot;-&quot;??\ &quot;DM&quot;_-;_-@_-"/>
    <numFmt numFmtId="218" formatCode="&quot;₩&quot;#,##0;&quot;₩&quot;&quot;₩&quot;&quot;₩&quot;&quot;₩&quot;\-#,##0"/>
    <numFmt numFmtId="219" formatCode="#,##0;[Red]&quot;△&quot;#,##0"/>
    <numFmt numFmtId="220" formatCode="#."/>
    <numFmt numFmtId="221" formatCode="_(&quot;RM&quot;* #,##0.00_);_(&quot;RM&quot;* \(#,##0.00\);_(&quot;RM&quot;* &quot;-&quot;??_);_(@_)"/>
    <numFmt numFmtId="222" formatCode="&quot;US$&quot;#,##0_);\(&quot;US$&quot;#,##0\)"/>
    <numFmt numFmtId="223" formatCode="0_);\(0\)"/>
    <numFmt numFmtId="224" formatCode="0.0%"/>
    <numFmt numFmtId="225" formatCode="?/?#"/>
    <numFmt numFmtId="226" formatCode="_-* #,##0;\-* #,##0;_-* &quot;-&quot;;_-@"/>
    <numFmt numFmtId="227" formatCode="#,##0;[Red]&quot;-&quot;#,##0"/>
    <numFmt numFmtId="228" formatCode="&quot;  &quot;@"/>
    <numFmt numFmtId="229" formatCode="&quot;₩&quot;#,##0;[Red]&quot;₩&quot;&quot;₩&quot;&quot;₩&quot;&quot;₩&quot;\-#,##0"/>
    <numFmt numFmtId="230" formatCode="&quot;US$&quot;#,##0_);[Red]\(&quot;US$&quot;#,##0\)"/>
    <numFmt numFmtId="231" formatCode="_-* #,##0_-;&quot;₩&quot;\!\-* #,##0_-;_-* &quot;-&quot;_-;_-@_-"/>
    <numFmt numFmtId="232" formatCode="&quot;₩&quot;#\!\,##0;[Red]&quot;₩&quot;&quot;₩&quot;\!\-#\!\,##0"/>
    <numFmt numFmtId="233" formatCode="#,##0&quot; &quot;;[Red]&quot;△&quot;#,##0&quot; &quot;"/>
    <numFmt numFmtId="234" formatCode="* #,##0&quot; &quot;;[Red]* &quot;△&quot;#,##0&quot; &quot;;* @"/>
    <numFmt numFmtId="235" formatCode="_-* #,##0.000_-;\-* #,##0.000_-;_-* &quot;-&quot;_-;_-@_-"/>
    <numFmt numFmtId="236" formatCode="#,##0.####;[Red]&quot;△&quot;#,##0.####"/>
    <numFmt numFmtId="237" formatCode="#,##0.00##;[Red]&quot;△&quot;#,##0.00##"/>
    <numFmt numFmtId="238" formatCode="_-* #,##0.00_-;&quot;₩&quot;&quot;₩&quot;\-* #,##0.00_-;_-* &quot;-&quot;??_-;_-@_-"/>
    <numFmt numFmtId="239" formatCode="_-&quot;₩&quot;* #,##0.00_-;&quot;₩&quot;&quot;₩&quot;\-&quot;₩&quot;* #,##0.00_-;_-&quot;₩&quot;* &quot;-&quot;??_-;_-@_-"/>
    <numFmt numFmtId="240" formatCode="&quot;₩&quot;#,##0.00;&quot;₩&quot;&quot;₩&quot;&quot;₩&quot;&quot;₩&quot;\-#,##0.00"/>
    <numFmt numFmtId="241" formatCode="@\ &quot;정&quot;&quot;기&quot;&quot;안&quot;&quot;전&quot;&quot;점&quot;&quot;검&quot;&quot;(상반기)&quot;\ &quot;용&quot;&quot;역&quot;"/>
    <numFmt numFmtId="242" formatCode="0_);[Red]\(0\)"/>
    <numFmt numFmtId="243" formatCode="0_ "/>
  </numFmts>
  <fonts count="127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"/>
      <family val="3"/>
      <charset val="129"/>
    </font>
    <font>
      <sz val="10"/>
      <name val="굴림"/>
      <family val="3"/>
      <charset val="129"/>
    </font>
    <font>
      <sz val="12"/>
      <name val="돋움"/>
      <family val="3"/>
      <charset val="129"/>
    </font>
    <font>
      <sz val="11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0"/>
      <name val="MS Sans Serif"/>
      <family val="2"/>
    </font>
    <font>
      <sz val="12"/>
      <name val="돋움체"/>
      <family val="3"/>
      <charset val="129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name val="Arial"/>
      <family val="2"/>
    </font>
    <font>
      <sz val="10"/>
      <name val="Times New Roman"/>
      <family val="1"/>
    </font>
    <font>
      <sz val="10"/>
      <name val="Helv"/>
      <family val="2"/>
    </font>
    <font>
      <sz val="12"/>
      <name val="Times New Roman"/>
      <family val="1"/>
    </font>
    <font>
      <sz val="11"/>
      <name val="바탕체"/>
      <family val="1"/>
      <charset val="129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견명조"/>
      <family val="1"/>
      <charset val="129"/>
    </font>
    <font>
      <sz val="10"/>
      <name val="돋움체"/>
      <family val="3"/>
      <charset val="129"/>
    </font>
    <font>
      <sz val="12"/>
      <name val="ⓒoUAAA¨u"/>
      <family val="1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sz val="12"/>
      <name val="System"/>
      <family val="2"/>
      <charset val="129"/>
    </font>
    <font>
      <b/>
      <sz val="10"/>
      <name val="Helv"/>
      <family val="2"/>
    </font>
    <font>
      <u/>
      <sz val="10"/>
      <color indexed="12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"/>
      <color indexed="8"/>
      <name val="Courier"/>
      <family val="3"/>
    </font>
    <font>
      <sz val="10"/>
      <name val="바탕체"/>
      <family val="1"/>
      <charset val="129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"/>
      <color indexed="8"/>
      <name val="Courier"/>
      <family val="3"/>
    </font>
    <font>
      <sz val="12"/>
      <name val="Helv"/>
      <family val="2"/>
    </font>
    <font>
      <sz val="12"/>
      <color indexed="9"/>
      <name val="Helv"/>
      <family val="2"/>
    </font>
    <font>
      <b/>
      <sz val="11"/>
      <name val="Helv"/>
      <family val="2"/>
    </font>
    <font>
      <sz val="12"/>
      <name val="宋体"/>
      <charset val="134"/>
    </font>
    <font>
      <sz val="7"/>
      <name val="Small Fonts"/>
      <family val="2"/>
    </font>
    <font>
      <sz val="10"/>
      <name val="Tms Rmn"/>
      <family val="1"/>
    </font>
    <font>
      <sz val="8"/>
      <name val="Helv"/>
      <family val="2"/>
    </font>
    <font>
      <b/>
      <sz val="8"/>
      <name val="Times New Roman"/>
      <family val="1"/>
    </font>
    <font>
      <b/>
      <sz val="8"/>
      <color indexed="8"/>
      <name val="Helv"/>
      <family val="2"/>
    </font>
    <font>
      <b/>
      <i/>
      <sz val="18"/>
      <color indexed="39"/>
      <name val="돋움체"/>
      <family val="3"/>
      <charset val="129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u/>
      <sz val="10"/>
      <color indexed="36"/>
      <name val="Arial"/>
      <family val="2"/>
    </font>
    <font>
      <sz val="12"/>
      <name val="명조"/>
      <family val="3"/>
      <charset val="129"/>
    </font>
    <font>
      <b/>
      <sz val="11"/>
      <name val="돋움"/>
      <family val="3"/>
      <charset val="129"/>
    </font>
    <font>
      <u/>
      <sz val="10"/>
      <color indexed="14"/>
      <name val="MS Sans Serif"/>
      <family val="2"/>
    </font>
    <font>
      <sz val="9"/>
      <name val="돋움체"/>
      <family val="3"/>
      <charset val="129"/>
    </font>
    <font>
      <sz val="1"/>
      <name val="Courier"/>
      <family val="3"/>
    </font>
    <font>
      <sz val="11"/>
      <name val="돋움체"/>
      <family val="3"/>
      <charset val="129"/>
    </font>
    <font>
      <sz val="9"/>
      <name val="MS Sans Serif"/>
      <family val="2"/>
    </font>
    <font>
      <sz val="12"/>
      <name val="뼻뮝"/>
      <family val="3"/>
      <charset val="129"/>
    </font>
    <font>
      <sz val="10"/>
      <color indexed="10"/>
      <name val="돋움체"/>
      <family val="3"/>
      <charset val="129"/>
    </font>
    <font>
      <sz val="10"/>
      <name val="바탕"/>
      <family val="1"/>
      <charset val="129"/>
    </font>
    <font>
      <sz val="10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name val="견고딕"/>
      <family val="1"/>
      <charset val="129"/>
    </font>
    <font>
      <sz val="18"/>
      <name val="돋움체"/>
      <family val="3"/>
      <charset val="129"/>
    </font>
    <font>
      <sz val="17"/>
      <name val="바탕체"/>
      <family val="1"/>
      <charset val="129"/>
    </font>
    <font>
      <sz val="10"/>
      <color indexed="8"/>
      <name val="바탕"/>
      <family val="1"/>
      <charset val="129"/>
    </font>
    <font>
      <sz val="11"/>
      <name val="한컴 솔잎 B"/>
      <family val="1"/>
      <charset val="129"/>
    </font>
    <font>
      <sz val="14"/>
      <name val="한컴 솔잎 B"/>
      <family val="1"/>
      <charset val="129"/>
    </font>
    <font>
      <sz val="12"/>
      <name val="한컴 솔잎 B"/>
      <family val="1"/>
      <charset val="129"/>
    </font>
    <font>
      <sz val="13"/>
      <name val="한컴 솔잎 B"/>
      <family val="1"/>
      <charset val="129"/>
    </font>
    <font>
      <sz val="10"/>
      <name val="한컴 솔잎 B"/>
      <family val="1"/>
      <charset val="129"/>
    </font>
    <font>
      <sz val="9"/>
      <name val="한컴 솔잎 B"/>
      <family val="1"/>
      <charset val="129"/>
    </font>
    <font>
      <sz val="16"/>
      <name val="한컴 솔잎 B"/>
      <family val="1"/>
      <charset val="129"/>
    </font>
    <font>
      <sz val="22"/>
      <name val="한컴 솔잎 B"/>
      <family val="1"/>
      <charset val="129"/>
    </font>
    <font>
      <sz val="13"/>
      <name val="굴림"/>
      <family val="3"/>
      <charset val="129"/>
    </font>
    <font>
      <sz val="8"/>
      <name val="한컴 솔잎 B"/>
      <family val="1"/>
      <charset val="129"/>
    </font>
    <font>
      <sz val="20"/>
      <name val="한컴 솔잎 B"/>
      <family val="1"/>
      <charset val="129"/>
    </font>
    <font>
      <sz val="10"/>
      <color indexed="8"/>
      <name val="돋움"/>
      <family val="3"/>
      <charset val="129"/>
    </font>
    <font>
      <sz val="11"/>
      <color indexed="8"/>
      <name val="한컴 솔잎 B"/>
      <family val="1"/>
      <charset val="129"/>
    </font>
    <font>
      <b/>
      <sz val="11"/>
      <name val="한컴 솔잎 B"/>
      <family val="1"/>
      <charset val="129"/>
    </font>
    <font>
      <sz val="26"/>
      <color indexed="8"/>
      <name val="한컴 솔잎 B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2"/>
      <color indexed="8"/>
      <name val="돋움"/>
      <family val="3"/>
      <charset val="129"/>
    </font>
    <font>
      <b/>
      <sz val="33"/>
      <color indexed="8"/>
      <name val="돋움"/>
      <family val="3"/>
      <charset val="129"/>
    </font>
    <font>
      <b/>
      <sz val="20"/>
      <color indexed="8"/>
      <name val="돋움"/>
      <family val="3"/>
      <charset val="129"/>
    </font>
    <font>
      <b/>
      <sz val="36"/>
      <color indexed="8"/>
      <name val="돋움"/>
      <family val="3"/>
      <charset val="129"/>
    </font>
    <font>
      <sz val="12"/>
      <color indexed="8"/>
      <name val="돋움"/>
      <family val="3"/>
      <charset val="129"/>
    </font>
    <font>
      <b/>
      <sz val="17"/>
      <color indexed="8"/>
      <name val="돋움"/>
      <family val="3"/>
      <charset val="129"/>
    </font>
    <font>
      <b/>
      <sz val="14"/>
      <color indexed="8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2"/>
      <color indexed="8"/>
      <name val="돋움"/>
      <family val="3"/>
      <charset val="129"/>
    </font>
    <font>
      <sz val="11"/>
      <color indexed="8"/>
      <name val="돋움"/>
      <family val="3"/>
      <charset val="129"/>
    </font>
    <font>
      <sz val="11.5"/>
      <color indexed="8"/>
      <name val="돋움"/>
      <family val="3"/>
      <charset val="129"/>
    </font>
    <font>
      <sz val="13"/>
      <color indexed="8"/>
      <name val="돋움"/>
      <family val="3"/>
      <charset val="129"/>
    </font>
    <font>
      <b/>
      <u/>
      <sz val="20"/>
      <color indexed="8"/>
      <name val="돋움"/>
      <family val="3"/>
      <charset val="129"/>
    </font>
    <font>
      <b/>
      <sz val="28"/>
      <name val="바탕체"/>
      <family val="1"/>
      <charset val="129"/>
    </font>
    <font>
      <b/>
      <sz val="32"/>
      <name val="바탕체"/>
      <family val="1"/>
      <charset val="129"/>
    </font>
    <font>
      <b/>
      <sz val="12"/>
      <name val="바탕체"/>
      <family val="1"/>
      <charset val="129"/>
    </font>
    <font>
      <sz val="8"/>
      <name val="바탕"/>
      <family val="1"/>
      <charset val="129"/>
    </font>
    <font>
      <sz val="9"/>
      <name val="바탕체"/>
      <family val="1"/>
      <charset val="129"/>
    </font>
    <font>
      <b/>
      <sz val="30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sz val="12"/>
      <color rgb="FFFF0000"/>
      <name val="돋움"/>
      <family val="3"/>
      <charset val="129"/>
    </font>
    <font>
      <sz val="11"/>
      <color rgb="FFFF0000"/>
      <name val="돋움"/>
      <family val="3"/>
      <charset val="129"/>
    </font>
    <font>
      <sz val="11.5"/>
      <color rgb="FFFF0000"/>
      <name val="돋움"/>
      <family val="3"/>
      <charset val="129"/>
    </font>
    <font>
      <sz val="11.5"/>
      <name val="돋움"/>
      <family val="3"/>
      <charset val="129"/>
    </font>
    <font>
      <b/>
      <sz val="14"/>
      <name val="바탕체"/>
      <family val="1"/>
      <charset val="129"/>
    </font>
    <font>
      <sz val="12"/>
      <color indexed="8"/>
      <name val="돋움"/>
      <family val="2"/>
      <charset val="129"/>
    </font>
    <font>
      <b/>
      <sz val="12"/>
      <color indexed="8"/>
      <name val="돋움"/>
      <family val="2"/>
      <charset val="129"/>
    </font>
    <font>
      <b/>
      <sz val="14"/>
      <name val="돋움"/>
      <family val="3"/>
      <charset val="129"/>
    </font>
    <font>
      <b/>
      <sz val="14"/>
      <name val="돋움"/>
      <family val="2"/>
      <charset val="129"/>
    </font>
    <font>
      <b/>
      <sz val="14"/>
      <color indexed="8"/>
      <name val="돋움"/>
      <family val="2"/>
      <charset val="129"/>
    </font>
    <font>
      <b/>
      <sz val="18"/>
      <color theme="1"/>
      <name val="돋움"/>
      <family val="3"/>
      <charset val="129"/>
    </font>
    <font>
      <sz val="12"/>
      <color theme="1"/>
      <name val="돋움"/>
      <family val="2"/>
      <charset val="129"/>
    </font>
    <font>
      <sz val="8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sz val="12"/>
      <color theme="1"/>
      <name val="바탕체"/>
      <family val="1"/>
      <charset val="129"/>
    </font>
    <font>
      <b/>
      <sz val="12"/>
      <color theme="1"/>
      <name val="바탕체"/>
      <family val="1"/>
      <charset val="129"/>
    </font>
    <font>
      <sz val="11"/>
      <color indexed="8"/>
      <name val="돋움"/>
      <family val="2"/>
      <charset val="129"/>
    </font>
    <font>
      <sz val="12"/>
      <color rgb="FFFF0000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3119">
    <xf numFmtId="0" fontId="0" fillId="0" borderId="0"/>
    <xf numFmtId="0" fontId="7" fillId="0" borderId="0">
      <protection locked="0"/>
    </xf>
    <xf numFmtId="182" fontId="7" fillId="0" borderId="0" applyFill="0" applyBorder="0" applyProtection="0"/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8" fillId="0" borderId="1">
      <alignment horizontal="center"/>
    </xf>
    <xf numFmtId="3" fontId="9" fillId="0" borderId="2"/>
    <xf numFmtId="179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/>
    <xf numFmtId="0" fontId="7" fillId="0" borderId="0"/>
    <xf numFmtId="0" fontId="12" fillId="0" borderId="0"/>
    <xf numFmtId="0" fontId="12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 applyFont="0" applyFill="0" applyBorder="0" applyAlignment="0" applyProtection="0"/>
    <xf numFmtId="0" fontId="12" fillId="0" borderId="0"/>
    <xf numFmtId="0" fontId="12" fillId="0" borderId="0"/>
    <xf numFmtId="0" fontId="13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7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5" fillId="0" borderId="0"/>
    <xf numFmtId="0" fontId="5" fillId="0" borderId="0"/>
    <xf numFmtId="0" fontId="7" fillId="0" borderId="0" applyFont="0" applyFill="0" applyBorder="0" applyAlignment="0" applyProtection="0"/>
    <xf numFmtId="0" fontId="8" fillId="0" borderId="0"/>
    <xf numFmtId="0" fontId="7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 applyFont="0" applyFill="0" applyBorder="0" applyAlignment="0" applyProtection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5" fillId="0" borderId="0"/>
    <xf numFmtId="183" fontId="5" fillId="0" borderId="0" applyFont="0" applyFill="0" applyBorder="0" applyProtection="0">
      <alignment vertical="center"/>
    </xf>
    <xf numFmtId="184" fontId="5" fillId="0" borderId="0">
      <alignment vertical="center"/>
    </xf>
    <xf numFmtId="185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6" fontId="12" fillId="0" borderId="0" applyFont="0" applyFill="0" applyBorder="0" applyAlignment="0" applyProtection="0"/>
    <xf numFmtId="187" fontId="12" fillId="0" borderId="0" applyFont="0" applyFill="0" applyBorder="0" applyAlignment="0" applyProtection="0"/>
    <xf numFmtId="0" fontId="8" fillId="0" borderId="0"/>
    <xf numFmtId="188" fontId="16" fillId="0" borderId="2">
      <alignment vertical="center"/>
    </xf>
    <xf numFmtId="3" fontId="9" fillId="0" borderId="2"/>
    <xf numFmtId="3" fontId="9" fillId="0" borderId="2"/>
    <xf numFmtId="189" fontId="7" fillId="0" borderId="0">
      <alignment vertical="center"/>
    </xf>
    <xf numFmtId="190" fontId="4" fillId="0" borderId="0">
      <alignment vertical="center"/>
    </xf>
    <xf numFmtId="3" fontId="17" fillId="0" borderId="3">
      <alignment horizontal="right" vertical="center"/>
    </xf>
    <xf numFmtId="190" fontId="4" fillId="0" borderId="0">
      <alignment vertical="center"/>
    </xf>
    <xf numFmtId="3" fontId="17" fillId="0" borderId="3">
      <alignment horizontal="right" vertical="center"/>
    </xf>
    <xf numFmtId="190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1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190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3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3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8" fontId="19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8" fontId="19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4" fontId="5" fillId="0" borderId="0">
      <alignment horizontal="center" vertical="center"/>
    </xf>
    <xf numFmtId="190" fontId="4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0" fontId="4" fillId="0" borderId="0">
      <alignment vertical="center"/>
    </xf>
    <xf numFmtId="190" fontId="4" fillId="0" borderId="0">
      <alignment vertical="center"/>
    </xf>
    <xf numFmtId="190" fontId="4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5" fontId="20" fillId="0" borderId="0">
      <alignment vertical="center"/>
    </xf>
    <xf numFmtId="0" fontId="5" fillId="0" borderId="0"/>
    <xf numFmtId="2" fontId="17" fillId="0" borderId="3">
      <alignment horizontal="right" vertical="center"/>
    </xf>
    <xf numFmtId="0" fontId="7" fillId="0" borderId="4">
      <alignment horizont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87" fillId="9" borderId="0" applyNumberFormat="0" applyBorder="0" applyAlignment="0" applyProtection="0">
      <alignment vertical="center"/>
    </xf>
    <xf numFmtId="195" fontId="20" fillId="0" borderId="0">
      <alignment vertical="center"/>
    </xf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2" fillId="0" borderId="0" applyFont="0" applyFill="0" applyBorder="0" applyAlignment="0" applyProtection="0"/>
    <xf numFmtId="196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6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7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7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8" fillId="0" borderId="0"/>
    <xf numFmtId="0" fontId="25" fillId="0" borderId="0">
      <alignment horizontal="center" wrapText="1"/>
      <protection locked="0"/>
    </xf>
    <xf numFmtId="0" fontId="26" fillId="0" borderId="0" applyFont="0" applyFill="0" applyBorder="0" applyAlignment="0" applyProtection="0"/>
    <xf numFmtId="18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8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4" fillId="0" borderId="0" applyFont="0" applyFill="0" applyBorder="0" applyAlignment="0" applyProtection="0"/>
    <xf numFmtId="198" fontId="23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0"/>
    <xf numFmtId="37" fontId="22" fillId="0" borderId="0"/>
    <xf numFmtId="0" fontId="23" fillId="0" borderId="0"/>
    <xf numFmtId="0" fontId="22" fillId="0" borderId="0"/>
    <xf numFmtId="0" fontId="23" fillId="0" borderId="0"/>
    <xf numFmtId="0" fontId="22" fillId="0" borderId="0"/>
    <xf numFmtId="49" fontId="23" fillId="0" borderId="0" applyBorder="0"/>
    <xf numFmtId="0" fontId="24" fillId="0" borderId="0"/>
    <xf numFmtId="199" fontId="16" fillId="0" borderId="0" applyFill="0" applyBorder="0" applyAlignment="0"/>
    <xf numFmtId="0" fontId="28" fillId="0" borderId="0"/>
    <xf numFmtId="0" fontId="29" fillId="0" borderId="0" applyNumberFormat="0" applyFill="0" applyBorder="0" applyAlignment="0" applyProtection="0">
      <alignment vertical="top"/>
      <protection locked="0"/>
    </xf>
    <xf numFmtId="200" fontId="5" fillId="0" borderId="0"/>
    <xf numFmtId="201" fontId="7" fillId="0" borderId="0">
      <protection locked="0"/>
    </xf>
    <xf numFmtId="0" fontId="30" fillId="0" borderId="0" applyNumberFormat="0" applyAlignment="0">
      <alignment horizontal="left"/>
    </xf>
    <xf numFmtId="0" fontId="31" fillId="0" borderId="0" applyNumberFormat="0" applyAlignment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2" fillId="0" borderId="0" applyFont="0" applyFill="0" applyBorder="0" applyAlignment="0" applyProtection="0"/>
    <xf numFmtId="185" fontId="5" fillId="0" borderId="2" applyFill="0" applyBorder="0" applyAlignment="0"/>
    <xf numFmtId="202" fontId="7" fillId="0" borderId="0">
      <protection locked="0"/>
    </xf>
    <xf numFmtId="0" fontId="13" fillId="0" borderId="0"/>
    <xf numFmtId="0" fontId="32" fillId="0" borderId="0">
      <protection locked="0"/>
    </xf>
    <xf numFmtId="57" fontId="5" fillId="0" borderId="0" applyFont="0" applyFill="0" applyBorder="0" applyAlignment="0" applyProtection="0"/>
    <xf numFmtId="203" fontId="5" fillId="0" borderId="0" applyFont="0" applyFill="0" applyBorder="0" applyAlignment="0" applyProtection="0"/>
    <xf numFmtId="204" fontId="5" fillId="0" borderId="0"/>
    <xf numFmtId="205" fontId="33" fillId="0" borderId="2">
      <alignment vertical="center"/>
    </xf>
    <xf numFmtId="0" fontId="34" fillId="0" borderId="0" applyNumberFormat="0" applyAlignment="0">
      <alignment horizontal="left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2" fillId="0" borderId="0">
      <protection locked="0"/>
    </xf>
    <xf numFmtId="0" fontId="35" fillId="0" borderId="0">
      <protection locked="0"/>
    </xf>
    <xf numFmtId="206" fontId="7" fillId="0" borderId="0">
      <protection locked="0"/>
    </xf>
    <xf numFmtId="38" fontId="36" fillId="2" borderId="0" applyNumberFormat="0" applyBorder="0" applyAlignment="0" applyProtection="0"/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/>
    </xf>
    <xf numFmtId="0" fontId="38" fillId="0" borderId="6" applyNumberFormat="0" applyAlignmen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protection locked="0"/>
    </xf>
    <xf numFmtId="0" fontId="39" fillId="0" borderId="0">
      <protection locked="0"/>
    </xf>
    <xf numFmtId="207" fontId="12" fillId="0" borderId="0">
      <protection locked="0"/>
    </xf>
    <xf numFmtId="207" fontId="12" fillId="0" borderId="0">
      <protection locked="0"/>
    </xf>
    <xf numFmtId="10" fontId="36" fillId="3" borderId="2" applyNumberFormat="0" applyBorder="0" applyAlignment="0" applyProtection="0"/>
    <xf numFmtId="208" fontId="40" fillId="4" borderId="0"/>
    <xf numFmtId="209" fontId="33" fillId="0" borderId="2">
      <alignment vertical="center"/>
    </xf>
    <xf numFmtId="208" fontId="41" fillId="5" borderId="0"/>
    <xf numFmtId="210" fontId="33" fillId="0" borderId="2">
      <alignment horizontal="right" vertical="center"/>
    </xf>
    <xf numFmtId="211" fontId="33" fillId="0" borderId="2">
      <alignment vertical="center"/>
    </xf>
    <xf numFmtId="212" fontId="33" fillId="0" borderId="2">
      <alignment vertical="center"/>
    </xf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2" fillId="0" borderId="8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43" fillId="0" borderId="0" applyFont="0" applyFill="0" applyBorder="0" applyAlignment="0" applyProtection="0"/>
    <xf numFmtId="37" fontId="44" fillId="0" borderId="0"/>
    <xf numFmtId="213" fontId="16" fillId="0" borderId="0"/>
    <xf numFmtId="0" fontId="7" fillId="0" borderId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12" fillId="0" borderId="0"/>
    <xf numFmtId="198" fontId="20" fillId="0" borderId="0">
      <alignment vertical="center"/>
    </xf>
    <xf numFmtId="14" fontId="25" fillId="0" borderId="0">
      <alignment horizontal="center" wrapText="1"/>
      <protection locked="0"/>
    </xf>
    <xf numFmtId="10" fontId="12" fillId="0" borderId="0" applyFont="0" applyFill="0" applyBorder="0" applyAlignment="0" applyProtection="0"/>
    <xf numFmtId="214" fontId="45" fillId="0" borderId="0"/>
    <xf numFmtId="0" fontId="8" fillId="0" borderId="0" applyNumberFormat="0" applyFont="0" applyFill="0" applyBorder="0" applyAlignment="0" applyProtection="0">
      <alignment horizontal="left"/>
    </xf>
    <xf numFmtId="14" fontId="46" fillId="0" borderId="0" applyNumberFormat="0" applyFill="0" applyBorder="0" applyAlignment="0" applyProtection="0">
      <alignment horizontal="left"/>
    </xf>
    <xf numFmtId="0" fontId="7" fillId="0" borderId="0"/>
    <xf numFmtId="215" fontId="20" fillId="0" borderId="0">
      <alignment vertical="center"/>
    </xf>
    <xf numFmtId="215" fontId="20" fillId="0" borderId="0">
      <alignment vertical="distributed"/>
    </xf>
    <xf numFmtId="0" fontId="8" fillId="0" borderId="0"/>
    <xf numFmtId="0" fontId="47" fillId="0" borderId="0">
      <alignment horizontal="center" vertical="center"/>
    </xf>
    <xf numFmtId="0" fontId="42" fillId="0" borderId="0"/>
    <xf numFmtId="40" fontId="48" fillId="0" borderId="0" applyBorder="0">
      <alignment horizontal="right"/>
    </xf>
    <xf numFmtId="49" fontId="49" fillId="0" borderId="0" applyFill="0" applyBorder="0" applyProtection="0">
      <alignment horizontal="centerContinuous" vertical="center"/>
    </xf>
    <xf numFmtId="0" fontId="50" fillId="0" borderId="0" applyFill="0" applyBorder="0" applyProtection="0">
      <alignment horizontal="centerContinuous" vertical="center"/>
    </xf>
    <xf numFmtId="0" fontId="10" fillId="6" borderId="0" applyFill="0" applyBorder="0" applyProtection="0">
      <alignment horizontal="center" vertical="center"/>
    </xf>
    <xf numFmtId="0" fontId="32" fillId="0" borderId="9">
      <protection locked="0"/>
    </xf>
    <xf numFmtId="0" fontId="51" fillId="0" borderId="4">
      <alignment horizontal="left"/>
    </xf>
    <xf numFmtId="216" fontId="12" fillId="0" borderId="0" applyFont="0" applyFill="0" applyBorder="0" applyAlignment="0" applyProtection="0"/>
    <xf numFmtId="217" fontId="12" fillId="0" borderId="0" applyFont="0" applyFill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49" fontId="33" fillId="0" borderId="2">
      <alignment horizontal="center" vertical="center"/>
    </xf>
    <xf numFmtId="218" fontId="7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53" fillId="0" borderId="0"/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/>
    <xf numFmtId="0" fontId="5" fillId="0" borderId="0"/>
    <xf numFmtId="219" fontId="6" fillId="0" borderId="11" applyFont="0" applyFill="0" applyBorder="0" applyAlignment="0">
      <alignment horizontal="left" vertical="center"/>
    </xf>
    <xf numFmtId="0" fontId="32" fillId="0" borderId="0">
      <protection locked="0"/>
    </xf>
    <xf numFmtId="3" fontId="8" fillId="0" borderId="12">
      <alignment horizontal="center"/>
    </xf>
    <xf numFmtId="0" fontId="54" fillId="0" borderId="13">
      <alignment vertical="center"/>
    </xf>
    <xf numFmtId="0" fontId="32" fillId="0" borderId="0">
      <protection locked="0"/>
    </xf>
    <xf numFmtId="0" fontId="55" fillId="0" borderId="0" applyNumberFormat="0" applyFill="0" applyBorder="0" applyAlignment="0" applyProtection="0"/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188" fontId="6" fillId="0" borderId="5">
      <alignment vertical="center"/>
    </xf>
    <xf numFmtId="0" fontId="12" fillId="0" borderId="0" applyFont="0" applyFill="0" applyBorder="0" applyAlignment="0" applyProtection="0"/>
    <xf numFmtId="0" fontId="12" fillId="0" borderId="0" applyFont="0" applyFill="0" applyBorder="0" applyAlignment="0" applyProtection="0"/>
    <xf numFmtId="0" fontId="20" fillId="0" borderId="0" applyNumberFormat="0" applyFont="0" applyFill="0" applyBorder="0" applyProtection="0">
      <alignment horizontal="distributed" vertical="center" justifyLastLine="1"/>
    </xf>
    <xf numFmtId="10" fontId="56" fillId="0" borderId="0">
      <alignment vertical="center"/>
    </xf>
    <xf numFmtId="10" fontId="56" fillId="0" borderId="0">
      <alignment vertical="center"/>
    </xf>
    <xf numFmtId="220" fontId="57" fillId="0" borderId="0">
      <protection locked="0"/>
    </xf>
    <xf numFmtId="221" fontId="7" fillId="0" borderId="0" applyFont="0" applyFill="0" applyBorder="0" applyProtection="0">
      <alignment horizontal="center" vertical="center"/>
    </xf>
    <xf numFmtId="222" fontId="7" fillId="0" borderId="0" applyFont="0" applyFill="0" applyBorder="0" applyProtection="0">
      <alignment horizontal="center" vertical="center"/>
    </xf>
    <xf numFmtId="9" fontId="18" fillId="6" borderId="0" applyFill="0" applyBorder="0" applyProtection="0">
      <alignment horizontal="right"/>
    </xf>
    <xf numFmtId="10" fontId="18" fillId="0" borderId="0" applyFill="0" applyBorder="0" applyProtection="0">
      <alignment horizontal="right"/>
    </xf>
    <xf numFmtId="223" fontId="5" fillId="0" borderId="0" applyFont="0" applyFill="0" applyBorder="0" applyAlignment="0" applyProtection="0"/>
    <xf numFmtId="224" fontId="20" fillId="0" borderId="0" applyFont="0" applyFill="0" applyBorder="0" applyAlignment="0" applyProtection="0"/>
    <xf numFmtId="0" fontId="58" fillId="0" borderId="0" applyFont="0" applyFill="0" applyBorder="0" applyProtection="0">
      <alignment horizontal="center" vertical="center"/>
    </xf>
    <xf numFmtId="0" fontId="58" fillId="0" borderId="0" applyFont="0" applyFill="0" applyBorder="0" applyProtection="0">
      <alignment horizontal="center" vertical="center"/>
    </xf>
    <xf numFmtId="225" fontId="59" fillId="0" borderId="14" applyFont="0" applyFill="0" applyAlignment="0" applyProtection="0">
      <alignment horizontal="center" vertical="center"/>
    </xf>
    <xf numFmtId="0" fontId="60" fillId="0" borderId="0"/>
    <xf numFmtId="188" fontId="61" fillId="0" borderId="11">
      <alignment vertical="center"/>
    </xf>
    <xf numFmtId="0" fontId="20" fillId="0" borderId="0" applyNumberFormat="0" applyFont="0" applyFill="0" applyBorder="0" applyProtection="0">
      <alignment horizontal="centerContinuous" vertical="center"/>
    </xf>
    <xf numFmtId="177" fontId="62" fillId="0" borderId="15">
      <alignment vertical="center"/>
    </xf>
    <xf numFmtId="226" fontId="56" fillId="0" borderId="0">
      <alignment vertical="center"/>
    </xf>
    <xf numFmtId="188" fontId="63" fillId="0" borderId="11">
      <alignment vertical="center"/>
    </xf>
    <xf numFmtId="227" fontId="64" fillId="0" borderId="0">
      <alignment vertical="center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8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5" fillId="0" borderId="16"/>
    <xf numFmtId="228" fontId="33" fillId="0" borderId="2" applyBorder="0">
      <alignment vertical="center"/>
    </xf>
    <xf numFmtId="0" fontId="66" fillId="0" borderId="0" applyFont="0" applyFill="0" applyBorder="0" applyAlignment="0" applyProtection="0"/>
    <xf numFmtId="0" fontId="67" fillId="0" borderId="0">
      <alignment vertical="center"/>
    </xf>
    <xf numFmtId="0" fontId="68" fillId="0" borderId="0">
      <alignment horizontal="center" vertical="center"/>
    </xf>
    <xf numFmtId="4" fontId="32" fillId="0" borderId="0">
      <protection locked="0"/>
    </xf>
    <xf numFmtId="0" fontId="53" fillId="0" borderId="0"/>
    <xf numFmtId="4" fontId="32" fillId="0" borderId="0">
      <protection locked="0"/>
    </xf>
    <xf numFmtId="229" fontId="7" fillId="0" borderId="0">
      <protection locked="0"/>
    </xf>
    <xf numFmtId="0" fontId="53" fillId="4" borderId="0"/>
    <xf numFmtId="0" fontId="7" fillId="0" borderId="0">
      <alignment vertical="center"/>
    </xf>
    <xf numFmtId="0" fontId="69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/>
    </xf>
    <xf numFmtId="0" fontId="7" fillId="0" borderId="0"/>
    <xf numFmtId="0" fontId="70" fillId="0" borderId="0"/>
    <xf numFmtId="0" fontId="88" fillId="10" borderId="0" applyNumberFormat="0" applyBorder="0" applyAlignment="0" applyProtection="0">
      <alignment vertical="center"/>
    </xf>
    <xf numFmtId="0" fontId="7" fillId="0" borderId="0"/>
    <xf numFmtId="220" fontId="57" fillId="0" borderId="0">
      <protection locked="0"/>
    </xf>
    <xf numFmtId="220" fontId="57" fillId="0" borderId="0">
      <protection locked="0"/>
    </xf>
    <xf numFmtId="230" fontId="7" fillId="0" borderId="0" applyFont="0" applyFill="0" applyBorder="0" applyProtection="0">
      <alignment vertical="center"/>
    </xf>
    <xf numFmtId="38" fontId="20" fillId="0" borderId="0" applyFont="0" applyFill="0" applyBorder="0" applyProtection="0">
      <alignment vertical="center"/>
    </xf>
    <xf numFmtId="231" fontId="5" fillId="0" borderId="0" applyFont="0" applyFill="0" applyBorder="0" applyAlignment="0" applyProtection="0"/>
    <xf numFmtId="0" fontId="12" fillId="0" borderId="2"/>
    <xf numFmtId="232" fontId="5" fillId="6" borderId="0" applyFill="0" applyBorder="0" applyProtection="0">
      <alignment horizontal="right"/>
    </xf>
    <xf numFmtId="38" fontId="20" fillId="0" borderId="0" applyFont="0" applyFill="0" applyBorder="0" applyAlignment="0" applyProtection="0">
      <alignment vertical="center"/>
    </xf>
    <xf numFmtId="177" fontId="20" fillId="0" borderId="0" applyFont="0" applyFill="0" applyBorder="0" applyAlignment="0" applyProtection="0">
      <alignment vertical="center"/>
    </xf>
    <xf numFmtId="38" fontId="20" fillId="0" borderId="0" applyFill="0" applyBorder="0" applyAlignment="0" applyProtection="0">
      <alignment vertical="center"/>
    </xf>
    <xf numFmtId="226" fontId="58" fillId="0" borderId="0" applyFont="0" applyFill="0" applyBorder="0" applyAlignment="0" applyProtection="0"/>
    <xf numFmtId="233" fontId="8" fillId="0" borderId="0" applyFont="0" applyFill="0" applyBorder="0" applyAlignment="0" applyProtection="0"/>
    <xf numFmtId="234" fontId="8" fillId="0" borderId="0" applyFont="0" applyFill="0" applyBorder="0" applyAlignment="0" applyProtection="0"/>
    <xf numFmtId="235" fontId="58" fillId="0" borderId="2">
      <alignment vertical="center"/>
    </xf>
    <xf numFmtId="236" fontId="8" fillId="0" borderId="0" applyFont="0" applyFill="0" applyBorder="0" applyAlignment="0" applyProtection="0"/>
    <xf numFmtId="237" fontId="8" fillId="0" borderId="0" applyFont="0" applyFill="0" applyBorder="0" applyAlignment="0" applyProtection="0"/>
    <xf numFmtId="0" fontId="7" fillId="0" borderId="0" applyFont="0" applyFill="0" applyBorder="0" applyAlignment="0" applyProtection="0"/>
    <xf numFmtId="220" fontId="57" fillId="0" borderId="0">
      <protection locked="0"/>
    </xf>
    <xf numFmtId="220" fontId="57" fillId="0" borderId="0">
      <protection locked="0"/>
    </xf>
    <xf numFmtId="0" fontId="7" fillId="0" borderId="0" applyFont="0" applyFill="0" applyBorder="0" applyAlignment="0" applyProtection="0"/>
    <xf numFmtId="238" fontId="7" fillId="0" borderId="0">
      <protection locked="0"/>
    </xf>
    <xf numFmtId="220" fontId="57" fillId="0" borderId="0">
      <protection locked="0"/>
    </xf>
    <xf numFmtId="0" fontId="63" fillId="0" borderId="15">
      <alignment horizontal="center" vertical="center"/>
    </xf>
    <xf numFmtId="0" fontId="63" fillId="0" borderId="15">
      <alignment horizontal="left" vertical="center"/>
    </xf>
    <xf numFmtId="0" fontId="63" fillId="0" borderId="15">
      <alignment vertical="center" textRotation="255"/>
    </xf>
    <xf numFmtId="0" fontId="9" fillId="0" borderId="18">
      <alignment horizontal="distributed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5" fillId="0" borderId="0">
      <alignment vertical="center"/>
    </xf>
    <xf numFmtId="0" fontId="5" fillId="0" borderId="0"/>
    <xf numFmtId="0" fontId="5" fillId="0" borderId="0">
      <alignment vertical="center"/>
    </xf>
    <xf numFmtId="0" fontId="18" fillId="0" borderId="0">
      <alignment vertical="center"/>
    </xf>
    <xf numFmtId="0" fontId="71" fillId="0" borderId="0" applyFill="0" applyProtection="0">
      <alignment vertical="center"/>
    </xf>
    <xf numFmtId="0" fontId="5" fillId="0" borderId="0"/>
    <xf numFmtId="1" fontId="9" fillId="0" borderId="16">
      <alignment horizontal="centerContinuous"/>
    </xf>
    <xf numFmtId="0" fontId="5" fillId="0" borderId="2" applyNumberFormat="0" applyFill="0" applyProtection="0">
      <alignment vertical="center"/>
    </xf>
    <xf numFmtId="0" fontId="7" fillId="0" borderId="0"/>
    <xf numFmtId="0" fontId="32" fillId="0" borderId="9">
      <protection locked="0"/>
    </xf>
    <xf numFmtId="239" fontId="7" fillId="0" borderId="0">
      <protection locked="0"/>
    </xf>
    <xf numFmtId="240" fontId="7" fillId="0" borderId="0">
      <protection locked="0"/>
    </xf>
    <xf numFmtId="0" fontId="62" fillId="0" borderId="0">
      <alignment vertical="center"/>
    </xf>
    <xf numFmtId="3" fontId="62" fillId="0" borderId="2" applyFont="0" applyFill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281">
    <xf numFmtId="0" fontId="0" fillId="0" borderId="0" xfId="0"/>
    <xf numFmtId="0" fontId="6" fillId="0" borderId="0" xfId="3104" applyFont="1">
      <alignment vertical="center"/>
    </xf>
    <xf numFmtId="0" fontId="0" fillId="0" borderId="25" xfId="0" applyBorder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41" fontId="85" fillId="2" borderId="2" xfId="2792" applyFont="1" applyFill="1" applyBorder="1" applyAlignment="1">
      <alignment horizontal="right" vertical="center" shrinkToFit="1"/>
    </xf>
    <xf numFmtId="38" fontId="85" fillId="2" borderId="2" xfId="2792" applyNumberFormat="1" applyFont="1" applyFill="1" applyBorder="1" applyAlignment="1">
      <alignment horizontal="right" vertical="center" shrinkToFit="1"/>
    </xf>
    <xf numFmtId="0" fontId="84" fillId="0" borderId="34" xfId="2637" applyFont="1" applyFill="1" applyBorder="1" applyAlignment="1">
      <alignment horizontal="center" vertical="center" shrinkToFit="1"/>
    </xf>
    <xf numFmtId="0" fontId="84" fillId="2" borderId="36" xfId="2637" applyFont="1" applyFill="1" applyBorder="1" applyAlignment="1">
      <alignment horizontal="center" vertical="center"/>
    </xf>
    <xf numFmtId="41" fontId="76" fillId="0" borderId="38" xfId="2792" applyFont="1" applyBorder="1" applyAlignment="1">
      <alignment horizontal="right" vertical="center" shrinkToFit="1"/>
    </xf>
    <xf numFmtId="41" fontId="76" fillId="0" borderId="38" xfId="2792" applyFont="1" applyFill="1" applyBorder="1" applyAlignment="1">
      <alignment horizontal="right" vertical="center" shrinkToFit="1"/>
    </xf>
    <xf numFmtId="41" fontId="76" fillId="0" borderId="40" xfId="2792" applyFont="1" applyBorder="1" applyAlignment="1">
      <alignment horizontal="right" vertical="center" shrinkToFit="1"/>
    </xf>
    <xf numFmtId="38" fontId="76" fillId="0" borderId="42" xfId="2792" applyNumberFormat="1" applyFont="1" applyBorder="1" applyAlignment="1">
      <alignment horizontal="right" vertical="center" shrinkToFit="1"/>
    </xf>
    <xf numFmtId="38" fontId="76" fillId="0" borderId="11" xfId="2792" applyNumberFormat="1" applyFont="1" applyBorder="1" applyAlignment="1">
      <alignment horizontal="right" vertical="center" shrinkToFit="1"/>
    </xf>
    <xf numFmtId="0" fontId="84" fillId="8" borderId="52" xfId="2637" applyFont="1" applyFill="1" applyBorder="1" applyAlignment="1">
      <alignment horizontal="center" vertical="center" shrinkToFit="1"/>
    </xf>
    <xf numFmtId="41" fontId="76" fillId="0" borderId="28" xfId="2792" applyFont="1" applyBorder="1" applyAlignment="1">
      <alignment horizontal="right" vertical="center" shrinkToFit="1"/>
    </xf>
    <xf numFmtId="0" fontId="83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83" fillId="0" borderId="0" xfId="0" applyFont="1" applyAlignment="1">
      <alignment horizontal="justify" vertical="center"/>
    </xf>
    <xf numFmtId="0" fontId="93" fillId="0" borderId="0" xfId="0" applyFont="1" applyAlignment="1">
      <alignment vertical="center" wrapText="1"/>
    </xf>
    <xf numFmtId="0" fontId="93" fillId="0" borderId="0" xfId="0" applyFont="1" applyAlignment="1">
      <alignment horizontal="left" vertical="center" wrapText="1"/>
    </xf>
    <xf numFmtId="0" fontId="93" fillId="0" borderId="0" xfId="0" applyFont="1" applyAlignment="1">
      <alignment horizontal="center" vertical="center" wrapText="1"/>
    </xf>
    <xf numFmtId="0" fontId="83" fillId="0" borderId="24" xfId="0" applyFont="1" applyBorder="1" applyAlignment="1">
      <alignment vertical="center" wrapText="1"/>
    </xf>
    <xf numFmtId="0" fontId="83" fillId="0" borderId="0" xfId="0" applyFont="1" applyAlignment="1">
      <alignment vertical="center" wrapText="1"/>
    </xf>
    <xf numFmtId="0" fontId="93" fillId="0" borderId="24" xfId="0" applyFont="1" applyBorder="1" applyAlignment="1">
      <alignment vertical="center" wrapText="1"/>
    </xf>
    <xf numFmtId="0" fontId="93" fillId="0" borderId="0" xfId="0" applyFont="1" applyAlignment="1">
      <alignment horizontal="center" vertical="center"/>
    </xf>
    <xf numFmtId="0" fontId="99" fillId="0" borderId="0" xfId="0" applyFont="1" applyAlignment="1">
      <alignment horizontal="justify" vertical="center"/>
    </xf>
    <xf numFmtId="0" fontId="93" fillId="0" borderId="0" xfId="0" applyFont="1" applyAlignment="1">
      <alignment vertical="center"/>
    </xf>
    <xf numFmtId="0" fontId="62" fillId="0" borderId="0" xfId="3113">
      <alignment vertical="center"/>
    </xf>
    <xf numFmtId="3" fontId="62" fillId="0" borderId="2" xfId="3114">
      <alignment vertical="center"/>
    </xf>
    <xf numFmtId="0" fontId="62" fillId="0" borderId="2" xfId="3113" applyBorder="1">
      <alignment vertical="center"/>
    </xf>
    <xf numFmtId="3" fontId="62" fillId="0" borderId="17" xfId="3114" applyBorder="1">
      <alignment vertical="center"/>
    </xf>
    <xf numFmtId="0" fontId="62" fillId="0" borderId="17" xfId="3113" applyBorder="1">
      <alignment vertical="center"/>
    </xf>
    <xf numFmtId="3" fontId="62" fillId="0" borderId="0" xfId="3114" applyBorder="1">
      <alignment vertical="center"/>
    </xf>
    <xf numFmtId="0" fontId="4" fillId="0" borderId="0" xfId="3113" applyFont="1">
      <alignment vertical="center"/>
    </xf>
    <xf numFmtId="0" fontId="102" fillId="0" borderId="0" xfId="3113" applyFont="1" applyAlignment="1">
      <alignment horizontal="center" vertical="center"/>
    </xf>
    <xf numFmtId="0" fontId="7" fillId="0" borderId="0" xfId="3113" applyFont="1">
      <alignment vertical="center"/>
    </xf>
    <xf numFmtId="0" fontId="7" fillId="0" borderId="0" xfId="3113" quotePrefix="1" applyFont="1">
      <alignment vertical="center"/>
    </xf>
    <xf numFmtId="0" fontId="106" fillId="0" borderId="0" xfId="3113" applyFont="1">
      <alignment vertical="center"/>
    </xf>
    <xf numFmtId="0" fontId="106" fillId="0" borderId="8" xfId="3113" applyFont="1" applyBorder="1">
      <alignment vertical="center"/>
    </xf>
    <xf numFmtId="0" fontId="7" fillId="0" borderId="8" xfId="3113" applyFont="1" applyBorder="1">
      <alignment vertical="center"/>
    </xf>
    <xf numFmtId="0" fontId="108" fillId="0" borderId="0" xfId="3113" applyFont="1">
      <alignment vertical="center"/>
    </xf>
    <xf numFmtId="0" fontId="7" fillId="12" borderId="0" xfId="3113" applyFont="1" applyFill="1">
      <alignment vertical="center"/>
    </xf>
    <xf numFmtId="0" fontId="106" fillId="12" borderId="0" xfId="3113" applyFont="1" applyFill="1">
      <alignment vertical="center"/>
    </xf>
    <xf numFmtId="0" fontId="109" fillId="0" borderId="0" xfId="0" applyFont="1" applyAlignment="1">
      <alignment vertical="center"/>
    </xf>
    <xf numFmtId="0" fontId="110" fillId="0" borderId="0" xfId="0" applyFont="1" applyAlignment="1">
      <alignment shrinkToFit="1"/>
    </xf>
    <xf numFmtId="0" fontId="110" fillId="0" borderId="0" xfId="0" applyFont="1"/>
    <xf numFmtId="0" fontId="91" fillId="0" borderId="0" xfId="0" applyFont="1" applyAlignment="1">
      <alignment vertical="center" wrapText="1"/>
    </xf>
    <xf numFmtId="0" fontId="92" fillId="0" borderId="0" xfId="0" applyFont="1" applyAlignment="1">
      <alignment vertical="center" wrapText="1"/>
    </xf>
    <xf numFmtId="0" fontId="84" fillId="0" borderId="33" xfId="2637" applyFont="1" applyFill="1" applyBorder="1" applyAlignment="1">
      <alignment horizontal="center" vertical="center"/>
    </xf>
    <xf numFmtId="0" fontId="93" fillId="0" borderId="0" xfId="0" applyFont="1" applyAlignment="1">
      <alignment horizontal="left" vertical="center"/>
    </xf>
    <xf numFmtId="241" fontId="79" fillId="0" borderId="8" xfId="3102" applyNumberFormat="1" applyFont="1" applyBorder="1" applyAlignment="1">
      <alignment horizontal="center" vertical="center" shrinkToFit="1"/>
    </xf>
    <xf numFmtId="0" fontId="2" fillId="0" borderId="0" xfId="3102" applyFont="1" applyAlignment="1">
      <alignment vertical="center"/>
    </xf>
    <xf numFmtId="0" fontId="3" fillId="0" borderId="0" xfId="3102" applyFont="1" applyAlignment="1">
      <alignment vertical="center"/>
    </xf>
    <xf numFmtId="41" fontId="72" fillId="2" borderId="36" xfId="3102" applyNumberFormat="1" applyFont="1" applyFill="1" applyBorder="1" applyAlignment="1">
      <alignment horizontal="right" vertical="center" shrinkToFit="1"/>
    </xf>
    <xf numFmtId="49" fontId="72" fillId="0" borderId="35" xfId="3102" quotePrefix="1" applyNumberFormat="1" applyFont="1" applyBorder="1" applyAlignment="1">
      <alignment vertical="center"/>
    </xf>
    <xf numFmtId="181" fontId="76" fillId="0" borderId="37" xfId="3102" applyNumberFormat="1" applyFont="1" applyBorder="1" applyAlignment="1">
      <alignment horizontal="center" vertical="center"/>
    </xf>
    <xf numFmtId="0" fontId="76" fillId="0" borderId="38" xfId="3102" applyFont="1" applyBorder="1" applyAlignment="1">
      <alignment horizontal="center" vertical="center"/>
    </xf>
    <xf numFmtId="0" fontId="76" fillId="0" borderId="29" xfId="3102" applyFont="1" applyBorder="1" applyAlignment="1">
      <alignment horizontal="center" vertical="center" shrinkToFit="1"/>
    </xf>
    <xf numFmtId="49" fontId="72" fillId="0" borderId="31" xfId="3102" quotePrefix="1" applyNumberFormat="1" applyFont="1" applyBorder="1" applyAlignment="1">
      <alignment vertical="center"/>
    </xf>
    <xf numFmtId="181" fontId="76" fillId="0" borderId="39" xfId="3102" applyNumberFormat="1" applyFont="1" applyBorder="1" applyAlignment="1">
      <alignment horizontal="center" vertical="center"/>
    </xf>
    <xf numFmtId="0" fontId="76" fillId="0" borderId="28" xfId="3102" applyFont="1" applyBorder="1" applyAlignment="1">
      <alignment horizontal="center" vertical="center"/>
    </xf>
    <xf numFmtId="0" fontId="76" fillId="0" borderId="40" xfId="3102" applyFont="1" applyBorder="1" applyAlignment="1">
      <alignment horizontal="center" vertical="center"/>
    </xf>
    <xf numFmtId="49" fontId="73" fillId="0" borderId="31" xfId="3102" quotePrefix="1" applyNumberFormat="1" applyFont="1" applyBorder="1" applyAlignment="1">
      <alignment vertical="center" textRotation="255"/>
    </xf>
    <xf numFmtId="0" fontId="76" fillId="0" borderId="39" xfId="3102" quotePrefix="1" applyFont="1" applyBorder="1" applyAlignment="1">
      <alignment horizontal="center" vertical="center"/>
    </xf>
    <xf numFmtId="0" fontId="72" fillId="2" borderId="2" xfId="3102" applyFont="1" applyFill="1" applyBorder="1" applyAlignment="1">
      <alignment vertical="center"/>
    </xf>
    <xf numFmtId="0" fontId="72" fillId="2" borderId="2" xfId="3102" applyFont="1" applyFill="1" applyBorder="1" applyAlignment="1">
      <alignment horizontal="right" vertical="center"/>
    </xf>
    <xf numFmtId="0" fontId="72" fillId="2" borderId="2" xfId="3102" applyFont="1" applyFill="1" applyBorder="1" applyAlignment="1">
      <alignment horizontal="center" vertical="center"/>
    </xf>
    <xf numFmtId="0" fontId="77" fillId="2" borderId="32" xfId="3102" applyFont="1" applyFill="1" applyBorder="1" applyAlignment="1">
      <alignment horizontal="center" vertical="center" shrinkToFit="1"/>
    </xf>
    <xf numFmtId="0" fontId="72" fillId="2" borderId="11" xfId="3102" applyFont="1" applyFill="1" applyBorder="1" applyAlignment="1">
      <alignment vertical="center"/>
    </xf>
    <xf numFmtId="0" fontId="72" fillId="2" borderId="11" xfId="3102" applyFont="1" applyFill="1" applyBorder="1" applyAlignment="1">
      <alignment horizontal="right" vertical="center"/>
    </xf>
    <xf numFmtId="0" fontId="72" fillId="2" borderId="11" xfId="3102" applyFont="1" applyFill="1" applyBorder="1" applyAlignment="1">
      <alignment horizontal="center" vertical="center"/>
    </xf>
    <xf numFmtId="0" fontId="76" fillId="0" borderId="41" xfId="3102" applyFont="1" applyBorder="1" applyAlignment="1">
      <alignment horizontal="left" vertical="center" indent="1"/>
    </xf>
    <xf numFmtId="0" fontId="76" fillId="0" borderId="42" xfId="3102" applyFont="1" applyBorder="1" applyAlignment="1">
      <alignment vertical="center"/>
    </xf>
    <xf numFmtId="0" fontId="76" fillId="0" borderId="42" xfId="3102" applyFont="1" applyBorder="1" applyAlignment="1">
      <alignment horizontal="right" vertical="center"/>
    </xf>
    <xf numFmtId="0" fontId="76" fillId="0" borderId="42" xfId="3102" applyFont="1" applyBorder="1" applyAlignment="1">
      <alignment horizontal="center" vertical="center"/>
    </xf>
    <xf numFmtId="0" fontId="76" fillId="0" borderId="43" xfId="3102" applyFont="1" applyBorder="1" applyAlignment="1">
      <alignment horizontal="center" vertical="center" shrinkToFit="1"/>
    </xf>
    <xf numFmtId="0" fontId="76" fillId="0" borderId="44" xfId="3102" applyFont="1" applyBorder="1" applyAlignment="1">
      <alignment horizontal="left" vertical="center" indent="1"/>
    </xf>
    <xf numFmtId="0" fontId="76" fillId="0" borderId="38" xfId="3102" applyFont="1" applyBorder="1" applyAlignment="1">
      <alignment vertical="center"/>
    </xf>
    <xf numFmtId="177" fontId="76" fillId="0" borderId="38" xfId="3102" applyNumberFormat="1" applyFont="1" applyBorder="1" applyAlignment="1">
      <alignment horizontal="right" vertical="center"/>
    </xf>
    <xf numFmtId="0" fontId="76" fillId="0" borderId="30" xfId="3102" applyFont="1" applyBorder="1" applyAlignment="1">
      <alignment horizontal="center" vertical="center" shrinkToFit="1"/>
    </xf>
    <xf numFmtId="0" fontId="3" fillId="0" borderId="47" xfId="3102" applyFont="1" applyBorder="1" applyAlignment="1">
      <alignment vertical="center"/>
    </xf>
    <xf numFmtId="0" fontId="76" fillId="0" borderId="45" xfId="3102" applyFont="1" applyBorder="1" applyAlignment="1">
      <alignment horizontal="left" vertical="center" indent="1"/>
    </xf>
    <xf numFmtId="0" fontId="76" fillId="0" borderId="28" xfId="3102" applyFont="1" applyBorder="1" applyAlignment="1">
      <alignment vertical="center"/>
    </xf>
    <xf numFmtId="38" fontId="76" fillId="0" borderId="28" xfId="3102" applyNumberFormat="1" applyFont="1" applyBorder="1" applyAlignment="1">
      <alignment horizontal="right" vertical="center" shrinkToFit="1"/>
    </xf>
    <xf numFmtId="177" fontId="76" fillId="0" borderId="28" xfId="3102" applyNumberFormat="1" applyFont="1" applyBorder="1" applyAlignment="1">
      <alignment horizontal="right" vertical="center"/>
    </xf>
    <xf numFmtId="242" fontId="76" fillId="0" borderId="39" xfId="3102" applyNumberFormat="1" applyFont="1" applyBorder="1" applyAlignment="1">
      <alignment horizontal="center" vertical="center"/>
    </xf>
    <xf numFmtId="242" fontId="76" fillId="0" borderId="28" xfId="3102" applyNumberFormat="1" applyFont="1" applyBorder="1" applyAlignment="1">
      <alignment horizontal="center" vertical="center"/>
    </xf>
    <xf numFmtId="0" fontId="76" fillId="0" borderId="48" xfId="3102" applyFont="1" applyBorder="1" applyAlignment="1">
      <alignment horizontal="left" vertical="center" indent="1"/>
    </xf>
    <xf numFmtId="0" fontId="76" fillId="0" borderId="0" xfId="3102" applyFont="1" applyAlignment="1">
      <alignment horizontal="center" vertical="center"/>
    </xf>
    <xf numFmtId="0" fontId="76" fillId="0" borderId="46" xfId="3102" applyFont="1" applyBorder="1" applyAlignment="1">
      <alignment vertical="center"/>
    </xf>
    <xf numFmtId="177" fontId="76" fillId="0" borderId="40" xfId="3102" applyNumberFormat="1" applyFont="1" applyBorder="1" applyAlignment="1">
      <alignment horizontal="right" vertical="center"/>
    </xf>
    <xf numFmtId="242" fontId="76" fillId="0" borderId="40" xfId="3102" applyNumberFormat="1" applyFont="1" applyBorder="1" applyAlignment="1">
      <alignment horizontal="center" vertical="center"/>
    </xf>
    <xf numFmtId="38" fontId="76" fillId="0" borderId="40" xfId="3102" applyNumberFormat="1" applyFont="1" applyBorder="1" applyAlignment="1">
      <alignment horizontal="right" vertical="center" shrinkToFit="1"/>
    </xf>
    <xf numFmtId="0" fontId="76" fillId="2" borderId="2" xfId="3102" applyFont="1" applyFill="1" applyBorder="1" applyAlignment="1">
      <alignment horizontal="right" vertical="center"/>
    </xf>
    <xf numFmtId="41" fontId="85" fillId="2" borderId="2" xfId="3102" applyNumberFormat="1" applyFont="1" applyFill="1" applyBorder="1" applyAlignment="1">
      <alignment horizontal="right" vertical="center" shrinkToFit="1"/>
    </xf>
    <xf numFmtId="0" fontId="76" fillId="2" borderId="32" xfId="3102" applyFont="1" applyFill="1" applyBorder="1" applyAlignment="1">
      <alignment horizontal="center" vertical="center" shrinkToFit="1"/>
    </xf>
    <xf numFmtId="41" fontId="72" fillId="0" borderId="2" xfId="3102" applyNumberFormat="1" applyFont="1" applyBorder="1" applyAlignment="1">
      <alignment vertical="center" shrinkToFit="1"/>
    </xf>
    <xf numFmtId="0" fontId="81" fillId="0" borderId="32" xfId="3102" applyFont="1" applyBorder="1" applyAlignment="1">
      <alignment horizontal="center" vertical="center" wrapText="1" shrinkToFit="1"/>
    </xf>
    <xf numFmtId="0" fontId="76" fillId="0" borderId="32" xfId="3102" applyFont="1" applyBorder="1" applyAlignment="1">
      <alignment horizontal="center" vertical="center" shrinkToFit="1"/>
    </xf>
    <xf numFmtId="41" fontId="72" fillId="8" borderId="2" xfId="3102" applyNumberFormat="1" applyFont="1" applyFill="1" applyBorder="1" applyAlignment="1">
      <alignment vertical="center" shrinkToFit="1"/>
    </xf>
    <xf numFmtId="0" fontId="76" fillId="8" borderId="32" xfId="3102" applyFont="1" applyFill="1" applyBorder="1" applyAlignment="1">
      <alignment horizontal="center" vertical="center" shrinkToFit="1"/>
    </xf>
    <xf numFmtId="41" fontId="72" fillId="0" borderId="2" xfId="3102" applyNumberFormat="1" applyFont="1" applyBorder="1" applyAlignment="1">
      <alignment horizontal="right" vertical="center" shrinkToFit="1"/>
    </xf>
    <xf numFmtId="41" fontId="73" fillId="8" borderId="8" xfId="3102" applyNumberFormat="1" applyFont="1" applyFill="1" applyBorder="1" applyAlignment="1">
      <alignment vertical="center" shrinkToFit="1"/>
    </xf>
    <xf numFmtId="0" fontId="73" fillId="8" borderId="51" xfId="3102" applyFont="1" applyFill="1" applyBorder="1" applyAlignment="1">
      <alignment horizontal="center" vertical="center" shrinkToFit="1"/>
    </xf>
    <xf numFmtId="0" fontId="75" fillId="2" borderId="23" xfId="3102" applyFont="1" applyFill="1" applyBorder="1" applyAlignment="1">
      <alignment vertical="center" shrinkToFit="1"/>
    </xf>
    <xf numFmtId="0" fontId="80" fillId="0" borderId="0" xfId="3102" applyFont="1" applyAlignment="1">
      <alignment vertical="center"/>
    </xf>
    <xf numFmtId="0" fontId="75" fillId="2" borderId="25" xfId="3102" applyFont="1" applyFill="1" applyBorder="1" applyAlignment="1">
      <alignment vertical="center" shrinkToFit="1"/>
    </xf>
    <xf numFmtId="0" fontId="75" fillId="2" borderId="27" xfId="3102" applyFont="1" applyFill="1" applyBorder="1" applyAlignment="1">
      <alignment vertical="center" shrinkToFit="1"/>
    </xf>
    <xf numFmtId="0" fontId="5" fillId="0" borderId="0" xfId="3102"/>
    <xf numFmtId="0" fontId="5" fillId="0" borderId="0" xfId="3102" applyAlignment="1">
      <alignment horizontal="center"/>
    </xf>
    <xf numFmtId="0" fontId="5" fillId="0" borderId="0" xfId="3102" applyAlignment="1">
      <alignment shrinkToFit="1"/>
    </xf>
    <xf numFmtId="0" fontId="72" fillId="0" borderId="50" xfId="3102" applyFont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2" fillId="8" borderId="8" xfId="3102" applyFont="1" applyFill="1" applyBorder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111" fillId="0" borderId="0" xfId="0" applyFont="1" applyAlignment="1">
      <alignment horizontal="justify" vertical="center"/>
    </xf>
    <xf numFmtId="0" fontId="110" fillId="0" borderId="0" xfId="0" applyFont="1" applyAlignment="1">
      <alignment horizontal="center"/>
    </xf>
    <xf numFmtId="0" fontId="110" fillId="0" borderId="0" xfId="0" applyFont="1" applyAlignment="1">
      <alignment horizontal="right"/>
    </xf>
    <xf numFmtId="0" fontId="112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 wrapText="1"/>
    </xf>
    <xf numFmtId="38" fontId="76" fillId="0" borderId="28" xfId="2792" applyNumberFormat="1" applyFont="1" applyBorder="1" applyAlignment="1">
      <alignment horizontal="right" vertical="center" shrinkToFit="1"/>
    </xf>
    <xf numFmtId="0" fontId="123" fillId="0" borderId="0" xfId="3113" applyFont="1">
      <alignment vertical="center"/>
    </xf>
    <xf numFmtId="0" fontId="124" fillId="0" borderId="0" xfId="3113" applyFont="1">
      <alignment vertical="center"/>
    </xf>
    <xf numFmtId="0" fontId="120" fillId="0" borderId="7" xfId="0" applyFont="1" applyBorder="1" applyAlignment="1">
      <alignment horizontal="center" vertical="center" wrapText="1"/>
    </xf>
    <xf numFmtId="0" fontId="7" fillId="0" borderId="0" xfId="3113" applyFont="1" applyAlignment="1">
      <alignment horizontal="left" vertical="center"/>
    </xf>
    <xf numFmtId="0" fontId="7" fillId="0" borderId="0" xfId="3113" applyFont="1" applyAlignment="1">
      <alignment horizontal="left" vertical="center" wrapText="1"/>
    </xf>
    <xf numFmtId="0" fontId="123" fillId="0" borderId="0" xfId="3113" applyFont="1" applyAlignment="1">
      <alignment horizontal="left" vertical="center"/>
    </xf>
    <xf numFmtId="0" fontId="126" fillId="0" borderId="0" xfId="3113" applyFont="1" applyAlignment="1">
      <alignment horizontal="left" vertical="center"/>
    </xf>
    <xf numFmtId="0" fontId="104" fillId="0" borderId="0" xfId="3113" applyFont="1" applyAlignment="1">
      <alignment horizontal="center" vertical="center" shrinkToFit="1"/>
    </xf>
    <xf numFmtId="0" fontId="7" fillId="0" borderId="0" xfId="3113" applyFont="1" applyAlignment="1">
      <alignment horizontal="left" vertical="center" wrapText="1"/>
    </xf>
    <xf numFmtId="0" fontId="107" fillId="0" borderId="0" xfId="3113" applyFont="1" applyAlignment="1">
      <alignment horizontal="center" vertical="center"/>
    </xf>
    <xf numFmtId="0" fontId="33" fillId="0" borderId="0" xfId="3113" applyFont="1" applyAlignment="1">
      <alignment horizontal="center" vertical="center" shrinkToFit="1"/>
    </xf>
    <xf numFmtId="14" fontId="7" fillId="0" borderId="0" xfId="3113" applyNumberFormat="1" applyFont="1" applyAlignment="1">
      <alignment horizontal="left" vertical="center"/>
    </xf>
    <xf numFmtId="0" fontId="7" fillId="0" borderId="0" xfId="3113" applyFont="1" applyAlignment="1">
      <alignment horizontal="left" vertical="center"/>
    </xf>
    <xf numFmtId="0" fontId="123" fillId="0" borderId="0" xfId="3113" applyFont="1" applyAlignment="1">
      <alignment horizontal="left" vertical="center"/>
    </xf>
    <xf numFmtId="0" fontId="113" fillId="0" borderId="0" xfId="3113" applyFont="1">
      <alignment vertical="center"/>
    </xf>
    <xf numFmtId="0" fontId="104" fillId="0" borderId="0" xfId="3113" applyFont="1" applyAlignment="1">
      <alignment horizontal="left" vertical="center"/>
    </xf>
    <xf numFmtId="0" fontId="103" fillId="0" borderId="0" xfId="3113" applyFont="1" applyAlignment="1">
      <alignment horizontal="center" vertical="top"/>
    </xf>
    <xf numFmtId="0" fontId="7" fillId="0" borderId="0" xfId="3113" applyFont="1" applyAlignment="1">
      <alignment horizontal="left" vertical="center" shrinkToFit="1"/>
    </xf>
    <xf numFmtId="0" fontId="7" fillId="0" borderId="0" xfId="3113" applyFont="1" applyAlignment="1">
      <alignment horizontal="left" vertical="center" wrapText="1" shrinkToFit="1"/>
    </xf>
    <xf numFmtId="243" fontId="113" fillId="0" borderId="0" xfId="3113" applyNumberFormat="1" applyFont="1" applyAlignment="1">
      <alignment horizontal="left" vertical="center" shrinkToFit="1"/>
    </xf>
    <xf numFmtId="0" fontId="86" fillId="8" borderId="0" xfId="3102" quotePrefix="1" applyFont="1" applyFill="1" applyAlignment="1">
      <alignment horizontal="center" vertical="center" shrinkToFit="1"/>
    </xf>
    <xf numFmtId="0" fontId="72" fillId="0" borderId="8" xfId="3102" applyFont="1" applyBorder="1" applyAlignment="1">
      <alignment horizontal="right" vertical="center" shrinkToFit="1"/>
    </xf>
    <xf numFmtId="0" fontId="73" fillId="8" borderId="71" xfId="3102" applyFont="1" applyFill="1" applyBorder="1" applyAlignment="1">
      <alignment horizontal="center" vertical="center"/>
    </xf>
    <xf numFmtId="0" fontId="73" fillId="8" borderId="72" xfId="3102" applyFont="1" applyFill="1" applyBorder="1" applyAlignment="1">
      <alignment horizontal="center" vertical="center"/>
    </xf>
    <xf numFmtId="180" fontId="73" fillId="8" borderId="56" xfId="3102" applyNumberFormat="1" applyFont="1" applyFill="1" applyBorder="1" applyAlignment="1">
      <alignment horizontal="left" vertical="center" shrinkToFit="1"/>
    </xf>
    <xf numFmtId="180" fontId="73" fillId="8" borderId="6" xfId="3102" applyNumberFormat="1" applyFont="1" applyFill="1" applyBorder="1" applyAlignment="1">
      <alignment horizontal="left" vertical="center" shrinkToFit="1"/>
    </xf>
    <xf numFmtId="180" fontId="73" fillId="8" borderId="54" xfId="3102" applyNumberFormat="1" applyFont="1" applyFill="1" applyBorder="1" applyAlignment="1">
      <alignment horizontal="left" vertical="center" shrinkToFit="1"/>
    </xf>
    <xf numFmtId="0" fontId="73" fillId="7" borderId="59" xfId="3102" applyFont="1" applyFill="1" applyBorder="1" applyAlignment="1">
      <alignment horizontal="center" vertical="center"/>
    </xf>
    <xf numFmtId="0" fontId="73" fillId="7" borderId="60" xfId="3102" applyFont="1" applyFill="1" applyBorder="1" applyAlignment="1">
      <alignment horizontal="center" vertical="center"/>
    </xf>
    <xf numFmtId="180" fontId="73" fillId="7" borderId="65" xfId="3102" applyNumberFormat="1" applyFont="1" applyFill="1" applyBorder="1" applyAlignment="1">
      <alignment horizontal="left" vertical="center" shrinkToFit="1"/>
    </xf>
    <xf numFmtId="180" fontId="73" fillId="7" borderId="66" xfId="3102" applyNumberFormat="1" applyFont="1" applyFill="1" applyBorder="1" applyAlignment="1">
      <alignment horizontal="left" vertical="center" shrinkToFit="1"/>
    </xf>
    <xf numFmtId="180" fontId="73" fillId="7" borderId="67" xfId="3102" applyNumberFormat="1" applyFont="1" applyFill="1" applyBorder="1" applyAlignment="1">
      <alignment horizontal="left" vertical="center" shrinkToFit="1"/>
    </xf>
    <xf numFmtId="0" fontId="74" fillId="0" borderId="75" xfId="3102" applyFont="1" applyBorder="1" applyAlignment="1">
      <alignment horizontal="center" vertical="center"/>
    </xf>
    <xf numFmtId="0" fontId="74" fillId="0" borderId="50" xfId="3102" applyFont="1" applyBorder="1" applyAlignment="1">
      <alignment horizontal="center" vertical="center"/>
    </xf>
    <xf numFmtId="0" fontId="72" fillId="0" borderId="49" xfId="3102" applyFont="1" applyBorder="1" applyAlignment="1">
      <alignment horizontal="center" vertical="center"/>
    </xf>
    <xf numFmtId="0" fontId="72" fillId="0" borderId="7" xfId="3102" applyFont="1" applyBorder="1" applyAlignment="1">
      <alignment horizontal="center" vertical="center"/>
    </xf>
    <xf numFmtId="0" fontId="72" fillId="0" borderId="50" xfId="3102" applyFont="1" applyBorder="1" applyAlignment="1">
      <alignment horizontal="center" vertical="center"/>
    </xf>
    <xf numFmtId="0" fontId="73" fillId="7" borderId="73" xfId="3102" applyFont="1" applyFill="1" applyBorder="1" applyAlignment="1">
      <alignment horizontal="center" vertical="center"/>
    </xf>
    <xf numFmtId="0" fontId="73" fillId="7" borderId="74" xfId="3102" applyFont="1" applyFill="1" applyBorder="1" applyAlignment="1">
      <alignment horizontal="center" vertical="center"/>
    </xf>
    <xf numFmtId="180" fontId="73" fillId="7" borderId="68" xfId="3102" applyNumberFormat="1" applyFont="1" applyFill="1" applyBorder="1" applyAlignment="1">
      <alignment horizontal="left" vertical="center" shrinkToFit="1"/>
    </xf>
    <xf numFmtId="180" fontId="73" fillId="7" borderId="69" xfId="3102" applyNumberFormat="1" applyFont="1" applyFill="1" applyBorder="1" applyAlignment="1">
      <alignment horizontal="left" vertical="center" shrinkToFit="1"/>
    </xf>
    <xf numFmtId="180" fontId="73" fillId="7" borderId="70" xfId="3102" applyNumberFormat="1" applyFont="1" applyFill="1" applyBorder="1" applyAlignment="1">
      <alignment horizontal="left" vertical="center" shrinkToFit="1"/>
    </xf>
    <xf numFmtId="0" fontId="82" fillId="0" borderId="71" xfId="3102" applyFont="1" applyBorder="1" applyAlignment="1">
      <alignment horizontal="center" vertical="center"/>
    </xf>
    <xf numFmtId="0" fontId="82" fillId="0" borderId="6" xfId="3102" applyFont="1" applyBorder="1" applyAlignment="1">
      <alignment horizontal="center" vertical="center"/>
    </xf>
    <xf numFmtId="0" fontId="82" fillId="0" borderId="54" xfId="3102" applyFont="1" applyBorder="1" applyAlignment="1">
      <alignment horizontal="center" vertical="center"/>
    </xf>
    <xf numFmtId="0" fontId="84" fillId="0" borderId="71" xfId="2637" applyFont="1" applyFill="1" applyBorder="1" applyAlignment="1">
      <alignment horizontal="center" vertical="center"/>
    </xf>
    <xf numFmtId="0" fontId="84" fillId="0" borderId="72" xfId="2637" applyFont="1" applyFill="1" applyBorder="1" applyAlignment="1">
      <alignment horizontal="center" vertical="center"/>
    </xf>
    <xf numFmtId="0" fontId="84" fillId="2" borderId="59" xfId="2637" applyFont="1" applyFill="1" applyBorder="1" applyAlignment="1">
      <alignment horizontal="left" vertical="center"/>
    </xf>
    <xf numFmtId="0" fontId="84" fillId="2" borderId="60" xfId="2637" applyFont="1" applyFill="1" applyBorder="1" applyAlignment="1">
      <alignment horizontal="left" vertical="center"/>
    </xf>
    <xf numFmtId="0" fontId="72" fillId="2" borderId="75" xfId="3102" applyFont="1" applyFill="1" applyBorder="1" applyAlignment="1">
      <alignment horizontal="left" vertical="center"/>
    </xf>
    <xf numFmtId="0" fontId="72" fillId="2" borderId="50" xfId="3102" applyFont="1" applyFill="1" applyBorder="1" applyAlignment="1">
      <alignment horizontal="left" vertical="center"/>
    </xf>
    <xf numFmtId="0" fontId="74" fillId="2" borderId="75" xfId="3102" applyFont="1" applyFill="1" applyBorder="1" applyAlignment="1">
      <alignment horizontal="left" vertical="center"/>
    </xf>
    <xf numFmtId="0" fontId="74" fillId="2" borderId="50" xfId="3102" applyFont="1" applyFill="1" applyBorder="1" applyAlignment="1">
      <alignment horizontal="left" vertical="center"/>
    </xf>
    <xf numFmtId="0" fontId="74" fillId="0" borderId="75" xfId="3102" applyFont="1" applyBorder="1" applyAlignment="1">
      <alignment horizontal="left" vertical="center"/>
    </xf>
    <xf numFmtId="0" fontId="74" fillId="0" borderId="50" xfId="3102" applyFont="1" applyBorder="1" applyAlignment="1">
      <alignment horizontal="left" vertical="center"/>
    </xf>
    <xf numFmtId="0" fontId="74" fillId="8" borderId="75" xfId="3102" applyFont="1" applyFill="1" applyBorder="1" applyAlignment="1">
      <alignment horizontal="center" vertical="center"/>
    </xf>
    <xf numFmtId="0" fontId="74" fillId="8" borderId="50" xfId="3102" applyFont="1" applyFill="1" applyBorder="1" applyAlignment="1">
      <alignment horizontal="center" vertical="center"/>
    </xf>
    <xf numFmtId="0" fontId="72" fillId="8" borderId="49" xfId="3102" applyFont="1" applyFill="1" applyBorder="1" applyAlignment="1">
      <alignment horizontal="center" vertical="center"/>
    </xf>
    <xf numFmtId="0" fontId="72" fillId="8" borderId="7" xfId="3102" applyFont="1" applyFill="1" applyBorder="1" applyAlignment="1">
      <alignment horizontal="center" vertical="center"/>
    </xf>
    <xf numFmtId="0" fontId="72" fillId="8" borderId="50" xfId="3102" applyFont="1" applyFill="1" applyBorder="1" applyAlignment="1">
      <alignment horizontal="center" vertical="center"/>
    </xf>
    <xf numFmtId="0" fontId="73" fillId="8" borderId="73" xfId="3102" applyFont="1" applyFill="1" applyBorder="1" applyAlignment="1">
      <alignment horizontal="center" vertical="center"/>
    </xf>
    <xf numFmtId="0" fontId="73" fillId="8" borderId="74" xfId="3102" applyFont="1" applyFill="1" applyBorder="1" applyAlignment="1">
      <alignment horizontal="center" vertical="center"/>
    </xf>
    <xf numFmtId="0" fontId="72" fillId="8" borderId="68" xfId="3102" applyFont="1" applyFill="1" applyBorder="1" applyAlignment="1">
      <alignment horizontal="center" vertical="center"/>
    </xf>
    <xf numFmtId="0" fontId="72" fillId="8" borderId="69" xfId="3102" applyFont="1" applyFill="1" applyBorder="1" applyAlignment="1">
      <alignment horizontal="center" vertical="center"/>
    </xf>
    <xf numFmtId="0" fontId="72" fillId="8" borderId="74" xfId="3102" applyFont="1" applyFill="1" applyBorder="1" applyAlignment="1">
      <alignment horizontal="center" vertical="center"/>
    </xf>
    <xf numFmtId="0" fontId="75" fillId="2" borderId="21" xfId="3102" applyFont="1" applyFill="1" applyBorder="1" applyAlignment="1">
      <alignment horizontal="center" vertical="center"/>
    </xf>
    <xf numFmtId="0" fontId="75" fillId="2" borderId="22" xfId="3102" applyFont="1" applyFill="1" applyBorder="1" applyAlignment="1">
      <alignment horizontal="center" vertical="center"/>
    </xf>
    <xf numFmtId="0" fontId="75" fillId="2" borderId="24" xfId="3102" applyFont="1" applyFill="1" applyBorder="1" applyAlignment="1">
      <alignment horizontal="center" vertical="center"/>
    </xf>
    <xf numFmtId="0" fontId="75" fillId="2" borderId="0" xfId="3102" applyFont="1" applyFill="1" applyAlignment="1">
      <alignment horizontal="center" vertical="center"/>
    </xf>
    <xf numFmtId="0" fontId="75" fillId="2" borderId="26" xfId="3102" applyFont="1" applyFill="1" applyBorder="1" applyAlignment="1">
      <alignment horizontal="center" vertical="center"/>
    </xf>
    <xf numFmtId="0" fontId="75" fillId="2" borderId="8" xfId="3102" applyFont="1" applyFill="1" applyBorder="1" applyAlignment="1">
      <alignment horizontal="center" vertical="center"/>
    </xf>
    <xf numFmtId="0" fontId="78" fillId="0" borderId="22" xfId="3102" applyFont="1" applyBorder="1" applyAlignment="1">
      <alignment horizontal="center" vertical="center" wrapText="1"/>
    </xf>
    <xf numFmtId="0" fontId="72" fillId="0" borderId="0" xfId="3102" applyFont="1" applyAlignment="1">
      <alignment horizontal="center" vertical="center" wrapText="1"/>
    </xf>
    <xf numFmtId="0" fontId="72" fillId="0" borderId="0" xfId="3102" applyFont="1" applyAlignment="1">
      <alignment horizontal="center" vertical="center" shrinkToFit="1"/>
    </xf>
    <xf numFmtId="0" fontId="72" fillId="0" borderId="8" xfId="3102" applyFont="1" applyBorder="1" applyAlignment="1">
      <alignment horizontal="center" vertical="center" shrinkToFit="1"/>
    </xf>
    <xf numFmtId="0" fontId="95" fillId="0" borderId="61" xfId="0" applyFont="1" applyBorder="1" applyAlignment="1">
      <alignment horizontal="center" vertical="center" textRotation="255" wrapText="1"/>
    </xf>
    <xf numFmtId="0" fontId="95" fillId="0" borderId="36" xfId="0" applyFont="1" applyBorder="1" applyAlignment="1">
      <alignment horizontal="center" vertical="center" textRotation="255" wrapText="1"/>
    </xf>
    <xf numFmtId="0" fontId="95" fillId="0" borderId="55" xfId="0" applyFont="1" applyBorder="1" applyAlignment="1">
      <alignment horizontal="center" vertical="center" textRotation="255" wrapText="1"/>
    </xf>
    <xf numFmtId="0" fontId="95" fillId="0" borderId="2" xfId="0" applyFont="1" applyBorder="1" applyAlignment="1">
      <alignment horizontal="center" vertical="center" textRotation="255" wrapText="1"/>
    </xf>
    <xf numFmtId="0" fontId="96" fillId="0" borderId="36" xfId="0" applyFont="1" applyBorder="1" applyAlignment="1">
      <alignment horizontal="center" vertical="center" wrapText="1"/>
    </xf>
    <xf numFmtId="0" fontId="122" fillId="0" borderId="36" xfId="0" applyFont="1" applyBorder="1" applyAlignment="1">
      <alignment horizontal="left" vertical="center" wrapText="1"/>
    </xf>
    <xf numFmtId="0" fontId="122" fillId="0" borderId="52" xfId="0" applyFont="1" applyBorder="1" applyAlignment="1">
      <alignment horizontal="left" vertical="center" wrapText="1"/>
    </xf>
    <xf numFmtId="0" fontId="96" fillId="0" borderId="2" xfId="0" applyFont="1" applyBorder="1" applyAlignment="1">
      <alignment horizontal="center" vertical="center" wrapText="1"/>
    </xf>
    <xf numFmtId="0" fontId="120" fillId="0" borderId="0" xfId="0" applyFont="1" applyAlignment="1">
      <alignment horizontal="left" vertical="center" wrapText="1"/>
    </xf>
    <xf numFmtId="0" fontId="120" fillId="0" borderId="25" xfId="0" applyFont="1" applyBorder="1" applyAlignment="1">
      <alignment horizontal="left" vertical="center" wrapText="1"/>
    </xf>
    <xf numFmtId="0" fontId="89" fillId="11" borderId="53" xfId="0" applyFont="1" applyFill="1" applyBorder="1" applyAlignment="1">
      <alignment horizontal="center" vertical="center" wrapText="1"/>
    </xf>
    <xf numFmtId="0" fontId="89" fillId="11" borderId="0" xfId="0" applyFont="1" applyFill="1" applyAlignment="1">
      <alignment horizontal="center" vertical="center" wrapText="1"/>
    </xf>
    <xf numFmtId="0" fontId="90" fillId="0" borderId="0" xfId="0" applyFont="1" applyAlignment="1">
      <alignment horizontal="center" vertical="center" wrapText="1"/>
    </xf>
    <xf numFmtId="0" fontId="119" fillId="0" borderId="0" xfId="0" applyFont="1" applyAlignment="1">
      <alignment horizontal="center" vertical="center" wrapText="1"/>
    </xf>
    <xf numFmtId="0" fontId="83" fillId="11" borderId="53" xfId="0" applyFont="1" applyFill="1" applyBorder="1" applyAlignment="1">
      <alignment horizontal="center" vertical="center" wrapText="1"/>
    </xf>
    <xf numFmtId="0" fontId="83" fillId="11" borderId="0" xfId="0" applyFont="1" applyFill="1" applyAlignment="1">
      <alignment horizontal="center" vertical="center" wrapText="1"/>
    </xf>
    <xf numFmtId="14" fontId="119" fillId="0" borderId="0" xfId="0" applyNumberFormat="1" applyFont="1" applyAlignment="1">
      <alignment horizontal="center" vertical="center"/>
    </xf>
    <xf numFmtId="0" fontId="94" fillId="0" borderId="21" xfId="0" applyFont="1" applyBorder="1" applyAlignment="1">
      <alignment horizontal="center" vertical="center" wrapText="1"/>
    </xf>
    <xf numFmtId="0" fontId="94" fillId="0" borderId="22" xfId="0" applyFont="1" applyBorder="1" applyAlignment="1">
      <alignment horizontal="center" vertical="center" wrapText="1"/>
    </xf>
    <xf numFmtId="0" fontId="94" fillId="0" borderId="23" xfId="0" applyFont="1" applyBorder="1" applyAlignment="1">
      <alignment horizontal="center" vertical="center" wrapText="1"/>
    </xf>
    <xf numFmtId="0" fontId="92" fillId="0" borderId="0" xfId="0" applyFont="1" applyAlignment="1">
      <alignment horizontal="left" vertical="center" wrapText="1"/>
    </xf>
    <xf numFmtId="0" fontId="89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93" fillId="0" borderId="24" xfId="0" applyFont="1" applyBorder="1" applyAlignment="1">
      <alignment horizontal="center" vertical="center" wrapText="1"/>
    </xf>
    <xf numFmtId="0" fontId="120" fillId="0" borderId="7" xfId="0" applyFont="1" applyBorder="1" applyAlignment="1">
      <alignment horizontal="center" vertical="center" wrapText="1"/>
    </xf>
    <xf numFmtId="0" fontId="120" fillId="0" borderId="63" xfId="0" applyFont="1" applyBorder="1" applyAlignment="1">
      <alignment horizontal="center" vertical="center" wrapText="1"/>
    </xf>
    <xf numFmtId="14" fontId="93" fillId="0" borderId="0" xfId="0" applyNumberFormat="1" applyFont="1" applyAlignment="1">
      <alignment horizontal="left" vertical="center" wrapText="1"/>
    </xf>
    <xf numFmtId="14" fontId="93" fillId="0" borderId="25" xfId="0" applyNumberFormat="1" applyFont="1" applyBorder="1" applyAlignment="1">
      <alignment horizontal="left" vertical="center" wrapText="1"/>
    </xf>
    <xf numFmtId="0" fontId="122" fillId="0" borderId="49" xfId="0" applyFont="1" applyBorder="1" applyAlignment="1">
      <alignment horizontal="left" vertical="center" wrapText="1"/>
    </xf>
    <xf numFmtId="0" fontId="122" fillId="0" borderId="7" xfId="0" applyFont="1" applyBorder="1" applyAlignment="1">
      <alignment horizontal="left" vertical="center" wrapText="1"/>
    </xf>
    <xf numFmtId="0" fontId="122" fillId="0" borderId="63" xfId="0" applyFont="1" applyBorder="1" applyAlignment="1">
      <alignment horizontal="left" vertical="center" wrapText="1"/>
    </xf>
    <xf numFmtId="0" fontId="120" fillId="0" borderId="2" xfId="0" applyFont="1" applyBorder="1" applyAlignment="1">
      <alignment horizontal="left" vertical="center" wrapText="1"/>
    </xf>
    <xf numFmtId="0" fontId="120" fillId="0" borderId="32" xfId="0" applyFont="1" applyBorder="1" applyAlignment="1">
      <alignment horizontal="left" vertical="center" wrapText="1"/>
    </xf>
    <xf numFmtId="0" fontId="93" fillId="0" borderId="0" xfId="0" applyFont="1" applyAlignment="1">
      <alignment horizontal="left" vertical="center" wrapText="1"/>
    </xf>
    <xf numFmtId="0" fontId="93" fillId="0" borderId="25" xfId="0" applyFont="1" applyBorder="1" applyAlignment="1">
      <alignment horizontal="left" vertical="center" wrapText="1"/>
    </xf>
    <xf numFmtId="0" fontId="93" fillId="0" borderId="24" xfId="0" applyFont="1" applyBorder="1" applyAlignment="1">
      <alignment horizontal="left" vertical="center" wrapText="1"/>
    </xf>
    <xf numFmtId="0" fontId="101" fillId="0" borderId="0" xfId="0" applyFont="1" applyAlignment="1">
      <alignment horizontal="center" vertical="center"/>
    </xf>
    <xf numFmtId="0" fontId="116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/>
    </xf>
    <xf numFmtId="0" fontId="120" fillId="0" borderId="13" xfId="0" applyFont="1" applyBorder="1" applyAlignment="1">
      <alignment horizontal="left" vertical="center" wrapText="1"/>
    </xf>
    <xf numFmtId="0" fontId="120" fillId="0" borderId="62" xfId="0" applyFont="1" applyBorder="1" applyAlignment="1">
      <alignment horizontal="left" vertical="center" wrapText="1"/>
    </xf>
    <xf numFmtId="0" fontId="96" fillId="0" borderId="1" xfId="0" applyFont="1" applyBorder="1" applyAlignment="1">
      <alignment horizontal="center" vertical="center" wrapText="1"/>
    </xf>
    <xf numFmtId="0" fontId="93" fillId="0" borderId="76" xfId="0" applyFont="1" applyBorder="1" applyAlignment="1">
      <alignment horizontal="center" vertical="center" wrapText="1"/>
    </xf>
    <xf numFmtId="0" fontId="93" fillId="0" borderId="77" xfId="0" applyFont="1" applyBorder="1" applyAlignment="1">
      <alignment horizontal="center" vertical="center" wrapText="1"/>
    </xf>
    <xf numFmtId="0" fontId="93" fillId="0" borderId="78" xfId="0" applyFont="1" applyBorder="1" applyAlignment="1">
      <alignment horizontal="center" vertical="center" wrapText="1"/>
    </xf>
    <xf numFmtId="0" fontId="95" fillId="0" borderId="64" xfId="0" applyFont="1" applyBorder="1" applyAlignment="1">
      <alignment horizontal="center" vertical="center" textRotation="255" wrapText="1"/>
    </xf>
    <xf numFmtId="0" fontId="95" fillId="0" borderId="18" xfId="0" applyFont="1" applyBorder="1" applyAlignment="1">
      <alignment horizontal="center" vertical="center" textRotation="255" wrapText="1"/>
    </xf>
    <xf numFmtId="0" fontId="95" fillId="0" borderId="57" xfId="0" applyFont="1" applyBorder="1" applyAlignment="1">
      <alignment horizontal="center" vertical="center" textRotation="255" wrapText="1"/>
    </xf>
    <xf numFmtId="0" fontId="95" fillId="0" borderId="1" xfId="0" applyFont="1" applyBorder="1" applyAlignment="1">
      <alignment horizontal="center" vertical="center" textRotation="255" wrapText="1"/>
    </xf>
    <xf numFmtId="0" fontId="122" fillId="0" borderId="2" xfId="0" applyFont="1" applyBorder="1" applyAlignment="1">
      <alignment horizontal="left" vertical="center" wrapText="1"/>
    </xf>
    <xf numFmtId="0" fontId="122" fillId="0" borderId="32" xfId="0" applyFont="1" applyBorder="1" applyAlignment="1">
      <alignment horizontal="left" vertical="center" wrapText="1"/>
    </xf>
    <xf numFmtId="180" fontId="122" fillId="0" borderId="2" xfId="0" applyNumberFormat="1" applyFont="1" applyBorder="1" applyAlignment="1">
      <alignment horizontal="left" vertical="center" shrinkToFit="1"/>
    </xf>
    <xf numFmtId="180" fontId="122" fillId="0" borderId="32" xfId="0" applyNumberFormat="1" applyFont="1" applyBorder="1" applyAlignment="1">
      <alignment horizontal="left" vertical="center" shrinkToFit="1"/>
    </xf>
    <xf numFmtId="0" fontId="96" fillId="0" borderId="49" xfId="0" applyFont="1" applyBorder="1" applyAlignment="1">
      <alignment horizontal="center" vertical="center" wrapText="1"/>
    </xf>
    <xf numFmtId="0" fontId="96" fillId="0" borderId="7" xfId="0" applyFont="1" applyBorder="1" applyAlignment="1">
      <alignment horizontal="center" vertical="center" wrapText="1"/>
    </xf>
    <xf numFmtId="0" fontId="96" fillId="0" borderId="50" xfId="0" applyFont="1" applyBorder="1" applyAlignment="1">
      <alignment horizontal="center" vertical="center" wrapText="1"/>
    </xf>
    <xf numFmtId="0" fontId="98" fillId="0" borderId="49" xfId="0" applyFont="1" applyBorder="1" applyAlignment="1">
      <alignment horizontal="left" vertical="center" wrapText="1"/>
    </xf>
    <xf numFmtId="0" fontId="98" fillId="0" borderId="7" xfId="0" applyFont="1" applyBorder="1" applyAlignment="1">
      <alignment horizontal="left" vertical="center" wrapText="1"/>
    </xf>
    <xf numFmtId="0" fontId="98" fillId="0" borderId="63" xfId="0" applyFont="1" applyBorder="1" applyAlignment="1">
      <alignment horizontal="left" vertical="center" wrapText="1"/>
    </xf>
    <xf numFmtId="0" fontId="93" fillId="0" borderId="1" xfId="0" applyFont="1" applyBorder="1" applyAlignment="1">
      <alignment horizontal="left" vertical="center" wrapText="1"/>
    </xf>
    <xf numFmtId="0" fontId="93" fillId="0" borderId="58" xfId="0" applyFont="1" applyBorder="1" applyAlignment="1">
      <alignment horizontal="left" vertical="center" wrapText="1"/>
    </xf>
    <xf numFmtId="0" fontId="83" fillId="0" borderId="24" xfId="0" applyFont="1" applyBorder="1" applyAlignment="1">
      <alignment horizontal="justify" vertical="center" wrapText="1"/>
    </xf>
    <xf numFmtId="0" fontId="83" fillId="0" borderId="0" xfId="0" applyFont="1" applyAlignment="1">
      <alignment horizontal="justify" vertical="center" wrapText="1"/>
    </xf>
    <xf numFmtId="0" fontId="120" fillId="0" borderId="49" xfId="0" applyFont="1" applyBorder="1" applyAlignment="1">
      <alignment horizontal="center" vertical="center" wrapText="1"/>
    </xf>
    <xf numFmtId="0" fontId="95" fillId="0" borderId="0" xfId="0" applyFont="1" applyAlignment="1">
      <alignment horizontal="left" vertical="center"/>
    </xf>
    <xf numFmtId="0" fontId="93" fillId="0" borderId="26" xfId="0" applyFont="1" applyBorder="1" applyAlignment="1">
      <alignment horizontal="center" vertical="center" wrapText="1"/>
    </xf>
    <xf numFmtId="0" fontId="93" fillId="0" borderId="8" xfId="0" applyFont="1" applyBorder="1" applyAlignment="1">
      <alignment horizontal="center" vertical="center" wrapText="1"/>
    </xf>
    <xf numFmtId="0" fontId="120" fillId="0" borderId="8" xfId="0" applyFont="1" applyBorder="1" applyAlignment="1">
      <alignment horizontal="left" vertical="center" shrinkToFit="1"/>
    </xf>
    <xf numFmtId="0" fontId="93" fillId="0" borderId="8" xfId="0" applyFont="1" applyBorder="1" applyAlignment="1">
      <alignment horizontal="left" vertical="center" wrapText="1"/>
    </xf>
    <xf numFmtId="0" fontId="93" fillId="0" borderId="27" xfId="0" applyFont="1" applyBorder="1" applyAlignment="1">
      <alignment horizontal="left" vertical="center" wrapText="1"/>
    </xf>
    <xf numFmtId="0" fontId="120" fillId="0" borderId="0" xfId="0" applyFont="1" applyAlignment="1">
      <alignment horizontal="left" vertical="center" shrinkToFit="1"/>
    </xf>
    <xf numFmtId="0" fontId="120" fillId="0" borderId="0" xfId="0" applyFont="1" applyAlignment="1">
      <alignment horizontal="left" vertical="center" wrapText="1" shrinkToFit="1"/>
    </xf>
    <xf numFmtId="0" fontId="98" fillId="0" borderId="0" xfId="0" applyFont="1" applyAlignment="1">
      <alignment horizontal="left" vertical="center" wrapText="1"/>
    </xf>
    <xf numFmtId="0" fontId="125" fillId="0" borderId="0" xfId="0" applyFont="1" applyAlignment="1">
      <alignment horizontal="left" vertical="center" wrapText="1"/>
    </xf>
    <xf numFmtId="0" fontId="125" fillId="0" borderId="25" xfId="0" applyFont="1" applyBorder="1" applyAlignment="1">
      <alignment horizontal="left" vertical="center" wrapText="1"/>
    </xf>
    <xf numFmtId="0" fontId="100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93" fillId="0" borderId="0" xfId="0" applyFont="1" applyAlignment="1">
      <alignment horizontal="left" vertical="center" shrinkToFit="1"/>
    </xf>
    <xf numFmtId="0" fontId="4" fillId="0" borderId="0" xfId="0" applyFont="1" applyAlignment="1">
      <alignment vertical="center" wrapText="1"/>
    </xf>
    <xf numFmtId="0" fontId="114" fillId="0" borderId="0" xfId="0" applyFont="1" applyAlignment="1">
      <alignment horizontal="left" vertical="center" wrapText="1"/>
    </xf>
    <xf numFmtId="0" fontId="12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 shrinkToFit="1"/>
    </xf>
    <xf numFmtId="0" fontId="118" fillId="0" borderId="0" xfId="0" applyFont="1" applyAlignment="1">
      <alignment horizontal="left" vertical="center"/>
    </xf>
    <xf numFmtId="0" fontId="117" fillId="0" borderId="0" xfId="0" applyFont="1" applyAlignment="1">
      <alignment horizontal="left" vertical="center"/>
    </xf>
  </cellXfs>
  <cellStyles count="3119">
    <cellStyle name=" " xfId="1"/>
    <cellStyle name="' '" xfId="2"/>
    <cellStyle name=" _97연말" xfId="3"/>
    <cellStyle name=" _97연말1" xfId="4"/>
    <cellStyle name=" _Book1" xfId="5"/>
    <cellStyle name="&quot;" xfId="6"/>
    <cellStyle name="#,##0" xfId="7"/>
    <cellStyle name="(##.00)" xfId="8"/>
    <cellStyle name="(△콤마)" xfId="9"/>
    <cellStyle name="(백분율)" xfId="10"/>
    <cellStyle name="(콤마)" xfId="11"/>
    <cellStyle name="??&amp;O?&amp;H?_x0008__x000f__x0007_?_x0007__x0001__x0001_" xfId="12"/>
    <cellStyle name="??&amp;O?&amp;H?_x0008_??_x0007__x0001__x0001_" xfId="13"/>
    <cellStyle name="?W?_laroux" xfId="14"/>
    <cellStyle name="?曹%U?&amp;H?_x0008_?s_x000a__x0007__x0001__x0001_" xfId="15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_00-설계서,원가계산,내역서" xfId="861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’E‰Y [0.00]_laroux" xfId="1093"/>
    <cellStyle name="’E‰Y_laroux" xfId="1094"/>
    <cellStyle name="¤@?e_TEST-1 " xfId="1095"/>
    <cellStyle name="+,-,0" xfId="1096"/>
    <cellStyle name="△ []" xfId="1097"/>
    <cellStyle name="△ [0]" xfId="1098"/>
    <cellStyle name="△백분율" xfId="1099"/>
    <cellStyle name="△콤마" xfId="1100"/>
    <cellStyle name="ÊÝ [0.00]_Region Orders (2)" xfId="1101"/>
    <cellStyle name="ÊÝ_Region Orders (2)" xfId="1102"/>
    <cellStyle name="W_Pacific Region P&amp;L" xfId="1103"/>
    <cellStyle name="0" xfId="1104"/>
    <cellStyle name="0.0" xfId="1105"/>
    <cellStyle name="0.00" xfId="1106"/>
    <cellStyle name="00" xfId="1107"/>
    <cellStyle name="1" xfId="1108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11" xfId="2595"/>
    <cellStyle name="111" xfId="2596"/>
    <cellStyle name="2" xfId="2597"/>
    <cellStyle name="2)" xfId="2598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0% - 강조색1 2" xfId="2637"/>
    <cellStyle name="2자리" xfId="2638"/>
    <cellStyle name="A¨­￠￢￠O [0]_AO¨uRCN¡¾U " xfId="2639"/>
    <cellStyle name="A¨­￠￢￠O_AO¨uRCN¡¾U " xfId="2640"/>
    <cellStyle name="AeE­ [0]_ 2ÆAAþº° " xfId="2641"/>
    <cellStyle name="ÅëÈ­ [0]_¸ðÇü¸·" xfId="2642"/>
    <cellStyle name="AeE­ [0]_95³aAN°y¼o·R " xfId="2643"/>
    <cellStyle name="ÅëÈ­ [0]_Á¤»ê¼­°©Áö" xfId="2644"/>
    <cellStyle name="AeE­ [0]_A¾CO½A¼³ " xfId="2645"/>
    <cellStyle name="AeE­_ 2ÆAAþº° " xfId="2646"/>
    <cellStyle name="ÅëÈ­_¸ðÇü¸·" xfId="2647"/>
    <cellStyle name="AeE­_95³aAN°y¼o·R " xfId="2648"/>
    <cellStyle name="ÅëÈ­_Á¤»ê¼­°©Áö" xfId="2649"/>
    <cellStyle name="AeE­_A¾CO½A¼³ " xfId="2650"/>
    <cellStyle name="AeE¡ⓒ [0]_AO¨uRCN¡¾U " xfId="2651"/>
    <cellStyle name="AeE¡ⓒ_AO¨uRCN¡¾U " xfId="2652"/>
    <cellStyle name="ALIGNMENT" xfId="2653"/>
    <cellStyle name="args.style" xfId="2654"/>
    <cellStyle name="AÞ¸¶ [0]_ 2ÆAAþº° " xfId="2655"/>
    <cellStyle name="ÄÞ¸¶ [0]_¸ðÇü¸·" xfId="2656"/>
    <cellStyle name="AÞ¸¶ [0]_95³aAN°y¼o·R " xfId="2657"/>
    <cellStyle name="ÄÞ¸¶ [0]_Á¤»ê¼­°©Áö" xfId="2658"/>
    <cellStyle name="AÞ¸¶ [0]_A¾CO½A¼³ " xfId="2659"/>
    <cellStyle name="AÞ¸¶_ 2ÆAAþº° " xfId="2660"/>
    <cellStyle name="ÄÞ¸¶_¸ðÇü¸·" xfId="2661"/>
    <cellStyle name="AÞ¸¶_95³aAN°y¼o·R " xfId="2662"/>
    <cellStyle name="ÄÞ¸¶_Á¤»ê¼­°©Áö" xfId="2663"/>
    <cellStyle name="AÞ¸¶_A¾CO½A¼³ " xfId="2664"/>
    <cellStyle name="C¡IA¨ª_¡ic¨u¡A¨￢I¨￢¡Æ AN¡Æe " xfId="2665"/>
    <cellStyle name="C￥AØ_ °u¸R½CCa1" xfId="2666"/>
    <cellStyle name="Ç¥ÁØ_»óºÎ¼ö·®Áý°è " xfId="2667"/>
    <cellStyle name="C￥AØ_°­´c (2)" xfId="2668"/>
    <cellStyle name="Ç¥ÁØ_°­´ç (2)" xfId="2669"/>
    <cellStyle name="C￥AØ_¼³°e¿e¿ª" xfId="2670"/>
    <cellStyle name="Ç¥ÁØ_¼öÀÍ¼º " xfId="2671"/>
    <cellStyle name="C￥AØ_95³aAN°y¼o·R " xfId="2672"/>
    <cellStyle name="Calc Currency (0)" xfId="2673"/>
    <cellStyle name="category" xfId="2674"/>
    <cellStyle name="CIAIÆU¸μAⓒ" xfId="2675"/>
    <cellStyle name="Comma [0] 2" xfId="3115"/>
    <cellStyle name="comma zerodec" xfId="2676"/>
    <cellStyle name="Comma0" xfId="2677"/>
    <cellStyle name="Copied" xfId="2678"/>
    <cellStyle name="COST1" xfId="2679"/>
    <cellStyle name="Curre~cy [0]_MATERAL2" xfId="2680"/>
    <cellStyle name="Curren?_x0012_퐀_x0017_?" xfId="2681"/>
    <cellStyle name="Currency [0] 2" xfId="3116"/>
    <cellStyle name="Currency [0]͢laroux_1" xfId="2682"/>
    <cellStyle name="currency-$" xfId="2683"/>
    <cellStyle name="Currency0" xfId="2684"/>
    <cellStyle name="Currency1" xfId="2685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[yellow]" xfId="2710"/>
    <cellStyle name="Input Cells" xfId="2711"/>
    <cellStyle name="kg" xfId="2712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ma_CASH &amp; DSO" xfId="2719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 dec" xfId="2725"/>
    <cellStyle name="Normal - Style1" xfId="2726"/>
    <cellStyle name="Normal - 유형1" xfId="2727"/>
    <cellStyle name="Normal 2" xfId="3117"/>
    <cellStyle name="Œ…?æ맖?e [0.00]_laroux" xfId="2728"/>
    <cellStyle name="Œ…?æ맖?e_laroux" xfId="2729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ercent [2]" xfId="2733"/>
    <cellStyle name="pricing" xfId="2734"/>
    <cellStyle name="PSChar" xfId="2735"/>
    <cellStyle name="RevList" xfId="2736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TANDARD" xfId="2740"/>
    <cellStyle name="STD" xfId="2741"/>
    <cellStyle name="subhead" xfId="2742"/>
    <cellStyle name="Subtotal" xfId="2743"/>
    <cellStyle name="Title" xfId="2744"/>
    <cellStyle name="title [1]" xfId="2745"/>
    <cellStyle name="title [2]" xfId="2746"/>
    <cellStyle name="Total" xfId="2747"/>
    <cellStyle name="UM" xfId="2748"/>
    <cellStyle name="W?rung [0]_laroux" xfId="2749"/>
    <cellStyle name="W?rung_laroux" xfId="2750"/>
    <cellStyle name="μU¿¡ ¿A´A CIAIÆU¸μAⓒ" xfId="2751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△1]" xfId="2776"/>
    <cellStyle name="백분율 [△2]" xfId="2777"/>
    <cellStyle name="백분율 [0]" xfId="2778"/>
    <cellStyle name="백분율 [2]" xfId="2779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_~MGaE" xfId="3061"/>
    <cellStyle name="자리수0" xfId="3062"/>
    <cellStyle name="정기수 - 유형1" xfId="3063"/>
    <cellStyle name="제목 1(左)" xfId="3064"/>
    <cellStyle name="제목 1(中)" xfId="3065"/>
    <cellStyle name="제목[1 줄]" xfId="3066"/>
    <cellStyle name="제목[2줄 아래]" xfId="3067"/>
    <cellStyle name="제목[2줄 위]" xfId="3068"/>
    <cellStyle name="제목1" xfId="3069"/>
    <cellStyle name="제목2" xfId="3070"/>
    <cellStyle name="좋음 2" xfId="3071"/>
    <cellStyle name="지정되지 않음" xfId="3072"/>
    <cellStyle name="콤" xfId="3073"/>
    <cellStyle name="콤마 [" xfId="3074"/>
    <cellStyle name="콤마 [#]" xfId="3075"/>
    <cellStyle name="콤마 []" xfId="3076"/>
    <cellStyle name="콤마 [0]" xfId="3077"/>
    <cellStyle name="콤마 [1]" xfId="3078"/>
    <cellStyle name="콤마 [2]" xfId="3079"/>
    <cellStyle name="콤마 [금액]" xfId="3080"/>
    <cellStyle name="콤마 [소수]" xfId="3081"/>
    <cellStyle name="콤마 [수량]" xfId="3082"/>
    <cellStyle name="콤마 1" xfId="3083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中)" xfId="3099"/>
    <cellStyle name="표머릿글(下)" xfId="3100"/>
    <cellStyle name="표준" xfId="0" builtinId="0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標準_Akia(F）-8" xfId="3106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225425</xdr:colOff>
      <xdr:row>0</xdr:row>
      <xdr:rowOff>0</xdr:rowOff>
    </xdr:from>
    <xdr:to>
      <xdr:col>5</xdr:col>
      <xdr:colOff>228283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xmlns="" id="{911AC37D-E68A-AF61-FFCC-81CB559B832E}"/>
            </a:ext>
          </a:extLst>
        </xdr:cNvPr>
        <xdr:cNvSpPr txBox="1">
          <a:spLocks noChangeArrowheads="1"/>
        </xdr:cNvSpPr>
      </xdr:nvSpPr>
      <xdr:spPr bwMode="auto">
        <a:xfrm>
          <a:off x="225425" y="0"/>
          <a:ext cx="764858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54864" tIns="41148" rIns="54864" bIns="41148" anchor="ctr" upright="1"/>
        <a:lstStyle/>
        <a:p>
          <a:pPr algn="ctr" rtl="0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22</xdr:col>
      <xdr:colOff>69850</xdr:colOff>
      <xdr:row>34</xdr:row>
      <xdr:rowOff>200025</xdr:rowOff>
    </xdr:from>
    <xdr:to>
      <xdr:col>25</xdr:col>
      <xdr:colOff>92075</xdr:colOff>
      <xdr:row>36</xdr:row>
      <xdr:rowOff>568326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xmlns="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0475" y="8058150"/>
          <a:ext cx="8509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8</xdr:col>
      <xdr:colOff>0</xdr:colOff>
      <xdr:row>31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xmlns="" id="{E35915A0-EF4C-4F15-D05A-CAF5E35944E9}"/>
            </a:ext>
          </a:extLst>
        </xdr:cNvPr>
        <xdr:cNvGrpSpPr>
          <a:grpSpLocks/>
        </xdr:cNvGrpSpPr>
      </xdr:nvGrpSpPr>
      <xdr:grpSpPr bwMode="auto">
        <a:xfrm>
          <a:off x="3438525" y="8296275"/>
          <a:ext cx="2924175" cy="0"/>
          <a:chOff x="375" y="886"/>
          <a:chExt cx="307" cy="66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xmlns="" id="{702E97DB-E081-0603-0FBE-DDEEAD95C637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xmlns="" id="{6B23F444-C1D9-C727-6D5B-1D4EBCCABC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xmlns="" id="{E3BDCBC6-771D-DA6C-DD26-2C90AE0BC896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ko-KR" altLang="en-US" sz="1000" b="0" i="0" strike="noStrike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  <a:endParaRPr lang="ko-KR" altLang="en-US" sz="1100" b="0" i="0" strike="noStrike">
              <a:solidFill>
                <a:srgbClr val="000000"/>
              </a:solidFill>
              <a:latin typeface="돋움"/>
              <a:ea typeface="돋움"/>
            </a:endParaRPr>
          </a:p>
          <a:p>
            <a:pPr algn="l" rtl="0">
              <a:defRPr sz="1000"/>
            </a:pPr>
            <a:r>
              <a:rPr lang="ko-KR" altLang="en-US" sz="1100" b="0" i="0" strike="noStrike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xmlns="" id="{A5A948C5-591F-BD81-0079-07F0073B8FBE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980093501300" y="8991600"/>
            <a:ext cx="0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  <a:effectLst/>
        </xdr:spPr>
        <xdr:txBody>
          <a:bodyPr vertOverflow="clip" wrap="square" lIns="36576" tIns="27432" rIns="0" bIns="0" anchor="t" upright="1"/>
          <a:lstStyle/>
          <a:p>
            <a:pPr algn="l" rtl="0">
              <a:defRPr sz="1000"/>
            </a:pPr>
            <a:r>
              <a:rPr lang="ko-KR" altLang="en-US" sz="1600" b="0" i="0" strike="noStrike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7</xdr:col>
      <xdr:colOff>25400</xdr:colOff>
      <xdr:row>32</xdr:row>
      <xdr:rowOff>203200</xdr:rowOff>
    </xdr:from>
    <xdr:to>
      <xdr:col>7</xdr:col>
      <xdr:colOff>800100</xdr:colOff>
      <xdr:row>35</xdr:row>
      <xdr:rowOff>228600</xdr:rowOff>
    </xdr:to>
    <xdr:pic>
      <xdr:nvPicPr>
        <xdr:cNvPr id="7" name="그림 7">
          <a:extLst>
            <a:ext uri="{FF2B5EF4-FFF2-40B4-BE49-F238E27FC236}">
              <a16:creationId xmlns:a16="http://schemas.microsoft.com/office/drawing/2014/main" xmlns="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37100" y="8801100"/>
          <a:ext cx="774700" cy="901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241300</xdr:colOff>
      <xdr:row>31</xdr:row>
      <xdr:rowOff>317500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xmlns="" id="{1980DCC6-EFB9-53EB-128D-592C32A11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" y="8585200"/>
          <a:ext cx="1190625" cy="955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97834D2C-E033-8F4A-80AC-4FA3E9B35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4800" y="8674100"/>
          <a:ext cx="1384300" cy="1244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G1590"/>
  <sheetViews>
    <sheetView view="pageBreakPreview" zoomScaleNormal="100" zoomScaleSheetLayoutView="100" workbookViewId="0">
      <selection activeCell="B31" sqref="B31:K31"/>
    </sheetView>
  </sheetViews>
  <sheetFormatPr defaultColWidth="8.77734375" defaultRowHeight="12"/>
  <cols>
    <col min="1" max="1" width="8.77734375" style="28"/>
    <col min="2" max="4" width="3.33203125" style="28" customWidth="1"/>
    <col min="5" max="6" width="3.33203125" style="30" customWidth="1"/>
    <col min="7" max="13" width="3.33203125" style="29" customWidth="1"/>
    <col min="14" max="32" width="3.33203125" style="28" customWidth="1"/>
    <col min="33" max="33" width="2.33203125" style="28" customWidth="1"/>
    <col min="34" max="260" width="6.77734375" style="28" customWidth="1"/>
    <col min="261" max="16384" width="8.77734375" style="28"/>
  </cols>
  <sheetData>
    <row r="1" spans="2:29" s="34" customFormat="1" ht="42" customHeight="1">
      <c r="B1" s="131" t="s">
        <v>56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</row>
    <row r="2" spans="2:29" s="34" customFormat="1" ht="12" customHeight="1"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8"/>
      <c r="AA2" s="38"/>
      <c r="AB2" s="38"/>
      <c r="AC2" s="38"/>
    </row>
    <row r="3" spans="2:29" s="34" customFormat="1" ht="18" customHeight="1">
      <c r="B3" s="132" t="s">
        <v>55</v>
      </c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</row>
    <row r="4" spans="2:29" s="34" customFormat="1" ht="7.5" customHeight="1"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3"/>
      <c r="AA4" s="43"/>
      <c r="AB4" s="43"/>
      <c r="AC4" s="43"/>
    </row>
    <row r="5" spans="2:29" s="34" customFormat="1" ht="5.0999999999999996" customHeight="1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8"/>
      <c r="AA5" s="38"/>
      <c r="AB5" s="38"/>
      <c r="AC5" s="38"/>
    </row>
    <row r="6" spans="2:29" s="34" customFormat="1" ht="20.100000000000001" customHeight="1">
      <c r="B6" s="129" t="s">
        <v>54</v>
      </c>
      <c r="C6" s="129"/>
      <c r="D6" s="129"/>
      <c r="E6" s="129"/>
      <c r="F6" s="36" t="s">
        <v>53</v>
      </c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8"/>
      <c r="AA6" s="38"/>
      <c r="AB6" s="38"/>
      <c r="AC6" s="38"/>
    </row>
    <row r="7" spans="2:29" s="34" customFormat="1" ht="20.100000000000001" customHeight="1">
      <c r="B7" s="129" t="s">
        <v>52</v>
      </c>
      <c r="C7" s="129"/>
      <c r="D7" s="129"/>
      <c r="E7" s="129"/>
      <c r="F7" s="133">
        <v>46072</v>
      </c>
      <c r="G7" s="133"/>
      <c r="H7" s="133"/>
      <c r="I7" s="133"/>
      <c r="J7" s="133"/>
      <c r="K7" s="133"/>
      <c r="L7" s="133"/>
      <c r="M7" s="133"/>
      <c r="N7" s="133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8"/>
      <c r="AA7" s="38"/>
      <c r="AB7" s="38"/>
      <c r="AC7" s="38"/>
    </row>
    <row r="8" spans="2:29" s="34" customFormat="1" ht="20.100000000000001" customHeight="1">
      <c r="B8" s="129" t="s">
        <v>51</v>
      </c>
      <c r="C8" s="129"/>
      <c r="D8" s="129"/>
      <c r="E8" s="129"/>
      <c r="F8" s="122" t="s">
        <v>57</v>
      </c>
      <c r="G8" s="123"/>
      <c r="H8" s="123"/>
      <c r="I8" s="123"/>
      <c r="J8" s="123"/>
      <c r="K8" s="123"/>
      <c r="L8" s="123"/>
      <c r="M8" s="41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8"/>
      <c r="AA8" s="38"/>
      <c r="AB8" s="38"/>
      <c r="AC8" s="38"/>
    </row>
    <row r="9" spans="2:29" s="34" customFormat="1" ht="20.100000000000001" customHeight="1">
      <c r="B9" s="129" t="s">
        <v>50</v>
      </c>
      <c r="C9" s="129"/>
      <c r="D9" s="129"/>
      <c r="E9" s="129"/>
      <c r="F9" s="122" t="s">
        <v>49</v>
      </c>
      <c r="G9" s="122"/>
      <c r="H9" s="122"/>
      <c r="I9" s="122"/>
      <c r="J9" s="122"/>
      <c r="K9" s="122"/>
      <c r="L9" s="122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  <c r="AA9" s="38"/>
      <c r="AB9" s="38"/>
      <c r="AC9" s="38"/>
    </row>
    <row r="10" spans="2:29" s="34" customFormat="1" ht="20.100000000000001" customHeight="1">
      <c r="B10" s="129" t="s">
        <v>48</v>
      </c>
      <c r="C10" s="129"/>
      <c r="D10" s="129"/>
      <c r="E10" s="129"/>
      <c r="F10" s="135" t="s">
        <v>177</v>
      </c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  <c r="AC10" s="135"/>
    </row>
    <row r="11" spans="2:29" s="34" customFormat="1" ht="13.5" hidden="1" customHeight="1" thickBot="1"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39"/>
      <c r="AA11" s="39"/>
      <c r="AB11" s="39"/>
      <c r="AC11" s="39"/>
    </row>
    <row r="12" spans="2:29" s="34" customFormat="1" ht="7.5" customHeight="1"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3"/>
      <c r="AA12" s="43"/>
      <c r="AB12" s="43"/>
      <c r="AC12" s="43"/>
    </row>
    <row r="13" spans="2:29" s="34" customFormat="1" ht="5.0999999999999996" customHeight="1"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  <c r="AA13" s="38"/>
      <c r="AB13" s="38"/>
      <c r="AC13" s="38"/>
    </row>
    <row r="14" spans="2:29" s="34" customFormat="1" ht="20.100000000000001" customHeight="1">
      <c r="B14" s="134" t="s">
        <v>178</v>
      </c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 spans="2:29" s="34" customFormat="1" ht="9.9499999999999993" customHeight="1"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 spans="2:29" s="34" customFormat="1" ht="70.5" customHeight="1">
      <c r="B16" s="130" t="s">
        <v>179</v>
      </c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</row>
    <row r="17" spans="2:29" s="34" customFormat="1" ht="5.0999999999999996" customHeight="1">
      <c r="B17" s="125"/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spans="2:29" s="34" customFormat="1" ht="39" customHeight="1">
      <c r="B18" s="130" t="s">
        <v>180</v>
      </c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</row>
    <row r="19" spans="2:29" s="34" customFormat="1" ht="9.9499999999999993" customHeight="1">
      <c r="B19" s="125"/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 spans="2:29" s="34" customFormat="1" ht="20.100000000000001" customHeight="1">
      <c r="B20" s="134" t="s">
        <v>181</v>
      </c>
      <c r="C20" s="134"/>
      <c r="D20" s="134"/>
      <c r="E20" s="134"/>
      <c r="F20" s="134"/>
      <c r="G20" s="134"/>
      <c r="H20" s="134"/>
      <c r="I20" s="134"/>
      <c r="J20" s="134"/>
      <c r="K20" s="134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spans="2:29" s="34" customFormat="1" ht="20.100000000000001" customHeight="1">
      <c r="B21" s="125"/>
      <c r="C21" s="125"/>
      <c r="D21" s="125"/>
      <c r="E21" s="125"/>
      <c r="F21" s="134" t="s">
        <v>145</v>
      </c>
      <c r="G21" s="134"/>
      <c r="H21" s="134"/>
      <c r="I21" s="134"/>
      <c r="J21" s="134"/>
      <c r="K21" s="134"/>
      <c r="L21" s="127" t="str">
        <f>F8</f>
        <v>효성뉴서울5차아파트</v>
      </c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8"/>
      <c r="AB21" s="128"/>
      <c r="AC21" s="128"/>
    </row>
    <row r="22" spans="2:29" s="34" customFormat="1" ht="20.100000000000001" customHeight="1">
      <c r="B22" s="125"/>
      <c r="C22" s="125"/>
      <c r="D22" s="125"/>
      <c r="E22" s="125"/>
      <c r="F22" s="134" t="s">
        <v>146</v>
      </c>
      <c r="G22" s="134"/>
      <c r="H22" s="134"/>
      <c r="I22" s="134"/>
      <c r="J22" s="134"/>
      <c r="K22" s="134"/>
      <c r="L22" s="127" t="s">
        <v>58</v>
      </c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8"/>
      <c r="AB22" s="128"/>
      <c r="AC22" s="128"/>
    </row>
    <row r="23" spans="2:29" s="34" customFormat="1" ht="20.100000000000001" customHeight="1">
      <c r="B23" s="125"/>
      <c r="C23" s="125"/>
      <c r="D23" s="125"/>
      <c r="E23" s="125"/>
      <c r="F23" s="134" t="s">
        <v>147</v>
      </c>
      <c r="G23" s="134"/>
      <c r="H23" s="134"/>
      <c r="I23" s="134"/>
      <c r="J23" s="134"/>
      <c r="K23" s="134"/>
      <c r="L23" s="127" t="s">
        <v>59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8"/>
      <c r="AB23" s="128"/>
      <c r="AC23" s="128"/>
    </row>
    <row r="24" spans="2:29" s="34" customFormat="1" ht="20.100000000000001" customHeight="1">
      <c r="B24" s="125"/>
      <c r="C24" s="125"/>
      <c r="D24" s="125"/>
      <c r="E24" s="125"/>
      <c r="F24" s="134" t="s">
        <v>148</v>
      </c>
      <c r="G24" s="134"/>
      <c r="H24" s="134"/>
      <c r="I24" s="134"/>
      <c r="J24" s="134"/>
      <c r="K24" s="134"/>
      <c r="L24" s="127" t="s">
        <v>60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8"/>
      <c r="AB24" s="128"/>
      <c r="AC24" s="128"/>
    </row>
    <row r="25" spans="2:29" s="34" customFormat="1" ht="20.100000000000001" customHeight="1">
      <c r="B25" s="125"/>
      <c r="C25" s="125"/>
      <c r="D25" s="125"/>
      <c r="E25" s="125"/>
      <c r="F25" s="134" t="s">
        <v>149</v>
      </c>
      <c r="G25" s="134"/>
      <c r="H25" s="134"/>
      <c r="I25" s="134"/>
      <c r="J25" s="134"/>
      <c r="K25" s="134"/>
      <c r="L25" s="127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spans="2:29" s="34" customFormat="1" ht="9.9499999999999993" customHeight="1"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spans="2:29" s="34" customFormat="1" ht="20.100000000000001" customHeight="1">
      <c r="B27" s="134" t="s">
        <v>182</v>
      </c>
      <c r="C27" s="134"/>
      <c r="D27" s="134"/>
      <c r="E27" s="134"/>
      <c r="F27" s="134"/>
      <c r="G27" s="134"/>
      <c r="H27" s="134"/>
      <c r="I27" s="134"/>
      <c r="J27" s="134"/>
      <c r="K27" s="134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spans="2:29" s="34" customFormat="1" ht="20.100000000000001" customHeight="1">
      <c r="B28" s="125"/>
      <c r="C28" s="125"/>
      <c r="D28" s="125"/>
      <c r="E28" s="125"/>
      <c r="F28" s="139" t="s">
        <v>150</v>
      </c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</row>
    <row r="29" spans="2:29" s="34" customFormat="1" ht="33" customHeight="1">
      <c r="B29" s="125"/>
      <c r="C29" s="125"/>
      <c r="D29" s="125"/>
      <c r="E29" s="125"/>
      <c r="F29" s="140" t="s">
        <v>151</v>
      </c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</row>
    <row r="30" spans="2:29" s="34" customFormat="1" ht="9.9499999999999993" customHeight="1"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spans="2:29" s="34" customFormat="1" ht="20.100000000000001" customHeight="1">
      <c r="B31" s="136" t="s">
        <v>176</v>
      </c>
      <c r="C31" s="136"/>
      <c r="D31" s="136"/>
      <c r="E31" s="136"/>
      <c r="F31" s="136"/>
      <c r="G31" s="136"/>
      <c r="H31" s="136"/>
      <c r="I31" s="136"/>
      <c r="J31" s="136"/>
      <c r="K31" s="136"/>
      <c r="L31" s="141" t="str">
        <f>대가산출!D3</f>
        <v>일금일백팔십만원정 (₩1,800,000)-VAT별도</v>
      </c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</row>
    <row r="32" spans="2:29" s="34" customFormat="1" ht="9.9499999999999993" customHeight="1"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spans="2:33" s="34" customFormat="1" ht="20.100000000000001" customHeight="1">
      <c r="B33" s="134" t="s">
        <v>183</v>
      </c>
      <c r="C33" s="134"/>
      <c r="D33" s="134"/>
      <c r="E33" s="134"/>
      <c r="F33" s="134"/>
      <c r="G33" s="134"/>
      <c r="H33" s="134"/>
      <c r="I33" s="134"/>
      <c r="J33" s="134"/>
      <c r="K33" s="134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spans="2:33" s="34" customFormat="1" ht="9.9499999999999993" customHeight="1"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spans="2:33" s="34" customFormat="1" ht="19.5" customHeight="1">
      <c r="B35" s="134" t="s">
        <v>168</v>
      </c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</row>
    <row r="36" spans="2:33" s="34" customFormat="1" ht="19.5" customHeight="1">
      <c r="B36" s="36"/>
      <c r="C36" s="36"/>
      <c r="D36" s="36"/>
      <c r="E36" s="36"/>
      <c r="F36" s="36"/>
      <c r="G36" s="36"/>
      <c r="H36" s="37"/>
      <c r="I36" s="37"/>
      <c r="J36" s="36"/>
      <c r="K36" s="36"/>
      <c r="L36" s="36"/>
      <c r="M36" s="36"/>
      <c r="N36" s="36"/>
    </row>
    <row r="37" spans="2:33" s="34" customFormat="1" ht="46.5" customHeight="1">
      <c r="B37" s="138" t="s">
        <v>47</v>
      </c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G37" s="35"/>
    </row>
    <row r="38" spans="2:33">
      <c r="E38" s="28"/>
      <c r="F38" s="28"/>
      <c r="G38" s="33"/>
      <c r="H38" s="33"/>
      <c r="I38" s="33"/>
      <c r="J38" s="33"/>
      <c r="K38" s="33"/>
      <c r="L38" s="33"/>
      <c r="M38" s="33"/>
    </row>
    <row r="39" spans="2:33">
      <c r="E39" s="28"/>
      <c r="F39" s="28"/>
      <c r="G39" s="33"/>
      <c r="H39" s="33"/>
      <c r="I39" s="33"/>
      <c r="J39" s="33"/>
      <c r="K39" s="33"/>
      <c r="L39" s="33"/>
      <c r="M39" s="33"/>
    </row>
    <row r="40" spans="2:33">
      <c r="E40" s="28"/>
      <c r="F40" s="28"/>
      <c r="G40" s="33"/>
      <c r="H40" s="33"/>
      <c r="I40" s="33"/>
      <c r="J40" s="33"/>
      <c r="K40" s="33"/>
      <c r="L40" s="33"/>
      <c r="M40" s="33"/>
    </row>
    <row r="41" spans="2:33">
      <c r="E41" s="28"/>
      <c r="F41" s="28"/>
      <c r="G41" s="33"/>
      <c r="H41" s="33"/>
      <c r="I41" s="33"/>
      <c r="J41" s="33"/>
      <c r="K41" s="33"/>
      <c r="L41" s="33"/>
      <c r="M41" s="33"/>
    </row>
    <row r="42" spans="2:33">
      <c r="E42" s="28"/>
      <c r="F42" s="28"/>
      <c r="G42" s="33"/>
      <c r="H42" s="33"/>
      <c r="I42" s="33"/>
      <c r="J42" s="33"/>
      <c r="K42" s="33"/>
      <c r="L42" s="33"/>
      <c r="M42" s="33"/>
    </row>
    <row r="43" spans="2:33">
      <c r="E43" s="28"/>
      <c r="F43" s="28"/>
      <c r="G43" s="33"/>
      <c r="H43" s="33"/>
      <c r="I43" s="33"/>
      <c r="J43" s="33"/>
      <c r="K43" s="33"/>
      <c r="L43" s="33"/>
      <c r="M43" s="33"/>
    </row>
    <row r="44" spans="2:33">
      <c r="E44" s="28"/>
      <c r="F44" s="28"/>
      <c r="G44" s="33"/>
      <c r="H44" s="33"/>
      <c r="I44" s="33"/>
      <c r="J44" s="33"/>
      <c r="K44" s="33"/>
      <c r="L44" s="33"/>
      <c r="M44" s="33"/>
    </row>
    <row r="45" spans="2:33">
      <c r="E45" s="28"/>
      <c r="F45" s="28"/>
      <c r="G45" s="33"/>
      <c r="H45" s="33"/>
      <c r="I45" s="33"/>
      <c r="J45" s="33"/>
      <c r="K45" s="33"/>
      <c r="L45" s="33"/>
      <c r="M45" s="33"/>
    </row>
    <row r="46" spans="2:33">
      <c r="E46" s="28"/>
      <c r="F46" s="28"/>
      <c r="G46" s="33"/>
      <c r="H46" s="33"/>
      <c r="I46" s="33"/>
      <c r="J46" s="33"/>
      <c r="K46" s="33"/>
      <c r="L46" s="33"/>
      <c r="M46" s="33"/>
    </row>
    <row r="47" spans="2:33">
      <c r="E47" s="28"/>
      <c r="F47" s="28"/>
      <c r="G47" s="33"/>
      <c r="H47" s="33"/>
      <c r="I47" s="33"/>
      <c r="J47" s="33"/>
      <c r="K47" s="33"/>
      <c r="L47" s="33"/>
      <c r="M47" s="33"/>
    </row>
    <row r="48" spans="2:33">
      <c r="E48" s="28"/>
      <c r="F48" s="28"/>
      <c r="G48" s="33"/>
      <c r="H48" s="33"/>
      <c r="I48" s="33"/>
      <c r="J48" s="33"/>
      <c r="K48" s="33"/>
      <c r="L48" s="33"/>
      <c r="M48" s="33"/>
    </row>
    <row r="49" spans="5:13">
      <c r="E49" s="28"/>
      <c r="F49" s="28"/>
      <c r="G49" s="33"/>
      <c r="H49" s="33"/>
      <c r="I49" s="33"/>
      <c r="J49" s="33"/>
      <c r="K49" s="33"/>
      <c r="L49" s="33"/>
      <c r="M49" s="33"/>
    </row>
    <row r="50" spans="5:13">
      <c r="E50" s="28"/>
      <c r="F50" s="28"/>
      <c r="G50" s="33"/>
      <c r="H50" s="33"/>
      <c r="I50" s="33"/>
      <c r="J50" s="33"/>
      <c r="K50" s="33"/>
      <c r="L50" s="33"/>
      <c r="M50" s="33"/>
    </row>
    <row r="51" spans="5:13">
      <c r="E51" s="28"/>
      <c r="F51" s="28"/>
      <c r="G51" s="33"/>
      <c r="H51" s="33"/>
      <c r="I51" s="33"/>
      <c r="J51" s="33"/>
      <c r="K51" s="33"/>
      <c r="L51" s="33"/>
      <c r="M51" s="33"/>
    </row>
    <row r="52" spans="5:13">
      <c r="E52" s="28"/>
      <c r="F52" s="28"/>
      <c r="G52" s="33"/>
      <c r="H52" s="33"/>
      <c r="I52" s="33"/>
      <c r="J52" s="33"/>
      <c r="K52" s="33"/>
      <c r="L52" s="33"/>
      <c r="M52" s="33"/>
    </row>
    <row r="53" spans="5:13">
      <c r="E53" s="28"/>
      <c r="F53" s="28"/>
      <c r="G53" s="33"/>
      <c r="H53" s="33"/>
      <c r="I53" s="33"/>
      <c r="J53" s="33"/>
      <c r="K53" s="33"/>
      <c r="L53" s="33"/>
      <c r="M53" s="33"/>
    </row>
    <row r="54" spans="5:13">
      <c r="E54" s="28"/>
      <c r="F54" s="28"/>
      <c r="G54" s="33"/>
      <c r="H54" s="33"/>
      <c r="I54" s="33"/>
      <c r="J54" s="33"/>
      <c r="K54" s="33"/>
      <c r="L54" s="33"/>
      <c r="M54" s="33"/>
    </row>
    <row r="55" spans="5:13">
      <c r="E55" s="28"/>
      <c r="F55" s="28"/>
      <c r="G55" s="33"/>
      <c r="H55" s="33"/>
      <c r="I55" s="33"/>
      <c r="J55" s="33"/>
      <c r="K55" s="33"/>
      <c r="L55" s="33"/>
      <c r="M55" s="33"/>
    </row>
    <row r="56" spans="5:13">
      <c r="E56" s="28"/>
      <c r="F56" s="28"/>
      <c r="G56" s="33"/>
      <c r="H56" s="33"/>
      <c r="I56" s="33"/>
      <c r="J56" s="33"/>
      <c r="K56" s="33"/>
      <c r="L56" s="33"/>
      <c r="M56" s="33"/>
    </row>
    <row r="57" spans="5:13">
      <c r="E57" s="28"/>
      <c r="F57" s="28"/>
      <c r="G57" s="33"/>
      <c r="H57" s="33"/>
      <c r="I57" s="33"/>
      <c r="J57" s="33"/>
      <c r="K57" s="33"/>
      <c r="L57" s="33"/>
      <c r="M57" s="33"/>
    </row>
    <row r="58" spans="5:13">
      <c r="E58" s="28"/>
      <c r="F58" s="28"/>
      <c r="G58" s="33"/>
      <c r="H58" s="33"/>
      <c r="I58" s="33"/>
      <c r="J58" s="33"/>
      <c r="K58" s="33"/>
      <c r="L58" s="33"/>
      <c r="M58" s="33"/>
    </row>
    <row r="59" spans="5:13">
      <c r="E59" s="28"/>
      <c r="F59" s="28"/>
      <c r="G59" s="33"/>
      <c r="H59" s="33"/>
      <c r="I59" s="33"/>
      <c r="J59" s="33"/>
      <c r="K59" s="33"/>
      <c r="L59" s="33"/>
      <c r="M59" s="33"/>
    </row>
    <row r="60" spans="5:13">
      <c r="E60" s="28"/>
      <c r="F60" s="28"/>
      <c r="G60" s="33"/>
      <c r="H60" s="33"/>
      <c r="I60" s="33"/>
      <c r="J60" s="33"/>
      <c r="K60" s="33"/>
      <c r="L60" s="33"/>
      <c r="M60" s="33"/>
    </row>
    <row r="61" spans="5:13">
      <c r="E61" s="28"/>
      <c r="F61" s="28"/>
      <c r="G61" s="33"/>
      <c r="H61" s="33"/>
      <c r="I61" s="33"/>
      <c r="J61" s="33"/>
      <c r="K61" s="33"/>
      <c r="L61" s="33"/>
      <c r="M61" s="33"/>
    </row>
    <row r="62" spans="5:13">
      <c r="E62" s="28"/>
      <c r="F62" s="28"/>
      <c r="G62" s="33"/>
      <c r="H62" s="33"/>
      <c r="I62" s="33"/>
      <c r="J62" s="33"/>
      <c r="K62" s="33"/>
      <c r="L62" s="33"/>
      <c r="M62" s="33"/>
    </row>
    <row r="63" spans="5:13">
      <c r="E63" s="28"/>
      <c r="F63" s="28"/>
      <c r="G63" s="33"/>
      <c r="H63" s="33"/>
      <c r="I63" s="33"/>
      <c r="J63" s="33"/>
      <c r="K63" s="33"/>
      <c r="L63" s="33"/>
      <c r="M63" s="33"/>
    </row>
    <row r="64" spans="5:13">
      <c r="E64" s="28"/>
      <c r="F64" s="28"/>
      <c r="G64" s="33"/>
      <c r="H64" s="33"/>
      <c r="I64" s="33"/>
      <c r="J64" s="33"/>
      <c r="K64" s="33"/>
      <c r="L64" s="33"/>
      <c r="M64" s="33"/>
    </row>
    <row r="65" spans="5:13">
      <c r="E65" s="28"/>
      <c r="F65" s="28"/>
      <c r="G65" s="33"/>
      <c r="H65" s="33"/>
      <c r="I65" s="33"/>
      <c r="J65" s="33"/>
      <c r="K65" s="33"/>
      <c r="L65" s="33"/>
      <c r="M65" s="33"/>
    </row>
    <row r="66" spans="5:13">
      <c r="E66" s="28"/>
      <c r="F66" s="28"/>
      <c r="G66" s="33"/>
      <c r="H66" s="33"/>
      <c r="I66" s="33"/>
      <c r="J66" s="33"/>
      <c r="K66" s="33"/>
      <c r="L66" s="33"/>
      <c r="M66" s="33"/>
    </row>
    <row r="67" spans="5:13">
      <c r="E67" s="28"/>
      <c r="F67" s="28"/>
      <c r="G67" s="33"/>
      <c r="H67" s="33"/>
      <c r="I67" s="33"/>
      <c r="J67" s="33"/>
      <c r="K67" s="33"/>
      <c r="L67" s="33"/>
      <c r="M67" s="33"/>
    </row>
    <row r="68" spans="5:13">
      <c r="E68" s="28"/>
      <c r="F68" s="28"/>
      <c r="G68" s="33"/>
      <c r="H68" s="33"/>
      <c r="I68" s="33"/>
      <c r="J68" s="33"/>
      <c r="K68" s="33"/>
      <c r="L68" s="33"/>
      <c r="M68" s="33"/>
    </row>
    <row r="69" spans="5:13">
      <c r="E69" s="28"/>
      <c r="F69" s="28"/>
      <c r="G69" s="33"/>
      <c r="H69" s="33"/>
      <c r="I69" s="33"/>
      <c r="J69" s="33"/>
      <c r="K69" s="33"/>
      <c r="L69" s="33"/>
      <c r="M69" s="33"/>
    </row>
    <row r="70" spans="5:13">
      <c r="E70" s="28"/>
      <c r="F70" s="28"/>
      <c r="G70" s="33"/>
      <c r="H70" s="33"/>
      <c r="I70" s="33"/>
      <c r="J70" s="33"/>
      <c r="K70" s="33"/>
      <c r="L70" s="33"/>
      <c r="M70" s="33"/>
    </row>
    <row r="71" spans="5:13">
      <c r="E71" s="28"/>
      <c r="F71" s="28"/>
      <c r="G71" s="33"/>
      <c r="H71" s="33"/>
      <c r="I71" s="33"/>
      <c r="J71" s="33"/>
      <c r="K71" s="33"/>
      <c r="L71" s="33"/>
      <c r="M71" s="33"/>
    </row>
    <row r="72" spans="5:13">
      <c r="E72" s="28"/>
      <c r="F72" s="28"/>
      <c r="G72" s="33"/>
      <c r="H72" s="33"/>
      <c r="I72" s="33"/>
      <c r="J72" s="33"/>
      <c r="K72" s="33"/>
      <c r="L72" s="33"/>
      <c r="M72" s="33"/>
    </row>
    <row r="73" spans="5:13">
      <c r="E73" s="28"/>
      <c r="F73" s="28"/>
      <c r="G73" s="33"/>
      <c r="H73" s="33"/>
      <c r="I73" s="33"/>
      <c r="J73" s="33"/>
      <c r="K73" s="33"/>
      <c r="L73" s="33"/>
      <c r="M73" s="33"/>
    </row>
    <row r="74" spans="5:13">
      <c r="E74" s="28"/>
      <c r="F74" s="28"/>
      <c r="G74" s="33"/>
      <c r="H74" s="33"/>
      <c r="I74" s="33"/>
      <c r="J74" s="33"/>
      <c r="K74" s="33"/>
      <c r="L74" s="33"/>
      <c r="M74" s="33"/>
    </row>
    <row r="75" spans="5:13">
      <c r="E75" s="28"/>
      <c r="F75" s="28"/>
      <c r="G75" s="33"/>
      <c r="H75" s="33"/>
      <c r="I75" s="33"/>
      <c r="J75" s="33"/>
      <c r="K75" s="33"/>
      <c r="L75" s="33"/>
      <c r="M75" s="33"/>
    </row>
    <row r="76" spans="5:13">
      <c r="E76" s="28"/>
      <c r="F76" s="28"/>
      <c r="G76" s="33"/>
      <c r="H76" s="33"/>
      <c r="I76" s="33"/>
      <c r="J76" s="33"/>
      <c r="K76" s="33"/>
      <c r="L76" s="33"/>
      <c r="M76" s="33"/>
    </row>
    <row r="77" spans="5:13">
      <c r="E77" s="28"/>
      <c r="F77" s="28"/>
      <c r="G77" s="33"/>
      <c r="H77" s="33"/>
      <c r="I77" s="33"/>
      <c r="J77" s="33"/>
      <c r="K77" s="33"/>
      <c r="L77" s="33"/>
      <c r="M77" s="33"/>
    </row>
    <row r="78" spans="5:13">
      <c r="E78" s="28"/>
      <c r="F78" s="28"/>
      <c r="G78" s="33"/>
      <c r="H78" s="33"/>
      <c r="I78" s="33"/>
      <c r="J78" s="33"/>
      <c r="K78" s="33"/>
      <c r="L78" s="33"/>
      <c r="M78" s="33"/>
    </row>
    <row r="79" spans="5:13">
      <c r="E79" s="28"/>
      <c r="F79" s="28"/>
      <c r="G79" s="33"/>
      <c r="H79" s="33"/>
      <c r="I79" s="33"/>
      <c r="J79" s="33"/>
      <c r="K79" s="33"/>
      <c r="L79" s="33"/>
      <c r="M79" s="33"/>
    </row>
    <row r="80" spans="5:13">
      <c r="E80" s="28"/>
      <c r="F80" s="28"/>
      <c r="G80" s="33"/>
      <c r="H80" s="33"/>
      <c r="I80" s="33"/>
      <c r="J80" s="33"/>
      <c r="K80" s="33"/>
      <c r="L80" s="33"/>
      <c r="M80" s="33"/>
    </row>
    <row r="81" spans="5:13">
      <c r="E81" s="28"/>
      <c r="F81" s="28"/>
      <c r="G81" s="33"/>
      <c r="H81" s="33"/>
      <c r="I81" s="33"/>
      <c r="J81" s="33"/>
      <c r="K81" s="33"/>
      <c r="L81" s="33"/>
      <c r="M81" s="33"/>
    </row>
    <row r="82" spans="5:13">
      <c r="E82" s="28"/>
      <c r="F82" s="28"/>
      <c r="G82" s="33"/>
      <c r="H82" s="33"/>
      <c r="I82" s="33"/>
      <c r="J82" s="33"/>
      <c r="K82" s="33"/>
      <c r="L82" s="33"/>
      <c r="M82" s="33"/>
    </row>
    <row r="83" spans="5:13">
      <c r="E83" s="28"/>
      <c r="F83" s="28"/>
      <c r="G83" s="33"/>
      <c r="H83" s="33"/>
      <c r="I83" s="33"/>
      <c r="J83" s="33"/>
      <c r="K83" s="33"/>
      <c r="L83" s="33"/>
      <c r="M83" s="33"/>
    </row>
    <row r="84" spans="5:13">
      <c r="E84" s="28"/>
      <c r="F84" s="28"/>
      <c r="G84" s="33"/>
      <c r="H84" s="33"/>
      <c r="I84" s="33"/>
      <c r="J84" s="33"/>
      <c r="K84" s="33"/>
      <c r="L84" s="33"/>
      <c r="M84" s="33"/>
    </row>
    <row r="85" spans="5:13">
      <c r="E85" s="28"/>
      <c r="F85" s="28"/>
      <c r="G85" s="33"/>
      <c r="H85" s="33"/>
      <c r="I85" s="33"/>
      <c r="J85" s="33"/>
      <c r="K85" s="33"/>
      <c r="L85" s="33"/>
      <c r="M85" s="33"/>
    </row>
    <row r="86" spans="5:13">
      <c r="E86" s="28"/>
      <c r="F86" s="28"/>
      <c r="G86" s="33"/>
      <c r="H86" s="33"/>
      <c r="I86" s="33"/>
      <c r="J86" s="33"/>
      <c r="K86" s="33"/>
      <c r="L86" s="33"/>
      <c r="M86" s="33"/>
    </row>
    <row r="87" spans="5:13">
      <c r="E87" s="28"/>
      <c r="F87" s="28"/>
      <c r="G87" s="33"/>
      <c r="H87" s="33"/>
      <c r="I87" s="33"/>
      <c r="J87" s="33"/>
      <c r="K87" s="33"/>
      <c r="L87" s="33"/>
      <c r="M87" s="33"/>
    </row>
    <row r="88" spans="5:13">
      <c r="E88" s="28"/>
      <c r="F88" s="28"/>
      <c r="G88" s="33"/>
      <c r="H88" s="33"/>
      <c r="I88" s="33"/>
      <c r="J88" s="33"/>
      <c r="K88" s="33"/>
      <c r="L88" s="33"/>
      <c r="M88" s="33"/>
    </row>
    <row r="89" spans="5:13">
      <c r="E89" s="28"/>
      <c r="F89" s="28"/>
      <c r="G89" s="33"/>
      <c r="H89" s="33"/>
      <c r="I89" s="33"/>
      <c r="J89" s="33"/>
      <c r="K89" s="33"/>
      <c r="L89" s="33"/>
      <c r="M89" s="33"/>
    </row>
    <row r="90" spans="5:13">
      <c r="E90" s="28"/>
      <c r="F90" s="28"/>
      <c r="G90" s="33"/>
      <c r="H90" s="33"/>
      <c r="I90" s="33"/>
      <c r="J90" s="33"/>
      <c r="K90" s="33"/>
      <c r="L90" s="33"/>
      <c r="M90" s="33"/>
    </row>
    <row r="91" spans="5:13">
      <c r="E91" s="28"/>
      <c r="F91" s="28"/>
      <c r="G91" s="33"/>
      <c r="H91" s="33"/>
      <c r="I91" s="33"/>
      <c r="J91" s="33"/>
      <c r="K91" s="33"/>
      <c r="L91" s="33"/>
      <c r="M91" s="33"/>
    </row>
    <row r="92" spans="5:13">
      <c r="E92" s="28"/>
      <c r="F92" s="28"/>
      <c r="G92" s="33"/>
      <c r="H92" s="33"/>
      <c r="I92" s="33"/>
      <c r="J92" s="33"/>
      <c r="K92" s="33"/>
      <c r="L92" s="33"/>
      <c r="M92" s="33"/>
    </row>
    <row r="93" spans="5:13">
      <c r="E93" s="28"/>
      <c r="F93" s="28"/>
      <c r="G93" s="33"/>
      <c r="H93" s="33"/>
      <c r="I93" s="33"/>
      <c r="J93" s="33"/>
      <c r="K93" s="33"/>
      <c r="L93" s="33"/>
      <c r="M93" s="33"/>
    </row>
    <row r="94" spans="5:13">
      <c r="E94" s="28"/>
      <c r="F94" s="28"/>
      <c r="G94" s="33"/>
      <c r="H94" s="33"/>
      <c r="I94" s="33"/>
      <c r="J94" s="33"/>
      <c r="K94" s="33"/>
      <c r="L94" s="33"/>
      <c r="M94" s="33"/>
    </row>
    <row r="95" spans="5:13">
      <c r="E95" s="28"/>
      <c r="F95" s="28"/>
      <c r="G95" s="33"/>
      <c r="H95" s="33"/>
      <c r="I95" s="33"/>
      <c r="J95" s="33"/>
      <c r="K95" s="33"/>
      <c r="L95" s="33"/>
      <c r="M95" s="33"/>
    </row>
    <row r="96" spans="5:13">
      <c r="E96" s="28"/>
      <c r="F96" s="28"/>
      <c r="G96" s="33"/>
      <c r="H96" s="33"/>
      <c r="I96" s="33"/>
      <c r="J96" s="33"/>
      <c r="K96" s="33"/>
      <c r="L96" s="33"/>
      <c r="M96" s="33"/>
    </row>
    <row r="97" spans="5:13">
      <c r="E97" s="28"/>
      <c r="F97" s="28"/>
      <c r="G97" s="33"/>
      <c r="H97" s="33"/>
      <c r="I97" s="33"/>
      <c r="J97" s="33"/>
      <c r="K97" s="33"/>
      <c r="L97" s="33"/>
      <c r="M97" s="33"/>
    </row>
    <row r="98" spans="5:13">
      <c r="E98" s="28"/>
      <c r="F98" s="28"/>
      <c r="G98" s="33"/>
      <c r="H98" s="33"/>
      <c r="I98" s="33"/>
      <c r="J98" s="33"/>
      <c r="K98" s="33"/>
      <c r="L98" s="33"/>
      <c r="M98" s="33"/>
    </row>
    <row r="99" spans="5:13">
      <c r="E99" s="28"/>
      <c r="F99" s="28"/>
      <c r="G99" s="33"/>
      <c r="H99" s="33"/>
      <c r="I99" s="33"/>
      <c r="J99" s="33"/>
      <c r="K99" s="33"/>
      <c r="L99" s="33"/>
      <c r="M99" s="33"/>
    </row>
    <row r="100" spans="5:13">
      <c r="E100" s="28"/>
      <c r="F100" s="28"/>
      <c r="G100" s="33"/>
      <c r="H100" s="33"/>
      <c r="I100" s="33"/>
      <c r="J100" s="33"/>
      <c r="K100" s="33"/>
      <c r="L100" s="33"/>
      <c r="M100" s="33"/>
    </row>
    <row r="101" spans="5:13">
      <c r="E101" s="28"/>
      <c r="F101" s="28"/>
      <c r="G101" s="33"/>
      <c r="H101" s="33"/>
      <c r="I101" s="33"/>
      <c r="J101" s="33"/>
      <c r="K101" s="33"/>
      <c r="L101" s="33"/>
      <c r="M101" s="33"/>
    </row>
    <row r="102" spans="5:13">
      <c r="E102" s="28"/>
      <c r="F102" s="28"/>
      <c r="G102" s="33"/>
      <c r="H102" s="33"/>
      <c r="I102" s="33"/>
      <c r="J102" s="33"/>
      <c r="K102" s="33"/>
      <c r="L102" s="33"/>
      <c r="M102" s="33"/>
    </row>
    <row r="103" spans="5:13">
      <c r="E103" s="28"/>
      <c r="F103" s="28"/>
      <c r="G103" s="33"/>
      <c r="H103" s="33"/>
      <c r="I103" s="33"/>
      <c r="J103" s="33"/>
      <c r="K103" s="33"/>
      <c r="L103" s="33"/>
      <c r="M103" s="33"/>
    </row>
    <row r="104" spans="5:13">
      <c r="E104" s="28"/>
      <c r="F104" s="28"/>
      <c r="G104" s="33"/>
      <c r="H104" s="33"/>
      <c r="I104" s="33"/>
      <c r="J104" s="33"/>
      <c r="K104" s="33"/>
      <c r="L104" s="33"/>
      <c r="M104" s="33"/>
    </row>
    <row r="105" spans="5:13">
      <c r="E105" s="28"/>
      <c r="F105" s="28"/>
      <c r="G105" s="33"/>
      <c r="H105" s="33"/>
      <c r="I105" s="33"/>
      <c r="J105" s="33"/>
      <c r="K105" s="33"/>
      <c r="L105" s="33"/>
      <c r="M105" s="33"/>
    </row>
    <row r="106" spans="5:13">
      <c r="E106" s="28"/>
      <c r="F106" s="28"/>
      <c r="G106" s="33"/>
      <c r="H106" s="33"/>
      <c r="I106" s="33"/>
      <c r="J106" s="33"/>
      <c r="K106" s="33"/>
      <c r="L106" s="33"/>
      <c r="M106" s="33"/>
    </row>
    <row r="107" spans="5:13">
      <c r="E107" s="28"/>
      <c r="F107" s="28"/>
      <c r="G107" s="33"/>
      <c r="H107" s="33"/>
      <c r="I107" s="33"/>
      <c r="J107" s="33"/>
      <c r="K107" s="33"/>
      <c r="L107" s="33"/>
      <c r="M107" s="33"/>
    </row>
    <row r="108" spans="5:13">
      <c r="E108" s="28"/>
      <c r="F108" s="28"/>
      <c r="G108" s="33"/>
      <c r="H108" s="33"/>
      <c r="I108" s="33"/>
      <c r="J108" s="33"/>
      <c r="K108" s="33"/>
      <c r="L108" s="33"/>
      <c r="M108" s="33"/>
    </row>
    <row r="109" spans="5:13">
      <c r="E109" s="28"/>
      <c r="F109" s="28"/>
      <c r="G109" s="33"/>
      <c r="H109" s="33"/>
      <c r="I109" s="33"/>
      <c r="J109" s="33"/>
      <c r="K109" s="33"/>
      <c r="L109" s="33"/>
      <c r="M109" s="33"/>
    </row>
    <row r="110" spans="5:13">
      <c r="E110" s="28"/>
      <c r="F110" s="28"/>
      <c r="G110" s="33"/>
      <c r="H110" s="33"/>
      <c r="I110" s="33"/>
      <c r="J110" s="33"/>
      <c r="K110" s="33"/>
      <c r="L110" s="33"/>
      <c r="M110" s="33"/>
    </row>
    <row r="111" spans="5:13">
      <c r="E111" s="28"/>
      <c r="F111" s="28"/>
      <c r="G111" s="33"/>
      <c r="H111" s="33"/>
      <c r="I111" s="33"/>
      <c r="J111" s="33"/>
      <c r="K111" s="33"/>
      <c r="L111" s="33"/>
      <c r="M111" s="33"/>
    </row>
    <row r="112" spans="5:13">
      <c r="E112" s="28"/>
      <c r="F112" s="28"/>
      <c r="G112" s="33"/>
      <c r="H112" s="33"/>
      <c r="I112" s="33"/>
      <c r="J112" s="33"/>
      <c r="K112" s="33"/>
      <c r="L112" s="33"/>
      <c r="M112" s="33"/>
    </row>
    <row r="113" spans="5:13">
      <c r="E113" s="28"/>
      <c r="F113" s="28"/>
      <c r="G113" s="33"/>
      <c r="H113" s="33"/>
      <c r="I113" s="33"/>
      <c r="J113" s="33"/>
      <c r="K113" s="33"/>
      <c r="L113" s="33"/>
      <c r="M113" s="33"/>
    </row>
    <row r="114" spans="5:13">
      <c r="E114" s="28"/>
      <c r="F114" s="28"/>
      <c r="G114" s="33"/>
      <c r="H114" s="33"/>
      <c r="I114" s="33"/>
      <c r="J114" s="33"/>
      <c r="K114" s="33"/>
      <c r="L114" s="33"/>
      <c r="M114" s="33"/>
    </row>
    <row r="115" spans="5:13">
      <c r="E115" s="28"/>
      <c r="F115" s="28"/>
      <c r="G115" s="33"/>
      <c r="H115" s="33"/>
      <c r="I115" s="33"/>
      <c r="J115" s="33"/>
      <c r="K115" s="33"/>
      <c r="L115" s="33"/>
      <c r="M115" s="33"/>
    </row>
    <row r="116" spans="5:13">
      <c r="E116" s="28"/>
      <c r="F116" s="28"/>
      <c r="G116" s="33"/>
      <c r="H116" s="33"/>
      <c r="I116" s="33"/>
      <c r="J116" s="33"/>
      <c r="K116" s="33"/>
      <c r="L116" s="33"/>
      <c r="M116" s="33"/>
    </row>
    <row r="117" spans="5:13">
      <c r="E117" s="28"/>
      <c r="F117" s="28"/>
      <c r="G117" s="33"/>
      <c r="H117" s="33"/>
      <c r="I117" s="33"/>
      <c r="J117" s="33"/>
      <c r="K117" s="33"/>
      <c r="L117" s="33"/>
      <c r="M117" s="33"/>
    </row>
    <row r="118" spans="5:13">
      <c r="E118" s="28"/>
      <c r="F118" s="28"/>
      <c r="G118" s="33"/>
      <c r="H118" s="33"/>
      <c r="I118" s="33"/>
      <c r="J118" s="33"/>
      <c r="K118" s="33"/>
      <c r="L118" s="33"/>
      <c r="M118" s="33"/>
    </row>
    <row r="119" spans="5:13">
      <c r="E119" s="28"/>
      <c r="F119" s="28"/>
      <c r="G119" s="33"/>
      <c r="H119" s="33"/>
      <c r="I119" s="33"/>
      <c r="J119" s="33"/>
      <c r="K119" s="33"/>
      <c r="L119" s="33"/>
      <c r="M119" s="33"/>
    </row>
    <row r="120" spans="5:13">
      <c r="E120" s="28"/>
      <c r="F120" s="28"/>
      <c r="G120" s="33"/>
      <c r="H120" s="33"/>
      <c r="I120" s="33"/>
      <c r="J120" s="33"/>
      <c r="K120" s="33"/>
      <c r="L120" s="33"/>
      <c r="M120" s="33"/>
    </row>
    <row r="121" spans="5:13">
      <c r="E121" s="28"/>
      <c r="F121" s="28"/>
      <c r="G121" s="33"/>
      <c r="H121" s="33"/>
      <c r="I121" s="33"/>
      <c r="J121" s="33"/>
      <c r="K121" s="33"/>
      <c r="L121" s="33"/>
      <c r="M121" s="33"/>
    </row>
    <row r="122" spans="5:13">
      <c r="E122" s="28"/>
      <c r="F122" s="28"/>
      <c r="G122" s="33"/>
      <c r="H122" s="33"/>
      <c r="I122" s="33"/>
      <c r="J122" s="33"/>
      <c r="K122" s="33"/>
      <c r="L122" s="33"/>
      <c r="M122" s="33"/>
    </row>
    <row r="123" spans="5:13">
      <c r="E123" s="28"/>
      <c r="F123" s="28"/>
      <c r="G123" s="33"/>
      <c r="H123" s="33"/>
      <c r="I123" s="33"/>
      <c r="J123" s="33"/>
      <c r="K123" s="33"/>
      <c r="L123" s="33"/>
      <c r="M123" s="33"/>
    </row>
    <row r="124" spans="5:13">
      <c r="E124" s="28"/>
      <c r="F124" s="28"/>
      <c r="G124" s="33"/>
      <c r="H124" s="33"/>
      <c r="I124" s="33"/>
      <c r="J124" s="33"/>
      <c r="K124" s="33"/>
      <c r="L124" s="33"/>
      <c r="M124" s="33"/>
    </row>
    <row r="125" spans="5:13">
      <c r="E125" s="28"/>
      <c r="F125" s="28"/>
      <c r="G125" s="33"/>
      <c r="H125" s="33"/>
      <c r="I125" s="33"/>
      <c r="J125" s="33"/>
      <c r="K125" s="33"/>
      <c r="L125" s="33"/>
      <c r="M125" s="33"/>
    </row>
    <row r="126" spans="5:13">
      <c r="E126" s="28"/>
      <c r="F126" s="28"/>
      <c r="G126" s="33"/>
      <c r="H126" s="33"/>
      <c r="I126" s="33"/>
      <c r="J126" s="33"/>
      <c r="K126" s="33"/>
      <c r="L126" s="33"/>
      <c r="M126" s="33"/>
    </row>
    <row r="127" spans="5:13">
      <c r="E127" s="28"/>
      <c r="F127" s="28"/>
      <c r="G127" s="33"/>
      <c r="H127" s="33"/>
      <c r="I127" s="33"/>
      <c r="J127" s="33"/>
      <c r="K127" s="33"/>
      <c r="L127" s="33"/>
      <c r="M127" s="33"/>
    </row>
    <row r="128" spans="5:13">
      <c r="E128" s="28"/>
      <c r="F128" s="28"/>
      <c r="G128" s="33"/>
      <c r="H128" s="33"/>
      <c r="I128" s="33"/>
      <c r="J128" s="33"/>
      <c r="K128" s="33"/>
      <c r="L128" s="33"/>
      <c r="M128" s="33"/>
    </row>
    <row r="129" spans="5:13">
      <c r="E129" s="28"/>
      <c r="F129" s="28"/>
      <c r="G129" s="33"/>
      <c r="H129" s="33"/>
      <c r="I129" s="33"/>
      <c r="J129" s="33"/>
      <c r="K129" s="33"/>
      <c r="L129" s="33"/>
      <c r="M129" s="33"/>
    </row>
    <row r="130" spans="5:13">
      <c r="E130" s="28"/>
      <c r="F130" s="28"/>
      <c r="G130" s="33"/>
      <c r="H130" s="33"/>
      <c r="I130" s="33"/>
      <c r="J130" s="33"/>
      <c r="K130" s="33"/>
      <c r="L130" s="33"/>
      <c r="M130" s="33"/>
    </row>
    <row r="131" spans="5:13">
      <c r="E131" s="28"/>
      <c r="F131" s="28"/>
      <c r="G131" s="33"/>
      <c r="H131" s="33"/>
      <c r="I131" s="33"/>
      <c r="J131" s="33"/>
      <c r="K131" s="33"/>
      <c r="L131" s="33"/>
      <c r="M131" s="33"/>
    </row>
    <row r="132" spans="5:13">
      <c r="E132" s="28"/>
      <c r="F132" s="28"/>
      <c r="G132" s="33"/>
      <c r="H132" s="33"/>
      <c r="I132" s="33"/>
      <c r="J132" s="33"/>
      <c r="K132" s="33"/>
      <c r="L132" s="33"/>
      <c r="M132" s="33"/>
    </row>
    <row r="133" spans="5:13">
      <c r="E133" s="28"/>
      <c r="F133" s="28"/>
      <c r="G133" s="33"/>
      <c r="H133" s="33"/>
      <c r="I133" s="33"/>
      <c r="J133" s="33"/>
      <c r="K133" s="33"/>
      <c r="L133" s="33"/>
      <c r="M133" s="33"/>
    </row>
    <row r="134" spans="5:13">
      <c r="E134" s="28"/>
      <c r="F134" s="28"/>
      <c r="G134" s="33"/>
      <c r="H134" s="33"/>
      <c r="I134" s="33"/>
      <c r="J134" s="33"/>
      <c r="K134" s="33"/>
      <c r="L134" s="33"/>
      <c r="M134" s="33"/>
    </row>
    <row r="135" spans="5:13">
      <c r="E135" s="28"/>
      <c r="F135" s="28"/>
      <c r="G135" s="33"/>
      <c r="H135" s="33"/>
      <c r="I135" s="33"/>
      <c r="J135" s="33"/>
      <c r="K135" s="33"/>
      <c r="L135" s="33"/>
      <c r="M135" s="33"/>
    </row>
    <row r="136" spans="5:13">
      <c r="E136" s="28"/>
      <c r="F136" s="28"/>
      <c r="G136" s="33"/>
      <c r="H136" s="33"/>
      <c r="I136" s="33"/>
      <c r="J136" s="33"/>
      <c r="K136" s="33"/>
      <c r="L136" s="33"/>
      <c r="M136" s="33"/>
    </row>
    <row r="137" spans="5:13">
      <c r="E137" s="28"/>
      <c r="F137" s="28"/>
      <c r="G137" s="33"/>
      <c r="H137" s="33"/>
      <c r="I137" s="33"/>
      <c r="J137" s="33"/>
      <c r="K137" s="33"/>
      <c r="L137" s="33"/>
      <c r="M137" s="33"/>
    </row>
    <row r="138" spans="5:13">
      <c r="E138" s="28"/>
      <c r="F138" s="28"/>
      <c r="G138" s="33"/>
      <c r="H138" s="33"/>
      <c r="I138" s="33"/>
      <c r="J138" s="33"/>
      <c r="K138" s="33"/>
      <c r="L138" s="33"/>
      <c r="M138" s="33"/>
    </row>
    <row r="139" spans="5:13">
      <c r="E139" s="28"/>
      <c r="F139" s="28"/>
      <c r="G139" s="33"/>
      <c r="H139" s="33"/>
      <c r="I139" s="33"/>
      <c r="J139" s="33"/>
      <c r="K139" s="33"/>
      <c r="L139" s="33"/>
      <c r="M139" s="33"/>
    </row>
    <row r="140" spans="5:13">
      <c r="E140" s="28"/>
      <c r="F140" s="28"/>
      <c r="G140" s="33"/>
      <c r="H140" s="33"/>
      <c r="I140" s="33"/>
      <c r="J140" s="33"/>
      <c r="K140" s="33"/>
      <c r="L140" s="33"/>
      <c r="M140" s="33"/>
    </row>
    <row r="141" spans="5:13">
      <c r="E141" s="28"/>
      <c r="F141" s="28"/>
      <c r="G141" s="33"/>
      <c r="H141" s="33"/>
      <c r="I141" s="33"/>
      <c r="J141" s="33"/>
      <c r="K141" s="33"/>
      <c r="L141" s="33"/>
      <c r="M141" s="33"/>
    </row>
    <row r="142" spans="5:13">
      <c r="E142" s="28"/>
      <c r="F142" s="28"/>
      <c r="G142" s="33"/>
      <c r="H142" s="33"/>
      <c r="I142" s="33"/>
      <c r="J142" s="33"/>
      <c r="K142" s="33"/>
      <c r="L142" s="33"/>
      <c r="M142" s="33"/>
    </row>
    <row r="143" spans="5:13">
      <c r="E143" s="28"/>
      <c r="F143" s="28"/>
      <c r="G143" s="33"/>
      <c r="H143" s="33"/>
      <c r="I143" s="33"/>
      <c r="J143" s="33"/>
      <c r="K143" s="33"/>
      <c r="L143" s="33"/>
      <c r="M143" s="33"/>
    </row>
    <row r="144" spans="5:13">
      <c r="E144" s="28"/>
      <c r="F144" s="28"/>
      <c r="G144" s="33"/>
      <c r="H144" s="33"/>
      <c r="I144" s="33"/>
      <c r="J144" s="33"/>
      <c r="K144" s="33"/>
      <c r="L144" s="33"/>
      <c r="M144" s="33"/>
    </row>
    <row r="145" spans="5:13">
      <c r="E145" s="28"/>
      <c r="F145" s="28"/>
      <c r="G145" s="33"/>
      <c r="H145" s="33"/>
      <c r="I145" s="33"/>
      <c r="J145" s="33"/>
      <c r="K145" s="33"/>
      <c r="L145" s="33"/>
      <c r="M145" s="33"/>
    </row>
    <row r="146" spans="5:13">
      <c r="E146" s="28"/>
      <c r="F146" s="28"/>
      <c r="G146" s="33"/>
      <c r="H146" s="33"/>
      <c r="I146" s="33"/>
      <c r="J146" s="33"/>
      <c r="K146" s="33"/>
      <c r="L146" s="33"/>
      <c r="M146" s="33"/>
    </row>
    <row r="147" spans="5:13">
      <c r="E147" s="28"/>
      <c r="F147" s="28"/>
      <c r="G147" s="33"/>
      <c r="H147" s="33"/>
      <c r="I147" s="33"/>
      <c r="J147" s="33"/>
      <c r="K147" s="33"/>
      <c r="L147" s="33"/>
      <c r="M147" s="33"/>
    </row>
    <row r="148" spans="5:13">
      <c r="E148" s="28"/>
      <c r="F148" s="28"/>
      <c r="G148" s="33"/>
      <c r="H148" s="33"/>
      <c r="I148" s="33"/>
      <c r="J148" s="33"/>
      <c r="K148" s="33"/>
      <c r="L148" s="33"/>
      <c r="M148" s="33"/>
    </row>
    <row r="149" spans="5:13">
      <c r="E149" s="28"/>
      <c r="F149" s="28"/>
      <c r="G149" s="33"/>
      <c r="H149" s="33"/>
      <c r="I149" s="33"/>
      <c r="J149" s="33"/>
      <c r="K149" s="33"/>
      <c r="L149" s="33"/>
      <c r="M149" s="33"/>
    </row>
    <row r="150" spans="5:13">
      <c r="E150" s="28"/>
      <c r="F150" s="28"/>
      <c r="G150" s="33"/>
      <c r="H150" s="33"/>
      <c r="I150" s="33"/>
      <c r="J150" s="33"/>
      <c r="K150" s="33"/>
      <c r="L150" s="33"/>
      <c r="M150" s="33"/>
    </row>
    <row r="151" spans="5:13">
      <c r="E151" s="28"/>
      <c r="F151" s="28"/>
      <c r="G151" s="33"/>
      <c r="H151" s="33"/>
      <c r="I151" s="33"/>
      <c r="J151" s="33"/>
      <c r="K151" s="33"/>
      <c r="L151" s="33"/>
      <c r="M151" s="33"/>
    </row>
    <row r="152" spans="5:13">
      <c r="E152" s="28"/>
      <c r="F152" s="28"/>
      <c r="G152" s="33"/>
      <c r="H152" s="33"/>
      <c r="I152" s="33"/>
      <c r="J152" s="33"/>
      <c r="K152" s="33"/>
      <c r="L152" s="33"/>
      <c r="M152" s="33"/>
    </row>
    <row r="153" spans="5:13">
      <c r="E153" s="28"/>
      <c r="F153" s="28"/>
      <c r="G153" s="33"/>
      <c r="H153" s="33"/>
      <c r="I153" s="33"/>
      <c r="J153" s="33"/>
      <c r="K153" s="33"/>
      <c r="L153" s="33"/>
      <c r="M153" s="33"/>
    </row>
    <row r="154" spans="5:13">
      <c r="E154" s="28"/>
      <c r="F154" s="28"/>
      <c r="G154" s="33"/>
      <c r="H154" s="33"/>
      <c r="I154" s="33"/>
      <c r="J154" s="33"/>
      <c r="K154" s="33"/>
      <c r="L154" s="33"/>
      <c r="M154" s="33"/>
    </row>
    <row r="155" spans="5:13">
      <c r="E155" s="28"/>
      <c r="F155" s="28"/>
      <c r="G155" s="33"/>
      <c r="H155" s="33"/>
      <c r="I155" s="33"/>
      <c r="J155" s="33"/>
      <c r="K155" s="33"/>
      <c r="L155" s="33"/>
      <c r="M155" s="33"/>
    </row>
    <row r="156" spans="5:13">
      <c r="E156" s="28"/>
      <c r="F156" s="28"/>
      <c r="G156" s="33"/>
      <c r="H156" s="33"/>
      <c r="I156" s="33"/>
      <c r="J156" s="33"/>
      <c r="K156" s="33"/>
      <c r="L156" s="33"/>
      <c r="M156" s="33"/>
    </row>
    <row r="157" spans="5:13">
      <c r="E157" s="28"/>
      <c r="F157" s="28"/>
      <c r="G157" s="33"/>
      <c r="H157" s="33"/>
      <c r="I157" s="33"/>
      <c r="J157" s="33"/>
      <c r="K157" s="33"/>
      <c r="L157" s="33"/>
      <c r="M157" s="33"/>
    </row>
    <row r="158" spans="5:13">
      <c r="E158" s="28"/>
      <c r="F158" s="28"/>
      <c r="G158" s="33"/>
      <c r="H158" s="33"/>
      <c r="I158" s="33"/>
      <c r="J158" s="33"/>
      <c r="K158" s="33"/>
      <c r="L158" s="33"/>
      <c r="M158" s="33"/>
    </row>
    <row r="159" spans="5:13">
      <c r="E159" s="28"/>
      <c r="F159" s="28"/>
      <c r="G159" s="33"/>
      <c r="H159" s="33"/>
      <c r="I159" s="33"/>
      <c r="J159" s="33"/>
      <c r="K159" s="33"/>
      <c r="L159" s="33"/>
      <c r="M159" s="33"/>
    </row>
    <row r="160" spans="5:13">
      <c r="E160" s="28"/>
      <c r="F160" s="28"/>
      <c r="G160" s="33"/>
      <c r="H160" s="33"/>
      <c r="I160" s="33"/>
      <c r="J160" s="33"/>
      <c r="K160" s="33"/>
      <c r="L160" s="33"/>
      <c r="M160" s="33"/>
    </row>
    <row r="161" spans="5:13">
      <c r="E161" s="28"/>
      <c r="F161" s="28"/>
      <c r="G161" s="33"/>
      <c r="H161" s="33"/>
      <c r="I161" s="33"/>
      <c r="J161" s="33"/>
      <c r="K161" s="33"/>
      <c r="L161" s="33"/>
      <c r="M161" s="33"/>
    </row>
    <row r="162" spans="5:13">
      <c r="E162" s="28"/>
      <c r="F162" s="28"/>
      <c r="G162" s="33"/>
      <c r="H162" s="33"/>
      <c r="I162" s="33"/>
      <c r="J162" s="33"/>
      <c r="K162" s="33"/>
      <c r="L162" s="33"/>
      <c r="M162" s="33"/>
    </row>
    <row r="163" spans="5:13">
      <c r="E163" s="28"/>
      <c r="F163" s="28"/>
      <c r="G163" s="33"/>
      <c r="H163" s="33"/>
      <c r="I163" s="33"/>
      <c r="J163" s="33"/>
      <c r="K163" s="33"/>
      <c r="L163" s="33"/>
      <c r="M163" s="33"/>
    </row>
    <row r="164" spans="5:13">
      <c r="E164" s="28"/>
      <c r="F164" s="28"/>
      <c r="G164" s="33"/>
      <c r="H164" s="33"/>
      <c r="I164" s="33"/>
      <c r="J164" s="33"/>
      <c r="K164" s="33"/>
      <c r="L164" s="33"/>
      <c r="M164" s="33"/>
    </row>
    <row r="165" spans="5:13">
      <c r="E165" s="28"/>
      <c r="F165" s="28"/>
      <c r="G165" s="33"/>
      <c r="H165" s="33"/>
      <c r="I165" s="33"/>
      <c r="J165" s="33"/>
      <c r="K165" s="33"/>
      <c r="L165" s="33"/>
      <c r="M165" s="33"/>
    </row>
    <row r="166" spans="5:13">
      <c r="E166" s="28"/>
      <c r="F166" s="28"/>
      <c r="G166" s="33"/>
      <c r="H166" s="33"/>
      <c r="I166" s="33"/>
      <c r="J166" s="33"/>
      <c r="K166" s="33"/>
      <c r="L166" s="33"/>
      <c r="M166" s="33"/>
    </row>
    <row r="167" spans="5:13">
      <c r="E167" s="28"/>
      <c r="F167" s="28"/>
      <c r="G167" s="33"/>
      <c r="H167" s="33"/>
      <c r="I167" s="33"/>
      <c r="J167" s="33"/>
      <c r="K167" s="33"/>
      <c r="L167" s="33"/>
      <c r="M167" s="33"/>
    </row>
    <row r="168" spans="5:13">
      <c r="E168" s="28"/>
      <c r="F168" s="28"/>
      <c r="G168" s="33"/>
      <c r="H168" s="33"/>
      <c r="I168" s="33"/>
      <c r="J168" s="33"/>
      <c r="K168" s="33"/>
      <c r="L168" s="33"/>
      <c r="M168" s="33"/>
    </row>
    <row r="169" spans="5:13">
      <c r="E169" s="28"/>
      <c r="F169" s="28"/>
      <c r="G169" s="33"/>
      <c r="H169" s="33"/>
      <c r="I169" s="33"/>
      <c r="J169" s="33"/>
      <c r="K169" s="33"/>
      <c r="L169" s="33"/>
      <c r="M169" s="33"/>
    </row>
    <row r="170" spans="5:13">
      <c r="E170" s="28"/>
      <c r="F170" s="28"/>
      <c r="G170" s="33"/>
      <c r="H170" s="33"/>
      <c r="I170" s="33"/>
      <c r="J170" s="33"/>
      <c r="K170" s="33"/>
      <c r="L170" s="33"/>
      <c r="M170" s="33"/>
    </row>
    <row r="171" spans="5:13">
      <c r="E171" s="28"/>
      <c r="F171" s="28"/>
      <c r="G171" s="33"/>
      <c r="H171" s="33"/>
      <c r="I171" s="33"/>
      <c r="J171" s="33"/>
      <c r="K171" s="33"/>
      <c r="L171" s="33"/>
      <c r="M171" s="33"/>
    </row>
    <row r="172" spans="5:13">
      <c r="E172" s="28"/>
      <c r="F172" s="28"/>
      <c r="G172" s="33"/>
      <c r="H172" s="33"/>
      <c r="I172" s="33"/>
      <c r="J172" s="33"/>
      <c r="K172" s="33"/>
      <c r="L172" s="33"/>
      <c r="M172" s="33"/>
    </row>
    <row r="173" spans="5:13">
      <c r="E173" s="28"/>
      <c r="F173" s="28"/>
      <c r="G173" s="33"/>
      <c r="H173" s="33"/>
      <c r="I173" s="33"/>
      <c r="J173" s="33"/>
      <c r="K173" s="33"/>
      <c r="L173" s="33"/>
      <c r="M173" s="33"/>
    </row>
    <row r="174" spans="5:13">
      <c r="E174" s="28"/>
      <c r="F174" s="28"/>
      <c r="G174" s="33"/>
      <c r="H174" s="33"/>
      <c r="I174" s="33"/>
      <c r="J174" s="33"/>
      <c r="K174" s="33"/>
      <c r="L174" s="33"/>
      <c r="M174" s="33"/>
    </row>
    <row r="175" spans="5:13">
      <c r="E175" s="28"/>
      <c r="F175" s="28"/>
      <c r="G175" s="33"/>
      <c r="H175" s="33"/>
      <c r="I175" s="33"/>
      <c r="J175" s="33"/>
      <c r="K175" s="33"/>
      <c r="L175" s="33"/>
      <c r="M175" s="33"/>
    </row>
    <row r="176" spans="5:13">
      <c r="E176" s="28"/>
      <c r="F176" s="28"/>
      <c r="G176" s="33"/>
      <c r="H176" s="33"/>
      <c r="I176" s="33"/>
      <c r="J176" s="33"/>
      <c r="K176" s="33"/>
      <c r="L176" s="33"/>
      <c r="M176" s="33"/>
    </row>
    <row r="177" spans="5:13">
      <c r="E177" s="28"/>
      <c r="F177" s="28"/>
      <c r="G177" s="33"/>
      <c r="H177" s="33"/>
      <c r="I177" s="33"/>
      <c r="J177" s="33"/>
      <c r="K177" s="33"/>
      <c r="L177" s="33"/>
      <c r="M177" s="33"/>
    </row>
    <row r="178" spans="5:13">
      <c r="E178" s="28"/>
      <c r="F178" s="28"/>
      <c r="G178" s="33"/>
      <c r="H178" s="33"/>
      <c r="I178" s="33"/>
      <c r="J178" s="33"/>
      <c r="K178" s="33"/>
      <c r="L178" s="33"/>
      <c r="M178" s="33"/>
    </row>
    <row r="179" spans="5:13">
      <c r="E179" s="28"/>
      <c r="F179" s="28"/>
      <c r="G179" s="33"/>
      <c r="H179" s="33"/>
      <c r="I179" s="33"/>
      <c r="J179" s="33"/>
      <c r="K179" s="33"/>
      <c r="L179" s="33"/>
      <c r="M179" s="33"/>
    </row>
    <row r="180" spans="5:13">
      <c r="E180" s="28"/>
      <c r="F180" s="28"/>
      <c r="G180" s="33"/>
      <c r="H180" s="33"/>
      <c r="I180" s="33"/>
      <c r="J180" s="33"/>
      <c r="K180" s="33"/>
      <c r="L180" s="33"/>
      <c r="M180" s="33"/>
    </row>
    <row r="181" spans="5:13">
      <c r="E181" s="28"/>
      <c r="F181" s="28"/>
      <c r="G181" s="33"/>
      <c r="H181" s="33"/>
      <c r="I181" s="33"/>
      <c r="J181" s="33"/>
      <c r="K181" s="33"/>
      <c r="L181" s="33"/>
      <c r="M181" s="33"/>
    </row>
    <row r="182" spans="5:13">
      <c r="E182" s="28"/>
      <c r="F182" s="28"/>
      <c r="G182" s="33"/>
      <c r="H182" s="33"/>
      <c r="I182" s="33"/>
      <c r="J182" s="33"/>
      <c r="K182" s="33"/>
      <c r="L182" s="33"/>
      <c r="M182" s="33"/>
    </row>
    <row r="183" spans="5:13">
      <c r="E183" s="28"/>
      <c r="F183" s="28"/>
      <c r="G183" s="33"/>
      <c r="H183" s="33"/>
      <c r="I183" s="33"/>
      <c r="J183" s="33"/>
      <c r="K183" s="33"/>
      <c r="L183" s="33"/>
      <c r="M183" s="33"/>
    </row>
    <row r="184" spans="5:13">
      <c r="E184" s="28"/>
      <c r="F184" s="28"/>
      <c r="G184" s="33"/>
      <c r="H184" s="33"/>
      <c r="I184" s="33"/>
      <c r="J184" s="33"/>
      <c r="K184" s="33"/>
      <c r="L184" s="33"/>
      <c r="M184" s="33"/>
    </row>
    <row r="185" spans="5:13">
      <c r="E185" s="28"/>
      <c r="F185" s="28"/>
      <c r="G185" s="33"/>
      <c r="H185" s="33"/>
      <c r="I185" s="33"/>
      <c r="J185" s="33"/>
      <c r="K185" s="33"/>
      <c r="L185" s="33"/>
      <c r="M185" s="33"/>
    </row>
    <row r="186" spans="5:13">
      <c r="E186" s="28"/>
      <c r="F186" s="28"/>
      <c r="G186" s="33"/>
      <c r="H186" s="33"/>
      <c r="I186" s="33"/>
      <c r="J186" s="33"/>
      <c r="K186" s="33"/>
      <c r="L186" s="33"/>
      <c r="M186" s="33"/>
    </row>
    <row r="187" spans="5:13">
      <c r="E187" s="28"/>
      <c r="F187" s="28"/>
      <c r="G187" s="33"/>
      <c r="H187" s="33"/>
      <c r="I187" s="33"/>
      <c r="J187" s="33"/>
      <c r="K187" s="33"/>
      <c r="L187" s="33"/>
      <c r="M187" s="33"/>
    </row>
    <row r="188" spans="5:13">
      <c r="E188" s="28"/>
      <c r="F188" s="28"/>
      <c r="G188" s="33"/>
      <c r="H188" s="33"/>
      <c r="I188" s="33"/>
      <c r="J188" s="33"/>
      <c r="K188" s="33"/>
      <c r="L188" s="33"/>
      <c r="M188" s="33"/>
    </row>
    <row r="189" spans="5:13">
      <c r="E189" s="28"/>
      <c r="F189" s="28"/>
      <c r="G189" s="33"/>
      <c r="H189" s="33"/>
      <c r="I189" s="33"/>
      <c r="J189" s="33"/>
      <c r="K189" s="33"/>
      <c r="L189" s="33"/>
      <c r="M189" s="33"/>
    </row>
    <row r="190" spans="5:13">
      <c r="E190" s="28"/>
      <c r="F190" s="28"/>
      <c r="G190" s="33"/>
      <c r="H190" s="33"/>
      <c r="I190" s="33"/>
      <c r="J190" s="33"/>
      <c r="K190" s="33"/>
      <c r="L190" s="33"/>
      <c r="M190" s="33"/>
    </row>
    <row r="191" spans="5:13">
      <c r="E191" s="28"/>
      <c r="F191" s="28"/>
      <c r="G191" s="33"/>
      <c r="H191" s="33"/>
      <c r="I191" s="33"/>
      <c r="J191" s="33"/>
      <c r="K191" s="33"/>
      <c r="L191" s="33"/>
      <c r="M191" s="33"/>
    </row>
    <row r="192" spans="5:13">
      <c r="E192" s="28"/>
      <c r="F192" s="28"/>
      <c r="G192" s="33"/>
      <c r="H192" s="33"/>
      <c r="I192" s="33"/>
      <c r="J192" s="33"/>
      <c r="K192" s="33"/>
      <c r="L192" s="33"/>
      <c r="M192" s="33"/>
    </row>
    <row r="193" spans="5:13">
      <c r="E193" s="28"/>
      <c r="F193" s="28"/>
      <c r="G193" s="33"/>
      <c r="H193" s="33"/>
      <c r="I193" s="33"/>
      <c r="J193" s="33"/>
      <c r="K193" s="33"/>
      <c r="L193" s="33"/>
      <c r="M193" s="33"/>
    </row>
    <row r="194" spans="5:13">
      <c r="E194" s="28"/>
      <c r="F194" s="28"/>
      <c r="G194" s="33"/>
      <c r="H194" s="33"/>
      <c r="I194" s="33"/>
      <c r="J194" s="33"/>
      <c r="K194" s="33"/>
      <c r="L194" s="33"/>
      <c r="M194" s="33"/>
    </row>
    <row r="195" spans="5:13">
      <c r="E195" s="28"/>
      <c r="F195" s="28"/>
      <c r="G195" s="33"/>
      <c r="H195" s="33"/>
      <c r="I195" s="33"/>
      <c r="J195" s="33"/>
      <c r="K195" s="33"/>
      <c r="L195" s="33"/>
      <c r="M195" s="33"/>
    </row>
    <row r="196" spans="5:13">
      <c r="E196" s="28"/>
      <c r="F196" s="28"/>
      <c r="G196" s="33"/>
      <c r="H196" s="33"/>
      <c r="I196" s="33"/>
      <c r="J196" s="33"/>
      <c r="K196" s="33"/>
      <c r="L196" s="33"/>
      <c r="M196" s="33"/>
    </row>
    <row r="197" spans="5:13">
      <c r="E197" s="28"/>
      <c r="F197" s="28"/>
      <c r="G197" s="33"/>
      <c r="H197" s="33"/>
      <c r="I197" s="33"/>
      <c r="J197" s="33"/>
      <c r="K197" s="33"/>
      <c r="L197" s="33"/>
      <c r="M197" s="33"/>
    </row>
    <row r="198" spans="5:13">
      <c r="E198" s="28"/>
      <c r="F198" s="28"/>
      <c r="G198" s="33"/>
      <c r="H198" s="33"/>
      <c r="I198" s="33"/>
      <c r="J198" s="33"/>
      <c r="K198" s="33"/>
      <c r="L198" s="33"/>
      <c r="M198" s="33"/>
    </row>
    <row r="199" spans="5:13">
      <c r="E199" s="28"/>
      <c r="F199" s="28"/>
      <c r="G199" s="33"/>
      <c r="H199" s="33"/>
      <c r="I199" s="33"/>
      <c r="J199" s="33"/>
      <c r="K199" s="33"/>
      <c r="L199" s="33"/>
      <c r="M199" s="33"/>
    </row>
    <row r="200" spans="5:13">
      <c r="E200" s="28"/>
      <c r="F200" s="28"/>
      <c r="G200" s="33"/>
      <c r="H200" s="33"/>
      <c r="I200" s="33"/>
      <c r="J200" s="33"/>
      <c r="K200" s="33"/>
      <c r="L200" s="33"/>
      <c r="M200" s="33"/>
    </row>
    <row r="201" spans="5:13">
      <c r="E201" s="28"/>
      <c r="F201" s="28"/>
      <c r="G201" s="33"/>
      <c r="H201" s="33"/>
      <c r="I201" s="33"/>
      <c r="J201" s="33"/>
      <c r="K201" s="33"/>
      <c r="L201" s="33"/>
      <c r="M201" s="33"/>
    </row>
    <row r="202" spans="5:13">
      <c r="E202" s="28"/>
      <c r="F202" s="28"/>
      <c r="G202" s="33"/>
      <c r="H202" s="33"/>
      <c r="I202" s="33"/>
      <c r="J202" s="33"/>
      <c r="K202" s="33"/>
      <c r="L202" s="33"/>
      <c r="M202" s="33"/>
    </row>
    <row r="203" spans="5:13">
      <c r="E203" s="28"/>
      <c r="F203" s="28"/>
      <c r="G203" s="33"/>
      <c r="H203" s="33"/>
      <c r="I203" s="33"/>
      <c r="J203" s="33"/>
      <c r="K203" s="33"/>
      <c r="L203" s="33"/>
      <c r="M203" s="33"/>
    </row>
    <row r="204" spans="5:13">
      <c r="E204" s="28"/>
      <c r="F204" s="28"/>
      <c r="G204" s="33"/>
      <c r="H204" s="33"/>
      <c r="I204" s="33"/>
      <c r="J204" s="33"/>
      <c r="K204" s="33"/>
      <c r="L204" s="33"/>
      <c r="M204" s="33"/>
    </row>
    <row r="205" spans="5:13">
      <c r="E205" s="28"/>
      <c r="F205" s="28"/>
      <c r="G205" s="33"/>
      <c r="H205" s="33"/>
      <c r="I205" s="33"/>
      <c r="J205" s="33"/>
      <c r="K205" s="33"/>
      <c r="L205" s="33"/>
      <c r="M205" s="33"/>
    </row>
    <row r="206" spans="5:13">
      <c r="E206" s="28"/>
      <c r="F206" s="28"/>
      <c r="G206" s="33"/>
      <c r="H206" s="33"/>
      <c r="I206" s="33"/>
      <c r="J206" s="33"/>
      <c r="K206" s="33"/>
      <c r="L206" s="33"/>
      <c r="M206" s="33"/>
    </row>
    <row r="207" spans="5:13">
      <c r="E207" s="28"/>
      <c r="F207" s="28"/>
      <c r="G207" s="33"/>
      <c r="H207" s="33"/>
      <c r="I207" s="33"/>
      <c r="J207" s="33"/>
      <c r="K207" s="33"/>
      <c r="L207" s="33"/>
      <c r="M207" s="33"/>
    </row>
    <row r="208" spans="5:13">
      <c r="E208" s="28"/>
      <c r="F208" s="28"/>
      <c r="G208" s="33"/>
      <c r="H208" s="33"/>
      <c r="I208" s="33"/>
      <c r="J208" s="33"/>
      <c r="K208" s="33"/>
      <c r="L208" s="33"/>
      <c r="M208" s="33"/>
    </row>
    <row r="209" spans="5:13">
      <c r="E209" s="28"/>
      <c r="F209" s="28"/>
      <c r="G209" s="33"/>
      <c r="H209" s="33"/>
      <c r="I209" s="33"/>
      <c r="J209" s="33"/>
      <c r="K209" s="33"/>
      <c r="L209" s="33"/>
      <c r="M209" s="33"/>
    </row>
    <row r="210" spans="5:13">
      <c r="E210" s="28"/>
      <c r="F210" s="28"/>
      <c r="G210" s="33"/>
      <c r="H210" s="33"/>
      <c r="I210" s="33"/>
      <c r="J210" s="33"/>
      <c r="K210" s="33"/>
      <c r="L210" s="33"/>
      <c r="M210" s="33"/>
    </row>
    <row r="211" spans="5:13">
      <c r="E211" s="28"/>
      <c r="F211" s="28"/>
      <c r="G211" s="33"/>
      <c r="H211" s="33"/>
      <c r="I211" s="33"/>
      <c r="J211" s="33"/>
      <c r="K211" s="33"/>
      <c r="L211" s="33"/>
      <c r="M211" s="33"/>
    </row>
    <row r="212" spans="5:13">
      <c r="E212" s="28"/>
      <c r="F212" s="28"/>
      <c r="G212" s="33"/>
      <c r="H212" s="33"/>
      <c r="I212" s="33"/>
      <c r="J212" s="33"/>
      <c r="K212" s="33"/>
      <c r="L212" s="33"/>
      <c r="M212" s="33"/>
    </row>
    <row r="213" spans="5:13">
      <c r="E213" s="28"/>
      <c r="F213" s="28"/>
      <c r="G213" s="33"/>
      <c r="H213" s="33"/>
      <c r="I213" s="33"/>
      <c r="J213" s="33"/>
      <c r="K213" s="33"/>
      <c r="L213" s="33"/>
      <c r="M213" s="33"/>
    </row>
    <row r="214" spans="5:13">
      <c r="E214" s="28"/>
      <c r="F214" s="28"/>
      <c r="G214" s="33"/>
      <c r="H214" s="33"/>
      <c r="I214" s="33"/>
      <c r="J214" s="33"/>
      <c r="K214" s="33"/>
      <c r="L214" s="33"/>
      <c r="M214" s="33"/>
    </row>
    <row r="215" spans="5:13">
      <c r="E215" s="28"/>
      <c r="F215" s="28"/>
      <c r="G215" s="33"/>
      <c r="H215" s="33"/>
      <c r="I215" s="33"/>
      <c r="J215" s="33"/>
      <c r="K215" s="33"/>
      <c r="L215" s="33"/>
      <c r="M215" s="33"/>
    </row>
    <row r="216" spans="5:13">
      <c r="E216" s="28"/>
      <c r="F216" s="28"/>
      <c r="G216" s="33"/>
      <c r="H216" s="33"/>
      <c r="I216" s="33"/>
      <c r="J216" s="33"/>
      <c r="K216" s="33"/>
      <c r="L216" s="33"/>
      <c r="M216" s="33"/>
    </row>
    <row r="217" spans="5:13">
      <c r="E217" s="28"/>
      <c r="F217" s="28"/>
      <c r="G217" s="33"/>
      <c r="H217" s="33"/>
      <c r="I217" s="33"/>
      <c r="J217" s="33"/>
      <c r="K217" s="33"/>
      <c r="L217" s="33"/>
      <c r="M217" s="33"/>
    </row>
    <row r="218" spans="5:13">
      <c r="E218" s="28"/>
      <c r="F218" s="28"/>
      <c r="G218" s="33"/>
      <c r="H218" s="33"/>
      <c r="I218" s="33"/>
      <c r="J218" s="33"/>
      <c r="K218" s="33"/>
      <c r="L218" s="33"/>
      <c r="M218" s="33"/>
    </row>
    <row r="219" spans="5:13">
      <c r="E219" s="28"/>
      <c r="F219" s="28"/>
      <c r="G219" s="33"/>
      <c r="H219" s="33"/>
      <c r="I219" s="33"/>
      <c r="J219" s="33"/>
      <c r="K219" s="33"/>
      <c r="L219" s="33"/>
      <c r="M219" s="33"/>
    </row>
    <row r="220" spans="5:13">
      <c r="E220" s="28"/>
      <c r="F220" s="28"/>
      <c r="G220" s="33"/>
      <c r="H220" s="33"/>
      <c r="I220" s="33"/>
      <c r="J220" s="33"/>
      <c r="K220" s="33"/>
      <c r="L220" s="33"/>
      <c r="M220" s="33"/>
    </row>
    <row r="221" spans="5:13">
      <c r="E221" s="28"/>
      <c r="F221" s="28"/>
      <c r="G221" s="33"/>
      <c r="H221" s="33"/>
      <c r="I221" s="33"/>
      <c r="J221" s="33"/>
      <c r="K221" s="33"/>
      <c r="L221" s="33"/>
      <c r="M221" s="33"/>
    </row>
    <row r="222" spans="5:13">
      <c r="E222" s="28"/>
      <c r="F222" s="28"/>
      <c r="G222" s="33"/>
      <c r="H222" s="33"/>
      <c r="I222" s="33"/>
      <c r="J222" s="33"/>
      <c r="K222" s="33"/>
      <c r="L222" s="33"/>
      <c r="M222" s="33"/>
    </row>
    <row r="223" spans="5:13">
      <c r="E223" s="28"/>
      <c r="F223" s="28"/>
      <c r="G223" s="33"/>
      <c r="H223" s="33"/>
      <c r="I223" s="33"/>
      <c r="J223" s="33"/>
      <c r="K223" s="33"/>
      <c r="L223" s="33"/>
      <c r="M223" s="33"/>
    </row>
    <row r="224" spans="5:13">
      <c r="E224" s="28"/>
      <c r="F224" s="28"/>
      <c r="G224" s="33"/>
      <c r="H224" s="33"/>
      <c r="I224" s="33"/>
      <c r="J224" s="33"/>
      <c r="K224" s="33"/>
      <c r="L224" s="33"/>
      <c r="M224" s="33"/>
    </row>
    <row r="225" spans="5:13">
      <c r="E225" s="28"/>
      <c r="F225" s="28"/>
      <c r="G225" s="33"/>
      <c r="H225" s="33"/>
      <c r="I225" s="33"/>
      <c r="J225" s="33"/>
      <c r="K225" s="33"/>
      <c r="L225" s="33"/>
      <c r="M225" s="33"/>
    </row>
    <row r="226" spans="5:13">
      <c r="E226" s="28"/>
      <c r="F226" s="28"/>
      <c r="G226" s="33"/>
      <c r="H226" s="33"/>
      <c r="I226" s="33"/>
      <c r="J226" s="33"/>
      <c r="K226" s="33"/>
      <c r="L226" s="33"/>
      <c r="M226" s="33"/>
    </row>
    <row r="227" spans="5:13">
      <c r="E227" s="28"/>
      <c r="F227" s="28"/>
      <c r="G227" s="33"/>
      <c r="H227" s="33"/>
      <c r="I227" s="33"/>
      <c r="J227" s="33"/>
      <c r="K227" s="33"/>
      <c r="L227" s="33"/>
      <c r="M227" s="33"/>
    </row>
    <row r="228" spans="5:13">
      <c r="E228" s="28"/>
      <c r="F228" s="28"/>
      <c r="G228" s="33"/>
      <c r="H228" s="33"/>
      <c r="I228" s="33"/>
      <c r="J228" s="33"/>
      <c r="K228" s="33"/>
      <c r="L228" s="33"/>
      <c r="M228" s="33"/>
    </row>
    <row r="229" spans="5:13">
      <c r="E229" s="28"/>
      <c r="F229" s="28"/>
      <c r="G229" s="33"/>
      <c r="H229" s="33"/>
      <c r="I229" s="33"/>
      <c r="J229" s="33"/>
      <c r="K229" s="33"/>
      <c r="L229" s="33"/>
      <c r="M229" s="33"/>
    </row>
    <row r="230" spans="5:13">
      <c r="E230" s="28"/>
      <c r="F230" s="28"/>
      <c r="G230" s="33"/>
      <c r="H230" s="33"/>
      <c r="I230" s="33"/>
      <c r="J230" s="33"/>
      <c r="K230" s="33"/>
      <c r="L230" s="33"/>
      <c r="M230" s="33"/>
    </row>
    <row r="231" spans="5:13">
      <c r="E231" s="28"/>
      <c r="F231" s="28"/>
      <c r="G231" s="33"/>
      <c r="H231" s="33"/>
      <c r="I231" s="33"/>
      <c r="J231" s="33"/>
      <c r="K231" s="33"/>
      <c r="L231" s="33"/>
      <c r="M231" s="33"/>
    </row>
    <row r="232" spans="5:13">
      <c r="E232" s="28"/>
      <c r="F232" s="28"/>
      <c r="G232" s="33"/>
      <c r="H232" s="33"/>
      <c r="I232" s="33"/>
      <c r="J232" s="33"/>
      <c r="K232" s="33"/>
      <c r="L232" s="33"/>
      <c r="M232" s="33"/>
    </row>
    <row r="233" spans="5:13">
      <c r="E233" s="28"/>
      <c r="F233" s="28"/>
      <c r="G233" s="33"/>
      <c r="H233" s="33"/>
      <c r="I233" s="33"/>
      <c r="J233" s="33"/>
      <c r="K233" s="33"/>
      <c r="L233" s="33"/>
      <c r="M233" s="33"/>
    </row>
    <row r="234" spans="5:13">
      <c r="E234" s="28"/>
      <c r="F234" s="28"/>
      <c r="G234" s="33"/>
      <c r="H234" s="33"/>
      <c r="I234" s="33"/>
      <c r="J234" s="33"/>
      <c r="K234" s="33"/>
      <c r="L234" s="33"/>
      <c r="M234" s="33"/>
    </row>
    <row r="235" spans="5:13">
      <c r="E235" s="28"/>
      <c r="F235" s="28"/>
      <c r="G235" s="33"/>
      <c r="H235" s="33"/>
      <c r="I235" s="33"/>
      <c r="J235" s="33"/>
      <c r="K235" s="33"/>
      <c r="L235" s="33"/>
      <c r="M235" s="33"/>
    </row>
    <row r="236" spans="5:13">
      <c r="E236" s="28"/>
      <c r="F236" s="28"/>
      <c r="G236" s="33"/>
      <c r="H236" s="33"/>
      <c r="I236" s="33"/>
      <c r="J236" s="33"/>
      <c r="K236" s="33"/>
      <c r="L236" s="33"/>
      <c r="M236" s="33"/>
    </row>
    <row r="237" spans="5:13">
      <c r="E237" s="28"/>
      <c r="F237" s="28"/>
      <c r="G237" s="33"/>
      <c r="H237" s="33"/>
      <c r="I237" s="33"/>
      <c r="J237" s="33"/>
      <c r="K237" s="33"/>
      <c r="L237" s="33"/>
      <c r="M237" s="33"/>
    </row>
    <row r="238" spans="5:13">
      <c r="E238" s="28"/>
      <c r="F238" s="28"/>
      <c r="G238" s="33"/>
      <c r="H238" s="33"/>
      <c r="I238" s="33"/>
      <c r="J238" s="33"/>
      <c r="K238" s="33"/>
      <c r="L238" s="33"/>
      <c r="M238" s="33"/>
    </row>
    <row r="239" spans="5:13">
      <c r="E239" s="28"/>
      <c r="F239" s="28"/>
      <c r="G239" s="33"/>
      <c r="H239" s="33"/>
      <c r="I239" s="33"/>
      <c r="J239" s="33"/>
      <c r="K239" s="33"/>
      <c r="L239" s="33"/>
      <c r="M239" s="33"/>
    </row>
    <row r="240" spans="5:13">
      <c r="E240" s="28"/>
      <c r="F240" s="28"/>
      <c r="G240" s="33"/>
      <c r="H240" s="33"/>
      <c r="I240" s="33"/>
      <c r="J240" s="33"/>
      <c r="K240" s="33"/>
      <c r="L240" s="33"/>
      <c r="M240" s="33"/>
    </row>
    <row r="241" spans="5:13">
      <c r="E241" s="28"/>
      <c r="F241" s="28"/>
      <c r="G241" s="33"/>
      <c r="H241" s="33"/>
      <c r="I241" s="33"/>
      <c r="J241" s="33"/>
      <c r="K241" s="33"/>
      <c r="L241" s="33"/>
      <c r="M241" s="33"/>
    </row>
    <row r="242" spans="5:13">
      <c r="E242" s="28"/>
      <c r="F242" s="28"/>
      <c r="G242" s="33"/>
      <c r="H242" s="33"/>
      <c r="I242" s="33"/>
      <c r="J242" s="33"/>
      <c r="K242" s="33"/>
      <c r="L242" s="33"/>
      <c r="M242" s="33"/>
    </row>
    <row r="243" spans="5:13">
      <c r="E243" s="28"/>
      <c r="F243" s="28"/>
      <c r="G243" s="33"/>
      <c r="H243" s="33"/>
      <c r="I243" s="33"/>
      <c r="J243" s="33"/>
      <c r="K243" s="33"/>
      <c r="L243" s="33"/>
      <c r="M243" s="33"/>
    </row>
    <row r="244" spans="5:13">
      <c r="E244" s="28"/>
      <c r="F244" s="28"/>
      <c r="G244" s="33"/>
      <c r="H244" s="33"/>
      <c r="I244" s="33"/>
      <c r="J244" s="33"/>
      <c r="K244" s="33"/>
      <c r="L244" s="33"/>
      <c r="M244" s="33"/>
    </row>
    <row r="245" spans="5:13">
      <c r="E245" s="28"/>
      <c r="F245" s="28"/>
      <c r="G245" s="33"/>
      <c r="H245" s="33"/>
      <c r="I245" s="33"/>
      <c r="J245" s="33"/>
      <c r="K245" s="33"/>
      <c r="L245" s="33"/>
      <c r="M245" s="33"/>
    </row>
    <row r="246" spans="5:13">
      <c r="E246" s="28"/>
      <c r="F246" s="28"/>
      <c r="G246" s="33"/>
      <c r="H246" s="33"/>
      <c r="I246" s="33"/>
      <c r="J246" s="33"/>
      <c r="K246" s="33"/>
      <c r="L246" s="33"/>
      <c r="M246" s="33"/>
    </row>
    <row r="247" spans="5:13">
      <c r="E247" s="28"/>
      <c r="F247" s="28"/>
      <c r="G247" s="33"/>
      <c r="H247" s="33"/>
      <c r="I247" s="33"/>
      <c r="J247" s="33"/>
      <c r="K247" s="33"/>
      <c r="L247" s="33"/>
      <c r="M247" s="33"/>
    </row>
    <row r="248" spans="5:13">
      <c r="E248" s="28"/>
      <c r="F248" s="28"/>
      <c r="G248" s="33"/>
      <c r="H248" s="33"/>
      <c r="I248" s="33"/>
      <c r="J248" s="33"/>
      <c r="K248" s="33"/>
      <c r="L248" s="33"/>
      <c r="M248" s="33"/>
    </row>
    <row r="249" spans="5:13">
      <c r="E249" s="28"/>
      <c r="F249" s="28"/>
      <c r="G249" s="33"/>
      <c r="H249" s="33"/>
      <c r="I249" s="33"/>
      <c r="J249" s="33"/>
      <c r="K249" s="33"/>
      <c r="L249" s="33"/>
      <c r="M249" s="33"/>
    </row>
    <row r="250" spans="5:13">
      <c r="E250" s="28"/>
      <c r="F250" s="28"/>
      <c r="G250" s="33"/>
      <c r="H250" s="33"/>
      <c r="I250" s="33"/>
      <c r="J250" s="33"/>
      <c r="K250" s="33"/>
      <c r="L250" s="33"/>
      <c r="M250" s="33"/>
    </row>
    <row r="251" spans="5:13">
      <c r="E251" s="28"/>
      <c r="F251" s="28"/>
      <c r="G251" s="33"/>
      <c r="H251" s="33"/>
      <c r="I251" s="33"/>
      <c r="J251" s="33"/>
      <c r="K251" s="33"/>
      <c r="L251" s="33"/>
      <c r="M251" s="33"/>
    </row>
    <row r="252" spans="5:13">
      <c r="E252" s="28"/>
      <c r="F252" s="28"/>
      <c r="G252" s="33"/>
      <c r="H252" s="33"/>
      <c r="I252" s="33"/>
      <c r="J252" s="33"/>
      <c r="K252" s="33"/>
      <c r="L252" s="33"/>
      <c r="M252" s="33"/>
    </row>
    <row r="253" spans="5:13">
      <c r="E253" s="28"/>
      <c r="F253" s="28"/>
      <c r="G253" s="33"/>
      <c r="H253" s="33"/>
      <c r="I253" s="33"/>
      <c r="J253" s="33"/>
      <c r="K253" s="33"/>
      <c r="L253" s="33"/>
      <c r="M253" s="33"/>
    </row>
    <row r="254" spans="5:13">
      <c r="E254" s="28"/>
      <c r="F254" s="28"/>
      <c r="G254" s="33"/>
      <c r="H254" s="33"/>
      <c r="I254" s="33"/>
      <c r="J254" s="33"/>
      <c r="K254" s="33"/>
      <c r="L254" s="33"/>
      <c r="M254" s="33"/>
    </row>
    <row r="255" spans="5:13">
      <c r="E255" s="28"/>
      <c r="F255" s="28"/>
      <c r="G255" s="33"/>
      <c r="H255" s="33"/>
      <c r="I255" s="33"/>
      <c r="J255" s="33"/>
      <c r="K255" s="33"/>
      <c r="L255" s="33"/>
      <c r="M255" s="33"/>
    </row>
    <row r="256" spans="5:13">
      <c r="E256" s="28"/>
      <c r="F256" s="28"/>
      <c r="G256" s="33"/>
      <c r="H256" s="33"/>
      <c r="I256" s="33"/>
      <c r="J256" s="33"/>
      <c r="K256" s="33"/>
      <c r="L256" s="33"/>
      <c r="M256" s="33"/>
    </row>
    <row r="257" spans="5:13">
      <c r="E257" s="28"/>
      <c r="F257" s="28"/>
      <c r="G257" s="33"/>
      <c r="H257" s="33"/>
      <c r="I257" s="33"/>
      <c r="J257" s="33"/>
      <c r="K257" s="33"/>
      <c r="L257" s="33"/>
      <c r="M257" s="33"/>
    </row>
    <row r="258" spans="5:13">
      <c r="E258" s="28"/>
      <c r="F258" s="28"/>
      <c r="G258" s="33"/>
      <c r="H258" s="33"/>
      <c r="I258" s="33"/>
      <c r="J258" s="33"/>
      <c r="K258" s="33"/>
      <c r="L258" s="33"/>
      <c r="M258" s="33"/>
    </row>
    <row r="259" spans="5:13">
      <c r="E259" s="28"/>
      <c r="F259" s="28"/>
      <c r="G259" s="33"/>
      <c r="H259" s="33"/>
      <c r="I259" s="33"/>
      <c r="J259" s="33"/>
      <c r="K259" s="33"/>
      <c r="L259" s="33"/>
      <c r="M259" s="33"/>
    </row>
    <row r="260" spans="5:13">
      <c r="E260" s="28"/>
      <c r="F260" s="28"/>
      <c r="G260" s="33"/>
      <c r="H260" s="33"/>
      <c r="I260" s="33"/>
      <c r="J260" s="33"/>
      <c r="K260" s="33"/>
      <c r="L260" s="33"/>
      <c r="M260" s="33"/>
    </row>
    <row r="261" spans="5:13">
      <c r="E261" s="28"/>
      <c r="F261" s="28"/>
      <c r="G261" s="33"/>
      <c r="H261" s="33"/>
      <c r="I261" s="33"/>
      <c r="J261" s="33"/>
      <c r="K261" s="33"/>
      <c r="L261" s="33"/>
      <c r="M261" s="33"/>
    </row>
    <row r="262" spans="5:13">
      <c r="E262" s="28"/>
      <c r="F262" s="28"/>
      <c r="G262" s="33"/>
      <c r="H262" s="33"/>
      <c r="I262" s="33"/>
      <c r="J262" s="33"/>
      <c r="K262" s="33"/>
      <c r="L262" s="33"/>
      <c r="M262" s="33"/>
    </row>
    <row r="263" spans="5:13">
      <c r="E263" s="28"/>
      <c r="F263" s="28"/>
      <c r="G263" s="33"/>
      <c r="H263" s="33"/>
      <c r="I263" s="33"/>
      <c r="J263" s="33"/>
      <c r="K263" s="33"/>
      <c r="L263" s="33"/>
      <c r="M263" s="33"/>
    </row>
    <row r="264" spans="5:13">
      <c r="E264" s="28"/>
      <c r="F264" s="28"/>
      <c r="G264" s="33"/>
      <c r="H264" s="33"/>
      <c r="I264" s="33"/>
      <c r="J264" s="33"/>
      <c r="K264" s="33"/>
      <c r="L264" s="33"/>
      <c r="M264" s="33"/>
    </row>
    <row r="265" spans="5:13">
      <c r="E265" s="28"/>
      <c r="F265" s="28"/>
      <c r="G265" s="33"/>
      <c r="H265" s="33"/>
      <c r="I265" s="33"/>
      <c r="J265" s="33"/>
      <c r="K265" s="33"/>
      <c r="L265" s="33"/>
      <c r="M265" s="33"/>
    </row>
    <row r="266" spans="5:13">
      <c r="E266" s="28"/>
      <c r="F266" s="28"/>
      <c r="G266" s="33"/>
      <c r="H266" s="33"/>
      <c r="I266" s="33"/>
      <c r="J266" s="33"/>
      <c r="K266" s="33"/>
      <c r="L266" s="33"/>
      <c r="M266" s="33"/>
    </row>
    <row r="267" spans="5:13">
      <c r="E267" s="28"/>
      <c r="F267" s="28"/>
      <c r="G267" s="33"/>
      <c r="H267" s="33"/>
      <c r="I267" s="33"/>
      <c r="J267" s="33"/>
      <c r="K267" s="33"/>
      <c r="L267" s="33"/>
      <c r="M267" s="33"/>
    </row>
    <row r="268" spans="5:13">
      <c r="E268" s="28"/>
      <c r="F268" s="28"/>
      <c r="G268" s="33"/>
      <c r="H268" s="33"/>
      <c r="I268" s="33"/>
      <c r="J268" s="33"/>
      <c r="K268" s="33"/>
      <c r="L268" s="33"/>
      <c r="M268" s="33"/>
    </row>
    <row r="269" spans="5:13">
      <c r="E269" s="28"/>
      <c r="F269" s="28"/>
      <c r="G269" s="33"/>
      <c r="H269" s="33"/>
      <c r="I269" s="33"/>
      <c r="J269" s="33"/>
      <c r="K269" s="33"/>
      <c r="L269" s="33"/>
      <c r="M269" s="33"/>
    </row>
    <row r="270" spans="5:13">
      <c r="E270" s="28"/>
      <c r="F270" s="28"/>
      <c r="G270" s="33"/>
      <c r="H270" s="33"/>
      <c r="I270" s="33"/>
      <c r="J270" s="33"/>
      <c r="K270" s="33"/>
      <c r="L270" s="33"/>
      <c r="M270" s="33"/>
    </row>
    <row r="271" spans="5:13">
      <c r="E271" s="28"/>
      <c r="F271" s="28"/>
      <c r="G271" s="33"/>
      <c r="H271" s="33"/>
      <c r="I271" s="33"/>
      <c r="J271" s="33"/>
      <c r="K271" s="33"/>
      <c r="L271" s="33"/>
      <c r="M271" s="33"/>
    </row>
    <row r="272" spans="5:13">
      <c r="E272" s="28"/>
      <c r="F272" s="28"/>
      <c r="G272" s="33"/>
      <c r="H272" s="33"/>
      <c r="I272" s="33"/>
      <c r="J272" s="33"/>
      <c r="K272" s="33"/>
      <c r="L272" s="33"/>
      <c r="M272" s="33"/>
    </row>
    <row r="273" spans="5:13">
      <c r="E273" s="28"/>
      <c r="F273" s="28"/>
      <c r="G273" s="33"/>
      <c r="H273" s="33"/>
      <c r="I273" s="33"/>
      <c r="J273" s="33"/>
      <c r="K273" s="33"/>
      <c r="L273" s="33"/>
      <c r="M273" s="33"/>
    </row>
    <row r="274" spans="5:13">
      <c r="E274" s="28"/>
      <c r="F274" s="28"/>
      <c r="G274" s="33"/>
      <c r="H274" s="33"/>
      <c r="I274" s="33"/>
      <c r="J274" s="33"/>
      <c r="K274" s="33"/>
      <c r="L274" s="33"/>
      <c r="M274" s="33"/>
    </row>
    <row r="275" spans="5:13">
      <c r="E275" s="28"/>
      <c r="F275" s="28"/>
      <c r="G275" s="33"/>
      <c r="H275" s="33"/>
      <c r="I275" s="33"/>
      <c r="J275" s="33"/>
      <c r="K275" s="33"/>
      <c r="L275" s="33"/>
      <c r="M275" s="33"/>
    </row>
    <row r="276" spans="5:13">
      <c r="E276" s="28"/>
      <c r="F276" s="28"/>
      <c r="G276" s="33"/>
      <c r="H276" s="33"/>
      <c r="I276" s="33"/>
      <c r="J276" s="33"/>
      <c r="K276" s="33"/>
      <c r="L276" s="33"/>
      <c r="M276" s="33"/>
    </row>
    <row r="277" spans="5:13">
      <c r="E277" s="28"/>
      <c r="F277" s="28"/>
      <c r="G277" s="33"/>
      <c r="H277" s="33"/>
      <c r="I277" s="33"/>
      <c r="J277" s="33"/>
      <c r="K277" s="33"/>
      <c r="L277" s="33"/>
      <c r="M277" s="33"/>
    </row>
    <row r="278" spans="5:13">
      <c r="E278" s="28"/>
      <c r="F278" s="28"/>
      <c r="G278" s="33"/>
      <c r="H278" s="33"/>
      <c r="I278" s="33"/>
      <c r="J278" s="33"/>
      <c r="K278" s="33"/>
      <c r="L278" s="33"/>
      <c r="M278" s="33"/>
    </row>
    <row r="279" spans="5:13">
      <c r="E279" s="28"/>
      <c r="F279" s="28"/>
      <c r="G279" s="33"/>
      <c r="H279" s="33"/>
      <c r="I279" s="33"/>
      <c r="J279" s="33"/>
      <c r="K279" s="33"/>
      <c r="L279" s="33"/>
      <c r="M279" s="33"/>
    </row>
    <row r="280" spans="5:13">
      <c r="E280" s="28"/>
      <c r="F280" s="28"/>
      <c r="G280" s="33"/>
      <c r="H280" s="33"/>
      <c r="I280" s="33"/>
      <c r="J280" s="33"/>
      <c r="K280" s="33"/>
      <c r="L280" s="33"/>
      <c r="M280" s="33"/>
    </row>
    <row r="281" spans="5:13">
      <c r="E281" s="28"/>
      <c r="F281" s="28"/>
      <c r="G281" s="33"/>
      <c r="H281" s="33"/>
      <c r="I281" s="33"/>
      <c r="J281" s="33"/>
      <c r="K281" s="33"/>
      <c r="L281" s="33"/>
      <c r="M281" s="33"/>
    </row>
    <row r="282" spans="5:13">
      <c r="E282" s="28"/>
      <c r="F282" s="28"/>
      <c r="G282" s="33"/>
      <c r="H282" s="33"/>
      <c r="I282" s="33"/>
      <c r="J282" s="33"/>
      <c r="K282" s="33"/>
      <c r="L282" s="33"/>
      <c r="M282" s="33"/>
    </row>
    <row r="283" spans="5:13">
      <c r="E283" s="28"/>
      <c r="F283" s="28"/>
      <c r="G283" s="33"/>
      <c r="H283" s="33"/>
      <c r="I283" s="33"/>
      <c r="J283" s="33"/>
      <c r="K283" s="33"/>
      <c r="L283" s="33"/>
      <c r="M283" s="33"/>
    </row>
    <row r="284" spans="5:13">
      <c r="E284" s="28"/>
      <c r="F284" s="28"/>
      <c r="G284" s="33"/>
      <c r="H284" s="33"/>
      <c r="I284" s="33"/>
      <c r="J284" s="33"/>
      <c r="K284" s="33"/>
      <c r="L284" s="33"/>
      <c r="M284" s="33"/>
    </row>
    <row r="285" spans="5:13">
      <c r="E285" s="28"/>
      <c r="F285" s="28"/>
      <c r="G285" s="33"/>
      <c r="H285" s="33"/>
      <c r="I285" s="33"/>
      <c r="J285" s="33"/>
      <c r="K285" s="33"/>
      <c r="L285" s="33"/>
      <c r="M285" s="33"/>
    </row>
    <row r="286" spans="5:13">
      <c r="E286" s="28"/>
      <c r="F286" s="28"/>
      <c r="G286" s="33"/>
      <c r="H286" s="33"/>
      <c r="I286" s="33"/>
      <c r="J286" s="33"/>
      <c r="K286" s="33"/>
      <c r="L286" s="33"/>
      <c r="M286" s="33"/>
    </row>
    <row r="287" spans="5:13">
      <c r="E287" s="28"/>
      <c r="F287" s="28"/>
      <c r="G287" s="33"/>
      <c r="H287" s="33"/>
      <c r="I287" s="33"/>
      <c r="J287" s="33"/>
      <c r="K287" s="33"/>
      <c r="L287" s="33"/>
      <c r="M287" s="33"/>
    </row>
    <row r="288" spans="5:13">
      <c r="E288" s="28"/>
      <c r="F288" s="28"/>
      <c r="G288" s="33"/>
      <c r="H288" s="33"/>
      <c r="I288" s="33"/>
      <c r="J288" s="33"/>
      <c r="K288" s="33"/>
      <c r="L288" s="33"/>
      <c r="M288" s="33"/>
    </row>
    <row r="289" spans="5:13">
      <c r="E289" s="28"/>
      <c r="F289" s="28"/>
      <c r="G289" s="33"/>
      <c r="H289" s="33"/>
      <c r="I289" s="33"/>
      <c r="J289" s="33"/>
      <c r="K289" s="33"/>
      <c r="L289" s="33"/>
      <c r="M289" s="33"/>
    </row>
    <row r="290" spans="5:13">
      <c r="E290" s="28"/>
      <c r="F290" s="28"/>
      <c r="G290" s="33"/>
      <c r="H290" s="33"/>
      <c r="I290" s="33"/>
      <c r="J290" s="33"/>
      <c r="K290" s="33"/>
      <c r="L290" s="33"/>
      <c r="M290" s="33"/>
    </row>
    <row r="291" spans="5:13">
      <c r="E291" s="28"/>
      <c r="F291" s="28"/>
      <c r="G291" s="33"/>
      <c r="H291" s="33"/>
      <c r="I291" s="33"/>
      <c r="J291" s="33"/>
      <c r="K291" s="33"/>
      <c r="L291" s="33"/>
      <c r="M291" s="33"/>
    </row>
    <row r="292" spans="5:13">
      <c r="E292" s="28"/>
      <c r="F292" s="28"/>
      <c r="G292" s="33"/>
      <c r="H292" s="33"/>
      <c r="I292" s="33"/>
      <c r="J292" s="33"/>
      <c r="K292" s="33"/>
      <c r="L292" s="33"/>
      <c r="M292" s="33"/>
    </row>
    <row r="293" spans="5:13">
      <c r="E293" s="28"/>
      <c r="F293" s="28"/>
      <c r="G293" s="33"/>
      <c r="H293" s="33"/>
      <c r="I293" s="33"/>
      <c r="J293" s="33"/>
      <c r="K293" s="33"/>
      <c r="L293" s="33"/>
      <c r="M293" s="33"/>
    </row>
    <row r="294" spans="5:13">
      <c r="E294" s="28"/>
      <c r="F294" s="28"/>
      <c r="G294" s="33"/>
      <c r="H294" s="33"/>
      <c r="I294" s="33"/>
      <c r="J294" s="33"/>
      <c r="K294" s="33"/>
      <c r="L294" s="33"/>
      <c r="M294" s="33"/>
    </row>
    <row r="295" spans="5:13">
      <c r="E295" s="28"/>
      <c r="F295" s="28"/>
      <c r="G295" s="33"/>
      <c r="H295" s="33"/>
      <c r="I295" s="33"/>
      <c r="J295" s="33"/>
      <c r="K295" s="33"/>
      <c r="L295" s="33"/>
      <c r="M295" s="33"/>
    </row>
    <row r="296" spans="5:13">
      <c r="E296" s="28"/>
      <c r="F296" s="28"/>
      <c r="G296" s="33"/>
      <c r="H296" s="33"/>
      <c r="I296" s="33"/>
      <c r="J296" s="33"/>
      <c r="K296" s="33"/>
      <c r="L296" s="33"/>
      <c r="M296" s="33"/>
    </row>
    <row r="297" spans="5:13">
      <c r="E297" s="28"/>
      <c r="F297" s="28"/>
      <c r="G297" s="33"/>
      <c r="H297" s="33"/>
      <c r="I297" s="33"/>
      <c r="J297" s="33"/>
      <c r="K297" s="33"/>
      <c r="L297" s="33"/>
      <c r="M297" s="33"/>
    </row>
    <row r="298" spans="5:13">
      <c r="E298" s="28"/>
      <c r="F298" s="28"/>
      <c r="G298" s="33"/>
      <c r="H298" s="33"/>
      <c r="I298" s="33"/>
      <c r="J298" s="33"/>
      <c r="K298" s="33"/>
      <c r="L298" s="33"/>
      <c r="M298" s="33"/>
    </row>
    <row r="299" spans="5:13">
      <c r="E299" s="28"/>
      <c r="F299" s="28"/>
      <c r="G299" s="33"/>
      <c r="H299" s="33"/>
      <c r="I299" s="33"/>
      <c r="J299" s="33"/>
      <c r="K299" s="33"/>
      <c r="L299" s="33"/>
      <c r="M299" s="33"/>
    </row>
    <row r="300" spans="5:13">
      <c r="E300" s="28"/>
      <c r="F300" s="28"/>
      <c r="G300" s="33"/>
      <c r="H300" s="33"/>
      <c r="I300" s="33"/>
      <c r="J300" s="33"/>
      <c r="K300" s="33"/>
      <c r="L300" s="33"/>
      <c r="M300" s="33"/>
    </row>
    <row r="301" spans="5:13">
      <c r="E301" s="28"/>
      <c r="F301" s="28"/>
      <c r="G301" s="33"/>
      <c r="H301" s="33"/>
      <c r="I301" s="33"/>
      <c r="J301" s="33"/>
      <c r="K301" s="33"/>
      <c r="L301" s="33"/>
      <c r="M301" s="33"/>
    </row>
    <row r="302" spans="5:13">
      <c r="E302" s="28"/>
      <c r="F302" s="28"/>
      <c r="G302" s="33"/>
      <c r="H302" s="33"/>
      <c r="I302" s="33"/>
      <c r="J302" s="33"/>
      <c r="K302" s="33"/>
      <c r="L302" s="33"/>
      <c r="M302" s="33"/>
    </row>
    <row r="303" spans="5:13">
      <c r="E303" s="28"/>
      <c r="F303" s="28"/>
      <c r="G303" s="33"/>
      <c r="H303" s="33"/>
      <c r="I303" s="33"/>
      <c r="J303" s="33"/>
      <c r="K303" s="33"/>
      <c r="L303" s="33"/>
      <c r="M303" s="33"/>
    </row>
    <row r="304" spans="5:13">
      <c r="E304" s="28"/>
      <c r="F304" s="28"/>
      <c r="G304" s="33"/>
      <c r="H304" s="33"/>
      <c r="I304" s="33"/>
      <c r="J304" s="33"/>
      <c r="K304" s="33"/>
      <c r="L304" s="33"/>
      <c r="M304" s="33"/>
    </row>
    <row r="305" spans="5:13">
      <c r="E305" s="28"/>
      <c r="F305" s="28"/>
      <c r="G305" s="33"/>
      <c r="H305" s="33"/>
      <c r="I305" s="33"/>
      <c r="J305" s="33"/>
      <c r="K305" s="33"/>
      <c r="L305" s="33"/>
      <c r="M305" s="33"/>
    </row>
    <row r="306" spans="5:13">
      <c r="E306" s="28"/>
      <c r="F306" s="28"/>
      <c r="G306" s="33"/>
      <c r="H306" s="33"/>
      <c r="I306" s="33"/>
      <c r="J306" s="33"/>
      <c r="K306" s="33"/>
      <c r="L306" s="33"/>
      <c r="M306" s="33"/>
    </row>
    <row r="307" spans="5:13">
      <c r="E307" s="28"/>
      <c r="F307" s="28"/>
      <c r="G307" s="33"/>
      <c r="H307" s="33"/>
      <c r="I307" s="33"/>
      <c r="J307" s="33"/>
      <c r="K307" s="33"/>
      <c r="L307" s="33"/>
      <c r="M307" s="33"/>
    </row>
    <row r="308" spans="5:13">
      <c r="E308" s="28"/>
      <c r="F308" s="28"/>
      <c r="G308" s="33"/>
      <c r="H308" s="33"/>
      <c r="I308" s="33"/>
      <c r="J308" s="33"/>
      <c r="K308" s="33"/>
      <c r="L308" s="33"/>
      <c r="M308" s="33"/>
    </row>
    <row r="309" spans="5:13">
      <c r="E309" s="28"/>
      <c r="F309" s="28"/>
      <c r="G309" s="33"/>
      <c r="H309" s="33"/>
      <c r="I309" s="33"/>
      <c r="J309" s="33"/>
      <c r="K309" s="33"/>
      <c r="L309" s="33"/>
      <c r="M309" s="33"/>
    </row>
    <row r="310" spans="5:13">
      <c r="E310" s="28"/>
      <c r="F310" s="28"/>
      <c r="G310" s="33"/>
      <c r="H310" s="33"/>
      <c r="I310" s="33"/>
      <c r="J310" s="33"/>
      <c r="K310" s="33"/>
      <c r="L310" s="33"/>
      <c r="M310" s="33"/>
    </row>
    <row r="311" spans="5:13">
      <c r="E311" s="28"/>
      <c r="F311" s="28"/>
      <c r="G311" s="33"/>
      <c r="H311" s="33"/>
      <c r="I311" s="33"/>
      <c r="J311" s="33"/>
      <c r="K311" s="33"/>
      <c r="L311" s="33"/>
      <c r="M311" s="33"/>
    </row>
    <row r="312" spans="5:13">
      <c r="E312" s="28"/>
      <c r="F312" s="28"/>
      <c r="G312" s="33"/>
      <c r="H312" s="33"/>
      <c r="I312" s="33"/>
      <c r="J312" s="33"/>
      <c r="K312" s="33"/>
      <c r="L312" s="33"/>
      <c r="M312" s="33"/>
    </row>
    <row r="313" spans="5:13">
      <c r="E313" s="28"/>
      <c r="F313" s="28"/>
      <c r="G313" s="33"/>
      <c r="H313" s="33"/>
      <c r="I313" s="33"/>
      <c r="J313" s="33"/>
      <c r="K313" s="33"/>
      <c r="L313" s="33"/>
      <c r="M313" s="33"/>
    </row>
    <row r="314" spans="5:13">
      <c r="E314" s="28"/>
      <c r="F314" s="28"/>
      <c r="G314" s="33"/>
      <c r="H314" s="33"/>
      <c r="I314" s="33"/>
      <c r="J314" s="33"/>
      <c r="K314" s="33"/>
      <c r="L314" s="33"/>
      <c r="M314" s="33"/>
    </row>
    <row r="315" spans="5:13">
      <c r="E315" s="28"/>
      <c r="F315" s="28"/>
      <c r="G315" s="33"/>
      <c r="H315" s="33"/>
      <c r="I315" s="33"/>
      <c r="J315" s="33"/>
      <c r="K315" s="33"/>
      <c r="L315" s="33"/>
      <c r="M315" s="33"/>
    </row>
    <row r="316" spans="5:13">
      <c r="E316" s="28"/>
      <c r="F316" s="28"/>
      <c r="G316" s="33"/>
      <c r="H316" s="33"/>
      <c r="I316" s="33"/>
      <c r="J316" s="33"/>
      <c r="K316" s="33"/>
      <c r="L316" s="33"/>
      <c r="M316" s="33"/>
    </row>
    <row r="317" spans="5:13">
      <c r="E317" s="28"/>
      <c r="F317" s="28"/>
      <c r="G317" s="33"/>
      <c r="H317" s="33"/>
      <c r="I317" s="33"/>
      <c r="J317" s="33"/>
      <c r="K317" s="33"/>
      <c r="L317" s="33"/>
      <c r="M317" s="33"/>
    </row>
    <row r="318" spans="5:13">
      <c r="E318" s="28"/>
      <c r="F318" s="28"/>
      <c r="G318" s="33"/>
      <c r="H318" s="33"/>
      <c r="I318" s="33"/>
      <c r="J318" s="33"/>
      <c r="K318" s="33"/>
      <c r="L318" s="33"/>
      <c r="M318" s="33"/>
    </row>
    <row r="319" spans="5:13">
      <c r="E319" s="28"/>
      <c r="F319" s="28"/>
      <c r="G319" s="33"/>
      <c r="H319" s="33"/>
      <c r="I319" s="33"/>
      <c r="J319" s="33"/>
      <c r="K319" s="33"/>
      <c r="L319" s="33"/>
      <c r="M319" s="33"/>
    </row>
    <row r="320" spans="5:13">
      <c r="E320" s="28"/>
      <c r="F320" s="28"/>
      <c r="G320" s="33"/>
      <c r="H320" s="33"/>
      <c r="I320" s="33"/>
      <c r="J320" s="33"/>
      <c r="K320" s="33"/>
      <c r="L320" s="33"/>
      <c r="M320" s="33"/>
    </row>
    <row r="321" spans="5:13">
      <c r="E321" s="28"/>
      <c r="F321" s="28"/>
      <c r="G321" s="33"/>
      <c r="H321" s="33"/>
      <c r="I321" s="33"/>
      <c r="J321" s="33"/>
      <c r="K321" s="33"/>
      <c r="L321" s="33"/>
      <c r="M321" s="33"/>
    </row>
    <row r="322" spans="5:13">
      <c r="E322" s="28"/>
      <c r="F322" s="28"/>
      <c r="G322" s="33"/>
      <c r="H322" s="33"/>
      <c r="I322" s="33"/>
      <c r="J322" s="33"/>
      <c r="K322" s="33"/>
      <c r="L322" s="33"/>
      <c r="M322" s="33"/>
    </row>
    <row r="323" spans="5:13">
      <c r="E323" s="28"/>
      <c r="F323" s="28"/>
      <c r="G323" s="33"/>
      <c r="H323" s="33"/>
      <c r="I323" s="33"/>
      <c r="J323" s="33"/>
      <c r="K323" s="33"/>
      <c r="L323" s="33"/>
      <c r="M323" s="33"/>
    </row>
    <row r="324" spans="5:13">
      <c r="E324" s="28"/>
      <c r="F324" s="28"/>
      <c r="G324" s="33"/>
      <c r="H324" s="33"/>
      <c r="I324" s="33"/>
      <c r="J324" s="33"/>
      <c r="K324" s="33"/>
      <c r="L324" s="33"/>
      <c r="M324" s="33"/>
    </row>
    <row r="325" spans="5:13">
      <c r="E325" s="28"/>
      <c r="F325" s="28"/>
      <c r="G325" s="33"/>
      <c r="H325" s="33"/>
      <c r="I325" s="33"/>
      <c r="J325" s="33"/>
      <c r="K325" s="33"/>
      <c r="L325" s="33"/>
      <c r="M325" s="33"/>
    </row>
    <row r="326" spans="5:13">
      <c r="E326" s="28"/>
      <c r="F326" s="28"/>
      <c r="G326" s="33"/>
      <c r="H326" s="33"/>
      <c r="I326" s="33"/>
      <c r="J326" s="33"/>
      <c r="K326" s="33"/>
      <c r="L326" s="33"/>
      <c r="M326" s="33"/>
    </row>
    <row r="327" spans="5:13">
      <c r="E327" s="28"/>
      <c r="F327" s="28"/>
      <c r="G327" s="33"/>
      <c r="H327" s="33"/>
      <c r="I327" s="33"/>
      <c r="J327" s="33"/>
      <c r="K327" s="33"/>
      <c r="L327" s="33"/>
      <c r="M327" s="33"/>
    </row>
    <row r="328" spans="5:13">
      <c r="E328" s="28"/>
      <c r="F328" s="28"/>
      <c r="G328" s="33"/>
      <c r="H328" s="33"/>
      <c r="I328" s="33"/>
      <c r="J328" s="33"/>
      <c r="K328" s="33"/>
      <c r="L328" s="33"/>
      <c r="M328" s="33"/>
    </row>
    <row r="329" spans="5:13">
      <c r="E329" s="28"/>
      <c r="F329" s="28"/>
      <c r="G329" s="33"/>
      <c r="H329" s="33"/>
      <c r="I329" s="33"/>
      <c r="J329" s="33"/>
      <c r="K329" s="33"/>
      <c r="L329" s="33"/>
      <c r="M329" s="33"/>
    </row>
    <row r="330" spans="5:13">
      <c r="E330" s="28"/>
      <c r="F330" s="28"/>
      <c r="G330" s="33"/>
      <c r="H330" s="33"/>
      <c r="I330" s="33"/>
      <c r="J330" s="33"/>
      <c r="K330" s="33"/>
      <c r="L330" s="33"/>
      <c r="M330" s="33"/>
    </row>
    <row r="331" spans="5:13">
      <c r="E331" s="28"/>
      <c r="F331" s="28"/>
      <c r="G331" s="33"/>
      <c r="H331" s="33"/>
      <c r="I331" s="33"/>
      <c r="J331" s="33"/>
      <c r="K331" s="33"/>
      <c r="L331" s="33"/>
      <c r="M331" s="33"/>
    </row>
    <row r="332" spans="5:13">
      <c r="E332" s="28"/>
      <c r="F332" s="28"/>
      <c r="G332" s="33"/>
      <c r="H332" s="33"/>
      <c r="I332" s="33"/>
      <c r="J332" s="33"/>
      <c r="K332" s="33"/>
      <c r="L332" s="33"/>
      <c r="M332" s="33"/>
    </row>
    <row r="333" spans="5:13">
      <c r="E333" s="28"/>
      <c r="F333" s="28"/>
      <c r="G333" s="33"/>
      <c r="H333" s="33"/>
      <c r="I333" s="33"/>
      <c r="J333" s="33"/>
      <c r="K333" s="33"/>
      <c r="L333" s="33"/>
      <c r="M333" s="33"/>
    </row>
    <row r="334" spans="5:13">
      <c r="E334" s="28"/>
      <c r="F334" s="28"/>
      <c r="G334" s="33"/>
      <c r="H334" s="33"/>
      <c r="I334" s="33"/>
      <c r="J334" s="33"/>
      <c r="K334" s="33"/>
      <c r="L334" s="33"/>
      <c r="M334" s="33"/>
    </row>
    <row r="335" spans="5:13">
      <c r="E335" s="28"/>
      <c r="F335" s="28"/>
      <c r="G335" s="33"/>
      <c r="H335" s="33"/>
      <c r="I335" s="33"/>
      <c r="J335" s="33"/>
      <c r="K335" s="33"/>
      <c r="L335" s="33"/>
      <c r="M335" s="33"/>
    </row>
    <row r="336" spans="5:13">
      <c r="E336" s="28"/>
      <c r="F336" s="28"/>
      <c r="G336" s="33"/>
      <c r="H336" s="33"/>
      <c r="I336" s="33"/>
      <c r="J336" s="33"/>
      <c r="K336" s="33"/>
      <c r="L336" s="33"/>
      <c r="M336" s="33"/>
    </row>
    <row r="337" spans="5:13">
      <c r="E337" s="28"/>
      <c r="F337" s="28"/>
      <c r="G337" s="33"/>
      <c r="H337" s="33"/>
      <c r="I337" s="33"/>
      <c r="J337" s="33"/>
      <c r="K337" s="33"/>
      <c r="L337" s="33"/>
      <c r="M337" s="33"/>
    </row>
    <row r="338" spans="5:13">
      <c r="E338" s="28"/>
      <c r="F338" s="28"/>
      <c r="G338" s="33"/>
      <c r="H338" s="33"/>
      <c r="I338" s="33"/>
      <c r="J338" s="33"/>
      <c r="K338" s="33"/>
      <c r="L338" s="33"/>
      <c r="M338" s="33"/>
    </row>
    <row r="339" spans="5:13">
      <c r="E339" s="28"/>
      <c r="F339" s="28"/>
      <c r="G339" s="33"/>
      <c r="H339" s="33"/>
      <c r="I339" s="33"/>
      <c r="J339" s="33"/>
      <c r="K339" s="33"/>
      <c r="L339" s="33"/>
      <c r="M339" s="33"/>
    </row>
    <row r="340" spans="5:13">
      <c r="E340" s="28"/>
      <c r="F340" s="28"/>
      <c r="G340" s="33"/>
      <c r="H340" s="33"/>
      <c r="I340" s="33"/>
      <c r="J340" s="33"/>
      <c r="K340" s="33"/>
      <c r="L340" s="33"/>
      <c r="M340" s="33"/>
    </row>
    <row r="341" spans="5:13">
      <c r="E341" s="28"/>
      <c r="F341" s="28"/>
      <c r="G341" s="33"/>
      <c r="H341" s="33"/>
      <c r="I341" s="33"/>
      <c r="J341" s="33"/>
      <c r="K341" s="33"/>
      <c r="L341" s="33"/>
      <c r="M341" s="33"/>
    </row>
    <row r="342" spans="5:13">
      <c r="E342" s="28"/>
      <c r="F342" s="28"/>
      <c r="G342" s="33"/>
      <c r="H342" s="33"/>
      <c r="I342" s="33"/>
      <c r="J342" s="33"/>
      <c r="K342" s="33"/>
      <c r="L342" s="33"/>
      <c r="M342" s="33"/>
    </row>
    <row r="343" spans="5:13">
      <c r="E343" s="28"/>
      <c r="F343" s="28"/>
      <c r="G343" s="33"/>
      <c r="H343" s="33"/>
      <c r="I343" s="33"/>
      <c r="J343" s="33"/>
      <c r="K343" s="33"/>
      <c r="L343" s="33"/>
      <c r="M343" s="33"/>
    </row>
    <row r="344" spans="5:13">
      <c r="E344" s="28"/>
      <c r="F344" s="28"/>
      <c r="G344" s="33"/>
      <c r="H344" s="33"/>
      <c r="I344" s="33"/>
      <c r="J344" s="33"/>
      <c r="K344" s="33"/>
      <c r="L344" s="33"/>
      <c r="M344" s="33"/>
    </row>
    <row r="345" spans="5:13">
      <c r="E345" s="28"/>
      <c r="F345" s="28"/>
      <c r="G345" s="33"/>
      <c r="H345" s="33"/>
      <c r="I345" s="33"/>
      <c r="J345" s="33"/>
      <c r="K345" s="33"/>
      <c r="L345" s="33"/>
      <c r="M345" s="33"/>
    </row>
    <row r="346" spans="5:13">
      <c r="E346" s="28"/>
      <c r="F346" s="28"/>
      <c r="G346" s="33"/>
      <c r="H346" s="33"/>
      <c r="I346" s="33"/>
      <c r="J346" s="33"/>
      <c r="K346" s="33"/>
      <c r="L346" s="33"/>
      <c r="M346" s="33"/>
    </row>
    <row r="347" spans="5:13">
      <c r="E347" s="28"/>
      <c r="F347" s="28"/>
      <c r="G347" s="33"/>
      <c r="H347" s="33"/>
      <c r="I347" s="33"/>
      <c r="J347" s="33"/>
      <c r="K347" s="33"/>
      <c r="L347" s="33"/>
      <c r="M347" s="33"/>
    </row>
    <row r="348" spans="5:13">
      <c r="E348" s="28"/>
      <c r="F348" s="28"/>
      <c r="G348" s="33"/>
      <c r="H348" s="33"/>
      <c r="I348" s="33"/>
      <c r="J348" s="33"/>
      <c r="K348" s="33"/>
      <c r="L348" s="33"/>
      <c r="M348" s="33"/>
    </row>
    <row r="349" spans="5:13">
      <c r="E349" s="28"/>
      <c r="F349" s="28"/>
      <c r="G349" s="33"/>
      <c r="H349" s="33"/>
      <c r="I349" s="33"/>
      <c r="J349" s="33"/>
      <c r="K349" s="33"/>
      <c r="L349" s="33"/>
      <c r="M349" s="33"/>
    </row>
    <row r="350" spans="5:13">
      <c r="E350" s="28"/>
      <c r="F350" s="28"/>
      <c r="G350" s="33"/>
      <c r="H350" s="33"/>
      <c r="I350" s="33"/>
      <c r="J350" s="33"/>
      <c r="K350" s="33"/>
      <c r="L350" s="33"/>
      <c r="M350" s="33"/>
    </row>
    <row r="351" spans="5:13">
      <c r="E351" s="28"/>
      <c r="F351" s="28"/>
      <c r="G351" s="33"/>
      <c r="H351" s="33"/>
      <c r="I351" s="33"/>
      <c r="J351" s="33"/>
      <c r="K351" s="33"/>
      <c r="L351" s="33"/>
      <c r="M351" s="33"/>
    </row>
    <row r="352" spans="5:13">
      <c r="E352" s="28"/>
      <c r="F352" s="28"/>
      <c r="G352" s="33"/>
      <c r="H352" s="33"/>
      <c r="I352" s="33"/>
      <c r="J352" s="33"/>
      <c r="K352" s="33"/>
      <c r="L352" s="33"/>
      <c r="M352" s="33"/>
    </row>
    <row r="353" spans="5:13">
      <c r="E353" s="28"/>
      <c r="F353" s="28"/>
      <c r="G353" s="33"/>
      <c r="H353" s="33"/>
      <c r="I353" s="33"/>
      <c r="J353" s="33"/>
      <c r="K353" s="33"/>
      <c r="L353" s="33"/>
      <c r="M353" s="33"/>
    </row>
    <row r="354" spans="5:13">
      <c r="E354" s="28"/>
      <c r="F354" s="28"/>
      <c r="G354" s="33"/>
      <c r="H354" s="33"/>
      <c r="I354" s="33"/>
      <c r="J354" s="33"/>
      <c r="K354" s="33"/>
      <c r="L354" s="33"/>
      <c r="M354" s="33"/>
    </row>
    <row r="355" spans="5:13">
      <c r="E355" s="28"/>
      <c r="F355" s="28"/>
      <c r="G355" s="33"/>
      <c r="H355" s="33"/>
      <c r="I355" s="33"/>
      <c r="J355" s="33"/>
      <c r="K355" s="33"/>
      <c r="L355" s="33"/>
      <c r="M355" s="33"/>
    </row>
    <row r="356" spans="5:13">
      <c r="E356" s="28"/>
      <c r="F356" s="28"/>
      <c r="G356" s="33"/>
      <c r="H356" s="33"/>
      <c r="I356" s="33"/>
      <c r="J356" s="33"/>
      <c r="K356" s="33"/>
      <c r="L356" s="33"/>
      <c r="M356" s="33"/>
    </row>
    <row r="357" spans="5:13">
      <c r="E357" s="28"/>
      <c r="F357" s="28"/>
      <c r="G357" s="33"/>
      <c r="H357" s="33"/>
      <c r="I357" s="33"/>
      <c r="J357" s="33"/>
      <c r="K357" s="33"/>
      <c r="L357" s="33"/>
      <c r="M357" s="33"/>
    </row>
    <row r="358" spans="5:13">
      <c r="E358" s="28"/>
      <c r="F358" s="28"/>
      <c r="G358" s="33"/>
      <c r="H358" s="33"/>
      <c r="I358" s="33"/>
      <c r="J358" s="33"/>
      <c r="K358" s="33"/>
      <c r="L358" s="33"/>
      <c r="M358" s="33"/>
    </row>
    <row r="359" spans="5:13">
      <c r="E359" s="28"/>
      <c r="F359" s="28"/>
      <c r="G359" s="33"/>
      <c r="H359" s="33"/>
      <c r="I359" s="33"/>
      <c r="J359" s="33"/>
      <c r="K359" s="33"/>
      <c r="L359" s="33"/>
      <c r="M359" s="33"/>
    </row>
    <row r="360" spans="5:13">
      <c r="E360" s="28"/>
      <c r="F360" s="28"/>
      <c r="G360" s="33"/>
      <c r="H360" s="33"/>
      <c r="I360" s="33"/>
      <c r="J360" s="33"/>
      <c r="K360" s="33"/>
      <c r="L360" s="33"/>
      <c r="M360" s="33"/>
    </row>
    <row r="361" spans="5:13">
      <c r="E361" s="28"/>
      <c r="F361" s="28"/>
      <c r="G361" s="33"/>
      <c r="H361" s="33"/>
      <c r="I361" s="33"/>
      <c r="J361" s="33"/>
      <c r="K361" s="33"/>
      <c r="L361" s="33"/>
      <c r="M361" s="33"/>
    </row>
    <row r="362" spans="5:13">
      <c r="E362" s="28"/>
      <c r="F362" s="28"/>
      <c r="G362" s="33"/>
      <c r="H362" s="33"/>
      <c r="I362" s="33"/>
      <c r="J362" s="33"/>
      <c r="K362" s="33"/>
      <c r="L362" s="33"/>
      <c r="M362" s="33"/>
    </row>
    <row r="363" spans="5:13">
      <c r="E363" s="28"/>
      <c r="F363" s="28"/>
      <c r="G363" s="33"/>
      <c r="H363" s="33"/>
      <c r="I363" s="33"/>
      <c r="J363" s="33"/>
      <c r="K363" s="33"/>
      <c r="L363" s="33"/>
      <c r="M363" s="33"/>
    </row>
    <row r="364" spans="5:13">
      <c r="E364" s="28"/>
      <c r="F364" s="28"/>
      <c r="G364" s="33"/>
      <c r="H364" s="33"/>
      <c r="I364" s="33"/>
      <c r="J364" s="33"/>
      <c r="K364" s="33"/>
      <c r="L364" s="33"/>
      <c r="M364" s="33"/>
    </row>
    <row r="365" spans="5:13">
      <c r="E365" s="28"/>
      <c r="F365" s="28"/>
      <c r="G365" s="33"/>
      <c r="H365" s="33"/>
      <c r="I365" s="33"/>
      <c r="J365" s="33"/>
      <c r="K365" s="33"/>
      <c r="L365" s="33"/>
      <c r="M365" s="33"/>
    </row>
    <row r="366" spans="5:13">
      <c r="E366" s="28"/>
      <c r="F366" s="28"/>
      <c r="G366" s="33"/>
      <c r="H366" s="33"/>
      <c r="I366" s="33"/>
      <c r="J366" s="33"/>
      <c r="K366" s="33"/>
      <c r="L366" s="33"/>
      <c r="M366" s="33"/>
    </row>
    <row r="367" spans="5:13">
      <c r="E367" s="28"/>
      <c r="F367" s="28"/>
      <c r="G367" s="33"/>
      <c r="H367" s="33"/>
      <c r="I367" s="33"/>
      <c r="J367" s="33"/>
      <c r="K367" s="33"/>
      <c r="L367" s="33"/>
      <c r="M367" s="33"/>
    </row>
    <row r="368" spans="5:13">
      <c r="E368" s="28"/>
      <c r="F368" s="28"/>
      <c r="G368" s="33"/>
      <c r="H368" s="33"/>
      <c r="I368" s="33"/>
      <c r="J368" s="33"/>
      <c r="K368" s="33"/>
      <c r="L368" s="33"/>
      <c r="M368" s="33"/>
    </row>
    <row r="369" spans="5:13">
      <c r="E369" s="28"/>
      <c r="F369" s="28"/>
      <c r="G369" s="33"/>
      <c r="H369" s="33"/>
      <c r="I369" s="33"/>
      <c r="J369" s="33"/>
      <c r="K369" s="33"/>
      <c r="L369" s="33"/>
      <c r="M369" s="33"/>
    </row>
    <row r="370" spans="5:13">
      <c r="E370" s="28"/>
      <c r="F370" s="28"/>
      <c r="G370" s="33"/>
      <c r="H370" s="33"/>
      <c r="I370" s="33"/>
      <c r="J370" s="33"/>
      <c r="K370" s="33"/>
      <c r="L370" s="33"/>
      <c r="M370" s="33"/>
    </row>
    <row r="371" spans="5:13">
      <c r="E371" s="28"/>
      <c r="F371" s="28"/>
      <c r="G371" s="33"/>
      <c r="H371" s="33"/>
      <c r="I371" s="33"/>
      <c r="J371" s="33"/>
      <c r="K371" s="33"/>
      <c r="L371" s="33"/>
      <c r="M371" s="33"/>
    </row>
    <row r="372" spans="5:13">
      <c r="E372" s="28"/>
      <c r="F372" s="28"/>
      <c r="G372" s="33"/>
      <c r="H372" s="33"/>
      <c r="I372" s="33"/>
      <c r="J372" s="33"/>
      <c r="K372" s="33"/>
      <c r="L372" s="33"/>
      <c r="M372" s="33"/>
    </row>
    <row r="373" spans="5:13">
      <c r="E373" s="28"/>
      <c r="F373" s="28"/>
      <c r="G373" s="33"/>
      <c r="H373" s="33"/>
      <c r="I373" s="33"/>
      <c r="J373" s="33"/>
      <c r="K373" s="33"/>
      <c r="L373" s="33"/>
      <c r="M373" s="33"/>
    </row>
    <row r="374" spans="5:13">
      <c r="E374" s="28"/>
      <c r="F374" s="28"/>
      <c r="G374" s="33"/>
      <c r="H374" s="33"/>
      <c r="I374" s="33"/>
      <c r="J374" s="33"/>
      <c r="K374" s="33"/>
      <c r="L374" s="33"/>
      <c r="M374" s="33"/>
    </row>
    <row r="375" spans="5:13">
      <c r="E375" s="28"/>
      <c r="F375" s="28"/>
      <c r="G375" s="33"/>
      <c r="H375" s="33"/>
      <c r="I375" s="33"/>
      <c r="J375" s="33"/>
      <c r="K375" s="33"/>
      <c r="L375" s="33"/>
      <c r="M375" s="33"/>
    </row>
    <row r="376" spans="5:13">
      <c r="E376" s="28"/>
      <c r="F376" s="28"/>
      <c r="G376" s="33"/>
      <c r="H376" s="33"/>
      <c r="I376" s="33"/>
      <c r="J376" s="33"/>
      <c r="K376" s="33"/>
      <c r="L376" s="33"/>
      <c r="M376" s="33"/>
    </row>
    <row r="377" spans="5:13">
      <c r="E377" s="28"/>
      <c r="F377" s="28"/>
      <c r="G377" s="33"/>
      <c r="H377" s="33"/>
      <c r="I377" s="33"/>
      <c r="J377" s="33"/>
      <c r="K377" s="33"/>
      <c r="L377" s="33"/>
      <c r="M377" s="33"/>
    </row>
    <row r="378" spans="5:13">
      <c r="E378" s="28"/>
      <c r="F378" s="28"/>
      <c r="G378" s="33"/>
      <c r="H378" s="33"/>
      <c r="I378" s="33"/>
      <c r="J378" s="33"/>
      <c r="K378" s="33"/>
      <c r="L378" s="33"/>
      <c r="M378" s="33"/>
    </row>
    <row r="379" spans="5:13">
      <c r="E379" s="28"/>
      <c r="F379" s="28"/>
      <c r="G379" s="33"/>
      <c r="H379" s="33"/>
      <c r="I379" s="33"/>
      <c r="J379" s="33"/>
      <c r="K379" s="33"/>
      <c r="L379" s="33"/>
      <c r="M379" s="33"/>
    </row>
    <row r="380" spans="5:13">
      <c r="E380" s="28"/>
      <c r="F380" s="28"/>
      <c r="G380" s="33"/>
      <c r="H380" s="33"/>
      <c r="I380" s="33"/>
      <c r="J380" s="33"/>
      <c r="K380" s="33"/>
      <c r="L380" s="33"/>
      <c r="M380" s="33"/>
    </row>
    <row r="381" spans="5:13">
      <c r="E381" s="28"/>
      <c r="F381" s="28"/>
      <c r="G381" s="33"/>
      <c r="H381" s="33"/>
      <c r="I381" s="33"/>
      <c r="J381" s="33"/>
      <c r="K381" s="33"/>
      <c r="L381" s="33"/>
      <c r="M381" s="33"/>
    </row>
    <row r="382" spans="5:13">
      <c r="E382" s="28"/>
      <c r="F382" s="28"/>
      <c r="G382" s="33"/>
      <c r="H382" s="33"/>
      <c r="I382" s="33"/>
      <c r="J382" s="33"/>
      <c r="K382" s="33"/>
      <c r="L382" s="33"/>
      <c r="M382" s="33"/>
    </row>
    <row r="383" spans="5:13">
      <c r="E383" s="28"/>
      <c r="F383" s="28"/>
      <c r="G383" s="33"/>
      <c r="H383" s="33"/>
      <c r="I383" s="33"/>
      <c r="J383" s="33"/>
      <c r="K383" s="33"/>
      <c r="L383" s="33"/>
      <c r="M383" s="33"/>
    </row>
    <row r="384" spans="5:13">
      <c r="E384" s="28"/>
      <c r="F384" s="28"/>
      <c r="G384" s="33"/>
      <c r="H384" s="33"/>
      <c r="I384" s="33"/>
      <c r="J384" s="33"/>
      <c r="K384" s="33"/>
      <c r="L384" s="33"/>
      <c r="M384" s="33"/>
    </row>
    <row r="385" spans="5:13">
      <c r="E385" s="28"/>
      <c r="F385" s="28"/>
      <c r="G385" s="33"/>
      <c r="H385" s="33"/>
      <c r="I385" s="33"/>
      <c r="J385" s="33"/>
      <c r="K385" s="33"/>
      <c r="L385" s="33"/>
      <c r="M385" s="33"/>
    </row>
    <row r="386" spans="5:13">
      <c r="E386" s="28"/>
      <c r="F386" s="28"/>
      <c r="G386" s="33"/>
      <c r="H386" s="33"/>
      <c r="I386" s="33"/>
      <c r="J386" s="33"/>
      <c r="K386" s="33"/>
      <c r="L386" s="33"/>
      <c r="M386" s="33"/>
    </row>
    <row r="387" spans="5:13">
      <c r="E387" s="28"/>
      <c r="F387" s="28"/>
      <c r="G387" s="33"/>
      <c r="H387" s="33"/>
      <c r="I387" s="33"/>
      <c r="J387" s="33"/>
      <c r="K387" s="33"/>
      <c r="L387" s="33"/>
      <c r="M387" s="33"/>
    </row>
    <row r="388" spans="5:13">
      <c r="E388" s="28"/>
      <c r="F388" s="28"/>
      <c r="G388" s="33"/>
      <c r="H388" s="33"/>
      <c r="I388" s="33"/>
      <c r="J388" s="33"/>
      <c r="K388" s="33"/>
      <c r="L388" s="33"/>
      <c r="M388" s="33"/>
    </row>
    <row r="389" spans="5:13">
      <c r="E389" s="28"/>
      <c r="F389" s="28"/>
      <c r="G389" s="33"/>
      <c r="H389" s="33"/>
      <c r="I389" s="33"/>
      <c r="J389" s="33"/>
      <c r="K389" s="33"/>
      <c r="L389" s="33"/>
      <c r="M389" s="33"/>
    </row>
    <row r="390" spans="5:13">
      <c r="E390" s="28"/>
      <c r="F390" s="28"/>
      <c r="G390" s="33"/>
      <c r="H390" s="33"/>
      <c r="I390" s="33"/>
      <c r="J390" s="33"/>
      <c r="K390" s="33"/>
      <c r="L390" s="33"/>
      <c r="M390" s="33"/>
    </row>
    <row r="391" spans="5:13">
      <c r="E391" s="28"/>
      <c r="F391" s="28"/>
      <c r="G391" s="33"/>
      <c r="H391" s="33"/>
      <c r="I391" s="33"/>
      <c r="J391" s="33"/>
      <c r="K391" s="33"/>
      <c r="L391" s="33"/>
      <c r="M391" s="33"/>
    </row>
    <row r="392" spans="5:13">
      <c r="E392" s="28"/>
      <c r="F392" s="28"/>
      <c r="G392" s="33"/>
      <c r="H392" s="33"/>
      <c r="I392" s="33"/>
      <c r="J392" s="33"/>
      <c r="K392" s="33"/>
      <c r="L392" s="33"/>
      <c r="M392" s="33"/>
    </row>
    <row r="393" spans="5:13">
      <c r="E393" s="28"/>
      <c r="F393" s="28"/>
      <c r="G393" s="33"/>
      <c r="H393" s="33"/>
      <c r="I393" s="33"/>
      <c r="J393" s="33"/>
      <c r="K393" s="33"/>
      <c r="L393" s="33"/>
      <c r="M393" s="33"/>
    </row>
    <row r="394" spans="5:13">
      <c r="E394" s="28"/>
      <c r="F394" s="28"/>
      <c r="G394" s="33"/>
      <c r="H394" s="33"/>
      <c r="I394" s="33"/>
      <c r="J394" s="33"/>
      <c r="K394" s="33"/>
      <c r="L394" s="33"/>
      <c r="M394" s="33"/>
    </row>
    <row r="395" spans="5:13">
      <c r="E395" s="28"/>
      <c r="F395" s="28"/>
      <c r="G395" s="33"/>
      <c r="H395" s="33"/>
      <c r="I395" s="33"/>
      <c r="J395" s="33"/>
      <c r="K395" s="33"/>
      <c r="L395" s="33"/>
      <c r="M395" s="33"/>
    </row>
    <row r="396" spans="5:13">
      <c r="E396" s="28"/>
      <c r="F396" s="28"/>
      <c r="G396" s="33"/>
      <c r="H396" s="33"/>
      <c r="I396" s="33"/>
      <c r="J396" s="33"/>
      <c r="K396" s="33"/>
      <c r="L396" s="33"/>
      <c r="M396" s="33"/>
    </row>
    <row r="397" spans="5:13">
      <c r="E397" s="28"/>
      <c r="F397" s="28"/>
      <c r="G397" s="33"/>
      <c r="H397" s="33"/>
      <c r="I397" s="33"/>
      <c r="J397" s="33"/>
      <c r="K397" s="33"/>
      <c r="L397" s="33"/>
      <c r="M397" s="33"/>
    </row>
    <row r="398" spans="5:13">
      <c r="E398" s="28"/>
      <c r="F398" s="28"/>
      <c r="G398" s="33"/>
      <c r="H398" s="33"/>
      <c r="I398" s="33"/>
      <c r="J398" s="33"/>
      <c r="K398" s="33"/>
      <c r="L398" s="33"/>
      <c r="M398" s="33"/>
    </row>
    <row r="399" spans="5:13">
      <c r="E399" s="28"/>
      <c r="F399" s="28"/>
      <c r="G399" s="33"/>
      <c r="H399" s="33"/>
      <c r="I399" s="33"/>
      <c r="J399" s="33"/>
      <c r="K399" s="33"/>
      <c r="L399" s="33"/>
      <c r="M399" s="33"/>
    </row>
    <row r="400" spans="5:13">
      <c r="E400" s="28"/>
      <c r="F400" s="28"/>
      <c r="G400" s="33"/>
      <c r="H400" s="33"/>
      <c r="I400" s="33"/>
      <c r="J400" s="33"/>
      <c r="K400" s="33"/>
      <c r="L400" s="33"/>
      <c r="M400" s="33"/>
    </row>
    <row r="401" spans="5:13">
      <c r="E401" s="28"/>
      <c r="F401" s="28"/>
      <c r="G401" s="33"/>
      <c r="H401" s="33"/>
      <c r="I401" s="33"/>
      <c r="J401" s="33"/>
      <c r="K401" s="33"/>
      <c r="L401" s="33"/>
      <c r="M401" s="33"/>
    </row>
    <row r="402" spans="5:13">
      <c r="E402" s="28"/>
      <c r="F402" s="28"/>
      <c r="G402" s="33"/>
      <c r="H402" s="33"/>
      <c r="I402" s="33"/>
      <c r="J402" s="33"/>
      <c r="K402" s="33"/>
      <c r="L402" s="33"/>
      <c r="M402" s="33"/>
    </row>
    <row r="403" spans="5:13">
      <c r="E403" s="28"/>
      <c r="F403" s="28"/>
      <c r="G403" s="33"/>
      <c r="H403" s="33"/>
      <c r="I403" s="33"/>
      <c r="J403" s="33"/>
      <c r="K403" s="33"/>
      <c r="L403" s="33"/>
      <c r="M403" s="33"/>
    </row>
    <row r="404" spans="5:13">
      <c r="E404" s="28"/>
      <c r="F404" s="28"/>
      <c r="G404" s="33"/>
      <c r="H404" s="33"/>
      <c r="I404" s="33"/>
      <c r="J404" s="33"/>
      <c r="K404" s="33"/>
      <c r="L404" s="33"/>
      <c r="M404" s="33"/>
    </row>
    <row r="405" spans="5:13">
      <c r="E405" s="28"/>
      <c r="F405" s="28"/>
      <c r="G405" s="33"/>
      <c r="H405" s="33"/>
      <c r="I405" s="33"/>
      <c r="J405" s="33"/>
      <c r="K405" s="33"/>
      <c r="L405" s="33"/>
      <c r="M405" s="33"/>
    </row>
    <row r="406" spans="5:13">
      <c r="E406" s="28"/>
      <c r="F406" s="28"/>
      <c r="G406" s="33"/>
      <c r="H406" s="33"/>
      <c r="I406" s="33"/>
      <c r="J406" s="33"/>
      <c r="K406" s="33"/>
      <c r="L406" s="33"/>
      <c r="M406" s="33"/>
    </row>
    <row r="407" spans="5:13">
      <c r="E407" s="28"/>
      <c r="F407" s="28"/>
      <c r="G407" s="33"/>
      <c r="H407" s="33"/>
      <c r="I407" s="33"/>
      <c r="J407" s="33"/>
      <c r="K407" s="33"/>
      <c r="L407" s="33"/>
      <c r="M407" s="33"/>
    </row>
    <row r="408" spans="5:13">
      <c r="E408" s="28"/>
      <c r="F408" s="28"/>
      <c r="G408" s="33"/>
      <c r="H408" s="33"/>
      <c r="I408" s="33"/>
      <c r="J408" s="33"/>
      <c r="K408" s="33"/>
      <c r="L408" s="33"/>
      <c r="M408" s="33"/>
    </row>
    <row r="409" spans="5:13">
      <c r="E409" s="28"/>
      <c r="F409" s="28"/>
      <c r="G409" s="33"/>
      <c r="H409" s="33"/>
      <c r="I409" s="33"/>
      <c r="J409" s="33"/>
      <c r="K409" s="33"/>
      <c r="L409" s="33"/>
      <c r="M409" s="33"/>
    </row>
    <row r="410" spans="5:13">
      <c r="E410" s="28"/>
      <c r="F410" s="28"/>
      <c r="G410" s="33"/>
      <c r="H410" s="33"/>
      <c r="I410" s="33"/>
      <c r="J410" s="33"/>
      <c r="K410" s="33"/>
      <c r="L410" s="33"/>
      <c r="M410" s="33"/>
    </row>
    <row r="411" spans="5:13">
      <c r="E411" s="28"/>
      <c r="F411" s="28"/>
      <c r="G411" s="33"/>
      <c r="H411" s="33"/>
      <c r="I411" s="33"/>
      <c r="J411" s="33"/>
      <c r="K411" s="33"/>
      <c r="L411" s="33"/>
      <c r="M411" s="33"/>
    </row>
    <row r="412" spans="5:13">
      <c r="E412" s="28"/>
      <c r="F412" s="28"/>
      <c r="G412" s="33"/>
      <c r="H412" s="33"/>
      <c r="I412" s="33"/>
      <c r="J412" s="33"/>
      <c r="K412" s="33"/>
      <c r="L412" s="33"/>
      <c r="M412" s="33"/>
    </row>
    <row r="413" spans="5:13">
      <c r="E413" s="28"/>
      <c r="F413" s="28"/>
      <c r="G413" s="33"/>
      <c r="H413" s="33"/>
      <c r="I413" s="33"/>
      <c r="J413" s="33"/>
      <c r="K413" s="33"/>
      <c r="L413" s="33"/>
      <c r="M413" s="33"/>
    </row>
    <row r="414" spans="5:13">
      <c r="E414" s="28"/>
      <c r="F414" s="28"/>
      <c r="G414" s="33"/>
      <c r="H414" s="33"/>
      <c r="I414" s="33"/>
      <c r="J414" s="33"/>
      <c r="K414" s="33"/>
      <c r="L414" s="33"/>
      <c r="M414" s="33"/>
    </row>
    <row r="415" spans="5:13">
      <c r="E415" s="28"/>
      <c r="F415" s="28"/>
      <c r="G415" s="33"/>
      <c r="H415" s="33"/>
      <c r="I415" s="33"/>
      <c r="J415" s="33"/>
      <c r="K415" s="33"/>
      <c r="L415" s="33"/>
      <c r="M415" s="33"/>
    </row>
    <row r="416" spans="5:13">
      <c r="E416" s="28"/>
      <c r="F416" s="28"/>
      <c r="G416" s="33"/>
      <c r="H416" s="33"/>
      <c r="I416" s="33"/>
      <c r="J416" s="33"/>
      <c r="K416" s="33"/>
      <c r="L416" s="33"/>
      <c r="M416" s="33"/>
    </row>
    <row r="417" spans="5:13">
      <c r="E417" s="28"/>
      <c r="F417" s="28"/>
      <c r="G417" s="33"/>
      <c r="H417" s="33"/>
      <c r="I417" s="33"/>
      <c r="J417" s="33"/>
      <c r="K417" s="33"/>
      <c r="L417" s="33"/>
      <c r="M417" s="33"/>
    </row>
    <row r="418" spans="5:13">
      <c r="E418" s="28"/>
      <c r="F418" s="28"/>
      <c r="G418" s="33"/>
      <c r="H418" s="33"/>
      <c r="I418" s="33"/>
      <c r="J418" s="33"/>
      <c r="K418" s="33"/>
      <c r="L418" s="33"/>
      <c r="M418" s="33"/>
    </row>
    <row r="419" spans="5:13">
      <c r="E419" s="28"/>
      <c r="F419" s="28"/>
      <c r="G419" s="33"/>
      <c r="H419" s="33"/>
      <c r="I419" s="33"/>
      <c r="J419" s="33"/>
      <c r="K419" s="33"/>
      <c r="L419" s="33"/>
      <c r="M419" s="33"/>
    </row>
    <row r="420" spans="5:13">
      <c r="E420" s="28"/>
      <c r="F420" s="28"/>
      <c r="G420" s="33"/>
      <c r="H420" s="33"/>
      <c r="I420" s="33"/>
      <c r="J420" s="33"/>
      <c r="K420" s="33"/>
      <c r="L420" s="33"/>
      <c r="M420" s="33"/>
    </row>
    <row r="421" spans="5:13">
      <c r="E421" s="28"/>
      <c r="F421" s="28"/>
      <c r="G421" s="33"/>
      <c r="H421" s="33"/>
      <c r="I421" s="33"/>
      <c r="J421" s="33"/>
      <c r="K421" s="33"/>
      <c r="L421" s="33"/>
      <c r="M421" s="33"/>
    </row>
    <row r="422" spans="5:13">
      <c r="E422" s="28"/>
      <c r="F422" s="28"/>
      <c r="G422" s="33"/>
      <c r="H422" s="33"/>
      <c r="I422" s="33"/>
      <c r="J422" s="33"/>
      <c r="K422" s="33"/>
      <c r="L422" s="33"/>
      <c r="M422" s="33"/>
    </row>
    <row r="423" spans="5:13">
      <c r="E423" s="28"/>
      <c r="F423" s="28"/>
      <c r="G423" s="33"/>
      <c r="H423" s="33"/>
      <c r="I423" s="33"/>
      <c r="J423" s="33"/>
      <c r="K423" s="33"/>
      <c r="L423" s="33"/>
      <c r="M423" s="33"/>
    </row>
    <row r="424" spans="5:13">
      <c r="E424" s="28"/>
      <c r="F424" s="28"/>
      <c r="G424" s="33"/>
      <c r="H424" s="33"/>
      <c r="I424" s="33"/>
      <c r="J424" s="33"/>
      <c r="K424" s="33"/>
      <c r="L424" s="33"/>
      <c r="M424" s="33"/>
    </row>
    <row r="425" spans="5:13">
      <c r="E425" s="28"/>
      <c r="F425" s="28"/>
      <c r="G425" s="33"/>
      <c r="H425" s="33"/>
      <c r="I425" s="33"/>
      <c r="J425" s="33"/>
      <c r="K425" s="33"/>
      <c r="L425" s="33"/>
      <c r="M425" s="33"/>
    </row>
    <row r="426" spans="5:13">
      <c r="E426" s="28"/>
      <c r="F426" s="28"/>
      <c r="G426" s="33"/>
      <c r="H426" s="33"/>
      <c r="I426" s="33"/>
      <c r="J426" s="33"/>
      <c r="K426" s="33"/>
      <c r="L426" s="33"/>
      <c r="M426" s="33"/>
    </row>
    <row r="427" spans="5:13">
      <c r="E427" s="28"/>
      <c r="F427" s="28"/>
      <c r="G427" s="33"/>
      <c r="H427" s="33"/>
      <c r="I427" s="33"/>
      <c r="J427" s="33"/>
      <c r="K427" s="33"/>
      <c r="L427" s="33"/>
      <c r="M427" s="33"/>
    </row>
    <row r="428" spans="5:13">
      <c r="E428" s="28"/>
      <c r="F428" s="28"/>
      <c r="G428" s="33"/>
      <c r="H428" s="33"/>
      <c r="I428" s="33"/>
      <c r="J428" s="33"/>
      <c r="K428" s="33"/>
      <c r="L428" s="33"/>
      <c r="M428" s="33"/>
    </row>
    <row r="429" spans="5:13">
      <c r="E429" s="28"/>
      <c r="F429" s="28"/>
      <c r="G429" s="33"/>
      <c r="H429" s="33"/>
      <c r="I429" s="33"/>
      <c r="J429" s="33"/>
      <c r="K429" s="33"/>
      <c r="L429" s="33"/>
      <c r="M429" s="33"/>
    </row>
    <row r="430" spans="5:13">
      <c r="E430" s="28"/>
      <c r="F430" s="28"/>
      <c r="G430" s="33"/>
      <c r="H430" s="33"/>
      <c r="I430" s="33"/>
      <c r="J430" s="33"/>
      <c r="K430" s="33"/>
      <c r="L430" s="33"/>
      <c r="M430" s="33"/>
    </row>
    <row r="431" spans="5:13">
      <c r="E431" s="28"/>
      <c r="F431" s="28"/>
      <c r="G431" s="33"/>
      <c r="H431" s="33"/>
      <c r="I431" s="33"/>
      <c r="J431" s="33"/>
      <c r="K431" s="33"/>
      <c r="L431" s="33"/>
      <c r="M431" s="33"/>
    </row>
    <row r="432" spans="5:13">
      <c r="E432" s="28"/>
      <c r="F432" s="28"/>
      <c r="G432" s="33"/>
      <c r="H432" s="33"/>
      <c r="I432" s="33"/>
      <c r="J432" s="33"/>
      <c r="K432" s="33"/>
      <c r="L432" s="33"/>
      <c r="M432" s="33"/>
    </row>
    <row r="433" spans="5:13">
      <c r="E433" s="28"/>
      <c r="F433" s="28"/>
      <c r="G433" s="33"/>
      <c r="H433" s="33"/>
      <c r="I433" s="33"/>
      <c r="J433" s="33"/>
      <c r="K433" s="33"/>
      <c r="L433" s="33"/>
      <c r="M433" s="33"/>
    </row>
    <row r="434" spans="5:13">
      <c r="E434" s="28"/>
      <c r="F434" s="28"/>
      <c r="G434" s="33"/>
      <c r="H434" s="33"/>
      <c r="I434" s="33"/>
      <c r="J434" s="33"/>
      <c r="K434" s="33"/>
      <c r="L434" s="33"/>
      <c r="M434" s="33"/>
    </row>
    <row r="435" spans="5:13">
      <c r="E435" s="28"/>
      <c r="F435" s="28"/>
      <c r="G435" s="33"/>
      <c r="H435" s="33"/>
      <c r="I435" s="33"/>
      <c r="J435" s="33"/>
      <c r="K435" s="33"/>
      <c r="L435" s="33"/>
      <c r="M435" s="33"/>
    </row>
    <row r="436" spans="5:13">
      <c r="E436" s="28"/>
      <c r="F436" s="28"/>
      <c r="G436" s="33"/>
      <c r="H436" s="33"/>
      <c r="I436" s="33"/>
      <c r="J436" s="33"/>
      <c r="K436" s="33"/>
      <c r="L436" s="33"/>
      <c r="M436" s="33"/>
    </row>
    <row r="437" spans="5:13">
      <c r="E437" s="28"/>
      <c r="F437" s="28"/>
      <c r="G437" s="33"/>
      <c r="H437" s="33"/>
      <c r="I437" s="33"/>
      <c r="J437" s="33"/>
      <c r="K437" s="33"/>
      <c r="L437" s="33"/>
      <c r="M437" s="33"/>
    </row>
    <row r="438" spans="5:13">
      <c r="E438" s="28"/>
      <c r="F438" s="28"/>
      <c r="G438" s="33"/>
      <c r="H438" s="33"/>
      <c r="I438" s="33"/>
      <c r="J438" s="33"/>
      <c r="K438" s="33"/>
      <c r="L438" s="33"/>
      <c r="M438" s="33"/>
    </row>
    <row r="439" spans="5:13">
      <c r="E439" s="28"/>
      <c r="F439" s="28"/>
      <c r="G439" s="33"/>
      <c r="H439" s="33"/>
      <c r="I439" s="33"/>
      <c r="J439" s="33"/>
      <c r="K439" s="33"/>
      <c r="L439" s="33"/>
      <c r="M439" s="33"/>
    </row>
    <row r="440" spans="5:13">
      <c r="E440" s="28"/>
      <c r="F440" s="28"/>
      <c r="G440" s="33"/>
      <c r="H440" s="33"/>
      <c r="I440" s="33"/>
      <c r="J440" s="33"/>
      <c r="K440" s="33"/>
      <c r="L440" s="33"/>
      <c r="M440" s="33"/>
    </row>
    <row r="441" spans="5:13">
      <c r="E441" s="28"/>
      <c r="F441" s="28"/>
      <c r="G441" s="33"/>
      <c r="H441" s="33"/>
      <c r="I441" s="33"/>
      <c r="J441" s="33"/>
      <c r="K441" s="33"/>
      <c r="L441" s="33"/>
      <c r="M441" s="33"/>
    </row>
    <row r="442" spans="5:13">
      <c r="E442" s="28"/>
      <c r="F442" s="28"/>
      <c r="G442" s="33"/>
      <c r="H442" s="33"/>
      <c r="I442" s="33"/>
      <c r="J442" s="33"/>
      <c r="K442" s="33"/>
      <c r="L442" s="33"/>
      <c r="M442" s="33"/>
    </row>
    <row r="443" spans="5:13">
      <c r="E443" s="28"/>
      <c r="F443" s="28"/>
      <c r="G443" s="33"/>
      <c r="H443" s="33"/>
      <c r="I443" s="33"/>
      <c r="J443" s="33"/>
      <c r="K443" s="33"/>
      <c r="L443" s="33"/>
      <c r="M443" s="33"/>
    </row>
    <row r="444" spans="5:13">
      <c r="E444" s="28"/>
      <c r="F444" s="28"/>
      <c r="G444" s="33"/>
      <c r="H444" s="33"/>
      <c r="I444" s="33"/>
      <c r="J444" s="33"/>
      <c r="K444" s="33"/>
      <c r="L444" s="33"/>
      <c r="M444" s="33"/>
    </row>
    <row r="445" spans="5:13">
      <c r="E445" s="28"/>
      <c r="F445" s="28"/>
      <c r="G445" s="33"/>
      <c r="H445" s="33"/>
      <c r="I445" s="33"/>
      <c r="J445" s="33"/>
      <c r="K445" s="33"/>
      <c r="L445" s="33"/>
      <c r="M445" s="33"/>
    </row>
    <row r="446" spans="5:13">
      <c r="E446" s="28"/>
      <c r="F446" s="28"/>
      <c r="G446" s="33"/>
      <c r="H446" s="33"/>
      <c r="I446" s="33"/>
      <c r="J446" s="33"/>
      <c r="K446" s="33"/>
      <c r="L446" s="33"/>
      <c r="M446" s="33"/>
    </row>
    <row r="447" spans="5:13">
      <c r="E447" s="28"/>
      <c r="F447" s="28"/>
      <c r="G447" s="33"/>
      <c r="H447" s="33"/>
      <c r="I447" s="33"/>
      <c r="J447" s="33"/>
      <c r="K447" s="33"/>
      <c r="L447" s="33"/>
      <c r="M447" s="33"/>
    </row>
    <row r="448" spans="5:13">
      <c r="E448" s="28"/>
      <c r="F448" s="28"/>
      <c r="G448" s="33"/>
      <c r="H448" s="33"/>
      <c r="I448" s="33"/>
      <c r="J448" s="33"/>
      <c r="K448" s="33"/>
      <c r="L448" s="33"/>
      <c r="M448" s="33"/>
    </row>
    <row r="449" spans="5:13">
      <c r="E449" s="28"/>
      <c r="F449" s="28"/>
      <c r="G449" s="33"/>
      <c r="H449" s="33"/>
      <c r="I449" s="33"/>
      <c r="J449" s="33"/>
      <c r="K449" s="33"/>
      <c r="L449" s="33"/>
      <c r="M449" s="33"/>
    </row>
    <row r="450" spans="5:13">
      <c r="E450" s="28"/>
      <c r="F450" s="28"/>
      <c r="G450" s="33"/>
      <c r="H450" s="33"/>
      <c r="I450" s="33"/>
      <c r="J450" s="33"/>
      <c r="K450" s="33"/>
      <c r="L450" s="33"/>
      <c r="M450" s="33"/>
    </row>
    <row r="451" spans="5:13">
      <c r="E451" s="28"/>
      <c r="F451" s="28"/>
      <c r="G451" s="33"/>
      <c r="H451" s="33"/>
      <c r="I451" s="33"/>
      <c r="J451" s="33"/>
      <c r="K451" s="33"/>
      <c r="L451" s="33"/>
      <c r="M451" s="33"/>
    </row>
    <row r="452" spans="5:13">
      <c r="E452" s="28"/>
      <c r="F452" s="28"/>
      <c r="G452" s="33"/>
      <c r="H452" s="33"/>
      <c r="I452" s="33"/>
      <c r="J452" s="33"/>
      <c r="K452" s="33"/>
      <c r="L452" s="33"/>
      <c r="M452" s="33"/>
    </row>
    <row r="453" spans="5:13">
      <c r="E453" s="28"/>
      <c r="F453" s="28"/>
      <c r="G453" s="33"/>
      <c r="H453" s="33"/>
      <c r="I453" s="33"/>
      <c r="J453" s="33"/>
      <c r="K453" s="33"/>
      <c r="L453" s="33"/>
      <c r="M453" s="33"/>
    </row>
    <row r="454" spans="5:13">
      <c r="E454" s="28"/>
      <c r="F454" s="28"/>
      <c r="G454" s="33"/>
      <c r="H454" s="33"/>
      <c r="I454" s="33"/>
      <c r="J454" s="33"/>
      <c r="K454" s="33"/>
      <c r="L454" s="33"/>
      <c r="M454" s="33"/>
    </row>
    <row r="455" spans="5:13">
      <c r="E455" s="28"/>
      <c r="F455" s="28"/>
      <c r="G455" s="33"/>
      <c r="H455" s="33"/>
      <c r="I455" s="33"/>
      <c r="J455" s="33"/>
      <c r="K455" s="33"/>
      <c r="L455" s="33"/>
      <c r="M455" s="33"/>
    </row>
    <row r="456" spans="5:13">
      <c r="E456" s="28"/>
      <c r="F456" s="28"/>
      <c r="G456" s="33"/>
      <c r="H456" s="33"/>
      <c r="I456" s="33"/>
      <c r="J456" s="33"/>
      <c r="K456" s="33"/>
      <c r="L456" s="33"/>
      <c r="M456" s="33"/>
    </row>
    <row r="457" spans="5:13">
      <c r="E457" s="28"/>
      <c r="F457" s="28"/>
      <c r="G457" s="33"/>
      <c r="H457" s="33"/>
      <c r="I457" s="33"/>
      <c r="J457" s="33"/>
      <c r="K457" s="33"/>
      <c r="L457" s="33"/>
      <c r="M457" s="33"/>
    </row>
    <row r="458" spans="5:13">
      <c r="E458" s="28"/>
      <c r="F458" s="28"/>
      <c r="G458" s="33"/>
      <c r="H458" s="33"/>
      <c r="I458" s="33"/>
      <c r="J458" s="33"/>
      <c r="K458" s="33"/>
      <c r="L458" s="33"/>
      <c r="M458" s="33"/>
    </row>
    <row r="459" spans="5:13">
      <c r="E459" s="28"/>
      <c r="F459" s="28"/>
      <c r="G459" s="33"/>
      <c r="H459" s="33"/>
      <c r="I459" s="33"/>
      <c r="J459" s="33"/>
      <c r="K459" s="33"/>
      <c r="L459" s="33"/>
      <c r="M459" s="33"/>
    </row>
    <row r="460" spans="5:13">
      <c r="E460" s="28"/>
      <c r="F460" s="28"/>
      <c r="G460" s="33"/>
      <c r="H460" s="33"/>
      <c r="I460" s="33"/>
      <c r="J460" s="33"/>
      <c r="K460" s="33"/>
      <c r="L460" s="33"/>
      <c r="M460" s="33"/>
    </row>
    <row r="461" spans="5:13">
      <c r="E461" s="28"/>
      <c r="F461" s="28"/>
      <c r="G461" s="33"/>
      <c r="H461" s="33"/>
      <c r="I461" s="33"/>
      <c r="J461" s="33"/>
      <c r="K461" s="33"/>
      <c r="L461" s="33"/>
      <c r="M461" s="33"/>
    </row>
    <row r="462" spans="5:13">
      <c r="E462" s="28"/>
      <c r="F462" s="28"/>
      <c r="G462" s="33"/>
      <c r="H462" s="33"/>
      <c r="I462" s="33"/>
      <c r="J462" s="33"/>
      <c r="K462" s="33"/>
      <c r="L462" s="33"/>
      <c r="M462" s="33"/>
    </row>
    <row r="463" spans="5:13">
      <c r="E463" s="28"/>
      <c r="F463" s="28"/>
      <c r="G463" s="33"/>
      <c r="H463" s="33"/>
      <c r="I463" s="33"/>
      <c r="J463" s="33"/>
      <c r="K463" s="33"/>
      <c r="L463" s="33"/>
      <c r="M463" s="33"/>
    </row>
    <row r="464" spans="5:13">
      <c r="E464" s="28"/>
      <c r="F464" s="28"/>
      <c r="G464" s="33"/>
      <c r="H464" s="33"/>
      <c r="I464" s="33"/>
      <c r="J464" s="33"/>
      <c r="K464" s="33"/>
      <c r="L464" s="33"/>
      <c r="M464" s="33"/>
    </row>
    <row r="465" spans="5:13">
      <c r="E465" s="28"/>
      <c r="F465" s="28"/>
      <c r="G465" s="33"/>
      <c r="H465" s="33"/>
      <c r="I465" s="33"/>
      <c r="J465" s="33"/>
      <c r="K465" s="33"/>
      <c r="L465" s="33"/>
      <c r="M465" s="33"/>
    </row>
    <row r="466" spans="5:13">
      <c r="E466" s="28"/>
      <c r="F466" s="28"/>
      <c r="G466" s="33"/>
      <c r="H466" s="33"/>
      <c r="I466" s="33"/>
      <c r="J466" s="33"/>
      <c r="K466" s="33"/>
      <c r="L466" s="33"/>
      <c r="M466" s="33"/>
    </row>
    <row r="467" spans="5:13">
      <c r="E467" s="28"/>
      <c r="F467" s="28"/>
      <c r="G467" s="33"/>
      <c r="H467" s="33"/>
      <c r="I467" s="33"/>
      <c r="J467" s="33"/>
      <c r="K467" s="33"/>
      <c r="L467" s="33"/>
      <c r="M467" s="33"/>
    </row>
    <row r="468" spans="5:13">
      <c r="E468" s="28"/>
      <c r="F468" s="28"/>
      <c r="G468" s="33"/>
      <c r="H468" s="33"/>
      <c r="I468" s="33"/>
      <c r="J468" s="33"/>
      <c r="K468" s="33"/>
      <c r="L468" s="33"/>
      <c r="M468" s="33"/>
    </row>
    <row r="469" spans="5:13">
      <c r="E469" s="28"/>
      <c r="F469" s="28"/>
      <c r="G469" s="33"/>
      <c r="H469" s="33"/>
      <c r="I469" s="33"/>
      <c r="J469" s="33"/>
      <c r="K469" s="33"/>
      <c r="L469" s="33"/>
      <c r="M469" s="33"/>
    </row>
    <row r="470" spans="5:13">
      <c r="E470" s="28"/>
      <c r="F470" s="28"/>
      <c r="G470" s="33"/>
      <c r="H470" s="33"/>
      <c r="I470" s="33"/>
      <c r="J470" s="33"/>
      <c r="K470" s="33"/>
      <c r="L470" s="33"/>
      <c r="M470" s="33"/>
    </row>
    <row r="471" spans="5:13">
      <c r="E471" s="28"/>
      <c r="F471" s="28"/>
      <c r="G471" s="33"/>
      <c r="H471" s="33"/>
      <c r="I471" s="33"/>
      <c r="J471" s="33"/>
      <c r="K471" s="33"/>
      <c r="L471" s="33"/>
      <c r="M471" s="33"/>
    </row>
    <row r="472" spans="5:13">
      <c r="E472" s="28"/>
      <c r="F472" s="28"/>
      <c r="G472" s="33"/>
      <c r="H472" s="33"/>
      <c r="I472" s="33"/>
      <c r="J472" s="33"/>
      <c r="K472" s="33"/>
      <c r="L472" s="33"/>
      <c r="M472" s="33"/>
    </row>
    <row r="473" spans="5:13">
      <c r="E473" s="28"/>
      <c r="F473" s="28"/>
      <c r="G473" s="33"/>
      <c r="H473" s="33"/>
      <c r="I473" s="33"/>
      <c r="J473" s="33"/>
      <c r="K473" s="33"/>
      <c r="L473" s="33"/>
      <c r="M473" s="33"/>
    </row>
    <row r="474" spans="5:13">
      <c r="E474" s="28"/>
      <c r="F474" s="28"/>
      <c r="G474" s="33"/>
      <c r="H474" s="33"/>
      <c r="I474" s="33"/>
      <c r="J474" s="33"/>
      <c r="K474" s="33"/>
      <c r="L474" s="33"/>
      <c r="M474" s="33"/>
    </row>
    <row r="475" spans="5:13">
      <c r="E475" s="28"/>
      <c r="F475" s="28"/>
      <c r="G475" s="33"/>
      <c r="H475" s="33"/>
      <c r="I475" s="33"/>
      <c r="J475" s="33"/>
      <c r="K475" s="33"/>
      <c r="L475" s="33"/>
      <c r="M475" s="33"/>
    </row>
    <row r="476" spans="5:13">
      <c r="E476" s="28"/>
      <c r="F476" s="28"/>
      <c r="G476" s="33"/>
      <c r="H476" s="33"/>
      <c r="I476" s="33"/>
      <c r="J476" s="33"/>
      <c r="K476" s="33"/>
      <c r="L476" s="33"/>
      <c r="M476" s="33"/>
    </row>
    <row r="477" spans="5:13">
      <c r="E477" s="28"/>
      <c r="F477" s="28"/>
      <c r="G477" s="33"/>
      <c r="H477" s="33"/>
      <c r="I477" s="33"/>
      <c r="J477" s="33"/>
      <c r="K477" s="33"/>
      <c r="L477" s="33"/>
      <c r="M477" s="33"/>
    </row>
    <row r="478" spans="5:13">
      <c r="E478" s="28"/>
      <c r="F478" s="28"/>
      <c r="G478" s="33"/>
      <c r="H478" s="33"/>
      <c r="I478" s="33"/>
      <c r="J478" s="33"/>
      <c r="K478" s="33"/>
      <c r="L478" s="33"/>
      <c r="M478" s="33"/>
    </row>
    <row r="479" spans="5:13">
      <c r="E479" s="28"/>
      <c r="F479" s="28"/>
      <c r="G479" s="33"/>
      <c r="H479" s="33"/>
      <c r="I479" s="33"/>
      <c r="J479" s="33"/>
      <c r="K479" s="33"/>
      <c r="L479" s="33"/>
      <c r="M479" s="33"/>
    </row>
    <row r="480" spans="5:13">
      <c r="E480" s="28"/>
      <c r="F480" s="28"/>
      <c r="G480" s="33"/>
      <c r="H480" s="33"/>
      <c r="I480" s="33"/>
      <c r="J480" s="33"/>
      <c r="K480" s="33"/>
      <c r="L480" s="33"/>
      <c r="M480" s="33"/>
    </row>
    <row r="481" spans="5:13">
      <c r="E481" s="28"/>
      <c r="F481" s="28"/>
      <c r="G481" s="33"/>
      <c r="H481" s="33"/>
      <c r="I481" s="33"/>
      <c r="J481" s="33"/>
      <c r="K481" s="33"/>
      <c r="L481" s="33"/>
      <c r="M481" s="33"/>
    </row>
    <row r="482" spans="5:13">
      <c r="E482" s="28"/>
      <c r="F482" s="28"/>
      <c r="G482" s="33"/>
      <c r="H482" s="33"/>
      <c r="I482" s="33"/>
      <c r="J482" s="33"/>
      <c r="K482" s="33"/>
      <c r="L482" s="33"/>
      <c r="M482" s="33"/>
    </row>
    <row r="483" spans="5:13">
      <c r="E483" s="28"/>
      <c r="F483" s="28"/>
      <c r="G483" s="33"/>
      <c r="H483" s="33"/>
      <c r="I483" s="33"/>
      <c r="J483" s="33"/>
      <c r="K483" s="33"/>
      <c r="L483" s="33"/>
      <c r="M483" s="33"/>
    </row>
    <row r="484" spans="5:13">
      <c r="E484" s="28"/>
      <c r="F484" s="28"/>
      <c r="G484" s="33"/>
      <c r="H484" s="33"/>
      <c r="I484" s="33"/>
      <c r="J484" s="33"/>
      <c r="K484" s="33"/>
      <c r="L484" s="33"/>
      <c r="M484" s="33"/>
    </row>
    <row r="485" spans="5:13">
      <c r="E485" s="28"/>
      <c r="F485" s="28"/>
      <c r="G485" s="33"/>
      <c r="H485" s="33"/>
      <c r="I485" s="33"/>
      <c r="J485" s="33"/>
      <c r="K485" s="33"/>
      <c r="L485" s="33"/>
      <c r="M485" s="33"/>
    </row>
    <row r="486" spans="5:13">
      <c r="E486" s="28"/>
      <c r="F486" s="28"/>
      <c r="G486" s="33"/>
      <c r="H486" s="33"/>
      <c r="I486" s="33"/>
      <c r="J486" s="33"/>
      <c r="K486" s="33"/>
      <c r="L486" s="33"/>
      <c r="M486" s="33"/>
    </row>
    <row r="487" spans="5:13">
      <c r="E487" s="28"/>
      <c r="F487" s="28"/>
      <c r="G487" s="33"/>
      <c r="H487" s="33"/>
      <c r="I487" s="33"/>
      <c r="J487" s="33"/>
      <c r="K487" s="33"/>
      <c r="L487" s="33"/>
      <c r="M487" s="33"/>
    </row>
    <row r="488" spans="5:13">
      <c r="E488" s="28"/>
      <c r="F488" s="28"/>
      <c r="G488" s="33"/>
      <c r="H488" s="33"/>
      <c r="I488" s="33"/>
      <c r="J488" s="33"/>
      <c r="K488" s="33"/>
      <c r="L488" s="33"/>
      <c r="M488" s="33"/>
    </row>
    <row r="489" spans="5:13">
      <c r="E489" s="28"/>
      <c r="F489" s="28"/>
      <c r="G489" s="33"/>
      <c r="H489" s="33"/>
      <c r="I489" s="33"/>
      <c r="J489" s="33"/>
      <c r="K489" s="33"/>
      <c r="L489" s="33"/>
      <c r="M489" s="33"/>
    </row>
    <row r="490" spans="5:13">
      <c r="E490" s="28"/>
      <c r="F490" s="28"/>
      <c r="G490" s="33"/>
      <c r="H490" s="33"/>
      <c r="I490" s="33"/>
      <c r="J490" s="33"/>
      <c r="K490" s="33"/>
      <c r="L490" s="33"/>
      <c r="M490" s="33"/>
    </row>
    <row r="491" spans="5:13">
      <c r="E491" s="28"/>
      <c r="F491" s="28"/>
      <c r="G491" s="33"/>
      <c r="H491" s="33"/>
      <c r="I491" s="33"/>
      <c r="J491" s="33"/>
      <c r="K491" s="33"/>
      <c r="L491" s="33"/>
      <c r="M491" s="33"/>
    </row>
    <row r="492" spans="5:13">
      <c r="E492" s="28"/>
      <c r="F492" s="28"/>
      <c r="G492" s="33"/>
      <c r="H492" s="33"/>
      <c r="I492" s="33"/>
      <c r="J492" s="33"/>
      <c r="K492" s="33"/>
      <c r="L492" s="33"/>
      <c r="M492" s="33"/>
    </row>
    <row r="493" spans="5:13">
      <c r="E493" s="28"/>
      <c r="F493" s="28"/>
      <c r="G493" s="33"/>
      <c r="H493" s="33"/>
      <c r="I493" s="33"/>
      <c r="J493" s="33"/>
      <c r="K493" s="33"/>
      <c r="L493" s="33"/>
      <c r="M493" s="33"/>
    </row>
    <row r="494" spans="5:13">
      <c r="E494" s="28"/>
      <c r="F494" s="28"/>
      <c r="G494" s="33"/>
      <c r="H494" s="33"/>
      <c r="I494" s="33"/>
      <c r="J494" s="33"/>
      <c r="K494" s="33"/>
      <c r="L494" s="33"/>
      <c r="M494" s="33"/>
    </row>
    <row r="495" spans="5:13">
      <c r="E495" s="28"/>
      <c r="F495" s="28"/>
      <c r="G495" s="33"/>
      <c r="H495" s="33"/>
      <c r="I495" s="33"/>
      <c r="J495" s="33"/>
      <c r="K495" s="33"/>
      <c r="L495" s="33"/>
      <c r="M495" s="33"/>
    </row>
    <row r="496" spans="5:13">
      <c r="E496" s="28"/>
      <c r="F496" s="28"/>
      <c r="G496" s="33"/>
      <c r="H496" s="33"/>
      <c r="I496" s="33"/>
      <c r="J496" s="33"/>
      <c r="K496" s="33"/>
      <c r="L496" s="33"/>
      <c r="M496" s="33"/>
    </row>
    <row r="497" spans="5:13">
      <c r="E497" s="28"/>
      <c r="F497" s="28"/>
      <c r="G497" s="33"/>
      <c r="H497" s="33"/>
      <c r="I497" s="33"/>
      <c r="J497" s="33"/>
      <c r="K497" s="33"/>
      <c r="L497" s="33"/>
      <c r="M497" s="33"/>
    </row>
    <row r="498" spans="5:13">
      <c r="E498" s="28"/>
      <c r="F498" s="28"/>
      <c r="G498" s="33"/>
      <c r="H498" s="33"/>
      <c r="I498" s="33"/>
      <c r="J498" s="33"/>
      <c r="K498" s="33"/>
      <c r="L498" s="33"/>
      <c r="M498" s="33"/>
    </row>
    <row r="499" spans="5:13">
      <c r="E499" s="28"/>
      <c r="F499" s="28"/>
      <c r="G499" s="33"/>
      <c r="H499" s="33"/>
      <c r="I499" s="33"/>
      <c r="J499" s="33"/>
      <c r="K499" s="33"/>
      <c r="L499" s="33"/>
      <c r="M499" s="33"/>
    </row>
    <row r="500" spans="5:13">
      <c r="E500" s="28"/>
      <c r="F500" s="28"/>
      <c r="G500" s="33"/>
      <c r="H500" s="33"/>
      <c r="I500" s="33"/>
      <c r="J500" s="33"/>
      <c r="K500" s="33"/>
      <c r="L500" s="33"/>
      <c r="M500" s="33"/>
    </row>
    <row r="501" spans="5:13">
      <c r="E501" s="28"/>
      <c r="F501" s="28"/>
      <c r="G501" s="33"/>
      <c r="H501" s="33"/>
      <c r="I501" s="33"/>
      <c r="J501" s="33"/>
      <c r="K501" s="33"/>
      <c r="L501" s="33"/>
      <c r="M501" s="33"/>
    </row>
    <row r="502" spans="5:13">
      <c r="E502" s="28"/>
      <c r="F502" s="28"/>
      <c r="G502" s="33"/>
      <c r="H502" s="33"/>
      <c r="I502" s="33"/>
      <c r="J502" s="33"/>
      <c r="K502" s="33"/>
      <c r="L502" s="33"/>
      <c r="M502" s="33"/>
    </row>
    <row r="503" spans="5:13">
      <c r="E503" s="28"/>
      <c r="F503" s="28"/>
      <c r="G503" s="33"/>
      <c r="H503" s="33"/>
      <c r="I503" s="33"/>
      <c r="J503" s="33"/>
      <c r="K503" s="33"/>
      <c r="L503" s="33"/>
      <c r="M503" s="33"/>
    </row>
    <row r="504" spans="5:13">
      <c r="E504" s="28"/>
      <c r="F504" s="28"/>
      <c r="G504" s="33"/>
      <c r="H504" s="33"/>
      <c r="I504" s="33"/>
      <c r="J504" s="33"/>
      <c r="K504" s="33"/>
      <c r="L504" s="33"/>
      <c r="M504" s="33"/>
    </row>
    <row r="505" spans="5:13">
      <c r="E505" s="28"/>
      <c r="F505" s="28"/>
      <c r="G505" s="33"/>
      <c r="H505" s="33"/>
      <c r="I505" s="33"/>
      <c r="J505" s="33"/>
      <c r="K505" s="33"/>
      <c r="L505" s="33"/>
      <c r="M505" s="33"/>
    </row>
    <row r="506" spans="5:13">
      <c r="E506" s="28"/>
      <c r="F506" s="28"/>
      <c r="G506" s="33"/>
      <c r="H506" s="33"/>
      <c r="I506" s="33"/>
      <c r="J506" s="33"/>
      <c r="K506" s="33"/>
      <c r="L506" s="33"/>
      <c r="M506" s="33"/>
    </row>
    <row r="507" spans="5:13">
      <c r="E507" s="28"/>
      <c r="F507" s="28"/>
      <c r="G507" s="33"/>
      <c r="H507" s="33"/>
      <c r="I507" s="33"/>
      <c r="J507" s="33"/>
      <c r="K507" s="33"/>
      <c r="L507" s="33"/>
      <c r="M507" s="33"/>
    </row>
    <row r="508" spans="5:13">
      <c r="E508" s="28"/>
      <c r="F508" s="28"/>
      <c r="G508" s="33"/>
      <c r="H508" s="33"/>
      <c r="I508" s="33"/>
      <c r="J508" s="33"/>
      <c r="K508" s="33"/>
      <c r="L508" s="33"/>
      <c r="M508" s="33"/>
    </row>
    <row r="509" spans="5:13">
      <c r="E509" s="28"/>
      <c r="F509" s="28"/>
      <c r="G509" s="33"/>
      <c r="H509" s="33"/>
      <c r="I509" s="33"/>
      <c r="J509" s="33"/>
      <c r="K509" s="33"/>
      <c r="L509" s="33"/>
      <c r="M509" s="33"/>
    </row>
    <row r="510" spans="5:13">
      <c r="E510" s="28"/>
      <c r="F510" s="28"/>
      <c r="G510" s="33"/>
      <c r="H510" s="33"/>
      <c r="I510" s="33"/>
      <c r="J510" s="33"/>
      <c r="K510" s="33"/>
      <c r="L510" s="33"/>
      <c r="M510" s="33"/>
    </row>
    <row r="511" spans="5:13">
      <c r="E511" s="28"/>
      <c r="F511" s="28"/>
      <c r="G511" s="33"/>
      <c r="H511" s="33"/>
      <c r="I511" s="33"/>
      <c r="J511" s="33"/>
      <c r="K511" s="33"/>
      <c r="L511" s="33"/>
      <c r="M511" s="33"/>
    </row>
    <row r="512" spans="5:13">
      <c r="E512" s="28"/>
      <c r="F512" s="28"/>
      <c r="G512" s="33"/>
      <c r="H512" s="33"/>
      <c r="I512" s="33"/>
      <c r="J512" s="33"/>
      <c r="K512" s="33"/>
      <c r="L512" s="33"/>
      <c r="M512" s="33"/>
    </row>
    <row r="513" spans="5:13">
      <c r="E513" s="28"/>
      <c r="F513" s="28"/>
      <c r="G513" s="33"/>
      <c r="H513" s="33"/>
      <c r="I513" s="33"/>
      <c r="J513" s="33"/>
      <c r="K513" s="33"/>
      <c r="L513" s="33"/>
      <c r="M513" s="33"/>
    </row>
    <row r="514" spans="5:13">
      <c r="E514" s="28"/>
      <c r="F514" s="28"/>
      <c r="G514" s="33"/>
      <c r="H514" s="33"/>
      <c r="I514" s="33"/>
      <c r="J514" s="33"/>
      <c r="K514" s="33"/>
      <c r="L514" s="33"/>
      <c r="M514" s="33"/>
    </row>
    <row r="515" spans="5:13">
      <c r="E515" s="28"/>
      <c r="F515" s="28"/>
      <c r="G515" s="33"/>
      <c r="H515" s="33"/>
      <c r="I515" s="33"/>
      <c r="J515" s="33"/>
      <c r="K515" s="33"/>
      <c r="L515" s="33"/>
      <c r="M515" s="33"/>
    </row>
    <row r="516" spans="5:13">
      <c r="E516" s="28"/>
      <c r="F516" s="28"/>
      <c r="G516" s="33"/>
      <c r="H516" s="33"/>
      <c r="I516" s="33"/>
      <c r="J516" s="33"/>
      <c r="K516" s="33"/>
      <c r="L516" s="33"/>
      <c r="M516" s="33"/>
    </row>
    <row r="517" spans="5:13">
      <c r="E517" s="28"/>
      <c r="F517" s="28"/>
      <c r="G517" s="33"/>
      <c r="H517" s="33"/>
      <c r="I517" s="33"/>
      <c r="J517" s="33"/>
      <c r="K517" s="33"/>
      <c r="L517" s="33"/>
      <c r="M517" s="33"/>
    </row>
    <row r="518" spans="5:13">
      <c r="E518" s="28"/>
      <c r="F518" s="28"/>
      <c r="G518" s="33"/>
      <c r="H518" s="33"/>
      <c r="I518" s="33"/>
      <c r="J518" s="33"/>
      <c r="K518" s="33"/>
      <c r="L518" s="33"/>
      <c r="M518" s="33"/>
    </row>
    <row r="519" spans="5:13">
      <c r="E519" s="28"/>
      <c r="F519" s="28"/>
      <c r="G519" s="33"/>
      <c r="H519" s="33"/>
      <c r="I519" s="33"/>
      <c r="J519" s="33"/>
      <c r="K519" s="33"/>
      <c r="L519" s="33"/>
      <c r="M519" s="33"/>
    </row>
    <row r="520" spans="5:13">
      <c r="E520" s="28"/>
      <c r="F520" s="28"/>
      <c r="G520" s="33"/>
      <c r="H520" s="33"/>
      <c r="I520" s="33"/>
      <c r="J520" s="33"/>
      <c r="K520" s="33"/>
      <c r="L520" s="33"/>
      <c r="M520" s="33"/>
    </row>
    <row r="521" spans="5:13">
      <c r="E521" s="28"/>
      <c r="F521" s="28"/>
      <c r="G521" s="33"/>
      <c r="H521" s="33"/>
      <c r="I521" s="33"/>
      <c r="J521" s="33"/>
      <c r="K521" s="33"/>
      <c r="L521" s="33"/>
      <c r="M521" s="33"/>
    </row>
    <row r="522" spans="5:13">
      <c r="E522" s="28"/>
      <c r="F522" s="28"/>
      <c r="G522" s="33"/>
      <c r="H522" s="33"/>
      <c r="I522" s="33"/>
      <c r="J522" s="33"/>
      <c r="K522" s="33"/>
      <c r="L522" s="33"/>
      <c r="M522" s="33"/>
    </row>
    <row r="523" spans="5:13">
      <c r="E523" s="28"/>
      <c r="F523" s="28"/>
      <c r="G523" s="33"/>
      <c r="H523" s="33"/>
      <c r="I523" s="33"/>
      <c r="J523" s="33"/>
      <c r="K523" s="33"/>
      <c r="L523" s="33"/>
      <c r="M523" s="33"/>
    </row>
    <row r="524" spans="5:13">
      <c r="E524" s="28"/>
      <c r="F524" s="28"/>
      <c r="G524" s="33"/>
      <c r="H524" s="33"/>
      <c r="I524" s="33"/>
      <c r="J524" s="33"/>
      <c r="K524" s="33"/>
      <c r="L524" s="33"/>
      <c r="M524" s="33"/>
    </row>
    <row r="525" spans="5:13">
      <c r="E525" s="28"/>
      <c r="F525" s="28"/>
      <c r="G525" s="33"/>
      <c r="H525" s="33"/>
      <c r="I525" s="33"/>
      <c r="J525" s="33"/>
      <c r="K525" s="33"/>
      <c r="L525" s="33"/>
      <c r="M525" s="33"/>
    </row>
    <row r="526" spans="5:13">
      <c r="E526" s="28"/>
      <c r="F526" s="28"/>
      <c r="G526" s="33"/>
      <c r="H526" s="33"/>
      <c r="I526" s="33"/>
      <c r="J526" s="33"/>
      <c r="K526" s="33"/>
      <c r="L526" s="33"/>
      <c r="M526" s="33"/>
    </row>
    <row r="527" spans="5:13">
      <c r="E527" s="28"/>
      <c r="F527" s="28"/>
      <c r="G527" s="33"/>
      <c r="H527" s="33"/>
      <c r="I527" s="33"/>
      <c r="J527" s="33"/>
      <c r="K527" s="33"/>
      <c r="L527" s="33"/>
      <c r="M527" s="33"/>
    </row>
    <row r="528" spans="5:13">
      <c r="E528" s="28"/>
      <c r="F528" s="28"/>
      <c r="G528" s="33"/>
      <c r="H528" s="33"/>
      <c r="I528" s="33"/>
      <c r="J528" s="33"/>
      <c r="K528" s="33"/>
      <c r="L528" s="33"/>
      <c r="M528" s="33"/>
    </row>
    <row r="529" spans="5:13">
      <c r="E529" s="28"/>
      <c r="F529" s="28"/>
      <c r="G529" s="33"/>
      <c r="H529" s="33"/>
      <c r="I529" s="33"/>
      <c r="J529" s="33"/>
      <c r="K529" s="33"/>
      <c r="L529" s="33"/>
      <c r="M529" s="33"/>
    </row>
    <row r="530" spans="5:13">
      <c r="E530" s="28"/>
      <c r="F530" s="28"/>
      <c r="G530" s="33"/>
      <c r="H530" s="33"/>
      <c r="I530" s="33"/>
      <c r="J530" s="33"/>
      <c r="K530" s="33"/>
      <c r="L530" s="33"/>
      <c r="M530" s="33"/>
    </row>
    <row r="531" spans="5:13">
      <c r="E531" s="28"/>
      <c r="F531" s="28"/>
      <c r="G531" s="33"/>
      <c r="H531" s="33"/>
      <c r="I531" s="33"/>
      <c r="J531" s="33"/>
      <c r="K531" s="33"/>
      <c r="L531" s="33"/>
      <c r="M531" s="33"/>
    </row>
    <row r="532" spans="5:13">
      <c r="E532" s="28"/>
      <c r="F532" s="28"/>
      <c r="G532" s="33"/>
      <c r="H532" s="33"/>
      <c r="I532" s="33"/>
      <c r="J532" s="33"/>
      <c r="K532" s="33"/>
      <c r="L532" s="33"/>
      <c r="M532" s="33"/>
    </row>
    <row r="533" spans="5:13">
      <c r="E533" s="28"/>
      <c r="F533" s="28"/>
      <c r="G533" s="33"/>
      <c r="H533" s="33"/>
      <c r="I533" s="33"/>
      <c r="J533" s="33"/>
      <c r="K533" s="33"/>
      <c r="L533" s="33"/>
      <c r="M533" s="33"/>
    </row>
    <row r="534" spans="5:13">
      <c r="E534" s="28"/>
      <c r="F534" s="28"/>
      <c r="G534" s="33"/>
      <c r="H534" s="33"/>
      <c r="I534" s="33"/>
      <c r="J534" s="33"/>
      <c r="K534" s="33"/>
      <c r="L534" s="33"/>
      <c r="M534" s="33"/>
    </row>
    <row r="535" spans="5:13">
      <c r="E535" s="28"/>
      <c r="F535" s="28"/>
      <c r="G535" s="33"/>
      <c r="H535" s="33"/>
      <c r="I535" s="33"/>
      <c r="J535" s="33"/>
      <c r="K535" s="33"/>
      <c r="L535" s="33"/>
      <c r="M535" s="33"/>
    </row>
    <row r="536" spans="5:13">
      <c r="E536" s="28"/>
      <c r="F536" s="28"/>
      <c r="G536" s="33"/>
      <c r="H536" s="33"/>
      <c r="I536" s="33"/>
      <c r="J536" s="33"/>
      <c r="K536" s="33"/>
      <c r="L536" s="33"/>
      <c r="M536" s="33"/>
    </row>
    <row r="537" spans="5:13">
      <c r="E537" s="28"/>
      <c r="F537" s="28"/>
      <c r="G537" s="33"/>
      <c r="H537" s="33"/>
      <c r="I537" s="33"/>
      <c r="J537" s="33"/>
      <c r="K537" s="33"/>
      <c r="L537" s="33"/>
      <c r="M537" s="33"/>
    </row>
    <row r="538" spans="5:13">
      <c r="E538" s="28"/>
      <c r="F538" s="28"/>
      <c r="G538" s="33"/>
      <c r="H538" s="33"/>
      <c r="I538" s="33"/>
      <c r="J538" s="33"/>
      <c r="K538" s="33"/>
      <c r="L538" s="33"/>
      <c r="M538" s="33"/>
    </row>
    <row r="539" spans="5:13">
      <c r="E539" s="28"/>
      <c r="F539" s="28"/>
      <c r="G539" s="33"/>
      <c r="H539" s="33"/>
      <c r="I539" s="33"/>
      <c r="J539" s="33"/>
      <c r="K539" s="33"/>
      <c r="L539" s="33"/>
      <c r="M539" s="33"/>
    </row>
    <row r="540" spans="5:13">
      <c r="E540" s="28"/>
      <c r="F540" s="28"/>
      <c r="G540" s="33"/>
      <c r="H540" s="33"/>
      <c r="I540" s="33"/>
      <c r="J540" s="33"/>
      <c r="K540" s="33"/>
      <c r="L540" s="33"/>
      <c r="M540" s="33"/>
    </row>
    <row r="541" spans="5:13">
      <c r="E541" s="28"/>
      <c r="F541" s="28"/>
      <c r="G541" s="33"/>
      <c r="H541" s="33"/>
      <c r="I541" s="33"/>
      <c r="J541" s="33"/>
      <c r="K541" s="33"/>
      <c r="L541" s="33"/>
      <c r="M541" s="33"/>
    </row>
    <row r="542" spans="5:13">
      <c r="E542" s="28"/>
      <c r="F542" s="28"/>
      <c r="G542" s="33"/>
      <c r="H542" s="33"/>
      <c r="I542" s="33"/>
      <c r="J542" s="33"/>
      <c r="K542" s="33"/>
      <c r="L542" s="33"/>
      <c r="M542" s="33"/>
    </row>
    <row r="543" spans="5:13">
      <c r="E543" s="28"/>
      <c r="F543" s="28"/>
      <c r="G543" s="33"/>
      <c r="H543" s="33"/>
      <c r="I543" s="33"/>
      <c r="J543" s="33"/>
      <c r="K543" s="33"/>
      <c r="L543" s="33"/>
      <c r="M543" s="33"/>
    </row>
    <row r="544" spans="5:13">
      <c r="E544" s="28"/>
      <c r="F544" s="28"/>
      <c r="G544" s="33"/>
      <c r="H544" s="33"/>
      <c r="I544" s="33"/>
      <c r="J544" s="33"/>
      <c r="K544" s="33"/>
      <c r="L544" s="33"/>
      <c r="M544" s="33"/>
    </row>
    <row r="545" spans="5:13">
      <c r="E545" s="28"/>
      <c r="F545" s="28"/>
      <c r="G545" s="33"/>
      <c r="H545" s="33"/>
      <c r="I545" s="33"/>
      <c r="J545" s="33"/>
      <c r="K545" s="33"/>
      <c r="L545" s="33"/>
      <c r="M545" s="33"/>
    </row>
    <row r="546" spans="5:13">
      <c r="E546" s="28"/>
      <c r="F546" s="28"/>
      <c r="G546" s="33"/>
      <c r="H546" s="33"/>
      <c r="I546" s="33"/>
      <c r="J546" s="33"/>
      <c r="K546" s="33"/>
      <c r="L546" s="33"/>
      <c r="M546" s="33"/>
    </row>
    <row r="547" spans="5:13">
      <c r="E547" s="28"/>
      <c r="F547" s="28"/>
      <c r="G547" s="33"/>
      <c r="H547" s="33"/>
      <c r="I547" s="33"/>
      <c r="J547" s="33"/>
      <c r="K547" s="33"/>
      <c r="L547" s="33"/>
      <c r="M547" s="33"/>
    </row>
    <row r="548" spans="5:13">
      <c r="E548" s="28"/>
      <c r="F548" s="28"/>
      <c r="G548" s="33"/>
      <c r="H548" s="33"/>
      <c r="I548" s="33"/>
      <c r="J548" s="33"/>
      <c r="K548" s="33"/>
      <c r="L548" s="33"/>
      <c r="M548" s="33"/>
    </row>
    <row r="549" spans="5:13">
      <c r="E549" s="28"/>
      <c r="F549" s="28"/>
      <c r="G549" s="33"/>
      <c r="H549" s="33"/>
      <c r="I549" s="33"/>
      <c r="J549" s="33"/>
      <c r="K549" s="33"/>
      <c r="L549" s="33"/>
      <c r="M549" s="33"/>
    </row>
    <row r="550" spans="5:13">
      <c r="E550" s="28"/>
      <c r="F550" s="28"/>
      <c r="G550" s="33"/>
      <c r="H550" s="33"/>
      <c r="I550" s="33"/>
      <c r="J550" s="33"/>
      <c r="K550" s="33"/>
      <c r="L550" s="33"/>
      <c r="M550" s="33"/>
    </row>
    <row r="551" spans="5:13">
      <c r="E551" s="28"/>
      <c r="F551" s="28"/>
      <c r="G551" s="33"/>
      <c r="H551" s="33"/>
      <c r="I551" s="33"/>
      <c r="J551" s="33"/>
      <c r="K551" s="33"/>
      <c r="L551" s="33"/>
      <c r="M551" s="33"/>
    </row>
    <row r="552" spans="5:13">
      <c r="E552" s="28"/>
      <c r="F552" s="28"/>
      <c r="G552" s="33"/>
      <c r="H552" s="33"/>
      <c r="I552" s="33"/>
      <c r="J552" s="33"/>
      <c r="K552" s="33"/>
      <c r="L552" s="33"/>
      <c r="M552" s="33"/>
    </row>
    <row r="553" spans="5:13">
      <c r="E553" s="28"/>
      <c r="F553" s="28"/>
      <c r="G553" s="33"/>
      <c r="H553" s="33"/>
      <c r="I553" s="33"/>
      <c r="J553" s="33"/>
      <c r="K553" s="33"/>
      <c r="L553" s="33"/>
      <c r="M553" s="33"/>
    </row>
    <row r="554" spans="5:13">
      <c r="E554" s="28"/>
      <c r="F554" s="28"/>
      <c r="G554" s="33"/>
      <c r="H554" s="33"/>
      <c r="I554" s="33"/>
      <c r="J554" s="33"/>
      <c r="K554" s="33"/>
      <c r="L554" s="33"/>
      <c r="M554" s="33"/>
    </row>
    <row r="555" spans="5:13">
      <c r="E555" s="28"/>
      <c r="F555" s="28"/>
      <c r="G555" s="33"/>
      <c r="H555" s="33"/>
      <c r="I555" s="33"/>
      <c r="J555" s="33"/>
      <c r="K555" s="33"/>
      <c r="L555" s="33"/>
      <c r="M555" s="33"/>
    </row>
    <row r="556" spans="5:13">
      <c r="E556" s="28"/>
      <c r="F556" s="28"/>
      <c r="G556" s="33"/>
      <c r="H556" s="33"/>
      <c r="I556" s="33"/>
      <c r="J556" s="33"/>
      <c r="K556" s="33"/>
      <c r="L556" s="33"/>
      <c r="M556" s="33"/>
    </row>
    <row r="557" spans="5:13">
      <c r="E557" s="28"/>
      <c r="F557" s="28"/>
      <c r="G557" s="33"/>
      <c r="H557" s="33"/>
      <c r="I557" s="33"/>
      <c r="J557" s="33"/>
      <c r="K557" s="33"/>
      <c r="L557" s="33"/>
      <c r="M557" s="33"/>
    </row>
    <row r="558" spans="5:13">
      <c r="E558" s="28"/>
      <c r="F558" s="28"/>
      <c r="G558" s="33"/>
      <c r="H558" s="33"/>
      <c r="I558" s="33"/>
      <c r="J558" s="33"/>
      <c r="K558" s="33"/>
      <c r="L558" s="33"/>
      <c r="M558" s="33"/>
    </row>
    <row r="559" spans="5:13">
      <c r="E559" s="28"/>
      <c r="F559" s="28"/>
      <c r="G559" s="33"/>
      <c r="H559" s="33"/>
      <c r="I559" s="33"/>
      <c r="J559" s="33"/>
      <c r="K559" s="33"/>
      <c r="L559" s="33"/>
      <c r="M559" s="33"/>
    </row>
    <row r="560" spans="5:13">
      <c r="E560" s="28"/>
      <c r="F560" s="28"/>
      <c r="G560" s="33"/>
      <c r="H560" s="33"/>
      <c r="I560" s="33"/>
      <c r="J560" s="33"/>
      <c r="K560" s="33"/>
      <c r="L560" s="33"/>
      <c r="M560" s="33"/>
    </row>
    <row r="561" spans="5:13">
      <c r="E561" s="28"/>
      <c r="F561" s="28"/>
      <c r="G561" s="33"/>
      <c r="H561" s="33"/>
      <c r="I561" s="33"/>
      <c r="J561" s="33"/>
      <c r="K561" s="33"/>
      <c r="L561" s="33"/>
      <c r="M561" s="33"/>
    </row>
    <row r="562" spans="5:13">
      <c r="E562" s="28"/>
      <c r="F562" s="28"/>
      <c r="G562" s="33"/>
      <c r="H562" s="33"/>
      <c r="I562" s="33"/>
      <c r="J562" s="33"/>
      <c r="K562" s="33"/>
      <c r="L562" s="33"/>
      <c r="M562" s="33"/>
    </row>
    <row r="563" spans="5:13">
      <c r="E563" s="28"/>
      <c r="F563" s="28"/>
      <c r="G563" s="33"/>
      <c r="H563" s="33"/>
      <c r="I563" s="33"/>
      <c r="J563" s="33"/>
      <c r="K563" s="33"/>
      <c r="L563" s="33"/>
      <c r="M563" s="33"/>
    </row>
    <row r="564" spans="5:13">
      <c r="E564" s="28"/>
      <c r="F564" s="28"/>
      <c r="G564" s="33"/>
      <c r="H564" s="33"/>
      <c r="I564" s="33"/>
      <c r="J564" s="33"/>
      <c r="K564" s="33"/>
      <c r="L564" s="33"/>
      <c r="M564" s="33"/>
    </row>
    <row r="565" spans="5:13">
      <c r="E565" s="28"/>
      <c r="F565" s="28"/>
      <c r="G565" s="33"/>
      <c r="H565" s="33"/>
      <c r="I565" s="33"/>
      <c r="J565" s="33"/>
      <c r="K565" s="33"/>
      <c r="L565" s="33"/>
      <c r="M565" s="33"/>
    </row>
    <row r="566" spans="5:13">
      <c r="E566" s="28"/>
      <c r="F566" s="28"/>
      <c r="G566" s="33"/>
      <c r="H566" s="33"/>
      <c r="I566" s="33"/>
      <c r="J566" s="33"/>
      <c r="K566" s="33"/>
      <c r="L566" s="33"/>
      <c r="M566" s="33"/>
    </row>
    <row r="567" spans="5:13">
      <c r="E567" s="28"/>
      <c r="F567" s="28"/>
      <c r="G567" s="33"/>
      <c r="H567" s="33"/>
      <c r="I567" s="33"/>
      <c r="J567" s="33"/>
      <c r="K567" s="33"/>
      <c r="L567" s="33"/>
      <c r="M567" s="33"/>
    </row>
    <row r="568" spans="5:13">
      <c r="E568" s="28"/>
      <c r="F568" s="28"/>
      <c r="G568" s="33"/>
      <c r="H568" s="33"/>
      <c r="I568" s="33"/>
      <c r="J568" s="33"/>
      <c r="K568" s="33"/>
      <c r="L568" s="33"/>
      <c r="M568" s="33"/>
    </row>
    <row r="569" spans="5:13">
      <c r="E569" s="28"/>
      <c r="F569" s="28"/>
      <c r="G569" s="33"/>
      <c r="H569" s="33"/>
      <c r="I569" s="33"/>
      <c r="J569" s="33"/>
      <c r="K569" s="33"/>
      <c r="L569" s="33"/>
      <c r="M569" s="33"/>
    </row>
    <row r="570" spans="5:13">
      <c r="E570" s="28"/>
      <c r="F570" s="28"/>
      <c r="G570" s="33"/>
      <c r="H570" s="33"/>
      <c r="I570" s="33"/>
      <c r="J570" s="33"/>
      <c r="K570" s="33"/>
      <c r="L570" s="33"/>
      <c r="M570" s="33"/>
    </row>
    <row r="571" spans="5:13">
      <c r="E571" s="28"/>
      <c r="F571" s="28"/>
      <c r="G571" s="33"/>
      <c r="H571" s="33"/>
      <c r="I571" s="33"/>
      <c r="J571" s="33"/>
      <c r="K571" s="33"/>
      <c r="L571" s="33"/>
      <c r="M571" s="33"/>
    </row>
    <row r="572" spans="5:13">
      <c r="E572" s="28"/>
      <c r="F572" s="28"/>
      <c r="G572" s="33"/>
      <c r="H572" s="33"/>
      <c r="I572" s="33"/>
      <c r="J572" s="33"/>
      <c r="K572" s="33"/>
      <c r="L572" s="33"/>
      <c r="M572" s="33"/>
    </row>
    <row r="573" spans="5:13">
      <c r="E573" s="28"/>
      <c r="F573" s="28"/>
      <c r="G573" s="33"/>
      <c r="H573" s="33"/>
      <c r="I573" s="33"/>
      <c r="J573" s="33"/>
      <c r="K573" s="33"/>
      <c r="L573" s="33"/>
      <c r="M573" s="33"/>
    </row>
    <row r="574" spans="5:13">
      <c r="E574" s="28"/>
      <c r="F574" s="28"/>
      <c r="G574" s="33"/>
      <c r="H574" s="33"/>
      <c r="I574" s="33"/>
      <c r="J574" s="33"/>
      <c r="K574" s="33"/>
      <c r="L574" s="33"/>
      <c r="M574" s="33"/>
    </row>
    <row r="575" spans="5:13">
      <c r="E575" s="28"/>
      <c r="F575" s="28"/>
      <c r="G575" s="33"/>
      <c r="H575" s="33"/>
      <c r="I575" s="33"/>
      <c r="J575" s="33"/>
      <c r="K575" s="33"/>
      <c r="L575" s="33"/>
      <c r="M575" s="33"/>
    </row>
    <row r="576" spans="5:13">
      <c r="E576" s="28"/>
      <c r="F576" s="28"/>
      <c r="G576" s="33"/>
      <c r="H576" s="33"/>
      <c r="I576" s="33"/>
      <c r="J576" s="33"/>
      <c r="K576" s="33"/>
      <c r="L576" s="33"/>
      <c r="M576" s="33"/>
    </row>
    <row r="577" spans="5:13">
      <c r="E577" s="28"/>
      <c r="F577" s="28"/>
      <c r="G577" s="33"/>
      <c r="H577" s="33"/>
      <c r="I577" s="33"/>
      <c r="J577" s="33"/>
      <c r="K577" s="33"/>
      <c r="L577" s="33"/>
      <c r="M577" s="33"/>
    </row>
    <row r="578" spans="5:13">
      <c r="E578" s="28"/>
      <c r="F578" s="28"/>
      <c r="G578" s="33"/>
      <c r="H578" s="33"/>
      <c r="I578" s="33"/>
      <c r="J578" s="33"/>
      <c r="K578" s="33"/>
      <c r="L578" s="33"/>
      <c r="M578" s="33"/>
    </row>
    <row r="579" spans="5:13">
      <c r="E579" s="28"/>
      <c r="F579" s="28"/>
      <c r="G579" s="33"/>
      <c r="H579" s="33"/>
      <c r="I579" s="33"/>
      <c r="J579" s="33"/>
      <c r="K579" s="33"/>
      <c r="L579" s="33"/>
      <c r="M579" s="33"/>
    </row>
    <row r="580" spans="5:13">
      <c r="E580" s="28"/>
      <c r="F580" s="28"/>
      <c r="G580" s="33"/>
      <c r="H580" s="33"/>
      <c r="I580" s="33"/>
      <c r="J580" s="33"/>
      <c r="K580" s="33"/>
      <c r="L580" s="33"/>
      <c r="M580" s="33"/>
    </row>
    <row r="581" spans="5:13">
      <c r="E581" s="28"/>
      <c r="F581" s="28"/>
      <c r="G581" s="33"/>
      <c r="H581" s="33"/>
      <c r="I581" s="33"/>
      <c r="J581" s="33"/>
      <c r="K581" s="33"/>
      <c r="L581" s="33"/>
      <c r="M581" s="33"/>
    </row>
    <row r="582" spans="5:13">
      <c r="E582" s="28"/>
      <c r="F582" s="28"/>
      <c r="G582" s="33"/>
      <c r="H582" s="33"/>
      <c r="I582" s="33"/>
      <c r="J582" s="33"/>
      <c r="K582" s="33"/>
      <c r="L582" s="33"/>
      <c r="M582" s="33"/>
    </row>
    <row r="583" spans="5:13">
      <c r="E583" s="28"/>
      <c r="F583" s="28"/>
      <c r="G583" s="33"/>
      <c r="H583" s="33"/>
      <c r="I583" s="33"/>
      <c r="J583" s="33"/>
      <c r="K583" s="33"/>
      <c r="L583" s="33"/>
      <c r="M583" s="33"/>
    </row>
    <row r="584" spans="5:13">
      <c r="E584" s="28"/>
      <c r="F584" s="28"/>
      <c r="G584" s="33"/>
      <c r="H584" s="33"/>
      <c r="I584" s="33"/>
      <c r="J584" s="33"/>
      <c r="K584" s="33"/>
      <c r="L584" s="33"/>
      <c r="M584" s="33"/>
    </row>
    <row r="585" spans="5:13">
      <c r="E585" s="28"/>
      <c r="F585" s="28"/>
      <c r="G585" s="33"/>
      <c r="H585" s="33"/>
      <c r="I585" s="33"/>
      <c r="J585" s="33"/>
      <c r="K585" s="33"/>
      <c r="L585" s="33"/>
      <c r="M585" s="33"/>
    </row>
    <row r="586" spans="5:13">
      <c r="E586" s="28"/>
      <c r="F586" s="28"/>
      <c r="G586" s="33"/>
      <c r="H586" s="33"/>
      <c r="I586" s="33"/>
      <c r="J586" s="33"/>
      <c r="K586" s="33"/>
      <c r="L586" s="33"/>
      <c r="M586" s="33"/>
    </row>
    <row r="587" spans="5:13">
      <c r="E587" s="28"/>
      <c r="F587" s="28"/>
      <c r="G587" s="33"/>
      <c r="H587" s="33"/>
      <c r="I587" s="33"/>
      <c r="J587" s="33"/>
      <c r="K587" s="33"/>
      <c r="L587" s="33"/>
      <c r="M587" s="33"/>
    </row>
    <row r="588" spans="5:13">
      <c r="E588" s="28"/>
      <c r="F588" s="28"/>
      <c r="G588" s="33"/>
      <c r="H588" s="33"/>
      <c r="I588" s="33"/>
      <c r="J588" s="33"/>
      <c r="K588" s="33"/>
      <c r="L588" s="33"/>
      <c r="M588" s="33"/>
    </row>
    <row r="589" spans="5:13">
      <c r="E589" s="28"/>
      <c r="F589" s="28"/>
      <c r="G589" s="33"/>
      <c r="H589" s="33"/>
      <c r="I589" s="33"/>
      <c r="J589" s="33"/>
      <c r="K589" s="33"/>
      <c r="L589" s="33"/>
      <c r="M589" s="33"/>
    </row>
    <row r="590" spans="5:13">
      <c r="E590" s="28"/>
      <c r="F590" s="28"/>
      <c r="G590" s="33"/>
      <c r="H590" s="33"/>
      <c r="I590" s="33"/>
      <c r="J590" s="33"/>
      <c r="K590" s="33"/>
      <c r="L590" s="33"/>
      <c r="M590" s="33"/>
    </row>
    <row r="591" spans="5:13">
      <c r="E591" s="28"/>
      <c r="F591" s="28"/>
      <c r="G591" s="33"/>
      <c r="H591" s="33"/>
      <c r="I591" s="33"/>
      <c r="J591" s="33"/>
      <c r="K591" s="33"/>
      <c r="L591" s="33"/>
      <c r="M591" s="33"/>
    </row>
    <row r="592" spans="5:13">
      <c r="E592" s="28"/>
      <c r="F592" s="28"/>
      <c r="G592" s="33"/>
      <c r="H592" s="33"/>
      <c r="I592" s="33"/>
      <c r="J592" s="33"/>
      <c r="K592" s="33"/>
      <c r="L592" s="33"/>
      <c r="M592" s="33"/>
    </row>
    <row r="593" spans="5:13">
      <c r="E593" s="28"/>
      <c r="F593" s="28"/>
      <c r="G593" s="33"/>
      <c r="H593" s="33"/>
      <c r="I593" s="33"/>
      <c r="J593" s="33"/>
      <c r="K593" s="33"/>
      <c r="L593" s="33"/>
      <c r="M593" s="33"/>
    </row>
    <row r="594" spans="5:13">
      <c r="E594" s="28"/>
      <c r="F594" s="28"/>
      <c r="G594" s="33"/>
      <c r="H594" s="33"/>
      <c r="I594" s="33"/>
      <c r="J594" s="33"/>
      <c r="K594" s="33"/>
      <c r="L594" s="33"/>
      <c r="M594" s="33"/>
    </row>
    <row r="595" spans="5:13">
      <c r="E595" s="28"/>
      <c r="F595" s="28"/>
      <c r="G595" s="33"/>
      <c r="H595" s="33"/>
      <c r="I595" s="33"/>
      <c r="J595" s="33"/>
      <c r="K595" s="33"/>
      <c r="L595" s="33"/>
      <c r="M595" s="33"/>
    </row>
    <row r="596" spans="5:13">
      <c r="E596" s="28"/>
      <c r="F596" s="28"/>
      <c r="G596" s="33"/>
      <c r="H596" s="33"/>
      <c r="I596" s="33"/>
      <c r="J596" s="33"/>
      <c r="K596" s="33"/>
      <c r="L596" s="33"/>
      <c r="M596" s="33"/>
    </row>
    <row r="597" spans="5:13">
      <c r="E597" s="28"/>
      <c r="F597" s="28"/>
      <c r="G597" s="33"/>
      <c r="H597" s="33"/>
      <c r="I597" s="33"/>
      <c r="J597" s="33"/>
      <c r="K597" s="33"/>
      <c r="L597" s="33"/>
      <c r="M597" s="33"/>
    </row>
    <row r="598" spans="5:13">
      <c r="E598" s="28"/>
      <c r="F598" s="28"/>
      <c r="G598" s="33"/>
      <c r="H598" s="33"/>
      <c r="I598" s="33"/>
      <c r="J598" s="33"/>
      <c r="K598" s="33"/>
      <c r="L598" s="33"/>
      <c r="M598" s="33"/>
    </row>
    <row r="599" spans="5:13">
      <c r="E599" s="28"/>
      <c r="F599" s="28"/>
      <c r="G599" s="33"/>
      <c r="H599" s="33"/>
      <c r="I599" s="33"/>
      <c r="J599" s="33"/>
      <c r="K599" s="33"/>
      <c r="L599" s="33"/>
      <c r="M599" s="33"/>
    </row>
    <row r="600" spans="5:13">
      <c r="E600" s="28"/>
      <c r="F600" s="28"/>
      <c r="G600" s="33"/>
      <c r="H600" s="33"/>
      <c r="I600" s="33"/>
      <c r="J600" s="33"/>
      <c r="K600" s="33"/>
      <c r="L600" s="33"/>
      <c r="M600" s="33"/>
    </row>
    <row r="601" spans="5:13">
      <c r="E601" s="28"/>
      <c r="F601" s="28"/>
      <c r="G601" s="33"/>
      <c r="H601" s="33"/>
      <c r="I601" s="33"/>
      <c r="J601" s="33"/>
      <c r="K601" s="33"/>
      <c r="L601" s="33"/>
      <c r="M601" s="33"/>
    </row>
    <row r="602" spans="5:13">
      <c r="E602" s="28"/>
      <c r="F602" s="28"/>
      <c r="G602" s="33"/>
      <c r="H602" s="33"/>
      <c r="I602" s="33"/>
      <c r="J602" s="33"/>
      <c r="K602" s="33"/>
      <c r="L602" s="33"/>
      <c r="M602" s="33"/>
    </row>
    <row r="603" spans="5:13">
      <c r="E603" s="28"/>
      <c r="F603" s="28"/>
      <c r="G603" s="33"/>
      <c r="H603" s="33"/>
      <c r="I603" s="33"/>
      <c r="J603" s="33"/>
      <c r="K603" s="33"/>
      <c r="L603" s="33"/>
      <c r="M603" s="33"/>
    </row>
    <row r="604" spans="5:13">
      <c r="E604" s="28"/>
      <c r="F604" s="28"/>
      <c r="G604" s="33"/>
      <c r="H604" s="33"/>
      <c r="I604" s="33"/>
      <c r="J604" s="33"/>
      <c r="K604" s="33"/>
      <c r="L604" s="33"/>
      <c r="M604" s="33"/>
    </row>
    <row r="605" spans="5:13">
      <c r="E605" s="28"/>
      <c r="F605" s="28"/>
      <c r="G605" s="33"/>
      <c r="H605" s="33"/>
      <c r="I605" s="33"/>
      <c r="J605" s="33"/>
      <c r="K605" s="33"/>
      <c r="L605" s="33"/>
      <c r="M605" s="33"/>
    </row>
    <row r="606" spans="5:13">
      <c r="E606" s="28"/>
      <c r="F606" s="28"/>
      <c r="G606" s="33"/>
      <c r="H606" s="33"/>
      <c r="I606" s="33"/>
      <c r="J606" s="33"/>
      <c r="K606" s="33"/>
      <c r="L606" s="33"/>
      <c r="M606" s="33"/>
    </row>
    <row r="607" spans="5:13">
      <c r="E607" s="28"/>
      <c r="F607" s="28"/>
      <c r="G607" s="33"/>
      <c r="H607" s="33"/>
      <c r="I607" s="33"/>
      <c r="J607" s="33"/>
      <c r="K607" s="33"/>
      <c r="L607" s="33"/>
      <c r="M607" s="33"/>
    </row>
    <row r="608" spans="5:13">
      <c r="E608" s="28"/>
      <c r="F608" s="28"/>
      <c r="G608" s="33"/>
      <c r="H608" s="33"/>
      <c r="I608" s="33"/>
      <c r="J608" s="33"/>
      <c r="K608" s="33"/>
      <c r="L608" s="33"/>
      <c r="M608" s="33"/>
    </row>
    <row r="609" spans="5:13">
      <c r="E609" s="28"/>
      <c r="F609" s="28"/>
      <c r="G609" s="33"/>
      <c r="H609" s="33"/>
      <c r="I609" s="33"/>
      <c r="J609" s="33"/>
      <c r="K609" s="33"/>
      <c r="L609" s="33"/>
      <c r="M609" s="33"/>
    </row>
    <row r="610" spans="5:13">
      <c r="E610" s="28"/>
      <c r="F610" s="28"/>
      <c r="G610" s="33"/>
      <c r="H610" s="33"/>
      <c r="I610" s="33"/>
      <c r="J610" s="33"/>
      <c r="K610" s="33"/>
      <c r="L610" s="33"/>
      <c r="M610" s="33"/>
    </row>
    <row r="611" spans="5:13">
      <c r="E611" s="28"/>
      <c r="F611" s="28"/>
      <c r="G611" s="33"/>
      <c r="H611" s="33"/>
      <c r="I611" s="33"/>
      <c r="J611" s="33"/>
      <c r="K611" s="33"/>
      <c r="L611" s="33"/>
      <c r="M611" s="33"/>
    </row>
    <row r="612" spans="5:13">
      <c r="E612" s="28"/>
      <c r="F612" s="28"/>
      <c r="G612" s="33"/>
      <c r="H612" s="33"/>
      <c r="I612" s="33"/>
      <c r="J612" s="33"/>
      <c r="K612" s="33"/>
      <c r="L612" s="33"/>
      <c r="M612" s="33"/>
    </row>
    <row r="613" spans="5:13">
      <c r="E613" s="28"/>
      <c r="F613" s="28"/>
      <c r="G613" s="33"/>
      <c r="H613" s="33"/>
      <c r="I613" s="33"/>
      <c r="J613" s="33"/>
      <c r="K613" s="33"/>
      <c r="L613" s="33"/>
      <c r="M613" s="33"/>
    </row>
    <row r="614" spans="5:13">
      <c r="E614" s="28"/>
      <c r="F614" s="28"/>
      <c r="G614" s="33"/>
      <c r="H614" s="33"/>
      <c r="I614" s="33"/>
      <c r="J614" s="33"/>
      <c r="K614" s="33"/>
      <c r="L614" s="33"/>
      <c r="M614" s="33"/>
    </row>
    <row r="615" spans="5:13">
      <c r="E615" s="28"/>
      <c r="F615" s="28"/>
      <c r="G615" s="33"/>
      <c r="H615" s="33"/>
      <c r="I615" s="33"/>
      <c r="J615" s="33"/>
      <c r="K615" s="33"/>
      <c r="L615" s="33"/>
      <c r="M615" s="33"/>
    </row>
    <row r="616" spans="5:13">
      <c r="E616" s="28"/>
      <c r="F616" s="28"/>
      <c r="G616" s="33"/>
      <c r="H616" s="33"/>
      <c r="I616" s="33"/>
      <c r="J616" s="33"/>
      <c r="K616" s="33"/>
      <c r="L616" s="33"/>
      <c r="M616" s="33"/>
    </row>
    <row r="617" spans="5:13">
      <c r="E617" s="28"/>
      <c r="F617" s="28"/>
      <c r="G617" s="33"/>
      <c r="H617" s="33"/>
      <c r="I617" s="33"/>
      <c r="J617" s="33"/>
      <c r="K617" s="33"/>
      <c r="L617" s="33"/>
      <c r="M617" s="33"/>
    </row>
    <row r="618" spans="5:13">
      <c r="E618" s="28"/>
      <c r="F618" s="28"/>
      <c r="G618" s="33"/>
      <c r="H618" s="33"/>
      <c r="I618" s="33"/>
      <c r="J618" s="33"/>
      <c r="K618" s="33"/>
      <c r="L618" s="33"/>
      <c r="M618" s="33"/>
    </row>
    <row r="619" spans="5:13">
      <c r="E619" s="28"/>
      <c r="F619" s="28"/>
      <c r="G619" s="33"/>
      <c r="H619" s="33"/>
      <c r="I619" s="33"/>
      <c r="J619" s="33"/>
      <c r="K619" s="33"/>
      <c r="L619" s="33"/>
      <c r="M619" s="33"/>
    </row>
    <row r="620" spans="5:13">
      <c r="E620" s="28"/>
      <c r="F620" s="28"/>
      <c r="G620" s="33"/>
      <c r="H620" s="33"/>
      <c r="I620" s="33"/>
      <c r="J620" s="33"/>
      <c r="K620" s="33"/>
      <c r="L620" s="33"/>
      <c r="M620" s="33"/>
    </row>
    <row r="621" spans="5:13">
      <c r="E621" s="28"/>
      <c r="F621" s="28"/>
      <c r="G621" s="33"/>
      <c r="H621" s="33"/>
      <c r="I621" s="33"/>
      <c r="J621" s="33"/>
      <c r="K621" s="33"/>
      <c r="L621" s="33"/>
      <c r="M621" s="33"/>
    </row>
    <row r="622" spans="5:13">
      <c r="E622" s="28"/>
      <c r="F622" s="28"/>
      <c r="G622" s="33"/>
      <c r="H622" s="33"/>
      <c r="I622" s="33"/>
      <c r="J622" s="33"/>
      <c r="K622" s="33"/>
      <c r="L622" s="33"/>
      <c r="M622" s="33"/>
    </row>
    <row r="623" spans="5:13">
      <c r="E623" s="28"/>
      <c r="F623" s="28"/>
      <c r="G623" s="33"/>
      <c r="H623" s="33"/>
      <c r="I623" s="33"/>
      <c r="J623" s="33"/>
      <c r="K623" s="33"/>
      <c r="L623" s="33"/>
      <c r="M623" s="33"/>
    </row>
    <row r="624" spans="5:13">
      <c r="E624" s="28"/>
      <c r="F624" s="28"/>
      <c r="G624" s="33"/>
      <c r="H624" s="33"/>
      <c r="I624" s="33"/>
      <c r="J624" s="33"/>
      <c r="K624" s="33"/>
      <c r="L624" s="33"/>
      <c r="M624" s="33"/>
    </row>
    <row r="625" spans="5:13">
      <c r="E625" s="28"/>
      <c r="F625" s="28"/>
      <c r="G625" s="33"/>
      <c r="H625" s="33"/>
      <c r="I625" s="33"/>
      <c r="J625" s="33"/>
      <c r="K625" s="33"/>
      <c r="L625" s="33"/>
      <c r="M625" s="33"/>
    </row>
    <row r="626" spans="5:13">
      <c r="E626" s="28"/>
      <c r="F626" s="28"/>
      <c r="G626" s="33"/>
      <c r="H626" s="33"/>
      <c r="I626" s="33"/>
      <c r="J626" s="33"/>
      <c r="K626" s="33"/>
      <c r="L626" s="33"/>
      <c r="M626" s="33"/>
    </row>
    <row r="627" spans="5:13">
      <c r="E627" s="28"/>
      <c r="F627" s="28"/>
      <c r="G627" s="33"/>
      <c r="H627" s="33"/>
      <c r="I627" s="33"/>
      <c r="J627" s="33"/>
      <c r="K627" s="33"/>
      <c r="L627" s="33"/>
      <c r="M627" s="33"/>
    </row>
    <row r="628" spans="5:13">
      <c r="E628" s="28"/>
      <c r="F628" s="28"/>
      <c r="G628" s="33"/>
      <c r="H628" s="33"/>
      <c r="I628" s="33"/>
      <c r="J628" s="33"/>
      <c r="K628" s="33"/>
      <c r="L628" s="33"/>
      <c r="M628" s="33"/>
    </row>
    <row r="629" spans="5:13">
      <c r="E629" s="28"/>
      <c r="F629" s="28"/>
      <c r="G629" s="33"/>
      <c r="H629" s="33"/>
      <c r="I629" s="33"/>
      <c r="J629" s="33"/>
      <c r="K629" s="33"/>
      <c r="L629" s="33"/>
      <c r="M629" s="33"/>
    </row>
    <row r="630" spans="5:13">
      <c r="E630" s="28"/>
      <c r="F630" s="28"/>
      <c r="G630" s="33"/>
      <c r="H630" s="33"/>
      <c r="I630" s="33"/>
      <c r="J630" s="33"/>
      <c r="K630" s="33"/>
      <c r="L630" s="33"/>
      <c r="M630" s="33"/>
    </row>
    <row r="631" spans="5:13">
      <c r="E631" s="28"/>
      <c r="F631" s="28"/>
      <c r="G631" s="33"/>
      <c r="H631" s="33"/>
      <c r="I631" s="33"/>
      <c r="J631" s="33"/>
      <c r="K631" s="33"/>
      <c r="L631" s="33"/>
      <c r="M631" s="33"/>
    </row>
    <row r="632" spans="5:13">
      <c r="E632" s="28"/>
      <c r="F632" s="28"/>
      <c r="G632" s="33"/>
      <c r="H632" s="33"/>
      <c r="I632" s="33"/>
      <c r="J632" s="33"/>
      <c r="K632" s="33"/>
      <c r="L632" s="33"/>
      <c r="M632" s="33"/>
    </row>
    <row r="633" spans="5:13">
      <c r="E633" s="28"/>
      <c r="F633" s="28"/>
      <c r="G633" s="33"/>
      <c r="H633" s="33"/>
      <c r="I633" s="33"/>
      <c r="J633" s="33"/>
      <c r="K633" s="33"/>
      <c r="L633" s="33"/>
      <c r="M633" s="33"/>
    </row>
    <row r="634" spans="5:13">
      <c r="E634" s="28"/>
      <c r="F634" s="28"/>
      <c r="G634" s="33"/>
      <c r="H634" s="33"/>
      <c r="I634" s="33"/>
      <c r="J634" s="33"/>
      <c r="K634" s="33"/>
      <c r="L634" s="33"/>
      <c r="M634" s="33"/>
    </row>
    <row r="635" spans="5:13">
      <c r="E635" s="28"/>
      <c r="F635" s="28"/>
      <c r="G635" s="33"/>
      <c r="H635" s="33"/>
      <c r="I635" s="33"/>
      <c r="J635" s="33"/>
      <c r="K635" s="33"/>
      <c r="L635" s="33"/>
      <c r="M635" s="33"/>
    </row>
    <row r="636" spans="5:13">
      <c r="E636" s="28"/>
      <c r="F636" s="28"/>
      <c r="G636" s="33"/>
      <c r="H636" s="33"/>
      <c r="I636" s="33"/>
      <c r="J636" s="33"/>
      <c r="K636" s="33"/>
      <c r="L636" s="33"/>
      <c r="M636" s="33"/>
    </row>
    <row r="637" spans="5:13">
      <c r="E637" s="28"/>
      <c r="F637" s="28"/>
      <c r="G637" s="33"/>
      <c r="H637" s="33"/>
      <c r="I637" s="33"/>
      <c r="J637" s="33"/>
      <c r="K637" s="33"/>
      <c r="L637" s="33"/>
      <c r="M637" s="33"/>
    </row>
    <row r="638" spans="5:13">
      <c r="E638" s="28"/>
      <c r="F638" s="28"/>
      <c r="G638" s="33"/>
      <c r="H638" s="33"/>
      <c r="I638" s="33"/>
      <c r="J638" s="33"/>
      <c r="K638" s="33"/>
      <c r="L638" s="33"/>
      <c r="M638" s="33"/>
    </row>
    <row r="639" spans="5:13">
      <c r="E639" s="28"/>
      <c r="F639" s="28"/>
      <c r="G639" s="33"/>
      <c r="H639" s="33"/>
      <c r="I639" s="33"/>
      <c r="J639" s="33"/>
      <c r="K639" s="33"/>
      <c r="L639" s="33"/>
      <c r="M639" s="33"/>
    </row>
    <row r="640" spans="5:13">
      <c r="E640" s="28"/>
      <c r="F640" s="28"/>
      <c r="G640" s="33"/>
      <c r="H640" s="33"/>
      <c r="I640" s="33"/>
      <c r="J640" s="33"/>
      <c r="K640" s="33"/>
      <c r="L640" s="33"/>
      <c r="M640" s="33"/>
    </row>
    <row r="641" spans="5:13">
      <c r="E641" s="28"/>
      <c r="F641" s="28"/>
      <c r="G641" s="33"/>
      <c r="H641" s="33"/>
      <c r="I641" s="33"/>
      <c r="J641" s="33"/>
      <c r="K641" s="33"/>
      <c r="L641" s="33"/>
      <c r="M641" s="33"/>
    </row>
    <row r="642" spans="5:13">
      <c r="E642" s="28"/>
      <c r="F642" s="28"/>
      <c r="G642" s="33"/>
      <c r="H642" s="33"/>
      <c r="I642" s="33"/>
      <c r="J642" s="33"/>
      <c r="K642" s="33"/>
      <c r="L642" s="33"/>
      <c r="M642" s="33"/>
    </row>
    <row r="643" spans="5:13">
      <c r="E643" s="28"/>
      <c r="F643" s="28"/>
      <c r="G643" s="33"/>
      <c r="H643" s="33"/>
      <c r="I643" s="33"/>
      <c r="J643" s="33"/>
      <c r="K643" s="33"/>
      <c r="L643" s="33"/>
      <c r="M643" s="33"/>
    </row>
    <row r="644" spans="5:13">
      <c r="E644" s="28"/>
      <c r="F644" s="28"/>
      <c r="G644" s="33"/>
      <c r="H644" s="33"/>
      <c r="I644" s="33"/>
      <c r="J644" s="33"/>
      <c r="K644" s="33"/>
      <c r="L644" s="33"/>
      <c r="M644" s="33"/>
    </row>
    <row r="645" spans="5:13">
      <c r="E645" s="28"/>
      <c r="F645" s="28"/>
      <c r="G645" s="33"/>
      <c r="H645" s="33"/>
      <c r="I645" s="33"/>
      <c r="J645" s="33"/>
      <c r="K645" s="33"/>
      <c r="L645" s="33"/>
      <c r="M645" s="33"/>
    </row>
    <row r="646" spans="5:13">
      <c r="E646" s="28"/>
      <c r="F646" s="28"/>
      <c r="G646" s="33"/>
      <c r="H646" s="33"/>
      <c r="I646" s="33"/>
      <c r="J646" s="33"/>
      <c r="K646" s="33"/>
      <c r="L646" s="33"/>
      <c r="M646" s="33"/>
    </row>
    <row r="647" spans="5:13">
      <c r="E647" s="28"/>
      <c r="F647" s="28"/>
      <c r="G647" s="33"/>
      <c r="H647" s="33"/>
      <c r="I647" s="33"/>
      <c r="J647" s="33"/>
      <c r="K647" s="33"/>
      <c r="L647" s="33"/>
      <c r="M647" s="33"/>
    </row>
    <row r="648" spans="5:13">
      <c r="E648" s="28"/>
      <c r="F648" s="28"/>
      <c r="G648" s="33"/>
      <c r="H648" s="33"/>
      <c r="I648" s="33"/>
      <c r="J648" s="33"/>
      <c r="K648" s="33"/>
      <c r="L648" s="33"/>
      <c r="M648" s="33"/>
    </row>
    <row r="649" spans="5:13">
      <c r="E649" s="28"/>
      <c r="F649" s="28"/>
      <c r="G649" s="33"/>
      <c r="H649" s="33"/>
      <c r="I649" s="33"/>
      <c r="J649" s="33"/>
      <c r="K649" s="33"/>
      <c r="L649" s="33"/>
      <c r="M649" s="33"/>
    </row>
    <row r="650" spans="5:13">
      <c r="E650" s="28"/>
      <c r="F650" s="28"/>
      <c r="G650" s="33"/>
      <c r="H650" s="33"/>
      <c r="I650" s="33"/>
      <c r="J650" s="33"/>
      <c r="K650" s="33"/>
      <c r="L650" s="33"/>
      <c r="M650" s="33"/>
    </row>
    <row r="651" spans="5:13">
      <c r="E651" s="28"/>
      <c r="F651" s="28"/>
      <c r="G651" s="33"/>
      <c r="H651" s="33"/>
      <c r="I651" s="33"/>
      <c r="J651" s="33"/>
      <c r="K651" s="33"/>
      <c r="L651" s="33"/>
      <c r="M651" s="33"/>
    </row>
    <row r="652" spans="5:13">
      <c r="E652" s="28"/>
      <c r="F652" s="28"/>
      <c r="G652" s="33"/>
      <c r="H652" s="33"/>
      <c r="I652" s="33"/>
      <c r="J652" s="33"/>
      <c r="K652" s="33"/>
      <c r="L652" s="33"/>
      <c r="M652" s="33"/>
    </row>
    <row r="653" spans="5:13">
      <c r="E653" s="28"/>
      <c r="F653" s="28"/>
      <c r="G653" s="33"/>
      <c r="H653" s="33"/>
      <c r="I653" s="33"/>
      <c r="J653" s="33"/>
      <c r="K653" s="33"/>
      <c r="L653" s="33"/>
      <c r="M653" s="33"/>
    </row>
    <row r="654" spans="5:13">
      <c r="E654" s="28"/>
      <c r="F654" s="28"/>
      <c r="G654" s="33"/>
      <c r="H654" s="33"/>
      <c r="I654" s="33"/>
      <c r="J654" s="33"/>
      <c r="K654" s="33"/>
      <c r="L654" s="33"/>
      <c r="M654" s="33"/>
    </row>
    <row r="655" spans="5:13">
      <c r="E655" s="28"/>
      <c r="F655" s="28"/>
      <c r="G655" s="33"/>
      <c r="H655" s="33"/>
      <c r="I655" s="33"/>
      <c r="J655" s="33"/>
      <c r="K655" s="33"/>
      <c r="L655" s="33"/>
      <c r="M655" s="33"/>
    </row>
    <row r="656" spans="5:13">
      <c r="E656" s="28"/>
      <c r="F656" s="28"/>
      <c r="G656" s="33"/>
      <c r="H656" s="33"/>
      <c r="I656" s="33"/>
      <c r="J656" s="33"/>
      <c r="K656" s="33"/>
      <c r="L656" s="33"/>
      <c r="M656" s="33"/>
    </row>
    <row r="657" spans="5:13">
      <c r="E657" s="28"/>
      <c r="F657" s="28"/>
      <c r="G657" s="33"/>
      <c r="H657" s="33"/>
      <c r="I657" s="33"/>
      <c r="J657" s="33"/>
      <c r="K657" s="33"/>
      <c r="L657" s="33"/>
      <c r="M657" s="33"/>
    </row>
    <row r="658" spans="5:13">
      <c r="E658" s="28"/>
      <c r="F658" s="28"/>
      <c r="G658" s="33"/>
      <c r="H658" s="33"/>
      <c r="I658" s="33"/>
      <c r="J658" s="33"/>
      <c r="K658" s="33"/>
      <c r="L658" s="33"/>
      <c r="M658" s="33"/>
    </row>
    <row r="659" spans="5:13">
      <c r="E659" s="28"/>
      <c r="F659" s="28"/>
      <c r="G659" s="33"/>
      <c r="H659" s="33"/>
      <c r="I659" s="33"/>
      <c r="J659" s="33"/>
      <c r="K659" s="33"/>
      <c r="L659" s="33"/>
      <c r="M659" s="33"/>
    </row>
    <row r="660" spans="5:13">
      <c r="E660" s="28"/>
      <c r="F660" s="28"/>
      <c r="G660" s="33"/>
      <c r="H660" s="33"/>
      <c r="I660" s="33"/>
      <c r="J660" s="33"/>
      <c r="K660" s="33"/>
      <c r="L660" s="33"/>
      <c r="M660" s="33"/>
    </row>
    <row r="661" spans="5:13">
      <c r="E661" s="28"/>
      <c r="F661" s="28"/>
      <c r="G661" s="33"/>
      <c r="H661" s="33"/>
      <c r="I661" s="33"/>
      <c r="J661" s="33"/>
      <c r="K661" s="33"/>
      <c r="L661" s="33"/>
      <c r="M661" s="33"/>
    </row>
    <row r="662" spans="5:13">
      <c r="E662" s="28"/>
      <c r="F662" s="28"/>
      <c r="G662" s="33"/>
      <c r="H662" s="33"/>
      <c r="I662" s="33"/>
      <c r="J662" s="33"/>
      <c r="K662" s="33"/>
      <c r="L662" s="33"/>
      <c r="M662" s="33"/>
    </row>
    <row r="663" spans="5:13">
      <c r="E663" s="28"/>
      <c r="F663" s="28"/>
      <c r="G663" s="33"/>
      <c r="H663" s="33"/>
      <c r="I663" s="33"/>
      <c r="J663" s="33"/>
      <c r="K663" s="33"/>
      <c r="L663" s="33"/>
      <c r="M663" s="33"/>
    </row>
    <row r="664" spans="5:13">
      <c r="E664" s="28"/>
      <c r="F664" s="28"/>
      <c r="G664" s="33"/>
      <c r="H664" s="33"/>
      <c r="I664" s="33"/>
      <c r="J664" s="33"/>
      <c r="K664" s="33"/>
      <c r="L664" s="33"/>
      <c r="M664" s="33"/>
    </row>
    <row r="665" spans="5:13">
      <c r="E665" s="28"/>
      <c r="F665" s="28"/>
      <c r="G665" s="33"/>
      <c r="H665" s="33"/>
      <c r="I665" s="33"/>
      <c r="J665" s="33"/>
      <c r="K665" s="33"/>
      <c r="L665" s="33"/>
      <c r="M665" s="33"/>
    </row>
    <row r="666" spans="5:13">
      <c r="E666" s="28"/>
      <c r="F666" s="28"/>
      <c r="G666" s="33"/>
      <c r="H666" s="33"/>
      <c r="I666" s="33"/>
      <c r="J666" s="33"/>
      <c r="K666" s="33"/>
      <c r="L666" s="33"/>
      <c r="M666" s="33"/>
    </row>
    <row r="667" spans="5:13">
      <c r="E667" s="28"/>
      <c r="F667" s="28"/>
      <c r="G667" s="33"/>
      <c r="H667" s="33"/>
      <c r="I667" s="33"/>
      <c r="J667" s="33"/>
      <c r="K667" s="33"/>
      <c r="L667" s="33"/>
      <c r="M667" s="33"/>
    </row>
    <row r="668" spans="5:13">
      <c r="E668" s="28"/>
      <c r="F668" s="28"/>
      <c r="G668" s="33"/>
      <c r="H668" s="33"/>
      <c r="I668" s="33"/>
      <c r="J668" s="33"/>
      <c r="K668" s="33"/>
      <c r="L668" s="33"/>
      <c r="M668" s="33"/>
    </row>
    <row r="669" spans="5:13">
      <c r="E669" s="28"/>
      <c r="F669" s="28"/>
      <c r="G669" s="33"/>
      <c r="H669" s="33"/>
      <c r="I669" s="33"/>
      <c r="J669" s="33"/>
      <c r="K669" s="33"/>
      <c r="L669" s="33"/>
      <c r="M669" s="33"/>
    </row>
    <row r="670" spans="5:13">
      <c r="E670" s="28"/>
      <c r="F670" s="28"/>
      <c r="G670" s="33"/>
      <c r="H670" s="33"/>
      <c r="I670" s="33"/>
      <c r="J670" s="33"/>
      <c r="K670" s="33"/>
      <c r="L670" s="33"/>
      <c r="M670" s="33"/>
    </row>
    <row r="671" spans="5:13">
      <c r="E671" s="28"/>
      <c r="F671" s="28"/>
      <c r="G671" s="33"/>
      <c r="H671" s="33"/>
      <c r="I671" s="33"/>
      <c r="J671" s="33"/>
      <c r="K671" s="33"/>
      <c r="L671" s="33"/>
      <c r="M671" s="33"/>
    </row>
    <row r="672" spans="5:13">
      <c r="E672" s="28"/>
      <c r="F672" s="28"/>
      <c r="G672" s="33"/>
      <c r="H672" s="33"/>
      <c r="I672" s="33"/>
      <c r="J672" s="33"/>
      <c r="K672" s="33"/>
      <c r="L672" s="33"/>
      <c r="M672" s="33"/>
    </row>
    <row r="673" spans="5:13">
      <c r="E673" s="28"/>
      <c r="F673" s="28"/>
      <c r="G673" s="33"/>
      <c r="H673" s="33"/>
      <c r="I673" s="33"/>
      <c r="J673" s="33"/>
      <c r="K673" s="33"/>
      <c r="L673" s="33"/>
      <c r="M673" s="33"/>
    </row>
    <row r="674" spans="5:13">
      <c r="E674" s="28"/>
      <c r="F674" s="28"/>
      <c r="G674" s="33"/>
      <c r="H674" s="33"/>
      <c r="I674" s="33"/>
      <c r="J674" s="33"/>
      <c r="K674" s="33"/>
      <c r="L674" s="33"/>
      <c r="M674" s="33"/>
    </row>
    <row r="675" spans="5:13">
      <c r="E675" s="28"/>
      <c r="F675" s="28"/>
      <c r="G675" s="33"/>
      <c r="H675" s="33"/>
      <c r="I675" s="33"/>
      <c r="J675" s="33"/>
      <c r="K675" s="33"/>
      <c r="L675" s="33"/>
      <c r="M675" s="33"/>
    </row>
    <row r="676" spans="5:13">
      <c r="E676" s="28"/>
      <c r="F676" s="28"/>
      <c r="G676" s="33"/>
      <c r="H676" s="33"/>
      <c r="I676" s="33"/>
      <c r="J676" s="33"/>
      <c r="K676" s="33"/>
      <c r="L676" s="33"/>
      <c r="M676" s="33"/>
    </row>
    <row r="677" spans="5:13">
      <c r="E677" s="28"/>
      <c r="F677" s="28"/>
      <c r="G677" s="33"/>
      <c r="H677" s="33"/>
      <c r="I677" s="33"/>
      <c r="J677" s="33"/>
      <c r="K677" s="33"/>
      <c r="L677" s="33"/>
      <c r="M677" s="33"/>
    </row>
    <row r="678" spans="5:13">
      <c r="E678" s="28"/>
      <c r="F678" s="28"/>
      <c r="G678" s="33"/>
      <c r="H678" s="33"/>
      <c r="I678" s="33"/>
      <c r="J678" s="33"/>
      <c r="K678" s="33"/>
      <c r="L678" s="33"/>
      <c r="M678" s="33"/>
    </row>
    <row r="679" spans="5:13">
      <c r="E679" s="28"/>
      <c r="F679" s="28"/>
      <c r="G679" s="33"/>
      <c r="H679" s="33"/>
      <c r="I679" s="33"/>
      <c r="J679" s="33"/>
      <c r="K679" s="33"/>
      <c r="L679" s="33"/>
      <c r="M679" s="33"/>
    </row>
    <row r="680" spans="5:13">
      <c r="E680" s="28"/>
      <c r="F680" s="28"/>
      <c r="G680" s="33"/>
      <c r="H680" s="33"/>
      <c r="I680" s="33"/>
      <c r="J680" s="33"/>
      <c r="K680" s="33"/>
      <c r="L680" s="33"/>
      <c r="M680" s="33"/>
    </row>
    <row r="681" spans="5:13">
      <c r="E681" s="28"/>
      <c r="F681" s="28"/>
      <c r="G681" s="33"/>
      <c r="H681" s="33"/>
      <c r="I681" s="33"/>
      <c r="J681" s="33"/>
      <c r="K681" s="33"/>
      <c r="L681" s="33"/>
      <c r="M681" s="33"/>
    </row>
    <row r="682" spans="5:13">
      <c r="E682" s="28"/>
      <c r="F682" s="28"/>
      <c r="G682" s="33"/>
      <c r="H682" s="33"/>
      <c r="I682" s="33"/>
      <c r="J682" s="33"/>
      <c r="K682" s="33"/>
      <c r="L682" s="33"/>
      <c r="M682" s="33"/>
    </row>
    <row r="683" spans="5:13">
      <c r="E683" s="28"/>
      <c r="F683" s="28"/>
      <c r="G683" s="33"/>
      <c r="H683" s="33"/>
      <c r="I683" s="33"/>
      <c r="J683" s="33"/>
      <c r="K683" s="33"/>
      <c r="L683" s="33"/>
      <c r="M683" s="33"/>
    </row>
    <row r="684" spans="5:13">
      <c r="E684" s="28"/>
      <c r="F684" s="28"/>
      <c r="G684" s="33"/>
      <c r="H684" s="33"/>
      <c r="I684" s="33"/>
      <c r="J684" s="33"/>
      <c r="K684" s="33"/>
      <c r="L684" s="33"/>
      <c r="M684" s="33"/>
    </row>
    <row r="685" spans="5:13">
      <c r="E685" s="28"/>
      <c r="F685" s="28"/>
      <c r="G685" s="33"/>
      <c r="H685" s="33"/>
      <c r="I685" s="33"/>
      <c r="J685" s="33"/>
      <c r="K685" s="33"/>
      <c r="L685" s="33"/>
      <c r="M685" s="33"/>
    </row>
    <row r="686" spans="5:13">
      <c r="E686" s="28"/>
      <c r="F686" s="28"/>
      <c r="G686" s="33"/>
      <c r="H686" s="33"/>
      <c r="I686" s="33"/>
      <c r="J686" s="33"/>
      <c r="K686" s="33"/>
      <c r="L686" s="33"/>
      <c r="M686" s="33"/>
    </row>
    <row r="687" spans="5:13">
      <c r="E687" s="28"/>
      <c r="F687" s="28"/>
      <c r="G687" s="33"/>
      <c r="H687" s="33"/>
      <c r="I687" s="33"/>
      <c r="J687" s="33"/>
      <c r="K687" s="33"/>
      <c r="L687" s="33"/>
      <c r="M687" s="33"/>
    </row>
    <row r="688" spans="5:13">
      <c r="E688" s="28"/>
      <c r="F688" s="28"/>
      <c r="G688" s="33"/>
      <c r="H688" s="33"/>
      <c r="I688" s="33"/>
      <c r="J688" s="33"/>
      <c r="K688" s="33"/>
      <c r="L688" s="33"/>
      <c r="M688" s="33"/>
    </row>
    <row r="689" spans="5:13">
      <c r="E689" s="28"/>
      <c r="F689" s="28"/>
      <c r="G689" s="33"/>
      <c r="H689" s="33"/>
      <c r="I689" s="33"/>
      <c r="J689" s="33"/>
      <c r="K689" s="33"/>
      <c r="L689" s="33"/>
      <c r="M689" s="33"/>
    </row>
    <row r="690" spans="5:13">
      <c r="E690" s="28"/>
      <c r="F690" s="28"/>
      <c r="G690" s="33"/>
      <c r="H690" s="33"/>
      <c r="I690" s="33"/>
      <c r="J690" s="33"/>
      <c r="K690" s="33"/>
      <c r="L690" s="33"/>
      <c r="M690" s="33"/>
    </row>
    <row r="691" spans="5:13">
      <c r="E691" s="28"/>
      <c r="F691" s="28"/>
      <c r="G691" s="33"/>
      <c r="H691" s="33"/>
      <c r="I691" s="33"/>
      <c r="J691" s="33"/>
      <c r="K691" s="33"/>
      <c r="L691" s="33"/>
      <c r="M691" s="33"/>
    </row>
    <row r="692" spans="5:13">
      <c r="E692" s="28"/>
      <c r="F692" s="28"/>
      <c r="G692" s="33"/>
      <c r="H692" s="33"/>
      <c r="I692" s="33"/>
      <c r="J692" s="33"/>
      <c r="K692" s="33"/>
      <c r="L692" s="33"/>
      <c r="M692" s="33"/>
    </row>
    <row r="693" spans="5:13">
      <c r="E693" s="28"/>
      <c r="F693" s="28"/>
      <c r="G693" s="33"/>
      <c r="H693" s="33"/>
      <c r="I693" s="33"/>
      <c r="J693" s="33"/>
      <c r="K693" s="33"/>
      <c r="L693" s="33"/>
      <c r="M693" s="33"/>
    </row>
    <row r="694" spans="5:13">
      <c r="E694" s="28"/>
      <c r="F694" s="28"/>
      <c r="G694" s="33"/>
      <c r="H694" s="33"/>
      <c r="I694" s="33"/>
      <c r="J694" s="33"/>
      <c r="K694" s="33"/>
      <c r="L694" s="33"/>
      <c r="M694" s="33"/>
    </row>
    <row r="695" spans="5:13">
      <c r="E695" s="28"/>
      <c r="F695" s="28"/>
      <c r="G695" s="33"/>
      <c r="H695" s="33"/>
      <c r="I695" s="33"/>
      <c r="J695" s="33"/>
      <c r="K695" s="33"/>
      <c r="L695" s="33"/>
      <c r="M695" s="33"/>
    </row>
    <row r="696" spans="5:13">
      <c r="E696" s="28"/>
      <c r="F696" s="28"/>
      <c r="G696" s="33"/>
      <c r="H696" s="33"/>
      <c r="I696" s="33"/>
      <c r="J696" s="33"/>
      <c r="K696" s="33"/>
      <c r="L696" s="33"/>
      <c r="M696" s="33"/>
    </row>
    <row r="697" spans="5:13">
      <c r="E697" s="28"/>
      <c r="F697" s="28"/>
      <c r="G697" s="33"/>
      <c r="H697" s="33"/>
      <c r="I697" s="33"/>
      <c r="J697" s="33"/>
      <c r="K697" s="33"/>
      <c r="L697" s="33"/>
      <c r="M697" s="33"/>
    </row>
    <row r="698" spans="5:13">
      <c r="E698" s="28"/>
      <c r="F698" s="28"/>
      <c r="G698" s="33"/>
      <c r="H698" s="33"/>
      <c r="I698" s="33"/>
      <c r="J698" s="33"/>
      <c r="K698" s="33"/>
      <c r="L698" s="33"/>
      <c r="M698" s="33"/>
    </row>
    <row r="699" spans="5:13">
      <c r="E699" s="28"/>
      <c r="F699" s="28"/>
      <c r="G699" s="33"/>
      <c r="H699" s="33"/>
      <c r="I699" s="33"/>
      <c r="J699" s="33"/>
      <c r="K699" s="33"/>
      <c r="L699" s="33"/>
      <c r="M699" s="33"/>
    </row>
    <row r="700" spans="5:13">
      <c r="E700" s="28"/>
      <c r="F700" s="28"/>
      <c r="G700" s="33"/>
      <c r="H700" s="33"/>
      <c r="I700" s="33"/>
      <c r="J700" s="33"/>
      <c r="K700" s="33"/>
      <c r="L700" s="33"/>
      <c r="M700" s="33"/>
    </row>
    <row r="701" spans="5:13">
      <c r="E701" s="28"/>
      <c r="F701" s="28"/>
      <c r="G701" s="33"/>
      <c r="H701" s="33"/>
      <c r="I701" s="33"/>
      <c r="J701" s="33"/>
      <c r="K701" s="33"/>
      <c r="L701" s="33"/>
      <c r="M701" s="33"/>
    </row>
    <row r="702" spans="5:13">
      <c r="E702" s="28"/>
      <c r="F702" s="28"/>
      <c r="G702" s="33"/>
      <c r="H702" s="33"/>
      <c r="I702" s="33"/>
      <c r="J702" s="33"/>
      <c r="K702" s="33"/>
      <c r="L702" s="33"/>
      <c r="M702" s="33"/>
    </row>
    <row r="703" spans="5:13">
      <c r="E703" s="28"/>
      <c r="F703" s="28"/>
      <c r="G703" s="33"/>
      <c r="H703" s="33"/>
      <c r="I703" s="33"/>
      <c r="J703" s="33"/>
      <c r="K703" s="33"/>
      <c r="L703" s="33"/>
      <c r="M703" s="33"/>
    </row>
    <row r="704" spans="5:13">
      <c r="E704" s="28"/>
      <c r="F704" s="28"/>
      <c r="G704" s="33"/>
      <c r="H704" s="33"/>
      <c r="I704" s="33"/>
      <c r="J704" s="33"/>
      <c r="K704" s="33"/>
      <c r="L704" s="33"/>
      <c r="M704" s="33"/>
    </row>
    <row r="705" spans="5:13">
      <c r="E705" s="28"/>
      <c r="F705" s="28"/>
      <c r="G705" s="33"/>
      <c r="H705" s="33"/>
      <c r="I705" s="33"/>
      <c r="J705" s="33"/>
      <c r="K705" s="33"/>
      <c r="L705" s="33"/>
      <c r="M705" s="33"/>
    </row>
    <row r="706" spans="5:13">
      <c r="E706" s="28"/>
      <c r="F706" s="28"/>
      <c r="G706" s="33"/>
      <c r="H706" s="33"/>
      <c r="I706" s="33"/>
      <c r="J706" s="33"/>
      <c r="K706" s="33"/>
      <c r="L706" s="33"/>
      <c r="M706" s="33"/>
    </row>
    <row r="707" spans="5:13">
      <c r="E707" s="28"/>
      <c r="F707" s="28"/>
      <c r="G707" s="33"/>
      <c r="H707" s="33"/>
      <c r="I707" s="33"/>
      <c r="J707" s="33"/>
      <c r="K707" s="33"/>
      <c r="L707" s="33"/>
      <c r="M707" s="33"/>
    </row>
    <row r="708" spans="5:13">
      <c r="E708" s="28"/>
      <c r="F708" s="28"/>
      <c r="G708" s="33"/>
      <c r="H708" s="33"/>
      <c r="I708" s="33"/>
      <c r="J708" s="33"/>
      <c r="K708" s="33"/>
      <c r="L708" s="33"/>
      <c r="M708" s="33"/>
    </row>
    <row r="709" spans="5:13">
      <c r="E709" s="28"/>
      <c r="F709" s="28"/>
      <c r="G709" s="33"/>
      <c r="H709" s="33"/>
      <c r="I709" s="33"/>
      <c r="J709" s="33"/>
      <c r="K709" s="33"/>
      <c r="L709" s="33"/>
      <c r="M709" s="33"/>
    </row>
    <row r="710" spans="5:13">
      <c r="E710" s="28"/>
      <c r="F710" s="28"/>
      <c r="G710" s="33"/>
      <c r="H710" s="33"/>
      <c r="I710" s="33"/>
      <c r="J710" s="33"/>
      <c r="K710" s="33"/>
      <c r="L710" s="33"/>
      <c r="M710" s="33"/>
    </row>
    <row r="711" spans="5:13">
      <c r="E711" s="28"/>
      <c r="F711" s="28"/>
      <c r="G711" s="33"/>
      <c r="H711" s="33"/>
      <c r="I711" s="33"/>
      <c r="J711" s="33"/>
      <c r="K711" s="33"/>
      <c r="L711" s="33"/>
      <c r="M711" s="33"/>
    </row>
    <row r="712" spans="5:13">
      <c r="E712" s="28"/>
      <c r="F712" s="28"/>
      <c r="G712" s="33"/>
      <c r="H712" s="33"/>
      <c r="I712" s="33"/>
      <c r="J712" s="33"/>
      <c r="K712" s="33"/>
      <c r="L712" s="33"/>
      <c r="M712" s="33"/>
    </row>
    <row r="713" spans="5:13">
      <c r="E713" s="28"/>
      <c r="F713" s="28"/>
      <c r="G713" s="33"/>
      <c r="H713" s="33"/>
      <c r="I713" s="33"/>
      <c r="J713" s="33"/>
      <c r="K713" s="33"/>
      <c r="L713" s="33"/>
      <c r="M713" s="33"/>
    </row>
    <row r="714" spans="5:13">
      <c r="E714" s="28"/>
      <c r="F714" s="28"/>
      <c r="G714" s="33"/>
      <c r="H714" s="33"/>
      <c r="I714" s="33"/>
      <c r="J714" s="33"/>
      <c r="K714" s="33"/>
      <c r="L714" s="33"/>
      <c r="M714" s="33"/>
    </row>
    <row r="715" spans="5:13">
      <c r="E715" s="28"/>
      <c r="F715" s="28"/>
      <c r="G715" s="33"/>
      <c r="H715" s="33"/>
      <c r="I715" s="33"/>
      <c r="J715" s="33"/>
      <c r="K715" s="33"/>
      <c r="L715" s="33"/>
      <c r="M715" s="33"/>
    </row>
    <row r="716" spans="5:13">
      <c r="E716" s="28"/>
      <c r="F716" s="28"/>
      <c r="G716" s="33"/>
      <c r="H716" s="33"/>
      <c r="I716" s="33"/>
      <c r="J716" s="33"/>
      <c r="K716" s="33"/>
      <c r="L716" s="33"/>
      <c r="M716" s="33"/>
    </row>
    <row r="717" spans="5:13">
      <c r="E717" s="28"/>
      <c r="F717" s="28"/>
      <c r="G717" s="33"/>
      <c r="H717" s="33"/>
      <c r="I717" s="33"/>
      <c r="J717" s="33"/>
      <c r="K717" s="33"/>
      <c r="L717" s="33"/>
      <c r="M717" s="33"/>
    </row>
    <row r="718" spans="5:13">
      <c r="E718" s="28"/>
      <c r="F718" s="28"/>
      <c r="G718" s="33"/>
      <c r="H718" s="33"/>
      <c r="I718" s="33"/>
      <c r="J718" s="33"/>
      <c r="K718" s="33"/>
      <c r="L718" s="33"/>
      <c r="M718" s="33"/>
    </row>
    <row r="719" spans="5:13">
      <c r="E719" s="28"/>
      <c r="F719" s="28"/>
      <c r="G719" s="33"/>
      <c r="H719" s="33"/>
      <c r="I719" s="33"/>
      <c r="J719" s="33"/>
      <c r="K719" s="33"/>
      <c r="L719" s="33"/>
      <c r="M719" s="33"/>
    </row>
    <row r="720" spans="5:13">
      <c r="E720" s="28"/>
      <c r="F720" s="28"/>
      <c r="G720" s="33"/>
      <c r="H720" s="33"/>
      <c r="I720" s="33"/>
      <c r="J720" s="33"/>
      <c r="K720" s="33"/>
      <c r="L720" s="33"/>
      <c r="M720" s="33"/>
    </row>
    <row r="721" spans="5:13">
      <c r="E721" s="28"/>
      <c r="F721" s="28"/>
      <c r="G721" s="33"/>
      <c r="H721" s="33"/>
      <c r="I721" s="33"/>
      <c r="J721" s="33"/>
      <c r="K721" s="33"/>
      <c r="L721" s="33"/>
      <c r="M721" s="33"/>
    </row>
    <row r="722" spans="5:13">
      <c r="E722" s="28"/>
      <c r="F722" s="28"/>
      <c r="G722" s="33"/>
      <c r="H722" s="33"/>
      <c r="I722" s="33"/>
      <c r="J722" s="33"/>
      <c r="K722" s="33"/>
      <c r="L722" s="33"/>
      <c r="M722" s="33"/>
    </row>
    <row r="723" spans="5:13">
      <c r="E723" s="28"/>
      <c r="F723" s="28"/>
      <c r="G723" s="33"/>
      <c r="H723" s="33"/>
      <c r="I723" s="33"/>
      <c r="J723" s="33"/>
      <c r="K723" s="33"/>
      <c r="L723" s="33"/>
      <c r="M723" s="33"/>
    </row>
    <row r="724" spans="5:13">
      <c r="E724" s="28"/>
      <c r="F724" s="28"/>
      <c r="G724" s="33"/>
      <c r="H724" s="33"/>
      <c r="I724" s="33"/>
      <c r="J724" s="33"/>
      <c r="K724" s="33"/>
      <c r="L724" s="33"/>
      <c r="M724" s="33"/>
    </row>
    <row r="725" spans="5:13">
      <c r="E725" s="28"/>
      <c r="F725" s="28"/>
      <c r="G725" s="33"/>
      <c r="H725" s="33"/>
      <c r="I725" s="33"/>
      <c r="J725" s="33"/>
      <c r="K725" s="33"/>
      <c r="L725" s="33"/>
      <c r="M725" s="33"/>
    </row>
    <row r="726" spans="5:13">
      <c r="E726" s="28"/>
      <c r="F726" s="28"/>
      <c r="G726" s="33"/>
      <c r="H726" s="33"/>
      <c r="I726" s="33"/>
      <c r="J726" s="33"/>
      <c r="K726" s="33"/>
      <c r="L726" s="33"/>
      <c r="M726" s="33"/>
    </row>
    <row r="727" spans="5:13">
      <c r="E727" s="28"/>
      <c r="F727" s="28"/>
      <c r="G727" s="33"/>
      <c r="H727" s="33"/>
      <c r="I727" s="33"/>
      <c r="J727" s="33"/>
      <c r="K727" s="33"/>
      <c r="L727" s="33"/>
      <c r="M727" s="33"/>
    </row>
    <row r="728" spans="5:13">
      <c r="E728" s="28"/>
      <c r="F728" s="28"/>
      <c r="G728" s="33"/>
      <c r="H728" s="33"/>
      <c r="I728" s="33"/>
      <c r="J728" s="33"/>
      <c r="K728" s="33"/>
      <c r="L728" s="33"/>
      <c r="M728" s="33"/>
    </row>
    <row r="729" spans="5:13">
      <c r="E729" s="28"/>
      <c r="F729" s="28"/>
      <c r="G729" s="33"/>
      <c r="H729" s="33"/>
      <c r="I729" s="33"/>
      <c r="J729" s="33"/>
      <c r="K729" s="33"/>
      <c r="L729" s="33"/>
      <c r="M729" s="33"/>
    </row>
    <row r="730" spans="5:13">
      <c r="E730" s="28"/>
      <c r="F730" s="28"/>
      <c r="G730" s="33"/>
      <c r="H730" s="33"/>
      <c r="I730" s="33"/>
      <c r="J730" s="33"/>
      <c r="K730" s="33"/>
      <c r="L730" s="33"/>
      <c r="M730" s="33"/>
    </row>
    <row r="731" spans="5:13">
      <c r="E731" s="28"/>
      <c r="F731" s="28"/>
      <c r="G731" s="33"/>
      <c r="H731" s="33"/>
      <c r="I731" s="33"/>
      <c r="J731" s="33"/>
      <c r="K731" s="33"/>
      <c r="L731" s="33"/>
      <c r="M731" s="33"/>
    </row>
    <row r="732" spans="5:13">
      <c r="E732" s="28"/>
      <c r="F732" s="28"/>
      <c r="G732" s="33"/>
      <c r="H732" s="33"/>
      <c r="I732" s="33"/>
      <c r="J732" s="33"/>
      <c r="K732" s="33"/>
      <c r="L732" s="33"/>
      <c r="M732" s="33"/>
    </row>
    <row r="733" spans="5:13">
      <c r="E733" s="28"/>
      <c r="F733" s="28"/>
      <c r="G733" s="33"/>
      <c r="H733" s="33"/>
      <c r="I733" s="33"/>
      <c r="J733" s="33"/>
      <c r="K733" s="33"/>
      <c r="L733" s="33"/>
      <c r="M733" s="33"/>
    </row>
    <row r="734" spans="5:13">
      <c r="E734" s="28"/>
      <c r="F734" s="28"/>
      <c r="G734" s="33"/>
      <c r="H734" s="33"/>
      <c r="I734" s="33"/>
      <c r="J734" s="33"/>
      <c r="K734" s="33"/>
      <c r="L734" s="33"/>
      <c r="M734" s="33"/>
    </row>
    <row r="735" spans="5:13">
      <c r="E735" s="28"/>
      <c r="F735" s="28"/>
      <c r="G735" s="33"/>
      <c r="H735" s="33"/>
      <c r="I735" s="33"/>
      <c r="J735" s="33"/>
      <c r="K735" s="33"/>
      <c r="L735" s="33"/>
      <c r="M735" s="33"/>
    </row>
    <row r="736" spans="5:13">
      <c r="E736" s="28"/>
      <c r="F736" s="28"/>
      <c r="G736" s="33"/>
      <c r="H736" s="33"/>
      <c r="I736" s="33"/>
      <c r="J736" s="33"/>
      <c r="K736" s="33"/>
      <c r="L736" s="33"/>
      <c r="M736" s="33"/>
    </row>
    <row r="737" spans="5:13">
      <c r="E737" s="28"/>
      <c r="F737" s="28"/>
      <c r="G737" s="33"/>
      <c r="H737" s="33"/>
      <c r="I737" s="33"/>
      <c r="J737" s="33"/>
      <c r="K737" s="33"/>
      <c r="L737" s="33"/>
      <c r="M737" s="33"/>
    </row>
    <row r="738" spans="5:13">
      <c r="E738" s="28"/>
      <c r="F738" s="28"/>
      <c r="G738" s="33"/>
      <c r="H738" s="33"/>
      <c r="I738" s="33"/>
      <c r="J738" s="33"/>
      <c r="K738" s="33"/>
      <c r="L738" s="33"/>
      <c r="M738" s="33"/>
    </row>
    <row r="739" spans="5:13">
      <c r="E739" s="28"/>
      <c r="F739" s="28"/>
      <c r="G739" s="33"/>
      <c r="H739" s="33"/>
      <c r="I739" s="33"/>
      <c r="J739" s="33"/>
      <c r="K739" s="33"/>
      <c r="L739" s="33"/>
      <c r="M739" s="33"/>
    </row>
    <row r="740" spans="5:13">
      <c r="E740" s="28"/>
      <c r="F740" s="28"/>
      <c r="G740" s="33"/>
      <c r="H740" s="33"/>
      <c r="I740" s="33"/>
      <c r="J740" s="33"/>
      <c r="K740" s="33"/>
      <c r="L740" s="33"/>
      <c r="M740" s="33"/>
    </row>
    <row r="741" spans="5:13">
      <c r="E741" s="28"/>
      <c r="F741" s="28"/>
      <c r="G741" s="33"/>
      <c r="H741" s="33"/>
      <c r="I741" s="33"/>
      <c r="J741" s="33"/>
      <c r="K741" s="33"/>
      <c r="L741" s="33"/>
      <c r="M741" s="33"/>
    </row>
    <row r="742" spans="5:13">
      <c r="E742" s="28"/>
      <c r="F742" s="28"/>
      <c r="G742" s="33"/>
      <c r="H742" s="33"/>
      <c r="I742" s="33"/>
      <c r="J742" s="33"/>
      <c r="K742" s="33"/>
      <c r="L742" s="33"/>
      <c r="M742" s="33"/>
    </row>
    <row r="743" spans="5:13">
      <c r="E743" s="28"/>
      <c r="F743" s="28"/>
      <c r="G743" s="33"/>
      <c r="H743" s="33"/>
      <c r="I743" s="33"/>
      <c r="J743" s="33"/>
      <c r="K743" s="33"/>
      <c r="L743" s="33"/>
      <c r="M743" s="33"/>
    </row>
    <row r="744" spans="5:13">
      <c r="E744" s="28"/>
      <c r="F744" s="28"/>
      <c r="G744" s="33"/>
      <c r="H744" s="33"/>
      <c r="I744" s="33"/>
      <c r="J744" s="33"/>
      <c r="K744" s="33"/>
      <c r="L744" s="33"/>
      <c r="M744" s="33"/>
    </row>
    <row r="745" spans="5:13">
      <c r="E745" s="28"/>
      <c r="F745" s="28"/>
      <c r="G745" s="33"/>
      <c r="H745" s="33"/>
      <c r="I745" s="33"/>
      <c r="J745" s="33"/>
      <c r="K745" s="33"/>
      <c r="L745" s="33"/>
      <c r="M745" s="33"/>
    </row>
    <row r="746" spans="5:13">
      <c r="E746" s="28"/>
      <c r="F746" s="28"/>
      <c r="G746" s="33"/>
      <c r="H746" s="33"/>
      <c r="I746" s="33"/>
      <c r="J746" s="33"/>
      <c r="K746" s="33"/>
      <c r="L746" s="33"/>
      <c r="M746" s="33"/>
    </row>
    <row r="747" spans="5:13">
      <c r="E747" s="28"/>
      <c r="F747" s="28"/>
      <c r="G747" s="33"/>
      <c r="H747" s="33"/>
      <c r="I747" s="33"/>
      <c r="J747" s="33"/>
      <c r="K747" s="33"/>
      <c r="L747" s="33"/>
      <c r="M747" s="33"/>
    </row>
    <row r="748" spans="5:13">
      <c r="E748" s="28"/>
      <c r="F748" s="28"/>
      <c r="G748" s="33"/>
      <c r="H748" s="33"/>
      <c r="I748" s="33"/>
      <c r="J748" s="33"/>
      <c r="K748" s="33"/>
      <c r="L748" s="33"/>
      <c r="M748" s="33"/>
    </row>
    <row r="749" spans="5:13">
      <c r="E749" s="28"/>
      <c r="F749" s="28"/>
      <c r="G749" s="33"/>
      <c r="H749" s="33"/>
      <c r="I749" s="33"/>
      <c r="J749" s="33"/>
      <c r="K749" s="33"/>
      <c r="L749" s="33"/>
      <c r="M749" s="33"/>
    </row>
    <row r="750" spans="5:13">
      <c r="E750" s="28"/>
      <c r="F750" s="28"/>
      <c r="G750" s="33"/>
      <c r="H750" s="33"/>
      <c r="I750" s="33"/>
      <c r="J750" s="33"/>
      <c r="K750" s="33"/>
      <c r="L750" s="33"/>
      <c r="M750" s="33"/>
    </row>
    <row r="751" spans="5:13">
      <c r="E751" s="28"/>
      <c r="F751" s="28"/>
      <c r="G751" s="33"/>
      <c r="H751" s="33"/>
      <c r="I751" s="33"/>
      <c r="J751" s="33"/>
      <c r="K751" s="33"/>
      <c r="L751" s="33"/>
      <c r="M751" s="33"/>
    </row>
    <row r="752" spans="5:13">
      <c r="E752" s="28"/>
      <c r="F752" s="28"/>
      <c r="G752" s="33"/>
      <c r="H752" s="33"/>
      <c r="I752" s="33"/>
      <c r="J752" s="33"/>
      <c r="K752" s="33"/>
      <c r="L752" s="33"/>
      <c r="M752" s="33"/>
    </row>
    <row r="753" spans="5:13">
      <c r="E753" s="28"/>
      <c r="F753" s="28"/>
      <c r="G753" s="33"/>
      <c r="H753" s="33"/>
      <c r="I753" s="33"/>
      <c r="J753" s="33"/>
      <c r="K753" s="33"/>
      <c r="L753" s="33"/>
      <c r="M753" s="33"/>
    </row>
    <row r="754" spans="5:13">
      <c r="E754" s="28"/>
      <c r="F754" s="28"/>
      <c r="G754" s="33"/>
      <c r="H754" s="33"/>
      <c r="I754" s="33"/>
      <c r="J754" s="33"/>
      <c r="K754" s="33"/>
      <c r="L754" s="33"/>
      <c r="M754" s="33"/>
    </row>
    <row r="755" spans="5:13">
      <c r="E755" s="28"/>
      <c r="F755" s="28"/>
      <c r="G755" s="33"/>
      <c r="H755" s="33"/>
      <c r="I755" s="33"/>
      <c r="J755" s="33"/>
      <c r="K755" s="33"/>
      <c r="L755" s="33"/>
      <c r="M755" s="33"/>
    </row>
    <row r="756" spans="5:13">
      <c r="E756" s="28"/>
      <c r="F756" s="28"/>
      <c r="G756" s="33"/>
      <c r="H756" s="33"/>
      <c r="I756" s="33"/>
      <c r="J756" s="33"/>
      <c r="K756" s="33"/>
      <c r="L756" s="33"/>
      <c r="M756" s="33"/>
    </row>
    <row r="757" spans="5:13">
      <c r="E757" s="28"/>
      <c r="F757" s="28"/>
      <c r="G757" s="33"/>
      <c r="H757" s="33"/>
      <c r="I757" s="33"/>
      <c r="J757" s="33"/>
      <c r="K757" s="33"/>
      <c r="L757" s="33"/>
      <c r="M757" s="33"/>
    </row>
    <row r="758" spans="5:13">
      <c r="E758" s="28"/>
      <c r="F758" s="28"/>
      <c r="G758" s="33"/>
      <c r="H758" s="33"/>
      <c r="I758" s="33"/>
      <c r="J758" s="33"/>
      <c r="K758" s="33"/>
      <c r="L758" s="33"/>
      <c r="M758" s="33"/>
    </row>
    <row r="759" spans="5:13">
      <c r="E759" s="28"/>
      <c r="F759" s="28"/>
      <c r="G759" s="33"/>
      <c r="H759" s="33"/>
      <c r="I759" s="33"/>
      <c r="J759" s="33"/>
      <c r="K759" s="33"/>
      <c r="L759" s="33"/>
      <c r="M759" s="33"/>
    </row>
    <row r="760" spans="5:13">
      <c r="E760" s="28"/>
      <c r="F760" s="28"/>
      <c r="G760" s="33"/>
      <c r="H760" s="33"/>
      <c r="I760" s="33"/>
      <c r="J760" s="33"/>
      <c r="K760" s="33"/>
      <c r="L760" s="33"/>
      <c r="M760" s="33"/>
    </row>
    <row r="761" spans="5:13">
      <c r="E761" s="28"/>
      <c r="F761" s="28"/>
      <c r="G761" s="33"/>
      <c r="H761" s="33"/>
      <c r="I761" s="33"/>
      <c r="J761" s="33"/>
      <c r="K761" s="33"/>
      <c r="L761" s="33"/>
      <c r="M761" s="33"/>
    </row>
    <row r="762" spans="5:13">
      <c r="E762" s="28"/>
      <c r="F762" s="28"/>
      <c r="G762" s="33"/>
      <c r="H762" s="33"/>
      <c r="I762" s="33"/>
      <c r="J762" s="33"/>
      <c r="K762" s="33"/>
      <c r="L762" s="33"/>
      <c r="M762" s="33"/>
    </row>
    <row r="763" spans="5:13">
      <c r="E763" s="28"/>
      <c r="F763" s="28"/>
      <c r="G763" s="33"/>
      <c r="H763" s="33"/>
      <c r="I763" s="33"/>
      <c r="J763" s="33"/>
      <c r="K763" s="33"/>
      <c r="L763" s="33"/>
      <c r="M763" s="33"/>
    </row>
    <row r="764" spans="5:13">
      <c r="E764" s="28"/>
      <c r="F764" s="28"/>
      <c r="G764" s="33"/>
      <c r="H764" s="33"/>
      <c r="I764" s="33"/>
      <c r="J764" s="33"/>
      <c r="K764" s="33"/>
      <c r="L764" s="33"/>
      <c r="M764" s="33"/>
    </row>
    <row r="765" spans="5:13">
      <c r="E765" s="28"/>
      <c r="F765" s="28"/>
      <c r="G765" s="33"/>
      <c r="H765" s="33"/>
      <c r="I765" s="33"/>
      <c r="J765" s="33"/>
      <c r="K765" s="33"/>
      <c r="L765" s="33"/>
      <c r="M765" s="33"/>
    </row>
    <row r="766" spans="5:13">
      <c r="E766" s="28"/>
      <c r="F766" s="28"/>
      <c r="G766" s="33"/>
      <c r="H766" s="33"/>
      <c r="I766" s="33"/>
      <c r="J766" s="33"/>
      <c r="K766" s="33"/>
      <c r="L766" s="33"/>
      <c r="M766" s="33"/>
    </row>
    <row r="767" spans="5:13">
      <c r="E767" s="28"/>
      <c r="F767" s="28"/>
      <c r="G767" s="33"/>
      <c r="H767" s="33"/>
      <c r="I767" s="33"/>
      <c r="J767" s="33"/>
      <c r="K767" s="33"/>
      <c r="L767" s="33"/>
      <c r="M767" s="33"/>
    </row>
    <row r="768" spans="5:13">
      <c r="E768" s="28"/>
      <c r="F768" s="28"/>
      <c r="G768" s="33"/>
      <c r="H768" s="33"/>
      <c r="I768" s="33"/>
      <c r="J768" s="33"/>
      <c r="K768" s="33"/>
      <c r="L768" s="33"/>
      <c r="M768" s="33"/>
    </row>
    <row r="769" spans="5:13">
      <c r="E769" s="28"/>
      <c r="F769" s="28"/>
      <c r="G769" s="33"/>
      <c r="H769" s="33"/>
      <c r="I769" s="33"/>
      <c r="J769" s="33"/>
      <c r="K769" s="33"/>
      <c r="L769" s="33"/>
      <c r="M769" s="33"/>
    </row>
    <row r="770" spans="5:13">
      <c r="E770" s="28"/>
      <c r="F770" s="28"/>
      <c r="G770" s="33"/>
      <c r="H770" s="33"/>
      <c r="I770" s="33"/>
      <c r="J770" s="33"/>
      <c r="K770" s="33"/>
      <c r="L770" s="33"/>
      <c r="M770" s="33"/>
    </row>
    <row r="771" spans="5:13">
      <c r="E771" s="28"/>
      <c r="F771" s="28"/>
      <c r="G771" s="33"/>
      <c r="H771" s="33"/>
      <c r="I771" s="33"/>
      <c r="J771" s="33"/>
      <c r="K771" s="33"/>
      <c r="L771" s="33"/>
      <c r="M771" s="33"/>
    </row>
    <row r="772" spans="5:13">
      <c r="E772" s="28"/>
      <c r="F772" s="28"/>
      <c r="G772" s="33"/>
      <c r="H772" s="33"/>
      <c r="I772" s="33"/>
      <c r="J772" s="33"/>
      <c r="K772" s="33"/>
      <c r="L772" s="33"/>
      <c r="M772" s="33"/>
    </row>
    <row r="773" spans="5:13">
      <c r="E773" s="28"/>
      <c r="F773" s="28"/>
      <c r="G773" s="33"/>
      <c r="H773" s="33"/>
      <c r="I773" s="33"/>
      <c r="J773" s="33"/>
      <c r="K773" s="33"/>
      <c r="L773" s="33"/>
      <c r="M773" s="33"/>
    </row>
    <row r="774" spans="5:13">
      <c r="E774" s="28"/>
      <c r="F774" s="28"/>
      <c r="G774" s="33"/>
      <c r="H774" s="33"/>
      <c r="I774" s="33"/>
      <c r="J774" s="33"/>
      <c r="K774" s="33"/>
      <c r="L774" s="33"/>
      <c r="M774" s="33"/>
    </row>
    <row r="775" spans="5:13">
      <c r="E775" s="28"/>
      <c r="F775" s="28"/>
      <c r="G775" s="33"/>
      <c r="H775" s="33"/>
      <c r="I775" s="33"/>
      <c r="J775" s="33"/>
      <c r="K775" s="33"/>
      <c r="L775" s="33"/>
      <c r="M775" s="33"/>
    </row>
    <row r="776" spans="5:13">
      <c r="E776" s="28"/>
      <c r="F776" s="28"/>
      <c r="G776" s="33"/>
      <c r="H776" s="33"/>
      <c r="I776" s="33"/>
      <c r="J776" s="33"/>
      <c r="K776" s="33"/>
      <c r="L776" s="33"/>
      <c r="M776" s="33"/>
    </row>
    <row r="777" spans="5:13">
      <c r="E777" s="28"/>
      <c r="F777" s="28"/>
      <c r="G777" s="33"/>
      <c r="H777" s="33"/>
      <c r="I777" s="33"/>
      <c r="J777" s="33"/>
      <c r="K777" s="33"/>
      <c r="L777" s="33"/>
      <c r="M777" s="33"/>
    </row>
    <row r="778" spans="5:13">
      <c r="E778" s="28"/>
      <c r="F778" s="28"/>
      <c r="G778" s="33"/>
      <c r="H778" s="33"/>
      <c r="I778" s="33"/>
      <c r="J778" s="33"/>
      <c r="K778" s="33"/>
      <c r="L778" s="33"/>
      <c r="M778" s="33"/>
    </row>
    <row r="779" spans="5:13">
      <c r="E779" s="28"/>
      <c r="F779" s="28"/>
      <c r="G779" s="33"/>
      <c r="H779" s="33"/>
      <c r="I779" s="33"/>
      <c r="J779" s="33"/>
      <c r="K779" s="33"/>
      <c r="L779" s="33"/>
      <c r="M779" s="33"/>
    </row>
    <row r="780" spans="5:13">
      <c r="E780" s="28"/>
      <c r="F780" s="28"/>
      <c r="G780" s="33"/>
      <c r="H780" s="33"/>
      <c r="I780" s="33"/>
      <c r="J780" s="33"/>
      <c r="K780" s="33"/>
      <c r="L780" s="33"/>
      <c r="M780" s="33"/>
    </row>
    <row r="781" spans="5:13">
      <c r="E781" s="28"/>
      <c r="F781" s="28"/>
      <c r="G781" s="33"/>
      <c r="H781" s="33"/>
      <c r="I781" s="33"/>
      <c r="J781" s="33"/>
      <c r="K781" s="33"/>
      <c r="L781" s="33"/>
      <c r="M781" s="33"/>
    </row>
    <row r="782" spans="5:13">
      <c r="E782" s="28"/>
      <c r="F782" s="28"/>
      <c r="G782" s="33"/>
      <c r="H782" s="33"/>
      <c r="I782" s="33"/>
      <c r="J782" s="33"/>
      <c r="K782" s="33"/>
      <c r="L782" s="33"/>
      <c r="M782" s="33"/>
    </row>
    <row r="783" spans="5:13">
      <c r="E783" s="28"/>
      <c r="F783" s="28"/>
      <c r="G783" s="33"/>
      <c r="H783" s="33"/>
      <c r="I783" s="33"/>
      <c r="J783" s="33"/>
      <c r="K783" s="33"/>
      <c r="L783" s="33"/>
      <c r="M783" s="33"/>
    </row>
    <row r="784" spans="5:13">
      <c r="E784" s="28"/>
      <c r="F784" s="28"/>
      <c r="G784" s="33"/>
      <c r="H784" s="33"/>
      <c r="I784" s="33"/>
      <c r="J784" s="33"/>
      <c r="K784" s="33"/>
      <c r="L784" s="33"/>
      <c r="M784" s="33"/>
    </row>
    <row r="785" spans="5:13">
      <c r="E785" s="28"/>
      <c r="F785" s="28"/>
      <c r="G785" s="33"/>
      <c r="H785" s="33"/>
      <c r="I785" s="33"/>
      <c r="J785" s="33"/>
      <c r="K785" s="33"/>
      <c r="L785" s="33"/>
      <c r="M785" s="33"/>
    </row>
    <row r="786" spans="5:13">
      <c r="E786" s="28"/>
      <c r="F786" s="28"/>
      <c r="G786" s="33"/>
      <c r="H786" s="33"/>
      <c r="I786" s="33"/>
      <c r="J786" s="33"/>
      <c r="K786" s="33"/>
      <c r="L786" s="33"/>
      <c r="M786" s="33"/>
    </row>
    <row r="787" spans="5:13">
      <c r="E787" s="28"/>
      <c r="F787" s="28"/>
      <c r="G787" s="33"/>
      <c r="H787" s="33"/>
      <c r="I787" s="33"/>
      <c r="J787" s="33"/>
      <c r="K787" s="33"/>
      <c r="L787" s="33"/>
      <c r="M787" s="33"/>
    </row>
    <row r="788" spans="5:13">
      <c r="E788" s="28"/>
      <c r="F788" s="28"/>
      <c r="G788" s="33"/>
      <c r="H788" s="33"/>
      <c r="I788" s="33"/>
      <c r="J788" s="33"/>
      <c r="K788" s="33"/>
      <c r="L788" s="33"/>
      <c r="M788" s="33"/>
    </row>
    <row r="789" spans="5:13">
      <c r="E789" s="28"/>
      <c r="F789" s="28"/>
      <c r="G789" s="33"/>
      <c r="H789" s="33"/>
      <c r="I789" s="33"/>
      <c r="J789" s="33"/>
      <c r="K789" s="33"/>
      <c r="L789" s="33"/>
      <c r="M789" s="33"/>
    </row>
    <row r="790" spans="5:13">
      <c r="E790" s="28"/>
      <c r="F790" s="28"/>
      <c r="G790" s="33"/>
      <c r="H790" s="33"/>
      <c r="I790" s="33"/>
      <c r="J790" s="33"/>
      <c r="K790" s="33"/>
      <c r="L790" s="33"/>
      <c r="M790" s="33"/>
    </row>
    <row r="791" spans="5:13">
      <c r="E791" s="28"/>
      <c r="F791" s="28"/>
      <c r="G791" s="33"/>
      <c r="H791" s="33"/>
      <c r="I791" s="33"/>
      <c r="J791" s="33"/>
      <c r="K791" s="33"/>
      <c r="L791" s="33"/>
      <c r="M791" s="33"/>
    </row>
    <row r="792" spans="5:13">
      <c r="E792" s="28"/>
      <c r="F792" s="28"/>
      <c r="G792" s="33"/>
      <c r="H792" s="33"/>
      <c r="I792" s="33"/>
      <c r="J792" s="33"/>
      <c r="K792" s="33"/>
      <c r="L792" s="33"/>
      <c r="M792" s="33"/>
    </row>
    <row r="793" spans="5:13">
      <c r="E793" s="28"/>
      <c r="F793" s="28"/>
      <c r="G793" s="33"/>
      <c r="H793" s="33"/>
      <c r="I793" s="33"/>
      <c r="J793" s="33"/>
      <c r="K793" s="33"/>
      <c r="L793" s="33"/>
      <c r="M793" s="33"/>
    </row>
    <row r="794" spans="5:13">
      <c r="E794" s="28"/>
      <c r="F794" s="28"/>
      <c r="G794" s="33"/>
      <c r="H794" s="33"/>
      <c r="I794" s="33"/>
      <c r="J794" s="33"/>
      <c r="K794" s="33"/>
      <c r="L794" s="33"/>
      <c r="M794" s="33"/>
    </row>
    <row r="795" spans="5:13">
      <c r="E795" s="28"/>
      <c r="F795" s="28"/>
      <c r="G795" s="33"/>
      <c r="H795" s="33"/>
      <c r="I795" s="33"/>
      <c r="J795" s="33"/>
      <c r="K795" s="33"/>
      <c r="L795" s="33"/>
      <c r="M795" s="33"/>
    </row>
    <row r="796" spans="5:13">
      <c r="E796" s="28"/>
      <c r="F796" s="28"/>
      <c r="G796" s="33"/>
      <c r="H796" s="33"/>
      <c r="I796" s="33"/>
      <c r="J796" s="33"/>
      <c r="K796" s="33"/>
      <c r="L796" s="33"/>
      <c r="M796" s="33"/>
    </row>
    <row r="797" spans="5:13">
      <c r="E797" s="28"/>
      <c r="F797" s="28"/>
      <c r="G797" s="33"/>
      <c r="H797" s="33"/>
      <c r="I797" s="33"/>
      <c r="J797" s="33"/>
      <c r="K797" s="33"/>
      <c r="L797" s="33"/>
      <c r="M797" s="33"/>
    </row>
    <row r="798" spans="5:13">
      <c r="E798" s="28"/>
      <c r="F798" s="28"/>
      <c r="G798" s="33"/>
      <c r="H798" s="33"/>
      <c r="I798" s="33"/>
      <c r="J798" s="33"/>
      <c r="K798" s="33"/>
      <c r="L798" s="33"/>
      <c r="M798" s="33"/>
    </row>
    <row r="799" spans="5:13">
      <c r="E799" s="28"/>
      <c r="F799" s="28"/>
      <c r="G799" s="33"/>
      <c r="H799" s="33"/>
      <c r="I799" s="33"/>
      <c r="J799" s="33"/>
      <c r="K799" s="33"/>
      <c r="L799" s="33"/>
      <c r="M799" s="33"/>
    </row>
    <row r="800" spans="5:13">
      <c r="E800" s="28"/>
      <c r="F800" s="28"/>
      <c r="G800" s="33"/>
      <c r="H800" s="33"/>
      <c r="I800" s="33"/>
      <c r="J800" s="33"/>
      <c r="K800" s="33"/>
      <c r="L800" s="33"/>
      <c r="M800" s="33"/>
    </row>
    <row r="801" spans="5:13">
      <c r="E801" s="28"/>
      <c r="F801" s="28"/>
      <c r="G801" s="33"/>
      <c r="H801" s="33"/>
      <c r="I801" s="33"/>
      <c r="J801" s="33"/>
      <c r="K801" s="33"/>
      <c r="L801" s="33"/>
      <c r="M801" s="33"/>
    </row>
    <row r="802" spans="5:13">
      <c r="E802" s="28"/>
      <c r="F802" s="28"/>
      <c r="G802" s="33"/>
      <c r="H802" s="33"/>
      <c r="I802" s="33"/>
      <c r="J802" s="33"/>
      <c r="K802" s="33"/>
      <c r="L802" s="33"/>
      <c r="M802" s="33"/>
    </row>
    <row r="803" spans="5:13">
      <c r="E803" s="28"/>
      <c r="F803" s="28"/>
      <c r="G803" s="33"/>
      <c r="H803" s="33"/>
      <c r="I803" s="33"/>
      <c r="J803" s="33"/>
      <c r="K803" s="33"/>
      <c r="L803" s="33"/>
      <c r="M803" s="33"/>
    </row>
    <row r="804" spans="5:13">
      <c r="E804" s="28"/>
      <c r="F804" s="28"/>
      <c r="G804" s="33"/>
      <c r="H804" s="33"/>
      <c r="I804" s="33"/>
      <c r="J804" s="33"/>
      <c r="K804" s="33"/>
      <c r="L804" s="33"/>
      <c r="M804" s="33"/>
    </row>
    <row r="805" spans="5:13">
      <c r="E805" s="28"/>
      <c r="F805" s="28"/>
      <c r="G805" s="33"/>
      <c r="H805" s="33"/>
      <c r="I805" s="33"/>
      <c r="J805" s="33"/>
      <c r="K805" s="33"/>
      <c r="L805" s="33"/>
      <c r="M805" s="33"/>
    </row>
    <row r="806" spans="5:13">
      <c r="E806" s="28"/>
      <c r="F806" s="28"/>
      <c r="G806" s="33"/>
      <c r="H806" s="33"/>
      <c r="I806" s="33"/>
      <c r="J806" s="33"/>
      <c r="K806" s="33"/>
      <c r="L806" s="33"/>
      <c r="M806" s="33"/>
    </row>
    <row r="807" spans="5:13">
      <c r="E807" s="28"/>
      <c r="F807" s="28"/>
      <c r="G807" s="33"/>
      <c r="H807" s="33"/>
      <c r="I807" s="33"/>
      <c r="J807" s="33"/>
      <c r="K807" s="33"/>
      <c r="L807" s="33"/>
      <c r="M807" s="33"/>
    </row>
    <row r="808" spans="5:13">
      <c r="E808" s="28"/>
      <c r="F808" s="28"/>
      <c r="G808" s="33"/>
      <c r="H808" s="33"/>
      <c r="I808" s="33"/>
      <c r="J808" s="33"/>
      <c r="K808" s="33"/>
      <c r="L808" s="33"/>
      <c r="M808" s="33"/>
    </row>
    <row r="809" spans="5:13">
      <c r="E809" s="28"/>
      <c r="F809" s="28"/>
      <c r="G809" s="33"/>
      <c r="H809" s="33"/>
      <c r="I809" s="33"/>
      <c r="J809" s="33"/>
      <c r="K809" s="33"/>
      <c r="L809" s="33"/>
      <c r="M809" s="33"/>
    </row>
    <row r="810" spans="5:13">
      <c r="E810" s="28"/>
      <c r="F810" s="28"/>
      <c r="G810" s="33"/>
      <c r="H810" s="33"/>
      <c r="I810" s="33"/>
      <c r="J810" s="33"/>
      <c r="K810" s="33"/>
      <c r="L810" s="33"/>
      <c r="M810" s="33"/>
    </row>
    <row r="811" spans="5:13">
      <c r="E811" s="28"/>
      <c r="F811" s="28"/>
      <c r="G811" s="33"/>
      <c r="H811" s="33"/>
      <c r="I811" s="33"/>
      <c r="J811" s="33"/>
      <c r="K811" s="33"/>
      <c r="L811" s="33"/>
      <c r="M811" s="33"/>
    </row>
    <row r="812" spans="5:13">
      <c r="E812" s="28"/>
      <c r="F812" s="28"/>
      <c r="G812" s="33"/>
      <c r="H812" s="33"/>
      <c r="I812" s="33"/>
      <c r="J812" s="33"/>
      <c r="K812" s="33"/>
      <c r="L812" s="33"/>
      <c r="M812" s="33"/>
    </row>
    <row r="813" spans="5:13">
      <c r="E813" s="28"/>
      <c r="F813" s="28"/>
      <c r="G813" s="33"/>
      <c r="H813" s="33"/>
      <c r="I813" s="33"/>
      <c r="J813" s="33"/>
      <c r="K813" s="33"/>
      <c r="L813" s="33"/>
      <c r="M813" s="33"/>
    </row>
    <row r="814" spans="5:13">
      <c r="E814" s="28"/>
      <c r="F814" s="28"/>
      <c r="G814" s="33"/>
      <c r="H814" s="33"/>
      <c r="I814" s="33"/>
      <c r="J814" s="33"/>
      <c r="K814" s="33"/>
      <c r="L814" s="33"/>
      <c r="M814" s="33"/>
    </row>
    <row r="815" spans="5:13">
      <c r="E815" s="28"/>
      <c r="F815" s="28"/>
      <c r="G815" s="33"/>
      <c r="H815" s="33"/>
      <c r="I815" s="33"/>
      <c r="J815" s="33"/>
      <c r="K815" s="33"/>
      <c r="L815" s="33"/>
      <c r="M815" s="33"/>
    </row>
    <row r="816" spans="5:13">
      <c r="E816" s="28"/>
      <c r="F816" s="28"/>
      <c r="G816" s="33"/>
      <c r="H816" s="33"/>
      <c r="I816" s="33"/>
      <c r="J816" s="33"/>
      <c r="K816" s="33"/>
      <c r="L816" s="33"/>
      <c r="M816" s="33"/>
    </row>
    <row r="817" spans="5:13">
      <c r="E817" s="28"/>
      <c r="F817" s="28"/>
      <c r="G817" s="33"/>
      <c r="H817" s="33"/>
      <c r="I817" s="33"/>
      <c r="J817" s="33"/>
      <c r="K817" s="33"/>
      <c r="L817" s="33"/>
      <c r="M817" s="33"/>
    </row>
    <row r="818" spans="5:13">
      <c r="E818" s="28"/>
      <c r="F818" s="28"/>
      <c r="G818" s="33"/>
      <c r="H818" s="33"/>
      <c r="I818" s="33"/>
      <c r="J818" s="33"/>
      <c r="K818" s="33"/>
      <c r="L818" s="33"/>
      <c r="M818" s="33"/>
    </row>
    <row r="819" spans="5:13">
      <c r="E819" s="28"/>
      <c r="F819" s="28"/>
      <c r="G819" s="33"/>
      <c r="H819" s="33"/>
      <c r="I819" s="33"/>
      <c r="J819" s="33"/>
      <c r="K819" s="33"/>
      <c r="L819" s="33"/>
      <c r="M819" s="33"/>
    </row>
    <row r="820" spans="5:13">
      <c r="E820" s="28"/>
      <c r="F820" s="28"/>
      <c r="G820" s="33"/>
      <c r="H820" s="33"/>
      <c r="I820" s="33"/>
      <c r="J820" s="33"/>
      <c r="K820" s="33"/>
      <c r="L820" s="33"/>
      <c r="M820" s="33"/>
    </row>
    <row r="821" spans="5:13">
      <c r="E821" s="28"/>
      <c r="F821" s="28"/>
      <c r="G821" s="33"/>
      <c r="H821" s="33"/>
      <c r="I821" s="33"/>
      <c r="J821" s="33"/>
      <c r="K821" s="33"/>
      <c r="L821" s="33"/>
      <c r="M821" s="33"/>
    </row>
    <row r="822" spans="5:13">
      <c r="E822" s="28"/>
      <c r="F822" s="28"/>
      <c r="G822" s="33"/>
      <c r="H822" s="33"/>
      <c r="I822" s="33"/>
      <c r="J822" s="33"/>
      <c r="K822" s="33"/>
      <c r="L822" s="33"/>
      <c r="M822" s="33"/>
    </row>
    <row r="823" spans="5:13">
      <c r="E823" s="28"/>
      <c r="F823" s="28"/>
      <c r="G823" s="33"/>
      <c r="H823" s="33"/>
      <c r="I823" s="33"/>
      <c r="J823" s="33"/>
      <c r="K823" s="33"/>
      <c r="L823" s="33"/>
      <c r="M823" s="33"/>
    </row>
    <row r="824" spans="5:13">
      <c r="E824" s="28"/>
      <c r="F824" s="28"/>
      <c r="G824" s="33"/>
      <c r="H824" s="33"/>
      <c r="I824" s="33"/>
      <c r="J824" s="33"/>
      <c r="K824" s="33"/>
      <c r="L824" s="33"/>
      <c r="M824" s="33"/>
    </row>
    <row r="825" spans="5:13">
      <c r="E825" s="28"/>
      <c r="F825" s="28"/>
      <c r="G825" s="33"/>
      <c r="H825" s="33"/>
      <c r="I825" s="33"/>
      <c r="J825" s="33"/>
      <c r="K825" s="33"/>
      <c r="L825" s="33"/>
      <c r="M825" s="33"/>
    </row>
    <row r="826" spans="5:13">
      <c r="E826" s="28"/>
      <c r="F826" s="28"/>
      <c r="G826" s="33"/>
      <c r="H826" s="33"/>
      <c r="I826" s="33"/>
      <c r="J826" s="33"/>
      <c r="K826" s="33"/>
      <c r="L826" s="33"/>
      <c r="M826" s="33"/>
    </row>
    <row r="827" spans="5:13">
      <c r="E827" s="28"/>
      <c r="F827" s="28"/>
      <c r="G827" s="33"/>
      <c r="H827" s="33"/>
      <c r="I827" s="33"/>
      <c r="J827" s="33"/>
      <c r="K827" s="33"/>
      <c r="L827" s="33"/>
      <c r="M827" s="33"/>
    </row>
    <row r="828" spans="5:13">
      <c r="E828" s="28"/>
      <c r="F828" s="28"/>
      <c r="G828" s="33"/>
      <c r="H828" s="33"/>
      <c r="I828" s="33"/>
      <c r="J828" s="33"/>
      <c r="K828" s="33"/>
      <c r="L828" s="33"/>
      <c r="M828" s="33"/>
    </row>
    <row r="829" spans="5:13">
      <c r="E829" s="28"/>
      <c r="F829" s="28"/>
      <c r="G829" s="33"/>
      <c r="H829" s="33"/>
      <c r="I829" s="33"/>
      <c r="J829" s="33"/>
      <c r="K829" s="33"/>
      <c r="L829" s="33"/>
      <c r="M829" s="33"/>
    </row>
    <row r="830" spans="5:13">
      <c r="E830" s="28"/>
      <c r="F830" s="28"/>
      <c r="G830" s="33"/>
      <c r="H830" s="33"/>
      <c r="I830" s="33"/>
      <c r="J830" s="33"/>
      <c r="K830" s="33"/>
      <c r="L830" s="33"/>
      <c r="M830" s="33"/>
    </row>
    <row r="831" spans="5:13">
      <c r="E831" s="28"/>
      <c r="F831" s="28"/>
      <c r="G831" s="33"/>
      <c r="H831" s="33"/>
      <c r="I831" s="33"/>
      <c r="J831" s="33"/>
      <c r="K831" s="33"/>
      <c r="L831" s="33"/>
      <c r="M831" s="33"/>
    </row>
    <row r="832" spans="5:13">
      <c r="E832" s="28"/>
      <c r="F832" s="28"/>
      <c r="G832" s="33"/>
      <c r="H832" s="33"/>
      <c r="I832" s="33"/>
      <c r="J832" s="33"/>
      <c r="K832" s="33"/>
      <c r="L832" s="33"/>
      <c r="M832" s="33"/>
    </row>
    <row r="833" spans="5:13">
      <c r="E833" s="28"/>
      <c r="F833" s="28"/>
      <c r="G833" s="33"/>
      <c r="H833" s="33"/>
      <c r="I833" s="33"/>
      <c r="J833" s="33"/>
      <c r="K833" s="33"/>
      <c r="L833" s="33"/>
      <c r="M833" s="33"/>
    </row>
    <row r="834" spans="5:13">
      <c r="E834" s="28"/>
      <c r="F834" s="28"/>
      <c r="G834" s="33"/>
      <c r="H834" s="33"/>
      <c r="I834" s="33"/>
      <c r="J834" s="33"/>
      <c r="K834" s="33"/>
      <c r="L834" s="33"/>
      <c r="M834" s="33"/>
    </row>
    <row r="835" spans="5:13">
      <c r="E835" s="28"/>
      <c r="F835" s="28"/>
      <c r="G835" s="33"/>
      <c r="H835" s="33"/>
      <c r="I835" s="33"/>
      <c r="J835" s="33"/>
      <c r="K835" s="33"/>
      <c r="L835" s="33"/>
      <c r="M835" s="33"/>
    </row>
    <row r="836" spans="5:13">
      <c r="E836" s="28"/>
      <c r="F836" s="28"/>
      <c r="G836" s="33"/>
      <c r="H836" s="33"/>
      <c r="I836" s="33"/>
      <c r="J836" s="33"/>
      <c r="K836" s="33"/>
      <c r="L836" s="33"/>
      <c r="M836" s="33"/>
    </row>
    <row r="837" spans="5:13">
      <c r="E837" s="28"/>
      <c r="F837" s="28"/>
      <c r="G837" s="33"/>
      <c r="H837" s="33"/>
      <c r="I837" s="33"/>
      <c r="J837" s="33"/>
      <c r="K837" s="33"/>
      <c r="L837" s="33"/>
      <c r="M837" s="33"/>
    </row>
    <row r="838" spans="5:13">
      <c r="E838" s="28"/>
      <c r="F838" s="28"/>
      <c r="G838" s="33"/>
      <c r="H838" s="33"/>
      <c r="I838" s="33"/>
      <c r="J838" s="33"/>
      <c r="K838" s="33"/>
      <c r="L838" s="33"/>
      <c r="M838" s="33"/>
    </row>
    <row r="839" spans="5:13">
      <c r="E839" s="28"/>
      <c r="F839" s="28"/>
      <c r="G839" s="33"/>
      <c r="H839" s="33"/>
      <c r="I839" s="33"/>
      <c r="J839" s="33"/>
      <c r="K839" s="33"/>
      <c r="L839" s="33"/>
      <c r="M839" s="33"/>
    </row>
    <row r="840" spans="5:13">
      <c r="E840" s="28"/>
      <c r="F840" s="28"/>
      <c r="G840" s="33"/>
      <c r="H840" s="33"/>
      <c r="I840" s="33"/>
      <c r="J840" s="33"/>
      <c r="K840" s="33"/>
      <c r="L840" s="33"/>
      <c r="M840" s="33"/>
    </row>
    <row r="841" spans="5:13">
      <c r="E841" s="28"/>
      <c r="F841" s="28"/>
      <c r="G841" s="33"/>
      <c r="H841" s="33"/>
      <c r="I841" s="33"/>
      <c r="J841" s="33"/>
      <c r="K841" s="33"/>
      <c r="L841" s="33"/>
      <c r="M841" s="33"/>
    </row>
    <row r="842" spans="5:13">
      <c r="E842" s="28"/>
      <c r="F842" s="28"/>
      <c r="G842" s="33"/>
      <c r="H842" s="33"/>
      <c r="I842" s="33"/>
      <c r="J842" s="33"/>
      <c r="K842" s="33"/>
      <c r="L842" s="33"/>
      <c r="M842" s="33"/>
    </row>
    <row r="843" spans="5:13">
      <c r="E843" s="28"/>
      <c r="F843" s="28"/>
      <c r="G843" s="33"/>
      <c r="H843" s="33"/>
      <c r="I843" s="33"/>
      <c r="J843" s="33"/>
      <c r="K843" s="33"/>
      <c r="L843" s="33"/>
      <c r="M843" s="33"/>
    </row>
    <row r="844" spans="5:13">
      <c r="E844" s="28"/>
      <c r="F844" s="28"/>
      <c r="G844" s="33"/>
      <c r="H844" s="33"/>
      <c r="I844" s="33"/>
      <c r="J844" s="33"/>
      <c r="K844" s="33"/>
      <c r="L844" s="33"/>
      <c r="M844" s="33"/>
    </row>
    <row r="845" spans="5:13">
      <c r="E845" s="28"/>
      <c r="F845" s="28"/>
      <c r="G845" s="33"/>
      <c r="H845" s="33"/>
      <c r="I845" s="33"/>
      <c r="J845" s="33"/>
      <c r="K845" s="33"/>
      <c r="L845" s="33"/>
      <c r="M845" s="33"/>
    </row>
    <row r="846" spans="5:13">
      <c r="E846" s="28"/>
      <c r="F846" s="28"/>
      <c r="G846" s="33"/>
      <c r="H846" s="33"/>
      <c r="I846" s="33"/>
      <c r="J846" s="33"/>
      <c r="K846" s="33"/>
      <c r="L846" s="33"/>
      <c r="M846" s="33"/>
    </row>
    <row r="847" spans="5:13">
      <c r="E847" s="28"/>
      <c r="F847" s="28"/>
      <c r="G847" s="33"/>
      <c r="H847" s="33"/>
      <c r="I847" s="33"/>
      <c r="J847" s="33"/>
      <c r="K847" s="33"/>
      <c r="L847" s="33"/>
      <c r="M847" s="33"/>
    </row>
    <row r="848" spans="5:13">
      <c r="E848" s="28"/>
      <c r="F848" s="28"/>
      <c r="G848" s="33"/>
      <c r="H848" s="33"/>
      <c r="I848" s="33"/>
      <c r="J848" s="33"/>
      <c r="K848" s="33"/>
      <c r="L848" s="33"/>
      <c r="M848" s="33"/>
    </row>
    <row r="849" spans="5:13">
      <c r="E849" s="28"/>
      <c r="F849" s="28"/>
      <c r="G849" s="33"/>
      <c r="H849" s="33"/>
      <c r="I849" s="33"/>
      <c r="J849" s="33"/>
      <c r="K849" s="33"/>
      <c r="L849" s="33"/>
      <c r="M849" s="33"/>
    </row>
    <row r="850" spans="5:13">
      <c r="E850" s="28"/>
      <c r="F850" s="28"/>
      <c r="G850" s="33"/>
      <c r="H850" s="33"/>
      <c r="I850" s="33"/>
      <c r="J850" s="33"/>
      <c r="K850" s="33"/>
      <c r="L850" s="33"/>
      <c r="M850" s="33"/>
    </row>
    <row r="851" spans="5:13">
      <c r="E851" s="28"/>
      <c r="F851" s="28"/>
      <c r="G851" s="33"/>
      <c r="H851" s="33"/>
      <c r="I851" s="33"/>
      <c r="J851" s="33"/>
      <c r="K851" s="33"/>
      <c r="L851" s="33"/>
      <c r="M851" s="33"/>
    </row>
    <row r="852" spans="5:13">
      <c r="E852" s="28"/>
      <c r="F852" s="28"/>
      <c r="G852" s="33"/>
      <c r="H852" s="33"/>
      <c r="I852" s="33"/>
      <c r="J852" s="33"/>
      <c r="K852" s="33"/>
      <c r="L852" s="33"/>
      <c r="M852" s="33"/>
    </row>
    <row r="853" spans="5:13">
      <c r="E853" s="28"/>
      <c r="F853" s="28"/>
      <c r="G853" s="33"/>
      <c r="H853" s="33"/>
      <c r="I853" s="33"/>
      <c r="J853" s="33"/>
      <c r="K853" s="33"/>
      <c r="L853" s="33"/>
      <c r="M853" s="33"/>
    </row>
    <row r="854" spans="5:13">
      <c r="E854" s="28"/>
      <c r="F854" s="28"/>
      <c r="G854" s="33"/>
      <c r="H854" s="33"/>
      <c r="I854" s="33"/>
      <c r="J854" s="33"/>
      <c r="K854" s="33"/>
      <c r="L854" s="33"/>
      <c r="M854" s="33"/>
    </row>
    <row r="855" spans="5:13">
      <c r="E855" s="28"/>
      <c r="F855" s="28"/>
      <c r="G855" s="33"/>
      <c r="H855" s="33"/>
      <c r="I855" s="33"/>
      <c r="J855" s="33"/>
      <c r="K855" s="33"/>
      <c r="L855" s="33"/>
      <c r="M855" s="33"/>
    </row>
    <row r="856" spans="5:13">
      <c r="E856" s="28"/>
      <c r="F856" s="28"/>
      <c r="G856" s="33"/>
      <c r="H856" s="33"/>
      <c r="I856" s="33"/>
      <c r="J856" s="33"/>
      <c r="K856" s="33"/>
      <c r="L856" s="33"/>
      <c r="M856" s="33"/>
    </row>
    <row r="857" spans="5:13">
      <c r="E857" s="28"/>
      <c r="F857" s="28"/>
      <c r="G857" s="33"/>
      <c r="H857" s="33"/>
      <c r="I857" s="33"/>
      <c r="J857" s="33"/>
      <c r="K857" s="33"/>
      <c r="L857" s="33"/>
      <c r="M857" s="33"/>
    </row>
    <row r="858" spans="5:13">
      <c r="E858" s="28"/>
      <c r="F858" s="28"/>
      <c r="G858" s="33"/>
      <c r="H858" s="33"/>
      <c r="I858" s="33"/>
      <c r="J858" s="33"/>
      <c r="K858" s="33"/>
      <c r="L858" s="33"/>
      <c r="M858" s="33"/>
    </row>
    <row r="859" spans="5:13">
      <c r="E859" s="28"/>
      <c r="F859" s="28"/>
      <c r="G859" s="33"/>
      <c r="H859" s="33"/>
      <c r="I859" s="33"/>
      <c r="J859" s="33"/>
      <c r="K859" s="33"/>
      <c r="L859" s="33"/>
      <c r="M859" s="33"/>
    </row>
    <row r="860" spans="5:13">
      <c r="E860" s="28"/>
      <c r="F860" s="28"/>
      <c r="G860" s="33"/>
      <c r="H860" s="33"/>
      <c r="I860" s="33"/>
      <c r="J860" s="33"/>
      <c r="K860" s="33"/>
      <c r="L860" s="33"/>
      <c r="M860" s="33"/>
    </row>
    <row r="861" spans="5:13">
      <c r="E861" s="28"/>
      <c r="F861" s="28"/>
      <c r="G861" s="33"/>
      <c r="H861" s="33"/>
      <c r="I861" s="33"/>
      <c r="J861" s="33"/>
      <c r="K861" s="33"/>
      <c r="L861" s="33"/>
      <c r="M861" s="33"/>
    </row>
    <row r="862" spans="5:13">
      <c r="E862" s="28"/>
      <c r="F862" s="28"/>
      <c r="G862" s="33"/>
      <c r="H862" s="33"/>
      <c r="I862" s="33"/>
      <c r="J862" s="33"/>
      <c r="K862" s="33"/>
      <c r="L862" s="33"/>
      <c r="M862" s="33"/>
    </row>
    <row r="863" spans="5:13">
      <c r="E863" s="28"/>
      <c r="F863" s="28"/>
      <c r="G863" s="33"/>
      <c r="H863" s="33"/>
      <c r="I863" s="33"/>
      <c r="J863" s="33"/>
      <c r="K863" s="33"/>
      <c r="L863" s="33"/>
      <c r="M863" s="33"/>
    </row>
    <row r="864" spans="5:13">
      <c r="E864" s="28"/>
      <c r="F864" s="28"/>
      <c r="G864" s="33"/>
      <c r="H864" s="33"/>
      <c r="I864" s="33"/>
      <c r="J864" s="33"/>
      <c r="K864" s="33"/>
      <c r="L864" s="33"/>
      <c r="M864" s="33"/>
    </row>
    <row r="865" spans="5:13">
      <c r="E865" s="28"/>
      <c r="F865" s="28"/>
      <c r="G865" s="33"/>
      <c r="H865" s="33"/>
      <c r="I865" s="33"/>
      <c r="J865" s="33"/>
      <c r="K865" s="33"/>
      <c r="L865" s="33"/>
      <c r="M865" s="33"/>
    </row>
    <row r="866" spans="5:13">
      <c r="E866" s="28"/>
      <c r="F866" s="28"/>
      <c r="G866" s="33"/>
      <c r="H866" s="33"/>
      <c r="I866" s="33"/>
      <c r="J866" s="33"/>
      <c r="K866" s="33"/>
      <c r="L866" s="33"/>
      <c r="M866" s="33"/>
    </row>
    <row r="867" spans="5:13">
      <c r="E867" s="28"/>
      <c r="F867" s="28"/>
      <c r="G867" s="33"/>
      <c r="H867" s="33"/>
      <c r="I867" s="33"/>
      <c r="J867" s="33"/>
      <c r="K867" s="33"/>
      <c r="L867" s="33"/>
      <c r="M867" s="33"/>
    </row>
    <row r="868" spans="5:13">
      <c r="E868" s="28"/>
      <c r="F868" s="28"/>
      <c r="G868" s="33"/>
      <c r="H868" s="33"/>
      <c r="I868" s="33"/>
      <c r="J868" s="33"/>
      <c r="K868" s="33"/>
      <c r="L868" s="33"/>
      <c r="M868" s="33"/>
    </row>
    <row r="869" spans="5:13">
      <c r="E869" s="28"/>
      <c r="F869" s="28"/>
      <c r="G869" s="33"/>
      <c r="H869" s="33"/>
      <c r="I869" s="33"/>
      <c r="J869" s="33"/>
      <c r="K869" s="33"/>
      <c r="L869" s="33"/>
      <c r="M869" s="33"/>
    </row>
    <row r="870" spans="5:13">
      <c r="E870" s="28"/>
      <c r="F870" s="28"/>
      <c r="G870" s="33"/>
      <c r="H870" s="33"/>
      <c r="I870" s="33"/>
      <c r="J870" s="33"/>
      <c r="K870" s="33"/>
      <c r="L870" s="33"/>
      <c r="M870" s="33"/>
    </row>
    <row r="871" spans="5:13">
      <c r="E871" s="28"/>
      <c r="F871" s="28"/>
      <c r="G871" s="33"/>
      <c r="H871" s="33"/>
      <c r="I871" s="33"/>
      <c r="J871" s="33"/>
      <c r="K871" s="33"/>
      <c r="L871" s="33"/>
      <c r="M871" s="33"/>
    </row>
    <row r="872" spans="5:13">
      <c r="E872" s="28"/>
      <c r="F872" s="28"/>
      <c r="G872" s="33"/>
      <c r="H872" s="33"/>
      <c r="I872" s="33"/>
      <c r="J872" s="33"/>
      <c r="K872" s="33"/>
      <c r="L872" s="33"/>
      <c r="M872" s="33"/>
    </row>
    <row r="873" spans="5:13">
      <c r="E873" s="28"/>
      <c r="F873" s="28"/>
      <c r="G873" s="33"/>
      <c r="H873" s="33"/>
      <c r="I873" s="33"/>
      <c r="J873" s="33"/>
      <c r="K873" s="33"/>
      <c r="L873" s="33"/>
      <c r="M873" s="33"/>
    </row>
    <row r="874" spans="5:13">
      <c r="E874" s="28"/>
      <c r="F874" s="28"/>
      <c r="G874" s="33"/>
      <c r="H874" s="33"/>
      <c r="I874" s="33"/>
      <c r="J874" s="33"/>
      <c r="K874" s="33"/>
      <c r="L874" s="33"/>
      <c r="M874" s="33"/>
    </row>
    <row r="875" spans="5:13">
      <c r="E875" s="28"/>
      <c r="F875" s="28"/>
      <c r="G875" s="33"/>
      <c r="H875" s="33"/>
      <c r="I875" s="33"/>
      <c r="J875" s="33"/>
      <c r="K875" s="33"/>
      <c r="L875" s="33"/>
      <c r="M875" s="33"/>
    </row>
    <row r="876" spans="5:13">
      <c r="E876" s="28"/>
      <c r="F876" s="28"/>
      <c r="G876" s="33"/>
      <c r="H876" s="33"/>
      <c r="I876" s="33"/>
      <c r="J876" s="33"/>
      <c r="K876" s="33"/>
      <c r="L876" s="33"/>
      <c r="M876" s="33"/>
    </row>
    <row r="877" spans="5:13">
      <c r="E877" s="28"/>
      <c r="F877" s="28"/>
      <c r="G877" s="33"/>
      <c r="H877" s="33"/>
      <c r="I877" s="33"/>
      <c r="J877" s="33"/>
      <c r="K877" s="33"/>
      <c r="L877" s="33"/>
      <c r="M877" s="33"/>
    </row>
    <row r="878" spans="5:13">
      <c r="E878" s="28"/>
      <c r="F878" s="28"/>
      <c r="G878" s="33"/>
      <c r="H878" s="33"/>
      <c r="I878" s="33"/>
      <c r="J878" s="33"/>
      <c r="K878" s="33"/>
      <c r="L878" s="33"/>
      <c r="M878" s="33"/>
    </row>
    <row r="879" spans="5:13">
      <c r="E879" s="28"/>
      <c r="F879" s="28"/>
      <c r="G879" s="33"/>
      <c r="H879" s="33"/>
      <c r="I879" s="33"/>
      <c r="J879" s="33"/>
      <c r="K879" s="33"/>
      <c r="L879" s="33"/>
      <c r="M879" s="33"/>
    </row>
    <row r="880" spans="5:13">
      <c r="E880" s="28"/>
      <c r="F880" s="28"/>
      <c r="G880" s="33"/>
      <c r="H880" s="33"/>
      <c r="I880" s="33"/>
      <c r="J880" s="33"/>
      <c r="K880" s="33"/>
      <c r="L880" s="33"/>
      <c r="M880" s="33"/>
    </row>
    <row r="881" spans="5:13">
      <c r="E881" s="28"/>
      <c r="F881" s="28"/>
      <c r="G881" s="33"/>
      <c r="H881" s="33"/>
      <c r="I881" s="33"/>
      <c r="J881" s="33"/>
      <c r="K881" s="33"/>
      <c r="L881" s="33"/>
      <c r="M881" s="33"/>
    </row>
    <row r="882" spans="5:13">
      <c r="E882" s="28"/>
      <c r="F882" s="28"/>
      <c r="G882" s="33"/>
      <c r="H882" s="33"/>
      <c r="I882" s="33"/>
      <c r="J882" s="33"/>
      <c r="K882" s="33"/>
      <c r="L882" s="33"/>
      <c r="M882" s="33"/>
    </row>
    <row r="883" spans="5:13">
      <c r="E883" s="28"/>
      <c r="F883" s="28"/>
      <c r="G883" s="33"/>
      <c r="H883" s="33"/>
      <c r="I883" s="33"/>
      <c r="J883" s="33"/>
      <c r="K883" s="33"/>
      <c r="L883" s="33"/>
      <c r="M883" s="33"/>
    </row>
    <row r="884" spans="5:13">
      <c r="E884" s="28"/>
      <c r="F884" s="28"/>
      <c r="G884" s="33"/>
      <c r="H884" s="33"/>
      <c r="I884" s="33"/>
      <c r="J884" s="33"/>
      <c r="K884" s="33"/>
      <c r="L884" s="33"/>
      <c r="M884" s="33"/>
    </row>
    <row r="885" spans="5:13">
      <c r="E885" s="28"/>
      <c r="F885" s="28"/>
      <c r="G885" s="33"/>
      <c r="H885" s="33"/>
      <c r="I885" s="33"/>
      <c r="J885" s="33"/>
      <c r="K885" s="33"/>
      <c r="L885" s="33"/>
      <c r="M885" s="33"/>
    </row>
    <row r="886" spans="5:13">
      <c r="E886" s="28"/>
      <c r="F886" s="28"/>
      <c r="G886" s="33"/>
      <c r="H886" s="33"/>
      <c r="I886" s="33"/>
      <c r="J886" s="33"/>
      <c r="K886" s="33"/>
      <c r="L886" s="33"/>
      <c r="M886" s="33"/>
    </row>
    <row r="887" spans="5:13">
      <c r="E887" s="28"/>
      <c r="F887" s="28"/>
      <c r="G887" s="33"/>
      <c r="H887" s="33"/>
      <c r="I887" s="33"/>
      <c r="J887" s="33"/>
      <c r="K887" s="33"/>
      <c r="L887" s="33"/>
      <c r="M887" s="33"/>
    </row>
    <row r="888" spans="5:13">
      <c r="E888" s="28"/>
      <c r="F888" s="28"/>
      <c r="G888" s="33"/>
      <c r="H888" s="33"/>
      <c r="I888" s="33"/>
      <c r="J888" s="33"/>
      <c r="K888" s="33"/>
      <c r="L888" s="33"/>
      <c r="M888" s="33"/>
    </row>
    <row r="889" spans="5:13">
      <c r="E889" s="28"/>
      <c r="F889" s="28"/>
      <c r="G889" s="33"/>
      <c r="H889" s="33"/>
      <c r="I889" s="33"/>
      <c r="J889" s="33"/>
      <c r="K889" s="33"/>
      <c r="L889" s="33"/>
      <c r="M889" s="33"/>
    </row>
    <row r="890" spans="5:13">
      <c r="E890" s="28"/>
      <c r="F890" s="28"/>
      <c r="G890" s="33"/>
      <c r="H890" s="33"/>
      <c r="I890" s="33"/>
      <c r="J890" s="33"/>
      <c r="K890" s="33"/>
      <c r="L890" s="33"/>
      <c r="M890" s="33"/>
    </row>
    <row r="891" spans="5:13">
      <c r="E891" s="28"/>
      <c r="F891" s="28"/>
      <c r="G891" s="33"/>
      <c r="H891" s="33"/>
      <c r="I891" s="33"/>
      <c r="J891" s="33"/>
      <c r="K891" s="33"/>
      <c r="L891" s="33"/>
      <c r="M891" s="33"/>
    </row>
    <row r="892" spans="5:13">
      <c r="E892" s="28"/>
      <c r="F892" s="28"/>
      <c r="G892" s="33"/>
      <c r="H892" s="33"/>
      <c r="I892" s="33"/>
      <c r="J892" s="33"/>
      <c r="K892" s="33"/>
      <c r="L892" s="33"/>
      <c r="M892" s="33"/>
    </row>
    <row r="893" spans="5:13">
      <c r="E893" s="28"/>
      <c r="F893" s="28"/>
      <c r="G893" s="33"/>
      <c r="H893" s="33"/>
      <c r="I893" s="33"/>
      <c r="J893" s="33"/>
      <c r="K893" s="33"/>
      <c r="L893" s="33"/>
      <c r="M893" s="33"/>
    </row>
    <row r="894" spans="5:13">
      <c r="E894" s="28"/>
      <c r="F894" s="28"/>
      <c r="G894" s="33"/>
      <c r="H894" s="33"/>
      <c r="I894" s="33"/>
      <c r="J894" s="33"/>
      <c r="K894" s="33"/>
      <c r="L894" s="33"/>
      <c r="M894" s="33"/>
    </row>
    <row r="895" spans="5:13">
      <c r="E895" s="28"/>
      <c r="F895" s="28"/>
      <c r="G895" s="33"/>
      <c r="H895" s="33"/>
      <c r="I895" s="33"/>
      <c r="J895" s="33"/>
      <c r="K895" s="33"/>
      <c r="L895" s="33"/>
      <c r="M895" s="33"/>
    </row>
    <row r="896" spans="5:13">
      <c r="E896" s="28"/>
      <c r="F896" s="28"/>
      <c r="G896" s="33"/>
      <c r="H896" s="33"/>
      <c r="I896" s="33"/>
      <c r="J896" s="33"/>
      <c r="K896" s="33"/>
      <c r="L896" s="33"/>
      <c r="M896" s="33"/>
    </row>
    <row r="897" spans="5:13">
      <c r="E897" s="28"/>
      <c r="F897" s="28"/>
      <c r="G897" s="33"/>
      <c r="H897" s="33"/>
      <c r="I897" s="33"/>
      <c r="J897" s="33"/>
      <c r="K897" s="33"/>
      <c r="L897" s="33"/>
      <c r="M897" s="33"/>
    </row>
    <row r="898" spans="5:13">
      <c r="E898" s="28"/>
      <c r="F898" s="28"/>
      <c r="G898" s="33"/>
      <c r="H898" s="33"/>
      <c r="I898" s="33"/>
      <c r="J898" s="33"/>
      <c r="K898" s="33"/>
      <c r="L898" s="33"/>
      <c r="M898" s="33"/>
    </row>
    <row r="899" spans="5:13">
      <c r="E899" s="28"/>
      <c r="F899" s="28"/>
      <c r="G899" s="33"/>
      <c r="H899" s="33"/>
      <c r="I899" s="33"/>
      <c r="J899" s="33"/>
      <c r="K899" s="33"/>
      <c r="L899" s="33"/>
      <c r="M899" s="33"/>
    </row>
    <row r="900" spans="5:13">
      <c r="E900" s="28"/>
      <c r="F900" s="28"/>
      <c r="G900" s="33"/>
      <c r="H900" s="33"/>
      <c r="I900" s="33"/>
      <c r="J900" s="33"/>
      <c r="K900" s="33"/>
      <c r="L900" s="33"/>
      <c r="M900" s="33"/>
    </row>
    <row r="901" spans="5:13">
      <c r="E901" s="28"/>
      <c r="F901" s="28"/>
      <c r="G901" s="33"/>
      <c r="H901" s="33"/>
      <c r="I901" s="33"/>
      <c r="J901" s="33"/>
      <c r="K901" s="33"/>
      <c r="L901" s="33"/>
      <c r="M901" s="33"/>
    </row>
    <row r="902" spans="5:13">
      <c r="E902" s="28"/>
      <c r="F902" s="28"/>
      <c r="G902" s="33"/>
      <c r="H902" s="33"/>
      <c r="I902" s="33"/>
      <c r="J902" s="33"/>
      <c r="K902" s="33"/>
      <c r="L902" s="33"/>
      <c r="M902" s="33"/>
    </row>
    <row r="903" spans="5:13">
      <c r="E903" s="28"/>
      <c r="F903" s="28"/>
      <c r="G903" s="33"/>
      <c r="H903" s="33"/>
      <c r="I903" s="33"/>
      <c r="J903" s="33"/>
      <c r="K903" s="33"/>
      <c r="L903" s="33"/>
      <c r="M903" s="33"/>
    </row>
    <row r="904" spans="5:13">
      <c r="E904" s="28"/>
      <c r="F904" s="28"/>
      <c r="G904" s="33"/>
      <c r="H904" s="33"/>
      <c r="I904" s="33"/>
      <c r="J904" s="33"/>
      <c r="K904" s="33"/>
      <c r="L904" s="33"/>
      <c r="M904" s="33"/>
    </row>
    <row r="905" spans="5:13">
      <c r="E905" s="28"/>
      <c r="F905" s="28"/>
      <c r="G905" s="33"/>
      <c r="H905" s="33"/>
      <c r="I905" s="33"/>
      <c r="J905" s="33"/>
      <c r="K905" s="33"/>
      <c r="L905" s="33"/>
      <c r="M905" s="33"/>
    </row>
    <row r="906" spans="5:13">
      <c r="E906" s="28"/>
      <c r="F906" s="28"/>
      <c r="G906" s="33"/>
      <c r="H906" s="33"/>
      <c r="I906" s="33"/>
      <c r="J906" s="33"/>
      <c r="K906" s="33"/>
      <c r="L906" s="33"/>
      <c r="M906" s="33"/>
    </row>
    <row r="907" spans="5:13">
      <c r="E907" s="28"/>
      <c r="F907" s="28"/>
      <c r="G907" s="33"/>
      <c r="H907" s="33"/>
      <c r="I907" s="33"/>
      <c r="J907" s="33"/>
      <c r="K907" s="33"/>
      <c r="L907" s="33"/>
      <c r="M907" s="33"/>
    </row>
    <row r="908" spans="5:13">
      <c r="E908" s="28"/>
      <c r="F908" s="28"/>
      <c r="G908" s="33"/>
      <c r="H908" s="33"/>
      <c r="I908" s="33"/>
      <c r="J908" s="33"/>
      <c r="K908" s="33"/>
      <c r="L908" s="33"/>
      <c r="M908" s="33"/>
    </row>
    <row r="909" spans="5:13">
      <c r="E909" s="28"/>
      <c r="F909" s="28"/>
      <c r="G909" s="33"/>
      <c r="H909" s="33"/>
      <c r="I909" s="33"/>
      <c r="J909" s="33"/>
      <c r="K909" s="33"/>
      <c r="L909" s="33"/>
      <c r="M909" s="33"/>
    </row>
    <row r="910" spans="5:13">
      <c r="E910" s="28"/>
      <c r="F910" s="28"/>
      <c r="G910" s="33"/>
      <c r="H910" s="33"/>
      <c r="I910" s="33"/>
      <c r="J910" s="33"/>
      <c r="K910" s="33"/>
      <c r="L910" s="33"/>
      <c r="M910" s="33"/>
    </row>
    <row r="911" spans="5:13">
      <c r="E911" s="28"/>
      <c r="F911" s="28"/>
      <c r="G911" s="33"/>
      <c r="H911" s="33"/>
      <c r="I911" s="33"/>
      <c r="J911" s="33"/>
      <c r="K911" s="33"/>
      <c r="L911" s="33"/>
      <c r="M911" s="33"/>
    </row>
    <row r="912" spans="5:13">
      <c r="E912" s="28"/>
      <c r="F912" s="28"/>
      <c r="G912" s="33"/>
      <c r="H912" s="33"/>
      <c r="I912" s="33"/>
      <c r="J912" s="33"/>
      <c r="K912" s="33"/>
      <c r="L912" s="33"/>
      <c r="M912" s="33"/>
    </row>
    <row r="913" spans="5:13">
      <c r="E913" s="28"/>
      <c r="F913" s="28"/>
      <c r="G913" s="33"/>
      <c r="H913" s="33"/>
      <c r="I913" s="33"/>
      <c r="J913" s="33"/>
      <c r="K913" s="33"/>
      <c r="L913" s="33"/>
      <c r="M913" s="33"/>
    </row>
    <row r="914" spans="5:13">
      <c r="E914" s="28"/>
      <c r="F914" s="28"/>
      <c r="G914" s="33"/>
      <c r="H914" s="33"/>
      <c r="I914" s="33"/>
      <c r="J914" s="33"/>
      <c r="K914" s="33"/>
      <c r="L914" s="33"/>
      <c r="M914" s="33"/>
    </row>
    <row r="915" spans="5:13">
      <c r="E915" s="28"/>
      <c r="F915" s="28"/>
      <c r="G915" s="33"/>
      <c r="H915" s="33"/>
      <c r="I915" s="33"/>
      <c r="J915" s="33"/>
      <c r="K915" s="33"/>
      <c r="L915" s="33"/>
      <c r="M915" s="33"/>
    </row>
    <row r="916" spans="5:13">
      <c r="E916" s="28"/>
      <c r="F916" s="28"/>
      <c r="G916" s="33"/>
      <c r="H916" s="33"/>
      <c r="I916" s="33"/>
      <c r="J916" s="33"/>
      <c r="K916" s="33"/>
      <c r="L916" s="33"/>
      <c r="M916" s="33"/>
    </row>
    <row r="917" spans="5:13">
      <c r="E917" s="28"/>
      <c r="F917" s="28"/>
      <c r="G917" s="33"/>
      <c r="H917" s="33"/>
      <c r="I917" s="33"/>
      <c r="J917" s="33"/>
      <c r="K917" s="33"/>
      <c r="L917" s="33"/>
      <c r="M917" s="33"/>
    </row>
    <row r="918" spans="5:13">
      <c r="E918" s="28"/>
      <c r="F918" s="28"/>
      <c r="G918" s="33"/>
      <c r="H918" s="33"/>
      <c r="I918" s="33"/>
      <c r="J918" s="33"/>
      <c r="K918" s="33"/>
      <c r="L918" s="33"/>
      <c r="M918" s="33"/>
    </row>
    <row r="919" spans="5:13">
      <c r="E919" s="28"/>
      <c r="F919" s="28"/>
      <c r="G919" s="33"/>
      <c r="H919" s="33"/>
      <c r="I919" s="33"/>
      <c r="J919" s="33"/>
      <c r="K919" s="33"/>
      <c r="L919" s="33"/>
      <c r="M919" s="33"/>
    </row>
    <row r="920" spans="5:13">
      <c r="E920" s="28"/>
      <c r="F920" s="28"/>
      <c r="G920" s="33"/>
      <c r="H920" s="33"/>
      <c r="I920" s="33"/>
      <c r="J920" s="33"/>
      <c r="K920" s="33"/>
      <c r="L920" s="33"/>
      <c r="M920" s="33"/>
    </row>
    <row r="921" spans="5:13">
      <c r="E921" s="28"/>
      <c r="F921" s="28"/>
      <c r="G921" s="33"/>
      <c r="H921" s="33"/>
      <c r="I921" s="33"/>
      <c r="J921" s="33"/>
      <c r="K921" s="33"/>
      <c r="L921" s="33"/>
      <c r="M921" s="33"/>
    </row>
    <row r="922" spans="5:13">
      <c r="E922" s="28"/>
      <c r="F922" s="28"/>
      <c r="G922" s="33"/>
      <c r="H922" s="33"/>
      <c r="I922" s="33"/>
      <c r="J922" s="33"/>
      <c r="K922" s="33"/>
      <c r="L922" s="33"/>
      <c r="M922" s="33"/>
    </row>
    <row r="923" spans="5:13">
      <c r="E923" s="28"/>
      <c r="F923" s="28"/>
      <c r="G923" s="33"/>
      <c r="H923" s="33"/>
      <c r="I923" s="33"/>
      <c r="J923" s="33"/>
      <c r="K923" s="33"/>
      <c r="L923" s="33"/>
      <c r="M923" s="33"/>
    </row>
    <row r="924" spans="5:13">
      <c r="E924" s="28"/>
      <c r="F924" s="28"/>
      <c r="G924" s="33"/>
      <c r="H924" s="33"/>
      <c r="I924" s="33"/>
      <c r="J924" s="33"/>
      <c r="K924" s="33"/>
      <c r="L924" s="33"/>
      <c r="M924" s="33"/>
    </row>
    <row r="925" spans="5:13">
      <c r="E925" s="28"/>
      <c r="F925" s="28"/>
      <c r="G925" s="33"/>
      <c r="H925" s="33"/>
      <c r="I925" s="33"/>
      <c r="J925" s="33"/>
      <c r="K925" s="33"/>
      <c r="L925" s="33"/>
      <c r="M925" s="33"/>
    </row>
    <row r="926" spans="5:13">
      <c r="E926" s="28"/>
      <c r="F926" s="28"/>
      <c r="G926" s="33"/>
      <c r="H926" s="33"/>
      <c r="I926" s="33"/>
      <c r="J926" s="33"/>
      <c r="K926" s="33"/>
      <c r="L926" s="33"/>
      <c r="M926" s="33"/>
    </row>
    <row r="927" spans="5:13">
      <c r="E927" s="28"/>
      <c r="F927" s="28"/>
      <c r="G927" s="33"/>
      <c r="H927" s="33"/>
      <c r="I927" s="33"/>
      <c r="J927" s="33"/>
      <c r="K927" s="33"/>
      <c r="L927" s="33"/>
      <c r="M927" s="33"/>
    </row>
    <row r="928" spans="5:13">
      <c r="E928" s="28"/>
      <c r="F928" s="28"/>
      <c r="G928" s="33"/>
      <c r="H928" s="33"/>
      <c r="I928" s="33"/>
      <c r="J928" s="33"/>
      <c r="K928" s="33"/>
      <c r="L928" s="33"/>
      <c r="M928" s="33"/>
    </row>
    <row r="929" spans="5:13">
      <c r="E929" s="28"/>
      <c r="F929" s="28"/>
      <c r="G929" s="33"/>
      <c r="H929" s="33"/>
      <c r="I929" s="33"/>
      <c r="J929" s="33"/>
      <c r="K929" s="33"/>
      <c r="L929" s="33"/>
      <c r="M929" s="33"/>
    </row>
    <row r="930" spans="5:13">
      <c r="E930" s="28"/>
      <c r="F930" s="28"/>
      <c r="G930" s="33"/>
      <c r="H930" s="33"/>
      <c r="I930" s="33"/>
      <c r="J930" s="33"/>
      <c r="K930" s="33"/>
      <c r="L930" s="33"/>
      <c r="M930" s="33"/>
    </row>
    <row r="931" spans="5:13">
      <c r="E931" s="28"/>
      <c r="F931" s="28"/>
      <c r="G931" s="33"/>
      <c r="H931" s="33"/>
      <c r="I931" s="33"/>
      <c r="J931" s="33"/>
      <c r="K931" s="33"/>
      <c r="L931" s="33"/>
      <c r="M931" s="33"/>
    </row>
    <row r="932" spans="5:13">
      <c r="E932" s="28"/>
      <c r="F932" s="28"/>
      <c r="G932" s="33"/>
      <c r="H932" s="33"/>
      <c r="I932" s="33"/>
      <c r="J932" s="33"/>
      <c r="K932" s="33"/>
      <c r="L932" s="33"/>
      <c r="M932" s="33"/>
    </row>
    <row r="933" spans="5:13">
      <c r="E933" s="28"/>
      <c r="F933" s="28"/>
      <c r="G933" s="33"/>
      <c r="H933" s="33"/>
      <c r="I933" s="33"/>
      <c r="J933" s="33"/>
      <c r="K933" s="33"/>
      <c r="L933" s="33"/>
      <c r="M933" s="33"/>
    </row>
    <row r="934" spans="5:13">
      <c r="E934" s="28"/>
      <c r="F934" s="28"/>
      <c r="G934" s="33"/>
      <c r="H934" s="33"/>
      <c r="I934" s="33"/>
      <c r="J934" s="33"/>
      <c r="K934" s="33"/>
      <c r="L934" s="33"/>
      <c r="M934" s="33"/>
    </row>
    <row r="935" spans="5:13">
      <c r="E935" s="28"/>
      <c r="F935" s="28"/>
      <c r="G935" s="33"/>
      <c r="H935" s="33"/>
      <c r="I935" s="33"/>
      <c r="J935" s="33"/>
      <c r="K935" s="33"/>
      <c r="L935" s="33"/>
      <c r="M935" s="33"/>
    </row>
    <row r="936" spans="5:13">
      <c r="E936" s="28"/>
      <c r="F936" s="28"/>
      <c r="G936" s="33"/>
      <c r="H936" s="33"/>
      <c r="I936" s="33"/>
      <c r="J936" s="33"/>
      <c r="K936" s="33"/>
      <c r="L936" s="33"/>
      <c r="M936" s="33"/>
    </row>
    <row r="937" spans="5:13">
      <c r="E937" s="28"/>
      <c r="F937" s="28"/>
      <c r="G937" s="33"/>
      <c r="H937" s="33"/>
      <c r="I937" s="33"/>
      <c r="J937" s="33"/>
      <c r="K937" s="33"/>
      <c r="L937" s="33"/>
      <c r="M937" s="33"/>
    </row>
    <row r="938" spans="5:13">
      <c r="E938" s="28"/>
      <c r="F938" s="28"/>
      <c r="G938" s="33"/>
      <c r="H938" s="33"/>
      <c r="I938" s="33"/>
      <c r="J938" s="33"/>
      <c r="K938" s="33"/>
      <c r="L938" s="33"/>
      <c r="M938" s="33"/>
    </row>
    <row r="939" spans="5:13">
      <c r="E939" s="28"/>
      <c r="F939" s="28"/>
      <c r="G939" s="33"/>
      <c r="H939" s="33"/>
      <c r="I939" s="33"/>
      <c r="J939" s="33"/>
      <c r="K939" s="33"/>
      <c r="L939" s="33"/>
      <c r="M939" s="33"/>
    </row>
    <row r="940" spans="5:13">
      <c r="E940" s="28"/>
      <c r="F940" s="28"/>
      <c r="G940" s="33"/>
      <c r="H940" s="33"/>
      <c r="I940" s="33"/>
      <c r="J940" s="33"/>
      <c r="K940" s="33"/>
      <c r="L940" s="33"/>
      <c r="M940" s="33"/>
    </row>
    <row r="941" spans="5:13">
      <c r="E941" s="28"/>
      <c r="F941" s="28"/>
      <c r="G941" s="33"/>
      <c r="H941" s="33"/>
      <c r="I941" s="33"/>
      <c r="J941" s="33"/>
      <c r="K941" s="33"/>
      <c r="L941" s="33"/>
      <c r="M941" s="33"/>
    </row>
    <row r="942" spans="5:13">
      <c r="E942" s="28"/>
      <c r="F942" s="28"/>
      <c r="G942" s="33"/>
      <c r="H942" s="33"/>
      <c r="I942" s="33"/>
      <c r="J942" s="33"/>
      <c r="K942" s="33"/>
      <c r="L942" s="33"/>
      <c r="M942" s="33"/>
    </row>
    <row r="943" spans="5:13">
      <c r="E943" s="28"/>
      <c r="F943" s="28"/>
      <c r="G943" s="33"/>
      <c r="H943" s="33"/>
      <c r="I943" s="33"/>
      <c r="J943" s="33"/>
      <c r="K943" s="33"/>
      <c r="L943" s="33"/>
      <c r="M943" s="33"/>
    </row>
    <row r="944" spans="5:13">
      <c r="E944" s="28"/>
      <c r="F944" s="28"/>
      <c r="G944" s="33"/>
      <c r="H944" s="33"/>
      <c r="I944" s="33"/>
      <c r="J944" s="33"/>
      <c r="K944" s="33"/>
      <c r="L944" s="33"/>
      <c r="M944" s="33"/>
    </row>
    <row r="945" spans="5:13">
      <c r="E945" s="28"/>
      <c r="F945" s="28"/>
      <c r="G945" s="33"/>
      <c r="H945" s="33"/>
      <c r="I945" s="33"/>
      <c r="J945" s="33"/>
      <c r="K945" s="33"/>
      <c r="L945" s="33"/>
      <c r="M945" s="33"/>
    </row>
    <row r="946" spans="5:13">
      <c r="E946" s="28"/>
      <c r="F946" s="28"/>
      <c r="G946" s="33"/>
      <c r="H946" s="33"/>
      <c r="I946" s="33"/>
      <c r="J946" s="33"/>
      <c r="K946" s="33"/>
      <c r="L946" s="33"/>
      <c r="M946" s="33"/>
    </row>
    <row r="947" spans="5:13">
      <c r="E947" s="28"/>
      <c r="F947" s="28"/>
      <c r="G947" s="33"/>
      <c r="H947" s="33"/>
      <c r="I947" s="33"/>
      <c r="J947" s="33"/>
      <c r="K947" s="33"/>
      <c r="L947" s="33"/>
      <c r="M947" s="33"/>
    </row>
    <row r="948" spans="5:13">
      <c r="E948" s="28"/>
      <c r="F948" s="28"/>
      <c r="G948" s="33"/>
      <c r="H948" s="33"/>
      <c r="I948" s="33"/>
      <c r="J948" s="33"/>
      <c r="K948" s="33"/>
      <c r="L948" s="33"/>
      <c r="M948" s="33"/>
    </row>
    <row r="949" spans="5:13">
      <c r="E949" s="28"/>
      <c r="F949" s="28"/>
      <c r="G949" s="33"/>
      <c r="H949" s="33"/>
      <c r="I949" s="33"/>
      <c r="J949" s="33"/>
      <c r="K949" s="33"/>
      <c r="L949" s="33"/>
      <c r="M949" s="33"/>
    </row>
    <row r="950" spans="5:13">
      <c r="E950" s="28"/>
      <c r="F950" s="28"/>
      <c r="G950" s="33"/>
      <c r="H950" s="33"/>
      <c r="I950" s="33"/>
      <c r="J950" s="33"/>
      <c r="K950" s="33"/>
      <c r="L950" s="33"/>
      <c r="M950" s="33"/>
    </row>
    <row r="951" spans="5:13">
      <c r="E951" s="28"/>
      <c r="F951" s="28"/>
      <c r="G951" s="33"/>
      <c r="H951" s="33"/>
      <c r="I951" s="33"/>
      <c r="J951" s="33"/>
      <c r="K951" s="33"/>
      <c r="L951" s="33"/>
      <c r="M951" s="33"/>
    </row>
    <row r="952" spans="5:13">
      <c r="E952" s="28"/>
      <c r="F952" s="28"/>
      <c r="G952" s="33"/>
      <c r="H952" s="33"/>
      <c r="I952" s="33"/>
      <c r="J952" s="33"/>
      <c r="K952" s="33"/>
      <c r="L952" s="33"/>
      <c r="M952" s="33"/>
    </row>
    <row r="953" spans="5:13">
      <c r="E953" s="28"/>
      <c r="F953" s="28"/>
      <c r="G953" s="33"/>
      <c r="H953" s="33"/>
      <c r="I953" s="33"/>
      <c r="J953" s="33"/>
      <c r="K953" s="33"/>
      <c r="L953" s="33"/>
      <c r="M953" s="33"/>
    </row>
    <row r="954" spans="5:13">
      <c r="E954" s="28"/>
      <c r="F954" s="28"/>
      <c r="G954" s="33"/>
      <c r="H954" s="33"/>
      <c r="I954" s="33"/>
      <c r="J954" s="33"/>
      <c r="K954" s="33"/>
      <c r="L954" s="33"/>
      <c r="M954" s="33"/>
    </row>
    <row r="955" spans="5:13">
      <c r="E955" s="28"/>
      <c r="F955" s="28"/>
      <c r="G955" s="33"/>
      <c r="H955" s="33"/>
      <c r="I955" s="33"/>
      <c r="J955" s="33"/>
      <c r="K955" s="33"/>
      <c r="L955" s="33"/>
      <c r="M955" s="33"/>
    </row>
    <row r="956" spans="5:13">
      <c r="E956" s="28"/>
      <c r="F956" s="28"/>
      <c r="G956" s="33"/>
      <c r="H956" s="33"/>
      <c r="I956" s="33"/>
      <c r="J956" s="33"/>
      <c r="K956" s="33"/>
      <c r="L956" s="33"/>
      <c r="M956" s="33"/>
    </row>
    <row r="957" spans="5:13">
      <c r="E957" s="28"/>
      <c r="F957" s="28"/>
      <c r="G957" s="33"/>
      <c r="H957" s="33"/>
      <c r="I957" s="33"/>
      <c r="J957" s="33"/>
      <c r="K957" s="33"/>
      <c r="L957" s="33"/>
      <c r="M957" s="33"/>
    </row>
    <row r="958" spans="5:13">
      <c r="E958" s="28"/>
      <c r="F958" s="28"/>
      <c r="G958" s="33"/>
      <c r="H958" s="33"/>
      <c r="I958" s="33"/>
      <c r="J958" s="33"/>
      <c r="K958" s="33"/>
      <c r="L958" s="33"/>
      <c r="M958" s="33"/>
    </row>
    <row r="959" spans="5:13">
      <c r="E959" s="28"/>
      <c r="F959" s="28"/>
      <c r="G959" s="33"/>
      <c r="H959" s="33"/>
      <c r="I959" s="33"/>
      <c r="J959" s="33"/>
      <c r="K959" s="33"/>
      <c r="L959" s="33"/>
      <c r="M959" s="33"/>
    </row>
    <row r="960" spans="5:13">
      <c r="E960" s="28"/>
      <c r="F960" s="28"/>
      <c r="G960" s="33"/>
      <c r="H960" s="33"/>
      <c r="I960" s="33"/>
      <c r="J960" s="33"/>
      <c r="K960" s="33"/>
      <c r="L960" s="33"/>
      <c r="M960" s="33"/>
    </row>
    <row r="961" spans="5:13">
      <c r="E961" s="28"/>
      <c r="F961" s="28"/>
      <c r="G961" s="33"/>
      <c r="H961" s="33"/>
      <c r="I961" s="33"/>
      <c r="J961" s="33"/>
      <c r="K961" s="33"/>
      <c r="L961" s="33"/>
      <c r="M961" s="33"/>
    </row>
    <row r="962" spans="5:13">
      <c r="E962" s="28"/>
      <c r="F962" s="28"/>
      <c r="G962" s="33"/>
      <c r="H962" s="33"/>
      <c r="I962" s="33"/>
      <c r="J962" s="33"/>
      <c r="K962" s="33"/>
      <c r="L962" s="33"/>
      <c r="M962" s="33"/>
    </row>
    <row r="963" spans="5:13">
      <c r="E963" s="28"/>
      <c r="F963" s="28"/>
      <c r="G963" s="33"/>
      <c r="H963" s="33"/>
      <c r="I963" s="33"/>
      <c r="J963" s="33"/>
      <c r="K963" s="33"/>
      <c r="L963" s="33"/>
      <c r="M963" s="33"/>
    </row>
    <row r="964" spans="5:13">
      <c r="E964" s="28"/>
      <c r="F964" s="28"/>
      <c r="G964" s="33"/>
      <c r="H964" s="33"/>
      <c r="I964" s="33"/>
      <c r="J964" s="33"/>
      <c r="K964" s="33"/>
      <c r="L964" s="33"/>
      <c r="M964" s="33"/>
    </row>
    <row r="965" spans="5:13">
      <c r="E965" s="28"/>
      <c r="F965" s="28"/>
      <c r="G965" s="33"/>
      <c r="H965" s="33"/>
      <c r="I965" s="33"/>
      <c r="J965" s="33"/>
      <c r="K965" s="33"/>
      <c r="L965" s="33"/>
      <c r="M965" s="33"/>
    </row>
    <row r="966" spans="5:13">
      <c r="E966" s="28"/>
      <c r="F966" s="28"/>
      <c r="G966" s="33"/>
      <c r="H966" s="33"/>
      <c r="I966" s="33"/>
      <c r="J966" s="33"/>
      <c r="K966" s="33"/>
      <c r="L966" s="33"/>
      <c r="M966" s="33"/>
    </row>
    <row r="967" spans="5:13">
      <c r="E967" s="28"/>
      <c r="F967" s="28"/>
      <c r="G967" s="33"/>
      <c r="H967" s="33"/>
      <c r="I967" s="33"/>
      <c r="J967" s="33"/>
      <c r="K967" s="33"/>
      <c r="L967" s="33"/>
      <c r="M967" s="33"/>
    </row>
    <row r="968" spans="5:13">
      <c r="E968" s="28"/>
      <c r="F968" s="28"/>
      <c r="G968" s="33"/>
      <c r="H968" s="33"/>
      <c r="I968" s="33"/>
      <c r="J968" s="33"/>
      <c r="K968" s="33"/>
      <c r="L968" s="33"/>
      <c r="M968" s="33"/>
    </row>
    <row r="969" spans="5:13">
      <c r="E969" s="28"/>
      <c r="F969" s="28"/>
      <c r="G969" s="33"/>
      <c r="H969" s="33"/>
      <c r="I969" s="33"/>
      <c r="J969" s="33"/>
      <c r="K969" s="33"/>
      <c r="L969" s="33"/>
      <c r="M969" s="33"/>
    </row>
    <row r="970" spans="5:13">
      <c r="E970" s="28"/>
      <c r="F970" s="28"/>
      <c r="G970" s="33"/>
      <c r="H970" s="33"/>
      <c r="I970" s="33"/>
      <c r="J970" s="33"/>
      <c r="K970" s="33"/>
      <c r="L970" s="33"/>
      <c r="M970" s="33"/>
    </row>
    <row r="971" spans="5:13">
      <c r="E971" s="28"/>
      <c r="F971" s="28"/>
      <c r="G971" s="33"/>
      <c r="H971" s="33"/>
      <c r="I971" s="33"/>
      <c r="J971" s="33"/>
      <c r="K971" s="33"/>
      <c r="L971" s="33"/>
      <c r="M971" s="33"/>
    </row>
    <row r="972" spans="5:13">
      <c r="E972" s="28"/>
      <c r="F972" s="28"/>
      <c r="G972" s="33"/>
      <c r="H972" s="33"/>
      <c r="I972" s="33"/>
      <c r="J972" s="33"/>
      <c r="K972" s="33"/>
      <c r="L972" s="33"/>
      <c r="M972" s="33"/>
    </row>
    <row r="973" spans="5:13">
      <c r="E973" s="28"/>
      <c r="F973" s="28"/>
      <c r="G973" s="33"/>
      <c r="H973" s="33"/>
      <c r="I973" s="33"/>
      <c r="J973" s="33"/>
      <c r="K973" s="33"/>
      <c r="L973" s="33"/>
      <c r="M973" s="33"/>
    </row>
    <row r="974" spans="5:13">
      <c r="E974" s="28"/>
      <c r="F974" s="28"/>
      <c r="G974" s="33"/>
      <c r="H974" s="33"/>
      <c r="I974" s="33"/>
      <c r="J974" s="33"/>
      <c r="K974" s="33"/>
      <c r="L974" s="33"/>
      <c r="M974" s="33"/>
    </row>
    <row r="975" spans="5:13">
      <c r="E975" s="28"/>
      <c r="F975" s="28"/>
      <c r="G975" s="33"/>
      <c r="H975" s="33"/>
      <c r="I975" s="33"/>
      <c r="J975" s="33"/>
      <c r="K975" s="33"/>
      <c r="L975" s="33"/>
      <c r="M975" s="33"/>
    </row>
    <row r="976" spans="5:13">
      <c r="E976" s="28"/>
      <c r="F976" s="28"/>
      <c r="G976" s="33"/>
      <c r="H976" s="33"/>
      <c r="I976" s="33"/>
      <c r="J976" s="33"/>
      <c r="K976" s="33"/>
      <c r="L976" s="33"/>
      <c r="M976" s="33"/>
    </row>
    <row r="977" spans="5:13">
      <c r="E977" s="28"/>
      <c r="F977" s="28"/>
      <c r="G977" s="33"/>
      <c r="H977" s="33"/>
      <c r="I977" s="33"/>
      <c r="J977" s="33"/>
      <c r="K977" s="33"/>
      <c r="L977" s="33"/>
      <c r="M977" s="33"/>
    </row>
    <row r="978" spans="5:13">
      <c r="E978" s="28"/>
      <c r="F978" s="28"/>
      <c r="G978" s="33"/>
      <c r="H978" s="33"/>
      <c r="I978" s="33"/>
      <c r="J978" s="33"/>
      <c r="K978" s="33"/>
      <c r="L978" s="33"/>
      <c r="M978" s="33"/>
    </row>
    <row r="979" spans="5:13">
      <c r="E979" s="28"/>
      <c r="F979" s="28"/>
      <c r="G979" s="33"/>
      <c r="H979" s="33"/>
      <c r="I979" s="33"/>
      <c r="J979" s="33"/>
      <c r="K979" s="33"/>
      <c r="L979" s="33"/>
      <c r="M979" s="33"/>
    </row>
    <row r="980" spans="5:13">
      <c r="E980" s="28"/>
      <c r="F980" s="28"/>
      <c r="G980" s="33"/>
      <c r="H980" s="33"/>
      <c r="I980" s="33"/>
      <c r="J980" s="33"/>
      <c r="K980" s="33"/>
      <c r="L980" s="33"/>
      <c r="M980" s="33"/>
    </row>
    <row r="981" spans="5:13">
      <c r="E981" s="28"/>
      <c r="F981" s="28"/>
      <c r="G981" s="33"/>
      <c r="H981" s="33"/>
      <c r="I981" s="33"/>
      <c r="J981" s="33"/>
      <c r="K981" s="33"/>
      <c r="L981" s="33"/>
      <c r="M981" s="33"/>
    </row>
    <row r="982" spans="5:13">
      <c r="E982" s="28"/>
      <c r="F982" s="28"/>
      <c r="G982" s="33"/>
      <c r="H982" s="33"/>
      <c r="I982" s="33"/>
      <c r="J982" s="33"/>
      <c r="K982" s="33"/>
      <c r="L982" s="33"/>
      <c r="M982" s="33"/>
    </row>
    <row r="983" spans="5:13">
      <c r="E983" s="28"/>
      <c r="F983" s="28"/>
      <c r="G983" s="33"/>
      <c r="H983" s="33"/>
      <c r="I983" s="33"/>
      <c r="J983" s="33"/>
      <c r="K983" s="33"/>
      <c r="L983" s="33"/>
      <c r="M983" s="33"/>
    </row>
    <row r="984" spans="5:13">
      <c r="E984" s="28"/>
      <c r="F984" s="28"/>
      <c r="G984" s="33"/>
      <c r="H984" s="33"/>
      <c r="I984" s="33"/>
      <c r="J984" s="33"/>
      <c r="K984" s="33"/>
      <c r="L984" s="33"/>
      <c r="M984" s="33"/>
    </row>
    <row r="985" spans="5:13">
      <c r="E985" s="28"/>
      <c r="F985" s="28"/>
      <c r="G985" s="33"/>
      <c r="H985" s="33"/>
      <c r="I985" s="33"/>
      <c r="J985" s="33"/>
      <c r="K985" s="33"/>
      <c r="L985" s="33"/>
      <c r="M985" s="33"/>
    </row>
    <row r="986" spans="5:13">
      <c r="E986" s="28"/>
      <c r="F986" s="28"/>
      <c r="G986" s="33"/>
      <c r="H986" s="33"/>
      <c r="I986" s="33"/>
      <c r="J986" s="33"/>
      <c r="K986" s="33"/>
      <c r="L986" s="33"/>
      <c r="M986" s="33"/>
    </row>
    <row r="987" spans="5:13">
      <c r="E987" s="28"/>
      <c r="F987" s="28"/>
      <c r="G987" s="33"/>
      <c r="H987" s="33"/>
      <c r="I987" s="33"/>
      <c r="J987" s="33"/>
      <c r="K987" s="33"/>
      <c r="L987" s="33"/>
      <c r="M987" s="33"/>
    </row>
    <row r="988" spans="5:13">
      <c r="E988" s="28"/>
      <c r="F988" s="28"/>
      <c r="G988" s="33"/>
      <c r="H988" s="33"/>
      <c r="I988" s="33"/>
      <c r="J988" s="33"/>
      <c r="K988" s="33"/>
      <c r="L988" s="33"/>
      <c r="M988" s="33"/>
    </row>
    <row r="989" spans="5:13">
      <c r="E989" s="28"/>
      <c r="F989" s="28"/>
      <c r="G989" s="33"/>
      <c r="H989" s="33"/>
      <c r="I989" s="33"/>
      <c r="J989" s="33"/>
      <c r="K989" s="33"/>
      <c r="L989" s="33"/>
      <c r="M989" s="33"/>
    </row>
    <row r="990" spans="5:13">
      <c r="E990" s="28"/>
      <c r="F990" s="28"/>
      <c r="G990" s="33"/>
      <c r="H990" s="33"/>
      <c r="I990" s="33"/>
      <c r="J990" s="33"/>
      <c r="K990" s="33"/>
      <c r="L990" s="33"/>
      <c r="M990" s="33"/>
    </row>
    <row r="991" spans="5:13">
      <c r="E991" s="28"/>
      <c r="F991" s="28"/>
      <c r="G991" s="33"/>
      <c r="H991" s="33"/>
      <c r="I991" s="33"/>
      <c r="J991" s="33"/>
      <c r="K991" s="33"/>
      <c r="L991" s="33"/>
      <c r="M991" s="33"/>
    </row>
    <row r="992" spans="5:13">
      <c r="E992" s="28"/>
      <c r="F992" s="28"/>
      <c r="G992" s="33"/>
      <c r="H992" s="33"/>
      <c r="I992" s="33"/>
      <c r="J992" s="33"/>
      <c r="K992" s="33"/>
      <c r="L992" s="33"/>
      <c r="M992" s="33"/>
    </row>
    <row r="993" spans="5:13">
      <c r="E993" s="28"/>
      <c r="F993" s="28"/>
      <c r="G993" s="33"/>
      <c r="H993" s="33"/>
      <c r="I993" s="33"/>
      <c r="J993" s="33"/>
      <c r="K993" s="33"/>
      <c r="L993" s="33"/>
      <c r="M993" s="33"/>
    </row>
    <row r="994" spans="5:13">
      <c r="E994" s="28"/>
      <c r="F994" s="28"/>
      <c r="G994" s="33"/>
      <c r="H994" s="33"/>
      <c r="I994" s="33"/>
      <c r="J994" s="33"/>
      <c r="K994" s="33"/>
      <c r="L994" s="33"/>
      <c r="M994" s="33"/>
    </row>
    <row r="995" spans="5:13">
      <c r="E995" s="28"/>
      <c r="F995" s="28"/>
      <c r="G995" s="33"/>
      <c r="H995" s="33"/>
      <c r="I995" s="33"/>
      <c r="J995" s="33"/>
      <c r="K995" s="33"/>
      <c r="L995" s="33"/>
      <c r="M995" s="33"/>
    </row>
    <row r="996" spans="5:13">
      <c r="E996" s="28"/>
      <c r="F996" s="28"/>
      <c r="G996" s="33"/>
      <c r="H996" s="33"/>
      <c r="I996" s="33"/>
      <c r="J996" s="33"/>
      <c r="K996" s="33"/>
      <c r="L996" s="33"/>
      <c r="M996" s="33"/>
    </row>
    <row r="997" spans="5:13">
      <c r="E997" s="28"/>
      <c r="F997" s="28"/>
      <c r="G997" s="33"/>
      <c r="H997" s="33"/>
      <c r="I997" s="33"/>
      <c r="J997" s="33"/>
      <c r="K997" s="33"/>
      <c r="L997" s="33"/>
      <c r="M997" s="33"/>
    </row>
    <row r="998" spans="5:13">
      <c r="E998" s="28"/>
      <c r="F998" s="28"/>
      <c r="G998" s="33"/>
      <c r="H998" s="33"/>
      <c r="I998" s="33"/>
      <c r="J998" s="33"/>
      <c r="K998" s="33"/>
      <c r="L998" s="33"/>
      <c r="M998" s="33"/>
    </row>
    <row r="999" spans="5:13">
      <c r="E999" s="28"/>
      <c r="F999" s="28"/>
      <c r="G999" s="33"/>
      <c r="H999" s="33"/>
      <c r="I999" s="33"/>
      <c r="J999" s="33"/>
      <c r="K999" s="33"/>
      <c r="L999" s="33"/>
      <c r="M999" s="33"/>
    </row>
    <row r="1000" spans="5:13">
      <c r="E1000" s="28"/>
      <c r="F1000" s="28"/>
      <c r="G1000" s="33"/>
      <c r="H1000" s="33"/>
      <c r="I1000" s="33"/>
      <c r="J1000" s="33"/>
      <c r="K1000" s="33"/>
      <c r="L1000" s="33"/>
      <c r="M1000" s="33"/>
    </row>
    <row r="1001" spans="5:13">
      <c r="E1001" s="28"/>
      <c r="F1001" s="28"/>
      <c r="G1001" s="33"/>
      <c r="H1001" s="33"/>
      <c r="I1001" s="33"/>
      <c r="J1001" s="33"/>
      <c r="K1001" s="33"/>
      <c r="L1001" s="33"/>
      <c r="M1001" s="33"/>
    </row>
    <row r="1002" spans="5:13">
      <c r="E1002" s="28"/>
      <c r="F1002" s="28"/>
      <c r="G1002" s="33"/>
      <c r="H1002" s="33"/>
      <c r="I1002" s="33"/>
      <c r="J1002" s="33"/>
      <c r="K1002" s="33"/>
      <c r="L1002" s="33"/>
      <c r="M1002" s="33"/>
    </row>
    <row r="1003" spans="5:13">
      <c r="E1003" s="28"/>
      <c r="F1003" s="28"/>
      <c r="G1003" s="33"/>
      <c r="H1003" s="33"/>
      <c r="I1003" s="33"/>
      <c r="J1003" s="33"/>
      <c r="K1003" s="33"/>
      <c r="L1003" s="33"/>
      <c r="M1003" s="33"/>
    </row>
    <row r="1004" spans="5:13">
      <c r="E1004" s="28"/>
      <c r="F1004" s="28"/>
      <c r="G1004" s="33"/>
      <c r="H1004" s="33"/>
      <c r="I1004" s="33"/>
      <c r="J1004" s="33"/>
      <c r="K1004" s="33"/>
      <c r="L1004" s="33"/>
      <c r="M1004" s="33"/>
    </row>
    <row r="1005" spans="5:13">
      <c r="E1005" s="28"/>
      <c r="F1005" s="28"/>
      <c r="G1005" s="33"/>
      <c r="H1005" s="33"/>
      <c r="I1005" s="33"/>
      <c r="J1005" s="33"/>
      <c r="K1005" s="33"/>
      <c r="L1005" s="33"/>
      <c r="M1005" s="33"/>
    </row>
    <row r="1006" spans="5:13">
      <c r="E1006" s="28"/>
      <c r="F1006" s="28"/>
      <c r="G1006" s="33"/>
      <c r="H1006" s="33"/>
      <c r="I1006" s="33"/>
      <c r="J1006" s="33"/>
      <c r="K1006" s="33"/>
      <c r="L1006" s="33"/>
      <c r="M1006" s="33"/>
    </row>
    <row r="1007" spans="5:13">
      <c r="E1007" s="28"/>
      <c r="F1007" s="28"/>
      <c r="G1007" s="33"/>
      <c r="H1007" s="33"/>
      <c r="I1007" s="33"/>
      <c r="J1007" s="33"/>
      <c r="K1007" s="33"/>
      <c r="L1007" s="33"/>
      <c r="M1007" s="33"/>
    </row>
    <row r="1008" spans="5:13">
      <c r="E1008" s="28"/>
      <c r="F1008" s="28"/>
      <c r="G1008" s="33"/>
      <c r="H1008" s="33"/>
      <c r="I1008" s="33"/>
      <c r="J1008" s="33"/>
      <c r="K1008" s="33"/>
      <c r="L1008" s="33"/>
      <c r="M1008" s="33"/>
    </row>
    <row r="1009" spans="5:13">
      <c r="E1009" s="28"/>
      <c r="F1009" s="28"/>
      <c r="G1009" s="33"/>
      <c r="H1009" s="33"/>
      <c r="I1009" s="33"/>
      <c r="J1009" s="33"/>
      <c r="K1009" s="33"/>
      <c r="L1009" s="33"/>
      <c r="M1009" s="33"/>
    </row>
    <row r="1010" spans="5:13">
      <c r="E1010" s="28"/>
      <c r="F1010" s="28"/>
      <c r="G1010" s="33"/>
      <c r="H1010" s="33"/>
      <c r="I1010" s="33"/>
      <c r="J1010" s="33"/>
      <c r="K1010" s="33"/>
      <c r="L1010" s="33"/>
      <c r="M1010" s="33"/>
    </row>
    <row r="1011" spans="5:13">
      <c r="E1011" s="28"/>
      <c r="F1011" s="28"/>
      <c r="G1011" s="33"/>
      <c r="H1011" s="33"/>
      <c r="I1011" s="33"/>
      <c r="J1011" s="33"/>
      <c r="K1011" s="33"/>
      <c r="L1011" s="33"/>
      <c r="M1011" s="33"/>
    </row>
    <row r="1012" spans="5:13">
      <c r="E1012" s="28"/>
      <c r="F1012" s="28"/>
      <c r="G1012" s="33"/>
      <c r="H1012" s="33"/>
      <c r="I1012" s="33"/>
      <c r="J1012" s="33"/>
      <c r="K1012" s="33"/>
      <c r="L1012" s="33"/>
      <c r="M1012" s="33"/>
    </row>
    <row r="1013" spans="5:13">
      <c r="E1013" s="28"/>
      <c r="F1013" s="28"/>
      <c r="G1013" s="33"/>
      <c r="H1013" s="33"/>
      <c r="I1013" s="33"/>
      <c r="J1013" s="33"/>
      <c r="K1013" s="33"/>
      <c r="L1013" s="33"/>
      <c r="M1013" s="33"/>
    </row>
    <row r="1014" spans="5:13">
      <c r="E1014" s="28"/>
      <c r="F1014" s="28"/>
      <c r="G1014" s="33"/>
      <c r="H1014" s="33"/>
      <c r="I1014" s="33"/>
      <c r="J1014" s="33"/>
      <c r="K1014" s="33"/>
      <c r="L1014" s="33"/>
      <c r="M1014" s="33"/>
    </row>
    <row r="1015" spans="5:13">
      <c r="E1015" s="28"/>
      <c r="F1015" s="28"/>
      <c r="G1015" s="33"/>
      <c r="H1015" s="33"/>
      <c r="I1015" s="33"/>
      <c r="J1015" s="33"/>
      <c r="K1015" s="33"/>
      <c r="L1015" s="33"/>
      <c r="M1015" s="33"/>
    </row>
    <row r="1016" spans="5:13">
      <c r="E1016" s="28"/>
      <c r="F1016" s="28"/>
      <c r="G1016" s="33"/>
      <c r="H1016" s="33"/>
      <c r="I1016" s="33"/>
      <c r="J1016" s="33"/>
      <c r="K1016" s="33"/>
      <c r="L1016" s="33"/>
      <c r="M1016" s="33"/>
    </row>
    <row r="1017" spans="5:13">
      <c r="E1017" s="28"/>
      <c r="F1017" s="28"/>
      <c r="G1017" s="33"/>
      <c r="H1017" s="33"/>
      <c r="I1017" s="33"/>
      <c r="J1017" s="33"/>
      <c r="K1017" s="33"/>
      <c r="L1017" s="33"/>
      <c r="M1017" s="33"/>
    </row>
    <row r="1018" spans="5:13">
      <c r="E1018" s="28"/>
      <c r="F1018" s="28"/>
      <c r="G1018" s="33"/>
      <c r="H1018" s="33"/>
      <c r="I1018" s="33"/>
      <c r="J1018" s="33"/>
      <c r="K1018" s="33"/>
      <c r="L1018" s="33"/>
      <c r="M1018" s="33"/>
    </row>
    <row r="1019" spans="5:13">
      <c r="E1019" s="28"/>
      <c r="F1019" s="28"/>
      <c r="G1019" s="33"/>
      <c r="H1019" s="33"/>
      <c r="I1019" s="33"/>
      <c r="J1019" s="33"/>
      <c r="K1019" s="33"/>
      <c r="L1019" s="33"/>
      <c r="M1019" s="33"/>
    </row>
    <row r="1020" spans="5:13">
      <c r="E1020" s="28"/>
      <c r="F1020" s="28"/>
      <c r="G1020" s="33"/>
      <c r="H1020" s="33"/>
      <c r="I1020" s="33"/>
      <c r="J1020" s="33"/>
      <c r="K1020" s="33"/>
      <c r="L1020" s="33"/>
      <c r="M1020" s="33"/>
    </row>
    <row r="1021" spans="5:13">
      <c r="E1021" s="28"/>
      <c r="F1021" s="28"/>
      <c r="G1021" s="33"/>
      <c r="H1021" s="33"/>
      <c r="I1021" s="33"/>
      <c r="J1021" s="33"/>
      <c r="K1021" s="33"/>
      <c r="L1021" s="33"/>
      <c r="M1021" s="33"/>
    </row>
    <row r="1022" spans="5:13">
      <c r="E1022" s="28"/>
      <c r="F1022" s="28"/>
      <c r="G1022" s="33"/>
      <c r="H1022" s="33"/>
      <c r="I1022" s="33"/>
      <c r="J1022" s="33"/>
      <c r="K1022" s="33"/>
      <c r="L1022" s="33"/>
      <c r="M1022" s="33"/>
    </row>
    <row r="1023" spans="5:13">
      <c r="E1023" s="28"/>
      <c r="F1023" s="28"/>
      <c r="G1023" s="33"/>
      <c r="H1023" s="33"/>
      <c r="I1023" s="33"/>
      <c r="J1023" s="33"/>
      <c r="K1023" s="33"/>
      <c r="L1023" s="33"/>
      <c r="M1023" s="33"/>
    </row>
    <row r="1024" spans="5:13">
      <c r="E1024" s="28"/>
      <c r="F1024" s="28"/>
      <c r="G1024" s="33"/>
      <c r="H1024" s="33"/>
      <c r="I1024" s="33"/>
      <c r="J1024" s="33"/>
      <c r="K1024" s="33"/>
      <c r="L1024" s="33"/>
      <c r="M1024" s="33"/>
    </row>
    <row r="1025" spans="5:13">
      <c r="E1025" s="28"/>
      <c r="F1025" s="28"/>
      <c r="G1025" s="33"/>
      <c r="H1025" s="33"/>
      <c r="I1025" s="33"/>
      <c r="J1025" s="33"/>
      <c r="K1025" s="33"/>
      <c r="L1025" s="33"/>
      <c r="M1025" s="33"/>
    </row>
    <row r="1026" spans="5:13">
      <c r="E1026" s="28"/>
      <c r="F1026" s="28"/>
      <c r="G1026" s="33"/>
      <c r="H1026" s="33"/>
      <c r="I1026" s="33"/>
      <c r="J1026" s="33"/>
      <c r="K1026" s="33"/>
      <c r="L1026" s="33"/>
      <c r="M1026" s="33"/>
    </row>
    <row r="1027" spans="5:13">
      <c r="E1027" s="28"/>
      <c r="F1027" s="28"/>
      <c r="G1027" s="33"/>
      <c r="H1027" s="33"/>
      <c r="I1027" s="33"/>
      <c r="J1027" s="33"/>
      <c r="K1027" s="33"/>
      <c r="L1027" s="33"/>
      <c r="M1027" s="33"/>
    </row>
    <row r="1028" spans="5:13">
      <c r="E1028" s="28"/>
      <c r="F1028" s="28"/>
      <c r="G1028" s="33"/>
      <c r="H1028" s="33"/>
      <c r="I1028" s="33"/>
      <c r="J1028" s="33"/>
      <c r="K1028" s="33"/>
      <c r="L1028" s="33"/>
      <c r="M1028" s="33"/>
    </row>
    <row r="1029" spans="5:13">
      <c r="E1029" s="28"/>
      <c r="F1029" s="28"/>
      <c r="G1029" s="33"/>
      <c r="H1029" s="33"/>
      <c r="I1029" s="33"/>
      <c r="J1029" s="33"/>
      <c r="K1029" s="33"/>
      <c r="L1029" s="33"/>
      <c r="M1029" s="33"/>
    </row>
    <row r="1030" spans="5:13">
      <c r="E1030" s="28"/>
      <c r="F1030" s="28"/>
      <c r="G1030" s="33"/>
      <c r="H1030" s="33"/>
      <c r="I1030" s="33"/>
      <c r="J1030" s="33"/>
      <c r="K1030" s="33"/>
      <c r="L1030" s="33"/>
      <c r="M1030" s="33"/>
    </row>
    <row r="1031" spans="5:13">
      <c r="E1031" s="28"/>
      <c r="F1031" s="28"/>
      <c r="G1031" s="33"/>
      <c r="H1031" s="33"/>
      <c r="I1031" s="33"/>
      <c r="J1031" s="33"/>
      <c r="K1031" s="33"/>
      <c r="L1031" s="33"/>
      <c r="M1031" s="33"/>
    </row>
    <row r="1032" spans="5:13">
      <c r="E1032" s="28"/>
      <c r="F1032" s="28"/>
      <c r="G1032" s="33"/>
      <c r="H1032" s="33"/>
      <c r="I1032" s="33"/>
      <c r="J1032" s="33"/>
      <c r="K1032" s="33"/>
      <c r="L1032" s="33"/>
      <c r="M1032" s="33"/>
    </row>
    <row r="1033" spans="5:13">
      <c r="E1033" s="28"/>
      <c r="F1033" s="28"/>
      <c r="G1033" s="33"/>
      <c r="H1033" s="33"/>
      <c r="I1033" s="33"/>
      <c r="J1033" s="33"/>
      <c r="K1033" s="33"/>
      <c r="L1033" s="33"/>
      <c r="M1033" s="33"/>
    </row>
    <row r="1034" spans="5:13">
      <c r="E1034" s="28"/>
      <c r="F1034" s="28"/>
      <c r="G1034" s="33"/>
      <c r="H1034" s="33"/>
      <c r="I1034" s="33"/>
      <c r="J1034" s="33"/>
      <c r="K1034" s="33"/>
      <c r="L1034" s="33"/>
      <c r="M1034" s="33"/>
    </row>
    <row r="1035" spans="5:13">
      <c r="E1035" s="28"/>
      <c r="F1035" s="28"/>
      <c r="G1035" s="33"/>
      <c r="H1035" s="33"/>
      <c r="I1035" s="33"/>
      <c r="J1035" s="33"/>
      <c r="K1035" s="33"/>
      <c r="L1035" s="33"/>
      <c r="M1035" s="33"/>
    </row>
    <row r="1036" spans="5:13">
      <c r="E1036" s="28"/>
      <c r="F1036" s="28"/>
      <c r="G1036" s="33"/>
      <c r="H1036" s="33"/>
      <c r="I1036" s="33"/>
      <c r="J1036" s="33"/>
      <c r="K1036" s="33"/>
      <c r="L1036" s="33"/>
      <c r="M1036" s="33"/>
    </row>
    <row r="1037" spans="5:13">
      <c r="E1037" s="28"/>
      <c r="F1037" s="28"/>
      <c r="G1037" s="33"/>
      <c r="H1037" s="33"/>
      <c r="I1037" s="33"/>
      <c r="J1037" s="33"/>
      <c r="K1037" s="33"/>
      <c r="L1037" s="33"/>
      <c r="M1037" s="33"/>
    </row>
    <row r="1038" spans="5:13">
      <c r="E1038" s="28"/>
      <c r="F1038" s="28"/>
      <c r="G1038" s="33"/>
      <c r="H1038" s="33"/>
      <c r="I1038" s="33"/>
      <c r="J1038" s="33"/>
      <c r="K1038" s="33"/>
      <c r="L1038" s="33"/>
      <c r="M1038" s="33"/>
    </row>
    <row r="1039" spans="5:13">
      <c r="E1039" s="28"/>
      <c r="F1039" s="28"/>
      <c r="G1039" s="33"/>
      <c r="H1039" s="33"/>
      <c r="I1039" s="33"/>
      <c r="J1039" s="33"/>
      <c r="K1039" s="33"/>
      <c r="L1039" s="33"/>
      <c r="M1039" s="33"/>
    </row>
    <row r="1040" spans="5:13">
      <c r="E1040" s="28"/>
      <c r="F1040" s="28"/>
      <c r="G1040" s="33"/>
      <c r="H1040" s="33"/>
      <c r="I1040" s="33"/>
      <c r="J1040" s="33"/>
      <c r="K1040" s="33"/>
      <c r="L1040" s="33"/>
      <c r="M1040" s="33"/>
    </row>
    <row r="1041" spans="5:13">
      <c r="E1041" s="28"/>
      <c r="F1041" s="28"/>
      <c r="G1041" s="33"/>
      <c r="H1041" s="33"/>
      <c r="I1041" s="33"/>
      <c r="J1041" s="33"/>
      <c r="K1041" s="33"/>
      <c r="L1041" s="33"/>
      <c r="M1041" s="33"/>
    </row>
    <row r="1042" spans="5:13">
      <c r="E1042" s="28"/>
      <c r="F1042" s="28"/>
      <c r="G1042" s="33"/>
      <c r="H1042" s="33"/>
      <c r="I1042" s="33"/>
      <c r="J1042" s="33"/>
      <c r="K1042" s="33"/>
      <c r="L1042" s="33"/>
      <c r="M1042" s="33"/>
    </row>
    <row r="1043" spans="5:13">
      <c r="E1043" s="28"/>
      <c r="F1043" s="28"/>
      <c r="G1043" s="33"/>
      <c r="H1043" s="33"/>
      <c r="I1043" s="33"/>
      <c r="J1043" s="33"/>
      <c r="K1043" s="33"/>
      <c r="L1043" s="33"/>
      <c r="M1043" s="33"/>
    </row>
    <row r="1044" spans="5:13">
      <c r="E1044" s="28"/>
      <c r="F1044" s="28"/>
      <c r="G1044" s="33"/>
      <c r="H1044" s="33"/>
      <c r="I1044" s="33"/>
      <c r="J1044" s="33"/>
      <c r="K1044" s="33"/>
      <c r="L1044" s="33"/>
      <c r="M1044" s="33"/>
    </row>
    <row r="1045" spans="5:13">
      <c r="E1045" s="28"/>
      <c r="F1045" s="28"/>
      <c r="G1045" s="33"/>
      <c r="H1045" s="33"/>
      <c r="I1045" s="33"/>
      <c r="J1045" s="33"/>
      <c r="K1045" s="33"/>
      <c r="L1045" s="33"/>
      <c r="M1045" s="33"/>
    </row>
    <row r="1046" spans="5:13">
      <c r="E1046" s="28"/>
      <c r="F1046" s="28"/>
      <c r="G1046" s="33"/>
      <c r="H1046" s="33"/>
      <c r="I1046" s="33"/>
      <c r="J1046" s="33"/>
      <c r="K1046" s="33"/>
      <c r="L1046" s="33"/>
      <c r="M1046" s="33"/>
    </row>
    <row r="1047" spans="5:13">
      <c r="E1047" s="28"/>
      <c r="F1047" s="28"/>
      <c r="G1047" s="33"/>
      <c r="H1047" s="33"/>
      <c r="I1047" s="33"/>
      <c r="J1047" s="33"/>
      <c r="K1047" s="33"/>
      <c r="L1047" s="33"/>
      <c r="M1047" s="33"/>
    </row>
    <row r="1048" spans="5:13">
      <c r="E1048" s="28"/>
      <c r="F1048" s="28"/>
      <c r="G1048" s="33"/>
      <c r="H1048" s="33"/>
      <c r="I1048" s="33"/>
      <c r="J1048" s="33"/>
      <c r="K1048" s="33"/>
      <c r="L1048" s="33"/>
      <c r="M1048" s="33"/>
    </row>
    <row r="1049" spans="5:13">
      <c r="E1049" s="28"/>
      <c r="F1049" s="28"/>
      <c r="G1049" s="33"/>
      <c r="H1049" s="33"/>
      <c r="I1049" s="33"/>
      <c r="J1049" s="33"/>
      <c r="K1049" s="33"/>
      <c r="L1049" s="33"/>
      <c r="M1049" s="33"/>
    </row>
    <row r="1050" spans="5:13">
      <c r="E1050" s="28"/>
      <c r="F1050" s="28"/>
      <c r="G1050" s="33"/>
      <c r="H1050" s="33"/>
      <c r="I1050" s="33"/>
      <c r="J1050" s="33"/>
      <c r="K1050" s="33"/>
      <c r="L1050" s="33"/>
      <c r="M1050" s="33"/>
    </row>
    <row r="1051" spans="5:13">
      <c r="E1051" s="28"/>
      <c r="F1051" s="28"/>
      <c r="G1051" s="33"/>
      <c r="H1051" s="33"/>
      <c r="I1051" s="33"/>
      <c r="J1051" s="33"/>
      <c r="K1051" s="33"/>
      <c r="L1051" s="33"/>
      <c r="M1051" s="33"/>
    </row>
    <row r="1052" spans="5:13">
      <c r="E1052" s="28"/>
      <c r="F1052" s="28"/>
      <c r="G1052" s="33"/>
      <c r="H1052" s="33"/>
      <c r="I1052" s="33"/>
      <c r="J1052" s="33"/>
      <c r="K1052" s="33"/>
      <c r="L1052" s="33"/>
      <c r="M1052" s="33"/>
    </row>
    <row r="1053" spans="5:13">
      <c r="E1053" s="28"/>
      <c r="F1053" s="28"/>
      <c r="G1053" s="33"/>
      <c r="H1053" s="33"/>
      <c r="I1053" s="33"/>
      <c r="J1053" s="33"/>
      <c r="K1053" s="33"/>
      <c r="L1053" s="33"/>
      <c r="M1053" s="33"/>
    </row>
    <row r="1054" spans="5:13">
      <c r="E1054" s="28"/>
      <c r="F1054" s="28"/>
      <c r="G1054" s="33"/>
      <c r="H1054" s="33"/>
      <c r="I1054" s="33"/>
      <c r="J1054" s="33"/>
      <c r="K1054" s="33"/>
      <c r="L1054" s="33"/>
      <c r="M1054" s="33"/>
    </row>
    <row r="1055" spans="5:13">
      <c r="E1055" s="28"/>
      <c r="F1055" s="28"/>
      <c r="G1055" s="33"/>
      <c r="H1055" s="33"/>
      <c r="I1055" s="33"/>
      <c r="J1055" s="33"/>
      <c r="K1055" s="33"/>
      <c r="L1055" s="33"/>
      <c r="M1055" s="33"/>
    </row>
    <row r="1056" spans="5:13">
      <c r="E1056" s="28"/>
      <c r="F1056" s="28"/>
      <c r="G1056" s="33"/>
      <c r="H1056" s="33"/>
      <c r="I1056" s="33"/>
      <c r="J1056" s="33"/>
      <c r="K1056" s="33"/>
      <c r="L1056" s="33"/>
      <c r="M1056" s="33"/>
    </row>
    <row r="1057" spans="5:13">
      <c r="E1057" s="28"/>
      <c r="F1057" s="28"/>
      <c r="G1057" s="33"/>
      <c r="H1057" s="33"/>
      <c r="I1057" s="33"/>
      <c r="J1057" s="33"/>
      <c r="K1057" s="33"/>
      <c r="L1057" s="33"/>
      <c r="M1057" s="33"/>
    </row>
    <row r="1058" spans="5:13">
      <c r="E1058" s="28"/>
      <c r="F1058" s="28"/>
      <c r="G1058" s="33"/>
      <c r="H1058" s="33"/>
      <c r="I1058" s="33"/>
      <c r="J1058" s="33"/>
      <c r="K1058" s="33"/>
      <c r="L1058" s="33"/>
      <c r="M1058" s="33"/>
    </row>
    <row r="1059" spans="5:13">
      <c r="E1059" s="28"/>
      <c r="F1059" s="28"/>
      <c r="G1059" s="33"/>
      <c r="H1059" s="33"/>
      <c r="I1059" s="33"/>
      <c r="J1059" s="33"/>
      <c r="K1059" s="33"/>
      <c r="L1059" s="33"/>
      <c r="M1059" s="33"/>
    </row>
    <row r="1060" spans="5:13">
      <c r="E1060" s="28"/>
      <c r="F1060" s="28"/>
      <c r="G1060" s="33"/>
      <c r="H1060" s="33"/>
      <c r="I1060" s="33"/>
      <c r="J1060" s="33"/>
      <c r="K1060" s="33"/>
      <c r="L1060" s="33"/>
      <c r="M1060" s="33"/>
    </row>
    <row r="1061" spans="5:13">
      <c r="E1061" s="28"/>
      <c r="F1061" s="28"/>
      <c r="G1061" s="33"/>
      <c r="H1061" s="33"/>
      <c r="I1061" s="33"/>
      <c r="J1061" s="33"/>
      <c r="K1061" s="33"/>
      <c r="L1061" s="33"/>
      <c r="M1061" s="33"/>
    </row>
    <row r="1062" spans="5:13">
      <c r="E1062" s="28"/>
      <c r="F1062" s="28"/>
      <c r="G1062" s="33"/>
      <c r="H1062" s="33"/>
      <c r="I1062" s="33"/>
      <c r="J1062" s="33"/>
      <c r="K1062" s="33"/>
      <c r="L1062" s="33"/>
      <c r="M1062" s="33"/>
    </row>
    <row r="1063" spans="5:13">
      <c r="E1063" s="28"/>
      <c r="F1063" s="28"/>
      <c r="G1063" s="33"/>
      <c r="H1063" s="33"/>
      <c r="I1063" s="33"/>
      <c r="J1063" s="33"/>
      <c r="K1063" s="33"/>
      <c r="L1063" s="33"/>
      <c r="M1063" s="33"/>
    </row>
    <row r="1064" spans="5:13">
      <c r="E1064" s="28"/>
      <c r="F1064" s="28"/>
      <c r="G1064" s="33"/>
      <c r="H1064" s="33"/>
      <c r="I1064" s="33"/>
      <c r="J1064" s="33"/>
      <c r="K1064" s="33"/>
      <c r="L1064" s="33"/>
      <c r="M1064" s="33"/>
    </row>
    <row r="1065" spans="5:13">
      <c r="E1065" s="28"/>
      <c r="F1065" s="28"/>
      <c r="G1065" s="33"/>
      <c r="H1065" s="33"/>
      <c r="I1065" s="33"/>
      <c r="J1065" s="33"/>
      <c r="K1065" s="33"/>
      <c r="L1065" s="33"/>
      <c r="M1065" s="33"/>
    </row>
    <row r="1066" spans="5:13">
      <c r="E1066" s="28"/>
      <c r="F1066" s="28"/>
      <c r="G1066" s="33"/>
      <c r="H1066" s="33"/>
      <c r="I1066" s="33"/>
      <c r="J1066" s="33"/>
      <c r="K1066" s="33"/>
      <c r="L1066" s="33"/>
      <c r="M1066" s="33"/>
    </row>
    <row r="1067" spans="5:13">
      <c r="E1067" s="28"/>
      <c r="F1067" s="28"/>
      <c r="G1067" s="33"/>
      <c r="H1067" s="33"/>
      <c r="I1067" s="33"/>
      <c r="J1067" s="33"/>
      <c r="K1067" s="33"/>
      <c r="L1067" s="33"/>
      <c r="M1067" s="33"/>
    </row>
    <row r="1068" spans="5:13">
      <c r="E1068" s="28"/>
      <c r="F1068" s="28"/>
      <c r="G1068" s="33"/>
      <c r="H1068" s="33"/>
      <c r="I1068" s="33"/>
      <c r="J1068" s="33"/>
      <c r="K1068" s="33"/>
      <c r="L1068" s="33"/>
      <c r="M1068" s="33"/>
    </row>
    <row r="1069" spans="5:13">
      <c r="E1069" s="28"/>
      <c r="F1069" s="28"/>
      <c r="G1069" s="33"/>
      <c r="H1069" s="33"/>
      <c r="I1069" s="33"/>
      <c r="J1069" s="33"/>
      <c r="K1069" s="33"/>
      <c r="L1069" s="33"/>
      <c r="M1069" s="33"/>
    </row>
    <row r="1070" spans="5:13">
      <c r="E1070" s="28"/>
      <c r="F1070" s="28"/>
      <c r="G1070" s="33"/>
      <c r="H1070" s="33"/>
      <c r="I1070" s="33"/>
      <c r="J1070" s="33"/>
      <c r="K1070" s="33"/>
      <c r="L1070" s="33"/>
      <c r="M1070" s="33"/>
    </row>
    <row r="1071" spans="5:13">
      <c r="E1071" s="28"/>
      <c r="F1071" s="28"/>
      <c r="G1071" s="33"/>
      <c r="H1071" s="33"/>
      <c r="I1071" s="33"/>
      <c r="J1071" s="33"/>
      <c r="K1071" s="33"/>
      <c r="L1071" s="33"/>
      <c r="M1071" s="33"/>
    </row>
    <row r="1072" spans="5:13">
      <c r="E1072" s="28"/>
      <c r="F1072" s="28"/>
      <c r="G1072" s="33"/>
      <c r="H1072" s="33"/>
      <c r="I1072" s="33"/>
      <c r="J1072" s="33"/>
      <c r="K1072" s="33"/>
      <c r="L1072" s="33"/>
      <c r="M1072" s="33"/>
    </row>
    <row r="1073" spans="5:13">
      <c r="E1073" s="28"/>
      <c r="F1073" s="28"/>
      <c r="G1073" s="33"/>
      <c r="H1073" s="33"/>
      <c r="I1073" s="33"/>
      <c r="J1073" s="33"/>
      <c r="K1073" s="33"/>
      <c r="L1073" s="33"/>
      <c r="M1073" s="33"/>
    </row>
    <row r="1074" spans="5:13">
      <c r="E1074" s="28"/>
      <c r="F1074" s="28"/>
      <c r="G1074" s="33"/>
      <c r="H1074" s="33"/>
      <c r="I1074" s="33"/>
      <c r="J1074" s="33"/>
      <c r="K1074" s="33"/>
      <c r="L1074" s="33"/>
      <c r="M1074" s="33"/>
    </row>
    <row r="1075" spans="5:13">
      <c r="E1075" s="28"/>
      <c r="F1075" s="28"/>
      <c r="G1075" s="33"/>
      <c r="H1075" s="33"/>
      <c r="I1075" s="33"/>
      <c r="J1075" s="33"/>
      <c r="K1075" s="33"/>
      <c r="L1075" s="33"/>
      <c r="M1075" s="33"/>
    </row>
    <row r="1076" spans="5:13">
      <c r="E1076" s="28"/>
      <c r="F1076" s="28"/>
      <c r="G1076" s="33"/>
      <c r="H1076" s="33"/>
      <c r="I1076" s="33"/>
      <c r="J1076" s="33"/>
      <c r="K1076" s="33"/>
      <c r="L1076" s="33"/>
      <c r="M1076" s="33"/>
    </row>
    <row r="1077" spans="5:13">
      <c r="E1077" s="28"/>
      <c r="F1077" s="28"/>
      <c r="G1077" s="33"/>
      <c r="H1077" s="33"/>
      <c r="I1077" s="33"/>
      <c r="J1077" s="33"/>
      <c r="K1077" s="33"/>
      <c r="L1077" s="33"/>
      <c r="M1077" s="33"/>
    </row>
    <row r="1078" spans="5:13">
      <c r="E1078" s="28"/>
      <c r="F1078" s="28"/>
      <c r="G1078" s="33"/>
      <c r="H1078" s="33"/>
      <c r="I1078" s="33"/>
      <c r="J1078" s="33"/>
      <c r="K1078" s="33"/>
      <c r="L1078" s="33"/>
      <c r="M1078" s="33"/>
    </row>
    <row r="1079" spans="5:13">
      <c r="E1079" s="28"/>
      <c r="F1079" s="28"/>
      <c r="G1079" s="33"/>
      <c r="H1079" s="33"/>
      <c r="I1079" s="33"/>
      <c r="J1079" s="33"/>
      <c r="K1079" s="33"/>
      <c r="L1079" s="33"/>
      <c r="M1079" s="33"/>
    </row>
    <row r="1080" spans="5:13">
      <c r="E1080" s="28"/>
      <c r="F1080" s="28"/>
      <c r="G1080" s="33"/>
      <c r="H1080" s="33"/>
      <c r="I1080" s="33"/>
      <c r="J1080" s="33"/>
      <c r="K1080" s="33"/>
      <c r="L1080" s="33"/>
      <c r="M1080" s="33"/>
    </row>
    <row r="1081" spans="5:13">
      <c r="E1081" s="28"/>
      <c r="F1081" s="28"/>
      <c r="G1081" s="33"/>
      <c r="H1081" s="33"/>
      <c r="I1081" s="33"/>
      <c r="J1081" s="33"/>
      <c r="K1081" s="33"/>
      <c r="L1081" s="33"/>
      <c r="M1081" s="33"/>
    </row>
    <row r="1082" spans="5:13">
      <c r="E1082" s="28"/>
      <c r="F1082" s="28"/>
      <c r="G1082" s="33"/>
      <c r="H1082" s="33"/>
      <c r="I1082" s="33"/>
      <c r="J1082" s="33"/>
      <c r="K1082" s="33"/>
      <c r="L1082" s="33"/>
      <c r="M1082" s="33"/>
    </row>
    <row r="1083" spans="5:13">
      <c r="E1083" s="28"/>
      <c r="F1083" s="28"/>
      <c r="G1083" s="33"/>
      <c r="H1083" s="33"/>
      <c r="I1083" s="33"/>
      <c r="J1083" s="33"/>
      <c r="K1083" s="33"/>
      <c r="L1083" s="33"/>
      <c r="M1083" s="33"/>
    </row>
    <row r="1084" spans="5:13">
      <c r="E1084" s="28"/>
      <c r="F1084" s="28"/>
      <c r="G1084" s="33"/>
      <c r="H1084" s="33"/>
      <c r="I1084" s="33"/>
      <c r="J1084" s="33"/>
      <c r="K1084" s="33"/>
      <c r="L1084" s="33"/>
      <c r="M1084" s="33"/>
    </row>
    <row r="1085" spans="5:13">
      <c r="E1085" s="28"/>
      <c r="F1085" s="28"/>
      <c r="G1085" s="33"/>
      <c r="H1085" s="33"/>
      <c r="I1085" s="33"/>
      <c r="J1085" s="33"/>
      <c r="K1085" s="33"/>
      <c r="L1085" s="33"/>
      <c r="M1085" s="33"/>
    </row>
    <row r="1086" spans="5:13">
      <c r="E1086" s="28"/>
      <c r="F1086" s="28"/>
      <c r="G1086" s="33"/>
      <c r="H1086" s="33"/>
      <c r="I1086" s="33"/>
      <c r="J1086" s="33"/>
      <c r="K1086" s="33"/>
      <c r="L1086" s="33"/>
      <c r="M1086" s="33"/>
    </row>
    <row r="1087" spans="5:13">
      <c r="E1087" s="28"/>
      <c r="F1087" s="28"/>
      <c r="G1087" s="33"/>
      <c r="H1087" s="33"/>
      <c r="I1087" s="33"/>
      <c r="J1087" s="33"/>
      <c r="K1087" s="33"/>
      <c r="L1087" s="33"/>
      <c r="M1087" s="33"/>
    </row>
    <row r="1088" spans="5:13">
      <c r="E1088" s="28"/>
      <c r="F1088" s="28"/>
      <c r="G1088" s="33"/>
      <c r="H1088" s="33"/>
      <c r="I1088" s="33"/>
      <c r="J1088" s="33"/>
      <c r="K1088" s="33"/>
      <c r="L1088" s="33"/>
      <c r="M1088" s="33"/>
    </row>
    <row r="1089" spans="5:13">
      <c r="E1089" s="28"/>
      <c r="F1089" s="28"/>
      <c r="G1089" s="33"/>
      <c r="H1089" s="33"/>
      <c r="I1089" s="33"/>
      <c r="J1089" s="33"/>
      <c r="K1089" s="33"/>
      <c r="L1089" s="33"/>
      <c r="M1089" s="33"/>
    </row>
    <row r="1090" spans="5:13">
      <c r="E1090" s="28"/>
      <c r="F1090" s="28"/>
      <c r="G1090" s="33"/>
      <c r="H1090" s="33"/>
      <c r="I1090" s="33"/>
      <c r="J1090" s="33"/>
      <c r="K1090" s="33"/>
      <c r="L1090" s="33"/>
      <c r="M1090" s="33"/>
    </row>
    <row r="1091" spans="5:13">
      <c r="E1091" s="28"/>
      <c r="F1091" s="28"/>
      <c r="G1091" s="33"/>
      <c r="H1091" s="33"/>
      <c r="I1091" s="33"/>
      <c r="J1091" s="33"/>
      <c r="K1091" s="33"/>
      <c r="L1091" s="33"/>
      <c r="M1091" s="33"/>
    </row>
    <row r="1092" spans="5:13">
      <c r="E1092" s="28"/>
      <c r="F1092" s="28"/>
      <c r="G1092" s="33"/>
      <c r="H1092" s="33"/>
      <c r="I1092" s="33"/>
      <c r="J1092" s="33"/>
      <c r="K1092" s="33"/>
      <c r="L1092" s="33"/>
      <c r="M1092" s="33"/>
    </row>
    <row r="1093" spans="5:13">
      <c r="E1093" s="28"/>
      <c r="F1093" s="28"/>
      <c r="G1093" s="33"/>
      <c r="H1093" s="33"/>
      <c r="I1093" s="33"/>
      <c r="J1093" s="33"/>
      <c r="K1093" s="33"/>
      <c r="L1093" s="33"/>
      <c r="M1093" s="33"/>
    </row>
    <row r="1094" spans="5:13">
      <c r="E1094" s="28"/>
      <c r="F1094" s="28"/>
      <c r="G1094" s="33"/>
      <c r="H1094" s="33"/>
      <c r="I1094" s="33"/>
      <c r="J1094" s="33"/>
      <c r="K1094" s="33"/>
      <c r="L1094" s="33"/>
      <c r="M1094" s="33"/>
    </row>
    <row r="1095" spans="5:13">
      <c r="E1095" s="28"/>
      <c r="F1095" s="28"/>
      <c r="G1095" s="33"/>
      <c r="H1095" s="33"/>
      <c r="I1095" s="33"/>
      <c r="J1095" s="33"/>
      <c r="K1095" s="33"/>
      <c r="L1095" s="33"/>
      <c r="M1095" s="33"/>
    </row>
    <row r="1096" spans="5:13">
      <c r="E1096" s="28"/>
      <c r="F1096" s="28"/>
      <c r="G1096" s="33"/>
      <c r="H1096" s="33"/>
      <c r="I1096" s="33"/>
      <c r="J1096" s="33"/>
      <c r="K1096" s="33"/>
      <c r="L1096" s="33"/>
      <c r="M1096" s="33"/>
    </row>
    <row r="1097" spans="5:13">
      <c r="E1097" s="28"/>
      <c r="F1097" s="28"/>
      <c r="G1097" s="33"/>
      <c r="H1097" s="33"/>
      <c r="I1097" s="33"/>
      <c r="J1097" s="33"/>
      <c r="K1097" s="33"/>
      <c r="L1097" s="33"/>
      <c r="M1097" s="33"/>
    </row>
    <row r="1098" spans="5:13">
      <c r="E1098" s="28"/>
      <c r="F1098" s="28"/>
      <c r="G1098" s="33"/>
      <c r="H1098" s="33"/>
      <c r="I1098" s="33"/>
      <c r="J1098" s="33"/>
      <c r="K1098" s="33"/>
      <c r="L1098" s="33"/>
      <c r="M1098" s="33"/>
    </row>
    <row r="1099" spans="5:13">
      <c r="E1099" s="28"/>
      <c r="F1099" s="28"/>
      <c r="G1099" s="33"/>
      <c r="H1099" s="33"/>
      <c r="I1099" s="33"/>
      <c r="J1099" s="33"/>
      <c r="K1099" s="33"/>
      <c r="L1099" s="33"/>
      <c r="M1099" s="33"/>
    </row>
    <row r="1100" spans="5:13">
      <c r="E1100" s="28"/>
      <c r="F1100" s="28"/>
      <c r="G1100" s="33"/>
      <c r="H1100" s="33"/>
      <c r="I1100" s="33"/>
      <c r="J1100" s="33"/>
      <c r="K1100" s="33"/>
      <c r="L1100" s="33"/>
      <c r="M1100" s="33"/>
    </row>
    <row r="1101" spans="5:13">
      <c r="E1101" s="28"/>
      <c r="F1101" s="28"/>
      <c r="G1101" s="33"/>
      <c r="H1101" s="33"/>
      <c r="I1101" s="33"/>
      <c r="J1101" s="33"/>
      <c r="K1101" s="33"/>
      <c r="L1101" s="33"/>
      <c r="M1101" s="33"/>
    </row>
    <row r="1102" spans="5:13">
      <c r="E1102" s="28"/>
      <c r="F1102" s="28"/>
      <c r="G1102" s="33"/>
      <c r="H1102" s="33"/>
      <c r="I1102" s="33"/>
      <c r="J1102" s="33"/>
      <c r="K1102" s="33"/>
      <c r="L1102" s="33"/>
      <c r="M1102" s="33"/>
    </row>
    <row r="1103" spans="5:13">
      <c r="E1103" s="28"/>
      <c r="F1103" s="28"/>
      <c r="G1103" s="33"/>
      <c r="H1103" s="33"/>
      <c r="I1103" s="33"/>
      <c r="J1103" s="33"/>
      <c r="K1103" s="33"/>
      <c r="L1103" s="33"/>
      <c r="M1103" s="33"/>
    </row>
    <row r="1104" spans="5:13">
      <c r="E1104" s="28"/>
      <c r="F1104" s="28"/>
      <c r="G1104" s="33"/>
      <c r="H1104" s="33"/>
      <c r="I1104" s="33"/>
      <c r="J1104" s="33"/>
      <c r="K1104" s="33"/>
      <c r="L1104" s="33"/>
      <c r="M1104" s="33"/>
    </row>
    <row r="1105" spans="5:13">
      <c r="E1105" s="28"/>
      <c r="F1105" s="28"/>
      <c r="G1105" s="33"/>
      <c r="H1105" s="33"/>
      <c r="I1105" s="33"/>
      <c r="J1105" s="33"/>
      <c r="K1105" s="33"/>
      <c r="L1105" s="33"/>
      <c r="M1105" s="33"/>
    </row>
    <row r="1106" spans="5:13">
      <c r="E1106" s="28"/>
      <c r="F1106" s="28"/>
      <c r="G1106" s="33"/>
      <c r="H1106" s="33"/>
      <c r="I1106" s="33"/>
      <c r="J1106" s="33"/>
      <c r="K1106" s="33"/>
      <c r="L1106" s="33"/>
      <c r="M1106" s="33"/>
    </row>
    <row r="1107" spans="5:13">
      <c r="E1107" s="28"/>
      <c r="F1107" s="28"/>
      <c r="G1107" s="33"/>
      <c r="H1107" s="33"/>
      <c r="I1107" s="33"/>
      <c r="J1107" s="33"/>
      <c r="K1107" s="33"/>
      <c r="L1107" s="33"/>
      <c r="M1107" s="33"/>
    </row>
    <row r="1108" spans="5:13">
      <c r="E1108" s="28"/>
      <c r="F1108" s="28"/>
      <c r="G1108" s="33"/>
      <c r="H1108" s="33"/>
      <c r="I1108" s="33"/>
      <c r="J1108" s="33"/>
      <c r="K1108" s="33"/>
      <c r="L1108" s="33"/>
      <c r="M1108" s="33"/>
    </row>
    <row r="1109" spans="5:13">
      <c r="E1109" s="28"/>
      <c r="F1109" s="28"/>
      <c r="G1109" s="33"/>
      <c r="H1109" s="33"/>
      <c r="I1109" s="33"/>
      <c r="J1109" s="33"/>
      <c r="K1109" s="33"/>
      <c r="L1109" s="33"/>
      <c r="M1109" s="33"/>
    </row>
    <row r="1110" spans="5:13">
      <c r="E1110" s="28"/>
      <c r="F1110" s="28"/>
      <c r="G1110" s="33"/>
      <c r="H1110" s="33"/>
      <c r="I1110" s="33"/>
      <c r="J1110" s="33"/>
      <c r="K1110" s="33"/>
      <c r="L1110" s="33"/>
      <c r="M1110" s="33"/>
    </row>
    <row r="1111" spans="5:13">
      <c r="E1111" s="28"/>
      <c r="F1111" s="28"/>
      <c r="G1111" s="33"/>
      <c r="H1111" s="33"/>
      <c r="I1111" s="33"/>
      <c r="J1111" s="33"/>
      <c r="K1111" s="33"/>
      <c r="L1111" s="33"/>
      <c r="M1111" s="33"/>
    </row>
    <row r="1112" spans="5:13">
      <c r="E1112" s="28"/>
      <c r="F1112" s="28"/>
      <c r="G1112" s="33"/>
      <c r="H1112" s="33"/>
      <c r="I1112" s="33"/>
      <c r="J1112" s="33"/>
      <c r="K1112" s="33"/>
      <c r="L1112" s="33"/>
      <c r="M1112" s="33"/>
    </row>
    <row r="1113" spans="5:13">
      <c r="E1113" s="28"/>
      <c r="F1113" s="28"/>
      <c r="G1113" s="33"/>
      <c r="H1113" s="33"/>
      <c r="I1113" s="33"/>
      <c r="J1113" s="33"/>
      <c r="K1113" s="33"/>
      <c r="L1113" s="33"/>
      <c r="M1113" s="33"/>
    </row>
    <row r="1114" spans="5:13">
      <c r="E1114" s="28"/>
      <c r="F1114" s="28"/>
      <c r="G1114" s="33"/>
      <c r="H1114" s="33"/>
      <c r="I1114" s="33"/>
      <c r="J1114" s="33"/>
      <c r="K1114" s="33"/>
      <c r="L1114" s="33"/>
      <c r="M1114" s="33"/>
    </row>
    <row r="1115" spans="5:13">
      <c r="E1115" s="28"/>
      <c r="F1115" s="28"/>
      <c r="G1115" s="33"/>
      <c r="H1115" s="33"/>
      <c r="I1115" s="33"/>
      <c r="J1115" s="33"/>
      <c r="K1115" s="33"/>
      <c r="L1115" s="33"/>
      <c r="M1115" s="33"/>
    </row>
    <row r="1116" spans="5:13">
      <c r="E1116" s="28"/>
      <c r="F1116" s="28"/>
      <c r="G1116" s="33"/>
      <c r="H1116" s="33"/>
      <c r="I1116" s="33"/>
      <c r="J1116" s="33"/>
      <c r="K1116" s="33"/>
      <c r="L1116" s="33"/>
      <c r="M1116" s="33"/>
    </row>
    <row r="1117" spans="5:13">
      <c r="E1117" s="28"/>
      <c r="F1117" s="28"/>
      <c r="G1117" s="33"/>
      <c r="H1117" s="33"/>
      <c r="I1117" s="33"/>
      <c r="J1117" s="33"/>
      <c r="K1117" s="33"/>
      <c r="L1117" s="33"/>
      <c r="M1117" s="33"/>
    </row>
    <row r="1118" spans="5:13">
      <c r="E1118" s="28"/>
      <c r="F1118" s="28"/>
      <c r="G1118" s="33"/>
      <c r="H1118" s="33"/>
      <c r="I1118" s="33"/>
      <c r="J1118" s="33"/>
      <c r="K1118" s="33"/>
      <c r="L1118" s="33"/>
      <c r="M1118" s="33"/>
    </row>
    <row r="1119" spans="5:13">
      <c r="E1119" s="28"/>
      <c r="F1119" s="28"/>
      <c r="G1119" s="33"/>
      <c r="H1119" s="33"/>
      <c r="I1119" s="33"/>
      <c r="J1119" s="33"/>
      <c r="K1119" s="33"/>
      <c r="L1119" s="33"/>
      <c r="M1119" s="33"/>
    </row>
    <row r="1120" spans="5:13">
      <c r="E1120" s="28"/>
      <c r="F1120" s="28"/>
      <c r="G1120" s="33"/>
      <c r="H1120" s="33"/>
      <c r="I1120" s="33"/>
      <c r="J1120" s="33"/>
      <c r="K1120" s="33"/>
      <c r="L1120" s="33"/>
      <c r="M1120" s="33"/>
    </row>
    <row r="1121" spans="5:13">
      <c r="E1121" s="28"/>
      <c r="F1121" s="28"/>
      <c r="G1121" s="33"/>
      <c r="H1121" s="33"/>
      <c r="I1121" s="33"/>
      <c r="J1121" s="33"/>
      <c r="K1121" s="33"/>
      <c r="L1121" s="33"/>
      <c r="M1121" s="33"/>
    </row>
    <row r="1122" spans="5:13">
      <c r="E1122" s="28"/>
      <c r="F1122" s="28"/>
      <c r="G1122" s="33"/>
      <c r="H1122" s="33"/>
      <c r="I1122" s="33"/>
      <c r="J1122" s="33"/>
      <c r="K1122" s="33"/>
      <c r="L1122" s="33"/>
      <c r="M1122" s="33"/>
    </row>
    <row r="1123" spans="5:13">
      <c r="E1123" s="28"/>
      <c r="F1123" s="28"/>
      <c r="G1123" s="33"/>
      <c r="H1123" s="33"/>
      <c r="I1123" s="33"/>
      <c r="J1123" s="33"/>
      <c r="K1123" s="33"/>
      <c r="L1123" s="33"/>
      <c r="M1123" s="33"/>
    </row>
    <row r="1124" spans="5:13">
      <c r="E1124" s="28"/>
      <c r="F1124" s="28"/>
      <c r="G1124" s="33"/>
      <c r="H1124" s="33"/>
      <c r="I1124" s="33"/>
      <c r="J1124" s="33"/>
      <c r="K1124" s="33"/>
      <c r="L1124" s="33"/>
      <c r="M1124" s="33"/>
    </row>
    <row r="1125" spans="5:13">
      <c r="E1125" s="28"/>
      <c r="F1125" s="28"/>
      <c r="G1125" s="33"/>
      <c r="H1125" s="33"/>
      <c r="I1125" s="33"/>
      <c r="J1125" s="33"/>
      <c r="K1125" s="33"/>
      <c r="L1125" s="33"/>
      <c r="M1125" s="33"/>
    </row>
    <row r="1126" spans="5:13">
      <c r="E1126" s="28"/>
      <c r="F1126" s="28"/>
      <c r="G1126" s="33"/>
      <c r="H1126" s="33"/>
      <c r="I1126" s="33"/>
      <c r="J1126" s="33"/>
      <c r="K1126" s="33"/>
      <c r="L1126" s="33"/>
      <c r="M1126" s="33"/>
    </row>
    <row r="1127" spans="5:13">
      <c r="E1127" s="28"/>
      <c r="F1127" s="28"/>
      <c r="G1127" s="33"/>
      <c r="H1127" s="33"/>
      <c r="I1127" s="33"/>
      <c r="J1127" s="33"/>
      <c r="K1127" s="33"/>
      <c r="L1127" s="33"/>
      <c r="M1127" s="33"/>
    </row>
    <row r="1128" spans="5:13">
      <c r="E1128" s="28"/>
      <c r="F1128" s="28"/>
      <c r="G1128" s="33"/>
      <c r="H1128" s="33"/>
      <c r="I1128" s="33"/>
      <c r="J1128" s="33"/>
      <c r="K1128" s="33"/>
      <c r="L1128" s="33"/>
      <c r="M1128" s="33"/>
    </row>
    <row r="1129" spans="5:13">
      <c r="E1129" s="28"/>
      <c r="F1129" s="28"/>
      <c r="G1129" s="33"/>
      <c r="H1129" s="33"/>
      <c r="I1129" s="33"/>
      <c r="J1129" s="33"/>
      <c r="K1129" s="33"/>
      <c r="L1129" s="33"/>
      <c r="M1129" s="33"/>
    </row>
    <row r="1130" spans="5:13">
      <c r="E1130" s="28"/>
      <c r="F1130" s="28"/>
      <c r="G1130" s="33"/>
      <c r="H1130" s="33"/>
      <c r="I1130" s="33"/>
      <c r="J1130" s="33"/>
      <c r="K1130" s="33"/>
      <c r="L1130" s="33"/>
      <c r="M1130" s="33"/>
    </row>
    <row r="1131" spans="5:13">
      <c r="E1131" s="28"/>
      <c r="F1131" s="28"/>
      <c r="G1131" s="33"/>
      <c r="H1131" s="33"/>
      <c r="I1131" s="33"/>
      <c r="J1131" s="33"/>
      <c r="K1131" s="33"/>
      <c r="L1131" s="33"/>
      <c r="M1131" s="33"/>
    </row>
    <row r="1132" spans="5:13">
      <c r="E1132" s="28"/>
      <c r="F1132" s="28"/>
      <c r="G1132" s="33"/>
      <c r="H1132" s="33"/>
      <c r="I1132" s="33"/>
      <c r="J1132" s="33"/>
      <c r="K1132" s="33"/>
      <c r="L1132" s="33"/>
      <c r="M1132" s="33"/>
    </row>
    <row r="1133" spans="5:13">
      <c r="E1133" s="28"/>
      <c r="F1133" s="28"/>
      <c r="G1133" s="33"/>
      <c r="H1133" s="33"/>
      <c r="I1133" s="33"/>
      <c r="J1133" s="33"/>
      <c r="K1133" s="33"/>
      <c r="L1133" s="33"/>
      <c r="M1133" s="33"/>
    </row>
    <row r="1134" spans="5:13">
      <c r="E1134" s="28"/>
      <c r="F1134" s="28"/>
      <c r="G1134" s="33"/>
      <c r="H1134" s="33"/>
      <c r="I1134" s="33"/>
      <c r="J1134" s="33"/>
      <c r="K1134" s="33"/>
      <c r="L1134" s="33"/>
      <c r="M1134" s="33"/>
    </row>
    <row r="1135" spans="5:13">
      <c r="E1135" s="28"/>
      <c r="F1135" s="28"/>
      <c r="G1135" s="33"/>
      <c r="H1135" s="33"/>
      <c r="I1135" s="33"/>
      <c r="J1135" s="33"/>
      <c r="K1135" s="33"/>
      <c r="L1135" s="33"/>
      <c r="M1135" s="33"/>
    </row>
    <row r="1136" spans="5:13">
      <c r="E1136" s="28"/>
      <c r="F1136" s="28"/>
      <c r="G1136" s="33"/>
      <c r="H1136" s="33"/>
      <c r="I1136" s="33"/>
      <c r="J1136" s="33"/>
      <c r="K1136" s="33"/>
      <c r="L1136" s="33"/>
      <c r="M1136" s="33"/>
    </row>
    <row r="1137" spans="5:13">
      <c r="E1137" s="28"/>
      <c r="F1137" s="28"/>
      <c r="G1137" s="33"/>
      <c r="H1137" s="33"/>
      <c r="I1137" s="33"/>
      <c r="J1137" s="33"/>
      <c r="K1137" s="33"/>
      <c r="L1137" s="33"/>
      <c r="M1137" s="33"/>
    </row>
    <row r="1138" spans="5:13">
      <c r="E1138" s="28"/>
      <c r="F1138" s="28"/>
      <c r="G1138" s="33"/>
      <c r="H1138" s="33"/>
      <c r="I1138" s="33"/>
      <c r="J1138" s="33"/>
      <c r="K1138" s="33"/>
      <c r="L1138" s="33"/>
      <c r="M1138" s="33"/>
    </row>
    <row r="1139" spans="5:13">
      <c r="E1139" s="28"/>
      <c r="F1139" s="28"/>
      <c r="G1139" s="33"/>
      <c r="H1139" s="33"/>
      <c r="I1139" s="33"/>
      <c r="J1139" s="33"/>
      <c r="K1139" s="33"/>
      <c r="L1139" s="33"/>
      <c r="M1139" s="33"/>
    </row>
    <row r="1140" spans="5:13">
      <c r="E1140" s="28"/>
      <c r="F1140" s="28"/>
      <c r="G1140" s="33"/>
      <c r="H1140" s="33"/>
      <c r="I1140" s="33"/>
      <c r="J1140" s="33"/>
      <c r="K1140" s="33"/>
      <c r="L1140" s="33"/>
      <c r="M1140" s="33"/>
    </row>
    <row r="1141" spans="5:13">
      <c r="E1141" s="28"/>
      <c r="F1141" s="28"/>
      <c r="G1141" s="33"/>
      <c r="H1141" s="33"/>
      <c r="I1141" s="33"/>
      <c r="J1141" s="33"/>
      <c r="K1141" s="33"/>
      <c r="L1141" s="33"/>
      <c r="M1141" s="33"/>
    </row>
    <row r="1142" spans="5:13">
      <c r="E1142" s="28"/>
      <c r="F1142" s="28"/>
      <c r="G1142" s="33"/>
      <c r="H1142" s="33"/>
      <c r="I1142" s="33"/>
      <c r="J1142" s="33"/>
      <c r="K1142" s="33"/>
      <c r="L1142" s="33"/>
      <c r="M1142" s="33"/>
    </row>
    <row r="1143" spans="5:13">
      <c r="E1143" s="28"/>
      <c r="F1143" s="28"/>
      <c r="G1143" s="33"/>
      <c r="H1143" s="33"/>
      <c r="I1143" s="33"/>
      <c r="J1143" s="33"/>
      <c r="K1143" s="33"/>
      <c r="L1143" s="33"/>
      <c r="M1143" s="33"/>
    </row>
    <row r="1144" spans="5:13">
      <c r="E1144" s="28"/>
      <c r="F1144" s="28"/>
      <c r="G1144" s="33"/>
      <c r="H1144" s="33"/>
      <c r="I1144" s="33"/>
      <c r="J1144" s="33"/>
      <c r="K1144" s="33"/>
      <c r="L1144" s="33"/>
      <c r="M1144" s="33"/>
    </row>
    <row r="1145" spans="5:13">
      <c r="E1145" s="28"/>
      <c r="F1145" s="28"/>
      <c r="G1145" s="33"/>
      <c r="H1145" s="33"/>
      <c r="I1145" s="33"/>
      <c r="J1145" s="33"/>
      <c r="K1145" s="33"/>
      <c r="L1145" s="33"/>
      <c r="M1145" s="33"/>
    </row>
    <row r="1146" spans="5:13">
      <c r="E1146" s="28"/>
      <c r="F1146" s="28"/>
      <c r="G1146" s="33"/>
      <c r="H1146" s="33"/>
      <c r="I1146" s="33"/>
      <c r="J1146" s="33"/>
      <c r="K1146" s="33"/>
      <c r="L1146" s="33"/>
      <c r="M1146" s="33"/>
    </row>
    <row r="1147" spans="5:13">
      <c r="E1147" s="28"/>
      <c r="F1147" s="28"/>
      <c r="G1147" s="33"/>
      <c r="H1147" s="33"/>
      <c r="I1147" s="33"/>
      <c r="J1147" s="33"/>
      <c r="K1147" s="33"/>
      <c r="L1147" s="33"/>
      <c r="M1147" s="33"/>
    </row>
    <row r="1148" spans="5:13">
      <c r="E1148" s="28"/>
      <c r="F1148" s="28"/>
      <c r="G1148" s="33"/>
      <c r="H1148" s="33"/>
      <c r="I1148" s="33"/>
      <c r="J1148" s="33"/>
      <c r="K1148" s="33"/>
      <c r="L1148" s="33"/>
      <c r="M1148" s="33"/>
    </row>
    <row r="1149" spans="5:13">
      <c r="E1149" s="28"/>
      <c r="F1149" s="28"/>
      <c r="G1149" s="33"/>
      <c r="H1149" s="33"/>
      <c r="I1149" s="33"/>
      <c r="J1149" s="33"/>
      <c r="K1149" s="33"/>
      <c r="L1149" s="33"/>
      <c r="M1149" s="33"/>
    </row>
    <row r="1150" spans="5:13">
      <c r="E1150" s="28"/>
      <c r="F1150" s="28"/>
      <c r="G1150" s="33"/>
      <c r="H1150" s="33"/>
      <c r="I1150" s="33"/>
      <c r="J1150" s="33"/>
      <c r="K1150" s="33"/>
      <c r="L1150" s="33"/>
      <c r="M1150" s="33"/>
    </row>
    <row r="1151" spans="5:13">
      <c r="E1151" s="28"/>
      <c r="F1151" s="28"/>
      <c r="G1151" s="33"/>
      <c r="H1151" s="33"/>
      <c r="I1151" s="33"/>
      <c r="J1151" s="33"/>
      <c r="K1151" s="33"/>
      <c r="L1151" s="33"/>
      <c r="M1151" s="33"/>
    </row>
    <row r="1152" spans="5:13">
      <c r="E1152" s="28"/>
      <c r="F1152" s="28"/>
      <c r="G1152" s="33"/>
      <c r="H1152" s="33"/>
      <c r="I1152" s="33"/>
      <c r="J1152" s="33"/>
      <c r="K1152" s="33"/>
      <c r="L1152" s="33"/>
      <c r="M1152" s="33"/>
    </row>
    <row r="1153" spans="5:13">
      <c r="E1153" s="28"/>
      <c r="F1153" s="28"/>
      <c r="G1153" s="33"/>
      <c r="H1153" s="33"/>
      <c r="I1153" s="33"/>
      <c r="J1153" s="33"/>
      <c r="K1153" s="33"/>
      <c r="L1153" s="33"/>
      <c r="M1153" s="33"/>
    </row>
    <row r="1154" spans="5:13">
      <c r="E1154" s="28"/>
      <c r="F1154" s="28"/>
      <c r="G1154" s="33"/>
      <c r="H1154" s="33"/>
      <c r="I1154" s="33"/>
      <c r="J1154" s="33"/>
      <c r="K1154" s="33"/>
      <c r="L1154" s="33"/>
      <c r="M1154" s="33"/>
    </row>
    <row r="1155" spans="5:13">
      <c r="E1155" s="28"/>
      <c r="F1155" s="28"/>
      <c r="G1155" s="33"/>
      <c r="H1155" s="33"/>
      <c r="I1155" s="33"/>
      <c r="J1155" s="33"/>
      <c r="K1155" s="33"/>
      <c r="L1155" s="33"/>
      <c r="M1155" s="33"/>
    </row>
    <row r="1156" spans="5:13">
      <c r="E1156" s="28"/>
      <c r="F1156" s="28"/>
      <c r="G1156" s="33"/>
      <c r="H1156" s="33"/>
      <c r="I1156" s="33"/>
      <c r="J1156" s="33"/>
      <c r="K1156" s="33"/>
      <c r="L1156" s="33"/>
      <c r="M1156" s="33"/>
    </row>
    <row r="1157" spans="5:13">
      <c r="E1157" s="28"/>
      <c r="F1157" s="28"/>
      <c r="G1157" s="33"/>
      <c r="H1157" s="33"/>
      <c r="I1157" s="33"/>
      <c r="J1157" s="33"/>
      <c r="K1157" s="33"/>
      <c r="L1157" s="33"/>
      <c r="M1157" s="33"/>
    </row>
    <row r="1158" spans="5:13">
      <c r="E1158" s="28"/>
      <c r="F1158" s="28"/>
      <c r="G1158" s="33"/>
      <c r="H1158" s="33"/>
      <c r="I1158" s="33"/>
      <c r="J1158" s="33"/>
      <c r="K1158" s="33"/>
      <c r="L1158" s="33"/>
      <c r="M1158" s="33"/>
    </row>
    <row r="1159" spans="5:13">
      <c r="E1159" s="28"/>
      <c r="F1159" s="28"/>
      <c r="G1159" s="33"/>
      <c r="H1159" s="33"/>
      <c r="I1159" s="33"/>
      <c r="J1159" s="33"/>
      <c r="K1159" s="33"/>
      <c r="L1159" s="33"/>
      <c r="M1159" s="33"/>
    </row>
    <row r="1160" spans="5:13">
      <c r="E1160" s="28"/>
      <c r="F1160" s="28"/>
      <c r="G1160" s="33"/>
      <c r="H1160" s="33"/>
      <c r="I1160" s="33"/>
      <c r="J1160" s="33"/>
      <c r="K1160" s="33"/>
      <c r="L1160" s="33"/>
      <c r="M1160" s="33"/>
    </row>
    <row r="1161" spans="5:13">
      <c r="E1161" s="28"/>
      <c r="F1161" s="28"/>
      <c r="G1161" s="33"/>
      <c r="H1161" s="33"/>
      <c r="I1161" s="33"/>
      <c r="J1161" s="33"/>
      <c r="K1161" s="33"/>
      <c r="L1161" s="33"/>
      <c r="M1161" s="33"/>
    </row>
    <row r="1162" spans="5:13">
      <c r="E1162" s="28"/>
      <c r="F1162" s="28"/>
      <c r="G1162" s="33"/>
      <c r="H1162" s="33"/>
      <c r="I1162" s="33"/>
      <c r="J1162" s="33"/>
      <c r="K1162" s="33"/>
      <c r="L1162" s="33"/>
      <c r="M1162" s="33"/>
    </row>
    <row r="1163" spans="5:13">
      <c r="E1163" s="28"/>
      <c r="F1163" s="28"/>
      <c r="G1163" s="33"/>
      <c r="H1163" s="33"/>
      <c r="I1163" s="33"/>
      <c r="J1163" s="33"/>
      <c r="K1163" s="33"/>
      <c r="L1163" s="33"/>
      <c r="M1163" s="33"/>
    </row>
    <row r="1164" spans="5:13">
      <c r="E1164" s="28"/>
      <c r="F1164" s="28"/>
      <c r="G1164" s="33"/>
      <c r="H1164" s="33"/>
      <c r="I1164" s="33"/>
      <c r="J1164" s="33"/>
      <c r="K1164" s="33"/>
      <c r="L1164" s="33"/>
      <c r="M1164" s="33"/>
    </row>
    <row r="1165" spans="5:13">
      <c r="E1165" s="28"/>
      <c r="F1165" s="28"/>
      <c r="G1165" s="33"/>
      <c r="H1165" s="33"/>
      <c r="I1165" s="33"/>
      <c r="J1165" s="33"/>
      <c r="K1165" s="33"/>
      <c r="L1165" s="33"/>
      <c r="M1165" s="33"/>
    </row>
    <row r="1166" spans="5:13">
      <c r="E1166" s="28"/>
      <c r="F1166" s="28"/>
      <c r="G1166" s="33"/>
      <c r="H1166" s="33"/>
      <c r="I1166" s="33"/>
      <c r="J1166" s="33"/>
      <c r="K1166" s="33"/>
      <c r="L1166" s="33"/>
      <c r="M1166" s="33"/>
    </row>
    <row r="1167" spans="5:13">
      <c r="E1167" s="28"/>
      <c r="F1167" s="28"/>
      <c r="G1167" s="33"/>
      <c r="H1167" s="33"/>
      <c r="I1167" s="33"/>
      <c r="J1167" s="33"/>
      <c r="K1167" s="33"/>
      <c r="L1167" s="33"/>
      <c r="M1167" s="33"/>
    </row>
    <row r="1168" spans="5:13">
      <c r="E1168" s="28"/>
      <c r="F1168" s="28"/>
      <c r="G1168" s="33"/>
      <c r="H1168" s="33"/>
      <c r="I1168" s="33"/>
      <c r="J1168" s="33"/>
      <c r="K1168" s="33"/>
      <c r="L1168" s="33"/>
      <c r="M1168" s="33"/>
    </row>
    <row r="1169" spans="5:13">
      <c r="E1169" s="28"/>
      <c r="F1169" s="28"/>
      <c r="G1169" s="33"/>
      <c r="H1169" s="33"/>
      <c r="I1169" s="33"/>
      <c r="J1169" s="33"/>
      <c r="K1169" s="33"/>
      <c r="L1169" s="33"/>
      <c r="M1169" s="33"/>
    </row>
    <row r="1170" spans="5:13">
      <c r="E1170" s="28"/>
      <c r="F1170" s="28"/>
      <c r="G1170" s="33"/>
      <c r="H1170" s="33"/>
      <c r="I1170" s="33"/>
      <c r="J1170" s="33"/>
      <c r="K1170" s="33"/>
      <c r="L1170" s="33"/>
      <c r="M1170" s="33"/>
    </row>
    <row r="1171" spans="5:13">
      <c r="E1171" s="28"/>
      <c r="F1171" s="28"/>
      <c r="G1171" s="33"/>
      <c r="H1171" s="33"/>
      <c r="I1171" s="33"/>
      <c r="J1171" s="33"/>
      <c r="K1171" s="33"/>
      <c r="L1171" s="33"/>
      <c r="M1171" s="33"/>
    </row>
    <row r="1172" spans="5:13">
      <c r="E1172" s="28"/>
      <c r="F1172" s="28"/>
      <c r="G1172" s="33"/>
      <c r="H1172" s="33"/>
      <c r="I1172" s="33"/>
      <c r="J1172" s="33"/>
      <c r="K1172" s="33"/>
      <c r="L1172" s="33"/>
      <c r="M1172" s="33"/>
    </row>
    <row r="1173" spans="5:13">
      <c r="E1173" s="28"/>
      <c r="F1173" s="28"/>
      <c r="G1173" s="33"/>
      <c r="H1173" s="33"/>
      <c r="I1173" s="33"/>
      <c r="J1173" s="33"/>
      <c r="K1173" s="33"/>
      <c r="L1173" s="33"/>
      <c r="M1173" s="33"/>
    </row>
    <row r="1174" spans="5:13">
      <c r="E1174" s="28"/>
      <c r="F1174" s="28"/>
      <c r="G1174" s="33"/>
      <c r="H1174" s="33"/>
      <c r="I1174" s="33"/>
      <c r="J1174" s="33"/>
      <c r="K1174" s="33"/>
      <c r="L1174" s="33"/>
      <c r="M1174" s="33"/>
    </row>
    <row r="1175" spans="5:13">
      <c r="E1175" s="28"/>
      <c r="F1175" s="28"/>
      <c r="G1175" s="33"/>
      <c r="H1175" s="33"/>
      <c r="I1175" s="33"/>
      <c r="J1175" s="33"/>
      <c r="K1175" s="33"/>
      <c r="L1175" s="33"/>
      <c r="M1175" s="33"/>
    </row>
    <row r="1176" spans="5:13">
      <c r="E1176" s="28"/>
      <c r="F1176" s="28"/>
      <c r="G1176" s="33"/>
      <c r="H1176" s="33"/>
      <c r="I1176" s="33"/>
      <c r="J1176" s="33"/>
      <c r="K1176" s="33"/>
      <c r="L1176" s="33"/>
      <c r="M1176" s="33"/>
    </row>
    <row r="1177" spans="5:13">
      <c r="E1177" s="28"/>
      <c r="F1177" s="28"/>
      <c r="G1177" s="33"/>
      <c r="H1177" s="33"/>
      <c r="I1177" s="33"/>
      <c r="J1177" s="33"/>
      <c r="K1177" s="33"/>
      <c r="L1177" s="33"/>
      <c r="M1177" s="33"/>
    </row>
    <row r="1178" spans="5:13">
      <c r="E1178" s="28"/>
      <c r="F1178" s="28"/>
      <c r="G1178" s="33"/>
      <c r="H1178" s="33"/>
      <c r="I1178" s="33"/>
      <c r="J1178" s="33"/>
      <c r="K1178" s="33"/>
      <c r="L1178" s="33"/>
      <c r="M1178" s="33"/>
    </row>
    <row r="1179" spans="5:13">
      <c r="E1179" s="28"/>
      <c r="F1179" s="28"/>
      <c r="G1179" s="33"/>
      <c r="H1179" s="33"/>
      <c r="I1179" s="33"/>
      <c r="J1179" s="33"/>
      <c r="K1179" s="33"/>
      <c r="L1179" s="33"/>
      <c r="M1179" s="33"/>
    </row>
    <row r="1180" spans="5:13">
      <c r="E1180" s="28"/>
      <c r="F1180" s="28"/>
      <c r="G1180" s="33"/>
      <c r="H1180" s="33"/>
      <c r="I1180" s="33"/>
      <c r="J1180" s="33"/>
      <c r="K1180" s="33"/>
      <c r="L1180" s="33"/>
      <c r="M1180" s="33"/>
    </row>
    <row r="1181" spans="5:13">
      <c r="E1181" s="28"/>
      <c r="F1181" s="28"/>
      <c r="G1181" s="33"/>
      <c r="H1181" s="33"/>
      <c r="I1181" s="33"/>
      <c r="J1181" s="33"/>
      <c r="K1181" s="33"/>
      <c r="L1181" s="33"/>
      <c r="M1181" s="33"/>
    </row>
    <row r="1182" spans="5:13">
      <c r="E1182" s="28"/>
      <c r="F1182" s="28"/>
      <c r="G1182" s="33"/>
      <c r="H1182" s="33"/>
      <c r="I1182" s="33"/>
      <c r="J1182" s="33"/>
      <c r="K1182" s="33"/>
      <c r="L1182" s="33"/>
      <c r="M1182" s="33"/>
    </row>
    <row r="1183" spans="5:13">
      <c r="E1183" s="28"/>
      <c r="F1183" s="28"/>
      <c r="G1183" s="33"/>
      <c r="H1183" s="33"/>
      <c r="I1183" s="33"/>
      <c r="J1183" s="33"/>
      <c r="K1183" s="33"/>
      <c r="L1183" s="33"/>
      <c r="M1183" s="33"/>
    </row>
    <row r="1184" spans="5:13">
      <c r="E1184" s="28"/>
      <c r="F1184" s="28"/>
      <c r="G1184" s="33"/>
      <c r="H1184" s="33"/>
      <c r="I1184" s="33"/>
      <c r="J1184" s="33"/>
      <c r="K1184" s="33"/>
      <c r="L1184" s="33"/>
      <c r="M1184" s="33"/>
    </row>
    <row r="1185" spans="5:13">
      <c r="E1185" s="28"/>
      <c r="F1185" s="28"/>
      <c r="G1185" s="33"/>
      <c r="H1185" s="33"/>
      <c r="I1185" s="33"/>
      <c r="J1185" s="33"/>
      <c r="K1185" s="33"/>
      <c r="L1185" s="33"/>
      <c r="M1185" s="33"/>
    </row>
    <row r="1186" spans="5:13">
      <c r="E1186" s="28"/>
      <c r="F1186" s="28"/>
      <c r="G1186" s="33"/>
      <c r="H1186" s="33"/>
      <c r="I1186" s="33"/>
      <c r="J1186" s="33"/>
      <c r="K1186" s="33"/>
      <c r="L1186" s="33"/>
      <c r="M1186" s="33"/>
    </row>
    <row r="1187" spans="5:13">
      <c r="E1187" s="28"/>
      <c r="F1187" s="28"/>
      <c r="G1187" s="33"/>
      <c r="H1187" s="33"/>
      <c r="I1187" s="33"/>
      <c r="J1187" s="33"/>
      <c r="K1187" s="33"/>
      <c r="L1187" s="33"/>
      <c r="M1187" s="33"/>
    </row>
    <row r="1188" spans="5:13">
      <c r="E1188" s="28"/>
      <c r="F1188" s="28"/>
      <c r="G1188" s="33"/>
      <c r="H1188" s="33"/>
      <c r="I1188" s="33"/>
      <c r="J1188" s="33"/>
      <c r="K1188" s="33"/>
      <c r="L1188" s="33"/>
      <c r="M1188" s="33"/>
    </row>
    <row r="1189" spans="5:13">
      <c r="E1189" s="28"/>
      <c r="F1189" s="28"/>
      <c r="G1189" s="33"/>
      <c r="H1189" s="33"/>
      <c r="I1189" s="33"/>
      <c r="J1189" s="33"/>
      <c r="K1189" s="33"/>
      <c r="L1189" s="33"/>
      <c r="M1189" s="33"/>
    </row>
    <row r="1190" spans="5:13">
      <c r="E1190" s="28"/>
      <c r="F1190" s="28"/>
      <c r="G1190" s="33"/>
      <c r="H1190" s="33"/>
      <c r="I1190" s="33"/>
      <c r="J1190" s="33"/>
      <c r="K1190" s="33"/>
      <c r="L1190" s="33"/>
      <c r="M1190" s="33"/>
    </row>
    <row r="1191" spans="5:13">
      <c r="E1191" s="28"/>
      <c r="F1191" s="28"/>
      <c r="G1191" s="33"/>
      <c r="H1191" s="33"/>
      <c r="I1191" s="33"/>
      <c r="J1191" s="33"/>
      <c r="K1191" s="33"/>
      <c r="L1191" s="33"/>
      <c r="M1191" s="33"/>
    </row>
    <row r="1192" spans="5:13">
      <c r="E1192" s="28"/>
      <c r="F1192" s="28"/>
      <c r="G1192" s="33"/>
      <c r="H1192" s="33"/>
      <c r="I1192" s="33"/>
      <c r="J1192" s="33"/>
      <c r="K1192" s="33"/>
      <c r="L1192" s="33"/>
      <c r="M1192" s="33"/>
    </row>
    <row r="1193" spans="5:13">
      <c r="E1193" s="28"/>
      <c r="F1193" s="28"/>
      <c r="G1193" s="33"/>
      <c r="H1193" s="33"/>
      <c r="I1193" s="33"/>
      <c r="J1193" s="33"/>
      <c r="K1193" s="33"/>
      <c r="L1193" s="33"/>
      <c r="M1193" s="33"/>
    </row>
    <row r="1194" spans="5:13">
      <c r="E1194" s="28"/>
      <c r="F1194" s="28"/>
      <c r="G1194" s="33"/>
      <c r="H1194" s="33"/>
      <c r="I1194" s="33"/>
      <c r="J1194" s="33"/>
      <c r="K1194" s="33"/>
      <c r="L1194" s="33"/>
      <c r="M1194" s="33"/>
    </row>
    <row r="1195" spans="5:13">
      <c r="E1195" s="28"/>
      <c r="F1195" s="28"/>
      <c r="G1195" s="33"/>
      <c r="H1195" s="33"/>
      <c r="I1195" s="33"/>
      <c r="J1195" s="33"/>
      <c r="K1195" s="33"/>
      <c r="L1195" s="33"/>
      <c r="M1195" s="33"/>
    </row>
    <row r="1196" spans="5:13">
      <c r="E1196" s="28"/>
      <c r="F1196" s="28"/>
      <c r="G1196" s="33"/>
      <c r="H1196" s="33"/>
      <c r="I1196" s="33"/>
      <c r="J1196" s="33"/>
      <c r="K1196" s="33"/>
      <c r="L1196" s="33"/>
      <c r="M1196" s="33"/>
    </row>
    <row r="1197" spans="5:13">
      <c r="E1197" s="28"/>
      <c r="F1197" s="28"/>
      <c r="G1197" s="33"/>
      <c r="H1197" s="33"/>
      <c r="I1197" s="33"/>
      <c r="J1197" s="33"/>
      <c r="K1197" s="33"/>
      <c r="L1197" s="33"/>
      <c r="M1197" s="33"/>
    </row>
    <row r="1198" spans="5:13">
      <c r="E1198" s="28"/>
      <c r="F1198" s="28"/>
      <c r="G1198" s="33"/>
      <c r="H1198" s="33"/>
      <c r="I1198" s="33"/>
      <c r="J1198" s="33"/>
      <c r="K1198" s="33"/>
      <c r="L1198" s="33"/>
      <c r="M1198" s="33"/>
    </row>
    <row r="1199" spans="5:13">
      <c r="E1199" s="28"/>
      <c r="F1199" s="28"/>
      <c r="G1199" s="33"/>
      <c r="H1199" s="33"/>
      <c r="I1199" s="33"/>
      <c r="J1199" s="33"/>
      <c r="K1199" s="33"/>
      <c r="L1199" s="33"/>
      <c r="M1199" s="33"/>
    </row>
    <row r="1200" spans="5:13">
      <c r="E1200" s="28"/>
      <c r="F1200" s="28"/>
      <c r="G1200" s="33"/>
      <c r="H1200" s="33"/>
      <c r="I1200" s="33"/>
      <c r="J1200" s="33"/>
      <c r="K1200" s="33"/>
      <c r="L1200" s="33"/>
      <c r="M1200" s="33"/>
    </row>
    <row r="1201" spans="5:13">
      <c r="E1201" s="28"/>
      <c r="F1201" s="28"/>
      <c r="G1201" s="33"/>
      <c r="H1201" s="33"/>
      <c r="I1201" s="33"/>
      <c r="J1201" s="33"/>
      <c r="K1201" s="33"/>
      <c r="L1201" s="33"/>
      <c r="M1201" s="33"/>
    </row>
    <row r="1202" spans="5:13">
      <c r="E1202" s="28"/>
      <c r="F1202" s="28"/>
      <c r="G1202" s="33"/>
      <c r="H1202" s="33"/>
      <c r="I1202" s="33"/>
      <c r="J1202" s="33"/>
      <c r="K1202" s="33"/>
      <c r="L1202" s="33"/>
      <c r="M1202" s="33"/>
    </row>
    <row r="1203" spans="5:13">
      <c r="E1203" s="28"/>
      <c r="F1203" s="28"/>
      <c r="G1203" s="33"/>
      <c r="H1203" s="33"/>
      <c r="I1203" s="33"/>
      <c r="J1203" s="33"/>
      <c r="K1203" s="33"/>
      <c r="L1203" s="33"/>
      <c r="M1203" s="33"/>
    </row>
    <row r="1204" spans="5:13">
      <c r="E1204" s="28"/>
      <c r="F1204" s="28"/>
      <c r="G1204" s="33"/>
      <c r="H1204" s="33"/>
      <c r="I1204" s="33"/>
      <c r="J1204" s="33"/>
      <c r="K1204" s="33"/>
      <c r="L1204" s="33"/>
      <c r="M1204" s="33"/>
    </row>
    <row r="1205" spans="5:13">
      <c r="E1205" s="28"/>
      <c r="F1205" s="28"/>
      <c r="G1205" s="33"/>
      <c r="H1205" s="33"/>
      <c r="I1205" s="33"/>
      <c r="J1205" s="33"/>
      <c r="K1205" s="33"/>
      <c r="L1205" s="33"/>
      <c r="M1205" s="33"/>
    </row>
    <row r="1206" spans="5:13">
      <c r="E1206" s="28"/>
      <c r="F1206" s="28"/>
      <c r="G1206" s="33"/>
      <c r="H1206" s="33"/>
      <c r="I1206" s="33"/>
      <c r="J1206" s="33"/>
      <c r="K1206" s="33"/>
      <c r="L1206" s="33"/>
      <c r="M1206" s="33"/>
    </row>
    <row r="1207" spans="5:13">
      <c r="E1207" s="28"/>
      <c r="F1207" s="28"/>
      <c r="G1207" s="33"/>
      <c r="H1207" s="33"/>
      <c r="I1207" s="33"/>
      <c r="J1207" s="33"/>
      <c r="K1207" s="33"/>
      <c r="L1207" s="33"/>
      <c r="M1207" s="33"/>
    </row>
    <row r="1208" spans="5:13">
      <c r="E1208" s="28"/>
      <c r="F1208" s="28"/>
      <c r="G1208" s="33"/>
      <c r="H1208" s="33"/>
      <c r="I1208" s="33"/>
      <c r="J1208" s="33"/>
      <c r="K1208" s="33"/>
      <c r="L1208" s="33"/>
      <c r="M1208" s="33"/>
    </row>
    <row r="1209" spans="5:13">
      <c r="E1209" s="28"/>
      <c r="F1209" s="28"/>
      <c r="G1209" s="33"/>
      <c r="H1209" s="33"/>
      <c r="I1209" s="33"/>
      <c r="J1209" s="33"/>
      <c r="K1209" s="33"/>
      <c r="L1209" s="33"/>
      <c r="M1209" s="33"/>
    </row>
    <row r="1210" spans="5:13">
      <c r="E1210" s="28"/>
      <c r="F1210" s="28"/>
      <c r="G1210" s="33"/>
      <c r="H1210" s="33"/>
      <c r="I1210" s="33"/>
      <c r="J1210" s="33"/>
      <c r="K1210" s="33"/>
      <c r="L1210" s="33"/>
      <c r="M1210" s="33"/>
    </row>
    <row r="1211" spans="5:13">
      <c r="E1211" s="28"/>
      <c r="F1211" s="28"/>
      <c r="G1211" s="33"/>
      <c r="H1211" s="33"/>
      <c r="I1211" s="33"/>
      <c r="J1211" s="33"/>
      <c r="K1211" s="33"/>
      <c r="L1211" s="33"/>
      <c r="M1211" s="33"/>
    </row>
    <row r="1212" spans="5:13">
      <c r="E1212" s="28"/>
      <c r="F1212" s="28"/>
      <c r="G1212" s="33"/>
      <c r="H1212" s="33"/>
      <c r="I1212" s="33"/>
      <c r="J1212" s="33"/>
      <c r="K1212" s="33"/>
      <c r="L1212" s="33"/>
      <c r="M1212" s="33"/>
    </row>
    <row r="1213" spans="5:13">
      <c r="E1213" s="28"/>
      <c r="F1213" s="28"/>
      <c r="G1213" s="33"/>
      <c r="H1213" s="33"/>
      <c r="I1213" s="33"/>
      <c r="J1213" s="33"/>
      <c r="K1213" s="33"/>
      <c r="L1213" s="33"/>
      <c r="M1213" s="33"/>
    </row>
    <row r="1214" spans="5:13">
      <c r="E1214" s="28"/>
      <c r="F1214" s="28"/>
      <c r="G1214" s="33"/>
      <c r="H1214" s="33"/>
      <c r="I1214" s="33"/>
      <c r="J1214" s="33"/>
      <c r="K1214" s="33"/>
      <c r="L1214" s="33"/>
      <c r="M1214" s="33"/>
    </row>
    <row r="1215" spans="5:13">
      <c r="E1215" s="28"/>
      <c r="F1215" s="28"/>
      <c r="G1215" s="33"/>
      <c r="H1215" s="33"/>
      <c r="I1215" s="33"/>
      <c r="J1215" s="33"/>
      <c r="K1215" s="33"/>
      <c r="L1215" s="33"/>
      <c r="M1215" s="33"/>
    </row>
    <row r="1216" spans="5:13">
      <c r="E1216" s="28"/>
      <c r="F1216" s="28"/>
      <c r="G1216" s="33"/>
      <c r="H1216" s="33"/>
      <c r="I1216" s="33"/>
      <c r="J1216" s="33"/>
      <c r="K1216" s="33"/>
      <c r="L1216" s="33"/>
      <c r="M1216" s="33"/>
    </row>
    <row r="1217" spans="5:13">
      <c r="E1217" s="28"/>
      <c r="F1217" s="28"/>
      <c r="G1217" s="33"/>
      <c r="H1217" s="33"/>
      <c r="I1217" s="33"/>
      <c r="J1217" s="33"/>
      <c r="K1217" s="33"/>
      <c r="L1217" s="33"/>
      <c r="M1217" s="33"/>
    </row>
    <row r="1218" spans="5:13">
      <c r="E1218" s="28"/>
      <c r="F1218" s="28"/>
      <c r="G1218" s="33"/>
      <c r="H1218" s="33"/>
      <c r="I1218" s="33"/>
      <c r="J1218" s="33"/>
      <c r="K1218" s="33"/>
      <c r="L1218" s="33"/>
      <c r="M1218" s="33"/>
    </row>
    <row r="1219" spans="5:13">
      <c r="E1219" s="28"/>
      <c r="F1219" s="28"/>
      <c r="G1219" s="33"/>
      <c r="H1219" s="33"/>
      <c r="I1219" s="33"/>
      <c r="J1219" s="33"/>
      <c r="K1219" s="33"/>
      <c r="L1219" s="33"/>
      <c r="M1219" s="33"/>
    </row>
    <row r="1220" spans="5:13">
      <c r="E1220" s="28"/>
      <c r="F1220" s="28"/>
      <c r="G1220" s="33"/>
      <c r="H1220" s="33"/>
      <c r="I1220" s="33"/>
      <c r="J1220" s="33"/>
      <c r="K1220" s="33"/>
      <c r="L1220" s="33"/>
      <c r="M1220" s="33"/>
    </row>
    <row r="1221" spans="5:13">
      <c r="E1221" s="28"/>
      <c r="F1221" s="28"/>
      <c r="G1221" s="33"/>
      <c r="H1221" s="33"/>
      <c r="I1221" s="33"/>
      <c r="J1221" s="33"/>
      <c r="K1221" s="33"/>
      <c r="L1221" s="33"/>
      <c r="M1221" s="33"/>
    </row>
    <row r="1222" spans="5:13">
      <c r="E1222" s="28"/>
      <c r="F1222" s="28"/>
      <c r="G1222" s="33"/>
      <c r="H1222" s="33"/>
      <c r="I1222" s="33"/>
      <c r="J1222" s="33"/>
      <c r="K1222" s="33"/>
      <c r="L1222" s="33"/>
      <c r="M1222" s="33"/>
    </row>
    <row r="1223" spans="5:13">
      <c r="E1223" s="28"/>
      <c r="F1223" s="28"/>
      <c r="G1223" s="33"/>
      <c r="H1223" s="33"/>
      <c r="I1223" s="33"/>
      <c r="J1223" s="33"/>
      <c r="K1223" s="33"/>
      <c r="L1223" s="33"/>
      <c r="M1223" s="33"/>
    </row>
    <row r="1224" spans="5:13">
      <c r="E1224" s="28"/>
      <c r="F1224" s="28"/>
      <c r="G1224" s="33"/>
      <c r="H1224" s="33"/>
      <c r="I1224" s="33"/>
      <c r="J1224" s="33"/>
      <c r="K1224" s="33"/>
      <c r="L1224" s="33"/>
      <c r="M1224" s="33"/>
    </row>
    <row r="1225" spans="5:13">
      <c r="E1225" s="28"/>
      <c r="F1225" s="28"/>
      <c r="G1225" s="33"/>
      <c r="H1225" s="33"/>
      <c r="I1225" s="33"/>
      <c r="J1225" s="33"/>
      <c r="K1225" s="33"/>
      <c r="L1225" s="33"/>
      <c r="M1225" s="33"/>
    </row>
    <row r="1226" spans="5:13">
      <c r="E1226" s="28"/>
      <c r="F1226" s="28"/>
      <c r="G1226" s="33"/>
      <c r="H1226" s="33"/>
      <c r="I1226" s="33"/>
      <c r="J1226" s="33"/>
      <c r="K1226" s="33"/>
      <c r="L1226" s="33"/>
      <c r="M1226" s="33"/>
    </row>
    <row r="1227" spans="5:13">
      <c r="E1227" s="28"/>
      <c r="F1227" s="28"/>
      <c r="G1227" s="33"/>
      <c r="H1227" s="33"/>
      <c r="I1227" s="33"/>
      <c r="J1227" s="33"/>
      <c r="K1227" s="33"/>
      <c r="L1227" s="33"/>
      <c r="M1227" s="33"/>
    </row>
    <row r="1228" spans="5:13">
      <c r="E1228" s="28"/>
      <c r="F1228" s="28"/>
      <c r="G1228" s="33"/>
      <c r="H1228" s="33"/>
      <c r="I1228" s="33"/>
      <c r="J1228" s="33"/>
      <c r="K1228" s="33"/>
      <c r="L1228" s="33"/>
      <c r="M1228" s="33"/>
    </row>
    <row r="1229" spans="5:13">
      <c r="E1229" s="28"/>
      <c r="F1229" s="28"/>
      <c r="G1229" s="33"/>
      <c r="H1229" s="33"/>
      <c r="I1229" s="33"/>
      <c r="J1229" s="33"/>
      <c r="K1229" s="33"/>
      <c r="L1229" s="33"/>
      <c r="M1229" s="33"/>
    </row>
    <row r="1230" spans="5:13">
      <c r="E1230" s="28"/>
      <c r="F1230" s="28"/>
      <c r="G1230" s="33"/>
      <c r="H1230" s="33"/>
      <c r="I1230" s="33"/>
      <c r="J1230" s="33"/>
      <c r="K1230" s="33"/>
      <c r="L1230" s="33"/>
      <c r="M1230" s="33"/>
    </row>
    <row r="1231" spans="5:13">
      <c r="E1231" s="28"/>
      <c r="F1231" s="28"/>
      <c r="G1231" s="33"/>
      <c r="H1231" s="33"/>
      <c r="I1231" s="33"/>
      <c r="J1231" s="33"/>
      <c r="K1231" s="33"/>
      <c r="L1231" s="33"/>
      <c r="M1231" s="33"/>
    </row>
    <row r="1232" spans="5:13">
      <c r="E1232" s="28"/>
      <c r="F1232" s="28"/>
      <c r="G1232" s="33"/>
      <c r="H1232" s="33"/>
      <c r="I1232" s="33"/>
      <c r="J1232" s="33"/>
      <c r="K1232" s="33"/>
      <c r="L1232" s="33"/>
      <c r="M1232" s="33"/>
    </row>
    <row r="1233" spans="5:13">
      <c r="E1233" s="28"/>
      <c r="F1233" s="28"/>
      <c r="G1233" s="33"/>
      <c r="H1233" s="33"/>
      <c r="I1233" s="33"/>
      <c r="J1233" s="33"/>
      <c r="K1233" s="33"/>
      <c r="L1233" s="33"/>
      <c r="M1233" s="33"/>
    </row>
    <row r="1234" spans="5:13">
      <c r="E1234" s="28"/>
      <c r="F1234" s="28"/>
      <c r="G1234" s="33"/>
      <c r="H1234" s="33"/>
      <c r="I1234" s="33"/>
      <c r="J1234" s="33"/>
      <c r="K1234" s="33"/>
      <c r="L1234" s="33"/>
      <c r="M1234" s="33"/>
    </row>
    <row r="1235" spans="5:13">
      <c r="E1235" s="28"/>
      <c r="F1235" s="28"/>
      <c r="G1235" s="33"/>
      <c r="H1235" s="33"/>
      <c r="I1235" s="33"/>
      <c r="J1235" s="33"/>
      <c r="K1235" s="33"/>
      <c r="L1235" s="33"/>
      <c r="M1235" s="33"/>
    </row>
    <row r="1236" spans="5:13">
      <c r="E1236" s="28"/>
      <c r="F1236" s="28"/>
      <c r="G1236" s="33"/>
      <c r="H1236" s="33"/>
      <c r="I1236" s="33"/>
      <c r="J1236" s="33"/>
      <c r="K1236" s="33"/>
      <c r="L1236" s="33"/>
      <c r="M1236" s="33"/>
    </row>
    <row r="1237" spans="5:13">
      <c r="E1237" s="28"/>
      <c r="F1237" s="28"/>
      <c r="G1237" s="33"/>
      <c r="H1237" s="33"/>
      <c r="I1237" s="33"/>
      <c r="J1237" s="33"/>
      <c r="K1237" s="33"/>
      <c r="L1237" s="33"/>
      <c r="M1237" s="33"/>
    </row>
    <row r="1238" spans="5:13">
      <c r="E1238" s="28"/>
      <c r="F1238" s="28"/>
      <c r="G1238" s="33"/>
      <c r="H1238" s="33"/>
      <c r="I1238" s="33"/>
      <c r="J1238" s="33"/>
      <c r="K1238" s="33"/>
      <c r="L1238" s="33"/>
      <c r="M1238" s="33"/>
    </row>
    <row r="1239" spans="5:13">
      <c r="E1239" s="28"/>
      <c r="F1239" s="28"/>
      <c r="G1239" s="33"/>
      <c r="H1239" s="33"/>
      <c r="I1239" s="33"/>
      <c r="J1239" s="33"/>
      <c r="K1239" s="33"/>
      <c r="L1239" s="33"/>
      <c r="M1239" s="33"/>
    </row>
    <row r="1240" spans="5:13">
      <c r="E1240" s="28"/>
      <c r="F1240" s="28"/>
      <c r="G1240" s="33"/>
      <c r="H1240" s="33"/>
      <c r="I1240" s="33"/>
      <c r="J1240" s="33"/>
      <c r="K1240" s="33"/>
      <c r="L1240" s="33"/>
      <c r="M1240" s="33"/>
    </row>
    <row r="1241" spans="5:13">
      <c r="E1241" s="28"/>
      <c r="F1241" s="28"/>
      <c r="G1241" s="33"/>
      <c r="H1241" s="33"/>
      <c r="I1241" s="33"/>
      <c r="J1241" s="33"/>
      <c r="K1241" s="33"/>
      <c r="L1241" s="33"/>
      <c r="M1241" s="33"/>
    </row>
    <row r="1242" spans="5:13">
      <c r="E1242" s="28"/>
      <c r="F1242" s="28"/>
      <c r="G1242" s="33"/>
      <c r="H1242" s="33"/>
      <c r="I1242" s="33"/>
      <c r="J1242" s="33"/>
      <c r="K1242" s="33"/>
      <c r="L1242" s="33"/>
      <c r="M1242" s="33"/>
    </row>
    <row r="1243" spans="5:13">
      <c r="E1243" s="28"/>
      <c r="F1243" s="28"/>
      <c r="G1243" s="33"/>
      <c r="H1243" s="33"/>
      <c r="I1243" s="33"/>
      <c r="J1243" s="33"/>
      <c r="K1243" s="33"/>
      <c r="L1243" s="33"/>
      <c r="M1243" s="33"/>
    </row>
    <row r="1244" spans="5:13">
      <c r="E1244" s="28"/>
      <c r="F1244" s="28"/>
      <c r="G1244" s="33"/>
      <c r="H1244" s="33"/>
      <c r="I1244" s="33"/>
      <c r="J1244" s="33"/>
      <c r="K1244" s="33"/>
      <c r="L1244" s="33"/>
      <c r="M1244" s="33"/>
    </row>
    <row r="1245" spans="5:13">
      <c r="E1245" s="28"/>
      <c r="F1245" s="28"/>
      <c r="G1245" s="33"/>
      <c r="H1245" s="33"/>
      <c r="I1245" s="33"/>
      <c r="J1245" s="33"/>
      <c r="K1245" s="33"/>
      <c r="L1245" s="33"/>
      <c r="M1245" s="33"/>
    </row>
    <row r="1246" spans="5:13">
      <c r="E1246" s="28"/>
      <c r="F1246" s="28"/>
      <c r="G1246" s="33"/>
      <c r="H1246" s="33"/>
      <c r="I1246" s="33"/>
      <c r="J1246" s="33"/>
      <c r="K1246" s="33"/>
      <c r="L1246" s="33"/>
      <c r="M1246" s="33"/>
    </row>
    <row r="1247" spans="5:13">
      <c r="E1247" s="28"/>
      <c r="F1247" s="28"/>
      <c r="G1247" s="33"/>
      <c r="H1247" s="33"/>
      <c r="I1247" s="33"/>
      <c r="J1247" s="33"/>
      <c r="K1247" s="33"/>
      <c r="L1247" s="33"/>
      <c r="M1247" s="33"/>
    </row>
    <row r="1248" spans="5:13">
      <c r="E1248" s="28"/>
      <c r="F1248" s="28"/>
      <c r="G1248" s="33"/>
      <c r="H1248" s="33"/>
      <c r="I1248" s="33"/>
      <c r="J1248" s="33"/>
      <c r="K1248" s="33"/>
      <c r="L1248" s="33"/>
      <c r="M1248" s="33"/>
    </row>
    <row r="1249" spans="5:13">
      <c r="E1249" s="28"/>
      <c r="F1249" s="28"/>
      <c r="G1249" s="33"/>
      <c r="H1249" s="33"/>
      <c r="I1249" s="33"/>
      <c r="J1249" s="33"/>
      <c r="K1249" s="33"/>
      <c r="L1249" s="33"/>
      <c r="M1249" s="33"/>
    </row>
    <row r="1250" spans="5:13">
      <c r="E1250" s="28"/>
      <c r="F1250" s="28"/>
      <c r="G1250" s="33"/>
      <c r="H1250" s="33"/>
      <c r="I1250" s="33"/>
      <c r="J1250" s="33"/>
      <c r="K1250" s="33"/>
      <c r="L1250" s="33"/>
      <c r="M1250" s="33"/>
    </row>
    <row r="1251" spans="5:13">
      <c r="E1251" s="28"/>
      <c r="F1251" s="28"/>
      <c r="G1251" s="33"/>
      <c r="H1251" s="33"/>
      <c r="I1251" s="33"/>
      <c r="J1251" s="33"/>
      <c r="K1251" s="33"/>
      <c r="L1251" s="33"/>
      <c r="M1251" s="33"/>
    </row>
    <row r="1252" spans="5:13">
      <c r="E1252" s="28"/>
      <c r="F1252" s="28"/>
      <c r="G1252" s="33"/>
      <c r="H1252" s="33"/>
      <c r="I1252" s="33"/>
      <c r="J1252" s="33"/>
      <c r="K1252" s="33"/>
      <c r="L1252" s="33"/>
      <c r="M1252" s="33"/>
    </row>
    <row r="1253" spans="5:13">
      <c r="E1253" s="28"/>
      <c r="F1253" s="28"/>
      <c r="G1253" s="33"/>
      <c r="H1253" s="33"/>
      <c r="I1253" s="33"/>
      <c r="J1253" s="33"/>
      <c r="K1253" s="33"/>
      <c r="L1253" s="33"/>
      <c r="M1253" s="33"/>
    </row>
    <row r="1254" spans="5:13">
      <c r="E1254" s="28"/>
      <c r="F1254" s="28"/>
      <c r="G1254" s="33"/>
      <c r="H1254" s="33"/>
      <c r="I1254" s="33"/>
      <c r="J1254" s="33"/>
      <c r="K1254" s="33"/>
      <c r="L1254" s="33"/>
      <c r="M1254" s="33"/>
    </row>
    <row r="1255" spans="5:13">
      <c r="E1255" s="28"/>
      <c r="F1255" s="28"/>
      <c r="G1255" s="33"/>
      <c r="H1255" s="33"/>
      <c r="I1255" s="33"/>
      <c r="J1255" s="33"/>
      <c r="K1255" s="33"/>
      <c r="L1255" s="33"/>
      <c r="M1255" s="33"/>
    </row>
    <row r="1256" spans="5:13">
      <c r="E1256" s="28"/>
      <c r="F1256" s="28"/>
      <c r="G1256" s="33"/>
      <c r="H1256" s="33"/>
      <c r="I1256" s="33"/>
      <c r="J1256" s="33"/>
      <c r="K1256" s="33"/>
      <c r="L1256" s="33"/>
      <c r="M1256" s="33"/>
    </row>
    <row r="1257" spans="5:13">
      <c r="E1257" s="28"/>
      <c r="F1257" s="28"/>
      <c r="G1257" s="33"/>
      <c r="H1257" s="33"/>
      <c r="I1257" s="33"/>
      <c r="J1257" s="33"/>
      <c r="K1257" s="33"/>
      <c r="L1257" s="33"/>
      <c r="M1257" s="33"/>
    </row>
    <row r="1258" spans="5:13">
      <c r="E1258" s="28"/>
      <c r="F1258" s="28"/>
      <c r="G1258" s="33"/>
      <c r="H1258" s="33"/>
      <c r="I1258" s="33"/>
      <c r="J1258" s="33"/>
      <c r="K1258" s="33"/>
      <c r="L1258" s="33"/>
      <c r="M1258" s="33"/>
    </row>
    <row r="1259" spans="5:13">
      <c r="E1259" s="28"/>
      <c r="F1259" s="28"/>
      <c r="G1259" s="33"/>
      <c r="H1259" s="33"/>
      <c r="I1259" s="33"/>
      <c r="J1259" s="33"/>
      <c r="K1259" s="33"/>
      <c r="L1259" s="33"/>
      <c r="M1259" s="33"/>
    </row>
    <row r="1260" spans="5:13">
      <c r="E1260" s="28"/>
      <c r="F1260" s="28"/>
      <c r="G1260" s="33"/>
      <c r="H1260" s="33"/>
      <c r="I1260" s="33"/>
      <c r="J1260" s="33"/>
      <c r="K1260" s="33"/>
      <c r="L1260" s="33"/>
      <c r="M1260" s="33"/>
    </row>
    <row r="1261" spans="5:13">
      <c r="E1261" s="28"/>
      <c r="F1261" s="28"/>
      <c r="G1261" s="33"/>
      <c r="H1261" s="33"/>
      <c r="I1261" s="33"/>
      <c r="J1261" s="33"/>
      <c r="K1261" s="33"/>
      <c r="L1261" s="33"/>
      <c r="M1261" s="33"/>
    </row>
    <row r="1262" spans="5:13">
      <c r="E1262" s="28"/>
      <c r="F1262" s="28"/>
      <c r="G1262" s="33"/>
      <c r="H1262" s="33"/>
      <c r="I1262" s="33"/>
      <c r="J1262" s="33"/>
      <c r="K1262" s="33"/>
      <c r="L1262" s="33"/>
      <c r="M1262" s="33"/>
    </row>
    <row r="1263" spans="5:13">
      <c r="E1263" s="28"/>
      <c r="F1263" s="28"/>
      <c r="G1263" s="33"/>
      <c r="H1263" s="33"/>
      <c r="I1263" s="33"/>
      <c r="J1263" s="33"/>
      <c r="K1263" s="33"/>
      <c r="L1263" s="33"/>
      <c r="M1263" s="33"/>
    </row>
    <row r="1264" spans="5:13">
      <c r="E1264" s="28"/>
      <c r="F1264" s="28"/>
      <c r="G1264" s="33"/>
      <c r="H1264" s="33"/>
      <c r="I1264" s="33"/>
      <c r="J1264" s="33"/>
      <c r="K1264" s="33"/>
      <c r="L1264" s="33"/>
      <c r="M1264" s="33"/>
    </row>
    <row r="1265" spans="5:13">
      <c r="E1265" s="28"/>
      <c r="F1265" s="28"/>
      <c r="G1265" s="33"/>
      <c r="H1265" s="33"/>
      <c r="I1265" s="33"/>
      <c r="J1265" s="33"/>
      <c r="K1265" s="33"/>
      <c r="L1265" s="33"/>
      <c r="M1265" s="33"/>
    </row>
    <row r="1266" spans="5:13">
      <c r="E1266" s="28"/>
      <c r="F1266" s="28"/>
      <c r="G1266" s="33"/>
      <c r="H1266" s="33"/>
      <c r="I1266" s="33"/>
      <c r="J1266" s="33"/>
      <c r="K1266" s="33"/>
      <c r="L1266" s="33"/>
      <c r="M1266" s="33"/>
    </row>
    <row r="1267" spans="5:13">
      <c r="E1267" s="28"/>
      <c r="F1267" s="28"/>
      <c r="G1267" s="33"/>
      <c r="H1267" s="33"/>
      <c r="I1267" s="33"/>
      <c r="J1267" s="33"/>
      <c r="K1267" s="33"/>
      <c r="L1267" s="33"/>
      <c r="M1267" s="33"/>
    </row>
    <row r="1268" spans="5:13">
      <c r="E1268" s="28"/>
      <c r="F1268" s="28"/>
      <c r="G1268" s="33"/>
      <c r="H1268" s="33"/>
      <c r="I1268" s="33"/>
      <c r="J1268" s="33"/>
      <c r="K1268" s="33"/>
      <c r="L1268" s="33"/>
      <c r="M1268" s="33"/>
    </row>
    <row r="1269" spans="5:13">
      <c r="E1269" s="28"/>
      <c r="F1269" s="28"/>
      <c r="G1269" s="33"/>
      <c r="H1269" s="33"/>
      <c r="I1269" s="33"/>
      <c r="J1269" s="33"/>
      <c r="K1269" s="33"/>
      <c r="L1269" s="33"/>
      <c r="M1269" s="33"/>
    </row>
    <row r="1270" spans="5:13">
      <c r="E1270" s="28"/>
      <c r="F1270" s="28"/>
      <c r="G1270" s="33"/>
      <c r="H1270" s="33"/>
      <c r="I1270" s="33"/>
      <c r="J1270" s="33"/>
      <c r="K1270" s="33"/>
      <c r="L1270" s="33"/>
      <c r="M1270" s="33"/>
    </row>
    <row r="1271" spans="5:13">
      <c r="E1271" s="28"/>
      <c r="F1271" s="28"/>
      <c r="G1271" s="33"/>
      <c r="H1271" s="33"/>
      <c r="I1271" s="33"/>
      <c r="J1271" s="33"/>
      <c r="K1271" s="33"/>
      <c r="L1271" s="33"/>
      <c r="M1271" s="33"/>
    </row>
    <row r="1272" spans="5:13">
      <c r="E1272" s="28"/>
      <c r="F1272" s="28"/>
      <c r="G1272" s="33"/>
      <c r="H1272" s="33"/>
      <c r="I1272" s="33"/>
      <c r="J1272" s="33"/>
      <c r="K1272" s="33"/>
      <c r="L1272" s="33"/>
      <c r="M1272" s="33"/>
    </row>
    <row r="1273" spans="5:13">
      <c r="E1273" s="28"/>
      <c r="F1273" s="28"/>
      <c r="G1273" s="33"/>
      <c r="H1273" s="33"/>
      <c r="I1273" s="33"/>
      <c r="J1273" s="33"/>
      <c r="K1273" s="33"/>
      <c r="L1273" s="33"/>
      <c r="M1273" s="33"/>
    </row>
    <row r="1274" spans="5:13">
      <c r="E1274" s="28"/>
      <c r="F1274" s="28"/>
      <c r="G1274" s="33"/>
      <c r="H1274" s="33"/>
      <c r="I1274" s="33"/>
      <c r="J1274" s="33"/>
      <c r="K1274" s="33"/>
      <c r="L1274" s="33"/>
      <c r="M1274" s="33"/>
    </row>
    <row r="1275" spans="5:13">
      <c r="E1275" s="28"/>
      <c r="F1275" s="28"/>
      <c r="G1275" s="33"/>
      <c r="H1275" s="33"/>
      <c r="I1275" s="33"/>
      <c r="J1275" s="33"/>
      <c r="K1275" s="33"/>
      <c r="L1275" s="33"/>
      <c r="M1275" s="33"/>
    </row>
    <row r="1276" spans="5:13">
      <c r="E1276" s="28"/>
      <c r="F1276" s="28"/>
      <c r="G1276" s="33"/>
      <c r="H1276" s="33"/>
      <c r="I1276" s="33"/>
      <c r="J1276" s="33"/>
      <c r="K1276" s="33"/>
      <c r="L1276" s="33"/>
      <c r="M1276" s="33"/>
    </row>
    <row r="1277" spans="5:13">
      <c r="E1277" s="28"/>
      <c r="F1277" s="28"/>
      <c r="G1277" s="33"/>
      <c r="H1277" s="33"/>
      <c r="I1277" s="33"/>
      <c r="J1277" s="33"/>
      <c r="K1277" s="33"/>
      <c r="L1277" s="33"/>
      <c r="M1277" s="33"/>
    </row>
    <row r="1278" spans="5:13">
      <c r="E1278" s="28"/>
      <c r="F1278" s="28"/>
      <c r="G1278" s="33"/>
      <c r="H1278" s="33"/>
      <c r="I1278" s="33"/>
      <c r="J1278" s="33"/>
      <c r="K1278" s="33"/>
      <c r="L1278" s="33"/>
      <c r="M1278" s="33"/>
    </row>
    <row r="1279" spans="5:13">
      <c r="E1279" s="28"/>
      <c r="F1279" s="28"/>
      <c r="G1279" s="33"/>
      <c r="H1279" s="33"/>
      <c r="I1279" s="33"/>
      <c r="J1279" s="33"/>
      <c r="K1279" s="33"/>
      <c r="L1279" s="33"/>
      <c r="M1279" s="33"/>
    </row>
    <row r="1280" spans="5:13">
      <c r="E1280" s="28"/>
      <c r="F1280" s="28"/>
      <c r="G1280" s="33"/>
      <c r="H1280" s="33"/>
      <c r="I1280" s="33"/>
      <c r="J1280" s="33"/>
      <c r="K1280" s="33"/>
      <c r="L1280" s="33"/>
      <c r="M1280" s="33"/>
    </row>
    <row r="1281" spans="5:13">
      <c r="E1281" s="28"/>
      <c r="F1281" s="28"/>
      <c r="G1281" s="33"/>
      <c r="H1281" s="33"/>
      <c r="I1281" s="33"/>
      <c r="J1281" s="33"/>
      <c r="K1281" s="33"/>
      <c r="L1281" s="33"/>
      <c r="M1281" s="33"/>
    </row>
    <row r="1282" spans="5:13">
      <c r="E1282" s="28"/>
      <c r="F1282" s="28"/>
      <c r="G1282" s="33"/>
      <c r="H1282" s="33"/>
      <c r="I1282" s="33"/>
      <c r="J1282" s="33"/>
      <c r="K1282" s="33"/>
      <c r="L1282" s="33"/>
      <c r="M1282" s="33"/>
    </row>
    <row r="1283" spans="5:13">
      <c r="E1283" s="28"/>
      <c r="F1283" s="28"/>
      <c r="G1283" s="33"/>
      <c r="H1283" s="33"/>
      <c r="I1283" s="33"/>
      <c r="J1283" s="33"/>
      <c r="K1283" s="33"/>
      <c r="L1283" s="33"/>
      <c r="M1283" s="33"/>
    </row>
    <row r="1284" spans="5:13">
      <c r="E1284" s="28"/>
      <c r="F1284" s="28"/>
      <c r="G1284" s="33"/>
      <c r="H1284" s="33"/>
      <c r="I1284" s="33"/>
      <c r="J1284" s="33"/>
      <c r="K1284" s="33"/>
      <c r="L1284" s="33"/>
      <c r="M1284" s="33"/>
    </row>
    <row r="1285" spans="5:13">
      <c r="E1285" s="28"/>
      <c r="F1285" s="28"/>
      <c r="G1285" s="33"/>
      <c r="H1285" s="33"/>
      <c r="I1285" s="33"/>
      <c r="J1285" s="33"/>
      <c r="K1285" s="33"/>
      <c r="L1285" s="33"/>
      <c r="M1285" s="33"/>
    </row>
    <row r="1286" spans="5:13">
      <c r="E1286" s="28"/>
      <c r="F1286" s="28"/>
      <c r="G1286" s="33"/>
      <c r="H1286" s="33"/>
      <c r="I1286" s="33"/>
      <c r="J1286" s="33"/>
      <c r="K1286" s="33"/>
      <c r="L1286" s="33"/>
      <c r="M1286" s="33"/>
    </row>
    <row r="1287" spans="5:13">
      <c r="E1287" s="28"/>
      <c r="F1287" s="28"/>
      <c r="G1287" s="33"/>
      <c r="H1287" s="33"/>
      <c r="I1287" s="33"/>
      <c r="J1287" s="33"/>
      <c r="K1287" s="33"/>
      <c r="L1287" s="33"/>
      <c r="M1287" s="33"/>
    </row>
    <row r="1288" spans="5:13">
      <c r="E1288" s="28"/>
      <c r="F1288" s="28"/>
      <c r="G1288" s="33"/>
      <c r="H1288" s="33"/>
      <c r="I1288" s="33"/>
      <c r="J1288" s="33"/>
      <c r="K1288" s="33"/>
      <c r="L1288" s="33"/>
      <c r="M1288" s="33"/>
    </row>
    <row r="1289" spans="5:13">
      <c r="E1289" s="28"/>
      <c r="F1289" s="28"/>
      <c r="G1289" s="33"/>
      <c r="H1289" s="33"/>
      <c r="I1289" s="33"/>
      <c r="J1289" s="33"/>
      <c r="K1289" s="33"/>
      <c r="L1289" s="33"/>
      <c r="M1289" s="33"/>
    </row>
    <row r="1290" spans="5:13">
      <c r="E1290" s="28"/>
      <c r="F1290" s="28"/>
      <c r="G1290" s="33"/>
      <c r="H1290" s="33"/>
      <c r="I1290" s="33"/>
      <c r="J1290" s="33"/>
      <c r="K1290" s="33"/>
      <c r="L1290" s="33"/>
      <c r="M1290" s="33"/>
    </row>
    <row r="1291" spans="5:13">
      <c r="E1291" s="28"/>
      <c r="F1291" s="28"/>
      <c r="G1291" s="33"/>
      <c r="H1291" s="33"/>
      <c r="I1291" s="33"/>
      <c r="J1291" s="33"/>
      <c r="K1291" s="33"/>
      <c r="L1291" s="33"/>
      <c r="M1291" s="33"/>
    </row>
    <row r="1292" spans="5:13">
      <c r="E1292" s="28"/>
      <c r="F1292" s="28"/>
      <c r="G1292" s="33"/>
      <c r="H1292" s="33"/>
      <c r="I1292" s="33"/>
      <c r="J1292" s="33"/>
      <c r="K1292" s="33"/>
      <c r="L1292" s="33"/>
      <c r="M1292" s="33"/>
    </row>
    <row r="1293" spans="5:13">
      <c r="E1293" s="28"/>
      <c r="F1293" s="28"/>
      <c r="G1293" s="33"/>
      <c r="H1293" s="33"/>
      <c r="I1293" s="33"/>
      <c r="J1293" s="33"/>
      <c r="K1293" s="33"/>
      <c r="L1293" s="33"/>
      <c r="M1293" s="33"/>
    </row>
    <row r="1294" spans="5:13">
      <c r="E1294" s="28"/>
      <c r="F1294" s="28"/>
      <c r="G1294" s="33"/>
      <c r="H1294" s="33"/>
      <c r="I1294" s="33"/>
      <c r="J1294" s="33"/>
      <c r="K1294" s="33"/>
      <c r="L1294" s="33"/>
      <c r="M1294" s="33"/>
    </row>
    <row r="1295" spans="5:13">
      <c r="E1295" s="28"/>
      <c r="F1295" s="28"/>
      <c r="G1295" s="33"/>
      <c r="H1295" s="33"/>
      <c r="I1295" s="33"/>
      <c r="J1295" s="33"/>
      <c r="K1295" s="33"/>
      <c r="L1295" s="33"/>
      <c r="M1295" s="33"/>
    </row>
    <row r="1296" spans="5:13">
      <c r="E1296" s="28"/>
      <c r="F1296" s="28"/>
      <c r="G1296" s="33"/>
      <c r="H1296" s="33"/>
      <c r="I1296" s="33"/>
      <c r="J1296" s="33"/>
      <c r="K1296" s="33"/>
      <c r="L1296" s="33"/>
      <c r="M1296" s="33"/>
    </row>
    <row r="1297" spans="5:13">
      <c r="E1297" s="28"/>
      <c r="F1297" s="28"/>
      <c r="G1297" s="33"/>
      <c r="H1297" s="33"/>
      <c r="I1297" s="33"/>
      <c r="J1297" s="33"/>
      <c r="K1297" s="33"/>
      <c r="L1297" s="33"/>
      <c r="M1297" s="33"/>
    </row>
    <row r="1298" spans="5:13">
      <c r="E1298" s="28"/>
      <c r="F1298" s="28"/>
      <c r="G1298" s="33"/>
      <c r="H1298" s="33"/>
      <c r="I1298" s="33"/>
      <c r="J1298" s="33"/>
      <c r="K1298" s="33"/>
      <c r="L1298" s="33"/>
      <c r="M1298" s="33"/>
    </row>
    <row r="1299" spans="5:13">
      <c r="E1299" s="28"/>
      <c r="F1299" s="28"/>
      <c r="G1299" s="33"/>
      <c r="H1299" s="33"/>
      <c r="I1299" s="33"/>
      <c r="J1299" s="33"/>
      <c r="K1299" s="33"/>
      <c r="L1299" s="33"/>
      <c r="M1299" s="33"/>
    </row>
    <row r="1300" spans="5:13">
      <c r="E1300" s="28"/>
      <c r="F1300" s="28"/>
      <c r="G1300" s="33"/>
      <c r="H1300" s="33"/>
      <c r="I1300" s="33"/>
      <c r="J1300" s="33"/>
      <c r="K1300" s="33"/>
      <c r="L1300" s="33"/>
      <c r="M1300" s="33"/>
    </row>
    <row r="1301" spans="5:13">
      <c r="E1301" s="28"/>
      <c r="F1301" s="28"/>
      <c r="G1301" s="33"/>
      <c r="H1301" s="33"/>
      <c r="I1301" s="33"/>
      <c r="J1301" s="33"/>
      <c r="K1301" s="33"/>
      <c r="L1301" s="33"/>
      <c r="M1301" s="33"/>
    </row>
    <row r="1302" spans="5:13">
      <c r="E1302" s="28"/>
      <c r="F1302" s="28"/>
      <c r="G1302" s="33"/>
      <c r="H1302" s="33"/>
      <c r="I1302" s="33"/>
      <c r="J1302" s="33"/>
      <c r="K1302" s="33"/>
      <c r="L1302" s="33"/>
      <c r="M1302" s="33"/>
    </row>
    <row r="1303" spans="5:13">
      <c r="E1303" s="28"/>
      <c r="F1303" s="28"/>
      <c r="G1303" s="33"/>
      <c r="H1303" s="33"/>
      <c r="I1303" s="33"/>
      <c r="J1303" s="33"/>
      <c r="K1303" s="33"/>
      <c r="L1303" s="33"/>
      <c r="M1303" s="33"/>
    </row>
    <row r="1304" spans="5:13">
      <c r="E1304" s="28"/>
      <c r="F1304" s="28"/>
      <c r="G1304" s="33"/>
      <c r="H1304" s="33"/>
      <c r="I1304" s="33"/>
      <c r="J1304" s="33"/>
      <c r="K1304" s="33"/>
      <c r="L1304" s="33"/>
      <c r="M1304" s="33"/>
    </row>
    <row r="1305" spans="5:13">
      <c r="E1305" s="28"/>
      <c r="F1305" s="28"/>
      <c r="G1305" s="33"/>
      <c r="H1305" s="33"/>
      <c r="I1305" s="33"/>
      <c r="J1305" s="33"/>
      <c r="K1305" s="33"/>
      <c r="L1305" s="33"/>
      <c r="M1305" s="33"/>
    </row>
    <row r="1306" spans="5:13">
      <c r="E1306" s="28"/>
      <c r="F1306" s="28"/>
      <c r="G1306" s="33"/>
      <c r="H1306" s="33"/>
      <c r="I1306" s="33"/>
      <c r="J1306" s="33"/>
      <c r="K1306" s="33"/>
      <c r="L1306" s="33"/>
      <c r="M1306" s="33"/>
    </row>
    <row r="1307" spans="5:13">
      <c r="E1307" s="28"/>
      <c r="F1307" s="28"/>
      <c r="G1307" s="33"/>
      <c r="H1307" s="33"/>
      <c r="I1307" s="33"/>
      <c r="J1307" s="33"/>
      <c r="K1307" s="33"/>
      <c r="L1307" s="33"/>
      <c r="M1307" s="33"/>
    </row>
    <row r="1308" spans="5:13">
      <c r="E1308" s="28"/>
      <c r="F1308" s="28"/>
      <c r="G1308" s="33"/>
      <c r="H1308" s="33"/>
      <c r="I1308" s="33"/>
      <c r="J1308" s="33"/>
      <c r="K1308" s="33"/>
      <c r="L1308" s="33"/>
      <c r="M1308" s="33"/>
    </row>
    <row r="1309" spans="5:13">
      <c r="E1309" s="28"/>
      <c r="F1309" s="28"/>
      <c r="G1309" s="33"/>
      <c r="H1309" s="33"/>
      <c r="I1309" s="33"/>
      <c r="J1309" s="33"/>
      <c r="K1309" s="33"/>
      <c r="L1309" s="33"/>
      <c r="M1309" s="33"/>
    </row>
    <row r="1310" spans="5:13">
      <c r="E1310" s="28"/>
      <c r="F1310" s="28"/>
      <c r="G1310" s="33"/>
      <c r="H1310" s="33"/>
      <c r="I1310" s="33"/>
      <c r="J1310" s="33"/>
      <c r="K1310" s="33"/>
      <c r="L1310" s="33"/>
      <c r="M1310" s="33"/>
    </row>
    <row r="1311" spans="5:13">
      <c r="E1311" s="28"/>
      <c r="F1311" s="28"/>
      <c r="G1311" s="33"/>
      <c r="H1311" s="33"/>
      <c r="I1311" s="33"/>
      <c r="J1311" s="33"/>
      <c r="K1311" s="33"/>
      <c r="L1311" s="33"/>
      <c r="M1311" s="33"/>
    </row>
    <row r="1312" spans="5:13">
      <c r="E1312" s="28"/>
      <c r="F1312" s="28"/>
      <c r="G1312" s="33"/>
      <c r="H1312" s="33"/>
      <c r="I1312" s="33"/>
      <c r="J1312" s="33"/>
      <c r="K1312" s="33"/>
      <c r="L1312" s="33"/>
      <c r="M1312" s="33"/>
    </row>
    <row r="1313" spans="5:13">
      <c r="E1313" s="28"/>
      <c r="F1313" s="28"/>
      <c r="G1313" s="33"/>
      <c r="H1313" s="33"/>
      <c r="I1313" s="33"/>
      <c r="J1313" s="33"/>
      <c r="K1313" s="33"/>
      <c r="L1313" s="33"/>
      <c r="M1313" s="33"/>
    </row>
    <row r="1314" spans="5:13">
      <c r="E1314" s="28"/>
      <c r="F1314" s="28"/>
      <c r="G1314" s="33"/>
      <c r="H1314" s="33"/>
      <c r="I1314" s="33"/>
      <c r="J1314" s="33"/>
      <c r="K1314" s="33"/>
      <c r="L1314" s="33"/>
      <c r="M1314" s="33"/>
    </row>
    <row r="1315" spans="5:13">
      <c r="E1315" s="28"/>
      <c r="F1315" s="28"/>
      <c r="G1315" s="33"/>
      <c r="H1315" s="33"/>
      <c r="I1315" s="33"/>
      <c r="J1315" s="33"/>
      <c r="K1315" s="33"/>
      <c r="L1315" s="33"/>
      <c r="M1315" s="33"/>
    </row>
    <row r="1316" spans="5:13">
      <c r="E1316" s="28"/>
      <c r="F1316" s="28"/>
      <c r="G1316" s="33"/>
      <c r="H1316" s="33"/>
      <c r="I1316" s="33"/>
      <c r="J1316" s="33"/>
      <c r="K1316" s="33"/>
      <c r="L1316" s="33"/>
      <c r="M1316" s="33"/>
    </row>
    <row r="1317" spans="5:13">
      <c r="E1317" s="28"/>
      <c r="F1317" s="28"/>
      <c r="G1317" s="33"/>
      <c r="H1317" s="33"/>
      <c r="I1317" s="33"/>
      <c r="J1317" s="33"/>
      <c r="K1317" s="33"/>
      <c r="L1317" s="33"/>
      <c r="M1317" s="33"/>
    </row>
    <row r="1318" spans="5:13">
      <c r="E1318" s="28"/>
      <c r="F1318" s="28"/>
      <c r="G1318" s="33"/>
      <c r="H1318" s="33"/>
      <c r="I1318" s="33"/>
      <c r="J1318" s="33"/>
      <c r="K1318" s="33"/>
      <c r="L1318" s="33"/>
      <c r="M1318" s="33"/>
    </row>
    <row r="1319" spans="5:13">
      <c r="E1319" s="28"/>
      <c r="F1319" s="28"/>
      <c r="G1319" s="33"/>
      <c r="H1319" s="33"/>
      <c r="I1319" s="33"/>
      <c r="J1319" s="33"/>
      <c r="K1319" s="33"/>
      <c r="L1319" s="33"/>
      <c r="M1319" s="33"/>
    </row>
    <row r="1320" spans="5:13">
      <c r="E1320" s="28"/>
      <c r="F1320" s="28"/>
      <c r="G1320" s="33"/>
      <c r="H1320" s="33"/>
      <c r="I1320" s="33"/>
      <c r="J1320" s="33"/>
      <c r="K1320" s="33"/>
      <c r="L1320" s="33"/>
      <c r="M1320" s="33"/>
    </row>
    <row r="1321" spans="5:13">
      <c r="E1321" s="28"/>
      <c r="F1321" s="28"/>
      <c r="G1321" s="33"/>
      <c r="H1321" s="33"/>
      <c r="I1321" s="33"/>
      <c r="J1321" s="33"/>
      <c r="K1321" s="33"/>
      <c r="L1321" s="33"/>
      <c r="M1321" s="33"/>
    </row>
    <row r="1322" spans="5:13">
      <c r="E1322" s="28"/>
      <c r="F1322" s="28"/>
      <c r="G1322" s="33"/>
      <c r="H1322" s="33"/>
      <c r="I1322" s="33"/>
      <c r="J1322" s="33"/>
      <c r="K1322" s="33"/>
      <c r="L1322" s="33"/>
      <c r="M1322" s="33"/>
    </row>
    <row r="1323" spans="5:13">
      <c r="E1323" s="28"/>
      <c r="F1323" s="28"/>
      <c r="G1323" s="33"/>
      <c r="H1323" s="33"/>
      <c r="I1323" s="33"/>
      <c r="J1323" s="33"/>
      <c r="K1323" s="33"/>
      <c r="L1323" s="33"/>
      <c r="M1323" s="33"/>
    </row>
    <row r="1324" spans="5:13">
      <c r="E1324" s="28"/>
      <c r="F1324" s="28"/>
      <c r="G1324" s="33"/>
      <c r="H1324" s="33"/>
      <c r="I1324" s="33"/>
      <c r="J1324" s="33"/>
      <c r="K1324" s="33"/>
      <c r="L1324" s="33"/>
      <c r="M1324" s="33"/>
    </row>
    <row r="1325" spans="5:13">
      <c r="E1325" s="28"/>
      <c r="F1325" s="28"/>
      <c r="G1325" s="33"/>
      <c r="H1325" s="33"/>
      <c r="I1325" s="33"/>
      <c r="J1325" s="33"/>
      <c r="K1325" s="33"/>
      <c r="L1325" s="33"/>
      <c r="M1325" s="33"/>
    </row>
    <row r="1326" spans="5:13">
      <c r="E1326" s="28"/>
      <c r="F1326" s="28"/>
      <c r="G1326" s="33"/>
      <c r="H1326" s="33"/>
      <c r="I1326" s="33"/>
      <c r="J1326" s="33"/>
      <c r="K1326" s="33"/>
      <c r="L1326" s="33"/>
      <c r="M1326" s="33"/>
    </row>
    <row r="1327" spans="5:13">
      <c r="E1327" s="28"/>
      <c r="F1327" s="28"/>
      <c r="G1327" s="33"/>
      <c r="H1327" s="33"/>
      <c r="I1327" s="33"/>
      <c r="J1327" s="33"/>
      <c r="K1327" s="33"/>
      <c r="L1327" s="33"/>
      <c r="M1327" s="33"/>
    </row>
    <row r="1328" spans="5:13">
      <c r="E1328" s="28"/>
      <c r="F1328" s="28"/>
      <c r="G1328" s="33"/>
      <c r="H1328" s="33"/>
      <c r="I1328" s="33"/>
      <c r="J1328" s="33"/>
      <c r="K1328" s="33"/>
      <c r="L1328" s="33"/>
      <c r="M1328" s="33"/>
    </row>
    <row r="1329" spans="5:13">
      <c r="E1329" s="28"/>
      <c r="F1329" s="28"/>
      <c r="G1329" s="33"/>
      <c r="H1329" s="33"/>
      <c r="I1329" s="33"/>
      <c r="J1329" s="33"/>
      <c r="K1329" s="33"/>
      <c r="L1329" s="33"/>
      <c r="M1329" s="33"/>
    </row>
    <row r="1330" spans="5:13">
      <c r="E1330" s="28"/>
      <c r="F1330" s="28"/>
      <c r="G1330" s="33"/>
      <c r="H1330" s="33"/>
      <c r="I1330" s="33"/>
      <c r="J1330" s="33"/>
      <c r="K1330" s="33"/>
      <c r="L1330" s="33"/>
      <c r="M1330" s="33"/>
    </row>
    <row r="1331" spans="5:13">
      <c r="E1331" s="28"/>
      <c r="F1331" s="28"/>
      <c r="G1331" s="33"/>
      <c r="H1331" s="33"/>
      <c r="I1331" s="33"/>
      <c r="J1331" s="33"/>
      <c r="K1331" s="33"/>
      <c r="L1331" s="33"/>
      <c r="M1331" s="33"/>
    </row>
    <row r="1332" spans="5:13">
      <c r="E1332" s="28"/>
      <c r="F1332" s="28"/>
      <c r="G1332" s="33"/>
      <c r="H1332" s="33"/>
      <c r="I1332" s="33"/>
      <c r="J1332" s="33"/>
      <c r="K1332" s="33"/>
      <c r="L1332" s="33"/>
      <c r="M1332" s="33"/>
    </row>
    <row r="1333" spans="5:13">
      <c r="E1333" s="28"/>
      <c r="F1333" s="28"/>
      <c r="G1333" s="33"/>
      <c r="H1333" s="33"/>
      <c r="I1333" s="33"/>
      <c r="J1333" s="33"/>
      <c r="K1333" s="33"/>
      <c r="L1333" s="33"/>
      <c r="M1333" s="33"/>
    </row>
    <row r="1334" spans="5:13">
      <c r="E1334" s="28"/>
      <c r="F1334" s="28"/>
      <c r="G1334" s="33"/>
      <c r="H1334" s="33"/>
      <c r="I1334" s="33"/>
      <c r="J1334" s="33"/>
      <c r="K1334" s="33"/>
      <c r="L1334" s="33"/>
      <c r="M1334" s="33"/>
    </row>
    <row r="1335" spans="5:13">
      <c r="E1335" s="28"/>
      <c r="F1335" s="28"/>
      <c r="G1335" s="33"/>
      <c r="H1335" s="33"/>
      <c r="I1335" s="33"/>
      <c r="J1335" s="33"/>
      <c r="K1335" s="33"/>
      <c r="L1335" s="33"/>
      <c r="M1335" s="33"/>
    </row>
    <row r="1336" spans="5:13">
      <c r="E1336" s="28"/>
      <c r="F1336" s="28"/>
      <c r="G1336" s="33"/>
      <c r="H1336" s="33"/>
      <c r="I1336" s="33"/>
      <c r="J1336" s="33"/>
      <c r="K1336" s="33"/>
      <c r="L1336" s="33"/>
      <c r="M1336" s="33"/>
    </row>
    <row r="1337" spans="5:13">
      <c r="E1337" s="28"/>
      <c r="F1337" s="28"/>
      <c r="G1337" s="33"/>
      <c r="H1337" s="33"/>
      <c r="I1337" s="33"/>
      <c r="J1337" s="33"/>
      <c r="K1337" s="33"/>
      <c r="L1337" s="33"/>
      <c r="M1337" s="33"/>
    </row>
    <row r="1338" spans="5:13">
      <c r="E1338" s="28"/>
      <c r="F1338" s="28"/>
      <c r="G1338" s="33"/>
      <c r="H1338" s="33"/>
      <c r="I1338" s="33"/>
      <c r="J1338" s="33"/>
      <c r="K1338" s="33"/>
      <c r="L1338" s="33"/>
      <c r="M1338" s="33"/>
    </row>
    <row r="1339" spans="5:13">
      <c r="E1339" s="28"/>
      <c r="F1339" s="28"/>
      <c r="G1339" s="33"/>
      <c r="H1339" s="33"/>
      <c r="I1339" s="33"/>
      <c r="J1339" s="33"/>
      <c r="K1339" s="33"/>
      <c r="L1339" s="33"/>
      <c r="M1339" s="33"/>
    </row>
    <row r="1340" spans="5:13">
      <c r="E1340" s="28"/>
      <c r="F1340" s="28"/>
      <c r="G1340" s="33"/>
      <c r="H1340" s="33"/>
      <c r="I1340" s="33"/>
      <c r="J1340" s="33"/>
      <c r="K1340" s="33"/>
      <c r="L1340" s="33"/>
      <c r="M1340" s="33"/>
    </row>
    <row r="1341" spans="5:13">
      <c r="E1341" s="28"/>
      <c r="F1341" s="28"/>
      <c r="G1341" s="33"/>
      <c r="H1341" s="33"/>
      <c r="I1341" s="33"/>
      <c r="J1341" s="33"/>
      <c r="K1341" s="33"/>
      <c r="L1341" s="33"/>
      <c r="M1341" s="33"/>
    </row>
    <row r="1342" spans="5:13">
      <c r="E1342" s="28"/>
      <c r="F1342" s="28"/>
      <c r="G1342" s="33"/>
      <c r="H1342" s="33"/>
      <c r="I1342" s="33"/>
      <c r="J1342" s="33"/>
      <c r="K1342" s="33"/>
      <c r="L1342" s="33"/>
      <c r="M1342" s="33"/>
    </row>
    <row r="1343" spans="5:13">
      <c r="E1343" s="28"/>
      <c r="F1343" s="28"/>
      <c r="G1343" s="33"/>
      <c r="H1343" s="33"/>
      <c r="I1343" s="33"/>
      <c r="J1343" s="33"/>
      <c r="K1343" s="33"/>
      <c r="L1343" s="33"/>
      <c r="M1343" s="33"/>
    </row>
    <row r="1344" spans="5:13">
      <c r="E1344" s="28"/>
      <c r="F1344" s="28"/>
      <c r="G1344" s="33"/>
      <c r="H1344" s="33"/>
      <c r="I1344" s="33"/>
      <c r="J1344" s="33"/>
      <c r="K1344" s="33"/>
      <c r="L1344" s="33"/>
      <c r="M1344" s="33"/>
    </row>
    <row r="1345" spans="5:13">
      <c r="E1345" s="28"/>
      <c r="F1345" s="28"/>
      <c r="G1345" s="33"/>
      <c r="H1345" s="33"/>
      <c r="I1345" s="33"/>
      <c r="J1345" s="33"/>
      <c r="K1345" s="33"/>
      <c r="L1345" s="33"/>
      <c r="M1345" s="33"/>
    </row>
    <row r="1346" spans="5:13">
      <c r="E1346" s="28"/>
      <c r="F1346" s="28"/>
      <c r="G1346" s="33"/>
      <c r="H1346" s="33"/>
      <c r="I1346" s="33"/>
      <c r="J1346" s="33"/>
      <c r="K1346" s="33"/>
      <c r="L1346" s="33"/>
      <c r="M1346" s="33"/>
    </row>
    <row r="1347" spans="5:13">
      <c r="E1347" s="28"/>
      <c r="F1347" s="28"/>
      <c r="G1347" s="33"/>
      <c r="H1347" s="33"/>
      <c r="I1347" s="33"/>
      <c r="J1347" s="33"/>
      <c r="K1347" s="33"/>
      <c r="L1347" s="33"/>
      <c r="M1347" s="33"/>
    </row>
    <row r="1348" spans="5:13">
      <c r="E1348" s="28"/>
      <c r="F1348" s="28"/>
      <c r="G1348" s="33"/>
      <c r="H1348" s="33"/>
      <c r="I1348" s="33"/>
      <c r="J1348" s="33"/>
      <c r="K1348" s="33"/>
      <c r="L1348" s="33"/>
      <c r="M1348" s="33"/>
    </row>
    <row r="1349" spans="5:13">
      <c r="E1349" s="28"/>
      <c r="F1349" s="28"/>
      <c r="G1349" s="33"/>
      <c r="H1349" s="33"/>
      <c r="I1349" s="33"/>
      <c r="J1349" s="33"/>
      <c r="K1349" s="33"/>
      <c r="L1349" s="33"/>
      <c r="M1349" s="33"/>
    </row>
    <row r="1350" spans="5:13">
      <c r="E1350" s="28"/>
      <c r="F1350" s="28"/>
      <c r="G1350" s="33"/>
      <c r="H1350" s="33"/>
      <c r="I1350" s="33"/>
      <c r="J1350" s="33"/>
      <c r="K1350" s="33"/>
      <c r="L1350" s="33"/>
      <c r="M1350" s="33"/>
    </row>
    <row r="1351" spans="5:13">
      <c r="E1351" s="28"/>
      <c r="F1351" s="28"/>
      <c r="G1351" s="33"/>
      <c r="H1351" s="33"/>
      <c r="I1351" s="33"/>
      <c r="J1351" s="33"/>
      <c r="K1351" s="33"/>
      <c r="L1351" s="33"/>
      <c r="M1351" s="33"/>
    </row>
    <row r="1352" spans="5:13">
      <c r="E1352" s="28"/>
      <c r="F1352" s="28"/>
      <c r="G1352" s="33"/>
      <c r="H1352" s="33"/>
      <c r="I1352" s="33"/>
      <c r="J1352" s="33"/>
      <c r="K1352" s="33"/>
      <c r="L1352" s="33"/>
      <c r="M1352" s="33"/>
    </row>
    <row r="1353" spans="5:13">
      <c r="E1353" s="28"/>
      <c r="F1353" s="28"/>
      <c r="G1353" s="33"/>
      <c r="H1353" s="33"/>
      <c r="I1353" s="33"/>
      <c r="J1353" s="33"/>
      <c r="K1353" s="33"/>
      <c r="L1353" s="33"/>
      <c r="M1353" s="33"/>
    </row>
    <row r="1354" spans="5:13">
      <c r="E1354" s="28"/>
      <c r="F1354" s="28"/>
      <c r="G1354" s="33"/>
      <c r="H1354" s="33"/>
      <c r="I1354" s="33"/>
      <c r="J1354" s="33"/>
      <c r="K1354" s="33"/>
      <c r="L1354" s="33"/>
      <c r="M1354" s="33"/>
    </row>
    <row r="1355" spans="5:13">
      <c r="E1355" s="28"/>
      <c r="F1355" s="28"/>
      <c r="G1355" s="33"/>
      <c r="H1355" s="33"/>
      <c r="I1355" s="33"/>
      <c r="J1355" s="33"/>
      <c r="K1355" s="33"/>
      <c r="L1355" s="33"/>
      <c r="M1355" s="33"/>
    </row>
    <row r="1356" spans="5:13">
      <c r="E1356" s="28"/>
      <c r="F1356" s="28"/>
      <c r="G1356" s="33"/>
      <c r="H1356" s="33"/>
      <c r="I1356" s="33"/>
      <c r="J1356" s="33"/>
      <c r="K1356" s="33"/>
      <c r="L1356" s="33"/>
      <c r="M1356" s="33"/>
    </row>
    <row r="1357" spans="5:13">
      <c r="E1357" s="28"/>
      <c r="F1357" s="28"/>
      <c r="G1357" s="33"/>
      <c r="H1357" s="33"/>
      <c r="I1357" s="33"/>
      <c r="J1357" s="33"/>
      <c r="K1357" s="33"/>
      <c r="L1357" s="33"/>
      <c r="M1357" s="33"/>
    </row>
    <row r="1358" spans="5:13">
      <c r="E1358" s="28"/>
      <c r="F1358" s="28"/>
      <c r="G1358" s="33"/>
      <c r="H1358" s="33"/>
      <c r="I1358" s="33"/>
      <c r="J1358" s="33"/>
      <c r="K1358" s="33"/>
      <c r="L1358" s="33"/>
      <c r="M1358" s="33"/>
    </row>
    <row r="1359" spans="5:13">
      <c r="E1359" s="28"/>
      <c r="F1359" s="28"/>
      <c r="G1359" s="33"/>
      <c r="H1359" s="33"/>
      <c r="I1359" s="33"/>
      <c r="J1359" s="33"/>
      <c r="K1359" s="33"/>
      <c r="L1359" s="33"/>
      <c r="M1359" s="33"/>
    </row>
    <row r="1360" spans="5:13">
      <c r="E1360" s="28"/>
      <c r="F1360" s="28"/>
      <c r="G1360" s="33"/>
      <c r="H1360" s="33"/>
      <c r="I1360" s="33"/>
      <c r="J1360" s="33"/>
      <c r="K1360" s="33"/>
      <c r="L1360" s="33"/>
      <c r="M1360" s="33"/>
    </row>
    <row r="1361" spans="5:13">
      <c r="E1361" s="28"/>
      <c r="F1361" s="28"/>
      <c r="G1361" s="33"/>
      <c r="H1361" s="33"/>
      <c r="I1361" s="33"/>
      <c r="J1361" s="33"/>
      <c r="K1361" s="33"/>
      <c r="L1361" s="33"/>
      <c r="M1361" s="33"/>
    </row>
    <row r="1362" spans="5:13">
      <c r="E1362" s="28"/>
      <c r="F1362" s="28"/>
      <c r="G1362" s="33"/>
      <c r="H1362" s="33"/>
      <c r="I1362" s="33"/>
      <c r="J1362" s="33"/>
      <c r="K1362" s="33"/>
      <c r="L1362" s="33"/>
      <c r="M1362" s="33"/>
    </row>
    <row r="1363" spans="5:13">
      <c r="E1363" s="28"/>
      <c r="F1363" s="28"/>
      <c r="G1363" s="33"/>
      <c r="H1363" s="33"/>
      <c r="I1363" s="33"/>
      <c r="J1363" s="33"/>
      <c r="K1363" s="33"/>
      <c r="L1363" s="33"/>
      <c r="M1363" s="33"/>
    </row>
    <row r="1364" spans="5:13">
      <c r="E1364" s="28"/>
      <c r="F1364" s="28"/>
      <c r="G1364" s="33"/>
      <c r="H1364" s="33"/>
      <c r="I1364" s="33"/>
      <c r="J1364" s="33"/>
      <c r="K1364" s="33"/>
      <c r="L1364" s="33"/>
      <c r="M1364" s="33"/>
    </row>
    <row r="1365" spans="5:13">
      <c r="E1365" s="28"/>
      <c r="F1365" s="28"/>
      <c r="G1365" s="33"/>
      <c r="H1365" s="33"/>
      <c r="I1365" s="33"/>
      <c r="J1365" s="33"/>
      <c r="K1365" s="33"/>
      <c r="L1365" s="33"/>
      <c r="M1365" s="33"/>
    </row>
    <row r="1366" spans="5:13">
      <c r="E1366" s="28"/>
      <c r="F1366" s="28"/>
      <c r="G1366" s="33"/>
      <c r="H1366" s="33"/>
      <c r="I1366" s="33"/>
      <c r="J1366" s="33"/>
      <c r="K1366" s="33"/>
      <c r="L1366" s="33"/>
      <c r="M1366" s="33"/>
    </row>
    <row r="1367" spans="5:13">
      <c r="E1367" s="28"/>
      <c r="F1367" s="28"/>
      <c r="G1367" s="33"/>
      <c r="H1367" s="33"/>
      <c r="I1367" s="33"/>
      <c r="J1367" s="33"/>
      <c r="K1367" s="33"/>
      <c r="L1367" s="33"/>
      <c r="M1367" s="33"/>
    </row>
    <row r="1368" spans="5:13">
      <c r="E1368" s="28"/>
      <c r="F1368" s="28"/>
      <c r="G1368" s="33"/>
      <c r="H1368" s="33"/>
      <c r="I1368" s="33"/>
      <c r="J1368" s="33"/>
      <c r="K1368" s="33"/>
      <c r="L1368" s="33"/>
      <c r="M1368" s="33"/>
    </row>
    <row r="1369" spans="5:13">
      <c r="E1369" s="28"/>
      <c r="F1369" s="28"/>
      <c r="G1369" s="33"/>
      <c r="H1369" s="33"/>
      <c r="I1369" s="33"/>
      <c r="J1369" s="33"/>
      <c r="K1369" s="33"/>
      <c r="L1369" s="33"/>
      <c r="M1369" s="33"/>
    </row>
    <row r="1370" spans="5:13">
      <c r="E1370" s="28"/>
      <c r="F1370" s="28"/>
      <c r="G1370" s="33"/>
      <c r="H1370" s="33"/>
      <c r="I1370" s="33"/>
      <c r="J1370" s="33"/>
      <c r="K1370" s="33"/>
      <c r="L1370" s="33"/>
      <c r="M1370" s="33"/>
    </row>
    <row r="1371" spans="5:13">
      <c r="E1371" s="28"/>
      <c r="F1371" s="28"/>
      <c r="G1371" s="33"/>
      <c r="H1371" s="33"/>
      <c r="I1371" s="33"/>
      <c r="J1371" s="33"/>
      <c r="K1371" s="33"/>
      <c r="L1371" s="33"/>
      <c r="M1371" s="33"/>
    </row>
    <row r="1372" spans="5:13">
      <c r="E1372" s="28"/>
      <c r="F1372" s="28"/>
      <c r="G1372" s="33"/>
      <c r="H1372" s="33"/>
      <c r="I1372" s="33"/>
      <c r="J1372" s="33"/>
      <c r="K1372" s="33"/>
      <c r="L1372" s="33"/>
      <c r="M1372" s="33"/>
    </row>
    <row r="1373" spans="5:13">
      <c r="E1373" s="28"/>
      <c r="F1373" s="28"/>
      <c r="G1373" s="33"/>
      <c r="H1373" s="33"/>
      <c r="I1373" s="33"/>
      <c r="J1373" s="33"/>
      <c r="K1373" s="33"/>
      <c r="L1373" s="33"/>
      <c r="M1373" s="33"/>
    </row>
    <row r="1374" spans="5:13">
      <c r="E1374" s="28"/>
      <c r="F1374" s="28"/>
      <c r="G1374" s="33"/>
      <c r="H1374" s="33"/>
      <c r="I1374" s="33"/>
      <c r="J1374" s="33"/>
      <c r="K1374" s="33"/>
      <c r="L1374" s="33"/>
      <c r="M1374" s="33"/>
    </row>
    <row r="1375" spans="5:13">
      <c r="E1375" s="28"/>
      <c r="F1375" s="28"/>
      <c r="G1375" s="33"/>
      <c r="H1375" s="33"/>
      <c r="I1375" s="33"/>
      <c r="J1375" s="33"/>
      <c r="K1375" s="33"/>
      <c r="L1375" s="33"/>
      <c r="M1375" s="33"/>
    </row>
    <row r="1376" spans="5:13">
      <c r="E1376" s="28"/>
      <c r="F1376" s="28"/>
      <c r="G1376" s="33"/>
      <c r="H1376" s="33"/>
      <c r="I1376" s="33"/>
      <c r="J1376" s="33"/>
      <c r="K1376" s="33"/>
      <c r="L1376" s="33"/>
      <c r="M1376" s="33"/>
    </row>
    <row r="1377" spans="5:13">
      <c r="E1377" s="28"/>
      <c r="F1377" s="28"/>
      <c r="G1377" s="33"/>
      <c r="H1377" s="33"/>
      <c r="I1377" s="33"/>
      <c r="J1377" s="33"/>
      <c r="K1377" s="33"/>
      <c r="L1377" s="33"/>
      <c r="M1377" s="33"/>
    </row>
    <row r="1378" spans="5:13">
      <c r="E1378" s="28"/>
      <c r="F1378" s="28"/>
      <c r="G1378" s="33"/>
      <c r="H1378" s="33"/>
      <c r="I1378" s="33"/>
      <c r="J1378" s="33"/>
      <c r="K1378" s="33"/>
      <c r="L1378" s="33"/>
      <c r="M1378" s="33"/>
    </row>
    <row r="1379" spans="5:13">
      <c r="E1379" s="28"/>
      <c r="F1379" s="28"/>
      <c r="G1379" s="33"/>
      <c r="H1379" s="33"/>
      <c r="I1379" s="33"/>
      <c r="J1379" s="33"/>
      <c r="K1379" s="33"/>
      <c r="L1379" s="33"/>
      <c r="M1379" s="33"/>
    </row>
    <row r="1380" spans="5:13">
      <c r="E1380" s="28"/>
      <c r="F1380" s="28"/>
      <c r="G1380" s="33"/>
      <c r="H1380" s="33"/>
      <c r="I1380" s="33"/>
      <c r="J1380" s="33"/>
      <c r="K1380" s="33"/>
      <c r="L1380" s="33"/>
      <c r="M1380" s="33"/>
    </row>
    <row r="1381" spans="5:13">
      <c r="E1381" s="28"/>
      <c r="F1381" s="28"/>
      <c r="G1381" s="33"/>
      <c r="H1381" s="33"/>
      <c r="I1381" s="33"/>
      <c r="J1381" s="33"/>
      <c r="K1381" s="33"/>
      <c r="L1381" s="33"/>
      <c r="M1381" s="33"/>
    </row>
    <row r="1382" spans="5:13">
      <c r="E1382" s="28"/>
      <c r="F1382" s="28"/>
      <c r="G1382" s="33"/>
      <c r="H1382" s="33"/>
      <c r="I1382" s="33"/>
      <c r="J1382" s="33"/>
      <c r="K1382" s="33"/>
      <c r="L1382" s="33"/>
      <c r="M1382" s="33"/>
    </row>
    <row r="1383" spans="5:13">
      <c r="E1383" s="28"/>
      <c r="F1383" s="28"/>
      <c r="G1383" s="33"/>
      <c r="H1383" s="33"/>
      <c r="I1383" s="33"/>
      <c r="J1383" s="33"/>
      <c r="K1383" s="33"/>
      <c r="L1383" s="33"/>
      <c r="M1383" s="33"/>
    </row>
    <row r="1384" spans="5:13">
      <c r="E1384" s="28"/>
      <c r="F1384" s="28"/>
      <c r="G1384" s="33"/>
      <c r="H1384" s="33"/>
      <c r="I1384" s="33"/>
      <c r="J1384" s="33"/>
      <c r="K1384" s="33"/>
      <c r="L1384" s="33"/>
      <c r="M1384" s="33"/>
    </row>
    <row r="1385" spans="5:13">
      <c r="E1385" s="28"/>
      <c r="F1385" s="28"/>
      <c r="G1385" s="33"/>
      <c r="H1385" s="33"/>
      <c r="I1385" s="33"/>
      <c r="J1385" s="33"/>
      <c r="K1385" s="33"/>
      <c r="L1385" s="33"/>
      <c r="M1385" s="33"/>
    </row>
    <row r="1386" spans="5:13">
      <c r="E1386" s="28"/>
      <c r="F1386" s="28"/>
      <c r="G1386" s="33"/>
      <c r="H1386" s="33"/>
      <c r="I1386" s="33"/>
      <c r="J1386" s="33"/>
      <c r="K1386" s="33"/>
      <c r="L1386" s="33"/>
      <c r="M1386" s="33"/>
    </row>
    <row r="1387" spans="5:13">
      <c r="E1387" s="28"/>
      <c r="F1387" s="28"/>
      <c r="G1387" s="33"/>
      <c r="H1387" s="33"/>
      <c r="I1387" s="33"/>
      <c r="J1387" s="33"/>
      <c r="K1387" s="33"/>
      <c r="L1387" s="33"/>
      <c r="M1387" s="33"/>
    </row>
    <row r="1388" spans="5:13">
      <c r="E1388" s="28"/>
      <c r="F1388" s="28"/>
      <c r="G1388" s="33"/>
      <c r="H1388" s="33"/>
      <c r="I1388" s="33"/>
      <c r="J1388" s="33"/>
      <c r="K1388" s="33"/>
      <c r="L1388" s="33"/>
      <c r="M1388" s="33"/>
    </row>
    <row r="1389" spans="5:13">
      <c r="E1389" s="28"/>
      <c r="F1389" s="28"/>
      <c r="G1389" s="33"/>
      <c r="H1389" s="33"/>
      <c r="I1389" s="33"/>
      <c r="J1389" s="33"/>
      <c r="K1389" s="33"/>
      <c r="L1389" s="33"/>
      <c r="M1389" s="33"/>
    </row>
    <row r="1390" spans="5:13">
      <c r="E1390" s="28"/>
      <c r="F1390" s="28"/>
      <c r="G1390" s="33"/>
      <c r="H1390" s="33"/>
      <c r="I1390" s="33"/>
      <c r="J1390" s="33"/>
      <c r="K1390" s="33"/>
      <c r="L1390" s="33"/>
      <c r="M1390" s="33"/>
    </row>
    <row r="1391" spans="5:13">
      <c r="E1391" s="28"/>
      <c r="F1391" s="28"/>
      <c r="G1391" s="33"/>
      <c r="H1391" s="33"/>
      <c r="I1391" s="33"/>
      <c r="J1391" s="33"/>
      <c r="K1391" s="33"/>
      <c r="L1391" s="33"/>
      <c r="M1391" s="33"/>
    </row>
    <row r="1392" spans="5:13">
      <c r="E1392" s="28"/>
      <c r="F1392" s="28"/>
      <c r="G1392" s="33"/>
      <c r="H1392" s="33"/>
      <c r="I1392" s="33"/>
      <c r="J1392" s="33"/>
      <c r="K1392" s="33"/>
      <c r="L1392" s="33"/>
      <c r="M1392" s="33"/>
    </row>
    <row r="1393" spans="5:13">
      <c r="E1393" s="28"/>
      <c r="F1393" s="28"/>
      <c r="G1393" s="33"/>
      <c r="H1393" s="33"/>
      <c r="I1393" s="33"/>
      <c r="J1393" s="33"/>
      <c r="K1393" s="33"/>
      <c r="L1393" s="33"/>
      <c r="M1393" s="33"/>
    </row>
    <row r="1394" spans="5:13">
      <c r="E1394" s="28"/>
      <c r="F1394" s="28"/>
      <c r="G1394" s="33"/>
      <c r="H1394" s="33"/>
      <c r="I1394" s="33"/>
      <c r="J1394" s="33"/>
      <c r="K1394" s="33"/>
      <c r="L1394" s="33"/>
      <c r="M1394" s="33"/>
    </row>
    <row r="1395" spans="5:13">
      <c r="E1395" s="28"/>
      <c r="F1395" s="28"/>
      <c r="G1395" s="33"/>
      <c r="H1395" s="33"/>
      <c r="I1395" s="33"/>
      <c r="J1395" s="33"/>
      <c r="K1395" s="33"/>
      <c r="L1395" s="33"/>
      <c r="M1395" s="33"/>
    </row>
    <row r="1396" spans="5:13">
      <c r="E1396" s="28"/>
      <c r="F1396" s="28"/>
      <c r="G1396" s="33"/>
      <c r="H1396" s="33"/>
      <c r="I1396" s="33"/>
      <c r="J1396" s="33"/>
      <c r="K1396" s="33"/>
      <c r="L1396" s="33"/>
      <c r="M1396" s="33"/>
    </row>
    <row r="1397" spans="5:13">
      <c r="E1397" s="28"/>
      <c r="F1397" s="28"/>
      <c r="G1397" s="33"/>
      <c r="H1397" s="33"/>
      <c r="I1397" s="33"/>
      <c r="J1397" s="33"/>
      <c r="K1397" s="33"/>
      <c r="L1397" s="33"/>
      <c r="M1397" s="33"/>
    </row>
    <row r="1398" spans="5:13">
      <c r="E1398" s="28"/>
      <c r="F1398" s="28"/>
      <c r="G1398" s="33"/>
      <c r="H1398" s="33"/>
      <c r="I1398" s="33"/>
      <c r="J1398" s="33"/>
      <c r="K1398" s="33"/>
      <c r="L1398" s="33"/>
      <c r="M1398" s="33"/>
    </row>
    <row r="1399" spans="5:13">
      <c r="E1399" s="28"/>
      <c r="F1399" s="28"/>
      <c r="G1399" s="33"/>
      <c r="H1399" s="33"/>
      <c r="I1399" s="33"/>
      <c r="J1399" s="33"/>
      <c r="K1399" s="33"/>
      <c r="L1399" s="33"/>
      <c r="M1399" s="33"/>
    </row>
    <row r="1400" spans="5:13">
      <c r="E1400" s="28"/>
      <c r="F1400" s="28"/>
      <c r="G1400" s="33"/>
      <c r="H1400" s="33"/>
      <c r="I1400" s="33"/>
      <c r="J1400" s="33"/>
      <c r="K1400" s="33"/>
      <c r="L1400" s="33"/>
      <c r="M1400" s="33"/>
    </row>
    <row r="1401" spans="5:13">
      <c r="E1401" s="28"/>
      <c r="F1401" s="28"/>
      <c r="G1401" s="33"/>
      <c r="H1401" s="33"/>
      <c r="I1401" s="33"/>
      <c r="J1401" s="33"/>
      <c r="K1401" s="33"/>
      <c r="L1401" s="33"/>
      <c r="M1401" s="33"/>
    </row>
    <row r="1402" spans="5:13">
      <c r="E1402" s="28"/>
      <c r="F1402" s="28"/>
      <c r="G1402" s="33"/>
      <c r="H1402" s="33"/>
      <c r="I1402" s="33"/>
      <c r="J1402" s="33"/>
      <c r="K1402" s="33"/>
      <c r="L1402" s="33"/>
      <c r="M1402" s="33"/>
    </row>
    <row r="1403" spans="5:13">
      <c r="E1403" s="28"/>
      <c r="F1403" s="28"/>
      <c r="G1403" s="33"/>
      <c r="H1403" s="33"/>
      <c r="I1403" s="33"/>
      <c r="J1403" s="33"/>
      <c r="K1403" s="33"/>
      <c r="L1403" s="33"/>
      <c r="M1403" s="33"/>
    </row>
    <row r="1404" spans="5:13">
      <c r="E1404" s="28"/>
      <c r="F1404" s="28"/>
      <c r="G1404" s="33"/>
      <c r="H1404" s="33"/>
      <c r="I1404" s="33"/>
      <c r="J1404" s="33"/>
      <c r="K1404" s="33"/>
      <c r="L1404" s="33"/>
      <c r="M1404" s="33"/>
    </row>
    <row r="1405" spans="5:13">
      <c r="E1405" s="28"/>
      <c r="F1405" s="28"/>
      <c r="G1405" s="33"/>
      <c r="H1405" s="33"/>
      <c r="I1405" s="33"/>
      <c r="J1405" s="33"/>
      <c r="K1405" s="33"/>
      <c r="L1405" s="33"/>
      <c r="M1405" s="33"/>
    </row>
    <row r="1406" spans="5:13">
      <c r="E1406" s="28"/>
      <c r="F1406" s="28"/>
      <c r="G1406" s="33"/>
      <c r="H1406" s="33"/>
      <c r="I1406" s="33"/>
      <c r="J1406" s="33"/>
      <c r="K1406" s="33"/>
      <c r="L1406" s="33"/>
      <c r="M1406" s="33"/>
    </row>
    <row r="1407" spans="5:13">
      <c r="E1407" s="28"/>
      <c r="F1407" s="28"/>
      <c r="G1407" s="33"/>
      <c r="H1407" s="33"/>
      <c r="I1407" s="33"/>
      <c r="J1407" s="33"/>
      <c r="K1407" s="33"/>
      <c r="L1407" s="33"/>
      <c r="M1407" s="33"/>
    </row>
    <row r="1408" spans="5:13">
      <c r="E1408" s="28"/>
      <c r="F1408" s="28"/>
      <c r="G1408" s="33"/>
      <c r="H1408" s="33"/>
      <c r="I1408" s="33"/>
      <c r="J1408" s="33"/>
      <c r="K1408" s="33"/>
      <c r="L1408" s="33"/>
      <c r="M1408" s="33"/>
    </row>
    <row r="1409" spans="5:13">
      <c r="E1409" s="28"/>
      <c r="F1409" s="28"/>
      <c r="G1409" s="33"/>
      <c r="H1409" s="33"/>
      <c r="I1409" s="33"/>
      <c r="J1409" s="33"/>
      <c r="K1409" s="33"/>
      <c r="L1409" s="33"/>
      <c r="M1409" s="33"/>
    </row>
    <row r="1410" spans="5:13">
      <c r="E1410" s="28"/>
      <c r="F1410" s="28"/>
      <c r="G1410" s="33"/>
      <c r="H1410" s="33"/>
      <c r="I1410" s="33"/>
      <c r="J1410" s="33"/>
      <c r="K1410" s="33"/>
      <c r="L1410" s="33"/>
      <c r="M1410" s="33"/>
    </row>
    <row r="1411" spans="5:13">
      <c r="E1411" s="28"/>
      <c r="F1411" s="28"/>
      <c r="G1411" s="33"/>
      <c r="H1411" s="33"/>
      <c r="I1411" s="33"/>
      <c r="J1411" s="33"/>
      <c r="K1411" s="33"/>
      <c r="L1411" s="33"/>
      <c r="M1411" s="33"/>
    </row>
    <row r="1412" spans="5:13">
      <c r="E1412" s="28"/>
      <c r="F1412" s="28"/>
      <c r="G1412" s="33"/>
      <c r="H1412" s="33"/>
      <c r="I1412" s="33"/>
      <c r="J1412" s="33"/>
      <c r="K1412" s="33"/>
      <c r="L1412" s="33"/>
      <c r="M1412" s="33"/>
    </row>
    <row r="1413" spans="5:13">
      <c r="E1413" s="28"/>
      <c r="F1413" s="28"/>
      <c r="G1413" s="33"/>
      <c r="H1413" s="33"/>
      <c r="I1413" s="33"/>
      <c r="J1413" s="33"/>
      <c r="K1413" s="33"/>
      <c r="L1413" s="33"/>
      <c r="M1413" s="33"/>
    </row>
    <row r="1414" spans="5:13">
      <c r="E1414" s="28"/>
      <c r="F1414" s="28"/>
      <c r="G1414" s="33"/>
      <c r="H1414" s="33"/>
      <c r="I1414" s="33"/>
      <c r="J1414" s="33"/>
      <c r="K1414" s="33"/>
      <c r="L1414" s="33"/>
      <c r="M1414" s="33"/>
    </row>
    <row r="1415" spans="5:13">
      <c r="E1415" s="28"/>
      <c r="F1415" s="28"/>
      <c r="G1415" s="33"/>
      <c r="H1415" s="33"/>
      <c r="I1415" s="33"/>
      <c r="J1415" s="33"/>
      <c r="K1415" s="33"/>
      <c r="L1415" s="33"/>
      <c r="M1415" s="33"/>
    </row>
    <row r="1416" spans="5:13">
      <c r="E1416" s="28"/>
      <c r="F1416" s="28"/>
      <c r="G1416" s="33"/>
      <c r="H1416" s="33"/>
      <c r="I1416" s="33"/>
      <c r="J1416" s="33"/>
      <c r="K1416" s="33"/>
      <c r="L1416" s="33"/>
      <c r="M1416" s="33"/>
    </row>
    <row r="1417" spans="5:13">
      <c r="E1417" s="28"/>
      <c r="F1417" s="28"/>
      <c r="G1417" s="33"/>
      <c r="H1417" s="33"/>
      <c r="I1417" s="33"/>
      <c r="J1417" s="33"/>
      <c r="K1417" s="33"/>
      <c r="L1417" s="33"/>
      <c r="M1417" s="33"/>
    </row>
    <row r="1418" spans="5:13">
      <c r="E1418" s="28"/>
      <c r="F1418" s="28"/>
      <c r="G1418" s="33"/>
      <c r="H1418" s="33"/>
      <c r="I1418" s="33"/>
      <c r="J1418" s="33"/>
      <c r="K1418" s="33"/>
      <c r="L1418" s="33"/>
      <c r="M1418" s="33"/>
    </row>
    <row r="1419" spans="5:13">
      <c r="E1419" s="28"/>
      <c r="F1419" s="28"/>
      <c r="G1419" s="33"/>
      <c r="H1419" s="33"/>
      <c r="I1419" s="33"/>
      <c r="J1419" s="33"/>
      <c r="K1419" s="33"/>
      <c r="L1419" s="33"/>
      <c r="M1419" s="33"/>
    </row>
    <row r="1420" spans="5:13">
      <c r="E1420" s="28"/>
      <c r="F1420" s="28"/>
      <c r="G1420" s="33"/>
      <c r="H1420" s="33"/>
      <c r="I1420" s="33"/>
      <c r="J1420" s="33"/>
      <c r="K1420" s="33"/>
      <c r="L1420" s="33"/>
      <c r="M1420" s="33"/>
    </row>
    <row r="1421" spans="5:13">
      <c r="E1421" s="28"/>
      <c r="F1421" s="28"/>
      <c r="G1421" s="33"/>
      <c r="H1421" s="33"/>
      <c r="I1421" s="33"/>
      <c r="J1421" s="33"/>
      <c r="K1421" s="33"/>
      <c r="L1421" s="33"/>
      <c r="M1421" s="33"/>
    </row>
    <row r="1422" spans="5:13">
      <c r="E1422" s="28"/>
      <c r="F1422" s="28"/>
      <c r="G1422" s="33"/>
      <c r="H1422" s="33"/>
      <c r="I1422" s="33"/>
      <c r="J1422" s="33"/>
      <c r="K1422" s="33"/>
      <c r="L1422" s="33"/>
      <c r="M1422" s="33"/>
    </row>
    <row r="1423" spans="5:13">
      <c r="E1423" s="28"/>
      <c r="F1423" s="28"/>
      <c r="G1423" s="33"/>
      <c r="H1423" s="33"/>
      <c r="I1423" s="33"/>
      <c r="J1423" s="33"/>
      <c r="K1423" s="33"/>
      <c r="L1423" s="33"/>
      <c r="M1423" s="33"/>
    </row>
    <row r="1424" spans="5:13">
      <c r="E1424" s="28"/>
      <c r="F1424" s="28"/>
      <c r="G1424" s="33"/>
      <c r="H1424" s="33"/>
      <c r="I1424" s="33"/>
      <c r="J1424" s="33"/>
      <c r="K1424" s="33"/>
      <c r="L1424" s="33"/>
      <c r="M1424" s="33"/>
    </row>
    <row r="1425" spans="5:13">
      <c r="E1425" s="28"/>
      <c r="F1425" s="28"/>
      <c r="G1425" s="33"/>
      <c r="H1425" s="33"/>
      <c r="I1425" s="33"/>
      <c r="J1425" s="33"/>
      <c r="K1425" s="33"/>
      <c r="L1425" s="33"/>
      <c r="M1425" s="33"/>
    </row>
    <row r="1426" spans="5:13">
      <c r="E1426" s="28"/>
      <c r="F1426" s="28"/>
      <c r="G1426" s="33"/>
      <c r="H1426" s="33"/>
      <c r="I1426" s="33"/>
      <c r="J1426" s="33"/>
      <c r="K1426" s="33"/>
      <c r="L1426" s="33"/>
      <c r="M1426" s="33"/>
    </row>
    <row r="1427" spans="5:13">
      <c r="E1427" s="28"/>
      <c r="F1427" s="28"/>
      <c r="G1427" s="33"/>
      <c r="H1427" s="33"/>
      <c r="I1427" s="33"/>
      <c r="J1427" s="33"/>
      <c r="K1427" s="33"/>
      <c r="L1427" s="33"/>
      <c r="M1427" s="33"/>
    </row>
    <row r="1428" spans="5:13">
      <c r="E1428" s="28"/>
      <c r="F1428" s="28"/>
      <c r="G1428" s="33"/>
      <c r="H1428" s="33"/>
      <c r="I1428" s="33"/>
      <c r="J1428" s="33"/>
      <c r="K1428" s="33"/>
      <c r="L1428" s="33"/>
      <c r="M1428" s="33"/>
    </row>
    <row r="1429" spans="5:13">
      <c r="E1429" s="28"/>
      <c r="F1429" s="28"/>
      <c r="G1429" s="33"/>
      <c r="H1429" s="33"/>
      <c r="I1429" s="33"/>
      <c r="J1429" s="33"/>
      <c r="K1429" s="33"/>
      <c r="L1429" s="33"/>
      <c r="M1429" s="33"/>
    </row>
    <row r="1430" spans="5:13">
      <c r="E1430" s="28"/>
      <c r="F1430" s="28"/>
      <c r="G1430" s="33"/>
      <c r="H1430" s="33"/>
      <c r="I1430" s="33"/>
      <c r="J1430" s="33"/>
      <c r="K1430" s="33"/>
      <c r="L1430" s="33"/>
      <c r="M1430" s="33"/>
    </row>
    <row r="1431" spans="5:13">
      <c r="E1431" s="28"/>
      <c r="F1431" s="28"/>
      <c r="G1431" s="33"/>
      <c r="H1431" s="33"/>
      <c r="I1431" s="33"/>
      <c r="J1431" s="33"/>
      <c r="K1431" s="33"/>
      <c r="L1431" s="33"/>
      <c r="M1431" s="33"/>
    </row>
    <row r="1432" spans="5:13">
      <c r="E1432" s="28"/>
      <c r="F1432" s="28"/>
      <c r="G1432" s="33"/>
      <c r="H1432" s="33"/>
      <c r="I1432" s="33"/>
      <c r="J1432" s="33"/>
      <c r="K1432" s="33"/>
      <c r="L1432" s="33"/>
      <c r="M1432" s="33"/>
    </row>
    <row r="1433" spans="5:13">
      <c r="E1433" s="28"/>
      <c r="F1433" s="28"/>
      <c r="G1433" s="33"/>
      <c r="H1433" s="33"/>
      <c r="I1433" s="33"/>
      <c r="J1433" s="33"/>
      <c r="K1433" s="33"/>
      <c r="L1433" s="33"/>
      <c r="M1433" s="33"/>
    </row>
    <row r="1434" spans="5:13">
      <c r="E1434" s="28"/>
      <c r="F1434" s="28"/>
      <c r="G1434" s="33"/>
      <c r="H1434" s="33"/>
      <c r="I1434" s="33"/>
      <c r="J1434" s="33"/>
      <c r="K1434" s="33"/>
      <c r="L1434" s="33"/>
      <c r="M1434" s="33"/>
    </row>
    <row r="1435" spans="5:13">
      <c r="E1435" s="28"/>
      <c r="F1435" s="28"/>
      <c r="G1435" s="33"/>
      <c r="H1435" s="33"/>
      <c r="I1435" s="33"/>
      <c r="J1435" s="33"/>
      <c r="K1435" s="33"/>
      <c r="L1435" s="33"/>
      <c r="M1435" s="33"/>
    </row>
    <row r="1436" spans="5:13">
      <c r="E1436" s="28"/>
      <c r="F1436" s="28"/>
      <c r="G1436" s="33"/>
      <c r="H1436" s="33"/>
      <c r="I1436" s="33"/>
      <c r="J1436" s="33"/>
      <c r="K1436" s="33"/>
      <c r="L1436" s="33"/>
      <c r="M1436" s="33"/>
    </row>
    <row r="1437" spans="5:13">
      <c r="E1437" s="28"/>
      <c r="F1437" s="28"/>
      <c r="G1437" s="33"/>
      <c r="H1437" s="33"/>
      <c r="I1437" s="33"/>
      <c r="J1437" s="33"/>
      <c r="K1437" s="33"/>
      <c r="L1437" s="33"/>
      <c r="M1437" s="33"/>
    </row>
    <row r="1438" spans="5:13">
      <c r="E1438" s="28"/>
      <c r="F1438" s="28"/>
      <c r="G1438" s="33"/>
      <c r="H1438" s="33"/>
      <c r="I1438" s="33"/>
      <c r="J1438" s="33"/>
      <c r="K1438" s="33"/>
      <c r="L1438" s="33"/>
      <c r="M1438" s="33"/>
    </row>
    <row r="1439" spans="5:13">
      <c r="E1439" s="28"/>
      <c r="F1439" s="28"/>
      <c r="G1439" s="33"/>
      <c r="H1439" s="33"/>
      <c r="I1439" s="33"/>
      <c r="J1439" s="33"/>
      <c r="K1439" s="33"/>
      <c r="L1439" s="33"/>
      <c r="M1439" s="33"/>
    </row>
    <row r="1440" spans="5:13">
      <c r="E1440" s="28"/>
      <c r="F1440" s="28"/>
      <c r="G1440" s="33"/>
      <c r="H1440" s="33"/>
      <c r="I1440" s="33"/>
      <c r="J1440" s="33"/>
      <c r="K1440" s="33"/>
      <c r="L1440" s="33"/>
      <c r="M1440" s="33"/>
    </row>
    <row r="1441" spans="5:13">
      <c r="E1441" s="28"/>
      <c r="F1441" s="28"/>
      <c r="G1441" s="33"/>
      <c r="H1441" s="33"/>
      <c r="I1441" s="33"/>
      <c r="J1441" s="33"/>
      <c r="K1441" s="33"/>
      <c r="L1441" s="33"/>
      <c r="M1441" s="33"/>
    </row>
    <row r="1442" spans="5:13">
      <c r="E1442" s="28"/>
      <c r="F1442" s="28"/>
      <c r="G1442" s="33"/>
      <c r="H1442" s="33"/>
      <c r="I1442" s="33"/>
      <c r="J1442" s="33"/>
      <c r="K1442" s="33"/>
      <c r="L1442" s="33"/>
      <c r="M1442" s="33"/>
    </row>
    <row r="1443" spans="5:13">
      <c r="E1443" s="28"/>
      <c r="F1443" s="28"/>
      <c r="G1443" s="33"/>
      <c r="H1443" s="33"/>
      <c r="I1443" s="33"/>
      <c r="J1443" s="33"/>
      <c r="K1443" s="33"/>
      <c r="L1443" s="33"/>
      <c r="M1443" s="33"/>
    </row>
    <row r="1444" spans="5:13">
      <c r="E1444" s="28"/>
      <c r="F1444" s="28"/>
      <c r="G1444" s="33"/>
      <c r="H1444" s="33"/>
      <c r="I1444" s="33"/>
      <c r="J1444" s="33"/>
      <c r="K1444" s="33"/>
      <c r="L1444" s="33"/>
      <c r="M1444" s="33"/>
    </row>
    <row r="1445" spans="5:13">
      <c r="E1445" s="28"/>
      <c r="F1445" s="28"/>
      <c r="G1445" s="33"/>
      <c r="H1445" s="33"/>
      <c r="I1445" s="33"/>
      <c r="J1445" s="33"/>
      <c r="K1445" s="33"/>
      <c r="L1445" s="33"/>
      <c r="M1445" s="33"/>
    </row>
    <row r="1446" spans="5:13">
      <c r="E1446" s="28"/>
      <c r="F1446" s="28"/>
      <c r="G1446" s="33"/>
      <c r="H1446" s="33"/>
      <c r="I1446" s="33"/>
      <c r="J1446" s="33"/>
      <c r="K1446" s="33"/>
      <c r="L1446" s="33"/>
      <c r="M1446" s="33"/>
    </row>
    <row r="1447" spans="5:13">
      <c r="E1447" s="28"/>
      <c r="F1447" s="28"/>
      <c r="G1447" s="33"/>
      <c r="H1447" s="33"/>
      <c r="I1447" s="33"/>
      <c r="J1447" s="33"/>
      <c r="K1447" s="33"/>
      <c r="L1447" s="33"/>
      <c r="M1447" s="33"/>
    </row>
    <row r="1448" spans="5:13">
      <c r="E1448" s="28"/>
      <c r="F1448" s="28"/>
      <c r="G1448" s="33"/>
      <c r="H1448" s="33"/>
      <c r="I1448" s="33"/>
      <c r="J1448" s="33"/>
      <c r="K1448" s="33"/>
      <c r="L1448" s="33"/>
      <c r="M1448" s="33"/>
    </row>
    <row r="1449" spans="5:13">
      <c r="E1449" s="28"/>
      <c r="F1449" s="28"/>
      <c r="G1449" s="33"/>
      <c r="H1449" s="33"/>
      <c r="I1449" s="33"/>
      <c r="J1449" s="33"/>
      <c r="K1449" s="33"/>
      <c r="L1449" s="33"/>
      <c r="M1449" s="33"/>
    </row>
    <row r="1450" spans="5:13">
      <c r="E1450" s="28"/>
      <c r="F1450" s="28"/>
      <c r="G1450" s="33"/>
      <c r="H1450" s="33"/>
      <c r="I1450" s="33"/>
      <c r="J1450" s="33"/>
      <c r="K1450" s="33"/>
      <c r="L1450" s="33"/>
      <c r="M1450" s="33"/>
    </row>
    <row r="1451" spans="5:13">
      <c r="E1451" s="28"/>
      <c r="F1451" s="28"/>
      <c r="G1451" s="33"/>
      <c r="H1451" s="33"/>
      <c r="I1451" s="33"/>
      <c r="J1451" s="33"/>
      <c r="K1451" s="33"/>
      <c r="L1451" s="33"/>
      <c r="M1451" s="33"/>
    </row>
    <row r="1452" spans="5:13">
      <c r="E1452" s="28"/>
      <c r="F1452" s="28"/>
      <c r="G1452" s="33"/>
      <c r="H1452" s="33"/>
      <c r="I1452" s="33"/>
      <c r="J1452" s="33"/>
      <c r="K1452" s="33"/>
      <c r="L1452" s="33"/>
      <c r="M1452" s="33"/>
    </row>
    <row r="1453" spans="5:13">
      <c r="E1453" s="28"/>
      <c r="F1453" s="28"/>
      <c r="G1453" s="33"/>
      <c r="H1453" s="33"/>
      <c r="I1453" s="33"/>
      <c r="J1453" s="33"/>
      <c r="K1453" s="33"/>
      <c r="L1453" s="33"/>
      <c r="M1453" s="33"/>
    </row>
    <row r="1454" spans="5:13">
      <c r="E1454" s="28"/>
      <c r="F1454" s="28"/>
      <c r="G1454" s="33"/>
      <c r="H1454" s="33"/>
      <c r="I1454" s="33"/>
      <c r="J1454" s="33"/>
      <c r="K1454" s="33"/>
      <c r="L1454" s="33"/>
      <c r="M1454" s="33"/>
    </row>
    <row r="1455" spans="5:13">
      <c r="E1455" s="28"/>
      <c r="F1455" s="28"/>
      <c r="G1455" s="33"/>
      <c r="H1455" s="33"/>
      <c r="I1455" s="33"/>
      <c r="J1455" s="33"/>
      <c r="K1455" s="33"/>
      <c r="L1455" s="33"/>
      <c r="M1455" s="33"/>
    </row>
    <row r="1456" spans="5:13">
      <c r="E1456" s="28"/>
      <c r="F1456" s="28"/>
      <c r="G1456" s="33"/>
      <c r="H1456" s="33"/>
      <c r="I1456" s="33"/>
      <c r="J1456" s="33"/>
      <c r="K1456" s="33"/>
      <c r="L1456" s="33"/>
      <c r="M1456" s="33"/>
    </row>
    <row r="1457" spans="5:13">
      <c r="E1457" s="28"/>
      <c r="F1457" s="28"/>
      <c r="G1457" s="33"/>
      <c r="H1457" s="33"/>
      <c r="I1457" s="33"/>
      <c r="J1457" s="33"/>
      <c r="K1457" s="33"/>
      <c r="L1457" s="33"/>
      <c r="M1457" s="33"/>
    </row>
    <row r="1458" spans="5:13">
      <c r="E1458" s="28"/>
      <c r="F1458" s="28"/>
      <c r="G1458" s="33"/>
      <c r="H1458" s="33"/>
      <c r="I1458" s="33"/>
      <c r="J1458" s="33"/>
      <c r="K1458" s="33"/>
      <c r="L1458" s="33"/>
      <c r="M1458" s="33"/>
    </row>
    <row r="1459" spans="5:13">
      <c r="E1459" s="28"/>
      <c r="F1459" s="28"/>
      <c r="G1459" s="33"/>
      <c r="H1459" s="33"/>
      <c r="I1459" s="33"/>
      <c r="J1459" s="33"/>
      <c r="K1459" s="33"/>
      <c r="L1459" s="33"/>
      <c r="M1459" s="33"/>
    </row>
    <row r="1460" spans="5:13">
      <c r="E1460" s="28"/>
      <c r="F1460" s="28"/>
      <c r="G1460" s="33"/>
      <c r="H1460" s="33"/>
      <c r="I1460" s="33"/>
      <c r="J1460" s="33"/>
      <c r="K1460" s="33"/>
      <c r="L1460" s="33"/>
      <c r="M1460" s="33"/>
    </row>
    <row r="1461" spans="5:13">
      <c r="E1461" s="28"/>
      <c r="F1461" s="28"/>
      <c r="G1461" s="33"/>
      <c r="H1461" s="33"/>
      <c r="I1461" s="33"/>
      <c r="J1461" s="33"/>
      <c r="K1461" s="33"/>
      <c r="L1461" s="33"/>
      <c r="M1461" s="33"/>
    </row>
    <row r="1462" spans="5:13">
      <c r="E1462" s="28"/>
      <c r="F1462" s="28"/>
      <c r="G1462" s="33"/>
      <c r="H1462" s="33"/>
      <c r="I1462" s="33"/>
      <c r="J1462" s="33"/>
      <c r="K1462" s="33"/>
      <c r="L1462" s="33"/>
      <c r="M1462" s="33"/>
    </row>
    <row r="1463" spans="5:13">
      <c r="E1463" s="28"/>
      <c r="F1463" s="28"/>
      <c r="G1463" s="33"/>
      <c r="H1463" s="33"/>
      <c r="I1463" s="33"/>
      <c r="J1463" s="33"/>
      <c r="K1463" s="33"/>
      <c r="L1463" s="33"/>
      <c r="M1463" s="33"/>
    </row>
    <row r="1464" spans="5:13">
      <c r="E1464" s="28"/>
      <c r="F1464" s="28"/>
      <c r="G1464" s="33"/>
      <c r="H1464" s="33"/>
      <c r="I1464" s="33"/>
      <c r="J1464" s="33"/>
      <c r="K1464" s="33"/>
      <c r="L1464" s="33"/>
      <c r="M1464" s="33"/>
    </row>
    <row r="1465" spans="5:13">
      <c r="E1465" s="28"/>
      <c r="F1465" s="28"/>
      <c r="G1465" s="33"/>
      <c r="H1465" s="33"/>
      <c r="I1465" s="33"/>
      <c r="J1465" s="33"/>
      <c r="K1465" s="33"/>
      <c r="L1465" s="33"/>
      <c r="M1465" s="33"/>
    </row>
    <row r="1466" spans="5:13">
      <c r="E1466" s="28"/>
      <c r="F1466" s="28"/>
      <c r="G1466" s="33"/>
      <c r="H1466" s="33"/>
      <c r="I1466" s="33"/>
      <c r="J1466" s="33"/>
      <c r="K1466" s="33"/>
      <c r="L1466" s="33"/>
      <c r="M1466" s="33"/>
    </row>
    <row r="1467" spans="5:13">
      <c r="E1467" s="28"/>
      <c r="F1467" s="28"/>
      <c r="G1467" s="33"/>
      <c r="H1467" s="33"/>
      <c r="I1467" s="33"/>
      <c r="J1467" s="33"/>
      <c r="K1467" s="33"/>
      <c r="L1467" s="33"/>
      <c r="M1467" s="33"/>
    </row>
    <row r="1468" spans="5:13">
      <c r="E1468" s="28"/>
      <c r="F1468" s="28"/>
      <c r="G1468" s="33"/>
      <c r="H1468" s="33"/>
      <c r="I1468" s="33"/>
      <c r="J1468" s="33"/>
      <c r="K1468" s="33"/>
      <c r="L1468" s="33"/>
      <c r="M1468" s="33"/>
    </row>
    <row r="1469" spans="5:13">
      <c r="E1469" s="28"/>
      <c r="F1469" s="28"/>
      <c r="G1469" s="33"/>
      <c r="H1469" s="33"/>
      <c r="I1469" s="33"/>
      <c r="J1469" s="33"/>
      <c r="K1469" s="33"/>
      <c r="L1469" s="33"/>
      <c r="M1469" s="33"/>
    </row>
    <row r="1470" spans="5:13">
      <c r="E1470" s="28"/>
      <c r="F1470" s="28"/>
      <c r="G1470" s="33"/>
      <c r="H1470" s="33"/>
      <c r="I1470" s="33"/>
      <c r="J1470" s="33"/>
      <c r="K1470" s="33"/>
      <c r="L1470" s="33"/>
      <c r="M1470" s="33"/>
    </row>
    <row r="1471" spans="5:13">
      <c r="E1471" s="28"/>
      <c r="F1471" s="28"/>
      <c r="G1471" s="33"/>
      <c r="H1471" s="33"/>
      <c r="I1471" s="33"/>
      <c r="J1471" s="33"/>
      <c r="K1471" s="33"/>
      <c r="L1471" s="33"/>
      <c r="M1471" s="33"/>
    </row>
    <row r="1472" spans="5:13">
      <c r="E1472" s="28"/>
      <c r="F1472" s="28"/>
      <c r="G1472" s="33"/>
      <c r="H1472" s="33"/>
      <c r="I1472" s="33"/>
      <c r="J1472" s="33"/>
      <c r="K1472" s="33"/>
      <c r="L1472" s="33"/>
      <c r="M1472" s="33"/>
    </row>
    <row r="1473" spans="5:13">
      <c r="E1473" s="28"/>
      <c r="F1473" s="28"/>
      <c r="G1473" s="33"/>
      <c r="H1473" s="33"/>
      <c r="I1473" s="33"/>
      <c r="J1473" s="33"/>
      <c r="K1473" s="33"/>
      <c r="L1473" s="33"/>
      <c r="M1473" s="33"/>
    </row>
    <row r="1474" spans="5:13">
      <c r="E1474" s="28"/>
      <c r="F1474" s="28"/>
      <c r="G1474" s="33"/>
      <c r="H1474" s="33"/>
      <c r="I1474" s="33"/>
      <c r="J1474" s="33"/>
      <c r="K1474" s="33"/>
      <c r="L1474" s="33"/>
      <c r="M1474" s="33"/>
    </row>
    <row r="1475" spans="5:13">
      <c r="E1475" s="28"/>
      <c r="F1475" s="28"/>
      <c r="G1475" s="33"/>
      <c r="H1475" s="33"/>
      <c r="I1475" s="33"/>
      <c r="J1475" s="33"/>
      <c r="K1475" s="33"/>
      <c r="L1475" s="33"/>
      <c r="M1475" s="33"/>
    </row>
    <row r="1476" spans="5:13">
      <c r="E1476" s="28"/>
      <c r="F1476" s="28"/>
      <c r="G1476" s="33"/>
      <c r="H1476" s="33"/>
      <c r="I1476" s="33"/>
      <c r="J1476" s="33"/>
      <c r="K1476" s="33"/>
      <c r="L1476" s="33"/>
      <c r="M1476" s="33"/>
    </row>
    <row r="1477" spans="5:13">
      <c r="E1477" s="28"/>
      <c r="F1477" s="28"/>
      <c r="G1477" s="33"/>
      <c r="H1477" s="33"/>
      <c r="I1477" s="33"/>
      <c r="J1477" s="33"/>
      <c r="K1477" s="33"/>
      <c r="L1477" s="33"/>
      <c r="M1477" s="33"/>
    </row>
    <row r="1478" spans="5:13">
      <c r="E1478" s="28"/>
      <c r="F1478" s="28"/>
      <c r="G1478" s="33"/>
      <c r="H1478" s="33"/>
      <c r="I1478" s="33"/>
      <c r="J1478" s="33"/>
      <c r="K1478" s="33"/>
      <c r="L1478" s="33"/>
      <c r="M1478" s="33"/>
    </row>
    <row r="1479" spans="5:13">
      <c r="E1479" s="28"/>
      <c r="F1479" s="28"/>
      <c r="G1479" s="33"/>
      <c r="H1479" s="33"/>
      <c r="I1479" s="33"/>
      <c r="J1479" s="33"/>
      <c r="K1479" s="33"/>
      <c r="L1479" s="33"/>
      <c r="M1479" s="33"/>
    </row>
    <row r="1480" spans="5:13">
      <c r="E1480" s="28"/>
      <c r="F1480" s="28"/>
      <c r="G1480" s="33"/>
      <c r="H1480" s="33"/>
      <c r="I1480" s="33"/>
      <c r="J1480" s="33"/>
      <c r="K1480" s="33"/>
      <c r="L1480" s="33"/>
      <c r="M1480" s="33"/>
    </row>
    <row r="1481" spans="5:13">
      <c r="E1481" s="28"/>
      <c r="F1481" s="28"/>
      <c r="G1481" s="33"/>
      <c r="H1481" s="33"/>
      <c r="I1481" s="33"/>
      <c r="J1481" s="33"/>
      <c r="K1481" s="33"/>
      <c r="L1481" s="33"/>
      <c r="M1481" s="33"/>
    </row>
    <row r="1482" spans="5:13">
      <c r="E1482" s="28"/>
      <c r="F1482" s="28"/>
      <c r="G1482" s="33"/>
      <c r="H1482" s="33"/>
      <c r="I1482" s="33"/>
      <c r="J1482" s="33"/>
      <c r="K1482" s="33"/>
      <c r="L1482" s="33"/>
      <c r="M1482" s="33"/>
    </row>
    <row r="1483" spans="5:13">
      <c r="E1483" s="28"/>
      <c r="F1483" s="28"/>
      <c r="G1483" s="33"/>
      <c r="H1483" s="33"/>
      <c r="I1483" s="33"/>
      <c r="J1483" s="33"/>
      <c r="K1483" s="33"/>
      <c r="L1483" s="33"/>
      <c r="M1483" s="33"/>
    </row>
    <row r="1484" spans="5:13">
      <c r="E1484" s="28"/>
      <c r="F1484" s="28"/>
      <c r="G1484" s="33"/>
      <c r="H1484" s="33"/>
      <c r="I1484" s="33"/>
      <c r="J1484" s="33"/>
      <c r="K1484" s="33"/>
      <c r="L1484" s="33"/>
      <c r="M1484" s="33"/>
    </row>
    <row r="1485" spans="5:13">
      <c r="E1485" s="28"/>
      <c r="F1485" s="28"/>
      <c r="G1485" s="33"/>
      <c r="H1485" s="33"/>
      <c r="I1485" s="33"/>
      <c r="J1485" s="33"/>
      <c r="K1485" s="33"/>
      <c r="L1485" s="33"/>
      <c r="M1485" s="33"/>
    </row>
    <row r="1486" spans="5:13">
      <c r="E1486" s="28"/>
      <c r="F1486" s="28"/>
      <c r="G1486" s="33"/>
      <c r="H1486" s="33"/>
      <c r="I1486" s="33"/>
      <c r="J1486" s="33"/>
      <c r="K1486" s="33"/>
      <c r="L1486" s="33"/>
      <c r="M1486" s="33"/>
    </row>
    <row r="1487" spans="5:13">
      <c r="E1487" s="28"/>
      <c r="F1487" s="28"/>
      <c r="G1487" s="33"/>
      <c r="H1487" s="33"/>
      <c r="I1487" s="33"/>
      <c r="J1487" s="33"/>
      <c r="K1487" s="33"/>
      <c r="L1487" s="33"/>
      <c r="M1487" s="33"/>
    </row>
    <row r="1488" spans="5:13">
      <c r="E1488" s="28"/>
      <c r="F1488" s="28"/>
      <c r="G1488" s="33"/>
      <c r="H1488" s="33"/>
      <c r="I1488" s="33"/>
      <c r="J1488" s="33"/>
      <c r="K1488" s="33"/>
      <c r="L1488" s="33"/>
      <c r="M1488" s="33"/>
    </row>
    <row r="1489" spans="5:13">
      <c r="E1489" s="28"/>
      <c r="F1489" s="28"/>
      <c r="G1489" s="33"/>
      <c r="H1489" s="33"/>
      <c r="I1489" s="33"/>
      <c r="J1489" s="33"/>
      <c r="K1489" s="33"/>
      <c r="L1489" s="33"/>
      <c r="M1489" s="33"/>
    </row>
    <row r="1490" spans="5:13">
      <c r="E1490" s="28"/>
      <c r="F1490" s="28"/>
      <c r="G1490" s="33"/>
      <c r="H1490" s="33"/>
      <c r="I1490" s="33"/>
      <c r="J1490" s="33"/>
      <c r="K1490" s="33"/>
      <c r="L1490" s="33"/>
      <c r="M1490" s="33"/>
    </row>
    <row r="1491" spans="5:13">
      <c r="E1491" s="28"/>
      <c r="F1491" s="28"/>
      <c r="G1491" s="33"/>
      <c r="H1491" s="33"/>
      <c r="I1491" s="33"/>
      <c r="J1491" s="33"/>
      <c r="K1491" s="33"/>
      <c r="L1491" s="33"/>
      <c r="M1491" s="33"/>
    </row>
    <row r="1492" spans="5:13">
      <c r="E1492" s="28"/>
      <c r="F1492" s="28"/>
      <c r="G1492" s="33"/>
      <c r="H1492" s="33"/>
      <c r="I1492" s="33"/>
      <c r="J1492" s="33"/>
      <c r="K1492" s="33"/>
      <c r="L1492" s="33"/>
      <c r="M1492" s="33"/>
    </row>
    <row r="1493" spans="5:13">
      <c r="E1493" s="28"/>
      <c r="F1493" s="28"/>
      <c r="G1493" s="33"/>
      <c r="H1493" s="33"/>
      <c r="I1493" s="33"/>
      <c r="J1493" s="33"/>
      <c r="K1493" s="33"/>
      <c r="L1493" s="33"/>
      <c r="M1493" s="33"/>
    </row>
    <row r="1494" spans="5:13">
      <c r="E1494" s="28"/>
      <c r="F1494" s="28"/>
      <c r="G1494" s="33"/>
      <c r="H1494" s="33"/>
      <c r="I1494" s="33"/>
      <c r="J1494" s="33"/>
      <c r="K1494" s="33"/>
      <c r="L1494" s="33"/>
      <c r="M1494" s="33"/>
    </row>
    <row r="1495" spans="5:13">
      <c r="E1495" s="28"/>
      <c r="F1495" s="28"/>
      <c r="G1495" s="33"/>
      <c r="H1495" s="33"/>
      <c r="I1495" s="33"/>
      <c r="J1495" s="33"/>
      <c r="K1495" s="33"/>
      <c r="L1495" s="33"/>
      <c r="M1495" s="33"/>
    </row>
    <row r="1496" spans="5:13">
      <c r="E1496" s="28"/>
      <c r="F1496" s="28"/>
      <c r="G1496" s="33"/>
      <c r="H1496" s="33"/>
      <c r="I1496" s="33"/>
      <c r="J1496" s="33"/>
      <c r="K1496" s="33"/>
      <c r="L1496" s="33"/>
      <c r="M1496" s="33"/>
    </row>
    <row r="1497" spans="5:13">
      <c r="E1497" s="28"/>
      <c r="F1497" s="28"/>
      <c r="G1497" s="33"/>
      <c r="H1497" s="33"/>
      <c r="I1497" s="33"/>
      <c r="J1497" s="33"/>
      <c r="K1497" s="33"/>
      <c r="L1497" s="33"/>
      <c r="M1497" s="33"/>
    </row>
    <row r="1498" spans="5:13">
      <c r="E1498" s="28"/>
      <c r="F1498" s="28"/>
      <c r="G1498" s="33"/>
      <c r="H1498" s="33"/>
      <c r="I1498" s="33"/>
      <c r="J1498" s="33"/>
      <c r="K1498" s="33"/>
      <c r="L1498" s="33"/>
      <c r="M1498" s="33"/>
    </row>
    <row r="1499" spans="5:13">
      <c r="E1499" s="28"/>
      <c r="F1499" s="28"/>
      <c r="G1499" s="33"/>
      <c r="H1499" s="33"/>
      <c r="I1499" s="33"/>
      <c r="J1499" s="33"/>
      <c r="K1499" s="33"/>
      <c r="L1499" s="33"/>
      <c r="M1499" s="33"/>
    </row>
    <row r="1500" spans="5:13">
      <c r="E1500" s="28"/>
      <c r="F1500" s="28"/>
      <c r="G1500" s="33"/>
      <c r="H1500" s="33"/>
      <c r="I1500" s="33"/>
      <c r="J1500" s="33"/>
      <c r="K1500" s="33"/>
      <c r="L1500" s="33"/>
      <c r="M1500" s="33"/>
    </row>
    <row r="1501" spans="5:13">
      <c r="E1501" s="28"/>
      <c r="F1501" s="28"/>
      <c r="G1501" s="33"/>
      <c r="H1501" s="33"/>
      <c r="I1501" s="33"/>
      <c r="J1501" s="33"/>
      <c r="K1501" s="33"/>
      <c r="L1501" s="33"/>
      <c r="M1501" s="33"/>
    </row>
    <row r="1502" spans="5:13">
      <c r="E1502" s="28"/>
      <c r="F1502" s="28"/>
      <c r="G1502" s="33"/>
      <c r="H1502" s="33"/>
      <c r="I1502" s="33"/>
      <c r="J1502" s="33"/>
      <c r="K1502" s="33"/>
      <c r="L1502" s="33"/>
      <c r="M1502" s="33"/>
    </row>
    <row r="1503" spans="5:13">
      <c r="E1503" s="28"/>
      <c r="F1503" s="28"/>
      <c r="G1503" s="33"/>
      <c r="H1503" s="33"/>
      <c r="I1503" s="33"/>
      <c r="J1503" s="33"/>
      <c r="K1503" s="33"/>
      <c r="L1503" s="33"/>
      <c r="M1503" s="33"/>
    </row>
    <row r="1504" spans="5:13">
      <c r="E1504" s="28"/>
      <c r="F1504" s="28"/>
      <c r="G1504" s="33"/>
      <c r="H1504" s="33"/>
      <c r="I1504" s="33"/>
      <c r="J1504" s="33"/>
      <c r="K1504" s="33"/>
      <c r="L1504" s="33"/>
      <c r="M1504" s="33"/>
    </row>
    <row r="1505" spans="5:13">
      <c r="E1505" s="28"/>
      <c r="F1505" s="28"/>
      <c r="G1505" s="33"/>
      <c r="H1505" s="33"/>
      <c r="I1505" s="33"/>
      <c r="J1505" s="33"/>
      <c r="K1505" s="33"/>
      <c r="L1505" s="33"/>
      <c r="M1505" s="33"/>
    </row>
    <row r="1506" spans="5:13">
      <c r="E1506" s="28"/>
      <c r="F1506" s="28"/>
      <c r="G1506" s="33"/>
      <c r="H1506" s="33"/>
      <c r="I1506" s="33"/>
      <c r="J1506" s="33"/>
      <c r="K1506" s="33"/>
      <c r="L1506" s="33"/>
      <c r="M1506" s="33"/>
    </row>
    <row r="1507" spans="5:13">
      <c r="E1507" s="28"/>
      <c r="F1507" s="28"/>
      <c r="G1507" s="33"/>
      <c r="H1507" s="33"/>
      <c r="I1507" s="33"/>
      <c r="J1507" s="33"/>
      <c r="K1507" s="33"/>
      <c r="L1507" s="33"/>
      <c r="M1507" s="33"/>
    </row>
    <row r="1508" spans="5:13">
      <c r="E1508" s="28"/>
      <c r="F1508" s="28"/>
      <c r="G1508" s="33"/>
      <c r="H1508" s="33"/>
      <c r="I1508" s="33"/>
      <c r="J1508" s="33"/>
      <c r="K1508" s="33"/>
      <c r="L1508" s="33"/>
      <c r="M1508" s="33"/>
    </row>
    <row r="1509" spans="5:13">
      <c r="E1509" s="28"/>
      <c r="F1509" s="28"/>
      <c r="G1509" s="33"/>
      <c r="H1509" s="33"/>
      <c r="I1509" s="33"/>
      <c r="J1509" s="33"/>
      <c r="K1509" s="33"/>
      <c r="L1509" s="33"/>
      <c r="M1509" s="33"/>
    </row>
    <row r="1510" spans="5:13">
      <c r="E1510" s="28"/>
      <c r="F1510" s="28"/>
      <c r="G1510" s="33"/>
      <c r="H1510" s="33"/>
      <c r="I1510" s="33"/>
      <c r="J1510" s="33"/>
      <c r="K1510" s="33"/>
      <c r="L1510" s="33"/>
      <c r="M1510" s="33"/>
    </row>
    <row r="1511" spans="5:13">
      <c r="E1511" s="28"/>
      <c r="F1511" s="28"/>
      <c r="G1511" s="33"/>
      <c r="H1511" s="33"/>
      <c r="I1511" s="33"/>
      <c r="J1511" s="33"/>
      <c r="K1511" s="33"/>
      <c r="L1511" s="33"/>
      <c r="M1511" s="33"/>
    </row>
    <row r="1512" spans="5:13">
      <c r="E1512" s="28"/>
      <c r="F1512" s="28"/>
      <c r="G1512" s="33"/>
      <c r="H1512" s="33"/>
      <c r="I1512" s="33"/>
      <c r="J1512" s="33"/>
      <c r="K1512" s="33"/>
      <c r="L1512" s="33"/>
      <c r="M1512" s="33"/>
    </row>
    <row r="1513" spans="5:13">
      <c r="E1513" s="28"/>
      <c r="F1513" s="28"/>
      <c r="G1513" s="33"/>
      <c r="H1513" s="33"/>
      <c r="I1513" s="33"/>
      <c r="J1513" s="33"/>
      <c r="K1513" s="33"/>
      <c r="L1513" s="33"/>
      <c r="M1513" s="33"/>
    </row>
    <row r="1514" spans="5:13">
      <c r="E1514" s="28"/>
      <c r="F1514" s="28"/>
      <c r="G1514" s="33"/>
      <c r="H1514" s="33"/>
      <c r="I1514" s="33"/>
      <c r="J1514" s="33"/>
      <c r="K1514" s="33"/>
      <c r="L1514" s="33"/>
      <c r="M1514" s="33"/>
    </row>
    <row r="1515" spans="5:13">
      <c r="E1515" s="28"/>
      <c r="F1515" s="28"/>
      <c r="G1515" s="33"/>
      <c r="H1515" s="33"/>
      <c r="I1515" s="33"/>
      <c r="J1515" s="33"/>
      <c r="K1515" s="33"/>
      <c r="L1515" s="33"/>
      <c r="M1515" s="33"/>
    </row>
    <row r="1516" spans="5:13">
      <c r="E1516" s="28"/>
      <c r="F1516" s="28"/>
      <c r="G1516" s="33"/>
      <c r="H1516" s="33"/>
      <c r="I1516" s="33"/>
      <c r="J1516" s="33"/>
      <c r="K1516" s="33"/>
      <c r="L1516" s="33"/>
      <c r="M1516" s="33"/>
    </row>
    <row r="1517" spans="5:13">
      <c r="E1517" s="28"/>
      <c r="F1517" s="28"/>
      <c r="G1517" s="33"/>
      <c r="H1517" s="33"/>
      <c r="I1517" s="33"/>
      <c r="J1517" s="33"/>
      <c r="K1517" s="33"/>
      <c r="L1517" s="33"/>
      <c r="M1517" s="33"/>
    </row>
    <row r="1518" spans="5:13">
      <c r="E1518" s="28"/>
      <c r="F1518" s="28"/>
      <c r="G1518" s="33"/>
      <c r="H1518" s="33"/>
      <c r="I1518" s="33"/>
      <c r="J1518" s="33"/>
      <c r="K1518" s="33"/>
      <c r="L1518" s="33"/>
      <c r="M1518" s="33"/>
    </row>
    <row r="1519" spans="5:13">
      <c r="E1519" s="28"/>
      <c r="F1519" s="28"/>
      <c r="G1519" s="33"/>
      <c r="H1519" s="33"/>
      <c r="I1519" s="33"/>
      <c r="J1519" s="33"/>
      <c r="K1519" s="33"/>
      <c r="L1519" s="33"/>
      <c r="M1519" s="33"/>
    </row>
    <row r="1520" spans="5:13">
      <c r="E1520" s="28"/>
      <c r="F1520" s="28"/>
      <c r="G1520" s="33"/>
      <c r="H1520" s="33"/>
      <c r="I1520" s="33"/>
      <c r="J1520" s="33"/>
      <c r="K1520" s="33"/>
      <c r="L1520" s="33"/>
      <c r="M1520" s="33"/>
    </row>
    <row r="1521" spans="5:13">
      <c r="E1521" s="28"/>
      <c r="F1521" s="28"/>
      <c r="G1521" s="33"/>
      <c r="H1521" s="33"/>
      <c r="I1521" s="33"/>
      <c r="J1521" s="33"/>
      <c r="K1521" s="33"/>
      <c r="L1521" s="33"/>
      <c r="M1521" s="33"/>
    </row>
    <row r="1522" spans="5:13">
      <c r="E1522" s="28"/>
      <c r="F1522" s="28"/>
      <c r="G1522" s="33"/>
      <c r="H1522" s="33"/>
      <c r="I1522" s="33"/>
      <c r="J1522" s="33"/>
      <c r="K1522" s="33"/>
      <c r="L1522" s="33"/>
      <c r="M1522" s="33"/>
    </row>
    <row r="1523" spans="5:13">
      <c r="E1523" s="28"/>
      <c r="F1523" s="28"/>
      <c r="G1523" s="33"/>
      <c r="H1523" s="33"/>
      <c r="I1523" s="33"/>
      <c r="J1523" s="33"/>
      <c r="K1523" s="33"/>
      <c r="L1523" s="33"/>
      <c r="M1523" s="33"/>
    </row>
    <row r="1524" spans="5:13">
      <c r="E1524" s="28"/>
      <c r="F1524" s="28"/>
      <c r="G1524" s="33"/>
      <c r="H1524" s="33"/>
      <c r="I1524" s="33"/>
      <c r="J1524" s="33"/>
      <c r="K1524" s="33"/>
      <c r="L1524" s="33"/>
      <c r="M1524" s="33"/>
    </row>
    <row r="1525" spans="5:13">
      <c r="E1525" s="28"/>
      <c r="F1525" s="28"/>
      <c r="G1525" s="33"/>
      <c r="H1525" s="33"/>
      <c r="I1525" s="33"/>
      <c r="J1525" s="33"/>
      <c r="K1525" s="33"/>
      <c r="L1525" s="33"/>
      <c r="M1525" s="33"/>
    </row>
    <row r="1526" spans="5:13">
      <c r="E1526" s="28"/>
      <c r="F1526" s="28"/>
      <c r="G1526" s="33"/>
      <c r="H1526" s="33"/>
      <c r="I1526" s="33"/>
      <c r="J1526" s="33"/>
      <c r="K1526" s="33"/>
      <c r="L1526" s="33"/>
      <c r="M1526" s="33"/>
    </row>
    <row r="1527" spans="5:13">
      <c r="E1527" s="28"/>
      <c r="F1527" s="28"/>
      <c r="G1527" s="33"/>
      <c r="H1527" s="33"/>
      <c r="I1527" s="33"/>
      <c r="J1527" s="33"/>
      <c r="K1527" s="33"/>
      <c r="L1527" s="33"/>
      <c r="M1527" s="33"/>
    </row>
    <row r="1528" spans="5:13">
      <c r="E1528" s="28"/>
      <c r="F1528" s="28"/>
      <c r="G1528" s="33"/>
      <c r="H1528" s="33"/>
      <c r="I1528" s="33"/>
      <c r="J1528" s="33"/>
      <c r="K1528" s="33"/>
      <c r="L1528" s="33"/>
      <c r="M1528" s="33"/>
    </row>
    <row r="1529" spans="5:13">
      <c r="E1529" s="28"/>
      <c r="F1529" s="28"/>
      <c r="G1529" s="33"/>
      <c r="H1529" s="33"/>
      <c r="I1529" s="33"/>
      <c r="J1529" s="33"/>
      <c r="K1529" s="33"/>
      <c r="L1529" s="33"/>
      <c r="M1529" s="33"/>
    </row>
    <row r="1530" spans="5:13">
      <c r="E1530" s="28"/>
      <c r="F1530" s="28"/>
      <c r="G1530" s="33"/>
      <c r="H1530" s="33"/>
      <c r="I1530" s="33"/>
      <c r="J1530" s="33"/>
      <c r="K1530" s="33"/>
      <c r="L1530" s="33"/>
      <c r="M1530" s="33"/>
    </row>
    <row r="1531" spans="5:13">
      <c r="E1531" s="28"/>
      <c r="F1531" s="28"/>
      <c r="G1531" s="33"/>
      <c r="H1531" s="33"/>
      <c r="I1531" s="33"/>
      <c r="J1531" s="33"/>
      <c r="K1531" s="33"/>
      <c r="L1531" s="33"/>
      <c r="M1531" s="33"/>
    </row>
    <row r="1532" spans="5:13">
      <c r="E1532" s="28"/>
      <c r="F1532" s="28"/>
      <c r="G1532" s="33"/>
      <c r="H1532" s="33"/>
      <c r="I1532" s="33"/>
      <c r="J1532" s="33"/>
      <c r="K1532" s="33"/>
      <c r="L1532" s="33"/>
      <c r="M1532" s="33"/>
    </row>
    <row r="1533" spans="5:13">
      <c r="E1533" s="28"/>
      <c r="F1533" s="28"/>
      <c r="G1533" s="33"/>
      <c r="H1533" s="33"/>
      <c r="I1533" s="33"/>
      <c r="J1533" s="33"/>
      <c r="K1533" s="33"/>
      <c r="L1533" s="33"/>
      <c r="M1533" s="33"/>
    </row>
    <row r="1534" spans="5:13">
      <c r="E1534" s="28"/>
      <c r="F1534" s="28"/>
      <c r="G1534" s="33"/>
      <c r="H1534" s="33"/>
      <c r="I1534" s="33"/>
      <c r="J1534" s="33"/>
      <c r="K1534" s="33"/>
      <c r="L1534" s="33"/>
      <c r="M1534" s="33"/>
    </row>
    <row r="1535" spans="5:13">
      <c r="E1535" s="28"/>
      <c r="F1535" s="28"/>
      <c r="G1535" s="33"/>
      <c r="H1535" s="33"/>
      <c r="I1535" s="33"/>
      <c r="J1535" s="33"/>
      <c r="K1535" s="33"/>
      <c r="L1535" s="33"/>
      <c r="M1535" s="33"/>
    </row>
    <row r="1536" spans="5:13">
      <c r="E1536" s="28"/>
      <c r="F1536" s="28"/>
      <c r="G1536" s="33"/>
      <c r="H1536" s="33"/>
      <c r="I1536" s="33"/>
      <c r="J1536" s="33"/>
      <c r="K1536" s="33"/>
      <c r="L1536" s="33"/>
      <c r="M1536" s="33"/>
    </row>
    <row r="1537" spans="5:13">
      <c r="E1537" s="28"/>
      <c r="F1537" s="28"/>
      <c r="G1537" s="33"/>
      <c r="H1537" s="33"/>
      <c r="I1537" s="33"/>
      <c r="J1537" s="33"/>
      <c r="K1537" s="33"/>
      <c r="L1537" s="33"/>
      <c r="M1537" s="33"/>
    </row>
    <row r="1538" spans="5:13">
      <c r="E1538" s="28"/>
      <c r="F1538" s="28"/>
      <c r="G1538" s="33"/>
      <c r="H1538" s="33"/>
      <c r="I1538" s="33"/>
      <c r="J1538" s="33"/>
      <c r="K1538" s="33"/>
      <c r="L1538" s="33"/>
      <c r="M1538" s="33"/>
    </row>
    <row r="1539" spans="5:13">
      <c r="E1539" s="28"/>
      <c r="F1539" s="28"/>
      <c r="G1539" s="33"/>
      <c r="H1539" s="33"/>
      <c r="I1539" s="33"/>
      <c r="J1539" s="33"/>
      <c r="K1539" s="33"/>
      <c r="L1539" s="33"/>
      <c r="M1539" s="33"/>
    </row>
    <row r="1540" spans="5:13">
      <c r="E1540" s="28"/>
      <c r="F1540" s="28"/>
      <c r="G1540" s="33"/>
      <c r="H1540" s="33"/>
      <c r="I1540" s="33"/>
      <c r="J1540" s="33"/>
      <c r="K1540" s="33"/>
      <c r="L1540" s="33"/>
      <c r="M1540" s="33"/>
    </row>
    <row r="1541" spans="5:13">
      <c r="E1541" s="28"/>
      <c r="F1541" s="28"/>
      <c r="G1541" s="33"/>
      <c r="H1541" s="33"/>
      <c r="I1541" s="33"/>
      <c r="J1541" s="33"/>
      <c r="K1541" s="33"/>
      <c r="L1541" s="33"/>
      <c r="M1541" s="33"/>
    </row>
    <row r="1542" spans="5:13">
      <c r="E1542" s="28"/>
      <c r="F1542" s="28"/>
      <c r="G1542" s="33"/>
      <c r="H1542" s="33"/>
      <c r="I1542" s="33"/>
      <c r="J1542" s="33"/>
      <c r="K1542" s="33"/>
      <c r="L1542" s="33"/>
      <c r="M1542" s="33"/>
    </row>
    <row r="1543" spans="5:13">
      <c r="E1543" s="28"/>
      <c r="F1543" s="28"/>
      <c r="G1543" s="33"/>
      <c r="H1543" s="33"/>
      <c r="I1543" s="33"/>
      <c r="J1543" s="33"/>
      <c r="K1543" s="33"/>
      <c r="L1543" s="33"/>
      <c r="M1543" s="33"/>
    </row>
    <row r="1544" spans="5:13">
      <c r="E1544" s="28"/>
      <c r="F1544" s="28"/>
      <c r="G1544" s="33"/>
      <c r="H1544" s="33"/>
      <c r="I1544" s="33"/>
      <c r="J1544" s="33"/>
      <c r="K1544" s="33"/>
      <c r="L1544" s="33"/>
      <c r="M1544" s="33"/>
    </row>
    <row r="1545" spans="5:13">
      <c r="E1545" s="28"/>
      <c r="F1545" s="28"/>
      <c r="G1545" s="33"/>
      <c r="H1545" s="33"/>
      <c r="I1545" s="33"/>
      <c r="J1545" s="33"/>
      <c r="K1545" s="33"/>
      <c r="L1545" s="33"/>
      <c r="M1545" s="33"/>
    </row>
    <row r="1546" spans="5:13">
      <c r="E1546" s="28"/>
      <c r="F1546" s="28"/>
      <c r="G1546" s="33"/>
      <c r="H1546" s="33"/>
      <c r="I1546" s="33"/>
      <c r="J1546" s="33"/>
      <c r="K1546" s="33"/>
      <c r="L1546" s="33"/>
      <c r="M1546" s="33"/>
    </row>
    <row r="1547" spans="5:13">
      <c r="E1547" s="28"/>
      <c r="F1547" s="28"/>
      <c r="G1547" s="33"/>
      <c r="H1547" s="33"/>
      <c r="I1547" s="33"/>
      <c r="J1547" s="33"/>
      <c r="K1547" s="33"/>
      <c r="L1547" s="33"/>
      <c r="M1547" s="33"/>
    </row>
    <row r="1548" spans="5:13">
      <c r="E1548" s="28"/>
      <c r="F1548" s="28"/>
      <c r="G1548" s="33"/>
      <c r="H1548" s="33"/>
      <c r="I1548" s="33"/>
      <c r="J1548" s="33"/>
      <c r="K1548" s="33"/>
      <c r="L1548" s="33"/>
      <c r="M1548" s="33"/>
    </row>
    <row r="1549" spans="5:13">
      <c r="E1549" s="28"/>
      <c r="F1549" s="28"/>
      <c r="G1549" s="33"/>
      <c r="H1549" s="33"/>
      <c r="I1549" s="33"/>
      <c r="J1549" s="33"/>
      <c r="K1549" s="33"/>
      <c r="L1549" s="33"/>
      <c r="M1549" s="33"/>
    </row>
    <row r="1550" spans="5:13">
      <c r="E1550" s="28"/>
      <c r="F1550" s="28"/>
      <c r="G1550" s="33"/>
      <c r="H1550" s="33"/>
      <c r="I1550" s="33"/>
      <c r="J1550" s="33"/>
      <c r="K1550" s="33"/>
      <c r="L1550" s="33"/>
      <c r="M1550" s="33"/>
    </row>
    <row r="1551" spans="5:13">
      <c r="E1551" s="28"/>
      <c r="F1551" s="28"/>
      <c r="G1551" s="33"/>
      <c r="H1551" s="33"/>
      <c r="I1551" s="33"/>
      <c r="J1551" s="33"/>
      <c r="K1551" s="33"/>
      <c r="L1551" s="33"/>
      <c r="M1551" s="33"/>
    </row>
    <row r="1552" spans="5:13">
      <c r="E1552" s="28"/>
      <c r="F1552" s="28"/>
      <c r="G1552" s="33"/>
      <c r="H1552" s="33"/>
      <c r="I1552" s="33"/>
      <c r="J1552" s="33"/>
      <c r="K1552" s="33"/>
      <c r="L1552" s="33"/>
      <c r="M1552" s="33"/>
    </row>
    <row r="1553" spans="5:13">
      <c r="E1553" s="28"/>
      <c r="F1553" s="28"/>
      <c r="G1553" s="33"/>
      <c r="H1553" s="33"/>
      <c r="I1553" s="33"/>
      <c r="J1553" s="33"/>
      <c r="K1553" s="33"/>
      <c r="L1553" s="33"/>
      <c r="M1553" s="33"/>
    </row>
    <row r="1554" spans="5:13">
      <c r="E1554" s="28"/>
      <c r="F1554" s="28"/>
      <c r="G1554" s="33"/>
      <c r="H1554" s="33"/>
      <c r="I1554" s="33"/>
      <c r="J1554" s="33"/>
      <c r="K1554" s="33"/>
      <c r="L1554" s="33"/>
      <c r="M1554" s="33"/>
    </row>
    <row r="1555" spans="5:13">
      <c r="E1555" s="28"/>
      <c r="F1555" s="28"/>
      <c r="G1555" s="33"/>
      <c r="H1555" s="33"/>
      <c r="I1555" s="33"/>
      <c r="J1555" s="33"/>
      <c r="K1555" s="33"/>
      <c r="L1555" s="33"/>
      <c r="M1555" s="33"/>
    </row>
    <row r="1556" spans="5:13">
      <c r="E1556" s="28"/>
      <c r="F1556" s="28"/>
      <c r="G1556" s="33"/>
      <c r="H1556" s="33"/>
      <c r="I1556" s="33"/>
      <c r="J1556" s="33"/>
      <c r="K1556" s="33"/>
      <c r="L1556" s="33"/>
      <c r="M1556" s="33"/>
    </row>
    <row r="1557" spans="5:13">
      <c r="E1557" s="28"/>
      <c r="F1557" s="28"/>
      <c r="G1557" s="33"/>
      <c r="H1557" s="33"/>
      <c r="I1557" s="33"/>
      <c r="J1557" s="33"/>
      <c r="K1557" s="33"/>
      <c r="L1557" s="33"/>
      <c r="M1557" s="33"/>
    </row>
    <row r="1558" spans="5:13">
      <c r="E1558" s="28"/>
      <c r="F1558" s="28"/>
      <c r="G1558" s="33"/>
      <c r="H1558" s="33"/>
      <c r="I1558" s="33"/>
      <c r="J1558" s="33"/>
      <c r="K1558" s="33"/>
      <c r="L1558" s="33"/>
      <c r="M1558" s="33"/>
    </row>
    <row r="1559" spans="5:13">
      <c r="E1559" s="28"/>
      <c r="F1559" s="28"/>
      <c r="G1559" s="33"/>
      <c r="H1559" s="33"/>
      <c r="I1559" s="33"/>
      <c r="J1559" s="33"/>
      <c r="K1559" s="33"/>
      <c r="L1559" s="33"/>
      <c r="M1559" s="33"/>
    </row>
    <row r="1560" spans="5:13">
      <c r="E1560" s="28"/>
      <c r="F1560" s="28"/>
      <c r="G1560" s="33"/>
      <c r="H1560" s="33"/>
      <c r="I1560" s="33"/>
      <c r="J1560" s="33"/>
      <c r="K1560" s="33"/>
      <c r="L1560" s="33"/>
      <c r="M1560" s="33"/>
    </row>
    <row r="1561" spans="5:13">
      <c r="E1561" s="28"/>
      <c r="F1561" s="28"/>
      <c r="G1561" s="33"/>
      <c r="H1561" s="33"/>
      <c r="I1561" s="33"/>
      <c r="J1561" s="33"/>
      <c r="K1561" s="33"/>
      <c r="L1561" s="33"/>
      <c r="M1561" s="33"/>
    </row>
    <row r="1562" spans="5:13">
      <c r="E1562" s="28"/>
      <c r="F1562" s="28"/>
      <c r="G1562" s="33"/>
      <c r="H1562" s="33"/>
      <c r="I1562" s="33"/>
      <c r="J1562" s="33"/>
      <c r="K1562" s="33"/>
      <c r="L1562" s="33"/>
      <c r="M1562" s="33"/>
    </row>
    <row r="1563" spans="5:13">
      <c r="E1563" s="28"/>
      <c r="F1563" s="28"/>
      <c r="G1563" s="33"/>
      <c r="H1563" s="33"/>
      <c r="I1563" s="33"/>
      <c r="J1563" s="33"/>
      <c r="K1563" s="33"/>
      <c r="L1563" s="33"/>
      <c r="M1563" s="33"/>
    </row>
    <row r="1564" spans="5:13">
      <c r="E1564" s="28"/>
      <c r="F1564" s="28"/>
      <c r="G1564" s="33"/>
      <c r="H1564" s="33"/>
      <c r="I1564" s="33"/>
      <c r="J1564" s="33"/>
      <c r="K1564" s="33"/>
      <c r="L1564" s="33"/>
      <c r="M1564" s="33"/>
    </row>
    <row r="1565" spans="5:13">
      <c r="E1565" s="28"/>
      <c r="F1565" s="28"/>
      <c r="G1565" s="33"/>
      <c r="H1565" s="33"/>
      <c r="I1565" s="33"/>
      <c r="J1565" s="33"/>
      <c r="K1565" s="33"/>
      <c r="L1565" s="33"/>
      <c r="M1565" s="33"/>
    </row>
    <row r="1566" spans="5:13">
      <c r="E1566" s="28"/>
      <c r="F1566" s="28"/>
      <c r="G1566" s="33"/>
      <c r="H1566" s="33"/>
      <c r="I1566" s="33"/>
      <c r="J1566" s="33"/>
      <c r="K1566" s="33"/>
      <c r="L1566" s="33"/>
      <c r="M1566" s="33"/>
    </row>
    <row r="1567" spans="5:13">
      <c r="E1567" s="28"/>
      <c r="F1567" s="28"/>
      <c r="G1567" s="33"/>
      <c r="H1567" s="33"/>
      <c r="I1567" s="33"/>
      <c r="J1567" s="33"/>
      <c r="K1567" s="33"/>
      <c r="L1567" s="33"/>
      <c r="M1567" s="33"/>
    </row>
    <row r="1568" spans="5:13">
      <c r="E1568" s="28"/>
      <c r="F1568" s="28"/>
      <c r="G1568" s="33"/>
      <c r="H1568" s="33"/>
      <c r="I1568" s="33"/>
      <c r="J1568" s="33"/>
      <c r="K1568" s="33"/>
      <c r="L1568" s="33"/>
      <c r="M1568" s="33"/>
    </row>
    <row r="1569" spans="5:13">
      <c r="E1569" s="28"/>
      <c r="F1569" s="28"/>
      <c r="G1569" s="33"/>
      <c r="H1569" s="33"/>
      <c r="I1569" s="33"/>
      <c r="J1569" s="33"/>
      <c r="K1569" s="33"/>
      <c r="L1569" s="33"/>
      <c r="M1569" s="33"/>
    </row>
    <row r="1570" spans="5:13">
      <c r="E1570" s="28"/>
      <c r="F1570" s="28"/>
      <c r="G1570" s="33"/>
      <c r="H1570" s="33"/>
      <c r="I1570" s="33"/>
      <c r="J1570" s="33"/>
      <c r="K1570" s="33"/>
      <c r="L1570" s="33"/>
      <c r="M1570" s="33"/>
    </row>
    <row r="1571" spans="5:13">
      <c r="E1571" s="28"/>
      <c r="F1571" s="28"/>
      <c r="G1571" s="33"/>
      <c r="H1571" s="33"/>
      <c r="I1571" s="33"/>
      <c r="J1571" s="33"/>
      <c r="K1571" s="33"/>
      <c r="L1571" s="33"/>
      <c r="M1571" s="33"/>
    </row>
    <row r="1572" spans="5:13">
      <c r="E1572" s="28"/>
      <c r="F1572" s="28"/>
      <c r="G1572" s="33"/>
      <c r="H1572" s="33"/>
      <c r="I1572" s="33"/>
      <c r="J1572" s="33"/>
      <c r="K1572" s="33"/>
      <c r="L1572" s="33"/>
      <c r="M1572" s="33"/>
    </row>
    <row r="1573" spans="5:13">
      <c r="E1573" s="28"/>
      <c r="F1573" s="28"/>
      <c r="G1573" s="33"/>
      <c r="H1573" s="33"/>
      <c r="I1573" s="33"/>
      <c r="J1573" s="33"/>
      <c r="K1573" s="33"/>
      <c r="L1573" s="33"/>
      <c r="M1573" s="33"/>
    </row>
    <row r="1574" spans="5:13">
      <c r="E1574" s="28"/>
      <c r="F1574" s="28"/>
      <c r="G1574" s="33"/>
      <c r="H1574" s="33"/>
      <c r="I1574" s="33"/>
      <c r="J1574" s="33"/>
      <c r="K1574" s="33"/>
      <c r="L1574" s="33"/>
      <c r="M1574" s="33"/>
    </row>
    <row r="1575" spans="5:13">
      <c r="E1575" s="28"/>
      <c r="F1575" s="28"/>
      <c r="G1575" s="33"/>
      <c r="H1575" s="33"/>
      <c r="I1575" s="33"/>
      <c r="J1575" s="33"/>
      <c r="K1575" s="33"/>
      <c r="L1575" s="33"/>
      <c r="M1575" s="33"/>
    </row>
    <row r="1576" spans="5:13">
      <c r="E1576" s="28"/>
      <c r="F1576" s="28"/>
      <c r="G1576" s="33"/>
      <c r="H1576" s="33"/>
      <c r="I1576" s="33"/>
      <c r="J1576" s="33"/>
      <c r="K1576" s="33"/>
      <c r="L1576" s="33"/>
      <c r="M1576" s="33"/>
    </row>
    <row r="1577" spans="5:13">
      <c r="E1577" s="28"/>
      <c r="F1577" s="28"/>
      <c r="G1577" s="33"/>
      <c r="H1577" s="33"/>
      <c r="I1577" s="33"/>
      <c r="J1577" s="33"/>
      <c r="K1577" s="33"/>
      <c r="L1577" s="33"/>
      <c r="M1577" s="33"/>
    </row>
    <row r="1578" spans="5:13">
      <c r="E1578" s="28"/>
      <c r="F1578" s="28"/>
      <c r="G1578" s="33"/>
      <c r="H1578" s="33"/>
      <c r="I1578" s="33"/>
      <c r="J1578" s="33"/>
      <c r="K1578" s="33"/>
      <c r="L1578" s="33"/>
      <c r="M1578" s="33"/>
    </row>
    <row r="1579" spans="5:13">
      <c r="E1579" s="28"/>
      <c r="F1579" s="28"/>
      <c r="G1579" s="33"/>
      <c r="H1579" s="33"/>
      <c r="I1579" s="33"/>
      <c r="J1579" s="33"/>
      <c r="K1579" s="33"/>
      <c r="L1579" s="33"/>
      <c r="M1579" s="33"/>
    </row>
    <row r="1580" spans="5:13">
      <c r="E1580" s="28"/>
      <c r="F1580" s="28"/>
      <c r="G1580" s="33"/>
      <c r="H1580" s="33"/>
      <c r="I1580" s="33"/>
      <c r="J1580" s="33"/>
      <c r="K1580" s="33"/>
      <c r="L1580" s="33"/>
      <c r="M1580" s="33"/>
    </row>
    <row r="1581" spans="5:13">
      <c r="E1581" s="28"/>
      <c r="F1581" s="28"/>
      <c r="G1581" s="33"/>
      <c r="H1581" s="33"/>
      <c r="I1581" s="33"/>
      <c r="J1581" s="33"/>
      <c r="K1581" s="33"/>
      <c r="L1581" s="33"/>
      <c r="M1581" s="33"/>
    </row>
    <row r="1582" spans="5:13">
      <c r="E1582" s="28"/>
      <c r="F1582" s="28"/>
      <c r="G1582" s="33"/>
      <c r="H1582" s="33"/>
      <c r="I1582" s="33"/>
      <c r="J1582" s="33"/>
      <c r="K1582" s="33"/>
      <c r="L1582" s="33"/>
      <c r="M1582" s="33"/>
    </row>
    <row r="1583" spans="5:13">
      <c r="E1583" s="28"/>
      <c r="F1583" s="28"/>
      <c r="G1583" s="33"/>
      <c r="H1583" s="33"/>
      <c r="I1583" s="33"/>
      <c r="J1583" s="33"/>
      <c r="K1583" s="33"/>
      <c r="L1583" s="33"/>
      <c r="M1583" s="33"/>
    </row>
    <row r="1584" spans="5:13">
      <c r="E1584" s="28"/>
      <c r="F1584" s="28"/>
      <c r="G1584" s="33"/>
      <c r="H1584" s="33"/>
      <c r="I1584" s="33"/>
      <c r="J1584" s="33"/>
      <c r="K1584" s="33"/>
      <c r="L1584" s="33"/>
      <c r="M1584" s="33"/>
    </row>
    <row r="1585" spans="5:13">
      <c r="E1585" s="28"/>
      <c r="F1585" s="28"/>
      <c r="G1585" s="33"/>
      <c r="H1585" s="33"/>
      <c r="I1585" s="33"/>
      <c r="J1585" s="33"/>
      <c r="K1585" s="33"/>
      <c r="L1585" s="33"/>
      <c r="M1585" s="33"/>
    </row>
    <row r="1586" spans="5:13">
      <c r="E1586" s="28"/>
      <c r="F1586" s="28"/>
      <c r="G1586" s="33"/>
      <c r="H1586" s="33"/>
      <c r="I1586" s="33"/>
      <c r="J1586" s="33"/>
      <c r="K1586" s="33"/>
      <c r="L1586" s="33"/>
      <c r="M1586" s="33"/>
    </row>
    <row r="1587" spans="5:13">
      <c r="E1587" s="28"/>
      <c r="F1587" s="28"/>
      <c r="G1587" s="33"/>
      <c r="H1587" s="33"/>
      <c r="I1587" s="33"/>
      <c r="J1587" s="33"/>
      <c r="K1587" s="33"/>
      <c r="L1587" s="33"/>
      <c r="M1587" s="33"/>
    </row>
    <row r="1588" spans="5:13">
      <c r="E1588" s="28"/>
      <c r="F1588" s="28"/>
      <c r="G1588" s="33"/>
      <c r="H1588" s="33"/>
      <c r="I1588" s="33"/>
      <c r="J1588" s="33"/>
      <c r="K1588" s="33"/>
      <c r="L1588" s="33"/>
      <c r="M1588" s="33"/>
    </row>
    <row r="1589" spans="5:13">
      <c r="E1589" s="28"/>
      <c r="F1589" s="28"/>
      <c r="G1589" s="33"/>
      <c r="H1589" s="33"/>
      <c r="I1589" s="33"/>
      <c r="J1589" s="33"/>
      <c r="K1589" s="33"/>
      <c r="L1589" s="33"/>
      <c r="M1589" s="33"/>
    </row>
    <row r="1590" spans="5:13">
      <c r="E1590" s="32"/>
      <c r="F1590" s="32"/>
      <c r="G1590" s="31"/>
      <c r="H1590" s="31"/>
      <c r="I1590" s="31"/>
      <c r="J1590" s="31"/>
      <c r="K1590" s="31"/>
      <c r="L1590" s="31"/>
      <c r="M1590" s="31"/>
    </row>
  </sheetData>
  <mergeCells count="26">
    <mergeCell ref="B33:K33"/>
    <mergeCell ref="B35:AC35"/>
    <mergeCell ref="B37:AC37"/>
    <mergeCell ref="F28:AC28"/>
    <mergeCell ref="F29:AC29"/>
    <mergeCell ref="L31:AC31"/>
    <mergeCell ref="B18:AC18"/>
    <mergeCell ref="B20:K20"/>
    <mergeCell ref="B27:K27"/>
    <mergeCell ref="B31:K31"/>
    <mergeCell ref="F21:K21"/>
    <mergeCell ref="F22:K22"/>
    <mergeCell ref="F23:K23"/>
    <mergeCell ref="F24:K24"/>
    <mergeCell ref="F25:K25"/>
    <mergeCell ref="B8:E8"/>
    <mergeCell ref="B9:E9"/>
    <mergeCell ref="B10:E10"/>
    <mergeCell ref="B16:AC16"/>
    <mergeCell ref="B1:AC1"/>
    <mergeCell ref="B3:AC3"/>
    <mergeCell ref="B6:E6"/>
    <mergeCell ref="F7:N7"/>
    <mergeCell ref="B7:E7"/>
    <mergeCell ref="B14:AC14"/>
    <mergeCell ref="F10:AC10"/>
  </mergeCells>
  <phoneticPr fontId="1" type="noConversion"/>
  <printOptions horizontalCentered="1" verticalCentered="1"/>
  <pageMargins left="0.25" right="0.25" top="0.75" bottom="0.75" header="0.3" footer="0.3"/>
  <pageSetup paperSize="9" scale="8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6"/>
  <sheetViews>
    <sheetView tabSelected="1" view="pageBreakPreview" zoomScaleNormal="100" zoomScaleSheetLayoutView="100" workbookViewId="0">
      <selection activeCell="C14" sqref="C14"/>
    </sheetView>
  </sheetViews>
  <sheetFormatPr defaultColWidth="11.44140625" defaultRowHeight="13.5"/>
  <cols>
    <col min="1" max="1" width="8.77734375" style="109" customWidth="1"/>
    <col min="2" max="3" width="10.77734375" style="109" customWidth="1"/>
    <col min="4" max="4" width="9.77734375" style="109" customWidth="1"/>
    <col min="5" max="6" width="5.77734375" style="110" customWidth="1"/>
    <col min="7" max="7" width="9.77734375" style="109" customWidth="1"/>
    <col min="8" max="8" width="12.77734375" style="109" customWidth="1"/>
    <col min="9" max="9" width="14.77734375" style="111" customWidth="1"/>
    <col min="10" max="256" width="8.77734375" style="109" customWidth="1"/>
    <col min="257" max="16384" width="11.44140625" style="109"/>
  </cols>
  <sheetData>
    <row r="1" spans="2:9" s="1" customFormat="1" ht="39" customHeight="1">
      <c r="B1" s="142" t="s">
        <v>99</v>
      </c>
      <c r="C1" s="142"/>
      <c r="D1" s="142"/>
      <c r="E1" s="142"/>
      <c r="F1" s="142"/>
      <c r="G1" s="142"/>
      <c r="H1" s="142"/>
      <c r="I1" s="142"/>
    </row>
    <row r="2" spans="2:9" s="1" customFormat="1" ht="18" customHeight="1" thickBot="1">
      <c r="B2" s="51"/>
      <c r="C2" s="51"/>
      <c r="D2" s="51"/>
      <c r="E2" s="51"/>
      <c r="F2" s="51"/>
      <c r="G2" s="51"/>
      <c r="H2" s="143"/>
      <c r="I2" s="143"/>
    </row>
    <row r="3" spans="2:9" s="52" customFormat="1" ht="34.5" customHeight="1" thickBot="1">
      <c r="B3" s="144" t="s">
        <v>62</v>
      </c>
      <c r="C3" s="145"/>
      <c r="D3" s="146" t="str">
        <f>"일금"&amp;NUMBERSTRING(H29,1)&amp;"원정 ("&amp;DOLLAR(H29,0)&amp;")-VAT별도"</f>
        <v>일금일백팔십만원정 (₩1,800,000)-VAT별도</v>
      </c>
      <c r="E3" s="147"/>
      <c r="F3" s="147"/>
      <c r="G3" s="147"/>
      <c r="H3" s="147"/>
      <c r="I3" s="148"/>
    </row>
    <row r="4" spans="2:9" s="52" customFormat="1" ht="38.25" hidden="1" customHeight="1">
      <c r="B4" s="149" t="s">
        <v>63</v>
      </c>
      <c r="C4" s="150"/>
      <c r="D4" s="151" t="str">
        <f>"일금 "&amp;NUMBERSTRING(H29,1)&amp;"원정"&amp;TEXT(H29,"(￦ #,##0)")&amp;" "</f>
        <v xml:space="preserve">일금 일백팔십만원정(₩ 1,800,000) </v>
      </c>
      <c r="E4" s="152"/>
      <c r="F4" s="152"/>
      <c r="G4" s="152"/>
      <c r="H4" s="152"/>
      <c r="I4" s="153"/>
    </row>
    <row r="5" spans="2:9" s="52" customFormat="1" ht="38.25" hidden="1" customHeight="1" thickBot="1">
      <c r="B5" s="159" t="s">
        <v>64</v>
      </c>
      <c r="C5" s="160"/>
      <c r="D5" s="161" t="e">
        <f>"일금 "&amp;NUMBERSTRING(H30,1)&amp;"원정"&amp;TEXT(H30,"(￦ #,##0)")&amp;" "</f>
        <v>#VALUE!</v>
      </c>
      <c r="E5" s="162"/>
      <c r="F5" s="162"/>
      <c r="G5" s="162"/>
      <c r="H5" s="162"/>
      <c r="I5" s="163"/>
    </row>
    <row r="6" spans="2:9" s="52" customFormat="1" ht="31.5" customHeight="1" thickBot="1">
      <c r="B6" s="164" t="s">
        <v>65</v>
      </c>
      <c r="C6" s="165"/>
      <c r="D6" s="165"/>
      <c r="E6" s="165"/>
      <c r="F6" s="165"/>
      <c r="G6" s="165"/>
      <c r="H6" s="165"/>
      <c r="I6" s="166"/>
    </row>
    <row r="7" spans="2:9" s="53" customFormat="1" ht="30" customHeight="1" thickBot="1">
      <c r="B7" s="167" t="s">
        <v>66</v>
      </c>
      <c r="C7" s="168"/>
      <c r="D7" s="49" t="s">
        <v>67</v>
      </c>
      <c r="E7" s="49" t="s">
        <v>69</v>
      </c>
      <c r="F7" s="49" t="s">
        <v>41</v>
      </c>
      <c r="G7" s="49" t="s">
        <v>68</v>
      </c>
      <c r="H7" s="49" t="s">
        <v>70</v>
      </c>
      <c r="I7" s="7" t="s">
        <v>71</v>
      </c>
    </row>
    <row r="8" spans="2:9" s="53" customFormat="1" ht="27.95" customHeight="1">
      <c r="B8" s="169" t="s">
        <v>169</v>
      </c>
      <c r="C8" s="170"/>
      <c r="D8" s="8"/>
      <c r="E8" s="8"/>
      <c r="F8" s="8"/>
      <c r="G8" s="8"/>
      <c r="H8" s="54">
        <f>INT(SUM(H9,H10,H11,H12,H13,H14,H15,H16))</f>
        <v>1328145</v>
      </c>
      <c r="I8" s="14" t="s">
        <v>72</v>
      </c>
    </row>
    <row r="9" spans="2:9" s="53" customFormat="1" ht="18" customHeight="1">
      <c r="B9" s="55"/>
      <c r="C9" s="56" t="s">
        <v>171</v>
      </c>
      <c r="D9" s="57" t="s">
        <v>73</v>
      </c>
      <c r="E9" s="57" t="s">
        <v>74</v>
      </c>
      <c r="F9" s="57">
        <v>0</v>
      </c>
      <c r="G9" s="9">
        <v>373353</v>
      </c>
      <c r="H9" s="10">
        <f>G9*F9</f>
        <v>0</v>
      </c>
      <c r="I9" s="58"/>
    </row>
    <row r="10" spans="2:9" s="53" customFormat="1" ht="18" customHeight="1">
      <c r="B10" s="59"/>
      <c r="C10" s="60"/>
      <c r="D10" s="61" t="s">
        <v>75</v>
      </c>
      <c r="E10" s="61" t="s">
        <v>74</v>
      </c>
      <c r="F10" s="62">
        <v>1</v>
      </c>
      <c r="G10" s="11">
        <v>310884</v>
      </c>
      <c r="H10" s="10">
        <f t="shared" ref="H10:H16" si="0">G10*F10</f>
        <v>310884</v>
      </c>
      <c r="I10" s="58"/>
    </row>
    <row r="11" spans="2:9" s="53" customFormat="1" ht="18" customHeight="1">
      <c r="B11" s="59"/>
      <c r="C11" s="60"/>
      <c r="D11" s="61" t="s">
        <v>76</v>
      </c>
      <c r="E11" s="61" t="s">
        <v>74</v>
      </c>
      <c r="F11" s="62">
        <v>0</v>
      </c>
      <c r="G11" s="11">
        <v>295138</v>
      </c>
      <c r="H11" s="10">
        <f t="shared" si="0"/>
        <v>0</v>
      </c>
      <c r="I11" s="58"/>
    </row>
    <row r="12" spans="2:9" s="53" customFormat="1" ht="18" customHeight="1">
      <c r="B12" s="59"/>
      <c r="C12" s="60"/>
      <c r="D12" s="61" t="s">
        <v>77</v>
      </c>
      <c r="E12" s="61" t="s">
        <v>74</v>
      </c>
      <c r="F12" s="62">
        <v>1</v>
      </c>
      <c r="G12" s="11">
        <v>235459</v>
      </c>
      <c r="H12" s="10">
        <f t="shared" si="0"/>
        <v>235459</v>
      </c>
      <c r="I12" s="58"/>
    </row>
    <row r="13" spans="2:9" s="53" customFormat="1" ht="18" customHeight="1">
      <c r="B13" s="63"/>
      <c r="C13" s="64" t="s">
        <v>172</v>
      </c>
      <c r="D13" s="61" t="s">
        <v>73</v>
      </c>
      <c r="E13" s="61" t="s">
        <v>74</v>
      </c>
      <c r="F13" s="62">
        <v>0</v>
      </c>
      <c r="G13" s="15">
        <v>373353</v>
      </c>
      <c r="H13" s="10">
        <f t="shared" si="0"/>
        <v>0</v>
      </c>
      <c r="I13" s="58"/>
    </row>
    <row r="14" spans="2:9" s="53" customFormat="1" ht="18" customHeight="1">
      <c r="B14" s="59"/>
      <c r="C14" s="60"/>
      <c r="D14" s="61" t="s">
        <v>75</v>
      </c>
      <c r="E14" s="61" t="s">
        <v>74</v>
      </c>
      <c r="F14" s="62">
        <v>1</v>
      </c>
      <c r="G14" s="11">
        <v>310884</v>
      </c>
      <c r="H14" s="10">
        <f t="shared" si="0"/>
        <v>310884</v>
      </c>
      <c r="I14" s="58"/>
    </row>
    <row r="15" spans="2:9" s="53" customFormat="1" ht="18" customHeight="1">
      <c r="B15" s="59"/>
      <c r="C15" s="60"/>
      <c r="D15" s="61" t="s">
        <v>76</v>
      </c>
      <c r="E15" s="61" t="s">
        <v>74</v>
      </c>
      <c r="F15" s="62">
        <v>0</v>
      </c>
      <c r="G15" s="11">
        <v>295138</v>
      </c>
      <c r="H15" s="10">
        <f t="shared" si="0"/>
        <v>0</v>
      </c>
      <c r="I15" s="58"/>
    </row>
    <row r="16" spans="2:9" s="53" customFormat="1" ht="18" customHeight="1">
      <c r="B16" s="59"/>
      <c r="C16" s="60"/>
      <c r="D16" s="61" t="s">
        <v>77</v>
      </c>
      <c r="E16" s="61" t="s">
        <v>74</v>
      </c>
      <c r="F16" s="62">
        <v>2</v>
      </c>
      <c r="G16" s="11">
        <v>235459</v>
      </c>
      <c r="H16" s="10">
        <f t="shared" si="0"/>
        <v>470918</v>
      </c>
      <c r="I16" s="58"/>
    </row>
    <row r="17" spans="2:13" s="53" customFormat="1" ht="27.95" customHeight="1">
      <c r="B17" s="171" t="s">
        <v>78</v>
      </c>
      <c r="C17" s="172"/>
      <c r="D17" s="65"/>
      <c r="E17" s="67" t="s">
        <v>79</v>
      </c>
      <c r="F17" s="67">
        <v>10</v>
      </c>
      <c r="G17" s="66"/>
      <c r="H17" s="5">
        <f>ROUND(H8*F17%, 0)</f>
        <v>132815</v>
      </c>
      <c r="I17" s="68" t="s">
        <v>43</v>
      </c>
    </row>
    <row r="18" spans="2:13" s="53" customFormat="1" ht="27.95" customHeight="1">
      <c r="B18" s="171" t="s">
        <v>80</v>
      </c>
      <c r="C18" s="172"/>
      <c r="D18" s="65"/>
      <c r="E18" s="67" t="s">
        <v>79</v>
      </c>
      <c r="F18" s="67">
        <v>10</v>
      </c>
      <c r="G18" s="66"/>
      <c r="H18" s="6">
        <f>ROUND((H8+H17)*F18%, 0)</f>
        <v>146096</v>
      </c>
      <c r="I18" s="68" t="s">
        <v>44</v>
      </c>
    </row>
    <row r="19" spans="2:13" s="53" customFormat="1" ht="27.95" customHeight="1">
      <c r="B19" s="171" t="s">
        <v>81</v>
      </c>
      <c r="C19" s="172"/>
      <c r="D19" s="69"/>
      <c r="E19" s="71"/>
      <c r="F19" s="71"/>
      <c r="G19" s="70"/>
      <c r="H19" s="6">
        <f>INT(SUM(H21,H22,H23,H24,H25,))</f>
        <v>231041</v>
      </c>
      <c r="I19" s="68"/>
    </row>
    <row r="20" spans="2:13" s="53" customFormat="1" ht="18" customHeight="1">
      <c r="B20" s="72" t="s">
        <v>82</v>
      </c>
      <c r="C20" s="73"/>
      <c r="D20" s="73"/>
      <c r="E20" s="75"/>
      <c r="F20" s="75"/>
      <c r="G20" s="74"/>
      <c r="H20" s="12"/>
      <c r="I20" s="76"/>
    </row>
    <row r="21" spans="2:13" s="53" customFormat="1" ht="18" customHeight="1">
      <c r="B21" s="77" t="s">
        <v>83</v>
      </c>
      <c r="C21" s="78"/>
      <c r="D21" s="78"/>
      <c r="E21" s="57">
        <v>1</v>
      </c>
      <c r="F21" s="57">
        <v>2</v>
      </c>
      <c r="G21" s="79">
        <v>20000</v>
      </c>
      <c r="H21" s="121">
        <f>G21*F21</f>
        <v>40000</v>
      </c>
      <c r="I21" s="80"/>
      <c r="M21" s="81"/>
    </row>
    <row r="22" spans="2:13" s="53" customFormat="1" ht="18" customHeight="1">
      <c r="B22" s="82" t="s">
        <v>84</v>
      </c>
      <c r="C22" s="83"/>
      <c r="D22" s="83"/>
      <c r="E22" s="61">
        <v>1</v>
      </c>
      <c r="F22" s="57">
        <v>2</v>
      </c>
      <c r="G22" s="79">
        <v>20000</v>
      </c>
      <c r="H22" s="13">
        <f>G22*F22</f>
        <v>40000</v>
      </c>
      <c r="I22" s="80"/>
    </row>
    <row r="23" spans="2:13" s="53" customFormat="1" ht="18" customHeight="1">
      <c r="B23" s="82" t="s">
        <v>85</v>
      </c>
      <c r="C23" s="61"/>
      <c r="D23" s="83"/>
      <c r="E23" s="61" t="s">
        <v>79</v>
      </c>
      <c r="F23" s="86">
        <v>10</v>
      </c>
      <c r="G23" s="85"/>
      <c r="H23" s="84">
        <f>ROUND((SUM(H9:H12))*F23%, 0)</f>
        <v>54634</v>
      </c>
      <c r="I23" s="80" t="s">
        <v>86</v>
      </c>
    </row>
    <row r="24" spans="2:13" s="53" customFormat="1" ht="18" customHeight="1">
      <c r="B24" s="82" t="s">
        <v>87</v>
      </c>
      <c r="C24" s="61"/>
      <c r="D24" s="83"/>
      <c r="E24" s="61" t="s">
        <v>79</v>
      </c>
      <c r="F24" s="87">
        <v>5</v>
      </c>
      <c r="G24" s="85"/>
      <c r="H24" s="84">
        <f>ROUND(H8*F24%, 0)</f>
        <v>66407</v>
      </c>
      <c r="I24" s="80" t="s">
        <v>45</v>
      </c>
    </row>
    <row r="25" spans="2:13" s="53" customFormat="1" ht="18" customHeight="1">
      <c r="B25" s="88" t="s">
        <v>88</v>
      </c>
      <c r="C25" s="89"/>
      <c r="D25" s="90"/>
      <c r="E25" s="62" t="s">
        <v>89</v>
      </c>
      <c r="F25" s="92">
        <v>1</v>
      </c>
      <c r="G25" s="91">
        <v>30000</v>
      </c>
      <c r="H25" s="93">
        <f>G25*F25</f>
        <v>30000</v>
      </c>
      <c r="I25" s="58"/>
    </row>
    <row r="26" spans="2:13" s="53" customFormat="1" ht="27.95" customHeight="1">
      <c r="B26" s="173" t="s">
        <v>90</v>
      </c>
      <c r="C26" s="174"/>
      <c r="D26" s="65"/>
      <c r="E26" s="67"/>
      <c r="F26" s="67"/>
      <c r="G26" s="94"/>
      <c r="H26" s="95">
        <f>INT(SUM(H8,H17,H18,H19)*0)</f>
        <v>0</v>
      </c>
      <c r="I26" s="96" t="s">
        <v>91</v>
      </c>
    </row>
    <row r="27" spans="2:13" s="53" customFormat="1" ht="27.95" customHeight="1">
      <c r="B27" s="175" t="s">
        <v>170</v>
      </c>
      <c r="C27" s="176"/>
      <c r="D27" s="156" t="s">
        <v>92</v>
      </c>
      <c r="E27" s="157"/>
      <c r="F27" s="158"/>
      <c r="G27" s="112"/>
      <c r="H27" s="97">
        <f>H8+H17+H18+H19</f>
        <v>1838097</v>
      </c>
      <c r="I27" s="98"/>
    </row>
    <row r="28" spans="2:13" s="53" customFormat="1" ht="18" customHeight="1">
      <c r="B28" s="154" t="s">
        <v>93</v>
      </c>
      <c r="C28" s="155"/>
      <c r="D28" s="156"/>
      <c r="E28" s="157"/>
      <c r="F28" s="158"/>
      <c r="G28" s="112"/>
      <c r="H28" s="97">
        <v>38097</v>
      </c>
      <c r="I28" s="99"/>
    </row>
    <row r="29" spans="2:13" s="53" customFormat="1" ht="18" customHeight="1">
      <c r="B29" s="177" t="s">
        <v>94</v>
      </c>
      <c r="C29" s="178"/>
      <c r="D29" s="179"/>
      <c r="E29" s="180"/>
      <c r="F29" s="181"/>
      <c r="G29" s="113"/>
      <c r="H29" s="100">
        <f>H27-H28</f>
        <v>1800000</v>
      </c>
      <c r="I29" s="101"/>
    </row>
    <row r="30" spans="2:13" s="53" customFormat="1" ht="18" customHeight="1">
      <c r="B30" s="154" t="s">
        <v>95</v>
      </c>
      <c r="C30" s="155"/>
      <c r="D30" s="156"/>
      <c r="E30" s="157"/>
      <c r="F30" s="158"/>
      <c r="G30" s="112"/>
      <c r="H30" s="102" t="s">
        <v>96</v>
      </c>
      <c r="I30" s="99"/>
    </row>
    <row r="31" spans="2:13" s="53" customFormat="1" ht="27.95" customHeight="1" thickBot="1">
      <c r="B31" s="182" t="s">
        <v>97</v>
      </c>
      <c r="C31" s="183"/>
      <c r="D31" s="184"/>
      <c r="E31" s="185"/>
      <c r="F31" s="186"/>
      <c r="G31" s="114"/>
      <c r="H31" s="103">
        <f>H29</f>
        <v>1800000</v>
      </c>
      <c r="I31" s="104" t="s">
        <v>98</v>
      </c>
    </row>
    <row r="32" spans="2:13" s="106" customFormat="1" ht="23.1" customHeight="1">
      <c r="B32" s="187"/>
      <c r="C32" s="188"/>
      <c r="D32" s="193" t="s">
        <v>1</v>
      </c>
      <c r="E32" s="193"/>
      <c r="F32" s="193"/>
      <c r="G32" s="193"/>
      <c r="H32" s="193"/>
      <c r="I32" s="105"/>
    </row>
    <row r="33" spans="2:9" s="106" customFormat="1" ht="23.1" customHeight="1">
      <c r="B33" s="189"/>
      <c r="C33" s="190"/>
      <c r="D33" s="194" t="s">
        <v>2</v>
      </c>
      <c r="E33" s="194"/>
      <c r="F33" s="194"/>
      <c r="G33" s="194"/>
      <c r="H33" s="194"/>
      <c r="I33" s="107" t="s">
        <v>3</v>
      </c>
    </row>
    <row r="34" spans="2:9" s="106" customFormat="1" ht="23.1" customHeight="1">
      <c r="B34" s="189"/>
      <c r="C34" s="190"/>
      <c r="D34" s="195" t="s">
        <v>4</v>
      </c>
      <c r="E34" s="195"/>
      <c r="F34" s="195"/>
      <c r="G34" s="195"/>
      <c r="H34" s="195"/>
      <c r="I34" s="107" t="s">
        <v>5</v>
      </c>
    </row>
    <row r="35" spans="2:9" s="106" customFormat="1" ht="23.1" customHeight="1">
      <c r="B35" s="189"/>
      <c r="C35" s="190"/>
      <c r="D35" s="194" t="s">
        <v>6</v>
      </c>
      <c r="E35" s="194"/>
      <c r="F35" s="194"/>
      <c r="G35" s="194"/>
      <c r="H35" s="194"/>
      <c r="I35" s="107" t="s">
        <v>7</v>
      </c>
    </row>
    <row r="36" spans="2:9" s="106" customFormat="1" ht="23.1" customHeight="1" thickBot="1">
      <c r="B36" s="191"/>
      <c r="C36" s="192"/>
      <c r="D36" s="196" t="s">
        <v>8</v>
      </c>
      <c r="E36" s="196"/>
      <c r="F36" s="196"/>
      <c r="G36" s="196"/>
      <c r="H36" s="196"/>
      <c r="I36" s="108" t="s">
        <v>9</v>
      </c>
    </row>
  </sheetData>
  <mergeCells count="31">
    <mergeCell ref="B32:C36"/>
    <mergeCell ref="D32:H32"/>
    <mergeCell ref="D33:H33"/>
    <mergeCell ref="D34:H34"/>
    <mergeCell ref="D35:H35"/>
    <mergeCell ref="D36:H36"/>
    <mergeCell ref="B29:C29"/>
    <mergeCell ref="D29:F29"/>
    <mergeCell ref="B30:C30"/>
    <mergeCell ref="D30:F30"/>
    <mergeCell ref="B31:C31"/>
    <mergeCell ref="D31:F31"/>
    <mergeCell ref="B28:C28"/>
    <mergeCell ref="D28:F28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1:I1"/>
    <mergeCell ref="H2:I2"/>
    <mergeCell ref="B3:C3"/>
    <mergeCell ref="D3:I3"/>
    <mergeCell ref="B4:C4"/>
    <mergeCell ref="D4:I4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5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U135"/>
  <sheetViews>
    <sheetView view="pageBreakPreview" zoomScaleNormal="100" zoomScaleSheetLayoutView="100" workbookViewId="0">
      <selection activeCell="B16" sqref="B16:U16"/>
    </sheetView>
  </sheetViews>
  <sheetFormatPr defaultColWidth="8.77734375" defaultRowHeight="13.5"/>
  <cols>
    <col min="2" max="6" width="4.33203125" customWidth="1"/>
    <col min="7" max="7" width="4.33203125" style="4" customWidth="1"/>
    <col min="8" max="9" width="4.33203125" style="17" customWidth="1"/>
    <col min="10" max="10" width="4.33203125" customWidth="1"/>
    <col min="11" max="11" width="4.33203125" style="3" customWidth="1"/>
    <col min="12" max="21" width="4.33203125" customWidth="1"/>
    <col min="24" max="24" width="11.44140625" bestFit="1" customWidth="1"/>
    <col min="258" max="263" width="3.77734375" customWidth="1"/>
    <col min="264" max="264" width="7" customWidth="1"/>
    <col min="265" max="268" width="3.77734375" customWidth="1"/>
    <col min="269" max="269" width="4.44140625" customWidth="1"/>
    <col min="270" max="275" width="3.77734375" customWidth="1"/>
    <col min="276" max="276" width="1.6640625" customWidth="1"/>
    <col min="277" max="277" width="3.77734375" customWidth="1"/>
    <col min="514" max="519" width="3.77734375" customWidth="1"/>
    <col min="520" max="520" width="7" customWidth="1"/>
    <col min="521" max="524" width="3.77734375" customWidth="1"/>
    <col min="525" max="525" width="4.44140625" customWidth="1"/>
    <col min="526" max="531" width="3.77734375" customWidth="1"/>
    <col min="532" max="532" width="1.6640625" customWidth="1"/>
    <col min="533" max="533" width="3.77734375" customWidth="1"/>
    <col min="770" max="775" width="3.77734375" customWidth="1"/>
    <col min="776" max="776" width="7" customWidth="1"/>
    <col min="777" max="780" width="3.77734375" customWidth="1"/>
    <col min="781" max="781" width="4.44140625" customWidth="1"/>
    <col min="782" max="787" width="3.77734375" customWidth="1"/>
    <col min="788" max="788" width="1.6640625" customWidth="1"/>
    <col min="789" max="789" width="3.77734375" customWidth="1"/>
    <col min="1026" max="1031" width="3.77734375" customWidth="1"/>
    <col min="1032" max="1032" width="7" customWidth="1"/>
    <col min="1033" max="1036" width="3.77734375" customWidth="1"/>
    <col min="1037" max="1037" width="4.44140625" customWidth="1"/>
    <col min="1038" max="1043" width="3.77734375" customWidth="1"/>
    <col min="1044" max="1044" width="1.6640625" customWidth="1"/>
    <col min="1045" max="1045" width="3.77734375" customWidth="1"/>
    <col min="1282" max="1287" width="3.77734375" customWidth="1"/>
    <col min="1288" max="1288" width="7" customWidth="1"/>
    <col min="1289" max="1292" width="3.77734375" customWidth="1"/>
    <col min="1293" max="1293" width="4.44140625" customWidth="1"/>
    <col min="1294" max="1299" width="3.77734375" customWidth="1"/>
    <col min="1300" max="1300" width="1.6640625" customWidth="1"/>
    <col min="1301" max="1301" width="3.77734375" customWidth="1"/>
    <col min="1538" max="1543" width="3.77734375" customWidth="1"/>
    <col min="1544" max="1544" width="7" customWidth="1"/>
    <col min="1545" max="1548" width="3.77734375" customWidth="1"/>
    <col min="1549" max="1549" width="4.44140625" customWidth="1"/>
    <col min="1550" max="1555" width="3.77734375" customWidth="1"/>
    <col min="1556" max="1556" width="1.6640625" customWidth="1"/>
    <col min="1557" max="1557" width="3.77734375" customWidth="1"/>
    <col min="1794" max="1799" width="3.77734375" customWidth="1"/>
    <col min="1800" max="1800" width="7" customWidth="1"/>
    <col min="1801" max="1804" width="3.77734375" customWidth="1"/>
    <col min="1805" max="1805" width="4.44140625" customWidth="1"/>
    <col min="1806" max="1811" width="3.77734375" customWidth="1"/>
    <col min="1812" max="1812" width="1.6640625" customWidth="1"/>
    <col min="1813" max="1813" width="3.77734375" customWidth="1"/>
    <col min="2050" max="2055" width="3.77734375" customWidth="1"/>
    <col min="2056" max="2056" width="7" customWidth="1"/>
    <col min="2057" max="2060" width="3.77734375" customWidth="1"/>
    <col min="2061" max="2061" width="4.44140625" customWidth="1"/>
    <col min="2062" max="2067" width="3.77734375" customWidth="1"/>
    <col min="2068" max="2068" width="1.6640625" customWidth="1"/>
    <col min="2069" max="2069" width="3.77734375" customWidth="1"/>
    <col min="2306" max="2311" width="3.77734375" customWidth="1"/>
    <col min="2312" max="2312" width="7" customWidth="1"/>
    <col min="2313" max="2316" width="3.77734375" customWidth="1"/>
    <col min="2317" max="2317" width="4.44140625" customWidth="1"/>
    <col min="2318" max="2323" width="3.77734375" customWidth="1"/>
    <col min="2324" max="2324" width="1.6640625" customWidth="1"/>
    <col min="2325" max="2325" width="3.77734375" customWidth="1"/>
    <col min="2562" max="2567" width="3.77734375" customWidth="1"/>
    <col min="2568" max="2568" width="7" customWidth="1"/>
    <col min="2569" max="2572" width="3.77734375" customWidth="1"/>
    <col min="2573" max="2573" width="4.44140625" customWidth="1"/>
    <col min="2574" max="2579" width="3.77734375" customWidth="1"/>
    <col min="2580" max="2580" width="1.6640625" customWidth="1"/>
    <col min="2581" max="2581" width="3.77734375" customWidth="1"/>
    <col min="2818" max="2823" width="3.77734375" customWidth="1"/>
    <col min="2824" max="2824" width="7" customWidth="1"/>
    <col min="2825" max="2828" width="3.77734375" customWidth="1"/>
    <col min="2829" max="2829" width="4.44140625" customWidth="1"/>
    <col min="2830" max="2835" width="3.77734375" customWidth="1"/>
    <col min="2836" max="2836" width="1.6640625" customWidth="1"/>
    <col min="2837" max="2837" width="3.77734375" customWidth="1"/>
    <col min="3074" max="3079" width="3.77734375" customWidth="1"/>
    <col min="3080" max="3080" width="7" customWidth="1"/>
    <col min="3081" max="3084" width="3.77734375" customWidth="1"/>
    <col min="3085" max="3085" width="4.44140625" customWidth="1"/>
    <col min="3086" max="3091" width="3.77734375" customWidth="1"/>
    <col min="3092" max="3092" width="1.6640625" customWidth="1"/>
    <col min="3093" max="3093" width="3.77734375" customWidth="1"/>
    <col min="3330" max="3335" width="3.77734375" customWidth="1"/>
    <col min="3336" max="3336" width="7" customWidth="1"/>
    <col min="3337" max="3340" width="3.77734375" customWidth="1"/>
    <col min="3341" max="3341" width="4.44140625" customWidth="1"/>
    <col min="3342" max="3347" width="3.77734375" customWidth="1"/>
    <col min="3348" max="3348" width="1.6640625" customWidth="1"/>
    <col min="3349" max="3349" width="3.77734375" customWidth="1"/>
    <col min="3586" max="3591" width="3.77734375" customWidth="1"/>
    <col min="3592" max="3592" width="7" customWidth="1"/>
    <col min="3593" max="3596" width="3.77734375" customWidth="1"/>
    <col min="3597" max="3597" width="4.44140625" customWidth="1"/>
    <col min="3598" max="3603" width="3.77734375" customWidth="1"/>
    <col min="3604" max="3604" width="1.6640625" customWidth="1"/>
    <col min="3605" max="3605" width="3.77734375" customWidth="1"/>
    <col min="3842" max="3847" width="3.77734375" customWidth="1"/>
    <col min="3848" max="3848" width="7" customWidth="1"/>
    <col min="3849" max="3852" width="3.77734375" customWidth="1"/>
    <col min="3853" max="3853" width="4.44140625" customWidth="1"/>
    <col min="3854" max="3859" width="3.77734375" customWidth="1"/>
    <col min="3860" max="3860" width="1.6640625" customWidth="1"/>
    <col min="3861" max="3861" width="3.77734375" customWidth="1"/>
    <col min="4098" max="4103" width="3.77734375" customWidth="1"/>
    <col min="4104" max="4104" width="7" customWidth="1"/>
    <col min="4105" max="4108" width="3.77734375" customWidth="1"/>
    <col min="4109" max="4109" width="4.44140625" customWidth="1"/>
    <col min="4110" max="4115" width="3.77734375" customWidth="1"/>
    <col min="4116" max="4116" width="1.6640625" customWidth="1"/>
    <col min="4117" max="4117" width="3.77734375" customWidth="1"/>
    <col min="4354" max="4359" width="3.77734375" customWidth="1"/>
    <col min="4360" max="4360" width="7" customWidth="1"/>
    <col min="4361" max="4364" width="3.77734375" customWidth="1"/>
    <col min="4365" max="4365" width="4.44140625" customWidth="1"/>
    <col min="4366" max="4371" width="3.77734375" customWidth="1"/>
    <col min="4372" max="4372" width="1.6640625" customWidth="1"/>
    <col min="4373" max="4373" width="3.77734375" customWidth="1"/>
    <col min="4610" max="4615" width="3.77734375" customWidth="1"/>
    <col min="4616" max="4616" width="7" customWidth="1"/>
    <col min="4617" max="4620" width="3.77734375" customWidth="1"/>
    <col min="4621" max="4621" width="4.44140625" customWidth="1"/>
    <col min="4622" max="4627" width="3.77734375" customWidth="1"/>
    <col min="4628" max="4628" width="1.6640625" customWidth="1"/>
    <col min="4629" max="4629" width="3.77734375" customWidth="1"/>
    <col min="4866" max="4871" width="3.77734375" customWidth="1"/>
    <col min="4872" max="4872" width="7" customWidth="1"/>
    <col min="4873" max="4876" width="3.77734375" customWidth="1"/>
    <col min="4877" max="4877" width="4.44140625" customWidth="1"/>
    <col min="4878" max="4883" width="3.77734375" customWidth="1"/>
    <col min="4884" max="4884" width="1.6640625" customWidth="1"/>
    <col min="4885" max="4885" width="3.77734375" customWidth="1"/>
    <col min="5122" max="5127" width="3.77734375" customWidth="1"/>
    <col min="5128" max="5128" width="7" customWidth="1"/>
    <col min="5129" max="5132" width="3.77734375" customWidth="1"/>
    <col min="5133" max="5133" width="4.44140625" customWidth="1"/>
    <col min="5134" max="5139" width="3.77734375" customWidth="1"/>
    <col min="5140" max="5140" width="1.6640625" customWidth="1"/>
    <col min="5141" max="5141" width="3.77734375" customWidth="1"/>
    <col min="5378" max="5383" width="3.77734375" customWidth="1"/>
    <col min="5384" max="5384" width="7" customWidth="1"/>
    <col min="5385" max="5388" width="3.77734375" customWidth="1"/>
    <col min="5389" max="5389" width="4.44140625" customWidth="1"/>
    <col min="5390" max="5395" width="3.77734375" customWidth="1"/>
    <col min="5396" max="5396" width="1.6640625" customWidth="1"/>
    <col min="5397" max="5397" width="3.77734375" customWidth="1"/>
    <col min="5634" max="5639" width="3.77734375" customWidth="1"/>
    <col min="5640" max="5640" width="7" customWidth="1"/>
    <col min="5641" max="5644" width="3.77734375" customWidth="1"/>
    <col min="5645" max="5645" width="4.44140625" customWidth="1"/>
    <col min="5646" max="5651" width="3.77734375" customWidth="1"/>
    <col min="5652" max="5652" width="1.6640625" customWidth="1"/>
    <col min="5653" max="5653" width="3.77734375" customWidth="1"/>
    <col min="5890" max="5895" width="3.77734375" customWidth="1"/>
    <col min="5896" max="5896" width="7" customWidth="1"/>
    <col min="5897" max="5900" width="3.77734375" customWidth="1"/>
    <col min="5901" max="5901" width="4.44140625" customWidth="1"/>
    <col min="5902" max="5907" width="3.77734375" customWidth="1"/>
    <col min="5908" max="5908" width="1.6640625" customWidth="1"/>
    <col min="5909" max="5909" width="3.77734375" customWidth="1"/>
    <col min="6146" max="6151" width="3.77734375" customWidth="1"/>
    <col min="6152" max="6152" width="7" customWidth="1"/>
    <col min="6153" max="6156" width="3.77734375" customWidth="1"/>
    <col min="6157" max="6157" width="4.44140625" customWidth="1"/>
    <col min="6158" max="6163" width="3.77734375" customWidth="1"/>
    <col min="6164" max="6164" width="1.6640625" customWidth="1"/>
    <col min="6165" max="6165" width="3.77734375" customWidth="1"/>
    <col min="6402" max="6407" width="3.77734375" customWidth="1"/>
    <col min="6408" max="6408" width="7" customWidth="1"/>
    <col min="6409" max="6412" width="3.77734375" customWidth="1"/>
    <col min="6413" max="6413" width="4.44140625" customWidth="1"/>
    <col min="6414" max="6419" width="3.77734375" customWidth="1"/>
    <col min="6420" max="6420" width="1.6640625" customWidth="1"/>
    <col min="6421" max="6421" width="3.77734375" customWidth="1"/>
    <col min="6658" max="6663" width="3.77734375" customWidth="1"/>
    <col min="6664" max="6664" width="7" customWidth="1"/>
    <col min="6665" max="6668" width="3.77734375" customWidth="1"/>
    <col min="6669" max="6669" width="4.44140625" customWidth="1"/>
    <col min="6670" max="6675" width="3.77734375" customWidth="1"/>
    <col min="6676" max="6676" width="1.6640625" customWidth="1"/>
    <col min="6677" max="6677" width="3.77734375" customWidth="1"/>
    <col min="6914" max="6919" width="3.77734375" customWidth="1"/>
    <col min="6920" max="6920" width="7" customWidth="1"/>
    <col min="6921" max="6924" width="3.77734375" customWidth="1"/>
    <col min="6925" max="6925" width="4.44140625" customWidth="1"/>
    <col min="6926" max="6931" width="3.77734375" customWidth="1"/>
    <col min="6932" max="6932" width="1.6640625" customWidth="1"/>
    <col min="6933" max="6933" width="3.77734375" customWidth="1"/>
    <col min="7170" max="7175" width="3.77734375" customWidth="1"/>
    <col min="7176" max="7176" width="7" customWidth="1"/>
    <col min="7177" max="7180" width="3.77734375" customWidth="1"/>
    <col min="7181" max="7181" width="4.44140625" customWidth="1"/>
    <col min="7182" max="7187" width="3.77734375" customWidth="1"/>
    <col min="7188" max="7188" width="1.6640625" customWidth="1"/>
    <col min="7189" max="7189" width="3.77734375" customWidth="1"/>
    <col min="7426" max="7431" width="3.77734375" customWidth="1"/>
    <col min="7432" max="7432" width="7" customWidth="1"/>
    <col min="7433" max="7436" width="3.77734375" customWidth="1"/>
    <col min="7437" max="7437" width="4.44140625" customWidth="1"/>
    <col min="7438" max="7443" width="3.77734375" customWidth="1"/>
    <col min="7444" max="7444" width="1.6640625" customWidth="1"/>
    <col min="7445" max="7445" width="3.77734375" customWidth="1"/>
    <col min="7682" max="7687" width="3.77734375" customWidth="1"/>
    <col min="7688" max="7688" width="7" customWidth="1"/>
    <col min="7689" max="7692" width="3.77734375" customWidth="1"/>
    <col min="7693" max="7693" width="4.44140625" customWidth="1"/>
    <col min="7694" max="7699" width="3.77734375" customWidth="1"/>
    <col min="7700" max="7700" width="1.6640625" customWidth="1"/>
    <col min="7701" max="7701" width="3.77734375" customWidth="1"/>
    <col min="7938" max="7943" width="3.77734375" customWidth="1"/>
    <col min="7944" max="7944" width="7" customWidth="1"/>
    <col min="7945" max="7948" width="3.77734375" customWidth="1"/>
    <col min="7949" max="7949" width="4.44140625" customWidth="1"/>
    <col min="7950" max="7955" width="3.77734375" customWidth="1"/>
    <col min="7956" max="7956" width="1.6640625" customWidth="1"/>
    <col min="7957" max="7957" width="3.77734375" customWidth="1"/>
    <col min="8194" max="8199" width="3.77734375" customWidth="1"/>
    <col min="8200" max="8200" width="7" customWidth="1"/>
    <col min="8201" max="8204" width="3.77734375" customWidth="1"/>
    <col min="8205" max="8205" width="4.44140625" customWidth="1"/>
    <col min="8206" max="8211" width="3.77734375" customWidth="1"/>
    <col min="8212" max="8212" width="1.6640625" customWidth="1"/>
    <col min="8213" max="8213" width="3.77734375" customWidth="1"/>
    <col min="8450" max="8455" width="3.77734375" customWidth="1"/>
    <col min="8456" max="8456" width="7" customWidth="1"/>
    <col min="8457" max="8460" width="3.77734375" customWidth="1"/>
    <col min="8461" max="8461" width="4.44140625" customWidth="1"/>
    <col min="8462" max="8467" width="3.77734375" customWidth="1"/>
    <col min="8468" max="8468" width="1.6640625" customWidth="1"/>
    <col min="8469" max="8469" width="3.77734375" customWidth="1"/>
    <col min="8706" max="8711" width="3.77734375" customWidth="1"/>
    <col min="8712" max="8712" width="7" customWidth="1"/>
    <col min="8713" max="8716" width="3.77734375" customWidth="1"/>
    <col min="8717" max="8717" width="4.44140625" customWidth="1"/>
    <col min="8718" max="8723" width="3.77734375" customWidth="1"/>
    <col min="8724" max="8724" width="1.6640625" customWidth="1"/>
    <col min="8725" max="8725" width="3.77734375" customWidth="1"/>
    <col min="8962" max="8967" width="3.77734375" customWidth="1"/>
    <col min="8968" max="8968" width="7" customWidth="1"/>
    <col min="8969" max="8972" width="3.77734375" customWidth="1"/>
    <col min="8973" max="8973" width="4.44140625" customWidth="1"/>
    <col min="8974" max="8979" width="3.77734375" customWidth="1"/>
    <col min="8980" max="8980" width="1.6640625" customWidth="1"/>
    <col min="8981" max="8981" width="3.77734375" customWidth="1"/>
    <col min="9218" max="9223" width="3.77734375" customWidth="1"/>
    <col min="9224" max="9224" width="7" customWidth="1"/>
    <col min="9225" max="9228" width="3.77734375" customWidth="1"/>
    <col min="9229" max="9229" width="4.44140625" customWidth="1"/>
    <col min="9230" max="9235" width="3.77734375" customWidth="1"/>
    <col min="9236" max="9236" width="1.6640625" customWidth="1"/>
    <col min="9237" max="9237" width="3.77734375" customWidth="1"/>
    <col min="9474" max="9479" width="3.77734375" customWidth="1"/>
    <col min="9480" max="9480" width="7" customWidth="1"/>
    <col min="9481" max="9484" width="3.77734375" customWidth="1"/>
    <col min="9485" max="9485" width="4.44140625" customWidth="1"/>
    <col min="9486" max="9491" width="3.77734375" customWidth="1"/>
    <col min="9492" max="9492" width="1.6640625" customWidth="1"/>
    <col min="9493" max="9493" width="3.77734375" customWidth="1"/>
    <col min="9730" max="9735" width="3.77734375" customWidth="1"/>
    <col min="9736" max="9736" width="7" customWidth="1"/>
    <col min="9737" max="9740" width="3.77734375" customWidth="1"/>
    <col min="9741" max="9741" width="4.44140625" customWidth="1"/>
    <col min="9742" max="9747" width="3.77734375" customWidth="1"/>
    <col min="9748" max="9748" width="1.6640625" customWidth="1"/>
    <col min="9749" max="9749" width="3.77734375" customWidth="1"/>
    <col min="9986" max="9991" width="3.77734375" customWidth="1"/>
    <col min="9992" max="9992" width="7" customWidth="1"/>
    <col min="9993" max="9996" width="3.77734375" customWidth="1"/>
    <col min="9997" max="9997" width="4.44140625" customWidth="1"/>
    <col min="9998" max="10003" width="3.77734375" customWidth="1"/>
    <col min="10004" max="10004" width="1.6640625" customWidth="1"/>
    <col min="10005" max="10005" width="3.77734375" customWidth="1"/>
    <col min="10242" max="10247" width="3.77734375" customWidth="1"/>
    <col min="10248" max="10248" width="7" customWidth="1"/>
    <col min="10249" max="10252" width="3.77734375" customWidth="1"/>
    <col min="10253" max="10253" width="4.44140625" customWidth="1"/>
    <col min="10254" max="10259" width="3.77734375" customWidth="1"/>
    <col min="10260" max="10260" width="1.6640625" customWidth="1"/>
    <col min="10261" max="10261" width="3.77734375" customWidth="1"/>
    <col min="10498" max="10503" width="3.77734375" customWidth="1"/>
    <col min="10504" max="10504" width="7" customWidth="1"/>
    <col min="10505" max="10508" width="3.77734375" customWidth="1"/>
    <col min="10509" max="10509" width="4.44140625" customWidth="1"/>
    <col min="10510" max="10515" width="3.77734375" customWidth="1"/>
    <col min="10516" max="10516" width="1.6640625" customWidth="1"/>
    <col min="10517" max="10517" width="3.77734375" customWidth="1"/>
    <col min="10754" max="10759" width="3.77734375" customWidth="1"/>
    <col min="10760" max="10760" width="7" customWidth="1"/>
    <col min="10761" max="10764" width="3.77734375" customWidth="1"/>
    <col min="10765" max="10765" width="4.44140625" customWidth="1"/>
    <col min="10766" max="10771" width="3.77734375" customWidth="1"/>
    <col min="10772" max="10772" width="1.6640625" customWidth="1"/>
    <col min="10773" max="10773" width="3.77734375" customWidth="1"/>
    <col min="11010" max="11015" width="3.77734375" customWidth="1"/>
    <col min="11016" max="11016" width="7" customWidth="1"/>
    <col min="11017" max="11020" width="3.77734375" customWidth="1"/>
    <col min="11021" max="11021" width="4.44140625" customWidth="1"/>
    <col min="11022" max="11027" width="3.77734375" customWidth="1"/>
    <col min="11028" max="11028" width="1.6640625" customWidth="1"/>
    <col min="11029" max="11029" width="3.77734375" customWidth="1"/>
    <col min="11266" max="11271" width="3.77734375" customWidth="1"/>
    <col min="11272" max="11272" width="7" customWidth="1"/>
    <col min="11273" max="11276" width="3.77734375" customWidth="1"/>
    <col min="11277" max="11277" width="4.44140625" customWidth="1"/>
    <col min="11278" max="11283" width="3.77734375" customWidth="1"/>
    <col min="11284" max="11284" width="1.6640625" customWidth="1"/>
    <col min="11285" max="11285" width="3.77734375" customWidth="1"/>
    <col min="11522" max="11527" width="3.77734375" customWidth="1"/>
    <col min="11528" max="11528" width="7" customWidth="1"/>
    <col min="11529" max="11532" width="3.77734375" customWidth="1"/>
    <col min="11533" max="11533" width="4.44140625" customWidth="1"/>
    <col min="11534" max="11539" width="3.77734375" customWidth="1"/>
    <col min="11540" max="11540" width="1.6640625" customWidth="1"/>
    <col min="11541" max="11541" width="3.77734375" customWidth="1"/>
    <col min="11778" max="11783" width="3.77734375" customWidth="1"/>
    <col min="11784" max="11784" width="7" customWidth="1"/>
    <col min="11785" max="11788" width="3.77734375" customWidth="1"/>
    <col min="11789" max="11789" width="4.44140625" customWidth="1"/>
    <col min="11790" max="11795" width="3.77734375" customWidth="1"/>
    <col min="11796" max="11796" width="1.6640625" customWidth="1"/>
    <col min="11797" max="11797" width="3.77734375" customWidth="1"/>
    <col min="12034" max="12039" width="3.77734375" customWidth="1"/>
    <col min="12040" max="12040" width="7" customWidth="1"/>
    <col min="12041" max="12044" width="3.77734375" customWidth="1"/>
    <col min="12045" max="12045" width="4.44140625" customWidth="1"/>
    <col min="12046" max="12051" width="3.77734375" customWidth="1"/>
    <col min="12052" max="12052" width="1.6640625" customWidth="1"/>
    <col min="12053" max="12053" width="3.77734375" customWidth="1"/>
    <col min="12290" max="12295" width="3.77734375" customWidth="1"/>
    <col min="12296" max="12296" width="7" customWidth="1"/>
    <col min="12297" max="12300" width="3.77734375" customWidth="1"/>
    <col min="12301" max="12301" width="4.44140625" customWidth="1"/>
    <col min="12302" max="12307" width="3.77734375" customWidth="1"/>
    <col min="12308" max="12308" width="1.6640625" customWidth="1"/>
    <col min="12309" max="12309" width="3.77734375" customWidth="1"/>
    <col min="12546" max="12551" width="3.77734375" customWidth="1"/>
    <col min="12552" max="12552" width="7" customWidth="1"/>
    <col min="12553" max="12556" width="3.77734375" customWidth="1"/>
    <col min="12557" max="12557" width="4.44140625" customWidth="1"/>
    <col min="12558" max="12563" width="3.77734375" customWidth="1"/>
    <col min="12564" max="12564" width="1.6640625" customWidth="1"/>
    <col min="12565" max="12565" width="3.77734375" customWidth="1"/>
    <col min="12802" max="12807" width="3.77734375" customWidth="1"/>
    <col min="12808" max="12808" width="7" customWidth="1"/>
    <col min="12809" max="12812" width="3.77734375" customWidth="1"/>
    <col min="12813" max="12813" width="4.44140625" customWidth="1"/>
    <col min="12814" max="12819" width="3.77734375" customWidth="1"/>
    <col min="12820" max="12820" width="1.6640625" customWidth="1"/>
    <col min="12821" max="12821" width="3.77734375" customWidth="1"/>
    <col min="13058" max="13063" width="3.77734375" customWidth="1"/>
    <col min="13064" max="13064" width="7" customWidth="1"/>
    <col min="13065" max="13068" width="3.77734375" customWidth="1"/>
    <col min="13069" max="13069" width="4.44140625" customWidth="1"/>
    <col min="13070" max="13075" width="3.77734375" customWidth="1"/>
    <col min="13076" max="13076" width="1.6640625" customWidth="1"/>
    <col min="13077" max="13077" width="3.77734375" customWidth="1"/>
    <col min="13314" max="13319" width="3.77734375" customWidth="1"/>
    <col min="13320" max="13320" width="7" customWidth="1"/>
    <col min="13321" max="13324" width="3.77734375" customWidth="1"/>
    <col min="13325" max="13325" width="4.44140625" customWidth="1"/>
    <col min="13326" max="13331" width="3.77734375" customWidth="1"/>
    <col min="13332" max="13332" width="1.6640625" customWidth="1"/>
    <col min="13333" max="13333" width="3.77734375" customWidth="1"/>
    <col min="13570" max="13575" width="3.77734375" customWidth="1"/>
    <col min="13576" max="13576" width="7" customWidth="1"/>
    <col min="13577" max="13580" width="3.77734375" customWidth="1"/>
    <col min="13581" max="13581" width="4.44140625" customWidth="1"/>
    <col min="13582" max="13587" width="3.77734375" customWidth="1"/>
    <col min="13588" max="13588" width="1.6640625" customWidth="1"/>
    <col min="13589" max="13589" width="3.77734375" customWidth="1"/>
    <col min="13826" max="13831" width="3.77734375" customWidth="1"/>
    <col min="13832" max="13832" width="7" customWidth="1"/>
    <col min="13833" max="13836" width="3.77734375" customWidth="1"/>
    <col min="13837" max="13837" width="4.44140625" customWidth="1"/>
    <col min="13838" max="13843" width="3.77734375" customWidth="1"/>
    <col min="13844" max="13844" width="1.6640625" customWidth="1"/>
    <col min="13845" max="13845" width="3.77734375" customWidth="1"/>
    <col min="14082" max="14087" width="3.77734375" customWidth="1"/>
    <col min="14088" max="14088" width="7" customWidth="1"/>
    <col min="14089" max="14092" width="3.77734375" customWidth="1"/>
    <col min="14093" max="14093" width="4.44140625" customWidth="1"/>
    <col min="14094" max="14099" width="3.77734375" customWidth="1"/>
    <col min="14100" max="14100" width="1.6640625" customWidth="1"/>
    <col min="14101" max="14101" width="3.77734375" customWidth="1"/>
    <col min="14338" max="14343" width="3.77734375" customWidth="1"/>
    <col min="14344" max="14344" width="7" customWidth="1"/>
    <col min="14345" max="14348" width="3.77734375" customWidth="1"/>
    <col min="14349" max="14349" width="4.44140625" customWidth="1"/>
    <col min="14350" max="14355" width="3.77734375" customWidth="1"/>
    <col min="14356" max="14356" width="1.6640625" customWidth="1"/>
    <col min="14357" max="14357" width="3.77734375" customWidth="1"/>
    <col min="14594" max="14599" width="3.77734375" customWidth="1"/>
    <col min="14600" max="14600" width="7" customWidth="1"/>
    <col min="14601" max="14604" width="3.77734375" customWidth="1"/>
    <col min="14605" max="14605" width="4.44140625" customWidth="1"/>
    <col min="14606" max="14611" width="3.77734375" customWidth="1"/>
    <col min="14612" max="14612" width="1.6640625" customWidth="1"/>
    <col min="14613" max="14613" width="3.77734375" customWidth="1"/>
    <col min="14850" max="14855" width="3.77734375" customWidth="1"/>
    <col min="14856" max="14856" width="7" customWidth="1"/>
    <col min="14857" max="14860" width="3.77734375" customWidth="1"/>
    <col min="14861" max="14861" width="4.44140625" customWidth="1"/>
    <col min="14862" max="14867" width="3.77734375" customWidth="1"/>
    <col min="14868" max="14868" width="1.6640625" customWidth="1"/>
    <col min="14869" max="14869" width="3.77734375" customWidth="1"/>
    <col min="15106" max="15111" width="3.77734375" customWidth="1"/>
    <col min="15112" max="15112" width="7" customWidth="1"/>
    <col min="15113" max="15116" width="3.77734375" customWidth="1"/>
    <col min="15117" max="15117" width="4.44140625" customWidth="1"/>
    <col min="15118" max="15123" width="3.77734375" customWidth="1"/>
    <col min="15124" max="15124" width="1.6640625" customWidth="1"/>
    <col min="15125" max="15125" width="3.77734375" customWidth="1"/>
    <col min="15362" max="15367" width="3.77734375" customWidth="1"/>
    <col min="15368" max="15368" width="7" customWidth="1"/>
    <col min="15369" max="15372" width="3.77734375" customWidth="1"/>
    <col min="15373" max="15373" width="4.44140625" customWidth="1"/>
    <col min="15374" max="15379" width="3.77734375" customWidth="1"/>
    <col min="15380" max="15380" width="1.6640625" customWidth="1"/>
    <col min="15381" max="15381" width="3.77734375" customWidth="1"/>
    <col min="15618" max="15623" width="3.77734375" customWidth="1"/>
    <col min="15624" max="15624" width="7" customWidth="1"/>
    <col min="15625" max="15628" width="3.77734375" customWidth="1"/>
    <col min="15629" max="15629" width="4.44140625" customWidth="1"/>
    <col min="15630" max="15635" width="3.77734375" customWidth="1"/>
    <col min="15636" max="15636" width="1.6640625" customWidth="1"/>
    <col min="15637" max="15637" width="3.77734375" customWidth="1"/>
    <col min="15874" max="15879" width="3.77734375" customWidth="1"/>
    <col min="15880" max="15880" width="7" customWidth="1"/>
    <col min="15881" max="15884" width="3.77734375" customWidth="1"/>
    <col min="15885" max="15885" width="4.44140625" customWidth="1"/>
    <col min="15886" max="15891" width="3.77734375" customWidth="1"/>
    <col min="15892" max="15892" width="1.6640625" customWidth="1"/>
    <col min="15893" max="15893" width="3.77734375" customWidth="1"/>
    <col min="16130" max="16135" width="3.77734375" customWidth="1"/>
    <col min="16136" max="16136" width="7" customWidth="1"/>
    <col min="16137" max="16140" width="3.77734375" customWidth="1"/>
    <col min="16141" max="16141" width="4.44140625" customWidth="1"/>
    <col min="16142" max="16147" width="3.77734375" customWidth="1"/>
    <col min="16148" max="16148" width="1.6640625" customWidth="1"/>
    <col min="16149" max="16149" width="3.77734375" customWidth="1"/>
  </cols>
  <sheetData>
    <row r="1" spans="2:21">
      <c r="B1" s="16"/>
      <c r="C1" s="16"/>
    </row>
    <row r="2" spans="2:21">
      <c r="B2" s="16"/>
      <c r="C2" s="16"/>
    </row>
    <row r="3" spans="2:21">
      <c r="B3" s="16"/>
      <c r="C3" s="16"/>
    </row>
    <row r="4" spans="2:21">
      <c r="B4" s="16"/>
      <c r="C4" s="16"/>
    </row>
    <row r="5" spans="2:21">
      <c r="B5" s="16"/>
      <c r="C5" s="16"/>
    </row>
    <row r="6" spans="2:21">
      <c r="B6" s="16"/>
      <c r="C6" s="16"/>
    </row>
    <row r="7" spans="2:21" ht="3.95" customHeight="1">
      <c r="B7" s="207" t="s">
        <v>10</v>
      </c>
      <c r="C7" s="208"/>
      <c r="D7" s="208"/>
      <c r="E7" s="208"/>
      <c r="F7" s="208"/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8"/>
      <c r="U7" s="208"/>
    </row>
    <row r="8" spans="2:21" ht="66" customHeight="1">
      <c r="B8" s="209" t="s">
        <v>138</v>
      </c>
      <c r="C8" s="209"/>
      <c r="D8" s="209"/>
      <c r="E8" s="209"/>
      <c r="F8" s="209"/>
      <c r="G8" s="209"/>
      <c r="H8" s="209"/>
      <c r="I8" s="209"/>
      <c r="J8" s="209"/>
      <c r="K8" s="209"/>
      <c r="L8" s="209"/>
      <c r="M8" s="209"/>
      <c r="N8" s="209"/>
      <c r="O8" s="209"/>
      <c r="P8" s="209"/>
      <c r="Q8" s="209"/>
      <c r="R8" s="209"/>
      <c r="S8" s="209"/>
      <c r="T8" s="209"/>
      <c r="U8" s="209"/>
    </row>
    <row r="9" spans="2:21" ht="44.1" customHeight="1">
      <c r="B9" s="210" t="str">
        <f>갑지!L21</f>
        <v>효성뉴서울5차아파트</v>
      </c>
      <c r="C9" s="210"/>
      <c r="D9" s="210"/>
      <c r="E9" s="210"/>
      <c r="F9" s="210"/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</row>
    <row r="10" spans="2:21" ht="3.95" customHeight="1">
      <c r="B10" s="211"/>
      <c r="C10" s="212"/>
      <c r="D10" s="212"/>
      <c r="E10" s="212"/>
      <c r="F10" s="212"/>
      <c r="G10" s="212"/>
      <c r="H10" s="212"/>
      <c r="I10" s="212"/>
      <c r="J10" s="212"/>
      <c r="K10" s="212"/>
      <c r="L10" s="212"/>
      <c r="M10" s="212"/>
      <c r="N10" s="212"/>
      <c r="O10" s="212"/>
      <c r="P10" s="212"/>
      <c r="Q10" s="212"/>
      <c r="R10" s="212"/>
      <c r="S10" s="212"/>
      <c r="T10" s="212"/>
      <c r="U10" s="212"/>
    </row>
    <row r="11" spans="2:21" ht="39.950000000000003" customHeight="1">
      <c r="B11" s="18"/>
      <c r="C11" s="18"/>
    </row>
    <row r="12" spans="2:21" ht="39.950000000000003" customHeight="1">
      <c r="B12" s="18"/>
      <c r="C12" s="18"/>
    </row>
    <row r="13" spans="2:21" ht="39.950000000000003" customHeight="1">
      <c r="B13" s="18"/>
      <c r="C13" s="18"/>
    </row>
    <row r="14" spans="2:21" ht="39.950000000000003" customHeight="1">
      <c r="B14" s="18"/>
      <c r="C14" s="18"/>
    </row>
    <row r="15" spans="2:21" ht="39.950000000000003" customHeight="1">
      <c r="B15" s="18"/>
      <c r="C15" s="18"/>
    </row>
    <row r="16" spans="2:21" ht="22.5">
      <c r="B16" s="213">
        <f>갑지!F7</f>
        <v>46072</v>
      </c>
      <c r="C16" s="213"/>
      <c r="D16" s="213"/>
      <c r="E16" s="213"/>
      <c r="F16" s="213"/>
      <c r="G16" s="213"/>
      <c r="H16" s="213"/>
      <c r="I16" s="213"/>
      <c r="J16" s="213"/>
      <c r="K16" s="213"/>
      <c r="L16" s="213"/>
      <c r="M16" s="213"/>
      <c r="N16" s="213"/>
      <c r="O16" s="213"/>
      <c r="P16" s="213"/>
      <c r="Q16" s="213"/>
      <c r="R16" s="213"/>
      <c r="S16" s="213"/>
      <c r="T16" s="213"/>
      <c r="U16" s="213"/>
    </row>
    <row r="17" spans="2:21" ht="39.950000000000003" customHeight="1">
      <c r="B17" s="18"/>
      <c r="C17" s="18"/>
    </row>
    <row r="18" spans="2:21" ht="39.950000000000003" customHeight="1">
      <c r="B18" s="18"/>
      <c r="C18" s="18"/>
    </row>
    <row r="19" spans="2:21" ht="39.950000000000003" customHeight="1">
      <c r="B19" s="18"/>
      <c r="C19" s="18"/>
    </row>
    <row r="20" spans="2:21" ht="39.950000000000003" customHeight="1">
      <c r="B20" s="18"/>
      <c r="C20" s="18"/>
    </row>
    <row r="21" spans="2:21" ht="39.950000000000003" customHeight="1">
      <c r="B21" s="18"/>
      <c r="C21" s="18"/>
    </row>
    <row r="22" spans="2:21" ht="3.95" customHeight="1">
      <c r="B22" s="218" t="s">
        <v>10</v>
      </c>
      <c r="C22" s="218"/>
      <c r="D22" s="218"/>
      <c r="E22" s="218"/>
      <c r="F22" s="218"/>
      <c r="G22" s="218"/>
      <c r="H22" s="218"/>
      <c r="I22" s="218"/>
      <c r="J22" s="218"/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</row>
    <row r="23" spans="2:21" ht="53.25" customHeight="1">
      <c r="D23" s="47"/>
      <c r="E23" s="47"/>
      <c r="I23" s="217" t="s">
        <v>11</v>
      </c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48"/>
      <c r="U23" s="48"/>
    </row>
    <row r="24" spans="2:21" ht="24" customHeight="1">
      <c r="D24" s="19"/>
      <c r="E24" s="19"/>
      <c r="F24" s="19"/>
      <c r="I24" s="219" t="s">
        <v>12</v>
      </c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19"/>
    </row>
    <row r="25" spans="2:21" ht="24" customHeight="1">
      <c r="D25" s="19"/>
      <c r="E25" s="19"/>
      <c r="F25" s="19"/>
      <c r="I25" s="219" t="s">
        <v>61</v>
      </c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19"/>
    </row>
    <row r="26" spans="2:21" ht="24" customHeight="1">
      <c r="D26" s="19"/>
      <c r="E26" s="19"/>
      <c r="F26" s="19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</row>
    <row r="27" spans="2:21" ht="24" customHeight="1" thickBot="1">
      <c r="D27" s="19"/>
      <c r="E27" s="19"/>
      <c r="F27" s="19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</row>
    <row r="28" spans="2:21" ht="43.5" customHeight="1" thickBot="1">
      <c r="B28" s="214" t="s">
        <v>139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6"/>
    </row>
    <row r="29" spans="2:21" ht="24.95" customHeight="1">
      <c r="B29" s="197" t="s">
        <v>13</v>
      </c>
      <c r="C29" s="198"/>
      <c r="D29" s="201" t="s">
        <v>14</v>
      </c>
      <c r="E29" s="201"/>
      <c r="F29" s="201"/>
      <c r="G29" s="202" t="str">
        <f>B9</f>
        <v>효성뉴서울5차아파트</v>
      </c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3"/>
    </row>
    <row r="30" spans="2:21" ht="24.95" customHeight="1">
      <c r="B30" s="199"/>
      <c r="C30" s="200"/>
      <c r="D30" s="204" t="s">
        <v>15</v>
      </c>
      <c r="E30" s="204"/>
      <c r="F30" s="204"/>
      <c r="G30" s="205" t="s">
        <v>163</v>
      </c>
      <c r="H30" s="205"/>
      <c r="I30" s="205"/>
      <c r="J30" s="205"/>
      <c r="K30" s="205"/>
      <c r="L30" s="205"/>
      <c r="M30" s="205"/>
      <c r="N30" s="205"/>
      <c r="O30" s="205"/>
      <c r="P30" s="205"/>
      <c r="Q30" s="205"/>
      <c r="R30" s="205"/>
      <c r="S30" s="205"/>
      <c r="T30" s="205"/>
      <c r="U30" s="206"/>
    </row>
    <row r="31" spans="2:21" ht="24.95" customHeight="1">
      <c r="B31" s="199"/>
      <c r="C31" s="200"/>
      <c r="D31" s="204"/>
      <c r="E31" s="204"/>
      <c r="F31" s="204"/>
      <c r="G31" s="205" t="s">
        <v>164</v>
      </c>
      <c r="H31" s="205"/>
      <c r="I31" s="205"/>
      <c r="J31" s="205"/>
      <c r="K31" s="205"/>
      <c r="L31" s="205"/>
      <c r="M31" s="205"/>
      <c r="N31" s="205"/>
      <c r="O31" s="205"/>
      <c r="P31" s="205"/>
      <c r="Q31" s="205"/>
      <c r="R31" s="205"/>
      <c r="S31" s="205"/>
      <c r="T31" s="205"/>
      <c r="U31" s="206"/>
    </row>
    <row r="32" spans="2:21" ht="24.95" customHeight="1">
      <c r="B32" s="199"/>
      <c r="C32" s="200"/>
      <c r="D32" s="204"/>
      <c r="E32" s="204"/>
      <c r="F32" s="204"/>
      <c r="G32" s="205" t="s">
        <v>165</v>
      </c>
      <c r="H32" s="205"/>
      <c r="I32" s="205"/>
      <c r="J32" s="205"/>
      <c r="K32" s="205"/>
      <c r="L32" s="205"/>
      <c r="M32" s="205"/>
      <c r="N32" s="205"/>
      <c r="O32" s="205"/>
      <c r="P32" s="205"/>
      <c r="Q32" s="205"/>
      <c r="R32" s="205"/>
      <c r="S32" s="205"/>
      <c r="T32" s="205"/>
      <c r="U32" s="206"/>
    </row>
    <row r="33" spans="2:21" ht="24.95" customHeight="1">
      <c r="B33" s="199"/>
      <c r="C33" s="200"/>
      <c r="D33" s="204"/>
      <c r="E33" s="204"/>
      <c r="F33" s="204"/>
      <c r="G33" s="205" t="s">
        <v>166</v>
      </c>
      <c r="H33" s="205"/>
      <c r="I33" s="205"/>
      <c r="J33" s="205"/>
      <c r="K33" s="205"/>
      <c r="L33" s="205"/>
      <c r="M33" s="205"/>
      <c r="N33" s="205"/>
      <c r="O33" s="205"/>
      <c r="P33" s="205"/>
      <c r="Q33" s="205"/>
      <c r="R33" s="205"/>
      <c r="S33" s="205"/>
      <c r="T33" s="205"/>
      <c r="U33" s="206"/>
    </row>
    <row r="34" spans="2:21" ht="24.95" customHeight="1">
      <c r="B34" s="199"/>
      <c r="C34" s="200"/>
      <c r="D34" s="204"/>
      <c r="E34" s="204"/>
      <c r="F34" s="204"/>
      <c r="G34" s="236" t="s">
        <v>167</v>
      </c>
      <c r="H34" s="236"/>
      <c r="I34" s="236"/>
      <c r="J34" s="236"/>
      <c r="K34" s="236"/>
      <c r="L34" s="236"/>
      <c r="M34" s="236"/>
      <c r="N34" s="236"/>
      <c r="O34" s="236"/>
      <c r="P34" s="236"/>
      <c r="Q34" s="236"/>
      <c r="R34" s="236"/>
      <c r="S34" s="236"/>
      <c r="T34" s="236"/>
      <c r="U34" s="237"/>
    </row>
    <row r="35" spans="2:21" ht="24.95" customHeight="1">
      <c r="B35" s="199" t="s">
        <v>16</v>
      </c>
      <c r="C35" s="200"/>
      <c r="D35" s="204" t="s">
        <v>17</v>
      </c>
      <c r="E35" s="204"/>
      <c r="F35" s="204"/>
      <c r="G35" s="225" t="str">
        <f>G29&amp;" 감리 용역"</f>
        <v>효성뉴서울5차아파트 감리 용역</v>
      </c>
      <c r="H35" s="226"/>
      <c r="I35" s="226"/>
      <c r="J35" s="226"/>
      <c r="K35" s="226"/>
      <c r="L35" s="226"/>
      <c r="M35" s="226"/>
      <c r="N35" s="226"/>
      <c r="O35" s="226"/>
      <c r="P35" s="226"/>
      <c r="Q35" s="226"/>
      <c r="R35" s="226"/>
      <c r="S35" s="226"/>
      <c r="T35" s="226"/>
      <c r="U35" s="227"/>
    </row>
    <row r="36" spans="2:21" ht="24.95" customHeight="1">
      <c r="B36" s="199"/>
      <c r="C36" s="200"/>
      <c r="D36" s="204" t="s">
        <v>18</v>
      </c>
      <c r="E36" s="204"/>
      <c r="F36" s="204"/>
      <c r="G36" s="246" t="str">
        <f>갑지!L31</f>
        <v>일금일백팔십만원정 (₩1,800,000)-VAT별도</v>
      </c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/>
      <c r="T36" s="246"/>
      <c r="U36" s="247"/>
    </row>
    <row r="37" spans="2:21" ht="24.95" customHeight="1">
      <c r="B37" s="199"/>
      <c r="C37" s="200"/>
      <c r="D37" s="204" t="s">
        <v>0</v>
      </c>
      <c r="E37" s="204"/>
      <c r="F37" s="204"/>
      <c r="G37" s="248" t="str">
        <f>갑지!L31</f>
        <v>일금일백팔십만원정 (₩1,800,000)-VAT별도</v>
      </c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9"/>
    </row>
    <row r="38" spans="2:21" ht="24.95" customHeight="1">
      <c r="B38" s="199"/>
      <c r="C38" s="200"/>
      <c r="D38" s="204" t="s">
        <v>19</v>
      </c>
      <c r="E38" s="204"/>
      <c r="F38" s="204"/>
      <c r="G38" s="228" t="s">
        <v>20</v>
      </c>
      <c r="H38" s="228"/>
      <c r="I38" s="228"/>
      <c r="J38" s="228"/>
      <c r="K38" s="228"/>
      <c r="L38" s="228"/>
      <c r="M38" s="228"/>
      <c r="N38" s="228"/>
      <c r="O38" s="228"/>
      <c r="P38" s="228"/>
      <c r="Q38" s="228"/>
      <c r="R38" s="228"/>
      <c r="S38" s="228"/>
      <c r="T38" s="228"/>
      <c r="U38" s="229"/>
    </row>
    <row r="39" spans="2:21" ht="24.95" customHeight="1">
      <c r="B39" s="199"/>
      <c r="C39" s="200"/>
      <c r="D39" s="204" t="s">
        <v>21</v>
      </c>
      <c r="E39" s="204"/>
      <c r="F39" s="204"/>
      <c r="G39" s="228" t="s">
        <v>46</v>
      </c>
      <c r="H39" s="228"/>
      <c r="I39" s="228"/>
      <c r="J39" s="228"/>
      <c r="K39" s="228"/>
      <c r="L39" s="228"/>
      <c r="M39" s="228"/>
      <c r="N39" s="228"/>
      <c r="O39" s="228"/>
      <c r="P39" s="228"/>
      <c r="Q39" s="228"/>
      <c r="R39" s="228"/>
      <c r="S39" s="228"/>
      <c r="T39" s="228"/>
      <c r="U39" s="229"/>
    </row>
    <row r="40" spans="2:21" ht="24.95" customHeight="1">
      <c r="B40" s="199"/>
      <c r="C40" s="200"/>
      <c r="D40" s="204" t="s">
        <v>22</v>
      </c>
      <c r="E40" s="204"/>
      <c r="F40" s="204"/>
      <c r="G40" s="228" t="str">
        <f>갑지!L23</f>
        <v>인천 계양구 아나지로 199 (효성동)</v>
      </c>
      <c r="H40" s="228"/>
      <c r="I40" s="228"/>
      <c r="J40" s="228"/>
      <c r="K40" s="228"/>
      <c r="L40" s="228"/>
      <c r="M40" s="228"/>
      <c r="N40" s="228"/>
      <c r="O40" s="228"/>
      <c r="P40" s="228"/>
      <c r="Q40" s="228"/>
      <c r="R40" s="228"/>
      <c r="S40" s="228"/>
      <c r="T40" s="228"/>
      <c r="U40" s="229"/>
    </row>
    <row r="41" spans="2:21" ht="24.95" customHeight="1">
      <c r="B41" s="199"/>
      <c r="C41" s="200"/>
      <c r="D41" s="204"/>
      <c r="E41" s="204"/>
      <c r="F41" s="204"/>
      <c r="G41" s="260" t="s">
        <v>156</v>
      </c>
      <c r="H41" s="221"/>
      <c r="I41" s="221"/>
      <c r="J41" s="221"/>
      <c r="K41" s="221"/>
      <c r="L41" s="221"/>
      <c r="M41" s="221"/>
      <c r="N41" s="124" t="s">
        <v>157</v>
      </c>
      <c r="O41" s="221" t="s">
        <v>158</v>
      </c>
      <c r="P41" s="221"/>
      <c r="Q41" s="221"/>
      <c r="R41" s="221"/>
      <c r="S41" s="221"/>
      <c r="T41" s="221"/>
      <c r="U41" s="222"/>
    </row>
    <row r="42" spans="2:21" ht="24.95" customHeight="1">
      <c r="B42" s="242"/>
      <c r="C42" s="243"/>
      <c r="D42" s="250" t="s">
        <v>23</v>
      </c>
      <c r="E42" s="251"/>
      <c r="F42" s="252"/>
      <c r="G42" s="253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5"/>
    </row>
    <row r="43" spans="2:21" ht="24.95" customHeight="1" thickBot="1">
      <c r="B43" s="244"/>
      <c r="C43" s="245"/>
      <c r="D43" s="238" t="s">
        <v>24</v>
      </c>
      <c r="E43" s="238"/>
      <c r="F43" s="238"/>
      <c r="G43" s="256" t="s">
        <v>140</v>
      </c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257"/>
    </row>
    <row r="44" spans="2:21">
      <c r="B44" s="258"/>
      <c r="C44" s="259"/>
      <c r="D44" s="259"/>
      <c r="E44" s="259"/>
      <c r="U44" s="2"/>
    </row>
    <row r="45" spans="2:21" ht="67.5" customHeight="1">
      <c r="B45" s="232" t="s">
        <v>25</v>
      </c>
      <c r="C45" s="230"/>
      <c r="D45" s="230"/>
      <c r="E45" s="230"/>
      <c r="F45" s="230"/>
      <c r="G45" s="230"/>
      <c r="H45" s="230"/>
      <c r="I45" s="230"/>
      <c r="J45" s="230"/>
      <c r="K45" s="230"/>
      <c r="L45" s="230"/>
      <c r="M45" s="230"/>
      <c r="N45" s="230"/>
      <c r="O45" s="230"/>
      <c r="P45" s="230"/>
      <c r="Q45" s="230"/>
      <c r="R45" s="230"/>
      <c r="S45" s="230"/>
      <c r="T45" s="230"/>
      <c r="U45" s="231"/>
    </row>
    <row r="46" spans="2:21">
      <c r="B46" s="22"/>
      <c r="C46" s="23"/>
      <c r="D46" s="23"/>
      <c r="E46" s="23"/>
      <c r="U46" s="2"/>
    </row>
    <row r="47" spans="2:21" ht="24.95" customHeight="1">
      <c r="B47" s="220" t="s">
        <v>26</v>
      </c>
      <c r="C47" s="219"/>
      <c r="D47" s="219"/>
      <c r="E47" s="230" t="s">
        <v>162</v>
      </c>
      <c r="F47" s="230"/>
      <c r="G47" s="230"/>
      <c r="H47" s="230"/>
      <c r="I47" s="230"/>
      <c r="J47" s="230"/>
      <c r="K47" s="230"/>
      <c r="L47" s="230"/>
      <c r="M47" s="230"/>
      <c r="N47" s="230"/>
      <c r="O47" s="230"/>
      <c r="P47" s="230"/>
      <c r="Q47" s="230"/>
      <c r="R47" s="230"/>
      <c r="S47" s="230"/>
      <c r="T47" s="230"/>
      <c r="U47" s="231"/>
    </row>
    <row r="48" spans="2:21" ht="24.95" customHeight="1">
      <c r="B48" s="24"/>
      <c r="C48" s="19"/>
      <c r="D48" s="19"/>
      <c r="E48" s="230"/>
      <c r="F48" s="230"/>
      <c r="G48" s="230"/>
      <c r="H48" s="230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31"/>
    </row>
    <row r="49" spans="2:21" ht="24.95" customHeight="1">
      <c r="B49" s="24"/>
      <c r="C49" s="19"/>
      <c r="D49" s="19"/>
      <c r="E49" s="230"/>
      <c r="F49" s="230"/>
      <c r="G49" s="230"/>
      <c r="H49" s="230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1"/>
    </row>
    <row r="50" spans="2:21">
      <c r="B50" s="258"/>
      <c r="C50" s="259"/>
      <c r="D50" s="259"/>
      <c r="E50" s="259"/>
      <c r="U50" s="2"/>
    </row>
    <row r="51" spans="2:21" ht="24.95" customHeight="1">
      <c r="B51" s="232" t="s">
        <v>27</v>
      </c>
      <c r="C51" s="230"/>
      <c r="D51" s="230"/>
      <c r="E51" s="223" t="s">
        <v>42</v>
      </c>
      <c r="F51" s="223"/>
      <c r="G51" s="223"/>
      <c r="H51" s="223"/>
      <c r="I51" s="223"/>
      <c r="J51" s="223"/>
      <c r="K51" s="223"/>
      <c r="L51" s="223"/>
      <c r="M51" s="223"/>
      <c r="N51" s="223"/>
      <c r="O51" s="223"/>
      <c r="P51" s="223"/>
      <c r="Q51" s="223"/>
      <c r="R51" s="223"/>
      <c r="S51" s="223"/>
      <c r="T51" s="223"/>
      <c r="U51" s="224"/>
    </row>
    <row r="52" spans="2:21" ht="40.5" customHeight="1">
      <c r="B52" s="239" t="s">
        <v>28</v>
      </c>
      <c r="C52" s="240"/>
      <c r="D52" s="240"/>
      <c r="E52" s="240"/>
      <c r="F52" s="240"/>
      <c r="G52" s="240"/>
      <c r="H52" s="240"/>
      <c r="I52" s="240"/>
      <c r="J52" s="240"/>
      <c r="K52" s="240"/>
      <c r="L52" s="240" t="s">
        <v>29</v>
      </c>
      <c r="M52" s="240"/>
      <c r="N52" s="240"/>
      <c r="O52" s="240"/>
      <c r="P52" s="240"/>
      <c r="Q52" s="240"/>
      <c r="R52" s="240"/>
      <c r="S52" s="240"/>
      <c r="T52" s="240"/>
      <c r="U52" s="241"/>
    </row>
    <row r="53" spans="2:21" ht="40.5" customHeight="1">
      <c r="B53" s="220" t="s">
        <v>30</v>
      </c>
      <c r="C53" s="219"/>
      <c r="D53" s="219"/>
      <c r="E53" s="267" t="str">
        <f>G29</f>
        <v>효성뉴서울5차아파트</v>
      </c>
      <c r="F53" s="267"/>
      <c r="G53" s="267"/>
      <c r="H53" s="267"/>
      <c r="I53" s="267"/>
      <c r="J53" s="267"/>
      <c r="K53" s="267"/>
      <c r="L53" s="219" t="s">
        <v>31</v>
      </c>
      <c r="M53" s="219"/>
      <c r="N53" s="219"/>
      <c r="O53" s="230" t="s">
        <v>32</v>
      </c>
      <c r="P53" s="230"/>
      <c r="Q53" s="230"/>
      <c r="R53" s="230"/>
      <c r="S53" s="230"/>
      <c r="T53" s="230"/>
      <c r="U53" s="231"/>
    </row>
    <row r="54" spans="2:21" ht="40.5" customHeight="1">
      <c r="B54" s="220" t="s">
        <v>33</v>
      </c>
      <c r="C54" s="219"/>
      <c r="D54" s="219"/>
      <c r="E54" s="268" t="str">
        <f>G40</f>
        <v>인천 계양구 아나지로 199 (효성동)</v>
      </c>
      <c r="F54" s="268"/>
      <c r="G54" s="268"/>
      <c r="H54" s="268"/>
      <c r="I54" s="268"/>
      <c r="J54" s="268"/>
      <c r="K54" s="268"/>
      <c r="L54" s="219" t="s">
        <v>34</v>
      </c>
      <c r="M54" s="219"/>
      <c r="N54" s="219"/>
      <c r="O54" s="269" t="s">
        <v>175</v>
      </c>
      <c r="P54" s="270"/>
      <c r="Q54" s="270"/>
      <c r="R54" s="270"/>
      <c r="S54" s="270"/>
      <c r="T54" s="270"/>
      <c r="U54" s="271"/>
    </row>
    <row r="55" spans="2:21" ht="40.5" customHeight="1" thickBot="1">
      <c r="B55" s="262" t="s">
        <v>35</v>
      </c>
      <c r="C55" s="263"/>
      <c r="D55" s="263"/>
      <c r="E55" s="264" t="s">
        <v>36</v>
      </c>
      <c r="F55" s="264"/>
      <c r="G55" s="264"/>
      <c r="H55" s="264"/>
      <c r="I55" s="264"/>
      <c r="J55" s="264"/>
      <c r="K55" s="264"/>
      <c r="L55" s="263" t="s">
        <v>37</v>
      </c>
      <c r="M55" s="263"/>
      <c r="N55" s="263"/>
      <c r="O55" s="265" t="s">
        <v>38</v>
      </c>
      <c r="P55" s="265"/>
      <c r="Q55" s="265"/>
      <c r="R55" s="265"/>
      <c r="S55" s="265"/>
      <c r="T55" s="265"/>
      <c r="U55" s="266"/>
    </row>
    <row r="56" spans="2:21" ht="16.5">
      <c r="B56" s="272" t="s">
        <v>39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</row>
    <row r="57" spans="2:21" ht="25.5">
      <c r="B57" s="233" t="s">
        <v>141</v>
      </c>
      <c r="C57" s="233"/>
      <c r="D57" s="233"/>
      <c r="E57" s="233"/>
      <c r="F57" s="233"/>
      <c r="G57" s="233"/>
      <c r="H57" s="233"/>
      <c r="I57" s="233"/>
      <c r="J57" s="233"/>
      <c r="K57" s="233"/>
      <c r="L57" s="233"/>
      <c r="M57" s="233"/>
      <c r="N57" s="233"/>
      <c r="O57" s="233"/>
      <c r="P57" s="233"/>
      <c r="Q57" s="233"/>
      <c r="R57" s="233"/>
      <c r="S57" s="233"/>
      <c r="T57" s="233"/>
      <c r="U57" s="233"/>
    </row>
    <row r="58" spans="2:21" ht="14.25">
      <c r="B58" s="25"/>
      <c r="F58" s="4"/>
      <c r="G58" s="17"/>
      <c r="I58" s="3"/>
    </row>
    <row r="59" spans="2:21" ht="24.95" customHeight="1">
      <c r="B59" s="274" t="s">
        <v>152</v>
      </c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</row>
    <row r="60" spans="2:21" ht="28.5" customHeight="1">
      <c r="B60" s="276" t="s">
        <v>153</v>
      </c>
      <c r="C60" s="276"/>
      <c r="D60" s="276"/>
      <c r="E60" s="276"/>
      <c r="F60" s="276"/>
      <c r="G60" s="276"/>
      <c r="H60" s="276"/>
      <c r="I60" s="277" t="str">
        <f>E53</f>
        <v>효성뉴서울5차아파트</v>
      </c>
      <c r="J60" s="277"/>
      <c r="K60" s="277"/>
      <c r="L60" s="277"/>
      <c r="M60" s="277"/>
      <c r="N60" s="277"/>
      <c r="O60" s="276" t="s">
        <v>174</v>
      </c>
      <c r="P60" s="276"/>
      <c r="Q60" s="276"/>
      <c r="R60" s="276"/>
      <c r="S60" s="276"/>
      <c r="T60" s="276"/>
      <c r="U60" s="276"/>
    </row>
    <row r="61" spans="2:21" ht="24.95" customHeight="1">
      <c r="B61" s="274" t="s">
        <v>155</v>
      </c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</row>
    <row r="62" spans="2:21" ht="20.100000000000001" customHeight="1">
      <c r="B62" s="20"/>
      <c r="C62" s="20"/>
      <c r="D62" s="20"/>
      <c r="E62" s="20"/>
      <c r="F62" s="20"/>
      <c r="G62" s="20"/>
      <c r="H62" s="20"/>
      <c r="I62" s="20"/>
      <c r="J62" s="20"/>
    </row>
    <row r="63" spans="2:21" ht="20.100000000000001" customHeight="1">
      <c r="B63" s="261" t="s">
        <v>161</v>
      </c>
      <c r="C63" s="279"/>
      <c r="D63" s="279"/>
      <c r="E63" s="279"/>
      <c r="F63" s="279"/>
      <c r="G63" s="279"/>
      <c r="H63" s="279"/>
      <c r="I63" s="279"/>
      <c r="J63" s="279"/>
    </row>
    <row r="64" spans="2:21" ht="94.5" customHeight="1">
      <c r="C64" s="230" t="s">
        <v>142</v>
      </c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</row>
    <row r="65" spans="2:21" ht="20.100000000000001" customHeight="1">
      <c r="B65" s="26"/>
      <c r="F65" s="4"/>
      <c r="G65" s="17"/>
      <c r="I65" s="3"/>
    </row>
    <row r="66" spans="2:21" ht="20.100000000000001" customHeight="1">
      <c r="B66" s="261" t="s">
        <v>100</v>
      </c>
      <c r="C66" s="261"/>
      <c r="D66" s="261"/>
      <c r="E66" s="261"/>
      <c r="F66" s="261"/>
      <c r="G66" s="261"/>
      <c r="H66" s="261"/>
      <c r="I66" s="261"/>
      <c r="J66" s="261"/>
      <c r="K66" s="261"/>
      <c r="L66" s="261"/>
      <c r="M66" s="261"/>
      <c r="N66" s="261"/>
      <c r="O66" s="261"/>
      <c r="P66" s="261"/>
      <c r="Q66" s="261"/>
      <c r="R66" s="261"/>
      <c r="S66" s="261"/>
      <c r="T66" s="261"/>
      <c r="U66" s="261"/>
    </row>
    <row r="67" spans="2:21" ht="20.100000000000001" customHeight="1">
      <c r="C67" s="235" t="str">
        <f>"① 시설물명 : "&amp;E53</f>
        <v>① 시설물명 : 효성뉴서울5차아파트</v>
      </c>
      <c r="D67" s="235"/>
      <c r="E67" s="235"/>
      <c r="F67" s="235"/>
      <c r="G67" s="235"/>
      <c r="H67" s="235"/>
      <c r="I67" s="235"/>
      <c r="J67" s="235"/>
      <c r="K67" s="235"/>
      <c r="L67" s="235"/>
      <c r="M67" s="235"/>
      <c r="N67" s="235"/>
      <c r="O67" s="235"/>
      <c r="P67" s="235"/>
      <c r="Q67" s="235"/>
      <c r="R67" s="235"/>
      <c r="S67" s="235"/>
      <c r="T67" s="235"/>
      <c r="U67" s="235"/>
    </row>
    <row r="68" spans="2:21" ht="20.100000000000001" customHeight="1">
      <c r="C68" s="235" t="str">
        <f>"② 위      치 : "&amp;E54</f>
        <v>② 위      치 : 인천 계양구 아나지로 199 (효성동)</v>
      </c>
      <c r="D68" s="235"/>
      <c r="E68" s="235"/>
      <c r="F68" s="235"/>
      <c r="G68" s="235"/>
      <c r="H68" s="235"/>
      <c r="I68" s="235"/>
      <c r="J68" s="235"/>
      <c r="K68" s="235"/>
      <c r="L68" s="235"/>
      <c r="M68" s="235"/>
      <c r="N68" s="235"/>
      <c r="O68" s="235"/>
      <c r="P68" s="235"/>
      <c r="Q68" s="235"/>
      <c r="R68" s="235"/>
      <c r="S68" s="235"/>
      <c r="T68" s="235"/>
      <c r="U68" s="235"/>
    </row>
    <row r="69" spans="2:21" ht="20.100000000000001" customHeight="1">
      <c r="C69" s="235" t="str">
        <f>"③ 용      도 : 공동주택"</f>
        <v>③ 용      도 : 공동주택</v>
      </c>
      <c r="D69" s="235"/>
      <c r="E69" s="235"/>
      <c r="F69" s="235"/>
      <c r="G69" s="235"/>
      <c r="H69" s="235"/>
      <c r="I69" s="235"/>
      <c r="J69" s="235"/>
      <c r="K69" s="235"/>
      <c r="L69" s="235"/>
      <c r="M69" s="235"/>
      <c r="N69" s="235"/>
      <c r="O69" s="235"/>
      <c r="P69" s="235"/>
      <c r="Q69" s="235"/>
      <c r="R69" s="235"/>
      <c r="S69" s="235"/>
      <c r="T69" s="235"/>
      <c r="U69" s="235"/>
    </row>
    <row r="70" spans="2:21" ht="20.100000000000001" customHeight="1">
      <c r="C70" s="235" t="str">
        <f>"④ 감리 대상시설물의 범위  : "&amp;갑지!L22</f>
        <v xml:space="preserve">④ 감리 대상시설물의 범위  : 아파트 6개동 648세대 (해당동 : 6개동) </v>
      </c>
      <c r="D70" s="235"/>
      <c r="E70" s="235"/>
      <c r="F70" s="235"/>
      <c r="G70" s="235"/>
      <c r="H70" s="235"/>
      <c r="I70" s="235"/>
      <c r="J70" s="235"/>
      <c r="K70" s="235"/>
      <c r="L70" s="235"/>
      <c r="M70" s="235"/>
      <c r="N70" s="235"/>
      <c r="O70" s="235"/>
      <c r="P70" s="235"/>
      <c r="Q70" s="235"/>
      <c r="R70" s="235"/>
      <c r="S70" s="235"/>
      <c r="T70" s="235"/>
      <c r="U70" s="235"/>
    </row>
    <row r="71" spans="2:21" ht="20.100000000000001" customHeight="1">
      <c r="B71" s="26"/>
      <c r="F71" s="4"/>
      <c r="G71" s="17"/>
      <c r="I71" s="3"/>
    </row>
    <row r="72" spans="2:21" ht="20.100000000000001" customHeight="1">
      <c r="B72" s="261" t="s">
        <v>101</v>
      </c>
      <c r="C72" s="261"/>
      <c r="D72" s="261"/>
      <c r="E72" s="261"/>
      <c r="F72" s="261"/>
      <c r="G72" s="261"/>
      <c r="H72" s="261"/>
      <c r="I72" s="26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</row>
    <row r="73" spans="2:21" ht="20.100000000000001" customHeight="1">
      <c r="C73" s="27" t="s">
        <v>143</v>
      </c>
      <c r="D73" s="27"/>
      <c r="E73" s="27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</row>
    <row r="74" spans="2:21" ht="20.100000000000001" customHeight="1">
      <c r="C74" s="27"/>
      <c r="D74" s="235" t="s">
        <v>102</v>
      </c>
      <c r="E74" s="235"/>
      <c r="F74" s="235"/>
      <c r="G74" s="235"/>
      <c r="H74" s="235"/>
      <c r="I74" s="235"/>
      <c r="J74" s="235"/>
      <c r="K74" s="235"/>
      <c r="L74" s="235"/>
      <c r="M74" s="235"/>
      <c r="N74" s="235"/>
      <c r="O74" s="235"/>
      <c r="P74" s="235"/>
      <c r="Q74" s="235"/>
      <c r="R74" s="235"/>
      <c r="S74" s="235"/>
      <c r="T74" s="235"/>
      <c r="U74" s="235"/>
    </row>
    <row r="75" spans="2:21" ht="20.100000000000001" customHeight="1">
      <c r="C75" s="27"/>
      <c r="D75" s="235" t="s">
        <v>103</v>
      </c>
      <c r="E75" s="235"/>
      <c r="F75" s="235"/>
      <c r="G75" s="235"/>
      <c r="H75" s="235"/>
      <c r="I75" s="235"/>
      <c r="J75" s="235"/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235"/>
    </row>
    <row r="76" spans="2:21" ht="20.100000000000001" customHeight="1">
      <c r="C76" s="27"/>
      <c r="D76" s="235" t="s">
        <v>104</v>
      </c>
      <c r="E76" s="235"/>
      <c r="F76" s="235"/>
      <c r="G76" s="235"/>
      <c r="H76" s="235"/>
      <c r="I76" s="235"/>
      <c r="J76" s="235"/>
      <c r="K76" s="235"/>
      <c r="L76" s="235"/>
      <c r="M76" s="235"/>
      <c r="N76" s="235"/>
      <c r="O76" s="235"/>
      <c r="P76" s="235"/>
      <c r="Q76" s="235"/>
      <c r="R76" s="235"/>
      <c r="S76" s="235"/>
      <c r="T76" s="235"/>
      <c r="U76" s="235"/>
    </row>
    <row r="77" spans="2:21" ht="20.100000000000001" customHeight="1">
      <c r="C77" s="27"/>
      <c r="D77" s="235" t="s">
        <v>105</v>
      </c>
      <c r="E77" s="235"/>
      <c r="F77" s="235"/>
      <c r="G77" s="235"/>
      <c r="H77" s="235"/>
      <c r="I77" s="235"/>
      <c r="J77" s="235"/>
      <c r="K77" s="235"/>
      <c r="L77" s="235"/>
      <c r="M77" s="235"/>
      <c r="N77" s="235"/>
      <c r="O77" s="235"/>
      <c r="P77" s="235"/>
      <c r="Q77" s="235"/>
      <c r="R77" s="235"/>
      <c r="S77" s="235"/>
      <c r="T77" s="235"/>
      <c r="U77" s="235"/>
    </row>
    <row r="78" spans="2:21" ht="20.100000000000001" customHeight="1">
      <c r="B78" s="26"/>
      <c r="D78" s="235" t="s">
        <v>106</v>
      </c>
      <c r="E78" s="235"/>
      <c r="F78" s="235"/>
      <c r="G78" s="235"/>
      <c r="H78" s="235"/>
      <c r="I78" s="235"/>
      <c r="J78" s="235"/>
      <c r="K78" s="235"/>
      <c r="L78" s="235"/>
      <c r="M78" s="235"/>
      <c r="N78" s="235"/>
      <c r="O78" s="235"/>
      <c r="P78" s="235"/>
      <c r="Q78" s="235"/>
      <c r="R78" s="235"/>
      <c r="S78" s="235"/>
      <c r="T78" s="235"/>
      <c r="U78" s="235"/>
    </row>
    <row r="79" spans="2:21" ht="20.100000000000001" customHeight="1">
      <c r="B79" s="26"/>
      <c r="D79" s="235" t="s">
        <v>107</v>
      </c>
      <c r="E79" s="235"/>
      <c r="F79" s="235"/>
      <c r="G79" s="235"/>
      <c r="H79" s="235"/>
      <c r="I79" s="235"/>
      <c r="J79" s="235"/>
      <c r="K79" s="235"/>
      <c r="L79" s="235"/>
      <c r="M79" s="235"/>
      <c r="N79" s="235"/>
      <c r="O79" s="235"/>
      <c r="P79" s="235"/>
      <c r="Q79" s="235"/>
      <c r="R79" s="235"/>
      <c r="S79" s="235"/>
      <c r="T79" s="235"/>
      <c r="U79" s="235"/>
    </row>
    <row r="80" spans="2:21" ht="20.100000000000001" customHeight="1">
      <c r="B80" s="26"/>
      <c r="D80" s="235" t="s">
        <v>108</v>
      </c>
      <c r="E80" s="235"/>
      <c r="F80" s="235"/>
      <c r="G80" s="235"/>
      <c r="H80" s="235"/>
      <c r="I80" s="235"/>
      <c r="J80" s="235"/>
      <c r="K80" s="235"/>
      <c r="L80" s="235"/>
      <c r="M80" s="235"/>
      <c r="N80" s="235"/>
      <c r="O80" s="235"/>
      <c r="P80" s="235"/>
      <c r="Q80" s="235"/>
      <c r="R80" s="235"/>
      <c r="S80" s="235"/>
      <c r="T80" s="235"/>
      <c r="U80" s="235"/>
    </row>
    <row r="81" spans="2:21" ht="20.100000000000001" customHeight="1">
      <c r="B81" s="26"/>
      <c r="D81" s="235" t="s">
        <v>109</v>
      </c>
      <c r="E81" s="235"/>
      <c r="F81" s="235"/>
      <c r="G81" s="235"/>
      <c r="H81" s="235"/>
      <c r="I81" s="235"/>
      <c r="J81" s="235"/>
      <c r="K81" s="235"/>
      <c r="L81" s="235"/>
      <c r="M81" s="235"/>
      <c r="N81" s="235"/>
      <c r="O81" s="235"/>
      <c r="P81" s="235"/>
      <c r="Q81" s="235"/>
      <c r="R81" s="235"/>
      <c r="S81" s="235"/>
      <c r="T81" s="235"/>
      <c r="U81" s="235"/>
    </row>
    <row r="82" spans="2:21" ht="20.100000000000001" customHeight="1">
      <c r="B82" s="26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</row>
    <row r="83" spans="2:21" ht="18.75">
      <c r="B83" s="261" t="s">
        <v>114</v>
      </c>
      <c r="C83" s="261"/>
      <c r="D83" s="261"/>
      <c r="E83" s="261"/>
      <c r="F83" s="261"/>
      <c r="G83" s="261"/>
      <c r="H83" s="261"/>
      <c r="I83" s="261"/>
      <c r="J83" s="261"/>
      <c r="K83" s="261"/>
      <c r="L83" s="261"/>
      <c r="M83" s="261"/>
      <c r="N83" s="261"/>
      <c r="O83" s="261"/>
      <c r="P83" s="261"/>
      <c r="Q83" s="261"/>
      <c r="R83" s="261"/>
      <c r="S83" s="261"/>
      <c r="T83" s="261"/>
      <c r="U83" s="261"/>
    </row>
    <row r="84" spans="2:21" ht="20.100000000000001" customHeight="1">
      <c r="B84" s="115"/>
      <c r="C84" s="235" t="s">
        <v>144</v>
      </c>
      <c r="D84" s="235"/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</row>
    <row r="85" spans="2:21" ht="20.100000000000001" customHeight="1">
      <c r="B85" s="26"/>
      <c r="F85" s="4"/>
      <c r="G85" s="17"/>
      <c r="I85" s="3"/>
    </row>
    <row r="86" spans="2:21" ht="20.100000000000001" customHeight="1">
      <c r="B86" s="261" t="s">
        <v>115</v>
      </c>
      <c r="C86" s="261"/>
      <c r="D86" s="261"/>
      <c r="E86" s="261"/>
      <c r="F86" s="261"/>
      <c r="G86" s="261"/>
      <c r="H86" s="261"/>
      <c r="I86" s="26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</row>
    <row r="87" spans="2:21" ht="49.5" customHeight="1">
      <c r="C87" s="230" t="s">
        <v>110</v>
      </c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</row>
    <row r="88" spans="2:21" ht="20.100000000000001" customHeight="1">
      <c r="C88" s="27"/>
      <c r="D88" s="27"/>
      <c r="E88" s="27"/>
      <c r="F88" s="27"/>
      <c r="G88" s="27"/>
      <c r="H88" s="27"/>
      <c r="I88" s="27"/>
      <c r="J88" s="27"/>
    </row>
    <row r="89" spans="2:21" ht="20.100000000000001" customHeight="1">
      <c r="B89" s="234" t="s">
        <v>116</v>
      </c>
      <c r="C89" s="234"/>
      <c r="D89" s="234"/>
      <c r="E89" s="234"/>
      <c r="F89" s="234"/>
      <c r="G89" s="234"/>
      <c r="H89" s="234"/>
      <c r="I89" s="234"/>
      <c r="J89" s="234"/>
      <c r="K89" s="234"/>
      <c r="L89" s="234"/>
      <c r="M89" s="234"/>
      <c r="N89" s="234"/>
      <c r="O89" s="234"/>
      <c r="P89" s="234"/>
      <c r="Q89" s="234"/>
      <c r="R89" s="234"/>
      <c r="S89" s="234"/>
      <c r="T89" s="234"/>
      <c r="U89" s="234"/>
    </row>
    <row r="90" spans="2:21" ht="16.5" customHeight="1">
      <c r="C90" s="273" t="s">
        <v>111</v>
      </c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</row>
    <row r="91" spans="2:21" ht="16.5" customHeight="1">
      <c r="C91" s="273" t="s">
        <v>112</v>
      </c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</row>
    <row r="92" spans="2:21" ht="47.1" customHeight="1">
      <c r="C92" s="273" t="s">
        <v>113</v>
      </c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</row>
    <row r="93" spans="2:21" ht="20.100000000000001" customHeight="1">
      <c r="B93" s="116"/>
      <c r="C93" s="46"/>
      <c r="D93" s="46"/>
      <c r="E93" s="46"/>
      <c r="F93" s="117"/>
      <c r="G93" s="118"/>
      <c r="H93" s="118"/>
      <c r="I93" s="45"/>
      <c r="J93" s="46"/>
      <c r="K93" s="45"/>
      <c r="L93" s="46"/>
      <c r="M93" s="46"/>
      <c r="N93" s="46"/>
      <c r="O93" s="46"/>
      <c r="P93" s="46"/>
      <c r="Q93" s="46"/>
      <c r="R93" s="46"/>
      <c r="S93" s="46"/>
      <c r="T93" s="46"/>
      <c r="U93" s="46"/>
    </row>
    <row r="94" spans="2:21" ht="20.100000000000001" customHeight="1">
      <c r="B94" s="234" t="s">
        <v>117</v>
      </c>
      <c r="C94" s="234"/>
      <c r="D94" s="234"/>
      <c r="E94" s="234"/>
      <c r="F94" s="234"/>
      <c r="G94" s="234"/>
      <c r="H94" s="234"/>
      <c r="I94" s="234"/>
      <c r="J94" s="234"/>
      <c r="K94" s="234"/>
      <c r="L94" s="234"/>
      <c r="M94" s="234"/>
      <c r="N94" s="234"/>
      <c r="O94" s="234"/>
      <c r="P94" s="234"/>
      <c r="Q94" s="234"/>
      <c r="R94" s="234"/>
      <c r="S94" s="234"/>
      <c r="T94" s="234"/>
      <c r="U94" s="234"/>
    </row>
    <row r="95" spans="2:21" ht="69" customHeight="1">
      <c r="C95" s="273" t="s">
        <v>118</v>
      </c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</row>
    <row r="96" spans="2:21" ht="20.100000000000001" customHeight="1">
      <c r="C96" s="273" t="s">
        <v>119</v>
      </c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</row>
    <row r="97" spans="2:21" ht="33" customHeight="1">
      <c r="B97" s="119"/>
      <c r="C97" s="275" t="s">
        <v>120</v>
      </c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</row>
    <row r="98" spans="2:21" ht="20.100000000000001" customHeight="1">
      <c r="B98" s="116"/>
      <c r="C98" s="46"/>
      <c r="D98" s="46"/>
      <c r="E98" s="46"/>
      <c r="F98" s="117"/>
      <c r="G98" s="118"/>
      <c r="H98" s="118"/>
      <c r="I98" s="45"/>
      <c r="J98" s="46"/>
      <c r="K98" s="45"/>
      <c r="L98" s="46"/>
      <c r="M98" s="46"/>
      <c r="N98" s="46"/>
      <c r="O98" s="46"/>
      <c r="P98" s="46"/>
      <c r="Q98" s="46"/>
      <c r="R98" s="46"/>
      <c r="S98" s="46"/>
      <c r="T98" s="46"/>
      <c r="U98" s="46"/>
    </row>
    <row r="99" spans="2:21" ht="20.100000000000001" customHeight="1">
      <c r="B99" s="234" t="s">
        <v>121</v>
      </c>
      <c r="C99" s="234"/>
      <c r="D99" s="234"/>
      <c r="E99" s="234"/>
      <c r="F99" s="234"/>
      <c r="G99" s="234"/>
      <c r="H99" s="234"/>
      <c r="I99" s="234"/>
      <c r="J99" s="234"/>
      <c r="K99" s="234"/>
      <c r="L99" s="234"/>
      <c r="M99" s="234"/>
      <c r="N99" s="234"/>
      <c r="O99" s="234"/>
      <c r="P99" s="234"/>
      <c r="Q99" s="234"/>
      <c r="R99" s="234"/>
      <c r="S99" s="234"/>
      <c r="T99" s="234"/>
      <c r="U99" s="234"/>
    </row>
    <row r="100" spans="2:21" ht="16.5" customHeight="1">
      <c r="C100" s="273" t="s">
        <v>159</v>
      </c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</row>
    <row r="101" spans="2:21" ht="16.5" customHeight="1">
      <c r="C101" s="273" t="s">
        <v>124</v>
      </c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</row>
    <row r="102" spans="2:21" ht="20.100000000000001" customHeight="1">
      <c r="B102" s="116"/>
      <c r="C102" s="46"/>
      <c r="D102" s="46"/>
      <c r="E102" s="46"/>
      <c r="F102" s="117"/>
      <c r="G102" s="118"/>
      <c r="H102" s="118"/>
      <c r="I102" s="45"/>
      <c r="J102" s="46"/>
      <c r="K102" s="45"/>
      <c r="L102" s="46"/>
      <c r="M102" s="46"/>
      <c r="N102" s="46"/>
      <c r="O102" s="46"/>
      <c r="P102" s="46"/>
      <c r="Q102" s="46"/>
      <c r="R102" s="46"/>
      <c r="S102" s="46"/>
      <c r="T102" s="46"/>
      <c r="U102" s="46"/>
    </row>
    <row r="103" spans="2:21" ht="20.100000000000001" customHeight="1">
      <c r="B103" s="234" t="s">
        <v>122</v>
      </c>
      <c r="C103" s="234"/>
      <c r="D103" s="234"/>
      <c r="E103" s="234"/>
      <c r="F103" s="234"/>
      <c r="G103" s="234"/>
      <c r="H103" s="234"/>
      <c r="I103" s="234"/>
      <c r="J103" s="234"/>
      <c r="K103" s="234"/>
      <c r="L103" s="234"/>
      <c r="M103" s="234"/>
      <c r="N103" s="234"/>
      <c r="O103" s="234"/>
      <c r="P103" s="234"/>
      <c r="Q103" s="234"/>
      <c r="R103" s="234"/>
      <c r="S103" s="234"/>
      <c r="T103" s="234"/>
      <c r="U103" s="234"/>
    </row>
    <row r="104" spans="2:21" ht="48.95" customHeight="1">
      <c r="C104" s="273" t="s">
        <v>154</v>
      </c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</row>
    <row r="105" spans="2:21" ht="16.5" customHeight="1">
      <c r="C105" s="273" t="s">
        <v>124</v>
      </c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</row>
    <row r="106" spans="2:21" ht="20.100000000000001" customHeight="1">
      <c r="B106" s="116"/>
      <c r="C106" s="46"/>
      <c r="D106" s="46"/>
      <c r="E106" s="46"/>
      <c r="F106" s="117"/>
      <c r="G106" s="118"/>
      <c r="H106" s="118"/>
      <c r="I106" s="45"/>
      <c r="J106" s="46"/>
      <c r="K106" s="45"/>
      <c r="L106" s="46"/>
      <c r="M106" s="46"/>
      <c r="N106" s="46"/>
      <c r="O106" s="46"/>
      <c r="P106" s="46"/>
      <c r="Q106" s="46"/>
      <c r="R106" s="46"/>
      <c r="S106" s="46"/>
      <c r="T106" s="46"/>
      <c r="U106" s="46"/>
    </row>
    <row r="107" spans="2:21" ht="20.100000000000001" customHeight="1">
      <c r="B107" s="234" t="s">
        <v>126</v>
      </c>
      <c r="C107" s="234"/>
      <c r="D107" s="234"/>
      <c r="E107" s="234"/>
      <c r="F107" s="234"/>
      <c r="G107" s="234"/>
      <c r="H107" s="234"/>
      <c r="I107" s="234"/>
      <c r="J107" s="234"/>
      <c r="K107" s="234"/>
      <c r="L107" s="234"/>
      <c r="M107" s="234"/>
      <c r="N107" s="234"/>
      <c r="O107" s="234"/>
      <c r="P107" s="234"/>
      <c r="Q107" s="234"/>
      <c r="R107" s="234"/>
      <c r="S107" s="234"/>
      <c r="T107" s="234"/>
      <c r="U107" s="234"/>
    </row>
    <row r="108" spans="2:21" ht="33" customHeight="1">
      <c r="C108" s="273" t="s">
        <v>123</v>
      </c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</row>
    <row r="109" spans="2:21" ht="48.95" customHeight="1">
      <c r="C109" s="273" t="s">
        <v>125</v>
      </c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</row>
    <row r="110" spans="2:21" ht="20.100000000000001" customHeight="1">
      <c r="B110" s="116"/>
      <c r="C110" s="46"/>
      <c r="D110" s="46"/>
      <c r="E110" s="46"/>
      <c r="F110" s="117"/>
      <c r="G110" s="118"/>
      <c r="H110" s="118"/>
      <c r="I110" s="45"/>
      <c r="J110" s="46"/>
      <c r="K110" s="45"/>
      <c r="L110" s="46"/>
      <c r="M110" s="46"/>
      <c r="N110" s="46"/>
      <c r="O110" s="46"/>
      <c r="P110" s="46"/>
      <c r="Q110" s="46"/>
      <c r="R110" s="46"/>
      <c r="S110" s="46"/>
      <c r="T110" s="46"/>
      <c r="U110" s="46"/>
    </row>
    <row r="111" spans="2:21" ht="20.100000000000001" customHeight="1">
      <c r="B111" s="234" t="s">
        <v>127</v>
      </c>
      <c r="C111" s="234"/>
      <c r="D111" s="234"/>
      <c r="E111" s="234"/>
      <c r="F111" s="234"/>
      <c r="G111" s="234"/>
      <c r="H111" s="234"/>
      <c r="I111" s="234"/>
      <c r="J111" s="234"/>
      <c r="K111" s="234"/>
      <c r="L111" s="234"/>
      <c r="M111" s="234"/>
      <c r="N111" s="234"/>
      <c r="O111" s="234"/>
      <c r="P111" s="234"/>
      <c r="Q111" s="234"/>
      <c r="R111" s="234"/>
      <c r="S111" s="234"/>
      <c r="T111" s="234"/>
      <c r="U111" s="234"/>
    </row>
    <row r="112" spans="2:21" ht="16.5" customHeight="1">
      <c r="C112" s="273" t="s">
        <v>128</v>
      </c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</row>
    <row r="113" spans="2:21" ht="14.25">
      <c r="C113" s="120"/>
      <c r="D113" s="273" t="s">
        <v>129</v>
      </c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</row>
    <row r="114" spans="2:21" ht="38.1" customHeight="1">
      <c r="C114" s="120"/>
      <c r="D114" s="278" t="s">
        <v>130</v>
      </c>
      <c r="E114" s="278"/>
      <c r="F114" s="278"/>
      <c r="G114" s="278"/>
      <c r="H114" s="278"/>
      <c r="I114" s="278"/>
      <c r="J114" s="278"/>
      <c r="K114" s="278"/>
      <c r="L114" s="278"/>
      <c r="M114" s="278"/>
      <c r="N114" s="278"/>
      <c r="O114" s="278"/>
      <c r="P114" s="278"/>
      <c r="Q114" s="278"/>
      <c r="R114" s="278"/>
      <c r="S114" s="278"/>
      <c r="T114" s="278"/>
      <c r="U114" s="278"/>
    </row>
    <row r="115" spans="2:21" ht="33" customHeight="1">
      <c r="C115" s="120"/>
      <c r="D115" s="273" t="s">
        <v>131</v>
      </c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</row>
    <row r="116" spans="2:21" ht="20.100000000000001" customHeight="1">
      <c r="C116" s="273" t="s">
        <v>132</v>
      </c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</row>
    <row r="117" spans="2:21" ht="20.100000000000001" customHeight="1">
      <c r="B117" s="116"/>
      <c r="C117" s="46"/>
      <c r="D117" s="46"/>
      <c r="E117" s="46"/>
      <c r="F117" s="117"/>
      <c r="G117" s="118"/>
      <c r="H117" s="118"/>
      <c r="I117" s="45"/>
      <c r="J117" s="46"/>
      <c r="K117" s="45"/>
      <c r="L117" s="46"/>
      <c r="M117" s="46"/>
      <c r="N117" s="46"/>
      <c r="O117" s="46"/>
      <c r="P117" s="46"/>
      <c r="Q117" s="46"/>
      <c r="R117" s="46"/>
      <c r="S117" s="46"/>
      <c r="T117" s="46"/>
      <c r="U117" s="46"/>
    </row>
    <row r="118" spans="2:21" ht="20.100000000000001" customHeight="1">
      <c r="B118" s="234" t="s">
        <v>133</v>
      </c>
      <c r="C118" s="234"/>
      <c r="D118" s="234"/>
      <c r="E118" s="234"/>
      <c r="F118" s="234"/>
      <c r="G118" s="234"/>
      <c r="H118" s="234"/>
      <c r="I118" s="234"/>
      <c r="J118" s="234"/>
      <c r="K118" s="234"/>
      <c r="L118" s="234"/>
      <c r="M118" s="234"/>
      <c r="N118" s="234"/>
      <c r="O118" s="234"/>
      <c r="P118" s="234"/>
      <c r="Q118" s="234"/>
      <c r="R118" s="234"/>
      <c r="S118" s="234"/>
      <c r="T118" s="234"/>
      <c r="U118" s="234"/>
    </row>
    <row r="119" spans="2:21" ht="33" customHeight="1">
      <c r="C119" s="273" t="s">
        <v>134</v>
      </c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</row>
    <row r="120" spans="2:21" ht="32.1" customHeight="1">
      <c r="C120" s="273" t="s">
        <v>135</v>
      </c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</row>
    <row r="121" spans="2:21" ht="33" customHeight="1">
      <c r="B121" s="116"/>
      <c r="C121" s="273" t="s">
        <v>173</v>
      </c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</row>
    <row r="122" spans="2:21" ht="20.100000000000001" customHeight="1">
      <c r="B122" s="116"/>
      <c r="C122" s="46"/>
      <c r="D122" s="46"/>
      <c r="E122" s="46"/>
      <c r="F122" s="117"/>
      <c r="G122" s="118"/>
      <c r="H122" s="118"/>
      <c r="I122" s="45"/>
      <c r="J122" s="46"/>
      <c r="K122" s="45"/>
      <c r="L122" s="46"/>
      <c r="M122" s="46"/>
      <c r="N122" s="46"/>
      <c r="O122" s="46"/>
      <c r="P122" s="46"/>
      <c r="Q122" s="46"/>
      <c r="R122" s="46"/>
      <c r="S122" s="46"/>
      <c r="T122" s="46"/>
      <c r="U122" s="46"/>
    </row>
    <row r="123" spans="2:21" ht="20.100000000000001" customHeight="1">
      <c r="B123" s="234" t="s">
        <v>136</v>
      </c>
      <c r="C123" s="234"/>
      <c r="D123" s="234"/>
      <c r="E123" s="234"/>
      <c r="F123" s="234"/>
      <c r="G123" s="234"/>
      <c r="H123" s="234"/>
      <c r="I123" s="234"/>
      <c r="J123" s="234"/>
      <c r="K123" s="234"/>
      <c r="L123" s="234"/>
      <c r="M123" s="234"/>
      <c r="N123" s="234"/>
      <c r="O123" s="234"/>
      <c r="P123" s="234"/>
      <c r="Q123" s="234"/>
      <c r="R123" s="234"/>
      <c r="S123" s="234"/>
      <c r="T123" s="234"/>
      <c r="U123" s="234"/>
    </row>
    <row r="124" spans="2:21" ht="33" customHeight="1">
      <c r="C124" s="273" t="s">
        <v>160</v>
      </c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</row>
    <row r="125" spans="2:21" ht="20.100000000000001" customHeight="1">
      <c r="B125" s="116"/>
      <c r="C125" s="46"/>
      <c r="D125" s="46"/>
      <c r="E125" s="46"/>
      <c r="F125" s="117"/>
      <c r="G125" s="118"/>
      <c r="H125" s="118"/>
      <c r="I125" s="45"/>
      <c r="J125" s="46"/>
      <c r="K125" s="45"/>
      <c r="L125" s="46"/>
      <c r="M125" s="46"/>
      <c r="N125" s="46"/>
      <c r="O125" s="46"/>
      <c r="P125" s="46"/>
      <c r="Q125" s="46"/>
      <c r="R125" s="46"/>
      <c r="S125" s="46"/>
      <c r="T125" s="46"/>
      <c r="U125" s="46"/>
    </row>
    <row r="126" spans="2:21" ht="20.100000000000001" customHeight="1">
      <c r="B126" s="234" t="s">
        <v>137</v>
      </c>
      <c r="C126" s="280"/>
      <c r="D126" s="280"/>
      <c r="E126" s="280"/>
      <c r="F126" s="280"/>
      <c r="G126" s="280"/>
      <c r="H126" s="280"/>
      <c r="I126" s="280"/>
      <c r="J126" s="280"/>
    </row>
    <row r="127" spans="2:21" ht="39.950000000000003" customHeight="1">
      <c r="C127" s="273" t="s">
        <v>40</v>
      </c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</row>
    <row r="128" spans="2:21" ht="409.5" customHeight="1">
      <c r="B128" s="116"/>
      <c r="C128" s="46"/>
      <c r="D128" s="46"/>
      <c r="E128" s="46"/>
      <c r="F128" s="117"/>
      <c r="G128" s="118"/>
      <c r="H128" s="118"/>
      <c r="I128" s="45"/>
      <c r="J128" s="46"/>
      <c r="K128" s="45"/>
      <c r="L128" s="46"/>
      <c r="M128" s="46"/>
      <c r="N128" s="46"/>
      <c r="O128" s="46"/>
      <c r="P128" s="46"/>
      <c r="Q128" s="46"/>
      <c r="R128" s="46"/>
      <c r="S128" s="46"/>
      <c r="T128" s="46"/>
      <c r="U128" s="46"/>
    </row>
    <row r="129" ht="38.1" customHeight="1"/>
    <row r="130" ht="24.95" customHeight="1"/>
    <row r="131" ht="24.95" customHeight="1"/>
    <row r="132" ht="24.95" customHeight="1"/>
    <row r="133" ht="24.95" customHeight="1"/>
    <row r="134" ht="24.95" customHeight="1"/>
    <row r="135" ht="24.95" customHeight="1"/>
  </sheetData>
  <mergeCells count="121">
    <mergeCell ref="C95:U95"/>
    <mergeCell ref="D77:U77"/>
    <mergeCell ref="C96:U96"/>
    <mergeCell ref="B83:U83"/>
    <mergeCell ref="C69:U69"/>
    <mergeCell ref="C70:U70"/>
    <mergeCell ref="C124:U124"/>
    <mergeCell ref="B126:J126"/>
    <mergeCell ref="C127:U127"/>
    <mergeCell ref="C84:U84"/>
    <mergeCell ref="C91:U91"/>
    <mergeCell ref="C92:U92"/>
    <mergeCell ref="C101:U101"/>
    <mergeCell ref="B103:U103"/>
    <mergeCell ref="C104:U104"/>
    <mergeCell ref="C105:U105"/>
    <mergeCell ref="B107:U107"/>
    <mergeCell ref="C108:U108"/>
    <mergeCell ref="C109:U109"/>
    <mergeCell ref="B111:U111"/>
    <mergeCell ref="C112:U112"/>
    <mergeCell ref="C116:U116"/>
    <mergeCell ref="B118:U118"/>
    <mergeCell ref="C119:U119"/>
    <mergeCell ref="D113:U113"/>
    <mergeCell ref="B59:U59"/>
    <mergeCell ref="C120:U120"/>
    <mergeCell ref="C67:U67"/>
    <mergeCell ref="C97:U97"/>
    <mergeCell ref="C121:U121"/>
    <mergeCell ref="G39:U39"/>
    <mergeCell ref="B123:U123"/>
    <mergeCell ref="B99:U99"/>
    <mergeCell ref="C100:U100"/>
    <mergeCell ref="C90:U90"/>
    <mergeCell ref="D115:U115"/>
    <mergeCell ref="B60:H60"/>
    <mergeCell ref="I60:N60"/>
    <mergeCell ref="D114:U114"/>
    <mergeCell ref="O60:U60"/>
    <mergeCell ref="C87:U87"/>
    <mergeCell ref="B61:U61"/>
    <mergeCell ref="B63:J63"/>
    <mergeCell ref="C64:U64"/>
    <mergeCell ref="B66:U66"/>
    <mergeCell ref="B72:U72"/>
    <mergeCell ref="D74:U74"/>
    <mergeCell ref="D75:U75"/>
    <mergeCell ref="D76:U76"/>
    <mergeCell ref="E47:U47"/>
    <mergeCell ref="D78:U78"/>
    <mergeCell ref="B45:U45"/>
    <mergeCell ref="B86:U86"/>
    <mergeCell ref="E49:U49"/>
    <mergeCell ref="B50:E50"/>
    <mergeCell ref="B94:U94"/>
    <mergeCell ref="B55:D55"/>
    <mergeCell ref="E55:K55"/>
    <mergeCell ref="L55:N55"/>
    <mergeCell ref="O55:U55"/>
    <mergeCell ref="B53:D53"/>
    <mergeCell ref="E53:K53"/>
    <mergeCell ref="L53:N53"/>
    <mergeCell ref="O53:U53"/>
    <mergeCell ref="D81:U81"/>
    <mergeCell ref="D79:U79"/>
    <mergeCell ref="D80:U80"/>
    <mergeCell ref="B54:D54"/>
    <mergeCell ref="E54:K54"/>
    <mergeCell ref="L54:N54"/>
    <mergeCell ref="O54:U54"/>
    <mergeCell ref="B56:U56"/>
    <mergeCell ref="B57:U57"/>
    <mergeCell ref="O41:P41"/>
    <mergeCell ref="B89:U89"/>
    <mergeCell ref="G32:U32"/>
    <mergeCell ref="C68:U68"/>
    <mergeCell ref="G33:U33"/>
    <mergeCell ref="G34:U34"/>
    <mergeCell ref="D43:F43"/>
    <mergeCell ref="D39:F39"/>
    <mergeCell ref="B52:K52"/>
    <mergeCell ref="L52:U52"/>
    <mergeCell ref="B35:C43"/>
    <mergeCell ref="D35:F35"/>
    <mergeCell ref="D36:F36"/>
    <mergeCell ref="G36:U36"/>
    <mergeCell ref="D37:F37"/>
    <mergeCell ref="G37:U37"/>
    <mergeCell ref="D38:F38"/>
    <mergeCell ref="D42:F42"/>
    <mergeCell ref="G42:U42"/>
    <mergeCell ref="G43:U43"/>
    <mergeCell ref="B44:E44"/>
    <mergeCell ref="G41:H41"/>
    <mergeCell ref="I41:M41"/>
    <mergeCell ref="B47:D47"/>
    <mergeCell ref="Q41:U41"/>
    <mergeCell ref="E51:U51"/>
    <mergeCell ref="G35:U35"/>
    <mergeCell ref="G38:U38"/>
    <mergeCell ref="D40:F41"/>
    <mergeCell ref="G40:U40"/>
    <mergeCell ref="E48:U48"/>
    <mergeCell ref="B51:D51"/>
    <mergeCell ref="B29:C34"/>
    <mergeCell ref="D29:F29"/>
    <mergeCell ref="G29:U29"/>
    <mergeCell ref="D30:F34"/>
    <mergeCell ref="G30:U30"/>
    <mergeCell ref="G31:U31"/>
    <mergeCell ref="B7:U7"/>
    <mergeCell ref="B8:U8"/>
    <mergeCell ref="B9:U9"/>
    <mergeCell ref="B10:U10"/>
    <mergeCell ref="B16:U16"/>
    <mergeCell ref="B28:U28"/>
    <mergeCell ref="I23:S23"/>
    <mergeCell ref="B22:U22"/>
    <mergeCell ref="I24:T24"/>
    <mergeCell ref="I25:T25"/>
  </mergeCells>
  <phoneticPr fontId="1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90" orientation="portrait" r:id="rId1"/>
  <rowBreaks count="3" manualBreakCount="3">
    <brk id="55" max="16383" man="1"/>
    <brk id="88" min="1" max="20" man="1"/>
    <brk id="117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renew0414</cp:lastModifiedBy>
  <cp:lastPrinted>2026-05-07T07:07:06Z</cp:lastPrinted>
  <dcterms:created xsi:type="dcterms:W3CDTF">2000-03-06T09:29:35Z</dcterms:created>
  <dcterms:modified xsi:type="dcterms:W3CDTF">2026-05-07T07:13:08Z</dcterms:modified>
</cp:coreProperties>
</file>