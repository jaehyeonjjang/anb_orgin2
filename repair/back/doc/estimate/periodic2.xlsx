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33E14E9F-4D4D-6340-9E8C-73A59A438CEE}" xr6:coauthVersionLast="47" xr6:coauthVersionMax="47" xr10:uidLastSave="{00000000-0000-0000-0000-000000000000}"/>
  <bookViews>
    <workbookView xWindow="17100" yWindow="680" windowWidth="17100" windowHeight="19800" tabRatio="731" activeTab="1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갑지!$D$1:$AE$42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" i="22" l="1"/>
  <c r="H25" i="19" l="1"/>
  <c r="H22" i="19"/>
  <c r="H21" i="19"/>
  <c r="H16" i="19"/>
  <c r="H15" i="19"/>
  <c r="H14" i="19"/>
  <c r="H13" i="19"/>
  <c r="H12" i="19"/>
  <c r="H11" i="19"/>
  <c r="H10" i="19"/>
  <c r="H9" i="19"/>
  <c r="D5" i="19"/>
  <c r="N21" i="21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J42" i="22"/>
  <c r="G39" i="22"/>
  <c r="R35" i="22"/>
  <c r="B16" i="22"/>
  <c r="B9" i="22"/>
  <c r="H23" i="19" l="1"/>
  <c r="H8" i="19"/>
  <c r="E55" i="22"/>
  <c r="F69" i="22"/>
  <c r="G28" i="22"/>
  <c r="G34" i="22" s="1"/>
  <c r="F68" i="22"/>
  <c r="E54" i="22"/>
  <c r="J61" i="22"/>
  <c r="R153" i="22"/>
  <c r="R138" i="22"/>
  <c r="H17" i="19" l="1"/>
  <c r="H24" i="19"/>
  <c r="H19" i="19" s="1"/>
  <c r="R154" i="22"/>
  <c r="R149" i="22" s="1"/>
  <c r="R147" i="22"/>
  <c r="R148" i="22" s="1"/>
  <c r="H18" i="19" l="1"/>
  <c r="H26" i="19"/>
  <c r="H27" i="19" s="1"/>
  <c r="H29" i="19" s="1"/>
  <c r="R157" i="22"/>
  <c r="D3" i="19" l="1"/>
  <c r="N31" i="21" s="1"/>
  <c r="J44" i="22" s="1"/>
  <c r="R159" i="22"/>
  <c r="H31" i="19"/>
  <c r="N32" i="21" s="1"/>
  <c r="R161" i="22"/>
  <c r="H32" i="19"/>
  <c r="D4" i="19" s="1"/>
  <c r="J43" i="22" s="1"/>
  <c r="N33" i="21"/>
  <c r="N34" i="21" s="1"/>
  <c r="G35" i="22" l="1"/>
  <c r="G36" i="22" s="1"/>
</calcChain>
</file>

<file path=xl/sharedStrings.xml><?xml version="1.0" encoding="utf-8"?>
<sst xmlns="http://schemas.openxmlformats.org/spreadsheetml/2006/main" count="308" uniqueCount="263">
  <si>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</si>
  <si>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</si>
  <si>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</si>
  <si>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</si>
  <si>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</si>
  <si>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</si>
  <si>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</si>
  <si>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</si>
  <si>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</si>
  <si>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</si>
  <si>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</si>
  <si>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</si>
  <si>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</si>
  <si>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</si>
  <si>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</si>
  <si>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</si>
  <si>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</si>
  <si>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</si>
  <si>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</si>
  <si>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</si>
  <si>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</si>
  <si>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</si>
  <si>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</si>
  <si>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</si>
  <si>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</si>
  <si>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</si>
  <si>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</si>
  <si>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</si>
  <si>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</si>
  <si>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</si>
  <si>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</si>
  <si>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</si>
  <si>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</si>
  <si>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</si>
  <si>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</si>
  <si>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</si>
  <si>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</si>
  <si>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</si>
  <si>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</si>
  <si>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</si>
  <si>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</si>
  <si>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</si>
  <si>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</si>
  <si>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</si>
  <si>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</si>
  <si>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</si>
  <si>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</si>
  <si>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</si>
  <si>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</si>
  <si>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</si>
  <si>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</si>
  <si>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</si>
  <si>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</si>
  <si>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</si>
  <si>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</si>
  <si>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</si>
  <si>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</si>
  <si>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</si>
  <si>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</si>
  <si>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</si>
  <si>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</si>
  <si>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3. "</t>
    </r>
    <r>
      <rPr>
        <sz val="12"/>
        <color rgb="FF000000"/>
        <rFont val="돋움"/>
        <family val="2"/>
        <charset val="129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</si>
  <si>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  <family val="2"/>
        <charset val="129"/>
      </rPr>
      <t>수주자"가 정당한 이유 없이 제3조에 정한 기간 내에 과업을 수행할 수 없음이 명백할 때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</si>
  <si>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</si>
  <si>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</si>
  <si>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</si>
  <si>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</si>
  <si>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</si>
  <si>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</si>
  <si>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</si>
  <si>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</si>
  <si>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</si>
  <si>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</si>
  <si>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</si>
  <si>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</si>
  <si>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</si>
  <si>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</si>
  <si>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</si>
  <si>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</si>
  <si>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</si>
  <si>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</si>
  <si>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</si>
  <si>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</si>
  <si>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</si>
  <si>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</si>
  <si>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</si>
  <si>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</si>
  <si>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</si>
  <si>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</si>
  <si>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</si>
  <si>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</si>
  <si>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</si>
  <si>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</si>
  <si>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</si>
  <si>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</si>
  <si>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</si>
  <si>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</si>
  <si>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</si>
  <si>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</si>
  <si>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</si>
  <si>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</si>
  <si>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</si>
  <si>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</si>
  <si>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</si>
  <si>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</si>
  <si>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</si>
  <si>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</si>
  <si>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</si>
  <si>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</si>
  <si>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</si>
  <si>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</si>
  <si>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</si>
  <si>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</si>
  <si>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</si>
  <si>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</si>
  <si>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</si>
  <si>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</si>
  <si>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</si>
  <si>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</si>
  <si>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</si>
  <si>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</si>
  <si>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</si>
  <si>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</si>
  <si>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</si>
  <si>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</si>
  <si>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</si>
  <si>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상태평가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</si>
  <si>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</si>
  <si>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</si>
  <si>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</si>
  <si>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</si>
  <si>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</si>
  <si>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</si>
  <si>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</si>
  <si>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</si>
  <si>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</si>
  <si>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</si>
  <si>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</si>
  <si>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</si>
  <si>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  <family val="2"/>
        <charset val="129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</si>
  <si>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</si>
  <si>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</si>
  <si>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</si>
  <si>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</si>
  <si>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</si>
  <si>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</si>
  <si>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</si>
  <si>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</si>
  <si>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</si>
  <si>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</si>
  <si>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</si>
  <si>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</si>
  <si>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</si>
  <si>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t xml:space="preserve">② 위      치 : </t>
  </si>
  <si>
    <t xml:space="preserve">① 시설물명 : </t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</si>
  <si>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</si>
  <si>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 xml:space="preserve">(이하"발주자"라 한다)와 </t>
  </si>
  <si>
    <t xml:space="preserve">제8조 및 동법 제12조의 규정에 따라 </t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</si>
  <si>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</si>
  <si>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</si>
  <si>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</si>
  <si>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</si>
  <si>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</si>
  <si>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</si>
  <si>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</si>
  <si>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</si>
  <si>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</si>
  <si>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</si>
  <si>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</si>
  <si>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</si>
  <si>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</si>
  <si>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</si>
  <si>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</si>
  <si>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</si>
  <si>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</si>
  <si>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</si>
  <si>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</si>
  <si>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</si>
  <si>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</si>
  <si>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</si>
  <si>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</si>
  <si>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t>㈜ 에이앤비</t>
  </si>
  <si>
    <t>정기안전점검 용역 계약서</t>
  </si>
  <si>
    <t>/</t>
  </si>
  <si>
    <t>전  화 :</t>
  </si>
  <si>
    <t>팩  스 :</t>
  </si>
  <si>
    <t>-VAT별도</t>
  </si>
  <si>
    <t>(1회)</t>
  </si>
  <si>
    <t>-VAT별도</t>
  </si>
  <si>
    <t>원</t>
  </si>
  <si>
    <t>(VAT별도)</t>
  </si>
  <si>
    <t>※총액(연2회)</t>
  </si>
  <si>
    <t>(VAT별도)※</t>
  </si>
  <si>
    <t>정기안전점검보고서 납품(FMS 등록)후 10일 이내 지불조건</t>
  </si>
  <si>
    <t>용  역  비</t>
  </si>
  <si>
    <t xml:space="preserve">2026년 연간 </t>
  </si>
  <si>
    <t>정기안전점검 용역대가임.</t>
  </si>
  <si>
    <t xml:space="preserve">상기 금액은 </t>
  </si>
  <si>
    <t>시설물의 정기안전점검 대가산출 내역서 (1회분)</t>
  </si>
  <si>
    <t>정기안전점검 용역(1회 적용금액)</t>
  </si>
  <si>
    <t>(우)16910  경기도 용인시 기흥구 마북로 159 한성프라자 207호 (마북동) 전화 : 031-283-3328  팩스 : 031-284-3328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</si>
  <si>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</si>
  <si>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(직접인건비+제경비) * 10%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</si>
  <si>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</si>
  <si>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 xml:space="preserve">   2026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</si>
  <si>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</si>
  <si>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정기안전점검 견적 건</t>
  </si>
  <si>
    <t>상반기 :</t>
  </si>
  <si>
    <t>하반기 :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</si>
  <si>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</si>
  <si>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</si>
  <si>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</si>
  <si>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∙콘크리트 구조물 : 균열, 누수, 박리, 박락, 층분리, 백태, 철근노출 등</t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</si>
  <si>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</si>
  <si>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∙외관조사 결과 분석</t>
  </si>
  <si>
    <r>
      <t>∙대상 시설물</t>
    </r>
    <r>
      <rPr>
        <sz val="9"/>
        <color rgb="FF000000"/>
        <rFont val="돋움"/>
        <family val="2"/>
        <charset val="129"/>
      </rPr>
      <t>(부재)의 현재와 이전의 상태 비교검토</t>
    </r>
  </si>
  <si>
    <t>※ 첨    부 :  1. 견적서   1부   끝.</t>
  </si>
  <si>
    <t>총 용역비  :</t>
    <phoneticPr fontId="1" type="noConversion"/>
  </si>
  <si>
    <t xml:space="preserve">「시설물의 안전 및 유지관리에 관한 특별법」(이하 “시설물안전법”이라 한다) 제11조, 시행령 </t>
  </si>
  <si>
    <r>
      <t xml:space="preserve">정기안전점검의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</si>
  <si>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</si>
  <si>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</si>
  <si>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</si>
  <si>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</si>
  <si>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</si>
  <si>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</si>
  <si>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</si>
  <si>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</si>
  <si>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</si>
  <si>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</si>
  <si>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</si>
  <si>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</si>
  <si>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</si>
  <si>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</si>
  <si>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</si>
  <si>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</si>
  <si>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</si>
  <si>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 xml:space="preserve">         6. 용  역  비  :</t>
    <phoneticPr fontId="1" type="noConversion"/>
  </si>
  <si>
    <t xml:space="preserve">           1. 귀 아파트(사)의 무궁한 발전을 기원합니다.</t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</si>
  <si>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</si>
  <si>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3. 귀 아파트(사)에서 의뢰하신 정기안전점검건에 대한 견적서를 제출하오니 업무에 참고하시기 바랍니다.</t>
    <phoneticPr fontId="1" type="noConversion"/>
  </si>
  <si>
    <t xml:space="preserve">           4. 시설물 개요</t>
    <phoneticPr fontId="1" type="noConversion"/>
  </si>
  <si>
    <t xml:space="preserve">           5. 용역의 범위</t>
    <phoneticPr fontId="1" type="noConversion"/>
  </si>
  <si>
    <t xml:space="preserve">           7. 지 불 조 건 :</t>
    <phoneticPr fontId="1" type="noConversion"/>
  </si>
  <si>
    <t>●   주 소 : 경기도 용인시 기흥구 마북로 159 한성프라자 207호</t>
    <phoneticPr fontId="1" type="noConversion"/>
  </si>
  <si>
    <t>전화 : 031-283-3328              팩스 :031-284-3328</t>
    <phoneticPr fontId="1" type="noConversion"/>
  </si>
  <si>
    <t xml:space="preserve">-1회당 : 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</si>
  <si>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</si>
  <si>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</si>
  <si>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</si>
  <si>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>가. 시설물의 안전 및 유지관리에 관한 특별법 제11조에 의거한 건축물 정기안전점검</t>
    <phoneticPr fontId="1" type="noConversion"/>
  </si>
  <si>
    <t>나. 정기안전점검 보고서 제출 및 FMS등록</t>
    <phoneticPr fontId="1" type="noConversion"/>
  </si>
  <si>
    <t xml:space="preserve">③ 용      도 : </t>
    <phoneticPr fontId="1" type="noConversion"/>
  </si>
  <si>
    <t xml:space="preserve">④ 정기안전점검 대상시설물의 범위 : 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</si>
  <si>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</si>
  <si>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</si>
  <si>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</si>
  <si>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</si>
  <si>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</si>
  <si>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</si>
  <si>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</si>
  <si>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가. 외업</t>
    <phoneticPr fontId="1" type="noConversion"/>
  </si>
  <si>
    <t>나.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</si>
</sst>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5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2"/>
      <color theme="1"/>
      <name val="돋움"/>
      <family val="2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1"/>
      <color rgb="FF000000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1" fillId="0" borderId="0" applyFont="0" applyFill="0" applyBorder="0" applyProtection="0">
      <alignment vertical="center"/>
    </xf>
    <xf numFmtId="185" fontId="101" fillId="0" borderId="0">
      <alignment vertical="center"/>
    </xf>
    <xf numFmtId="186" fontId="10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1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1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1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1" fillId="0" borderId="0" applyFont="0" applyFill="0" applyBorder="0" applyAlignment="0" applyProtection="0">
      <alignment vertical="center"/>
    </xf>
    <xf numFmtId="204" fontId="101" fillId="0" borderId="0" applyFont="0" applyFill="0" applyBorder="0" applyAlignment="0" applyProtection="0">
      <alignment vertical="center"/>
    </xf>
    <xf numFmtId="205" fontId="101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1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1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1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1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1" fillId="0" borderId="0">
      <alignment vertical="center"/>
    </xf>
    <xf numFmtId="1" fontId="8" fillId="0" borderId="16">
      <alignment horizontal="centerContinuous" vertical="center"/>
    </xf>
    <xf numFmtId="0" fontId="101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410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9" xfId="0" applyFont="1" applyBorder="1">
      <alignment vertical="center"/>
    </xf>
    <xf numFmtId="0" fontId="53" fillId="0" borderId="89" xfId="0" applyFont="1" applyBorder="1" applyAlignment="1">
      <alignment horizontal="center" vertical="center"/>
    </xf>
    <xf numFmtId="0" fontId="53" fillId="0" borderId="89" xfId="0" applyFont="1" applyBorder="1" applyAlignment="1">
      <alignment vertical="center" shrinkToFit="1"/>
    </xf>
    <xf numFmtId="0" fontId="53" fillId="0" borderId="89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1" xfId="0" applyBorder="1" applyAlignment="1">
      <alignment horizontal="right" vertical="center"/>
    </xf>
    <xf numFmtId="182" fontId="61" fillId="0" borderId="16" xfId="0" applyNumberFormat="1" applyFon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181" fontId="71" fillId="8" borderId="53" xfId="0" quotePrefix="1" applyNumberFormat="1" applyFont="1" applyFill="1" applyBorder="1" applyAlignment="1">
      <alignment vertical="center" shrinkToFit="1"/>
    </xf>
    <xf numFmtId="0" fontId="71" fillId="8" borderId="24" xfId="0" applyFont="1" applyFill="1" applyBorder="1" applyAlignment="1">
      <alignment horizontal="center" vertical="center"/>
    </xf>
    <xf numFmtId="0" fontId="71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176" fontId="71" fillId="8" borderId="0" xfId="0" applyNumberFormat="1" applyFont="1" applyFill="1" applyAlignment="1">
      <alignment vertical="center" shrinkToFit="1"/>
    </xf>
    <xf numFmtId="0" fontId="71" fillId="8" borderId="25" xfId="0" applyFont="1" applyFill="1" applyBorder="1" applyAlignment="1">
      <alignment horizontal="center" vertical="center" shrinkToFit="1"/>
    </xf>
    <xf numFmtId="0" fontId="61" fillId="0" borderId="8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89" fillId="0" borderId="80" xfId="0" quotePrefix="1" applyNumberFormat="1" applyFont="1" applyBorder="1" applyAlignment="1">
      <alignment vertical="center" textRotation="255"/>
    </xf>
    <xf numFmtId="182" fontId="61" fillId="0" borderId="0" xfId="0" applyNumberFormat="1" applyFont="1" applyAlignment="1">
      <alignment horizontal="center" vertical="center"/>
    </xf>
    <xf numFmtId="0" fontId="6" fillId="0" borderId="0" xfId="3112" applyFont="1">
      <alignment vertical="center"/>
    </xf>
    <xf numFmtId="0" fontId="105" fillId="0" borderId="0" xfId="3112" applyFont="1">
      <alignment vertical="center"/>
    </xf>
    <xf numFmtId="0" fontId="6" fillId="11" borderId="0" xfId="3112" applyFont="1" applyFill="1">
      <alignment vertical="center"/>
    </xf>
    <xf numFmtId="0" fontId="105" fillId="11" borderId="0" xfId="3112" applyFont="1" applyFill="1">
      <alignment vertical="center"/>
    </xf>
    <xf numFmtId="0" fontId="107" fillId="0" borderId="0" xfId="3112" applyFont="1" applyAlignment="1">
      <alignment horizontal="left" vertical="center"/>
    </xf>
    <xf numFmtId="0" fontId="107" fillId="0" borderId="0" xfId="3112" applyFont="1">
      <alignment vertical="center"/>
    </xf>
    <xf numFmtId="0" fontId="6" fillId="0" borderId="8" xfId="3112" applyFont="1" applyBorder="1">
      <alignment vertical="center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106" fillId="0" borderId="0" xfId="3112" applyFont="1" applyAlignment="1">
      <alignment horizontal="center" vertical="center" shrinkToFit="1"/>
    </xf>
    <xf numFmtId="0" fontId="6" fillId="0" borderId="0" xfId="3112" quotePrefix="1" applyFont="1">
      <alignment vertical="center"/>
    </xf>
    <xf numFmtId="0" fontId="32" fillId="0" borderId="0" xfId="3112" applyFont="1">
      <alignment vertical="center"/>
    </xf>
    <xf numFmtId="3" fontId="32" fillId="0" borderId="0" xfId="3113" applyFont="1" applyBorder="1">
      <alignment vertical="center"/>
    </xf>
    <xf numFmtId="0" fontId="102" fillId="0" borderId="0" xfId="0" applyFont="1">
      <alignment vertical="center"/>
    </xf>
    <xf numFmtId="0" fontId="102" fillId="0" borderId="0" xfId="0" applyFont="1" applyAlignment="1">
      <alignment shrinkToFit="1"/>
    </xf>
    <xf numFmtId="0" fontId="102" fillId="0" borderId="0" xfId="0" applyFont="1" applyAlignment="1"/>
    <xf numFmtId="0" fontId="69" fillId="0" borderId="0" xfId="0" applyFont="1" applyAlignment="1">
      <alignment horizontal="left" vertical="center"/>
    </xf>
    <xf numFmtId="0" fontId="111" fillId="0" borderId="0" xfId="3112" applyFont="1" applyAlignment="1">
      <alignment vertical="center" shrinkToFit="1"/>
    </xf>
    <xf numFmtId="0" fontId="111" fillId="0" borderId="0" xfId="3112" applyFont="1" applyAlignment="1">
      <alignment horizontal="left" vertical="center" shrinkToFit="1"/>
    </xf>
    <xf numFmtId="0" fontId="113" fillId="0" borderId="7" xfId="0" applyFont="1" applyBorder="1" applyAlignment="1">
      <alignment horizontal="center" vertical="center" wrapText="1"/>
    </xf>
    <xf numFmtId="0" fontId="104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0" fontId="106" fillId="0" borderId="0" xfId="3112" applyFont="1" applyAlignment="1">
      <alignment horizontal="center" vertical="center" shrinkToFit="1"/>
    </xf>
    <xf numFmtId="0" fontId="107" fillId="0" borderId="0" xfId="3112" applyFont="1" applyAlignment="1">
      <alignment horizontal="left" vertical="center"/>
    </xf>
    <xf numFmtId="244" fontId="107" fillId="0" borderId="0" xfId="3112" applyNumberFormat="1" applyFont="1" applyAlignment="1">
      <alignment horizontal="left" vertical="center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111" fillId="0" borderId="0" xfId="3112" applyFont="1" applyAlignment="1">
      <alignment horizontal="left" vertical="center"/>
    </xf>
    <xf numFmtId="0" fontId="111" fillId="0" borderId="0" xfId="3112" applyFont="1" applyAlignment="1">
      <alignment horizontal="center" vertical="center" shrinkToFit="1"/>
    </xf>
    <xf numFmtId="0" fontId="111" fillId="0" borderId="0" xfId="3112" quotePrefix="1" applyFont="1" applyAlignment="1">
      <alignment horizontal="center" vertical="center" shrinkToFit="1"/>
    </xf>
    <xf numFmtId="0" fontId="6" fillId="0" borderId="0" xfId="3112" applyFont="1" applyAlignment="1">
      <alignment horizontal="right" vertical="center"/>
    </xf>
    <xf numFmtId="176" fontId="6" fillId="0" borderId="0" xfId="3112" applyNumberFormat="1" applyFont="1" applyAlignment="1">
      <alignment horizontal="left" vertical="center"/>
    </xf>
    <xf numFmtId="0" fontId="106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quotePrefix="1" applyFont="1" applyAlignment="1">
      <alignment horizontal="center" vertical="center" shrinkToFit="1"/>
    </xf>
    <xf numFmtId="0" fontId="108" fillId="0" borderId="0" xfId="3112" applyFont="1" applyAlignment="1">
      <alignment horizontal="center" vertical="top"/>
    </xf>
    <xf numFmtId="0" fontId="111" fillId="0" borderId="0" xfId="3112" applyFont="1" applyAlignment="1">
      <alignment horizontal="center" vertical="center"/>
    </xf>
    <xf numFmtId="176" fontId="111" fillId="0" borderId="0" xfId="3112" applyNumberFormat="1" applyFont="1" applyAlignment="1">
      <alignment horizontal="left" vertical="center"/>
    </xf>
    <xf numFmtId="0" fontId="111" fillId="0" borderId="0" xfId="3112" applyFont="1" applyAlignment="1">
      <alignment horizontal="left" vertical="center" shrinkToFit="1"/>
    </xf>
    <xf numFmtId="0" fontId="111" fillId="0" borderId="0" xfId="3112" quotePrefix="1" applyFont="1" applyAlignment="1">
      <alignment horizontal="left" vertical="center" shrinkToFit="1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176" fontId="71" fillId="8" borderId="59" xfId="0" applyNumberFormat="1" applyFont="1" applyFill="1" applyBorder="1" applyAlignment="1">
      <alignment horizontal="center" vertical="center" shrinkToFit="1"/>
    </xf>
    <xf numFmtId="181" fontId="71" fillId="8" borderId="6" xfId="0" applyNumberFormat="1" applyFont="1" applyFill="1" applyBorder="1" applyAlignment="1">
      <alignment horizontal="center" vertical="center" shrinkToFit="1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1" fontId="71" fillId="7" borderId="17" xfId="0" applyNumberFormat="1" applyFont="1" applyFill="1" applyBorder="1" applyAlignment="1">
      <alignment horizontal="left" vertical="center" shrinkToFit="1"/>
    </xf>
    <xf numFmtId="181" fontId="71" fillId="7" borderId="63" xfId="0" applyNumberFormat="1" applyFont="1" applyFill="1" applyBorder="1" applyAlignment="1">
      <alignment horizontal="left" vertical="center" shrinkToFit="1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1" fontId="71" fillId="7" borderId="1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0" borderId="2" xfId="0" applyFont="1" applyBorder="1" applyAlignment="1">
      <alignment horizontal="center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98" fillId="12" borderId="73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3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3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3" fillId="0" borderId="36" xfId="0" applyFont="1" applyBorder="1" applyAlignment="1">
      <alignment horizontal="left" vertical="center" wrapText="1"/>
    </xf>
    <xf numFmtId="0" fontId="113" fillId="0" borderId="52" xfId="0" applyFont="1" applyBorder="1" applyAlignment="1">
      <alignment horizontal="left" vertical="center" wrapText="1"/>
    </xf>
    <xf numFmtId="0" fontId="114" fillId="0" borderId="2" xfId="0" applyFont="1" applyBorder="1" applyAlignment="1">
      <alignment horizontal="center" vertical="center" wrapText="1"/>
    </xf>
    <xf numFmtId="0" fontId="113" fillId="0" borderId="0" xfId="0" applyFont="1" applyAlignment="1">
      <alignment horizontal="left" vertical="center" wrapText="1"/>
    </xf>
    <xf numFmtId="0" fontId="113" fillId="0" borderId="25" xfId="0" applyFont="1" applyBorder="1" applyAlignment="1">
      <alignment horizontal="left" vertical="center" wrapText="1"/>
    </xf>
    <xf numFmtId="0" fontId="113" fillId="0" borderId="13" xfId="0" applyFont="1" applyBorder="1" applyAlignment="1">
      <alignment horizontal="left" vertical="center" wrapText="1"/>
    </xf>
    <xf numFmtId="0" fontId="113" fillId="0" borderId="68" xfId="0" applyFont="1" applyBorder="1" applyAlignment="1">
      <alignment horizontal="left" vertical="center" wrapText="1"/>
    </xf>
    <xf numFmtId="0" fontId="112" fillId="0" borderId="49" xfId="0" applyFont="1" applyBorder="1" applyAlignment="1">
      <alignment horizontal="left" vertical="center" wrapText="1"/>
    </xf>
    <xf numFmtId="0" fontId="112" fillId="0" borderId="7" xfId="0" applyFont="1" applyBorder="1" applyAlignment="1">
      <alignment horizontal="left" vertical="center" wrapText="1"/>
    </xf>
    <xf numFmtId="0" fontId="112" fillId="0" borderId="69" xfId="0" applyFont="1" applyBorder="1" applyAlignment="1">
      <alignment horizontal="left" vertical="center" wrapText="1"/>
    </xf>
    <xf numFmtId="0" fontId="114" fillId="0" borderId="70" xfId="0" applyFont="1" applyBorder="1" applyAlignment="1">
      <alignment horizontal="center" vertical="center" wrapText="1"/>
    </xf>
    <xf numFmtId="0" fontId="114" fillId="0" borderId="71" xfId="0" applyFont="1" applyBorder="1" applyAlignment="1">
      <alignment horizontal="center" vertical="center" wrapText="1"/>
    </xf>
    <xf numFmtId="0" fontId="114" fillId="0" borderId="96" xfId="0" applyFont="1" applyBorder="1" applyAlignment="1">
      <alignment horizontal="center" vertical="center" wrapText="1"/>
    </xf>
    <xf numFmtId="0" fontId="114" fillId="0" borderId="73" xfId="0" applyFont="1" applyBorder="1" applyAlignment="1">
      <alignment horizontal="center" vertical="center" wrapText="1"/>
    </xf>
    <xf numFmtId="0" fontId="114" fillId="0" borderId="0" xfId="0" applyFont="1" applyAlignment="1">
      <alignment horizontal="center" vertical="center" wrapText="1"/>
    </xf>
    <xf numFmtId="0" fontId="114" fillId="0" borderId="93" xfId="0" applyFont="1" applyBorder="1" applyAlignment="1">
      <alignment horizontal="center" vertical="center" wrapText="1"/>
    </xf>
    <xf numFmtId="0" fontId="114" fillId="0" borderId="100" xfId="0" applyFont="1" applyBorder="1" applyAlignment="1">
      <alignment horizontal="center" vertical="center" wrapText="1"/>
    </xf>
    <xf numFmtId="0" fontId="114" fillId="0" borderId="8" xfId="0" applyFont="1" applyBorder="1" applyAlignment="1">
      <alignment horizontal="center" vertical="center" wrapText="1"/>
    </xf>
    <xf numFmtId="0" fontId="114" fillId="0" borderId="99" xfId="0" applyFont="1" applyBorder="1" applyAlignment="1">
      <alignment horizontal="center" vertical="center" wrapText="1"/>
    </xf>
    <xf numFmtId="0" fontId="112" fillId="0" borderId="70" xfId="0" applyFont="1" applyBorder="1" applyAlignment="1">
      <alignment horizontal="center" vertical="center" wrapText="1"/>
    </xf>
    <xf numFmtId="0" fontId="112" fillId="0" borderId="71" xfId="0" applyFont="1" applyBorder="1" applyAlignment="1">
      <alignment horizontal="center" vertical="center" wrapText="1"/>
    </xf>
    <xf numFmtId="0" fontId="112" fillId="0" borderId="71" xfId="0" applyFont="1" applyBorder="1" applyAlignment="1">
      <alignment horizontal="left" vertical="center" wrapText="1"/>
    </xf>
    <xf numFmtId="0" fontId="112" fillId="0" borderId="72" xfId="0" applyFont="1" applyBorder="1" applyAlignment="1">
      <alignment horizontal="left" vertical="center" wrapText="1"/>
    </xf>
    <xf numFmtId="0" fontId="112" fillId="0" borderId="73" xfId="0" applyFont="1" applyBorder="1" applyAlignment="1">
      <alignment horizontal="center" vertical="center" shrinkToFit="1"/>
    </xf>
    <xf numFmtId="0" fontId="112" fillId="0" borderId="0" xfId="0" applyFont="1" applyAlignment="1">
      <alignment horizontal="center" vertical="center" shrinkToFit="1"/>
    </xf>
    <xf numFmtId="176" fontId="112" fillId="0" borderId="0" xfId="0" applyNumberFormat="1" applyFont="1" applyAlignment="1">
      <alignment horizontal="left" vertical="center" shrinkToFit="1"/>
    </xf>
    <xf numFmtId="176" fontId="112" fillId="0" borderId="25" xfId="0" applyNumberFormat="1" applyFont="1" applyBorder="1" applyAlignment="1">
      <alignment horizontal="left" vertical="center" shrinkToFit="1"/>
    </xf>
    <xf numFmtId="0" fontId="112" fillId="0" borderId="100" xfId="0" quotePrefix="1" applyFont="1" applyBorder="1" applyAlignment="1">
      <alignment horizontal="center" vertical="center" wrapText="1"/>
    </xf>
    <xf numFmtId="0" fontId="112" fillId="0" borderId="8" xfId="0" quotePrefix="1" applyFont="1" applyBorder="1" applyAlignment="1">
      <alignment horizontal="center" vertical="center" wrapText="1"/>
    </xf>
    <xf numFmtId="0" fontId="112" fillId="0" borderId="8" xfId="0" applyFont="1" applyBorder="1">
      <alignment vertical="center"/>
    </xf>
    <xf numFmtId="0" fontId="112" fillId="0" borderId="27" xfId="0" applyFont="1" applyBorder="1">
      <alignment vertical="center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7" xfId="0" applyFont="1" applyBorder="1" applyAlignment="1">
      <alignment horizontal="center" vertical="center" textRotation="255" wrapText="1"/>
    </xf>
    <xf numFmtId="0" fontId="69" fillId="0" borderId="71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0" xfId="0" applyFont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8" xfId="0" applyFont="1" applyBorder="1" applyAlignment="1">
      <alignment horizontal="center" vertical="center" textRotation="255" wrapText="1"/>
    </xf>
    <xf numFmtId="0" fontId="114" fillId="0" borderId="17" xfId="0" applyFont="1" applyBorder="1" applyAlignment="1">
      <alignment horizontal="center" vertical="center" wrapText="1"/>
    </xf>
    <xf numFmtId="0" fontId="113" fillId="0" borderId="49" xfId="0" applyFont="1" applyBorder="1" applyAlignment="1">
      <alignment horizontal="left" vertical="center" wrapText="1"/>
    </xf>
    <xf numFmtId="0" fontId="113" fillId="0" borderId="7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181" fontId="113" fillId="0" borderId="2" xfId="0" applyNumberFormat="1" applyFont="1" applyBorder="1" applyAlignment="1">
      <alignment horizontal="left" vertical="center" shrinkToFit="1"/>
    </xf>
    <xf numFmtId="181" fontId="113" fillId="0" borderId="32" xfId="0" applyNumberFormat="1" applyFont="1" applyBorder="1" applyAlignment="1">
      <alignment horizontal="left" vertical="center" shrinkToFit="1"/>
    </xf>
    <xf numFmtId="0" fontId="113" fillId="0" borderId="2" xfId="0" applyFont="1" applyBorder="1" applyAlignment="1">
      <alignment horizontal="left" vertical="center" wrapText="1"/>
    </xf>
    <xf numFmtId="0" fontId="113" fillId="0" borderId="32" xfId="0" applyFont="1" applyBorder="1" applyAlignment="1">
      <alignment horizontal="left" vertical="center" wrapText="1"/>
    </xf>
    <xf numFmtId="0" fontId="113" fillId="0" borderId="49" xfId="0" applyFont="1" applyBorder="1" applyAlignment="1">
      <alignment horizontal="center" vertical="center" wrapText="1"/>
    </xf>
    <xf numFmtId="0" fontId="113" fillId="0" borderId="7" xfId="0" applyFont="1" applyBorder="1" applyAlignment="1">
      <alignment horizontal="center" vertical="center" wrapText="1"/>
    </xf>
    <xf numFmtId="0" fontId="113" fillId="0" borderId="69" xfId="0" applyFont="1" applyBorder="1" applyAlignment="1">
      <alignment horizontal="center" vertical="center" wrapText="1"/>
    </xf>
    <xf numFmtId="0" fontId="114" fillId="0" borderId="49" xfId="0" applyFont="1" applyBorder="1" applyAlignment="1">
      <alignment horizontal="center" vertical="center" wrapText="1"/>
    </xf>
    <xf numFmtId="0" fontId="114" fillId="0" borderId="7" xfId="0" applyFont="1" applyBorder="1" applyAlignment="1">
      <alignment horizontal="center" vertical="center" wrapText="1"/>
    </xf>
    <xf numFmtId="0" fontId="114" fillId="0" borderId="50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02" fillId="0" borderId="2" xfId="0" applyFont="1" applyBorder="1" applyAlignment="1">
      <alignment horizontal="left" vertical="center" shrinkToFi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69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9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shrinkToFit="1"/>
    </xf>
    <xf numFmtId="0" fontId="109" fillId="0" borderId="0" xfId="0" applyFont="1" applyAlignment="1">
      <alignment horizontal="center" vertical="center" wrapText="1"/>
    </xf>
    <xf numFmtId="0" fontId="69" fillId="0" borderId="0" xfId="0" applyFont="1" applyAlignment="1">
      <alignment horizontal="left" vertical="center"/>
    </xf>
    <xf numFmtId="0" fontId="10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8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92" fillId="0" borderId="97" xfId="0" applyFont="1" applyBorder="1" applyAlignment="1">
      <alignment horizontal="center" vertical="center" wrapText="1"/>
    </xf>
    <xf numFmtId="0" fontId="92" fillId="0" borderId="71" xfId="0" applyFont="1" applyBorder="1" applyAlignment="1">
      <alignment horizontal="center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95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96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3" xfId="0" applyFont="1" applyBorder="1" applyAlignment="1">
      <alignment horizontal="left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92" fillId="0" borderId="73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3" xfId="0" quotePrefix="1" applyFont="1" applyBorder="1" applyAlignment="1">
      <alignment horizontal="left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92" xfId="0" applyFont="1" applyBorder="1" applyAlignment="1">
      <alignment horizontal="center" vertical="center" wrapText="1"/>
    </xf>
    <xf numFmtId="0" fontId="92" fillId="0" borderId="76" xfId="0" applyFont="1" applyBorder="1" applyAlignment="1">
      <alignment horizontal="center" vertical="center" wrapText="1"/>
    </xf>
    <xf numFmtId="0" fontId="92" fillId="0" borderId="75" xfId="0" applyFont="1" applyBorder="1" applyAlignment="1">
      <alignment horizontal="left" vertical="center" wrapText="1"/>
    </xf>
    <xf numFmtId="0" fontId="92" fillId="0" borderId="76" xfId="0" applyFont="1" applyBorder="1" applyAlignment="1">
      <alignment horizontal="left" vertical="center" wrapText="1"/>
    </xf>
    <xf numFmtId="0" fontId="92" fillId="0" borderId="91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4" xfId="0" applyFont="1" applyBorder="1" applyAlignment="1">
      <alignment horizontal="left" vertical="center" wrapText="1"/>
    </xf>
    <xf numFmtId="0" fontId="86" fillId="0" borderId="77" xfId="2637" applyFont="1" applyFill="1" applyBorder="1" applyAlignment="1">
      <alignment horizontal="left" vertical="center"/>
    </xf>
    <xf numFmtId="0" fontId="86" fillId="0" borderId="78" xfId="2637" applyFont="1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ont="1" applyFill="1" applyBorder="1" applyAlignment="1">
      <alignment horizontal="center" vertical="center"/>
    </xf>
    <xf numFmtId="176" fontId="53" fillId="0" borderId="78" xfId="0" applyNumberFormat="1" applyFont="1" applyBorder="1" applyAlignment="1">
      <alignment horizontal="center" vertical="center" shrinkToFit="1"/>
    </xf>
    <xf numFmtId="176" fontId="53" fillId="0" borderId="79" xfId="0" applyNumberFormat="1" applyFont="1" applyBorder="1" applyAlignment="1">
      <alignment horizontal="center" vertical="center" shrinkToFit="1"/>
    </xf>
    <xf numFmtId="182" fontId="0" fillId="0" borderId="81" xfId="0" applyNumberFormat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6" fontId="0" fillId="0" borderId="81" xfId="0" applyNumberFormat="1" applyBorder="1" applyAlignment="1">
      <alignment horizontal="center" vertical="center"/>
    </xf>
    <xf numFmtId="0" fontId="61" fillId="0" borderId="81" xfId="0" applyFont="1" applyBorder="1" applyAlignment="1">
      <alignment horizontal="center" vertical="center"/>
    </xf>
    <xf numFmtId="176" fontId="0" fillId="0" borderId="81" xfId="2791" applyFont="1" applyFill="1" applyBorder="1" applyAlignment="1">
      <alignment horizontal="center" vertical="center" shrinkToFit="1"/>
    </xf>
    <xf numFmtId="176" fontId="0" fillId="0" borderId="82" xfId="279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61" fillId="0" borderId="0" xfId="0" applyFont="1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0" fontId="86" fillId="0" borderId="85" xfId="0" applyFont="1" applyBorder="1" applyAlignment="1">
      <alignment horizontal="left" vertical="center"/>
    </xf>
    <xf numFmtId="0" fontId="86" fillId="0" borderId="86" xfId="0" applyFont="1" applyBorder="1" applyAlignment="1">
      <alignment horizontal="left" vertical="center"/>
    </xf>
    <xf numFmtId="0" fontId="0" fillId="0" borderId="86" xfId="0" applyBorder="1" applyAlignment="1">
      <alignment horizontal="center" vertical="center"/>
    </xf>
    <xf numFmtId="0" fontId="61" fillId="0" borderId="86" xfId="0" applyFont="1" applyBorder="1" applyAlignment="1">
      <alignment horizontal="center" vertical="center"/>
    </xf>
    <xf numFmtId="186" fontId="0" fillId="0" borderId="86" xfId="2791" applyNumberFormat="1" applyFont="1" applyFill="1" applyBorder="1" applyAlignment="1">
      <alignment horizontal="center" vertical="center" shrinkToFit="1"/>
    </xf>
    <xf numFmtId="186" fontId="0" fillId="0" borderId="87" xfId="2791" applyNumberFormat="1" applyFont="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176" fontId="0" fillId="0" borderId="86" xfId="2791" applyFont="1" applyFill="1" applyBorder="1" applyAlignment="1">
      <alignment horizontal="center" vertical="center" shrinkToFit="1"/>
    </xf>
    <xf numFmtId="176" fontId="0" fillId="0" borderId="87" xfId="2791" applyFont="1" applyFill="1" applyBorder="1" applyAlignment="1">
      <alignment horizontal="center" vertical="center" shrinkToFit="1"/>
    </xf>
    <xf numFmtId="0" fontId="86" fillId="0" borderId="80" xfId="0" applyFont="1" applyBorder="1" applyAlignment="1">
      <alignment horizontal="left" vertical="center"/>
    </xf>
    <xf numFmtId="0" fontId="86" fillId="0" borderId="81" xfId="0" applyFont="1" applyBorder="1" applyAlignment="1">
      <alignment horizontal="left" vertical="center"/>
    </xf>
    <xf numFmtId="176" fontId="53" fillId="0" borderId="81" xfId="2791" applyFont="1" applyFill="1" applyBorder="1" applyAlignment="1">
      <alignment horizontal="center" vertical="center" shrinkToFit="1"/>
    </xf>
    <xf numFmtId="176" fontId="53" fillId="0" borderId="82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176" fontId="0" fillId="0" borderId="86" xfId="2791" applyFont="1" applyFill="1" applyBorder="1" applyAlignment="1">
      <alignment horizontal="right" vertical="center" shrinkToFit="1"/>
    </xf>
    <xf numFmtId="176" fontId="0" fillId="0" borderId="87" xfId="2791" applyFont="1" applyFill="1" applyBorder="1" applyAlignment="1">
      <alignment horizontal="right" vertical="center" shrinkToFit="1"/>
    </xf>
    <xf numFmtId="0" fontId="69" fillId="0" borderId="90" xfId="0" applyFont="1" applyBorder="1" applyAlignment="1">
      <alignment horizontal="center" vertical="center"/>
    </xf>
    <xf numFmtId="0" fontId="69" fillId="0" borderId="89" xfId="0" applyFont="1" applyBorder="1" applyAlignment="1">
      <alignment horizontal="center" vertical="center"/>
    </xf>
    <xf numFmtId="176" fontId="53" fillId="0" borderId="89" xfId="2791" applyFont="1" applyFill="1" applyBorder="1" applyAlignment="1">
      <alignment horizontal="center" vertical="center" shrinkToFit="1"/>
    </xf>
    <xf numFmtId="176" fontId="53" fillId="0" borderId="88" xfId="2791" applyFont="1" applyFill="1" applyBorder="1" applyAlignment="1">
      <alignment horizontal="center" vertical="center" shrinkToFit="1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7" xfId="2791" applyFont="1" applyFill="1" applyBorder="1" applyAlignment="1">
      <alignment horizontal="center" vertical="center" shrinkToFit="1"/>
    </xf>
  </cellXfs>
  <cellStyles count="3117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1" xr:uid="{00000000-0005-0000-0000-0000BE0A0000}"/>
    <cellStyle name="고정소숫점" xfId="2752" xr:uid="{00000000-0005-0000-0000-0000BF0A0000}"/>
    <cellStyle name="고정출력1" xfId="2753" xr:uid="{00000000-0005-0000-0000-0000C00A0000}"/>
    <cellStyle name="고정출력2" xfId="2754" xr:uid="{00000000-0005-0000-0000-0000C10A0000}"/>
    <cellStyle name="공사원가계산서(조경)" xfId="2755" xr:uid="{00000000-0005-0000-0000-0000C20A0000}"/>
    <cellStyle name="공종" xfId="2756" xr:uid="{00000000-0005-0000-0000-0000C30A0000}"/>
    <cellStyle name="괘선" xfId="2757" xr:uid="{00000000-0005-0000-0000-0000C40A0000}"/>
    <cellStyle name="괘선1" xfId="2758" xr:uid="{00000000-0005-0000-0000-0000C50A0000}"/>
    <cellStyle name="기계" xfId="2759" xr:uid="{00000000-0005-0000-0000-0000C60A0000}"/>
    <cellStyle name="기본숫자" xfId="2760" xr:uid="{00000000-0005-0000-0000-0000C70A0000}"/>
    <cellStyle name="날짜" xfId="2761" xr:uid="{00000000-0005-0000-0000-0000C80A0000}"/>
    <cellStyle name="내역서" xfId="2762" xr:uid="{00000000-0005-0000-0000-0000C90A0000}"/>
    <cellStyle name="네모제목" xfId="2763" xr:uid="{00000000-0005-0000-0000-0000CA0A0000}"/>
    <cellStyle name="달러" xfId="2764" xr:uid="{00000000-0005-0000-0000-0000CB0A0000}"/>
    <cellStyle name="뒤에 오는 하이퍼링크" xfId="2765" xr:uid="{00000000-0005-0000-0000-0000CC0A0000}"/>
    <cellStyle name="똿뗦먛귟 [0.00]_laroux" xfId="2766" xr:uid="{00000000-0005-0000-0000-0000CD0A0000}"/>
    <cellStyle name="똿뗦먛귟_laroux" xfId="2767" xr:uid="{00000000-0005-0000-0000-0000CE0A0000}"/>
    <cellStyle name="마이너스키" xfId="2768" xr:uid="{00000000-0005-0000-0000-0000CF0A0000}"/>
    <cellStyle name="믅됞 [0.00]_laroux" xfId="2769" xr:uid="{00000000-0005-0000-0000-0000D00A0000}"/>
    <cellStyle name="믅됞_laroux" xfId="2770" xr:uid="{00000000-0005-0000-0000-0000D10A0000}"/>
    <cellStyle name="배분" xfId="2771" xr:uid="{00000000-0005-0000-0000-0000D20A0000}"/>
    <cellStyle name="백" xfId="2772" xr:uid="{00000000-0005-0000-0000-0000D30A0000}"/>
    <cellStyle name="백_22수량산출서(총괄)" xfId="2774" xr:uid="{00000000-0005-0000-0000-0000D50A0000}"/>
    <cellStyle name="백_22bl3lot수량산출" xfId="2773" xr:uid="{00000000-0005-0000-0000-0000D40A0000}"/>
    <cellStyle name="백분율 [△1]" xfId="2775" xr:uid="{00000000-0005-0000-0000-0000D60A0000}"/>
    <cellStyle name="백분율 [△2]" xfId="2776" xr:uid="{00000000-0005-0000-0000-0000D70A0000}"/>
    <cellStyle name="백분율 [0]" xfId="2777" xr:uid="{00000000-0005-0000-0000-0000D80A0000}"/>
    <cellStyle name="백분율 [2]" xfId="2778" xr:uid="{00000000-0005-0000-0000-0000D90A0000}"/>
    <cellStyle name="백분율［△1］" xfId="2779" xr:uid="{00000000-0005-0000-0000-0000DA0A0000}"/>
    <cellStyle name="백분율［△2］" xfId="2780" xr:uid="{00000000-0005-0000-0000-0000DB0A0000}"/>
    <cellStyle name="병합 후 가운데 맞춤" xfId="2781" xr:uid="{00000000-0005-0000-0000-0000DC0A0000}"/>
    <cellStyle name="병합 후 가운데 정열" xfId="2782" xr:uid="{00000000-0005-0000-0000-0000DD0A0000}"/>
    <cellStyle name="분수" xfId="2783" xr:uid="{00000000-0005-0000-0000-0000DE0A0000}"/>
    <cellStyle name="뷭?" xfId="2784" xr:uid="{00000000-0005-0000-0000-0000DF0A0000}"/>
    <cellStyle name="빨간색" xfId="2785" xr:uid="{00000000-0005-0000-0000-0000E00A0000}"/>
    <cellStyle name="선택영역의 가운데로" xfId="2786" xr:uid="{00000000-0005-0000-0000-0000E10A0000}"/>
    <cellStyle name="설계서" xfId="2787" xr:uid="{00000000-0005-0000-0000-0000E20A0000}"/>
    <cellStyle name="수량1" xfId="2788" xr:uid="{00000000-0005-0000-0000-0000E30A0000}"/>
    <cellStyle name="수목명" xfId="2789" xr:uid="{00000000-0005-0000-0000-0000E40A0000}"/>
    <cellStyle name="숫자(R)" xfId="2790" xr:uid="{00000000-0005-0000-0000-0000E50A0000}"/>
    <cellStyle name="쉼표 [0]" xfId="2793" builtinId="6"/>
    <cellStyle name="쉼표 [0] 2" xfId="2791" xr:uid="{00000000-0005-0000-0000-0000E70A0000}"/>
    <cellStyle name="쉼표 [0] 2 2" xfId="2792" xr:uid="{00000000-0005-0000-0000-0000E80A0000}"/>
    <cellStyle name="쉼표 [0] 2 3" xfId="2793" xr:uid="{00000000-0005-0000-0000-0000E90A0000}"/>
    <cellStyle name="쉼표 [0] 3" xfId="2794" xr:uid="{00000000-0005-0000-0000-0000EA0A0000}"/>
    <cellStyle name="쉼표 [0] 3 2" xfId="2795" xr:uid="{00000000-0005-0000-0000-0000EB0A0000}"/>
    <cellStyle name="쉼표 [0] 3 3" xfId="2796" xr:uid="{00000000-0005-0000-0000-0000EC0A0000}"/>
    <cellStyle name="쉼표 [0] 4" xfId="3113" xr:uid="{00000000-0005-0000-0000-0000ED0A0000}"/>
    <cellStyle name="스타일 1" xfId="2797" xr:uid="{00000000-0005-0000-0000-0000EE0A0000}"/>
    <cellStyle name="스타일 1 2" xfId="2798" xr:uid="{00000000-0005-0000-0000-0000EF0A0000}"/>
    <cellStyle name="스타일 10" xfId="2799" xr:uid="{00000000-0005-0000-0000-0000F00A0000}"/>
    <cellStyle name="스타일 100" xfId="2800" xr:uid="{00000000-0005-0000-0000-0000F10A0000}"/>
    <cellStyle name="스타일 101" xfId="2801" xr:uid="{00000000-0005-0000-0000-0000F20A0000}"/>
    <cellStyle name="스타일 102" xfId="2802" xr:uid="{00000000-0005-0000-0000-0000F30A0000}"/>
    <cellStyle name="스타일 103" xfId="2803" xr:uid="{00000000-0005-0000-0000-0000F40A0000}"/>
    <cellStyle name="스타일 104" xfId="2804" xr:uid="{00000000-0005-0000-0000-0000F50A0000}"/>
    <cellStyle name="스타일 105" xfId="2805" xr:uid="{00000000-0005-0000-0000-0000F60A0000}"/>
    <cellStyle name="스타일 106" xfId="2806" xr:uid="{00000000-0005-0000-0000-0000F70A0000}"/>
    <cellStyle name="스타일 107" xfId="2807" xr:uid="{00000000-0005-0000-0000-0000F80A0000}"/>
    <cellStyle name="스타일 108" xfId="2808" xr:uid="{00000000-0005-0000-0000-0000F90A0000}"/>
    <cellStyle name="스타일 109" xfId="2809" xr:uid="{00000000-0005-0000-0000-0000FA0A0000}"/>
    <cellStyle name="스타일 11" xfId="2810" xr:uid="{00000000-0005-0000-0000-0000FB0A0000}"/>
    <cellStyle name="스타일 110" xfId="2811" xr:uid="{00000000-0005-0000-0000-0000FC0A0000}"/>
    <cellStyle name="스타일 111" xfId="2812" xr:uid="{00000000-0005-0000-0000-0000FD0A0000}"/>
    <cellStyle name="스타일 112" xfId="2813" xr:uid="{00000000-0005-0000-0000-0000FE0A0000}"/>
    <cellStyle name="스타일 113" xfId="2814" xr:uid="{00000000-0005-0000-0000-0000FF0A0000}"/>
    <cellStyle name="스타일 114" xfId="2815" xr:uid="{00000000-0005-0000-0000-0000000B0000}"/>
    <cellStyle name="스타일 115" xfId="2816" xr:uid="{00000000-0005-0000-0000-0000010B0000}"/>
    <cellStyle name="스타일 116" xfId="2817" xr:uid="{00000000-0005-0000-0000-0000020B0000}"/>
    <cellStyle name="스타일 117" xfId="2818" xr:uid="{00000000-0005-0000-0000-0000030B0000}"/>
    <cellStyle name="스타일 118" xfId="2819" xr:uid="{00000000-0005-0000-0000-0000040B0000}"/>
    <cellStyle name="스타일 119" xfId="2820" xr:uid="{00000000-0005-0000-0000-0000050B0000}"/>
    <cellStyle name="스타일 12" xfId="2821" xr:uid="{00000000-0005-0000-0000-0000060B0000}"/>
    <cellStyle name="스타일 120" xfId="2822" xr:uid="{00000000-0005-0000-0000-0000070B0000}"/>
    <cellStyle name="스타일 121" xfId="2823" xr:uid="{00000000-0005-0000-0000-0000080B0000}"/>
    <cellStyle name="스타일 122" xfId="2824" xr:uid="{00000000-0005-0000-0000-0000090B0000}"/>
    <cellStyle name="스타일 123" xfId="2825" xr:uid="{00000000-0005-0000-0000-00000A0B0000}"/>
    <cellStyle name="스타일 124" xfId="2826" xr:uid="{00000000-0005-0000-0000-00000B0B0000}"/>
    <cellStyle name="스타일 125" xfId="2827" xr:uid="{00000000-0005-0000-0000-00000C0B0000}"/>
    <cellStyle name="스타일 126" xfId="2828" xr:uid="{00000000-0005-0000-0000-00000D0B0000}"/>
    <cellStyle name="스타일 127" xfId="2829" xr:uid="{00000000-0005-0000-0000-00000E0B0000}"/>
    <cellStyle name="스타일 128" xfId="2830" xr:uid="{00000000-0005-0000-0000-00000F0B0000}"/>
    <cellStyle name="스타일 129" xfId="2831" xr:uid="{00000000-0005-0000-0000-0000100B0000}"/>
    <cellStyle name="스타일 13" xfId="2832" xr:uid="{00000000-0005-0000-0000-0000110B0000}"/>
    <cellStyle name="스타일 130" xfId="2833" xr:uid="{00000000-0005-0000-0000-0000120B0000}"/>
    <cellStyle name="스타일 131" xfId="2834" xr:uid="{00000000-0005-0000-0000-0000130B0000}"/>
    <cellStyle name="스타일 132" xfId="2835" xr:uid="{00000000-0005-0000-0000-0000140B0000}"/>
    <cellStyle name="스타일 133" xfId="2836" xr:uid="{00000000-0005-0000-0000-0000150B0000}"/>
    <cellStyle name="스타일 134" xfId="2837" xr:uid="{00000000-0005-0000-0000-0000160B0000}"/>
    <cellStyle name="스타일 135" xfId="2838" xr:uid="{00000000-0005-0000-0000-0000170B0000}"/>
    <cellStyle name="스타일 136" xfId="2839" xr:uid="{00000000-0005-0000-0000-0000180B0000}"/>
    <cellStyle name="스타일 137" xfId="2840" xr:uid="{00000000-0005-0000-0000-0000190B0000}"/>
    <cellStyle name="스타일 138" xfId="2841" xr:uid="{00000000-0005-0000-0000-00001A0B0000}"/>
    <cellStyle name="스타일 139" xfId="2842" xr:uid="{00000000-0005-0000-0000-00001B0B0000}"/>
    <cellStyle name="스타일 14" xfId="2843" xr:uid="{00000000-0005-0000-0000-00001C0B0000}"/>
    <cellStyle name="스타일 140" xfId="2844" xr:uid="{00000000-0005-0000-0000-00001D0B0000}"/>
    <cellStyle name="스타일 141" xfId="2845" xr:uid="{00000000-0005-0000-0000-00001E0B0000}"/>
    <cellStyle name="스타일 142" xfId="2846" xr:uid="{00000000-0005-0000-0000-00001F0B0000}"/>
    <cellStyle name="스타일 143" xfId="2847" xr:uid="{00000000-0005-0000-0000-0000200B0000}"/>
    <cellStyle name="스타일 144" xfId="2848" xr:uid="{00000000-0005-0000-0000-0000210B0000}"/>
    <cellStyle name="스타일 145" xfId="2849" xr:uid="{00000000-0005-0000-0000-0000220B0000}"/>
    <cellStyle name="스타일 146" xfId="2850" xr:uid="{00000000-0005-0000-0000-0000230B0000}"/>
    <cellStyle name="스타일 147" xfId="2851" xr:uid="{00000000-0005-0000-0000-0000240B0000}"/>
    <cellStyle name="스타일 148" xfId="2852" xr:uid="{00000000-0005-0000-0000-0000250B0000}"/>
    <cellStyle name="스타일 149" xfId="2853" xr:uid="{00000000-0005-0000-0000-0000260B0000}"/>
    <cellStyle name="스타일 15" xfId="2854" xr:uid="{00000000-0005-0000-0000-0000270B0000}"/>
    <cellStyle name="스타일 150" xfId="2855" xr:uid="{00000000-0005-0000-0000-0000280B0000}"/>
    <cellStyle name="스타일 151" xfId="2856" xr:uid="{00000000-0005-0000-0000-0000290B0000}"/>
    <cellStyle name="스타일 152" xfId="2857" xr:uid="{00000000-0005-0000-0000-00002A0B0000}"/>
    <cellStyle name="스타일 153" xfId="2858" xr:uid="{00000000-0005-0000-0000-00002B0B0000}"/>
    <cellStyle name="스타일 154" xfId="2859" xr:uid="{00000000-0005-0000-0000-00002C0B0000}"/>
    <cellStyle name="스타일 155" xfId="2860" xr:uid="{00000000-0005-0000-0000-00002D0B0000}"/>
    <cellStyle name="스타일 156" xfId="2861" xr:uid="{00000000-0005-0000-0000-00002E0B0000}"/>
    <cellStyle name="스타일 157" xfId="2862" xr:uid="{00000000-0005-0000-0000-00002F0B0000}"/>
    <cellStyle name="스타일 158" xfId="2863" xr:uid="{00000000-0005-0000-0000-0000300B0000}"/>
    <cellStyle name="스타일 159" xfId="2864" xr:uid="{00000000-0005-0000-0000-0000310B0000}"/>
    <cellStyle name="스타일 16" xfId="2865" xr:uid="{00000000-0005-0000-0000-0000320B0000}"/>
    <cellStyle name="스타일 160" xfId="2866" xr:uid="{00000000-0005-0000-0000-0000330B0000}"/>
    <cellStyle name="스타일 161" xfId="2867" xr:uid="{00000000-0005-0000-0000-0000340B0000}"/>
    <cellStyle name="스타일 162" xfId="2868" xr:uid="{00000000-0005-0000-0000-0000350B0000}"/>
    <cellStyle name="스타일 163" xfId="2869" xr:uid="{00000000-0005-0000-0000-0000360B0000}"/>
    <cellStyle name="스타일 164" xfId="2870" xr:uid="{00000000-0005-0000-0000-0000370B0000}"/>
    <cellStyle name="스타일 165" xfId="2871" xr:uid="{00000000-0005-0000-0000-0000380B0000}"/>
    <cellStyle name="스타일 166" xfId="2872" xr:uid="{00000000-0005-0000-0000-0000390B0000}"/>
    <cellStyle name="스타일 167" xfId="2873" xr:uid="{00000000-0005-0000-0000-00003A0B0000}"/>
    <cellStyle name="스타일 168" xfId="2874" xr:uid="{00000000-0005-0000-0000-00003B0B0000}"/>
    <cellStyle name="스타일 169" xfId="2875" xr:uid="{00000000-0005-0000-0000-00003C0B0000}"/>
    <cellStyle name="스타일 17" xfId="2876" xr:uid="{00000000-0005-0000-0000-00003D0B0000}"/>
    <cellStyle name="스타일 170" xfId="2877" xr:uid="{00000000-0005-0000-0000-00003E0B0000}"/>
    <cellStyle name="스타일 171" xfId="2878" xr:uid="{00000000-0005-0000-0000-00003F0B0000}"/>
    <cellStyle name="스타일 172" xfId="2879" xr:uid="{00000000-0005-0000-0000-0000400B0000}"/>
    <cellStyle name="스타일 173" xfId="2880" xr:uid="{00000000-0005-0000-0000-0000410B0000}"/>
    <cellStyle name="스타일 174" xfId="2881" xr:uid="{00000000-0005-0000-0000-0000420B0000}"/>
    <cellStyle name="스타일 175" xfId="2882" xr:uid="{00000000-0005-0000-0000-0000430B0000}"/>
    <cellStyle name="스타일 176" xfId="2883" xr:uid="{00000000-0005-0000-0000-0000440B0000}"/>
    <cellStyle name="스타일 177" xfId="2884" xr:uid="{00000000-0005-0000-0000-0000450B0000}"/>
    <cellStyle name="스타일 178" xfId="2885" xr:uid="{00000000-0005-0000-0000-0000460B0000}"/>
    <cellStyle name="스타일 179" xfId="2886" xr:uid="{00000000-0005-0000-0000-0000470B0000}"/>
    <cellStyle name="스타일 18" xfId="2887" xr:uid="{00000000-0005-0000-0000-0000480B0000}"/>
    <cellStyle name="스타일 180" xfId="2888" xr:uid="{00000000-0005-0000-0000-0000490B0000}"/>
    <cellStyle name="스타일 181" xfId="2889" xr:uid="{00000000-0005-0000-0000-00004A0B0000}"/>
    <cellStyle name="스타일 182" xfId="2890" xr:uid="{00000000-0005-0000-0000-00004B0B0000}"/>
    <cellStyle name="스타일 183" xfId="2891" xr:uid="{00000000-0005-0000-0000-00004C0B0000}"/>
    <cellStyle name="스타일 184" xfId="2892" xr:uid="{00000000-0005-0000-0000-00004D0B0000}"/>
    <cellStyle name="스타일 185" xfId="2893" xr:uid="{00000000-0005-0000-0000-00004E0B0000}"/>
    <cellStyle name="스타일 186" xfId="2894" xr:uid="{00000000-0005-0000-0000-00004F0B0000}"/>
    <cellStyle name="스타일 187" xfId="2895" xr:uid="{00000000-0005-0000-0000-0000500B0000}"/>
    <cellStyle name="스타일 188" xfId="2896" xr:uid="{00000000-0005-0000-0000-0000510B0000}"/>
    <cellStyle name="스타일 189" xfId="2897" xr:uid="{00000000-0005-0000-0000-0000520B0000}"/>
    <cellStyle name="스타일 19" xfId="2898" xr:uid="{00000000-0005-0000-0000-0000530B0000}"/>
    <cellStyle name="스타일 190" xfId="2899" xr:uid="{00000000-0005-0000-0000-0000540B0000}"/>
    <cellStyle name="스타일 191" xfId="2900" xr:uid="{00000000-0005-0000-0000-0000550B0000}"/>
    <cellStyle name="스타일 192" xfId="2901" xr:uid="{00000000-0005-0000-0000-0000560B0000}"/>
    <cellStyle name="스타일 193" xfId="2902" xr:uid="{00000000-0005-0000-0000-0000570B0000}"/>
    <cellStyle name="스타일 194" xfId="2903" xr:uid="{00000000-0005-0000-0000-0000580B0000}"/>
    <cellStyle name="스타일 195" xfId="2904" xr:uid="{00000000-0005-0000-0000-0000590B0000}"/>
    <cellStyle name="스타일 196" xfId="2905" xr:uid="{00000000-0005-0000-0000-00005A0B0000}"/>
    <cellStyle name="스타일 197" xfId="2906" xr:uid="{00000000-0005-0000-0000-00005B0B0000}"/>
    <cellStyle name="스타일 198" xfId="2907" xr:uid="{00000000-0005-0000-0000-00005C0B0000}"/>
    <cellStyle name="스타일 199" xfId="2908" xr:uid="{00000000-0005-0000-0000-00005D0B0000}"/>
    <cellStyle name="스타일 2" xfId="2909" xr:uid="{00000000-0005-0000-0000-00005E0B0000}"/>
    <cellStyle name="스타일 20" xfId="2910" xr:uid="{00000000-0005-0000-0000-00005F0B0000}"/>
    <cellStyle name="스타일 200" xfId="2911" xr:uid="{00000000-0005-0000-0000-0000600B0000}"/>
    <cellStyle name="스타일 201" xfId="2912" xr:uid="{00000000-0005-0000-0000-0000610B0000}"/>
    <cellStyle name="스타일 202" xfId="2913" xr:uid="{00000000-0005-0000-0000-0000620B0000}"/>
    <cellStyle name="스타일 203" xfId="2914" xr:uid="{00000000-0005-0000-0000-0000630B0000}"/>
    <cellStyle name="스타일 204" xfId="2915" xr:uid="{00000000-0005-0000-0000-0000640B0000}"/>
    <cellStyle name="스타일 205" xfId="2916" xr:uid="{00000000-0005-0000-0000-0000650B0000}"/>
    <cellStyle name="스타일 206" xfId="2917" xr:uid="{00000000-0005-0000-0000-0000660B0000}"/>
    <cellStyle name="스타일 207" xfId="2918" xr:uid="{00000000-0005-0000-0000-0000670B0000}"/>
    <cellStyle name="스타일 208" xfId="2919" xr:uid="{00000000-0005-0000-0000-0000680B0000}"/>
    <cellStyle name="스타일 209" xfId="2920" xr:uid="{00000000-0005-0000-0000-0000690B0000}"/>
    <cellStyle name="스타일 21" xfId="2921" xr:uid="{00000000-0005-0000-0000-00006A0B0000}"/>
    <cellStyle name="스타일 210" xfId="2922" xr:uid="{00000000-0005-0000-0000-00006B0B0000}"/>
    <cellStyle name="스타일 211" xfId="2923" xr:uid="{00000000-0005-0000-0000-00006C0B0000}"/>
    <cellStyle name="스타일 212" xfId="2924" xr:uid="{00000000-0005-0000-0000-00006D0B0000}"/>
    <cellStyle name="스타일 213" xfId="2925" xr:uid="{00000000-0005-0000-0000-00006E0B0000}"/>
    <cellStyle name="스타일 214" xfId="2926" xr:uid="{00000000-0005-0000-0000-00006F0B0000}"/>
    <cellStyle name="스타일 215" xfId="2927" xr:uid="{00000000-0005-0000-0000-0000700B0000}"/>
    <cellStyle name="스타일 216" xfId="2928" xr:uid="{00000000-0005-0000-0000-0000710B0000}"/>
    <cellStyle name="스타일 217" xfId="2929" xr:uid="{00000000-0005-0000-0000-0000720B0000}"/>
    <cellStyle name="스타일 218" xfId="2930" xr:uid="{00000000-0005-0000-0000-0000730B0000}"/>
    <cellStyle name="스타일 219" xfId="2931" xr:uid="{00000000-0005-0000-0000-0000740B0000}"/>
    <cellStyle name="스타일 22" xfId="2932" xr:uid="{00000000-0005-0000-0000-0000750B0000}"/>
    <cellStyle name="스타일 220" xfId="2933" xr:uid="{00000000-0005-0000-0000-0000760B0000}"/>
    <cellStyle name="스타일 221" xfId="2934" xr:uid="{00000000-0005-0000-0000-0000770B0000}"/>
    <cellStyle name="스타일 222" xfId="2935" xr:uid="{00000000-0005-0000-0000-0000780B0000}"/>
    <cellStyle name="스타일 223" xfId="2936" xr:uid="{00000000-0005-0000-0000-0000790B0000}"/>
    <cellStyle name="스타일 224" xfId="2937" xr:uid="{00000000-0005-0000-0000-00007A0B0000}"/>
    <cellStyle name="스타일 225" xfId="2938" xr:uid="{00000000-0005-0000-0000-00007B0B0000}"/>
    <cellStyle name="스타일 226" xfId="2939" xr:uid="{00000000-0005-0000-0000-00007C0B0000}"/>
    <cellStyle name="스타일 227" xfId="2940" xr:uid="{00000000-0005-0000-0000-00007D0B0000}"/>
    <cellStyle name="스타일 228" xfId="2941" xr:uid="{00000000-0005-0000-0000-00007E0B0000}"/>
    <cellStyle name="스타일 229" xfId="2942" xr:uid="{00000000-0005-0000-0000-00007F0B0000}"/>
    <cellStyle name="스타일 23" xfId="2943" xr:uid="{00000000-0005-0000-0000-0000800B0000}"/>
    <cellStyle name="스타일 230" xfId="2944" xr:uid="{00000000-0005-0000-0000-0000810B0000}"/>
    <cellStyle name="스타일 231" xfId="2945" xr:uid="{00000000-0005-0000-0000-0000820B0000}"/>
    <cellStyle name="스타일 232" xfId="2946" xr:uid="{00000000-0005-0000-0000-0000830B0000}"/>
    <cellStyle name="스타일 233" xfId="2947" xr:uid="{00000000-0005-0000-0000-0000840B0000}"/>
    <cellStyle name="스타일 234" xfId="2948" xr:uid="{00000000-0005-0000-0000-0000850B0000}"/>
    <cellStyle name="스타일 235" xfId="2949" xr:uid="{00000000-0005-0000-0000-0000860B0000}"/>
    <cellStyle name="스타일 236" xfId="2950" xr:uid="{00000000-0005-0000-0000-0000870B0000}"/>
    <cellStyle name="스타일 237" xfId="2951" xr:uid="{00000000-0005-0000-0000-0000880B0000}"/>
    <cellStyle name="스타일 238" xfId="2952" xr:uid="{00000000-0005-0000-0000-0000890B0000}"/>
    <cellStyle name="스타일 239" xfId="2953" xr:uid="{00000000-0005-0000-0000-00008A0B0000}"/>
    <cellStyle name="스타일 24" xfId="2954" xr:uid="{00000000-0005-0000-0000-00008B0B0000}"/>
    <cellStyle name="스타일 240" xfId="2955" xr:uid="{00000000-0005-0000-0000-00008C0B0000}"/>
    <cellStyle name="스타일 241" xfId="2956" xr:uid="{00000000-0005-0000-0000-00008D0B0000}"/>
    <cellStyle name="스타일 242" xfId="2957" xr:uid="{00000000-0005-0000-0000-00008E0B0000}"/>
    <cellStyle name="스타일 243" xfId="2958" xr:uid="{00000000-0005-0000-0000-00008F0B0000}"/>
    <cellStyle name="스타일 244" xfId="2959" xr:uid="{00000000-0005-0000-0000-0000900B0000}"/>
    <cellStyle name="스타일 245" xfId="2960" xr:uid="{00000000-0005-0000-0000-0000910B0000}"/>
    <cellStyle name="스타일 246" xfId="2961" xr:uid="{00000000-0005-0000-0000-0000920B0000}"/>
    <cellStyle name="스타일 247" xfId="2962" xr:uid="{00000000-0005-0000-0000-0000930B0000}"/>
    <cellStyle name="스타일 248" xfId="2963" xr:uid="{00000000-0005-0000-0000-0000940B0000}"/>
    <cellStyle name="스타일 249" xfId="2964" xr:uid="{00000000-0005-0000-0000-0000950B0000}"/>
    <cellStyle name="스타일 25" xfId="2965" xr:uid="{00000000-0005-0000-0000-0000960B0000}"/>
    <cellStyle name="스타일 250" xfId="2966" xr:uid="{00000000-0005-0000-0000-0000970B0000}"/>
    <cellStyle name="스타일 251" xfId="2967" xr:uid="{00000000-0005-0000-0000-0000980B0000}"/>
    <cellStyle name="스타일 252" xfId="2968" xr:uid="{00000000-0005-0000-0000-0000990B0000}"/>
    <cellStyle name="스타일 253" xfId="2969" xr:uid="{00000000-0005-0000-0000-00009A0B0000}"/>
    <cellStyle name="스타일 254" xfId="2970" xr:uid="{00000000-0005-0000-0000-00009B0B0000}"/>
    <cellStyle name="스타일 255" xfId="2971" xr:uid="{00000000-0005-0000-0000-00009C0B0000}"/>
    <cellStyle name="스타일 26" xfId="2972" xr:uid="{00000000-0005-0000-0000-00009D0B0000}"/>
    <cellStyle name="스타일 27" xfId="2973" xr:uid="{00000000-0005-0000-0000-00009E0B0000}"/>
    <cellStyle name="스타일 28" xfId="2974" xr:uid="{00000000-0005-0000-0000-00009F0B0000}"/>
    <cellStyle name="스타일 29" xfId="2975" xr:uid="{00000000-0005-0000-0000-0000A00B0000}"/>
    <cellStyle name="스타일 3" xfId="2976" xr:uid="{00000000-0005-0000-0000-0000A10B0000}"/>
    <cellStyle name="스타일 30" xfId="2977" xr:uid="{00000000-0005-0000-0000-0000A20B0000}"/>
    <cellStyle name="스타일 31" xfId="2978" xr:uid="{00000000-0005-0000-0000-0000A30B0000}"/>
    <cellStyle name="스타일 32" xfId="2979" xr:uid="{00000000-0005-0000-0000-0000A40B0000}"/>
    <cellStyle name="스타일 33" xfId="2980" xr:uid="{00000000-0005-0000-0000-0000A50B0000}"/>
    <cellStyle name="스타일 34" xfId="2981" xr:uid="{00000000-0005-0000-0000-0000A60B0000}"/>
    <cellStyle name="스타일 35" xfId="2982" xr:uid="{00000000-0005-0000-0000-0000A70B0000}"/>
    <cellStyle name="스타일 36" xfId="2983" xr:uid="{00000000-0005-0000-0000-0000A80B0000}"/>
    <cellStyle name="스타일 37" xfId="2984" xr:uid="{00000000-0005-0000-0000-0000A90B0000}"/>
    <cellStyle name="스타일 38" xfId="2985" xr:uid="{00000000-0005-0000-0000-0000AA0B0000}"/>
    <cellStyle name="스타일 39" xfId="2986" xr:uid="{00000000-0005-0000-0000-0000AB0B0000}"/>
    <cellStyle name="스타일 4" xfId="2987" xr:uid="{00000000-0005-0000-0000-0000AC0B0000}"/>
    <cellStyle name="스타일 40" xfId="2988" xr:uid="{00000000-0005-0000-0000-0000AD0B0000}"/>
    <cellStyle name="스타일 41" xfId="2989" xr:uid="{00000000-0005-0000-0000-0000AE0B0000}"/>
    <cellStyle name="스타일 42" xfId="2990" xr:uid="{00000000-0005-0000-0000-0000AF0B0000}"/>
    <cellStyle name="스타일 43" xfId="2991" xr:uid="{00000000-0005-0000-0000-0000B00B0000}"/>
    <cellStyle name="스타일 44" xfId="2992" xr:uid="{00000000-0005-0000-0000-0000B10B0000}"/>
    <cellStyle name="스타일 45" xfId="2993" xr:uid="{00000000-0005-0000-0000-0000B20B0000}"/>
    <cellStyle name="스타일 46" xfId="2994" xr:uid="{00000000-0005-0000-0000-0000B30B0000}"/>
    <cellStyle name="스타일 47" xfId="2995" xr:uid="{00000000-0005-0000-0000-0000B40B0000}"/>
    <cellStyle name="스타일 48" xfId="2996" xr:uid="{00000000-0005-0000-0000-0000B50B0000}"/>
    <cellStyle name="스타일 49" xfId="2997" xr:uid="{00000000-0005-0000-0000-0000B60B0000}"/>
    <cellStyle name="스타일 5" xfId="2998" xr:uid="{00000000-0005-0000-0000-0000B70B0000}"/>
    <cellStyle name="스타일 50" xfId="2999" xr:uid="{00000000-0005-0000-0000-0000B80B0000}"/>
    <cellStyle name="스타일 51" xfId="3000" xr:uid="{00000000-0005-0000-0000-0000B90B0000}"/>
    <cellStyle name="스타일 52" xfId="3001" xr:uid="{00000000-0005-0000-0000-0000BA0B0000}"/>
    <cellStyle name="스타일 53" xfId="3002" xr:uid="{00000000-0005-0000-0000-0000BB0B0000}"/>
    <cellStyle name="스타일 54" xfId="3003" xr:uid="{00000000-0005-0000-0000-0000BC0B0000}"/>
    <cellStyle name="스타일 55" xfId="3004" xr:uid="{00000000-0005-0000-0000-0000BD0B0000}"/>
    <cellStyle name="스타일 56" xfId="3005" xr:uid="{00000000-0005-0000-0000-0000BE0B0000}"/>
    <cellStyle name="스타일 57" xfId="3006" xr:uid="{00000000-0005-0000-0000-0000BF0B0000}"/>
    <cellStyle name="스타일 58" xfId="3007" xr:uid="{00000000-0005-0000-0000-0000C00B0000}"/>
    <cellStyle name="스타일 59" xfId="3008" xr:uid="{00000000-0005-0000-0000-0000C10B0000}"/>
    <cellStyle name="스타일 6" xfId="3009" xr:uid="{00000000-0005-0000-0000-0000C20B0000}"/>
    <cellStyle name="스타일 60" xfId="3010" xr:uid="{00000000-0005-0000-0000-0000C30B0000}"/>
    <cellStyle name="스타일 61" xfId="3011" xr:uid="{00000000-0005-0000-0000-0000C40B0000}"/>
    <cellStyle name="스타일 62" xfId="3012" xr:uid="{00000000-0005-0000-0000-0000C50B0000}"/>
    <cellStyle name="스타일 63" xfId="3013" xr:uid="{00000000-0005-0000-0000-0000C60B0000}"/>
    <cellStyle name="스타일 64" xfId="3014" xr:uid="{00000000-0005-0000-0000-0000C70B0000}"/>
    <cellStyle name="스타일 65" xfId="3015" xr:uid="{00000000-0005-0000-0000-0000C80B0000}"/>
    <cellStyle name="스타일 66" xfId="3016" xr:uid="{00000000-0005-0000-0000-0000C90B0000}"/>
    <cellStyle name="스타일 67" xfId="3017" xr:uid="{00000000-0005-0000-0000-0000CA0B0000}"/>
    <cellStyle name="스타일 68" xfId="3018" xr:uid="{00000000-0005-0000-0000-0000CB0B0000}"/>
    <cellStyle name="스타일 69" xfId="3019" xr:uid="{00000000-0005-0000-0000-0000CC0B0000}"/>
    <cellStyle name="스타일 7" xfId="3020" xr:uid="{00000000-0005-0000-0000-0000CD0B0000}"/>
    <cellStyle name="스타일 70" xfId="3021" xr:uid="{00000000-0005-0000-0000-0000CE0B0000}"/>
    <cellStyle name="스타일 71" xfId="3022" xr:uid="{00000000-0005-0000-0000-0000CF0B0000}"/>
    <cellStyle name="스타일 72" xfId="3023" xr:uid="{00000000-0005-0000-0000-0000D00B0000}"/>
    <cellStyle name="스타일 73" xfId="3024" xr:uid="{00000000-0005-0000-0000-0000D10B0000}"/>
    <cellStyle name="스타일 74" xfId="3025" xr:uid="{00000000-0005-0000-0000-0000D20B0000}"/>
    <cellStyle name="스타일 75" xfId="3026" xr:uid="{00000000-0005-0000-0000-0000D30B0000}"/>
    <cellStyle name="스타일 76" xfId="3027" xr:uid="{00000000-0005-0000-0000-0000D40B0000}"/>
    <cellStyle name="스타일 77" xfId="3028" xr:uid="{00000000-0005-0000-0000-0000D50B0000}"/>
    <cellStyle name="스타일 78" xfId="3029" xr:uid="{00000000-0005-0000-0000-0000D60B0000}"/>
    <cellStyle name="스타일 79" xfId="3030" xr:uid="{00000000-0005-0000-0000-0000D70B0000}"/>
    <cellStyle name="스타일 8" xfId="3031" xr:uid="{00000000-0005-0000-0000-0000D80B0000}"/>
    <cellStyle name="스타일 80" xfId="3032" xr:uid="{00000000-0005-0000-0000-0000D90B0000}"/>
    <cellStyle name="스타일 81" xfId="3033" xr:uid="{00000000-0005-0000-0000-0000DA0B0000}"/>
    <cellStyle name="스타일 82" xfId="3034" xr:uid="{00000000-0005-0000-0000-0000DB0B0000}"/>
    <cellStyle name="스타일 83" xfId="3035" xr:uid="{00000000-0005-0000-0000-0000DC0B0000}"/>
    <cellStyle name="스타일 84" xfId="3036" xr:uid="{00000000-0005-0000-0000-0000DD0B0000}"/>
    <cellStyle name="스타일 85" xfId="3037" xr:uid="{00000000-0005-0000-0000-0000DE0B0000}"/>
    <cellStyle name="스타일 86" xfId="3038" xr:uid="{00000000-0005-0000-0000-0000DF0B0000}"/>
    <cellStyle name="스타일 87" xfId="3039" xr:uid="{00000000-0005-0000-0000-0000E00B0000}"/>
    <cellStyle name="스타일 88" xfId="3040" xr:uid="{00000000-0005-0000-0000-0000E10B0000}"/>
    <cellStyle name="스타일 89" xfId="3041" xr:uid="{00000000-0005-0000-0000-0000E20B0000}"/>
    <cellStyle name="스타일 9" xfId="3042" xr:uid="{00000000-0005-0000-0000-0000E30B0000}"/>
    <cellStyle name="스타일 90" xfId="3043" xr:uid="{00000000-0005-0000-0000-0000E40B0000}"/>
    <cellStyle name="스타일 91" xfId="3044" xr:uid="{00000000-0005-0000-0000-0000E50B0000}"/>
    <cellStyle name="스타일 92" xfId="3045" xr:uid="{00000000-0005-0000-0000-0000E60B0000}"/>
    <cellStyle name="스타일 93" xfId="3046" xr:uid="{00000000-0005-0000-0000-0000E70B0000}"/>
    <cellStyle name="스타일 94" xfId="3047" xr:uid="{00000000-0005-0000-0000-0000E80B0000}"/>
    <cellStyle name="스타일 95" xfId="3048" xr:uid="{00000000-0005-0000-0000-0000E90B0000}"/>
    <cellStyle name="스타일 96" xfId="3049" xr:uid="{00000000-0005-0000-0000-0000EA0B0000}"/>
    <cellStyle name="스타일 97" xfId="3050" xr:uid="{00000000-0005-0000-0000-0000EB0B0000}"/>
    <cellStyle name="스타일 98" xfId="3051" xr:uid="{00000000-0005-0000-0000-0000EC0B0000}"/>
    <cellStyle name="스타일 99" xfId="3052" xr:uid="{00000000-0005-0000-0000-0000ED0B0000}"/>
    <cellStyle name="안건회계법인" xfId="3053" xr:uid="{00000000-0005-0000-0000-0000EE0B0000}"/>
    <cellStyle name="열어 본 하이퍼링크" xfId="3115" builtinId="9" hidden="1"/>
    <cellStyle name="왼쪽2" xfId="3054" xr:uid="{00000000-0005-0000-0000-0000F00B0000}"/>
    <cellStyle name="원" xfId="3055" xr:uid="{00000000-0005-0000-0000-0000F10B0000}"/>
    <cellStyle name="유1" xfId="3056" xr:uid="{00000000-0005-0000-0000-0000F20B0000}"/>
    <cellStyle name="유영" xfId="3057" xr:uid="{00000000-0005-0000-0000-0000F30B0000}"/>
    <cellStyle name="자리수" xfId="3058" xr:uid="{00000000-0005-0000-0000-0000F40B0000}"/>
    <cellStyle name="자리수 - 유형1" xfId="3059" xr:uid="{00000000-0005-0000-0000-0000F50B0000}"/>
    <cellStyle name="자리수_~MGaE" xfId="3060" xr:uid="{00000000-0005-0000-0000-0000F60B0000}"/>
    <cellStyle name="자리수0" xfId="3061" xr:uid="{00000000-0005-0000-0000-0000F70B0000}"/>
    <cellStyle name="정기수 - 유형1" xfId="3062" xr:uid="{00000000-0005-0000-0000-0000F80B0000}"/>
    <cellStyle name="제목 1(左)" xfId="3063" xr:uid="{00000000-0005-0000-0000-0000F90B0000}"/>
    <cellStyle name="제목 1(中)" xfId="3064" xr:uid="{00000000-0005-0000-0000-0000FA0B0000}"/>
    <cellStyle name="제목[1 줄]" xfId="3065" xr:uid="{00000000-0005-0000-0000-0000FB0B0000}"/>
    <cellStyle name="제목[2줄 아래]" xfId="3066" xr:uid="{00000000-0005-0000-0000-0000FC0B0000}"/>
    <cellStyle name="제목[2줄 위]" xfId="3067" xr:uid="{00000000-0005-0000-0000-0000FD0B0000}"/>
    <cellStyle name="제목1" xfId="3068" xr:uid="{00000000-0005-0000-0000-0000FE0B0000}"/>
    <cellStyle name="제목2" xfId="3069" xr:uid="{00000000-0005-0000-0000-0000FF0B0000}"/>
    <cellStyle name="좋음 2" xfId="3070" xr:uid="{00000000-0005-0000-0000-0000000C0000}"/>
    <cellStyle name="지정되지 않음" xfId="3071" xr:uid="{00000000-0005-0000-0000-0000010C0000}"/>
    <cellStyle name="콤" xfId="3072" xr:uid="{00000000-0005-0000-0000-0000020C0000}"/>
    <cellStyle name="콤마 [" xfId="3073" xr:uid="{00000000-0005-0000-0000-0000030C0000}"/>
    <cellStyle name="콤마 []" xfId="3075" xr:uid="{00000000-0005-0000-0000-0000050C0000}"/>
    <cellStyle name="콤마 [#]" xfId="3074" xr:uid="{00000000-0005-0000-0000-0000040C0000}"/>
    <cellStyle name="콤마 [0]" xfId="3076" xr:uid="{00000000-0005-0000-0000-0000060C0000}"/>
    <cellStyle name="콤마 [1]" xfId="3077" xr:uid="{00000000-0005-0000-0000-0000070C0000}"/>
    <cellStyle name="콤마 [2]" xfId="3078" xr:uid="{00000000-0005-0000-0000-0000080C0000}"/>
    <cellStyle name="콤마 [금액]" xfId="3079" xr:uid="{00000000-0005-0000-0000-0000090C0000}"/>
    <cellStyle name="콤마 [소수]" xfId="3080" xr:uid="{00000000-0005-0000-0000-00000A0C0000}"/>
    <cellStyle name="콤마 [수량]" xfId="3081" xr:uid="{00000000-0005-0000-0000-00000B0C0000}"/>
    <cellStyle name="콤마 1" xfId="3082" xr:uid="{00000000-0005-0000-0000-00000C0C0000}"/>
    <cellStyle name="콤마_  종  합  " xfId="3088" xr:uid="{00000000-0005-0000-0000-0000120C0000}"/>
    <cellStyle name="콤마[ ]" xfId="3083" xr:uid="{00000000-0005-0000-0000-00000D0C0000}"/>
    <cellStyle name="콤마[,]" xfId="3085" xr:uid="{00000000-0005-0000-0000-00000F0C0000}"/>
    <cellStyle name="콤마[.]" xfId="3086" xr:uid="{00000000-0005-0000-0000-0000100C0000}"/>
    <cellStyle name="콤마[*]" xfId="3084" xr:uid="{00000000-0005-0000-0000-00000E0C0000}"/>
    <cellStyle name="콤마[0]" xfId="3087" xr:uid="{00000000-0005-0000-0000-0000110C0000}"/>
    <cellStyle name="통" xfId="3089" xr:uid="{00000000-0005-0000-0000-0000130C0000}"/>
    <cellStyle name="통화 [" xfId="3090" xr:uid="{00000000-0005-0000-0000-0000140C0000}"/>
    <cellStyle name="통화 [0㉝〸" xfId="3091" xr:uid="{00000000-0005-0000-0000-0000150C0000}"/>
    <cellStyle name="퍼센트" xfId="3092" xr:uid="{00000000-0005-0000-0000-0000160C0000}"/>
    <cellStyle name="표" xfId="3093" xr:uid="{00000000-0005-0000-0000-0000170C0000}"/>
    <cellStyle name="표(가는선,가운데,중앙)" xfId="3094" xr:uid="{00000000-0005-0000-0000-0000180C0000}"/>
    <cellStyle name="표(가는선,왼쪽,중앙)" xfId="3095" xr:uid="{00000000-0005-0000-0000-0000190C0000}"/>
    <cellStyle name="표(세로쓰기)" xfId="3096" xr:uid="{00000000-0005-0000-0000-00001A0C0000}"/>
    <cellStyle name="표머릿글(上)" xfId="3097" xr:uid="{00000000-0005-0000-0000-00001B0C0000}"/>
    <cellStyle name="표머릿글(中)" xfId="3098" xr:uid="{00000000-0005-0000-0000-00001C0C0000}"/>
    <cellStyle name="표머릿글(下)" xfId="3099" xr:uid="{00000000-0005-0000-0000-00001D0C0000}"/>
    <cellStyle name="표준" xfId="0" builtinId="0"/>
    <cellStyle name="표준 2" xfId="3100" xr:uid="{00000000-0005-0000-0000-00001F0C0000}"/>
    <cellStyle name="표준 2 2" xfId="3101" xr:uid="{00000000-0005-0000-0000-0000200C0000}"/>
    <cellStyle name="표준 3" xfId="3102" xr:uid="{00000000-0005-0000-0000-0000210C0000}"/>
    <cellStyle name="표준 4" xfId="3103" xr:uid="{00000000-0005-0000-0000-0000220C0000}"/>
    <cellStyle name="표준 5" xfId="3104" xr:uid="{00000000-0005-0000-0000-0000230C0000}"/>
    <cellStyle name="표준 6" xfId="3112" xr:uid="{00000000-0005-0000-0000-0000240C0000}"/>
    <cellStyle name="標準_Akia(F）-8" xfId="3105" xr:uid="{00000000-0005-0000-0000-0000250C0000}"/>
    <cellStyle name="표준℘Sheet8 (3)" xfId="3108" xr:uid="{00000000-0005-0000-0000-0000280C0000}"/>
    <cellStyle name="표준1" xfId="3106" xr:uid="{00000000-0005-0000-0000-0000260C0000}"/>
    <cellStyle name="표준2" xfId="3107" xr:uid="{00000000-0005-0000-0000-0000270C0000}"/>
    <cellStyle name="하이퍼링크" xfId="3114" builtinId="8" hidden="1"/>
    <cellStyle name="합산" xfId="3109" xr:uid="{00000000-0005-0000-0000-00002A0C0000}"/>
    <cellStyle name="화폐기호" xfId="3110" xr:uid="{00000000-0005-0000-0000-00002B0C0000}"/>
    <cellStyle name="화폐기호0" xfId="3111" xr:uid="{00000000-0005-0000-0000-00002C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_ 2ÆAAþº° " xfId="2659" xr:uid="{00000000-0005-0000-0000-0000620A0000}"/>
    <cellStyle name="ÄÞ¸¶_¸ðÇü¸·" xfId="2660" xr:uid="{00000000-0005-0000-0000-0000630A0000}"/>
    <cellStyle name="AÞ¸¶_95³aAN°y¼o·R " xfId="2661" xr:uid="{00000000-0005-0000-0000-0000640A0000}"/>
    <cellStyle name="ÄÞ¸¶_Á¤»ê¼­°©Áö" xfId="2662" xr:uid="{00000000-0005-0000-0000-0000650A0000}"/>
    <cellStyle name="AÞ¸¶_A¾CO½A¼³ " xfId="2663" xr:uid="{00000000-0005-0000-0000-0000660A0000}"/>
    <cellStyle name="C¡IA¨ª_¡ic¨u¡A¨￢I¨￢¡Æ AN¡Æe " xfId="2664" xr:uid="{00000000-0005-0000-0000-0000670A0000}"/>
    <cellStyle name="C￥AØ_ °u¸R½CCa1" xfId="2665" xr:uid="{00000000-0005-0000-0000-0000680A0000}"/>
    <cellStyle name="Ç¥ÁØ_»óºÎ¼ö·®Áý°è " xfId="2666" xr:uid="{00000000-0005-0000-0000-0000690A0000}"/>
    <cellStyle name="C￥AØ_°­´c (2)" xfId="2667" xr:uid="{00000000-0005-0000-0000-00006A0A0000}"/>
    <cellStyle name="Ç¥ÁØ_°­´ç (2)" xfId="2668" xr:uid="{00000000-0005-0000-0000-00006B0A0000}"/>
    <cellStyle name="C￥AØ_¼³°e¿e¿ª" xfId="2669" xr:uid="{00000000-0005-0000-0000-00006C0A0000}"/>
    <cellStyle name="Ç¥ÁØ_¼öÀÍ¼º " xfId="2670" xr:uid="{00000000-0005-0000-0000-00006D0A0000}"/>
    <cellStyle name="C￥AØ_95³aAN°y¼o·R " xfId="2671" xr:uid="{00000000-0005-0000-0000-00006E0A0000}"/>
    <cellStyle name="Calc Currency (0)" xfId="2672" xr:uid="{00000000-0005-0000-0000-00006F0A0000}"/>
    <cellStyle name="category" xfId="2673" xr:uid="{00000000-0005-0000-0000-0000700A0000}"/>
    <cellStyle name="CIAIÆU¸μAⓒ" xfId="2674" xr:uid="{00000000-0005-0000-0000-0000710A0000}"/>
    <cellStyle name="comma zerodec" xfId="2675" xr:uid="{00000000-0005-0000-0000-0000720A0000}"/>
    <cellStyle name="Comma0" xfId="2676" xr:uid="{00000000-0005-0000-0000-0000730A0000}"/>
    <cellStyle name="Copied" xfId="2677" xr:uid="{00000000-0005-0000-0000-0000740A0000}"/>
    <cellStyle name="COST1" xfId="2678" xr:uid="{00000000-0005-0000-0000-0000750A0000}"/>
    <cellStyle name="Curre~cy [0]_MATERAL2" xfId="2679" xr:uid="{00000000-0005-0000-0000-0000760A0000}"/>
    <cellStyle name="Curren?_x0012_퐀_x0017_?" xfId="2680" xr:uid="{00000000-0005-0000-0000-0000770A0000}"/>
    <cellStyle name="Currency [0]͢laroux_1" xfId="2681" xr:uid="{00000000-0005-0000-0000-0000780A0000}"/>
    <cellStyle name="currency-$" xfId="2682" xr:uid="{00000000-0005-0000-0000-0000790A0000}"/>
    <cellStyle name="Currency0" xfId="2683" xr:uid="{00000000-0005-0000-0000-00007A0A0000}"/>
    <cellStyle name="Currency1" xfId="2684" xr:uid="{00000000-0005-0000-0000-00007B0A0000}"/>
    <cellStyle name="Date" xfId="2685" xr:uid="{00000000-0005-0000-0000-00007C0A0000}"/>
    <cellStyle name="Dezimal [0]_laroux" xfId="2686" xr:uid="{00000000-0005-0000-0000-00007D0A0000}"/>
    <cellStyle name="Dezimal_laroux" xfId="2687" xr:uid="{00000000-0005-0000-0000-00007E0A0000}"/>
    <cellStyle name="Dollar (zero dec)" xfId="2688" xr:uid="{00000000-0005-0000-0000-00007F0A0000}"/>
    <cellStyle name="EA" xfId="2689" xr:uid="{00000000-0005-0000-0000-0000800A0000}"/>
    <cellStyle name="Entered" xfId="2690" xr:uid="{00000000-0005-0000-0000-0000810A0000}"/>
    <cellStyle name="ÊÝ [0.00]_Region Orders (2)" xfId="1101" xr:uid="{00000000-0005-0000-0000-00004C040000}"/>
    <cellStyle name="ÊÝ_Region Orders (2)" xfId="1102" xr:uid="{00000000-0005-0000-0000-00004D040000}"/>
    <cellStyle name="F2" xfId="2691" xr:uid="{00000000-0005-0000-0000-0000820A0000}"/>
    <cellStyle name="F3" xfId="2692" xr:uid="{00000000-0005-0000-0000-0000830A0000}"/>
    <cellStyle name="F4" xfId="2693" xr:uid="{00000000-0005-0000-0000-0000840A0000}"/>
    <cellStyle name="F5" xfId="2694" xr:uid="{00000000-0005-0000-0000-0000850A0000}"/>
    <cellStyle name="F6" xfId="2695" xr:uid="{00000000-0005-0000-0000-0000860A0000}"/>
    <cellStyle name="F7" xfId="2696" xr:uid="{00000000-0005-0000-0000-0000870A0000}"/>
    <cellStyle name="F8" xfId="2697" xr:uid="{00000000-0005-0000-0000-0000880A0000}"/>
    <cellStyle name="Fixed" xfId="2698" xr:uid="{00000000-0005-0000-0000-0000890A0000}"/>
    <cellStyle name="Grey" xfId="2699" xr:uid="{00000000-0005-0000-0000-00008A0A0000}"/>
    <cellStyle name="H1" xfId="2700" xr:uid="{00000000-0005-0000-0000-00008B0A0000}"/>
    <cellStyle name="H2" xfId="2701" xr:uid="{00000000-0005-0000-0000-00008C0A0000}"/>
    <cellStyle name="HEADER" xfId="2702" xr:uid="{00000000-0005-0000-0000-00008D0A0000}"/>
    <cellStyle name="Header1" xfId="2703" xr:uid="{00000000-0005-0000-0000-00008E0A0000}"/>
    <cellStyle name="Header2" xfId="2704" xr:uid="{00000000-0005-0000-0000-00008F0A0000}"/>
    <cellStyle name="Heading 1" xfId="2705" xr:uid="{00000000-0005-0000-0000-0000900A0000}"/>
    <cellStyle name="Heading 2" xfId="2706" xr:uid="{00000000-0005-0000-0000-0000910A0000}"/>
    <cellStyle name="Heading1" xfId="2707" xr:uid="{00000000-0005-0000-0000-0000920A0000}"/>
    <cellStyle name="Heading2" xfId="2708" xr:uid="{00000000-0005-0000-0000-0000930A0000}"/>
    <cellStyle name="Input [yellow]" xfId="2709" xr:uid="{00000000-0005-0000-0000-0000940A0000}"/>
    <cellStyle name="Input Cells" xfId="2710" xr:uid="{00000000-0005-0000-0000-0000950A0000}"/>
    <cellStyle name="kg" xfId="2711" xr:uid="{00000000-0005-0000-0000-0000960A0000}"/>
    <cellStyle name="Linked Cells" xfId="2712" xr:uid="{00000000-0005-0000-0000-0000970A0000}"/>
    <cellStyle name="M" xfId="2713" xr:uid="{00000000-0005-0000-0000-0000980A0000}"/>
    <cellStyle name="M2" xfId="2714" xr:uid="{00000000-0005-0000-0000-0000990A0000}"/>
    <cellStyle name="M3" xfId="2715" xr:uid="{00000000-0005-0000-0000-00009A0A0000}"/>
    <cellStyle name="Milliers [0]_Arabian Spec" xfId="2716" xr:uid="{00000000-0005-0000-0000-00009B0A0000}"/>
    <cellStyle name="Milliers_Arabian Spec" xfId="2717" xr:uid="{00000000-0005-0000-0000-00009C0A0000}"/>
    <cellStyle name="mma_CASH &amp; DSO" xfId="2718" xr:uid="{00000000-0005-0000-0000-00009D0A0000}"/>
    <cellStyle name="Model" xfId="2719" xr:uid="{00000000-0005-0000-0000-00009E0A0000}"/>
    <cellStyle name="Mon?aire [0]_Arabian Spec" xfId="2720" xr:uid="{00000000-0005-0000-0000-00009F0A0000}"/>
    <cellStyle name="Mon?aire_Arabian Spec" xfId="2721" xr:uid="{00000000-0005-0000-0000-0000A00A0000}"/>
    <cellStyle name="Monétaire [0]_CTC" xfId="2722" xr:uid="{00000000-0005-0000-0000-0000A10A0000}"/>
    <cellStyle name="Monétaire_CTC" xfId="2723" xr:uid="{00000000-0005-0000-0000-0000A20A0000}"/>
    <cellStyle name="no dec" xfId="2724" xr:uid="{00000000-0005-0000-0000-0000A30A0000}"/>
    <cellStyle name="Normal - 유형1" xfId="2726" xr:uid="{00000000-0005-0000-0000-0000A50A0000}"/>
    <cellStyle name="Normal - Style1" xfId="2725" xr:uid="{00000000-0005-0000-0000-0000A40A0000}"/>
    <cellStyle name="Œ…?æ맖?e [0.00]_laroux" xfId="2727" xr:uid="{00000000-0005-0000-0000-0000A60A0000}"/>
    <cellStyle name="Œ…?æ맖?e_laroux" xfId="2728" xr:uid="{00000000-0005-0000-0000-0000A70A0000}"/>
    <cellStyle name="oft Excel]_x000d__x000a_Comment=The open=/f lines load custom functions into the Paste Function list._x000d__x000a_Maximized=3_x000d__x000a_AutoFormat=" xfId="2729" xr:uid="{00000000-0005-0000-0000-0000A80A0000}"/>
    <cellStyle name="oh" xfId="2730" xr:uid="{00000000-0005-0000-0000-0000A90A0000}"/>
    <cellStyle name="per.style" xfId="2731" xr:uid="{00000000-0005-0000-0000-0000AA0A0000}"/>
    <cellStyle name="Percent [2]" xfId="2732" xr:uid="{00000000-0005-0000-0000-0000AB0A0000}"/>
    <cellStyle name="pricing" xfId="2733" xr:uid="{00000000-0005-0000-0000-0000AC0A0000}"/>
    <cellStyle name="PSChar" xfId="2734" xr:uid="{00000000-0005-0000-0000-0000AD0A0000}"/>
    <cellStyle name="RevList" xfId="2735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AF0A0000}"/>
    <cellStyle name="sh" xfId="2737" xr:uid="{00000000-0005-0000-0000-0000B00A0000}"/>
    <cellStyle name="ssh" xfId="2738" xr:uid="{00000000-0005-0000-0000-0000B10A0000}"/>
    <cellStyle name="STANDARD" xfId="2739" xr:uid="{00000000-0005-0000-0000-0000B20A0000}"/>
    <cellStyle name="STD" xfId="2740" xr:uid="{00000000-0005-0000-0000-0000B30A0000}"/>
    <cellStyle name="subhead" xfId="2741" xr:uid="{00000000-0005-0000-0000-0000B40A0000}"/>
    <cellStyle name="Subtotal" xfId="2742" xr:uid="{00000000-0005-0000-0000-0000B50A0000}"/>
    <cellStyle name="Title" xfId="2743" xr:uid="{00000000-0005-0000-0000-0000B60A0000}"/>
    <cellStyle name="title [1]" xfId="2744" xr:uid="{00000000-0005-0000-0000-0000B70A0000}"/>
    <cellStyle name="title [2]" xfId="2745" xr:uid="{00000000-0005-0000-0000-0000B80A0000}"/>
    <cellStyle name="Total" xfId="2746" xr:uid="{00000000-0005-0000-0000-0000B90A0000}"/>
    <cellStyle name="UM" xfId="2747" xr:uid="{00000000-0005-0000-0000-0000BA0A0000}"/>
    <cellStyle name="W_Pacific Region P&amp;L" xfId="1103" xr:uid="{00000000-0005-0000-0000-00004E040000}"/>
    <cellStyle name="W?rung [0]_laroux" xfId="2748" xr:uid="{00000000-0005-0000-0000-0000BB0A0000}"/>
    <cellStyle name="W?rung_laroux" xfId="2749" xr:uid="{00000000-0005-0000-0000-0000BC0A0000}"/>
    <cellStyle name="μU¿¡ ¿A´A CIAIÆU¸μAⓒ" xfId="2750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38</xdr:row>
      <xdr:rowOff>200025</xdr:rowOff>
    </xdr:from>
    <xdr:to>
      <xdr:col>27</xdr:col>
      <xdr:colOff>106680</xdr:colOff>
      <xdr:row>40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076565"/>
          <a:ext cx="852805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32</xdr:row>
      <xdr:rowOff>238125</xdr:rowOff>
    </xdr:from>
    <xdr:to>
      <xdr:col>2</xdr:col>
      <xdr:colOff>568325</xdr:colOff>
      <xdr:row>36</xdr:row>
      <xdr:rowOff>104775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7904" y="8562340"/>
          <a:ext cx="1168401" cy="10401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33</xdr:row>
      <xdr:rowOff>247649</xdr:rowOff>
    </xdr:from>
    <xdr:to>
      <xdr:col>7</xdr:col>
      <xdr:colOff>634365</xdr:colOff>
      <xdr:row>36</xdr:row>
      <xdr:rowOff>179070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8405" y="8865235"/>
          <a:ext cx="824865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F1594"/>
  <sheetViews>
    <sheetView view="pageBreakPreview" topLeftCell="C1" zoomScaleNormal="100" zoomScaleSheetLayoutView="100" workbookViewId="0">
      <selection activeCell="H26" sqref="H26"/>
    </sheetView>
  </sheetViews>
  <sheetFormatPr baseColWidth="10" defaultColWidth="8.83203125" defaultRowHeight="14"/>
  <cols>
    <col min="1" max="3" width="8.83203125" style="90" customWidth="1"/>
    <col min="4" max="5" width="3.33203125" style="92" customWidth="1"/>
    <col min="6" max="12" width="3.33203125" style="91" customWidth="1"/>
    <col min="13" max="31" width="3.33203125" style="90" customWidth="1"/>
    <col min="32" max="32" width="2.33203125" style="90" customWidth="1"/>
    <col min="33" max="259" width="6.83203125" style="90" customWidth="1"/>
    <col min="260" max="260" width="8.83203125" style="90" customWidth="1"/>
    <col min="261" max="16384" width="8.83203125" style="90"/>
  </cols>
  <sheetData>
    <row r="1" spans="3:31" s="96" customFormat="1" ht="42" customHeight="1">
      <c r="C1" s="138"/>
      <c r="D1" s="159" t="s">
        <v>86</v>
      </c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</row>
    <row r="2" spans="3:31" s="96" customFormat="1" ht="12" customHeight="1"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9"/>
      <c r="AC2" s="139"/>
      <c r="AD2" s="139"/>
      <c r="AE2" s="139"/>
    </row>
    <row r="3" spans="3:31" s="96" customFormat="1" ht="18" customHeight="1">
      <c r="C3" s="138"/>
      <c r="D3" s="160" t="s">
        <v>200</v>
      </c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</row>
    <row r="4" spans="3:31" s="96" customFormat="1" ht="7.5" customHeight="1">
      <c r="C4" s="138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1"/>
      <c r="AC4" s="141"/>
      <c r="AD4" s="141"/>
      <c r="AE4" s="141"/>
    </row>
    <row r="5" spans="3:31" s="96" customFormat="1" ht="5" customHeight="1"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9"/>
      <c r="AC5" s="139"/>
      <c r="AD5" s="139"/>
      <c r="AE5" s="139"/>
    </row>
    <row r="6" spans="3:31" s="96" customFormat="1" ht="20" customHeight="1">
      <c r="C6" s="138"/>
      <c r="D6" s="161" t="s">
        <v>85</v>
      </c>
      <c r="E6" s="161"/>
      <c r="F6" s="161"/>
      <c r="G6" s="161"/>
      <c r="H6" s="162" t="s">
        <v>84</v>
      </c>
      <c r="I6" s="162"/>
      <c r="J6" s="162"/>
      <c r="K6" s="162"/>
      <c r="L6" s="162"/>
      <c r="M6" s="162"/>
      <c r="N6" s="143"/>
      <c r="O6" s="143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</row>
    <row r="7" spans="3:31" s="96" customFormat="1" ht="20" customHeight="1">
      <c r="C7" s="138"/>
      <c r="D7" s="161" t="s">
        <v>83</v>
      </c>
      <c r="E7" s="161"/>
      <c r="F7" s="161"/>
      <c r="G7" s="161"/>
      <c r="H7" s="163">
        <v>46072</v>
      </c>
      <c r="I7" s="163"/>
      <c r="J7" s="163"/>
      <c r="K7" s="163"/>
      <c r="L7" s="163"/>
      <c r="M7" s="163"/>
      <c r="N7" s="163"/>
      <c r="O7" s="163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</row>
    <row r="8" spans="3:31" s="96" customFormat="1" ht="20" customHeight="1">
      <c r="C8" s="138"/>
      <c r="D8" s="161" t="s">
        <v>82</v>
      </c>
      <c r="E8" s="161"/>
      <c r="F8" s="161"/>
      <c r="G8" s="161"/>
      <c r="H8" s="162" t="s">
        <v>88</v>
      </c>
      <c r="I8" s="162"/>
      <c r="J8" s="162"/>
      <c r="K8" s="162"/>
      <c r="L8" s="162"/>
      <c r="M8" s="162"/>
      <c r="N8" s="162"/>
      <c r="O8" s="162"/>
      <c r="P8" s="138" t="s">
        <v>87</v>
      </c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</row>
    <row r="9" spans="3:31" s="96" customFormat="1" ht="20" customHeight="1">
      <c r="C9" s="138"/>
      <c r="D9" s="161" t="s">
        <v>81</v>
      </c>
      <c r="E9" s="161"/>
      <c r="F9" s="161"/>
      <c r="G9" s="161"/>
      <c r="H9" s="143" t="s">
        <v>80</v>
      </c>
      <c r="I9" s="143"/>
      <c r="J9" s="143"/>
      <c r="K9" s="143"/>
      <c r="L9" s="143"/>
      <c r="M9" s="143"/>
      <c r="N9" s="143"/>
      <c r="O9" s="143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</row>
    <row r="10" spans="3:31" s="96" customFormat="1" ht="20" customHeight="1">
      <c r="C10" s="138"/>
      <c r="D10" s="161" t="s">
        <v>79</v>
      </c>
      <c r="E10" s="161"/>
      <c r="F10" s="161"/>
      <c r="G10" s="161"/>
      <c r="H10" s="162" t="s">
        <v>195</v>
      </c>
      <c r="I10" s="162"/>
      <c r="J10" s="162"/>
      <c r="K10" s="162"/>
      <c r="L10" s="162"/>
      <c r="M10" s="143" t="s">
        <v>206</v>
      </c>
      <c r="N10" s="143"/>
      <c r="O10" s="143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</row>
    <row r="11" spans="3:31" s="96" customFormat="1" ht="13.5" hidden="1" customHeight="1">
      <c r="C11" s="138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</row>
    <row r="12" spans="3:31" s="96" customFormat="1" ht="7.5" customHeight="1">
      <c r="C12" s="138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</row>
    <row r="13" spans="3:31" s="96" customFormat="1" ht="5" customHeight="1"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</row>
    <row r="14" spans="3:31" s="96" customFormat="1" ht="16" customHeight="1">
      <c r="C14" s="138"/>
      <c r="D14" s="164" t="s">
        <v>238</v>
      </c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</row>
    <row r="15" spans="3:31" s="96" customFormat="1" ht="10" customHeight="1"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</row>
    <row r="16" spans="3:31" s="96" customFormat="1" ht="70" customHeight="1">
      <c r="C16" s="138"/>
      <c r="D16" s="165" t="s">
        <v>239</v>
      </c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</row>
    <row r="17" spans="3:31" s="96" customFormat="1" ht="5" customHeight="1"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</row>
    <row r="18" spans="3:31" s="96" customFormat="1" ht="33" customHeight="1">
      <c r="C18" s="138"/>
      <c r="D18" s="165" t="s">
        <v>240</v>
      </c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</row>
    <row r="19" spans="3:31" s="96" customFormat="1" ht="10" customHeight="1"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</row>
    <row r="20" spans="3:31" s="96" customFormat="1" ht="16" customHeight="1">
      <c r="C20" s="138"/>
      <c r="D20" s="164" t="s">
        <v>241</v>
      </c>
      <c r="E20" s="164"/>
      <c r="F20" s="164"/>
      <c r="G20" s="164"/>
      <c r="H20" s="164"/>
      <c r="I20" s="164"/>
      <c r="J20" s="164"/>
      <c r="K20" s="164"/>
      <c r="L20" s="164"/>
      <c r="M20" s="164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</row>
    <row r="21" spans="3:31" s="96" customFormat="1" ht="16" customHeight="1">
      <c r="C21" s="138"/>
      <c r="D21" s="138"/>
      <c r="E21" s="138"/>
      <c r="F21" s="138"/>
      <c r="G21" s="138"/>
      <c r="H21" s="164" t="s">
        <v>254</v>
      </c>
      <c r="I21" s="164"/>
      <c r="J21" s="164"/>
      <c r="K21" s="164"/>
      <c r="L21" s="164"/>
      <c r="M21" s="164"/>
      <c r="N21" s="162" t="str">
        <f>H8</f>
        <v>효성뉴서울5차아파트</v>
      </c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</row>
    <row r="22" spans="3:31" s="96" customFormat="1" ht="16" customHeight="1">
      <c r="C22" s="138"/>
      <c r="D22" s="138"/>
      <c r="E22" s="138"/>
      <c r="F22" s="138"/>
      <c r="G22" s="138"/>
      <c r="H22" s="164" t="s">
        <v>255</v>
      </c>
      <c r="I22" s="164"/>
      <c r="J22" s="164"/>
      <c r="K22" s="164"/>
      <c r="L22" s="164"/>
      <c r="M22" s="164"/>
      <c r="N22" s="162" t="s">
        <v>89</v>
      </c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</row>
    <row r="23" spans="3:31" s="96" customFormat="1" ht="16" customHeight="1">
      <c r="C23" s="138"/>
      <c r="D23" s="138"/>
      <c r="E23" s="138"/>
      <c r="F23" s="138"/>
      <c r="G23" s="138"/>
      <c r="H23" s="164" t="s">
        <v>256</v>
      </c>
      <c r="I23" s="164"/>
      <c r="J23" s="164"/>
      <c r="K23" s="164"/>
      <c r="L23" s="164"/>
      <c r="M23" s="164"/>
      <c r="N23" s="162" t="s">
        <v>90</v>
      </c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</row>
    <row r="24" spans="3:31" s="96" customFormat="1" ht="16" customHeight="1">
      <c r="C24" s="138"/>
      <c r="D24" s="138"/>
      <c r="E24" s="138"/>
      <c r="F24" s="138"/>
      <c r="G24" s="138"/>
      <c r="H24" s="164" t="s">
        <v>257</v>
      </c>
      <c r="I24" s="164"/>
      <c r="J24" s="164"/>
      <c r="K24" s="164"/>
      <c r="L24" s="164"/>
      <c r="M24" s="164"/>
      <c r="N24" s="162" t="s">
        <v>91</v>
      </c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</row>
    <row r="25" spans="3:31" s="96" customFormat="1" ht="16" customHeight="1">
      <c r="C25" s="138"/>
      <c r="D25" s="138"/>
      <c r="E25" s="138"/>
      <c r="F25" s="138"/>
      <c r="G25" s="138"/>
      <c r="H25" s="164" t="s">
        <v>258</v>
      </c>
      <c r="I25" s="164"/>
      <c r="J25" s="164"/>
      <c r="K25" s="164"/>
      <c r="L25" s="164"/>
      <c r="M25" s="164"/>
      <c r="N25" s="162" t="s">
        <v>247</v>
      </c>
      <c r="O25" s="162"/>
      <c r="P25" s="162"/>
      <c r="Q25" s="162"/>
      <c r="R25" s="162"/>
      <c r="S25" s="162"/>
      <c r="T25" s="162"/>
      <c r="U25" s="162"/>
      <c r="V25" s="143"/>
      <c r="W25" s="143"/>
      <c r="X25" s="143"/>
      <c r="Y25" s="143"/>
      <c r="Z25" s="143"/>
      <c r="AA25" s="142"/>
      <c r="AB25" s="142"/>
      <c r="AC25" s="142"/>
      <c r="AD25" s="142"/>
      <c r="AE25" s="142"/>
    </row>
    <row r="26" spans="3:31" s="96" customFormat="1" ht="10" customHeight="1"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</row>
    <row r="27" spans="3:31" s="96" customFormat="1" ht="16" customHeight="1">
      <c r="C27" s="138"/>
      <c r="D27" s="164" t="s">
        <v>242</v>
      </c>
      <c r="E27" s="164"/>
      <c r="F27" s="164"/>
      <c r="G27" s="164"/>
      <c r="H27" s="164"/>
      <c r="I27" s="164"/>
      <c r="J27" s="164"/>
      <c r="K27" s="164"/>
      <c r="L27" s="164"/>
      <c r="M27" s="164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</row>
    <row r="28" spans="3:31" s="96" customFormat="1" ht="16" customHeight="1">
      <c r="C28" s="138"/>
      <c r="D28" s="138"/>
      <c r="E28" s="138"/>
      <c r="F28" s="138"/>
      <c r="G28" s="138"/>
      <c r="H28" s="166" t="s">
        <v>250</v>
      </c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</row>
    <row r="29" spans="3:31" s="96" customFormat="1" ht="16" customHeight="1">
      <c r="C29" s="138"/>
      <c r="D29" s="138"/>
      <c r="E29" s="138"/>
      <c r="F29" s="138"/>
      <c r="G29" s="138"/>
      <c r="H29" s="166" t="s">
        <v>251</v>
      </c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6"/>
      <c r="AB29" s="166"/>
      <c r="AC29" s="166"/>
      <c r="AD29" s="166"/>
      <c r="AE29" s="166"/>
    </row>
    <row r="30" spans="3:31" s="96" customFormat="1" ht="10" customHeight="1"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</row>
    <row r="31" spans="3:31" s="96" customFormat="1" ht="20" customHeight="1">
      <c r="C31" s="138"/>
      <c r="D31" s="167" t="s">
        <v>237</v>
      </c>
      <c r="E31" s="167"/>
      <c r="F31" s="167"/>
      <c r="G31" s="167"/>
      <c r="H31" s="167"/>
      <c r="I31" s="167"/>
      <c r="J31" s="167"/>
      <c r="K31" s="167"/>
      <c r="L31" s="167"/>
      <c r="M31" s="167"/>
      <c r="N31" s="168" t="str">
        <f>대가산출!D3</f>
        <v xml:space="preserve">일금일백오십만원정 (₩1,500,000) </v>
      </c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9" t="s">
        <v>188</v>
      </c>
      <c r="AA31" s="169"/>
      <c r="AB31" s="169"/>
      <c r="AC31" s="168" t="s">
        <v>187</v>
      </c>
      <c r="AD31" s="168"/>
      <c r="AE31" s="156"/>
    </row>
    <row r="32" spans="3:31" s="96" customFormat="1" ht="16" customHeight="1">
      <c r="C32" s="138"/>
      <c r="D32" s="138"/>
      <c r="E32" s="138"/>
      <c r="F32" s="138"/>
      <c r="G32" s="138"/>
      <c r="H32" s="145"/>
      <c r="I32" s="170" t="s">
        <v>207</v>
      </c>
      <c r="J32" s="170"/>
      <c r="K32" s="170"/>
      <c r="L32" s="170"/>
      <c r="M32" s="170"/>
      <c r="N32" s="171">
        <f>대가산출!H31</f>
        <v>1500000</v>
      </c>
      <c r="O32" s="164"/>
      <c r="P32" s="164"/>
      <c r="Q32" s="164"/>
      <c r="R32" s="164"/>
      <c r="S32" s="164"/>
      <c r="T32" s="166"/>
      <c r="U32" s="166"/>
      <c r="V32" s="166"/>
      <c r="W32" s="166"/>
      <c r="X32" s="172"/>
      <c r="Y32" s="147" t="s">
        <v>189</v>
      </c>
      <c r="Z32" s="173" t="s">
        <v>190</v>
      </c>
      <c r="AA32" s="173"/>
      <c r="AB32" s="174"/>
      <c r="AC32" s="148"/>
      <c r="AD32" s="148"/>
      <c r="AE32" s="148"/>
    </row>
    <row r="33" spans="3:32" s="96" customFormat="1" ht="16" customHeight="1">
      <c r="C33" s="138"/>
      <c r="D33" s="138"/>
      <c r="E33" s="138"/>
      <c r="F33" s="138"/>
      <c r="G33" s="138"/>
      <c r="H33" s="145"/>
      <c r="I33" s="170" t="s">
        <v>208</v>
      </c>
      <c r="J33" s="170"/>
      <c r="K33" s="170"/>
      <c r="L33" s="170"/>
      <c r="M33" s="170"/>
      <c r="N33" s="171">
        <f>N32</f>
        <v>1500000</v>
      </c>
      <c r="O33" s="164"/>
      <c r="P33" s="164"/>
      <c r="Q33" s="164"/>
      <c r="R33" s="164"/>
      <c r="S33" s="164"/>
      <c r="T33" s="166"/>
      <c r="U33" s="166"/>
      <c r="V33" s="166"/>
      <c r="W33" s="166"/>
      <c r="X33" s="172"/>
      <c r="Y33" s="147" t="s">
        <v>189</v>
      </c>
      <c r="Z33" s="173" t="s">
        <v>190</v>
      </c>
      <c r="AA33" s="173"/>
      <c r="AB33" s="174"/>
      <c r="AC33" s="148"/>
      <c r="AD33" s="148"/>
      <c r="AE33" s="148"/>
    </row>
    <row r="34" spans="3:32" s="96" customFormat="1" ht="16" customHeight="1">
      <c r="C34" s="138"/>
      <c r="D34" s="138"/>
      <c r="E34" s="138"/>
      <c r="F34" s="138"/>
      <c r="G34" s="138"/>
      <c r="H34" s="145"/>
      <c r="I34" s="176" t="s">
        <v>191</v>
      </c>
      <c r="J34" s="176"/>
      <c r="K34" s="176"/>
      <c r="L34" s="176"/>
      <c r="M34" s="176"/>
      <c r="N34" s="177">
        <f>N33+N32</f>
        <v>3000000</v>
      </c>
      <c r="O34" s="177"/>
      <c r="P34" s="177"/>
      <c r="Q34" s="177"/>
      <c r="R34" s="177"/>
      <c r="S34" s="167"/>
      <c r="T34" s="178"/>
      <c r="U34" s="178"/>
      <c r="V34" s="178"/>
      <c r="W34" s="178"/>
      <c r="X34" s="178"/>
      <c r="Y34" s="157" t="s">
        <v>189</v>
      </c>
      <c r="Z34" s="178" t="s">
        <v>192</v>
      </c>
      <c r="AA34" s="178"/>
      <c r="AB34" s="179"/>
      <c r="AC34" s="178"/>
      <c r="AD34" s="148"/>
      <c r="AE34" s="148"/>
    </row>
    <row r="35" spans="3:32" s="96" customFormat="1" ht="10" customHeight="1"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</row>
    <row r="36" spans="3:32" s="96" customFormat="1" ht="20" customHeight="1">
      <c r="C36" s="138"/>
      <c r="D36" s="164" t="s">
        <v>243</v>
      </c>
      <c r="E36" s="164"/>
      <c r="F36" s="164"/>
      <c r="G36" s="164"/>
      <c r="H36" s="164"/>
      <c r="I36" s="164"/>
      <c r="J36" s="164"/>
      <c r="K36" s="164"/>
      <c r="L36" s="164"/>
      <c r="M36" s="164"/>
      <c r="N36" s="166" t="s">
        <v>193</v>
      </c>
      <c r="O36" s="166"/>
      <c r="P36" s="166"/>
      <c r="Q36" s="166"/>
      <c r="R36" s="166"/>
      <c r="S36" s="166"/>
      <c r="T36" s="166"/>
      <c r="U36" s="166"/>
      <c r="V36" s="166"/>
      <c r="W36" s="166"/>
      <c r="X36" s="166"/>
      <c r="Y36" s="166"/>
      <c r="Z36" s="166"/>
      <c r="AA36" s="166"/>
      <c r="AB36" s="166"/>
      <c r="AC36" s="166"/>
      <c r="AD36" s="166"/>
      <c r="AE36" s="166"/>
    </row>
    <row r="37" spans="3:32" s="96" customFormat="1" ht="20" customHeight="1">
      <c r="C37" s="138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</row>
    <row r="38" spans="3:32" s="96" customFormat="1" ht="10" customHeight="1">
      <c r="C38" s="138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</row>
    <row r="39" spans="3:32" s="96" customFormat="1" ht="19.5" customHeight="1">
      <c r="C39" s="138"/>
      <c r="D39" s="164" t="s">
        <v>216</v>
      </c>
      <c r="E39" s="16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/>
      <c r="R39" s="164"/>
      <c r="S39" s="164"/>
      <c r="T39" s="164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</row>
    <row r="40" spans="3:32" s="96" customFormat="1" ht="19.5" customHeight="1">
      <c r="C40" s="138"/>
      <c r="D40" s="138"/>
      <c r="E40" s="138"/>
      <c r="F40" s="138"/>
      <c r="G40" s="138"/>
      <c r="H40" s="138"/>
      <c r="I40" s="138"/>
      <c r="J40" s="149"/>
      <c r="K40" s="149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</row>
    <row r="41" spans="3:32" s="96" customFormat="1" ht="45" customHeight="1">
      <c r="C41" s="138"/>
      <c r="D41" s="175" t="s">
        <v>78</v>
      </c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/>
      <c r="S41" s="175"/>
      <c r="T41" s="175"/>
      <c r="U41" s="175"/>
      <c r="V41" s="175"/>
      <c r="W41" s="175"/>
      <c r="X41" s="175"/>
      <c r="Y41" s="175"/>
      <c r="Z41" s="175"/>
      <c r="AA41" s="175"/>
      <c r="AB41" s="175"/>
      <c r="AC41" s="175"/>
      <c r="AD41" s="175"/>
      <c r="AE41" s="175"/>
      <c r="AF41" s="97"/>
    </row>
    <row r="42" spans="3:32">
      <c r="C42" s="150"/>
      <c r="D42" s="150"/>
      <c r="E42" s="150"/>
      <c r="F42" s="151"/>
      <c r="G42" s="151"/>
      <c r="H42" s="151"/>
      <c r="I42" s="151"/>
      <c r="J42" s="151"/>
      <c r="K42" s="151"/>
      <c r="L42" s="151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</row>
    <row r="43" spans="3:32">
      <c r="D43" s="90"/>
      <c r="E43" s="90"/>
      <c r="F43" s="95"/>
      <c r="G43" s="95"/>
      <c r="H43" s="95"/>
      <c r="I43" s="95"/>
      <c r="J43" s="95"/>
      <c r="K43" s="95"/>
      <c r="L43" s="95"/>
    </row>
    <row r="44" spans="3:32">
      <c r="D44" s="90"/>
      <c r="E44" s="90"/>
      <c r="F44" s="95"/>
      <c r="G44" s="95"/>
      <c r="H44" s="95"/>
      <c r="I44" s="95"/>
      <c r="J44" s="95"/>
      <c r="K44" s="95"/>
      <c r="L44" s="95"/>
    </row>
    <row r="45" spans="3:32">
      <c r="D45" s="90"/>
      <c r="E45" s="90"/>
      <c r="F45" s="95"/>
      <c r="G45" s="95"/>
      <c r="H45" s="95"/>
      <c r="I45" s="95"/>
      <c r="J45" s="95"/>
      <c r="K45" s="95"/>
      <c r="L45" s="95"/>
    </row>
    <row r="46" spans="3:32">
      <c r="D46" s="90"/>
      <c r="E46" s="90"/>
      <c r="F46" s="95"/>
      <c r="G46" s="95"/>
      <c r="H46" s="95"/>
      <c r="I46" s="95"/>
      <c r="J46" s="95"/>
      <c r="K46" s="95"/>
      <c r="L46" s="95"/>
    </row>
    <row r="47" spans="3:32">
      <c r="D47" s="90"/>
      <c r="E47" s="90"/>
      <c r="F47" s="95"/>
      <c r="G47" s="95"/>
      <c r="H47" s="95"/>
      <c r="I47" s="95"/>
      <c r="J47" s="95"/>
      <c r="K47" s="95"/>
      <c r="L47" s="95"/>
    </row>
    <row r="48" spans="3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0"/>
      <c r="E1591" s="90"/>
      <c r="F1591" s="95"/>
      <c r="G1591" s="95"/>
      <c r="H1591" s="95"/>
      <c r="I1591" s="95"/>
      <c r="J1591" s="95"/>
      <c r="K1591" s="95"/>
      <c r="L1591" s="95"/>
    </row>
    <row r="1592" spans="4:12">
      <c r="D1592" s="90"/>
      <c r="E1592" s="90"/>
      <c r="F1592" s="95"/>
      <c r="G1592" s="95"/>
      <c r="H1592" s="95"/>
      <c r="I1592" s="95"/>
      <c r="J1592" s="95"/>
      <c r="K1592" s="95"/>
      <c r="L1592" s="95"/>
    </row>
    <row r="1593" spans="4:12">
      <c r="D1593" s="90"/>
      <c r="E1593" s="90"/>
      <c r="F1593" s="95"/>
      <c r="G1593" s="95"/>
      <c r="H1593" s="95"/>
      <c r="I1593" s="95"/>
      <c r="J1593" s="95"/>
      <c r="K1593" s="95"/>
      <c r="L1593" s="95"/>
    </row>
    <row r="1594" spans="4:12">
      <c r="D1594" s="94"/>
      <c r="E1594" s="94"/>
      <c r="F1594" s="93"/>
      <c r="G1594" s="93"/>
      <c r="H1594" s="93"/>
      <c r="I1594" s="93"/>
      <c r="J1594" s="93"/>
      <c r="K1594" s="93"/>
      <c r="L1594" s="93"/>
    </row>
  </sheetData>
  <mergeCells count="46">
    <mergeCell ref="D41:AE41"/>
    <mergeCell ref="I34:M34"/>
    <mergeCell ref="N34:X34"/>
    <mergeCell ref="Z34:AC34"/>
    <mergeCell ref="D36:M36"/>
    <mergeCell ref="N36:AE36"/>
    <mergeCell ref="I33:M33"/>
    <mergeCell ref="N33:X33"/>
    <mergeCell ref="Z33:AB33"/>
    <mergeCell ref="D37:AE37"/>
    <mergeCell ref="D39:AE39"/>
    <mergeCell ref="D31:M31"/>
    <mergeCell ref="N31:Y31"/>
    <mergeCell ref="Z31:AB31"/>
    <mergeCell ref="AC31:AD31"/>
    <mergeCell ref="I32:M32"/>
    <mergeCell ref="N32:X32"/>
    <mergeCell ref="Z32:AB32"/>
    <mergeCell ref="D27:M27"/>
    <mergeCell ref="N25:U25"/>
    <mergeCell ref="H25:M25"/>
    <mergeCell ref="H28:AE28"/>
    <mergeCell ref="H29:AE29"/>
    <mergeCell ref="N22:AE22"/>
    <mergeCell ref="N23:AE23"/>
    <mergeCell ref="N24:AE24"/>
    <mergeCell ref="H22:M22"/>
    <mergeCell ref="H23:M23"/>
    <mergeCell ref="H24:M24"/>
    <mergeCell ref="D14:AE14"/>
    <mergeCell ref="D16:AE16"/>
    <mergeCell ref="D18:AE18"/>
    <mergeCell ref="D20:M20"/>
    <mergeCell ref="N21:AE21"/>
    <mergeCell ref="H21:M21"/>
    <mergeCell ref="D8:G8"/>
    <mergeCell ref="H8:O8"/>
    <mergeCell ref="D9:G9"/>
    <mergeCell ref="D10:G10"/>
    <mergeCell ref="H10:L10"/>
    <mergeCell ref="D1:AE1"/>
    <mergeCell ref="D3:AE3"/>
    <mergeCell ref="D6:G6"/>
    <mergeCell ref="H6:M6"/>
    <mergeCell ref="D7:G7"/>
    <mergeCell ref="H7:O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4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8"/>
  <sheetViews>
    <sheetView tabSelected="1" view="pageBreakPreview" zoomScaleNormal="100" zoomScaleSheetLayoutView="100" workbookViewId="0">
      <selection activeCell="C14" sqref="C14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80" t="s">
        <v>199</v>
      </c>
      <c r="C1" s="181"/>
      <c r="D1" s="181"/>
      <c r="E1" s="181"/>
      <c r="F1" s="181"/>
      <c r="G1" s="181"/>
      <c r="H1" s="181"/>
      <c r="I1" s="181"/>
    </row>
    <row r="2" spans="2:9" s="3" customFormat="1" ht="18" customHeight="1">
      <c r="B2" s="61"/>
      <c r="C2" s="61"/>
      <c r="D2" s="61"/>
      <c r="E2" s="61"/>
      <c r="F2" s="61"/>
      <c r="G2" s="61"/>
      <c r="H2" s="182"/>
      <c r="I2" s="182"/>
    </row>
    <row r="3" spans="2:9" s="1" customFormat="1" ht="30" customHeight="1">
      <c r="B3" s="183" t="s">
        <v>194</v>
      </c>
      <c r="C3" s="184"/>
      <c r="D3" s="185" t="str">
        <f>"일금"&amp;NUMBERSTRING(H29,1)&amp;"원정 (₩"&amp;TEXT(H29,"#,##0")&amp;") "</f>
        <v xml:space="preserve">일금일백오십만원정 (₩1,500,000) </v>
      </c>
      <c r="E3" s="186"/>
      <c r="F3" s="186"/>
      <c r="G3" s="186"/>
      <c r="H3" s="186"/>
      <c r="I3" s="127" t="s">
        <v>186</v>
      </c>
    </row>
    <row r="4" spans="2:9" s="1" customFormat="1" ht="15.75" hidden="1" customHeight="1">
      <c r="B4" s="187" t="s">
        <v>29</v>
      </c>
      <c r="C4" s="188"/>
      <c r="D4" s="189" t="str">
        <f>"일금 "&amp;NUMBERSTRING(H32,1)&amp;"원정"&amp;TEXT(H32,"(￦ #,##0)")&amp;" "</f>
        <v xml:space="preserve">일금 삼백만원정(₩ 3,000,000) </v>
      </c>
      <c r="E4" s="189"/>
      <c r="F4" s="189"/>
      <c r="G4" s="189"/>
      <c r="H4" s="189"/>
      <c r="I4" s="190"/>
    </row>
    <row r="5" spans="2:9" s="1" customFormat="1" ht="15" hidden="1" customHeight="1">
      <c r="B5" s="191" t="s">
        <v>73</v>
      </c>
      <c r="C5" s="192"/>
      <c r="D5" s="193" t="e">
        <f>"일금 "&amp;NUMBERSTRING(H30,1)&amp;"원정"&amp;TEXT(H30,"(￦ #,##0)")&amp;" "</f>
        <v>#VALUE!</v>
      </c>
      <c r="E5" s="193"/>
      <c r="F5" s="193"/>
      <c r="G5" s="193"/>
      <c r="H5" s="193"/>
      <c r="I5" s="194"/>
    </row>
    <row r="6" spans="2:9" s="1" customFormat="1" ht="39.75" customHeight="1">
      <c r="B6" s="195" t="s">
        <v>26</v>
      </c>
      <c r="C6" s="196"/>
      <c r="D6" s="196"/>
      <c r="E6" s="196"/>
      <c r="F6" s="196"/>
      <c r="G6" s="196"/>
      <c r="H6" s="196"/>
      <c r="I6" s="197"/>
    </row>
    <row r="7" spans="2:9" s="2" customFormat="1" ht="30" customHeight="1">
      <c r="B7" s="198" t="s">
        <v>8</v>
      </c>
      <c r="C7" s="199"/>
      <c r="D7" s="24" t="s">
        <v>5</v>
      </c>
      <c r="E7" s="24" t="s">
        <v>6</v>
      </c>
      <c r="F7" s="24" t="s">
        <v>21</v>
      </c>
      <c r="G7" s="24" t="s">
        <v>74</v>
      </c>
      <c r="H7" s="24" t="s">
        <v>1</v>
      </c>
      <c r="I7" s="25" t="s">
        <v>7</v>
      </c>
    </row>
    <row r="8" spans="2:9" s="2" customFormat="1" ht="28" customHeight="1">
      <c r="B8" s="200" t="s">
        <v>260</v>
      </c>
      <c r="C8" s="201"/>
      <c r="D8" s="27"/>
      <c r="E8" s="27"/>
      <c r="F8" s="27"/>
      <c r="G8" s="27"/>
      <c r="H8" s="28">
        <f>INT(SUM(H9,H10,H11,H12,H13,H14,H15,H16))</f>
        <v>1092686</v>
      </c>
      <c r="I8" s="68" t="s">
        <v>33</v>
      </c>
    </row>
    <row r="9" spans="2:9" s="2" customFormat="1" ht="18" customHeight="1">
      <c r="B9" s="26"/>
      <c r="C9" s="29" t="s">
        <v>261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262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202" t="s">
        <v>10</v>
      </c>
      <c r="C17" s="203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75</v>
      </c>
    </row>
    <row r="18" spans="2:13" s="2" customFormat="1" ht="28" customHeight="1">
      <c r="B18" s="202" t="s">
        <v>11</v>
      </c>
      <c r="C18" s="203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202</v>
      </c>
    </row>
    <row r="19" spans="2:13" s="2" customFormat="1" ht="28" customHeight="1">
      <c r="B19" s="202" t="s">
        <v>12</v>
      </c>
      <c r="C19" s="203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76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204" t="s">
        <v>19</v>
      </c>
      <c r="C26" s="205"/>
      <c r="D26" s="14"/>
      <c r="E26" s="60"/>
      <c r="F26" s="16"/>
      <c r="G26" s="16"/>
      <c r="H26" s="23">
        <f>INT(SUM(H8,H17,H18,H19)*0)</f>
        <v>0</v>
      </c>
      <c r="I26" s="62" t="s">
        <v>31</v>
      </c>
    </row>
    <row r="27" spans="2:13" s="2" customFormat="1" ht="28" customHeight="1">
      <c r="B27" s="206" t="s">
        <v>259</v>
      </c>
      <c r="C27" s="207"/>
      <c r="D27" s="208" t="s">
        <v>25</v>
      </c>
      <c r="E27" s="208"/>
      <c r="F27" s="208"/>
      <c r="G27" s="208"/>
      <c r="H27" s="67">
        <f>(SUM(H8,H17,H18,H19,H26))</f>
        <v>1541419</v>
      </c>
      <c r="I27" s="63"/>
    </row>
    <row r="28" spans="2:13" s="2" customFormat="1" ht="18" customHeight="1">
      <c r="B28" s="209" t="s">
        <v>32</v>
      </c>
      <c r="C28" s="210"/>
      <c r="D28" s="208"/>
      <c r="E28" s="208"/>
      <c r="F28" s="208"/>
      <c r="G28" s="208"/>
      <c r="H28" s="67">
        <v>41419</v>
      </c>
      <c r="I28" s="64"/>
    </row>
    <row r="29" spans="2:13" s="2" customFormat="1" ht="18" customHeight="1">
      <c r="B29" s="211" t="s">
        <v>30</v>
      </c>
      <c r="C29" s="212"/>
      <c r="D29" s="213"/>
      <c r="E29" s="213"/>
      <c r="F29" s="213"/>
      <c r="G29" s="213"/>
      <c r="H29" s="69">
        <f>H27-H28</f>
        <v>1500000</v>
      </c>
      <c r="I29" s="70"/>
    </row>
    <row r="30" spans="2:13" s="2" customFormat="1" ht="18" customHeight="1">
      <c r="B30" s="209" t="s">
        <v>2</v>
      </c>
      <c r="C30" s="210"/>
      <c r="D30" s="208"/>
      <c r="E30" s="208"/>
      <c r="F30" s="208"/>
      <c r="G30" s="208"/>
      <c r="H30" s="71" t="s">
        <v>34</v>
      </c>
      <c r="I30" s="64"/>
    </row>
    <row r="31" spans="2:13" s="2" customFormat="1" ht="28" customHeight="1">
      <c r="B31" s="214" t="s">
        <v>9</v>
      </c>
      <c r="C31" s="215"/>
      <c r="D31" s="216"/>
      <c r="E31" s="216"/>
      <c r="F31" s="216"/>
      <c r="G31" s="216"/>
      <c r="H31" s="65">
        <f>H29</f>
        <v>1500000</v>
      </c>
      <c r="I31" s="66"/>
    </row>
    <row r="32" spans="2:13" s="2" customFormat="1" ht="28" hidden="1" customHeight="1">
      <c r="B32" s="128"/>
      <c r="C32" s="129"/>
      <c r="D32" s="130"/>
      <c r="E32" s="130"/>
      <c r="F32" s="130"/>
      <c r="G32" s="130">
        <v>2</v>
      </c>
      <c r="H32" s="131">
        <f>G32*H31</f>
        <v>3000000</v>
      </c>
      <c r="I32" s="132"/>
    </row>
    <row r="33" spans="2:9" s="6" customFormat="1" ht="23" customHeight="1">
      <c r="B33" s="217"/>
      <c r="C33" s="218"/>
      <c r="D33" s="223" t="s">
        <v>35</v>
      </c>
      <c r="E33" s="223"/>
      <c r="F33" s="223"/>
      <c r="G33" s="223"/>
      <c r="H33" s="223"/>
      <c r="I33" s="75"/>
    </row>
    <row r="34" spans="2:9" s="6" customFormat="1" ht="23" customHeight="1">
      <c r="B34" s="219"/>
      <c r="C34" s="220"/>
      <c r="D34" s="224" t="s">
        <v>36</v>
      </c>
      <c r="E34" s="224"/>
      <c r="F34" s="224"/>
      <c r="G34" s="224"/>
      <c r="H34" s="224"/>
      <c r="I34" s="73" t="s">
        <v>37</v>
      </c>
    </row>
    <row r="35" spans="2:9" s="6" customFormat="1" ht="23" customHeight="1">
      <c r="B35" s="219"/>
      <c r="C35" s="220"/>
      <c r="D35" s="225" t="s">
        <v>38</v>
      </c>
      <c r="E35" s="225"/>
      <c r="F35" s="225"/>
      <c r="G35" s="225"/>
      <c r="H35" s="225"/>
      <c r="I35" s="73" t="s">
        <v>39</v>
      </c>
    </row>
    <row r="36" spans="2:9" s="6" customFormat="1" ht="23" customHeight="1">
      <c r="B36" s="219"/>
      <c r="C36" s="220"/>
      <c r="D36" s="224" t="s">
        <v>40</v>
      </c>
      <c r="E36" s="224"/>
      <c r="F36" s="224"/>
      <c r="G36" s="224"/>
      <c r="H36" s="224"/>
      <c r="I36" s="73" t="s">
        <v>41</v>
      </c>
    </row>
    <row r="37" spans="2:9" s="6" customFormat="1" ht="23" customHeight="1">
      <c r="B37" s="221"/>
      <c r="C37" s="222"/>
      <c r="D37" s="226" t="s">
        <v>42</v>
      </c>
      <c r="E37" s="226"/>
      <c r="F37" s="226"/>
      <c r="G37" s="226"/>
      <c r="H37" s="226"/>
      <c r="I37" s="74" t="s">
        <v>43</v>
      </c>
    </row>
    <row r="38" spans="2:9" ht="16">
      <c r="B38" s="6"/>
      <c r="C38" s="6"/>
      <c r="D38" s="6"/>
      <c r="E38" s="6"/>
      <c r="F38" s="6"/>
      <c r="G38" s="6"/>
      <c r="H38" s="6"/>
      <c r="I38" s="6"/>
    </row>
  </sheetData>
  <mergeCells count="31">
    <mergeCell ref="B30:C30"/>
    <mergeCell ref="D30:G30"/>
    <mergeCell ref="B31:C31"/>
    <mergeCell ref="D31:G31"/>
    <mergeCell ref="B33:C37"/>
    <mergeCell ref="D33:H33"/>
    <mergeCell ref="D34:H34"/>
    <mergeCell ref="D35:H35"/>
    <mergeCell ref="D36:H36"/>
    <mergeCell ref="D37:H37"/>
    <mergeCell ref="D27:G27"/>
    <mergeCell ref="B28:C28"/>
    <mergeCell ref="D28:G28"/>
    <mergeCell ref="B29:C29"/>
    <mergeCell ref="D29:G29"/>
    <mergeCell ref="B17:C17"/>
    <mergeCell ref="B18:C18"/>
    <mergeCell ref="B19:C19"/>
    <mergeCell ref="B26:C26"/>
    <mergeCell ref="B27:C27"/>
    <mergeCell ref="B5:C5"/>
    <mergeCell ref="D5:I5"/>
    <mergeCell ref="B6:I6"/>
    <mergeCell ref="B7:C7"/>
    <mergeCell ref="B8:C8"/>
    <mergeCell ref="B1:I1"/>
    <mergeCell ref="H2:I2"/>
    <mergeCell ref="B3:C3"/>
    <mergeCell ref="D3:H3"/>
    <mergeCell ref="B4:C4"/>
    <mergeCell ref="D4:I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1048575" man="1"/>
    <brk id="9" max="36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9"/>
  <sheetViews>
    <sheetView view="pageBreakPreview" topLeftCell="A52" zoomScaleNormal="100" zoomScaleSheetLayoutView="100" workbookViewId="0">
      <selection activeCell="J72" sqref="J72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1" max="256" width="3.83203125" customWidth="1"/>
    <col min="257" max="257" width="5.83203125" customWidth="1"/>
    <col min="258" max="270" width="3.83203125" customWidth="1"/>
    <col min="507" max="512" width="3.83203125" customWidth="1"/>
    <col min="513" max="513" width="5.83203125" customWidth="1"/>
    <col min="514" max="526" width="3.83203125" customWidth="1"/>
    <col min="763" max="768" width="3.83203125" customWidth="1"/>
    <col min="769" max="769" width="5.83203125" customWidth="1"/>
    <col min="770" max="782" width="3.83203125" customWidth="1"/>
    <col min="1019" max="1024" width="3.83203125" customWidth="1"/>
    <col min="1025" max="1025" width="5.83203125" customWidth="1"/>
    <col min="1026" max="1038" width="3.83203125" customWidth="1"/>
    <col min="1275" max="1280" width="3.83203125" customWidth="1"/>
    <col min="1281" max="1281" width="5.83203125" customWidth="1"/>
    <col min="1282" max="1294" width="3.83203125" customWidth="1"/>
    <col min="1531" max="1536" width="3.83203125" customWidth="1"/>
    <col min="1537" max="1537" width="5.83203125" customWidth="1"/>
    <col min="1538" max="1550" width="3.83203125" customWidth="1"/>
    <col min="1787" max="1792" width="3.83203125" customWidth="1"/>
    <col min="1793" max="1793" width="5.83203125" customWidth="1"/>
    <col min="1794" max="1806" width="3.83203125" customWidth="1"/>
    <col min="2043" max="2048" width="3.83203125" customWidth="1"/>
    <col min="2049" max="2049" width="5.83203125" customWidth="1"/>
    <col min="2050" max="2062" width="3.83203125" customWidth="1"/>
    <col min="2299" max="2304" width="3.83203125" customWidth="1"/>
    <col min="2305" max="2305" width="5.83203125" customWidth="1"/>
    <col min="2306" max="2318" width="3.83203125" customWidth="1"/>
    <col min="2555" max="2560" width="3.83203125" customWidth="1"/>
    <col min="2561" max="2561" width="5.83203125" customWidth="1"/>
    <col min="2562" max="2574" width="3.83203125" customWidth="1"/>
    <col min="2811" max="2816" width="3.83203125" customWidth="1"/>
    <col min="2817" max="2817" width="5.83203125" customWidth="1"/>
    <col min="2818" max="2830" width="3.83203125" customWidth="1"/>
    <col min="3067" max="3072" width="3.83203125" customWidth="1"/>
    <col min="3073" max="3073" width="5.83203125" customWidth="1"/>
    <col min="3074" max="3086" width="3.83203125" customWidth="1"/>
    <col min="3323" max="3328" width="3.83203125" customWidth="1"/>
    <col min="3329" max="3329" width="5.83203125" customWidth="1"/>
    <col min="3330" max="3342" width="3.83203125" customWidth="1"/>
    <col min="3579" max="3584" width="3.83203125" customWidth="1"/>
    <col min="3585" max="3585" width="5.83203125" customWidth="1"/>
    <col min="3586" max="3598" width="3.83203125" customWidth="1"/>
    <col min="3835" max="3840" width="3.83203125" customWidth="1"/>
    <col min="3841" max="3841" width="5.83203125" customWidth="1"/>
    <col min="3842" max="3854" width="3.83203125" customWidth="1"/>
    <col min="4091" max="4096" width="3.83203125" customWidth="1"/>
    <col min="4097" max="4097" width="5.83203125" customWidth="1"/>
    <col min="4098" max="4110" width="3.83203125" customWidth="1"/>
    <col min="4347" max="4352" width="3.83203125" customWidth="1"/>
    <col min="4353" max="4353" width="5.83203125" customWidth="1"/>
    <col min="4354" max="4366" width="3.83203125" customWidth="1"/>
    <col min="4603" max="4608" width="3.83203125" customWidth="1"/>
    <col min="4609" max="4609" width="5.83203125" customWidth="1"/>
    <col min="4610" max="4622" width="3.83203125" customWidth="1"/>
    <col min="4859" max="4864" width="3.83203125" customWidth="1"/>
    <col min="4865" max="4865" width="5.83203125" customWidth="1"/>
    <col min="4866" max="4878" width="3.83203125" customWidth="1"/>
    <col min="5115" max="5120" width="3.83203125" customWidth="1"/>
    <col min="5121" max="5121" width="5.83203125" customWidth="1"/>
    <col min="5122" max="5134" width="3.83203125" customWidth="1"/>
    <col min="5371" max="5376" width="3.83203125" customWidth="1"/>
    <col min="5377" max="5377" width="5.83203125" customWidth="1"/>
    <col min="5378" max="5390" width="3.83203125" customWidth="1"/>
    <col min="5627" max="5632" width="3.83203125" customWidth="1"/>
    <col min="5633" max="5633" width="5.83203125" customWidth="1"/>
    <col min="5634" max="5646" width="3.83203125" customWidth="1"/>
    <col min="5883" max="5888" width="3.83203125" customWidth="1"/>
    <col min="5889" max="5889" width="5.83203125" customWidth="1"/>
    <col min="5890" max="5902" width="3.83203125" customWidth="1"/>
    <col min="6139" max="6144" width="3.83203125" customWidth="1"/>
    <col min="6145" max="6145" width="5.83203125" customWidth="1"/>
    <col min="6146" max="6158" width="3.83203125" customWidth="1"/>
    <col min="6395" max="6400" width="3.83203125" customWidth="1"/>
    <col min="6401" max="6401" width="5.83203125" customWidth="1"/>
    <col min="6402" max="6414" width="3.83203125" customWidth="1"/>
    <col min="6651" max="6656" width="3.83203125" customWidth="1"/>
    <col min="6657" max="6657" width="5.83203125" customWidth="1"/>
    <col min="6658" max="6670" width="3.83203125" customWidth="1"/>
    <col min="6907" max="6912" width="3.83203125" customWidth="1"/>
    <col min="6913" max="6913" width="5.83203125" customWidth="1"/>
    <col min="6914" max="6926" width="3.83203125" customWidth="1"/>
    <col min="7163" max="7168" width="3.83203125" customWidth="1"/>
    <col min="7169" max="7169" width="5.83203125" customWidth="1"/>
    <col min="7170" max="7182" width="3.83203125" customWidth="1"/>
    <col min="7419" max="7424" width="3.83203125" customWidth="1"/>
    <col min="7425" max="7425" width="5.83203125" customWidth="1"/>
    <col min="7426" max="7438" width="3.83203125" customWidth="1"/>
    <col min="7675" max="7680" width="3.83203125" customWidth="1"/>
    <col min="7681" max="7681" width="5.83203125" customWidth="1"/>
    <col min="7682" max="7694" width="3.83203125" customWidth="1"/>
    <col min="7931" max="7936" width="3.83203125" customWidth="1"/>
    <col min="7937" max="7937" width="5.83203125" customWidth="1"/>
    <col min="7938" max="7950" width="3.83203125" customWidth="1"/>
    <col min="8187" max="8192" width="3.83203125" customWidth="1"/>
    <col min="8193" max="8193" width="5.83203125" customWidth="1"/>
    <col min="8194" max="8206" width="3.83203125" customWidth="1"/>
    <col min="8443" max="8448" width="3.83203125" customWidth="1"/>
    <col min="8449" max="8449" width="5.83203125" customWidth="1"/>
    <col min="8450" max="8462" width="3.83203125" customWidth="1"/>
    <col min="8699" max="8704" width="3.83203125" customWidth="1"/>
    <col min="8705" max="8705" width="5.83203125" customWidth="1"/>
    <col min="8706" max="8718" width="3.83203125" customWidth="1"/>
    <col min="8955" max="8960" width="3.83203125" customWidth="1"/>
    <col min="8961" max="8961" width="5.83203125" customWidth="1"/>
    <col min="8962" max="8974" width="3.83203125" customWidth="1"/>
    <col min="9211" max="9216" width="3.83203125" customWidth="1"/>
    <col min="9217" max="9217" width="5.83203125" customWidth="1"/>
    <col min="9218" max="9230" width="3.83203125" customWidth="1"/>
    <col min="9467" max="9472" width="3.83203125" customWidth="1"/>
    <col min="9473" max="9473" width="5.83203125" customWidth="1"/>
    <col min="9474" max="9486" width="3.83203125" customWidth="1"/>
    <col min="9723" max="9728" width="3.83203125" customWidth="1"/>
    <col min="9729" max="9729" width="5.83203125" customWidth="1"/>
    <col min="9730" max="9742" width="3.83203125" customWidth="1"/>
    <col min="9979" max="9984" width="3.83203125" customWidth="1"/>
    <col min="9985" max="9985" width="5.83203125" customWidth="1"/>
    <col min="9986" max="9998" width="3.83203125" customWidth="1"/>
    <col min="10235" max="10240" width="3.83203125" customWidth="1"/>
    <col min="10241" max="10241" width="5.83203125" customWidth="1"/>
    <col min="10242" max="10254" width="3.83203125" customWidth="1"/>
    <col min="10491" max="10496" width="3.83203125" customWidth="1"/>
    <col min="10497" max="10497" width="5.83203125" customWidth="1"/>
    <col min="10498" max="10510" width="3.83203125" customWidth="1"/>
    <col min="10747" max="10752" width="3.83203125" customWidth="1"/>
    <col min="10753" max="10753" width="5.83203125" customWidth="1"/>
    <col min="10754" max="10766" width="3.83203125" customWidth="1"/>
    <col min="11003" max="11008" width="3.83203125" customWidth="1"/>
    <col min="11009" max="11009" width="5.83203125" customWidth="1"/>
    <col min="11010" max="11022" width="3.83203125" customWidth="1"/>
    <col min="11259" max="11264" width="3.83203125" customWidth="1"/>
    <col min="11265" max="11265" width="5.83203125" customWidth="1"/>
    <col min="11266" max="11278" width="3.83203125" customWidth="1"/>
    <col min="11515" max="11520" width="3.83203125" customWidth="1"/>
    <col min="11521" max="11521" width="5.83203125" customWidth="1"/>
    <col min="11522" max="11534" width="3.83203125" customWidth="1"/>
    <col min="11771" max="11776" width="3.83203125" customWidth="1"/>
    <col min="11777" max="11777" width="5.83203125" customWidth="1"/>
    <col min="11778" max="11790" width="3.83203125" customWidth="1"/>
    <col min="12027" max="12032" width="3.83203125" customWidth="1"/>
    <col min="12033" max="12033" width="5.83203125" customWidth="1"/>
    <col min="12034" max="12046" width="3.83203125" customWidth="1"/>
    <col min="12283" max="12288" width="3.83203125" customWidth="1"/>
    <col min="12289" max="12289" width="5.83203125" customWidth="1"/>
    <col min="12290" max="12302" width="3.83203125" customWidth="1"/>
    <col min="12539" max="12544" width="3.83203125" customWidth="1"/>
    <col min="12545" max="12545" width="5.83203125" customWidth="1"/>
    <col min="12546" max="12558" width="3.83203125" customWidth="1"/>
    <col min="12795" max="12800" width="3.83203125" customWidth="1"/>
    <col min="12801" max="12801" width="5.83203125" customWidth="1"/>
    <col min="12802" max="12814" width="3.83203125" customWidth="1"/>
    <col min="13051" max="13056" width="3.83203125" customWidth="1"/>
    <col min="13057" max="13057" width="5.83203125" customWidth="1"/>
    <col min="13058" max="13070" width="3.83203125" customWidth="1"/>
    <col min="13307" max="13312" width="3.83203125" customWidth="1"/>
    <col min="13313" max="13313" width="5.83203125" customWidth="1"/>
    <col min="13314" max="13326" width="3.83203125" customWidth="1"/>
    <col min="13563" max="13568" width="3.83203125" customWidth="1"/>
    <col min="13569" max="13569" width="5.83203125" customWidth="1"/>
    <col min="13570" max="13582" width="3.83203125" customWidth="1"/>
    <col min="13819" max="13824" width="3.83203125" customWidth="1"/>
    <col min="13825" max="13825" width="5.83203125" customWidth="1"/>
    <col min="13826" max="13838" width="3.83203125" customWidth="1"/>
    <col min="14075" max="14080" width="3.83203125" customWidth="1"/>
    <col min="14081" max="14081" width="5.83203125" customWidth="1"/>
    <col min="14082" max="14094" width="3.83203125" customWidth="1"/>
    <col min="14331" max="14336" width="3.83203125" customWidth="1"/>
    <col min="14337" max="14337" width="5.83203125" customWidth="1"/>
    <col min="14338" max="14350" width="3.83203125" customWidth="1"/>
    <col min="14587" max="14592" width="3.83203125" customWidth="1"/>
    <col min="14593" max="14593" width="5.83203125" customWidth="1"/>
    <col min="14594" max="14606" width="3.83203125" customWidth="1"/>
    <col min="14843" max="14848" width="3.83203125" customWidth="1"/>
    <col min="14849" max="14849" width="5.83203125" customWidth="1"/>
    <col min="14850" max="14862" width="3.83203125" customWidth="1"/>
    <col min="15099" max="15104" width="3.83203125" customWidth="1"/>
    <col min="15105" max="15105" width="5.83203125" customWidth="1"/>
    <col min="15106" max="15118" width="3.83203125" customWidth="1"/>
    <col min="15355" max="15360" width="3.83203125" customWidth="1"/>
    <col min="15361" max="15361" width="5.83203125" customWidth="1"/>
    <col min="15362" max="15374" width="3.83203125" customWidth="1"/>
    <col min="15611" max="15616" width="3.83203125" customWidth="1"/>
    <col min="15617" max="15617" width="5.83203125" customWidth="1"/>
    <col min="15618" max="15630" width="3.83203125" customWidth="1"/>
    <col min="15867" max="15872" width="3.83203125" customWidth="1"/>
    <col min="15873" max="15873" width="5.83203125" customWidth="1"/>
    <col min="15874" max="15886" width="3.83203125" customWidth="1"/>
    <col min="16123" max="16128" width="3.83203125" customWidth="1"/>
    <col min="16129" max="16129" width="5.83203125" customWidth="1"/>
    <col min="16130" max="16142" width="3.8320312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" customHeight="1">
      <c r="B7" s="227" t="s">
        <v>44</v>
      </c>
      <c r="C7" s="228"/>
      <c r="D7" s="228"/>
      <c r="E7" s="228"/>
      <c r="F7" s="228"/>
      <c r="G7" s="228"/>
      <c r="H7" s="228"/>
      <c r="I7" s="228"/>
      <c r="J7" s="228"/>
      <c r="K7" s="228"/>
      <c r="L7" s="228"/>
      <c r="M7" s="228"/>
      <c r="N7" s="228"/>
      <c r="O7" s="228"/>
      <c r="P7" s="228"/>
      <c r="Q7" s="228"/>
      <c r="R7" s="228"/>
      <c r="S7" s="228"/>
      <c r="T7" s="228"/>
      <c r="U7" s="228"/>
    </row>
    <row r="8" spans="2:21" ht="66" customHeight="1">
      <c r="B8" s="229" t="s">
        <v>182</v>
      </c>
      <c r="C8" s="229"/>
      <c r="D8" s="229"/>
      <c r="E8" s="229"/>
      <c r="F8" s="229"/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29"/>
      <c r="T8" s="229"/>
      <c r="U8" s="229"/>
    </row>
    <row r="9" spans="2:21" ht="44" customHeight="1">
      <c r="B9" s="230" t="str">
        <f>갑지!H8</f>
        <v>효성뉴서울5차아파트</v>
      </c>
      <c r="C9" s="230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</row>
    <row r="10" spans="2:21" ht="4" customHeight="1">
      <c r="B10" s="231"/>
      <c r="C10" s="232"/>
      <c r="D10" s="232"/>
      <c r="E10" s="232"/>
      <c r="F10" s="232"/>
      <c r="G10" s="232"/>
      <c r="H10" s="232"/>
      <c r="I10" s="232"/>
      <c r="J10" s="232"/>
      <c r="K10" s="232"/>
      <c r="L10" s="232"/>
      <c r="M10" s="232"/>
      <c r="N10" s="232"/>
      <c r="O10" s="232"/>
      <c r="P10" s="232"/>
      <c r="Q10" s="232"/>
      <c r="R10" s="232"/>
      <c r="S10" s="232"/>
      <c r="T10" s="232"/>
      <c r="U10" s="232"/>
    </row>
    <row r="11" spans="2:21" ht="40" customHeight="1">
      <c r="B11" s="125"/>
      <c r="C11" s="125"/>
    </row>
    <row r="12" spans="2:21" ht="40" customHeight="1">
      <c r="B12" s="125"/>
      <c r="C12" s="125"/>
    </row>
    <row r="13" spans="2:21" ht="40" customHeight="1">
      <c r="B13" s="125"/>
      <c r="C13" s="125"/>
    </row>
    <row r="14" spans="2:21" ht="40" customHeight="1">
      <c r="B14" s="125"/>
      <c r="C14" s="125"/>
    </row>
    <row r="15" spans="2:21" ht="40" customHeight="1">
      <c r="B15" s="125"/>
      <c r="C15" s="125"/>
    </row>
    <row r="16" spans="2:21" ht="24">
      <c r="B16" s="233" t="str">
        <f>갑지!H10</f>
        <v xml:space="preserve">2026년 연간 </v>
      </c>
      <c r="C16" s="233"/>
      <c r="D16" s="233"/>
      <c r="E16" s="233"/>
      <c r="F16" s="233"/>
      <c r="G16" s="233"/>
      <c r="H16" s="233"/>
      <c r="I16" s="233"/>
      <c r="J16" s="233"/>
      <c r="K16" s="233"/>
      <c r="L16" s="233"/>
      <c r="M16" s="233"/>
      <c r="N16" s="233"/>
      <c r="O16" s="233"/>
      <c r="P16" s="233"/>
      <c r="Q16" s="233"/>
      <c r="R16" s="233"/>
      <c r="S16" s="233"/>
      <c r="T16" s="233"/>
      <c r="U16" s="233"/>
    </row>
    <row r="17" spans="2:21" ht="40" customHeight="1">
      <c r="B17" s="125"/>
      <c r="C17" s="125"/>
    </row>
    <row r="18" spans="2:21" ht="40" customHeight="1">
      <c r="B18" s="125"/>
      <c r="C18" s="125"/>
    </row>
    <row r="19" spans="2:21" ht="40" customHeight="1">
      <c r="B19" s="125"/>
      <c r="C19" s="125"/>
    </row>
    <row r="20" spans="2:21" ht="40" customHeight="1">
      <c r="B20" s="125"/>
      <c r="C20" s="125"/>
    </row>
    <row r="21" spans="2:21" ht="40" customHeight="1">
      <c r="B21" s="107"/>
      <c r="C21" s="107"/>
    </row>
    <row r="22" spans="2:21" ht="53.25" customHeight="1">
      <c r="D22" s="124"/>
      <c r="E22" s="124"/>
      <c r="I22" s="234" t="s">
        <v>181</v>
      </c>
      <c r="J22" s="234"/>
      <c r="K22" s="234"/>
      <c r="L22" s="234"/>
      <c r="M22" s="234"/>
      <c r="N22" s="234"/>
      <c r="O22" s="234"/>
      <c r="P22" s="234"/>
      <c r="Q22" s="234"/>
      <c r="R22" s="234"/>
      <c r="S22" s="234"/>
      <c r="T22" s="234"/>
      <c r="U22" s="234"/>
    </row>
    <row r="23" spans="2:21" ht="24" customHeight="1">
      <c r="D23" s="120"/>
      <c r="E23" s="120"/>
      <c r="F23" s="120"/>
      <c r="I23" s="235" t="s">
        <v>201</v>
      </c>
      <c r="J23" s="235"/>
      <c r="K23" s="235"/>
      <c r="L23" s="235"/>
      <c r="M23" s="235"/>
      <c r="N23" s="235"/>
      <c r="O23" s="235"/>
      <c r="P23" s="235"/>
      <c r="Q23" s="235"/>
      <c r="R23" s="235"/>
      <c r="S23" s="235"/>
      <c r="T23" s="235"/>
      <c r="U23" s="235"/>
    </row>
    <row r="24" spans="2:21" ht="24" customHeight="1">
      <c r="D24" s="120"/>
      <c r="E24" s="120"/>
      <c r="F24" s="120"/>
      <c r="I24" s="235" t="s">
        <v>245</v>
      </c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</row>
    <row r="25" spans="2:21" ht="24" customHeight="1">
      <c r="D25" s="120"/>
      <c r="E25" s="120"/>
      <c r="F25" s="120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</row>
    <row r="26" spans="2:21" ht="24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" customHeight="1">
      <c r="B27" s="236" t="s">
        <v>180</v>
      </c>
      <c r="C27" s="237"/>
      <c r="D27" s="237"/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237"/>
      <c r="S27" s="237"/>
      <c r="T27" s="237"/>
      <c r="U27" s="238"/>
    </row>
    <row r="28" spans="2:21" ht="25" customHeight="1">
      <c r="B28" s="239" t="s">
        <v>179</v>
      </c>
      <c r="C28" s="240"/>
      <c r="D28" s="243" t="s">
        <v>45</v>
      </c>
      <c r="E28" s="243"/>
      <c r="F28" s="243"/>
      <c r="G28" s="244" t="str">
        <f>B9</f>
        <v>효성뉴서울5차아파트</v>
      </c>
      <c r="H28" s="244"/>
      <c r="I28" s="244"/>
      <c r="J28" s="244"/>
      <c r="K28" s="244"/>
      <c r="L28" s="244"/>
      <c r="M28" s="244"/>
      <c r="N28" s="244"/>
      <c r="O28" s="244"/>
      <c r="P28" s="244"/>
      <c r="Q28" s="244"/>
      <c r="R28" s="244"/>
      <c r="S28" s="244"/>
      <c r="T28" s="244"/>
      <c r="U28" s="245"/>
    </row>
    <row r="29" spans="2:21" ht="25" customHeight="1">
      <c r="B29" s="241"/>
      <c r="C29" s="242"/>
      <c r="D29" s="246" t="s">
        <v>178</v>
      </c>
      <c r="E29" s="246"/>
      <c r="F29" s="246"/>
      <c r="G29" s="247" t="s">
        <v>233</v>
      </c>
      <c r="H29" s="247"/>
      <c r="I29" s="247"/>
      <c r="J29" s="247"/>
      <c r="K29" s="247"/>
      <c r="L29" s="247"/>
      <c r="M29" s="247"/>
      <c r="N29" s="247"/>
      <c r="O29" s="247"/>
      <c r="P29" s="247"/>
      <c r="Q29" s="247"/>
      <c r="R29" s="247"/>
      <c r="S29" s="247"/>
      <c r="T29" s="247"/>
      <c r="U29" s="248"/>
    </row>
    <row r="30" spans="2:21" ht="25" customHeight="1">
      <c r="B30" s="241"/>
      <c r="C30" s="242"/>
      <c r="D30" s="246"/>
      <c r="E30" s="246"/>
      <c r="F30" s="246"/>
      <c r="G30" s="247" t="s">
        <v>234</v>
      </c>
      <c r="H30" s="247"/>
      <c r="I30" s="247"/>
      <c r="J30" s="247"/>
      <c r="K30" s="247"/>
      <c r="L30" s="247"/>
      <c r="M30" s="247"/>
      <c r="N30" s="247"/>
      <c r="O30" s="247"/>
      <c r="P30" s="247"/>
      <c r="Q30" s="247"/>
      <c r="R30" s="247"/>
      <c r="S30" s="247"/>
      <c r="T30" s="247"/>
      <c r="U30" s="248"/>
    </row>
    <row r="31" spans="2:21" ht="25" customHeight="1">
      <c r="B31" s="241"/>
      <c r="C31" s="242"/>
      <c r="D31" s="246"/>
      <c r="E31" s="246"/>
      <c r="F31" s="246"/>
      <c r="G31" s="247" t="s">
        <v>244</v>
      </c>
      <c r="H31" s="247"/>
      <c r="I31" s="247"/>
      <c r="J31" s="247"/>
      <c r="K31" s="247"/>
      <c r="L31" s="247"/>
      <c r="M31" s="247"/>
      <c r="N31" s="247"/>
      <c r="O31" s="247"/>
      <c r="P31" s="247"/>
      <c r="Q31" s="247"/>
      <c r="R31" s="247"/>
      <c r="S31" s="247"/>
      <c r="T31" s="247"/>
      <c r="U31" s="248"/>
    </row>
    <row r="32" spans="2:21" ht="25" customHeight="1">
      <c r="B32" s="241"/>
      <c r="C32" s="242"/>
      <c r="D32" s="246"/>
      <c r="E32" s="246"/>
      <c r="F32" s="246"/>
      <c r="G32" s="247" t="s">
        <v>235</v>
      </c>
      <c r="H32" s="247"/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247"/>
      <c r="T32" s="247"/>
      <c r="U32" s="248"/>
    </row>
    <row r="33" spans="2:21" ht="25" customHeight="1">
      <c r="B33" s="241"/>
      <c r="C33" s="242"/>
      <c r="D33" s="246"/>
      <c r="E33" s="246"/>
      <c r="F33" s="246"/>
      <c r="G33" s="249" t="s">
        <v>236</v>
      </c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50"/>
    </row>
    <row r="34" spans="2:21" ht="25" customHeight="1">
      <c r="B34" s="281" t="s">
        <v>177</v>
      </c>
      <c r="C34" s="282"/>
      <c r="D34" s="287" t="s">
        <v>176</v>
      </c>
      <c r="E34" s="287"/>
      <c r="F34" s="287"/>
      <c r="G34" s="288" t="str">
        <f>G28</f>
        <v>효성뉴서울5차아파트</v>
      </c>
      <c r="H34" s="289"/>
      <c r="I34" s="289"/>
      <c r="J34" s="289"/>
      <c r="K34" s="289"/>
      <c r="L34" s="289"/>
      <c r="M34" s="289" t="s">
        <v>92</v>
      </c>
      <c r="N34" s="289"/>
      <c r="O34" s="289"/>
      <c r="P34" s="289"/>
      <c r="Q34" s="289"/>
      <c r="R34" s="289"/>
      <c r="S34" s="289"/>
      <c r="T34" s="289"/>
      <c r="U34" s="290"/>
    </row>
    <row r="35" spans="2:21" ht="25" customHeight="1">
      <c r="B35" s="283"/>
      <c r="C35" s="284"/>
      <c r="D35" s="246" t="s">
        <v>175</v>
      </c>
      <c r="E35" s="246"/>
      <c r="F35" s="246"/>
      <c r="G35" s="288" t="str">
        <f>대가산출!D4</f>
        <v xml:space="preserve">일금 삼백만원정(₩ 3,000,000) </v>
      </c>
      <c r="H35" s="289"/>
      <c r="I35" s="289"/>
      <c r="J35" s="289"/>
      <c r="K35" s="289"/>
      <c r="L35" s="289"/>
      <c r="M35" s="289"/>
      <c r="N35" s="289"/>
      <c r="O35" s="289"/>
      <c r="P35" s="289"/>
      <c r="Q35" s="289"/>
      <c r="R35" s="289" t="str">
        <f>대가산출!I3</f>
        <v>-VAT별도</v>
      </c>
      <c r="S35" s="289"/>
      <c r="T35" s="289"/>
      <c r="U35" s="290"/>
    </row>
    <row r="36" spans="2:21" ht="25" customHeight="1">
      <c r="B36" s="283"/>
      <c r="C36" s="284"/>
      <c r="D36" s="246" t="s">
        <v>174</v>
      </c>
      <c r="E36" s="246"/>
      <c r="F36" s="246"/>
      <c r="G36" s="291" t="str">
        <f>G35</f>
        <v xml:space="preserve">일금 삼백만원정(₩ 3,000,000) </v>
      </c>
      <c r="H36" s="291"/>
      <c r="I36" s="291"/>
      <c r="J36" s="291"/>
      <c r="K36" s="291"/>
      <c r="L36" s="291"/>
      <c r="M36" s="291"/>
      <c r="N36" s="291"/>
      <c r="O36" s="291"/>
      <c r="P36" s="291"/>
      <c r="Q36" s="291"/>
      <c r="R36" s="291"/>
      <c r="S36" s="291"/>
      <c r="T36" s="291"/>
      <c r="U36" s="292"/>
    </row>
    <row r="37" spans="2:21" ht="25" customHeight="1">
      <c r="B37" s="283"/>
      <c r="C37" s="284"/>
      <c r="D37" s="246" t="s">
        <v>173</v>
      </c>
      <c r="E37" s="246"/>
      <c r="F37" s="246"/>
      <c r="G37" s="293" t="s">
        <v>172</v>
      </c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4"/>
    </row>
    <row r="38" spans="2:21" ht="25" customHeight="1">
      <c r="B38" s="283"/>
      <c r="C38" s="284"/>
      <c r="D38" s="246" t="s">
        <v>171</v>
      </c>
      <c r="E38" s="246"/>
      <c r="F38" s="246"/>
      <c r="G38" s="293" t="s">
        <v>77</v>
      </c>
      <c r="H38" s="293"/>
      <c r="I38" s="293"/>
      <c r="J38" s="293"/>
      <c r="K38" s="293"/>
      <c r="L38" s="293"/>
      <c r="M38" s="293"/>
      <c r="N38" s="293"/>
      <c r="O38" s="293"/>
      <c r="P38" s="293"/>
      <c r="Q38" s="293"/>
      <c r="R38" s="293"/>
      <c r="S38" s="293"/>
      <c r="T38" s="293"/>
      <c r="U38" s="294"/>
    </row>
    <row r="39" spans="2:21" ht="25" customHeight="1">
      <c r="B39" s="283"/>
      <c r="C39" s="284"/>
      <c r="D39" s="246" t="s">
        <v>170</v>
      </c>
      <c r="E39" s="246"/>
      <c r="F39" s="246"/>
      <c r="G39" s="293" t="str">
        <f>갑지!N23</f>
        <v>인천 계양구 아나지로 199 (효성동)</v>
      </c>
      <c r="H39" s="293"/>
      <c r="I39" s="293"/>
      <c r="J39" s="293"/>
      <c r="K39" s="293"/>
      <c r="L39" s="293"/>
      <c r="M39" s="293"/>
      <c r="N39" s="293"/>
      <c r="O39" s="293"/>
      <c r="P39" s="293"/>
      <c r="Q39" s="293"/>
      <c r="R39" s="293"/>
      <c r="S39" s="293"/>
      <c r="T39" s="293"/>
      <c r="U39" s="294"/>
    </row>
    <row r="40" spans="2:21" ht="25" customHeight="1">
      <c r="B40" s="283"/>
      <c r="C40" s="284"/>
      <c r="D40" s="246"/>
      <c r="E40" s="246"/>
      <c r="F40" s="246"/>
      <c r="G40" s="295" t="s">
        <v>184</v>
      </c>
      <c r="H40" s="296"/>
      <c r="I40" s="296" t="s">
        <v>248</v>
      </c>
      <c r="J40" s="296"/>
      <c r="K40" s="296"/>
      <c r="L40" s="296"/>
      <c r="M40" s="296"/>
      <c r="N40" s="158" t="s">
        <v>183</v>
      </c>
      <c r="O40" s="296" t="s">
        <v>185</v>
      </c>
      <c r="P40" s="296"/>
      <c r="Q40" s="296" t="s">
        <v>249</v>
      </c>
      <c r="R40" s="296"/>
      <c r="S40" s="296"/>
      <c r="T40" s="296"/>
      <c r="U40" s="297"/>
    </row>
    <row r="41" spans="2:21" ht="25" customHeight="1">
      <c r="B41" s="283"/>
      <c r="C41" s="284"/>
      <c r="D41" s="298" t="s">
        <v>169</v>
      </c>
      <c r="E41" s="299"/>
      <c r="F41" s="300"/>
      <c r="G41" s="251" t="s">
        <v>168</v>
      </c>
      <c r="H41" s="252"/>
      <c r="I41" s="252"/>
      <c r="J41" s="252"/>
      <c r="K41" s="252"/>
      <c r="L41" s="252"/>
      <c r="M41" s="252"/>
      <c r="N41" s="252"/>
      <c r="O41" s="252"/>
      <c r="P41" s="252"/>
      <c r="Q41" s="252"/>
      <c r="R41" s="252"/>
      <c r="S41" s="252"/>
      <c r="T41" s="252"/>
      <c r="U41" s="253"/>
    </row>
    <row r="42" spans="2:21" ht="25" customHeight="1">
      <c r="B42" s="283"/>
      <c r="C42" s="284"/>
      <c r="D42" s="254" t="s">
        <v>167</v>
      </c>
      <c r="E42" s="255"/>
      <c r="F42" s="256"/>
      <c r="G42" s="263" t="s">
        <v>197</v>
      </c>
      <c r="H42" s="264"/>
      <c r="I42" s="264"/>
      <c r="J42" s="264" t="str">
        <f>갑지!H10</f>
        <v xml:space="preserve">2026년 연간 </v>
      </c>
      <c r="K42" s="264"/>
      <c r="L42" s="264"/>
      <c r="M42" s="265" t="s">
        <v>196</v>
      </c>
      <c r="N42" s="265"/>
      <c r="O42" s="265"/>
      <c r="P42" s="265"/>
      <c r="Q42" s="265"/>
      <c r="R42" s="265"/>
      <c r="S42" s="265"/>
      <c r="T42" s="265"/>
      <c r="U42" s="266"/>
    </row>
    <row r="43" spans="2:21" ht="25" customHeight="1">
      <c r="B43" s="283"/>
      <c r="C43" s="284"/>
      <c r="D43" s="257"/>
      <c r="E43" s="258"/>
      <c r="F43" s="259"/>
      <c r="G43" s="267" t="s">
        <v>217</v>
      </c>
      <c r="H43" s="268"/>
      <c r="I43" s="268"/>
      <c r="J43" s="269" t="str">
        <f>대가산출!D4&amp;R35</f>
        <v>일금 삼백만원정(₩ 3,000,000) -VAT별도</v>
      </c>
      <c r="K43" s="269"/>
      <c r="L43" s="269"/>
      <c r="M43" s="269"/>
      <c r="N43" s="269"/>
      <c r="O43" s="269"/>
      <c r="P43" s="269"/>
      <c r="Q43" s="269"/>
      <c r="R43" s="269"/>
      <c r="S43" s="269"/>
      <c r="T43" s="269"/>
      <c r="U43" s="270"/>
    </row>
    <row r="44" spans="2:21" ht="25" customHeight="1">
      <c r="B44" s="285"/>
      <c r="C44" s="286"/>
      <c r="D44" s="260"/>
      <c r="E44" s="261"/>
      <c r="F44" s="262"/>
      <c r="G44" s="271" t="s">
        <v>246</v>
      </c>
      <c r="H44" s="272"/>
      <c r="I44" s="272"/>
      <c r="J44" s="273" t="str">
        <f>갑지!N31&amp;R35</f>
        <v>일금일백오십만원정 (₩1,500,000) -VAT별도</v>
      </c>
      <c r="K44" s="273"/>
      <c r="L44" s="273"/>
      <c r="M44" s="273"/>
      <c r="N44" s="273"/>
      <c r="O44" s="273"/>
      <c r="P44" s="273"/>
      <c r="Q44" s="273"/>
      <c r="R44" s="273"/>
      <c r="S44" s="273"/>
      <c r="T44" s="273"/>
      <c r="U44" s="274"/>
    </row>
    <row r="45" spans="2:21">
      <c r="B45" s="275"/>
      <c r="C45" s="276"/>
      <c r="D45" s="276"/>
      <c r="E45" s="276"/>
      <c r="U45" s="5"/>
    </row>
    <row r="46" spans="2:21" ht="55.5" customHeight="1">
      <c r="B46" s="277" t="s">
        <v>203</v>
      </c>
      <c r="C46" s="235"/>
      <c r="D46" s="235"/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78"/>
    </row>
    <row r="47" spans="2:21">
      <c r="B47" s="122"/>
      <c r="C47" s="126"/>
      <c r="D47" s="126"/>
      <c r="E47" s="126"/>
      <c r="U47" s="5"/>
    </row>
    <row r="48" spans="2:21" ht="25" customHeight="1">
      <c r="B48" s="279" t="s">
        <v>46</v>
      </c>
      <c r="C48" s="280"/>
      <c r="D48" s="280"/>
      <c r="E48" s="235" t="s">
        <v>166</v>
      </c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78"/>
    </row>
    <row r="49" spans="2:21" ht="25" customHeight="1">
      <c r="B49" s="121"/>
      <c r="C49" s="120"/>
      <c r="D49" s="120"/>
      <c r="E49" s="235" t="s">
        <v>165</v>
      </c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78"/>
    </row>
    <row r="50" spans="2:21" ht="25" customHeight="1">
      <c r="B50" s="121"/>
      <c r="C50" s="120"/>
      <c r="D50" s="120"/>
      <c r="E50" s="235" t="s">
        <v>164</v>
      </c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78"/>
    </row>
    <row r="51" spans="2:21">
      <c r="B51" s="275"/>
      <c r="C51" s="276"/>
      <c r="D51" s="276"/>
      <c r="E51" s="276"/>
      <c r="U51" s="5"/>
    </row>
    <row r="52" spans="2:21" ht="25" customHeight="1">
      <c r="B52" s="277" t="s">
        <v>47</v>
      </c>
      <c r="C52" s="235"/>
      <c r="D52" s="235"/>
      <c r="E52" s="301" t="s">
        <v>204</v>
      </c>
      <c r="F52" s="301"/>
      <c r="G52" s="301"/>
      <c r="H52" s="301"/>
      <c r="I52" s="301"/>
      <c r="J52" s="301"/>
      <c r="K52" s="301"/>
      <c r="L52" s="301"/>
      <c r="M52" s="301"/>
      <c r="N52" s="301"/>
      <c r="O52" s="301"/>
      <c r="P52" s="301"/>
      <c r="Q52" s="301"/>
      <c r="R52" s="301"/>
      <c r="S52" s="301"/>
      <c r="T52" s="301"/>
      <c r="U52" s="302"/>
    </row>
    <row r="53" spans="2:21" ht="26.25" customHeight="1">
      <c r="B53" s="303" t="s">
        <v>48</v>
      </c>
      <c r="C53" s="304"/>
      <c r="D53" s="304"/>
      <c r="E53" s="304"/>
      <c r="F53" s="304"/>
      <c r="G53" s="304"/>
      <c r="H53" s="304"/>
      <c r="I53" s="304"/>
      <c r="J53" s="304"/>
      <c r="K53" s="304"/>
      <c r="L53" s="304" t="s">
        <v>49</v>
      </c>
      <c r="M53" s="304"/>
      <c r="N53" s="304"/>
      <c r="O53" s="304"/>
      <c r="P53" s="304"/>
      <c r="Q53" s="304"/>
      <c r="R53" s="304"/>
      <c r="S53" s="304"/>
      <c r="T53" s="304"/>
      <c r="U53" s="305"/>
    </row>
    <row r="54" spans="2:21" ht="40.5" customHeight="1">
      <c r="B54" s="303" t="s">
        <v>50</v>
      </c>
      <c r="C54" s="304"/>
      <c r="D54" s="304"/>
      <c r="E54" s="306" t="str">
        <f>B9</f>
        <v>효성뉴서울5차아파트</v>
      </c>
      <c r="F54" s="306"/>
      <c r="G54" s="306"/>
      <c r="H54" s="306"/>
      <c r="I54" s="306"/>
      <c r="J54" s="306"/>
      <c r="K54" s="306"/>
      <c r="L54" s="304" t="s">
        <v>51</v>
      </c>
      <c r="M54" s="304"/>
      <c r="N54" s="304"/>
      <c r="O54" s="307" t="s">
        <v>52</v>
      </c>
      <c r="P54" s="307"/>
      <c r="Q54" s="307"/>
      <c r="R54" s="307"/>
      <c r="S54" s="307"/>
      <c r="T54" s="307"/>
      <c r="U54" s="308"/>
    </row>
    <row r="55" spans="2:21" ht="40.5" customHeight="1">
      <c r="B55" s="303" t="s">
        <v>163</v>
      </c>
      <c r="C55" s="304"/>
      <c r="D55" s="304"/>
      <c r="E55" s="306" t="str">
        <f>G39</f>
        <v>인천 계양구 아나지로 199 (효성동)</v>
      </c>
      <c r="F55" s="306"/>
      <c r="G55" s="306"/>
      <c r="H55" s="306"/>
      <c r="I55" s="306"/>
      <c r="J55" s="306"/>
      <c r="K55" s="306"/>
      <c r="L55" s="304" t="s">
        <v>53</v>
      </c>
      <c r="M55" s="304"/>
      <c r="N55" s="304"/>
      <c r="O55" s="309" t="s">
        <v>162</v>
      </c>
      <c r="P55" s="310"/>
      <c r="Q55" s="310"/>
      <c r="R55" s="310"/>
      <c r="S55" s="310"/>
      <c r="T55" s="310"/>
      <c r="U55" s="311"/>
    </row>
    <row r="56" spans="2:21" ht="40.5" customHeight="1">
      <c r="B56" s="312" t="s">
        <v>161</v>
      </c>
      <c r="C56" s="313"/>
      <c r="D56" s="313"/>
      <c r="E56" s="314" t="s">
        <v>160</v>
      </c>
      <c r="F56" s="314"/>
      <c r="G56" s="314"/>
      <c r="H56" s="314"/>
      <c r="I56" s="314"/>
      <c r="J56" s="314"/>
      <c r="K56" s="314"/>
      <c r="L56" s="313" t="s">
        <v>54</v>
      </c>
      <c r="M56" s="313"/>
      <c r="N56" s="313"/>
      <c r="O56" s="315" t="s">
        <v>159</v>
      </c>
      <c r="P56" s="315"/>
      <c r="Q56" s="315"/>
      <c r="R56" s="315"/>
      <c r="S56" s="315"/>
      <c r="T56" s="315"/>
      <c r="U56" s="316"/>
    </row>
    <row r="57" spans="2:21" ht="16">
      <c r="B57" s="317" t="s">
        <v>55</v>
      </c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</row>
    <row r="58" spans="2:21" ht="26">
      <c r="B58" s="318" t="s">
        <v>158</v>
      </c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</row>
    <row r="59" spans="2:21" ht="15">
      <c r="B59" s="119"/>
      <c r="F59" s="11"/>
      <c r="G59" s="76"/>
      <c r="I59" s="9"/>
    </row>
    <row r="60" spans="2:21" ht="25" customHeight="1">
      <c r="B60" s="319" t="s">
        <v>218</v>
      </c>
      <c r="C60" s="319"/>
      <c r="D60" s="319"/>
      <c r="E60" s="319"/>
      <c r="F60" s="319"/>
      <c r="G60" s="319"/>
      <c r="H60" s="319"/>
      <c r="I60" s="319"/>
      <c r="J60" s="319"/>
      <c r="K60" s="319"/>
      <c r="L60" s="319"/>
      <c r="M60" s="319"/>
      <c r="N60" s="319"/>
      <c r="O60" s="319"/>
      <c r="P60" s="319"/>
      <c r="Q60" s="319"/>
      <c r="R60" s="319"/>
      <c r="S60" s="319"/>
      <c r="T60" s="319"/>
      <c r="U60" s="319"/>
    </row>
    <row r="61" spans="2:21" ht="25" customHeight="1">
      <c r="B61" s="235" t="s">
        <v>157</v>
      </c>
      <c r="C61" s="235"/>
      <c r="D61" s="235"/>
      <c r="E61" s="235"/>
      <c r="F61" s="235"/>
      <c r="G61" s="235"/>
      <c r="H61" s="235"/>
      <c r="I61" s="235"/>
      <c r="J61" s="320" t="str">
        <f>B9</f>
        <v>효성뉴서울5차아파트</v>
      </c>
      <c r="K61" s="320"/>
      <c r="L61" s="320"/>
      <c r="M61" s="320"/>
      <c r="N61" s="320"/>
      <c r="O61" s="280" t="s">
        <v>156</v>
      </c>
      <c r="P61" s="280"/>
      <c r="Q61" s="280"/>
      <c r="R61" s="280"/>
      <c r="S61" s="280"/>
      <c r="T61" s="280"/>
      <c r="U61" s="120"/>
    </row>
    <row r="62" spans="2:21" ht="25" customHeight="1">
      <c r="B62" s="319" t="s">
        <v>219</v>
      </c>
      <c r="C62" s="319"/>
      <c r="D62" s="319"/>
      <c r="E62" s="319"/>
      <c r="F62" s="319"/>
      <c r="G62" s="319"/>
      <c r="H62" s="319"/>
      <c r="I62" s="319"/>
      <c r="J62" s="319"/>
      <c r="K62" s="319"/>
      <c r="L62" s="319"/>
      <c r="M62" s="319"/>
      <c r="N62" s="319"/>
      <c r="O62" s="319"/>
      <c r="P62" s="319"/>
      <c r="Q62" s="319"/>
      <c r="R62" s="319"/>
      <c r="S62" s="319"/>
      <c r="T62" s="319"/>
      <c r="U62" s="319"/>
    </row>
    <row r="63" spans="2:21" ht="20" customHeight="1">
      <c r="B63" s="116"/>
      <c r="C63" s="116"/>
      <c r="D63" s="116"/>
      <c r="E63" s="116"/>
      <c r="F63" s="116"/>
      <c r="G63" s="116"/>
      <c r="H63" s="116"/>
      <c r="I63" s="116"/>
      <c r="J63" s="116"/>
    </row>
    <row r="64" spans="2:21" ht="20" customHeight="1">
      <c r="B64" s="321" t="s">
        <v>220</v>
      </c>
      <c r="C64" s="321"/>
      <c r="D64" s="321"/>
      <c r="E64" s="321"/>
      <c r="F64" s="321"/>
      <c r="G64" s="321"/>
      <c r="H64" s="321"/>
      <c r="I64" s="321"/>
      <c r="J64" s="321"/>
    </row>
    <row r="65" spans="2:21" ht="80" customHeight="1">
      <c r="C65" s="235" t="s">
        <v>155</v>
      </c>
      <c r="D65" s="235"/>
      <c r="E65" s="235"/>
      <c r="F65" s="235"/>
      <c r="G65" s="235"/>
      <c r="H65" s="235"/>
      <c r="I65" s="235"/>
      <c r="J65" s="235"/>
      <c r="K65" s="235"/>
      <c r="L65" s="235"/>
      <c r="M65" s="235"/>
      <c r="N65" s="235"/>
      <c r="O65" s="235"/>
      <c r="P65" s="235"/>
      <c r="Q65" s="235"/>
      <c r="R65" s="235"/>
      <c r="S65" s="235"/>
      <c r="T65" s="235"/>
      <c r="U65" s="235"/>
    </row>
    <row r="66" spans="2:21" ht="20" customHeight="1">
      <c r="B66" s="114"/>
      <c r="F66" s="11"/>
      <c r="G66" s="76"/>
      <c r="I66" s="9"/>
    </row>
    <row r="67" spans="2:21" ht="20" customHeight="1">
      <c r="B67" s="321" t="s">
        <v>221</v>
      </c>
      <c r="C67" s="321"/>
      <c r="D67" s="321"/>
      <c r="E67" s="321"/>
      <c r="F67" s="321"/>
      <c r="G67" s="321"/>
      <c r="H67" s="321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</row>
    <row r="68" spans="2:21" ht="20" customHeight="1">
      <c r="C68" s="117" t="s">
        <v>154</v>
      </c>
      <c r="D68" s="117"/>
      <c r="E68" s="117"/>
      <c r="F68" s="322" t="str">
        <f>B9</f>
        <v>효성뉴서울5차아파트</v>
      </c>
      <c r="G68" s="322"/>
      <c r="H68" s="322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</row>
    <row r="69" spans="2:21" ht="20" customHeight="1">
      <c r="C69" s="117" t="s">
        <v>153</v>
      </c>
      <c r="D69" s="117"/>
      <c r="E69" s="117"/>
      <c r="F69" s="152" t="str">
        <f>G39</f>
        <v>인천 계양구 아나지로 199 (효성동)</v>
      </c>
      <c r="G69" s="152"/>
      <c r="H69" s="152"/>
      <c r="I69" s="152"/>
      <c r="J69" s="152"/>
      <c r="K69" s="153"/>
      <c r="L69" s="154"/>
      <c r="M69" s="154"/>
      <c r="N69" s="154"/>
      <c r="O69" s="154"/>
      <c r="P69" s="154"/>
      <c r="Q69" s="154"/>
      <c r="R69" s="154"/>
      <c r="S69" s="154"/>
      <c r="T69" s="154"/>
      <c r="U69" s="154"/>
    </row>
    <row r="70" spans="2:21" ht="20" customHeight="1">
      <c r="C70" s="117" t="s">
        <v>252</v>
      </c>
      <c r="D70" s="117"/>
      <c r="E70" s="117"/>
      <c r="F70" s="152" t="s">
        <v>66</v>
      </c>
      <c r="G70" s="152"/>
      <c r="H70" s="152"/>
      <c r="I70" s="152"/>
      <c r="J70" s="152"/>
      <c r="K70" s="153"/>
      <c r="L70" s="154"/>
      <c r="M70" s="154"/>
      <c r="N70" s="154"/>
      <c r="O70" s="154"/>
      <c r="P70" s="154"/>
      <c r="Q70" s="154"/>
      <c r="R70" s="154"/>
      <c r="S70" s="154"/>
      <c r="T70" s="154"/>
      <c r="U70" s="154"/>
    </row>
    <row r="71" spans="2:21" ht="20" customHeight="1">
      <c r="C71" s="117" t="s">
        <v>253</v>
      </c>
      <c r="D71" s="117"/>
      <c r="E71" s="117"/>
      <c r="F71" s="152"/>
      <c r="G71" s="152"/>
      <c r="H71" s="152"/>
      <c r="I71" s="152"/>
      <c r="J71" s="152" t="str">
        <f>" "&amp;갑지!N22</f>
        <v xml:space="preserve"> 아파트 6개동 648세대 (해당동 : 6개동) </v>
      </c>
      <c r="K71" s="152"/>
      <c r="L71" s="154"/>
      <c r="M71" s="154"/>
      <c r="N71" s="154"/>
      <c r="O71" s="154"/>
      <c r="P71" s="154"/>
      <c r="Q71" s="154"/>
      <c r="R71" s="154"/>
      <c r="S71" s="154"/>
      <c r="T71" s="154"/>
      <c r="U71" s="154"/>
    </row>
    <row r="72" spans="2:21" ht="20" customHeight="1">
      <c r="B72" s="114"/>
      <c r="F72" s="11"/>
      <c r="G72" s="76"/>
      <c r="I72" s="9"/>
    </row>
    <row r="73" spans="2:21" ht="17">
      <c r="B73" s="321" t="s">
        <v>222</v>
      </c>
      <c r="C73" s="321"/>
      <c r="D73" s="321"/>
      <c r="E73" s="321"/>
      <c r="F73" s="321"/>
      <c r="G73" s="321"/>
      <c r="H73" s="321"/>
      <c r="I73" s="321"/>
      <c r="J73" s="321"/>
    </row>
    <row r="74" spans="2:21" ht="20" customHeight="1">
      <c r="C74" s="117" t="s">
        <v>205</v>
      </c>
      <c r="D74" s="117"/>
      <c r="E74" s="117"/>
      <c r="F74" s="117"/>
      <c r="G74" s="117"/>
      <c r="H74" s="117"/>
      <c r="I74" s="117"/>
      <c r="J74" s="117"/>
    </row>
    <row r="75" spans="2:21" ht="40" customHeight="1">
      <c r="C75" s="235" t="s">
        <v>152</v>
      </c>
      <c r="D75" s="235"/>
      <c r="E75" s="235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</row>
    <row r="76" spans="2:21" ht="20" customHeight="1">
      <c r="B76" s="114"/>
      <c r="F76" s="11"/>
      <c r="G76" s="76"/>
      <c r="I76" s="9"/>
    </row>
    <row r="77" spans="2:21" ht="20" customHeight="1">
      <c r="B77" s="321" t="s">
        <v>223</v>
      </c>
      <c r="C77" s="321"/>
      <c r="D77" s="321"/>
      <c r="E77" s="321"/>
      <c r="F77" s="321"/>
      <c r="G77" s="321"/>
      <c r="H77" s="321"/>
      <c r="I77" s="321"/>
      <c r="J77" s="321"/>
    </row>
    <row r="78" spans="2:21" ht="40" customHeight="1">
      <c r="C78" s="235" t="s">
        <v>151</v>
      </c>
      <c r="D78" s="235"/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</row>
    <row r="79" spans="2:21" ht="40" customHeight="1">
      <c r="B79" s="118"/>
      <c r="C79" s="235" t="s">
        <v>56</v>
      </c>
      <c r="D79" s="235"/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</row>
    <row r="80" spans="2:21" ht="40" customHeight="1">
      <c r="B80" s="77"/>
      <c r="C80" s="235" t="s">
        <v>150</v>
      </c>
      <c r="D80" s="235"/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</row>
    <row r="81" spans="2:21" ht="20" customHeight="1">
      <c r="C81" s="117"/>
      <c r="D81" s="117"/>
      <c r="E81" s="117"/>
      <c r="F81" s="117"/>
      <c r="G81" s="117"/>
      <c r="H81" s="117"/>
      <c r="I81" s="117"/>
      <c r="J81" s="117"/>
    </row>
    <row r="82" spans="2:21" ht="20" customHeight="1">
      <c r="B82" s="321" t="s">
        <v>224</v>
      </c>
      <c r="C82" s="321"/>
      <c r="D82" s="321"/>
      <c r="E82" s="321"/>
      <c r="F82" s="321"/>
      <c r="G82" s="321"/>
      <c r="H82" s="321"/>
      <c r="I82" s="321"/>
      <c r="J82" s="321"/>
    </row>
    <row r="83" spans="2:21" ht="40" customHeight="1">
      <c r="C83" s="235" t="s">
        <v>149</v>
      </c>
      <c r="D83" s="235"/>
      <c r="E83" s="235"/>
      <c r="F83" s="235"/>
      <c r="G83" s="235"/>
      <c r="H83" s="235"/>
      <c r="I83" s="235"/>
      <c r="J83" s="235"/>
      <c r="K83" s="235"/>
      <c r="L83" s="235"/>
      <c r="M83" s="235"/>
      <c r="N83" s="235"/>
      <c r="O83" s="235"/>
      <c r="P83" s="235"/>
      <c r="Q83" s="235"/>
      <c r="R83" s="235"/>
      <c r="S83" s="235"/>
      <c r="T83" s="235"/>
      <c r="U83" s="235"/>
    </row>
    <row r="84" spans="2:21" ht="22.5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</row>
    <row r="85" spans="2:21" ht="20" customHeight="1">
      <c r="B85" s="321" t="s">
        <v>225</v>
      </c>
      <c r="C85" s="321"/>
      <c r="D85" s="321"/>
      <c r="E85" s="321"/>
      <c r="F85" s="321"/>
      <c r="G85" s="321"/>
      <c r="H85" s="321"/>
      <c r="I85" s="321"/>
      <c r="J85" s="321"/>
    </row>
    <row r="86" spans="2:21" ht="40" customHeight="1">
      <c r="C86" s="235" t="s">
        <v>57</v>
      </c>
      <c r="D86" s="235"/>
      <c r="E86" s="235"/>
      <c r="F86" s="235"/>
      <c r="G86" s="235"/>
      <c r="H86" s="235"/>
      <c r="I86" s="235"/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</row>
    <row r="87" spans="2:21" ht="40" customHeight="1">
      <c r="C87" s="235" t="s">
        <v>148</v>
      </c>
      <c r="D87" s="235"/>
      <c r="E87" s="235"/>
      <c r="F87" s="235"/>
      <c r="G87" s="235"/>
      <c r="H87" s="235"/>
      <c r="I87" s="235"/>
      <c r="J87" s="235"/>
      <c r="K87" s="235"/>
      <c r="L87" s="235"/>
      <c r="M87" s="235"/>
      <c r="N87" s="235"/>
      <c r="O87" s="235"/>
      <c r="P87" s="235"/>
      <c r="Q87" s="235"/>
      <c r="R87" s="235"/>
      <c r="S87" s="235"/>
      <c r="T87" s="235"/>
      <c r="U87" s="235"/>
    </row>
    <row r="88" spans="2:21" ht="60" customHeight="1">
      <c r="C88" s="235" t="s">
        <v>147</v>
      </c>
      <c r="D88" s="235"/>
      <c r="E88" s="235"/>
      <c r="F88" s="235"/>
      <c r="G88" s="235"/>
      <c r="H88" s="235"/>
      <c r="I88" s="235"/>
      <c r="J88" s="235"/>
      <c r="K88" s="235"/>
      <c r="L88" s="235"/>
      <c r="M88" s="235"/>
      <c r="N88" s="235"/>
      <c r="O88" s="235"/>
      <c r="P88" s="235"/>
      <c r="Q88" s="235"/>
      <c r="R88" s="235"/>
      <c r="S88" s="235"/>
      <c r="T88" s="235"/>
      <c r="U88" s="235"/>
    </row>
    <row r="89" spans="2:21" ht="40" customHeight="1">
      <c r="C89" s="235" t="s">
        <v>58</v>
      </c>
      <c r="D89" s="235"/>
      <c r="E89" s="235"/>
      <c r="F89" s="235"/>
      <c r="G89" s="235"/>
      <c r="H89" s="235"/>
      <c r="I89" s="235"/>
      <c r="J89" s="235"/>
      <c r="K89" s="235"/>
      <c r="L89" s="235"/>
      <c r="M89" s="235"/>
      <c r="N89" s="235"/>
      <c r="O89" s="235"/>
      <c r="P89" s="235"/>
      <c r="Q89" s="235"/>
      <c r="R89" s="235"/>
      <c r="S89" s="235"/>
      <c r="T89" s="235"/>
      <c r="U89" s="235"/>
    </row>
    <row r="90" spans="2:21" ht="20" customHeight="1">
      <c r="B90" s="114"/>
      <c r="F90" s="11"/>
      <c r="G90" s="76"/>
      <c r="I90" s="9"/>
    </row>
    <row r="91" spans="2:21" ht="20" customHeight="1">
      <c r="B91" s="321" t="s">
        <v>226</v>
      </c>
      <c r="C91" s="321"/>
      <c r="D91" s="321"/>
      <c r="E91" s="321"/>
      <c r="F91" s="321"/>
      <c r="G91" s="321"/>
      <c r="H91" s="321"/>
      <c r="I91" s="321"/>
      <c r="J91" s="321"/>
    </row>
    <row r="92" spans="2:21" ht="40" customHeight="1">
      <c r="C92" s="235" t="s">
        <v>209</v>
      </c>
      <c r="D92" s="235"/>
      <c r="E92" s="235"/>
      <c r="F92" s="235"/>
      <c r="G92" s="235"/>
      <c r="H92" s="235"/>
      <c r="I92" s="235"/>
      <c r="J92" s="235"/>
      <c r="K92" s="235"/>
      <c r="L92" s="235"/>
      <c r="M92" s="235"/>
      <c r="N92" s="235"/>
      <c r="O92" s="235"/>
      <c r="P92" s="235"/>
      <c r="Q92" s="235"/>
      <c r="R92" s="235"/>
      <c r="S92" s="235"/>
      <c r="T92" s="235"/>
      <c r="U92" s="235"/>
    </row>
    <row r="93" spans="2:21" ht="40" customHeight="1">
      <c r="C93" s="235" t="s">
        <v>146</v>
      </c>
      <c r="D93" s="235"/>
      <c r="E93" s="235"/>
      <c r="F93" s="235"/>
      <c r="G93" s="235"/>
      <c r="H93" s="235"/>
      <c r="I93" s="235"/>
      <c r="J93" s="235"/>
      <c r="K93" s="235"/>
      <c r="L93" s="235"/>
      <c r="M93" s="235"/>
      <c r="N93" s="235"/>
      <c r="O93" s="235"/>
      <c r="P93" s="235"/>
      <c r="Q93" s="235"/>
      <c r="R93" s="235"/>
      <c r="S93" s="235"/>
      <c r="T93" s="235"/>
      <c r="U93" s="235"/>
    </row>
    <row r="94" spans="2:21" ht="40" customHeight="1">
      <c r="C94" s="235" t="s">
        <v>145</v>
      </c>
      <c r="D94" s="235"/>
      <c r="E94" s="235"/>
      <c r="F94" s="235"/>
      <c r="G94" s="235"/>
      <c r="H94" s="235"/>
      <c r="I94" s="235"/>
      <c r="J94" s="235"/>
      <c r="K94" s="235"/>
      <c r="L94" s="235"/>
      <c r="M94" s="235"/>
      <c r="N94" s="235"/>
      <c r="O94" s="235"/>
      <c r="P94" s="235"/>
      <c r="Q94" s="235"/>
      <c r="R94" s="235"/>
      <c r="S94" s="235"/>
      <c r="T94" s="235"/>
      <c r="U94" s="235"/>
    </row>
    <row r="95" spans="2:21" ht="20" customHeight="1">
      <c r="B95" s="114"/>
      <c r="F95" s="11"/>
      <c r="G95" s="76"/>
      <c r="I95" s="9"/>
    </row>
    <row r="96" spans="2:21" ht="20" customHeight="1">
      <c r="B96" s="321" t="s">
        <v>227</v>
      </c>
      <c r="C96" s="321"/>
      <c r="D96" s="321"/>
      <c r="E96" s="321"/>
      <c r="F96" s="321"/>
      <c r="G96" s="321"/>
      <c r="H96" s="321"/>
      <c r="I96" s="321"/>
      <c r="J96" s="321"/>
    </row>
    <row r="97" spans="2:21" ht="60" customHeight="1">
      <c r="C97" s="235" t="s">
        <v>144</v>
      </c>
      <c r="D97" s="235"/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</row>
    <row r="98" spans="2:21" ht="40" customHeight="1">
      <c r="C98" s="235" t="s">
        <v>59</v>
      </c>
      <c r="D98" s="235"/>
      <c r="E98" s="235"/>
      <c r="F98" s="235"/>
      <c r="G98" s="235"/>
      <c r="H98" s="235"/>
      <c r="I98" s="235"/>
      <c r="J98" s="235"/>
      <c r="K98" s="235"/>
      <c r="L98" s="235"/>
      <c r="M98" s="235"/>
      <c r="N98" s="235"/>
      <c r="O98" s="235"/>
      <c r="P98" s="235"/>
      <c r="Q98" s="235"/>
      <c r="R98" s="235"/>
      <c r="S98" s="235"/>
      <c r="T98" s="235"/>
      <c r="U98" s="235"/>
    </row>
    <row r="99" spans="2:21" ht="20" customHeight="1">
      <c r="B99" s="114"/>
      <c r="F99" s="11"/>
      <c r="G99" s="76"/>
      <c r="I99" s="9"/>
    </row>
    <row r="100" spans="2:21" ht="20" customHeight="1">
      <c r="B100" s="321" t="s">
        <v>228</v>
      </c>
      <c r="C100" s="321"/>
      <c r="D100" s="321"/>
      <c r="E100" s="321"/>
      <c r="F100" s="321"/>
      <c r="G100" s="321"/>
      <c r="H100" s="321"/>
      <c r="I100" s="321"/>
      <c r="J100" s="321"/>
    </row>
    <row r="101" spans="2:21" ht="40" customHeight="1">
      <c r="B101" s="77"/>
      <c r="C101" s="235" t="s">
        <v>143</v>
      </c>
      <c r="D101" s="235"/>
      <c r="E101" s="235"/>
      <c r="F101" s="235"/>
      <c r="G101" s="235"/>
      <c r="H101" s="235"/>
      <c r="I101" s="235"/>
      <c r="J101" s="235"/>
      <c r="K101" s="235"/>
      <c r="L101" s="235"/>
      <c r="M101" s="235"/>
      <c r="N101" s="235"/>
      <c r="O101" s="235"/>
      <c r="P101" s="235"/>
      <c r="Q101" s="235"/>
      <c r="R101" s="235"/>
      <c r="S101" s="235"/>
      <c r="T101" s="235"/>
      <c r="U101" s="235"/>
    </row>
    <row r="102" spans="2:21" ht="66" customHeight="1">
      <c r="B102" s="77"/>
      <c r="C102" s="235" t="s">
        <v>210</v>
      </c>
      <c r="D102" s="235"/>
      <c r="E102" s="235"/>
      <c r="F102" s="235"/>
      <c r="G102" s="235"/>
      <c r="H102" s="235"/>
      <c r="I102" s="235"/>
      <c r="J102" s="235"/>
      <c r="K102" s="235"/>
      <c r="L102" s="235"/>
      <c r="M102" s="235"/>
      <c r="N102" s="235"/>
      <c r="O102" s="235"/>
      <c r="P102" s="235"/>
      <c r="Q102" s="235"/>
      <c r="R102" s="235"/>
      <c r="S102" s="235"/>
      <c r="T102" s="235"/>
      <c r="U102" s="235"/>
    </row>
    <row r="103" spans="2:21" ht="40" customHeight="1">
      <c r="B103" s="77"/>
      <c r="C103" s="235" t="s">
        <v>142</v>
      </c>
      <c r="D103" s="235"/>
      <c r="E103" s="235"/>
      <c r="F103" s="235"/>
      <c r="G103" s="235"/>
      <c r="H103" s="235"/>
      <c r="I103" s="235"/>
      <c r="J103" s="235"/>
      <c r="K103" s="235"/>
      <c r="L103" s="235"/>
      <c r="M103" s="235"/>
      <c r="N103" s="235"/>
      <c r="O103" s="235"/>
      <c r="P103" s="235"/>
      <c r="Q103" s="235"/>
      <c r="R103" s="235"/>
      <c r="S103" s="235"/>
      <c r="T103" s="235"/>
      <c r="U103" s="235"/>
    </row>
    <row r="104" spans="2:21" ht="20" customHeight="1">
      <c r="B104" s="114"/>
      <c r="F104" s="11"/>
      <c r="G104" s="76"/>
      <c r="I104" s="9"/>
    </row>
    <row r="105" spans="2:21" ht="20" customHeight="1">
      <c r="B105" s="321" t="s">
        <v>229</v>
      </c>
      <c r="C105" s="321"/>
      <c r="D105" s="321"/>
      <c r="E105" s="321"/>
      <c r="F105" s="321"/>
      <c r="G105" s="321"/>
      <c r="H105" s="321"/>
      <c r="I105" s="321"/>
      <c r="J105" s="321"/>
    </row>
    <row r="106" spans="2:21" ht="40" customHeight="1">
      <c r="C106" s="235" t="s">
        <v>141</v>
      </c>
      <c r="D106" s="235"/>
      <c r="E106" s="235"/>
      <c r="F106" s="235"/>
      <c r="G106" s="235"/>
      <c r="H106" s="235"/>
      <c r="I106" s="235"/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</row>
    <row r="107" spans="2:21" ht="20" customHeight="1">
      <c r="B107" s="114"/>
      <c r="F107" s="11"/>
      <c r="G107" s="76"/>
      <c r="I107" s="9"/>
    </row>
    <row r="108" spans="2:21" ht="20" customHeight="1">
      <c r="B108" s="155" t="s">
        <v>230</v>
      </c>
      <c r="C108" s="115"/>
      <c r="D108" s="115"/>
      <c r="E108" s="115"/>
      <c r="F108" s="115"/>
      <c r="G108" s="115"/>
      <c r="H108" s="115"/>
      <c r="I108" s="115"/>
      <c r="J108" s="115"/>
    </row>
    <row r="109" spans="2:21" ht="20" customHeight="1">
      <c r="C109" s="323" t="s">
        <v>60</v>
      </c>
      <c r="D109" s="323"/>
      <c r="E109" s="323"/>
      <c r="F109" s="323"/>
      <c r="G109" s="323"/>
      <c r="H109" s="323"/>
      <c r="I109" s="323"/>
      <c r="J109" s="323"/>
      <c r="K109" s="323"/>
      <c r="L109" s="323"/>
      <c r="M109" s="323"/>
      <c r="N109" s="323"/>
      <c r="O109" s="323"/>
      <c r="P109" s="323"/>
      <c r="Q109" s="323"/>
      <c r="R109" s="323"/>
      <c r="S109" s="323"/>
      <c r="T109" s="323"/>
      <c r="U109" s="323"/>
    </row>
    <row r="110" spans="2:21" ht="20" customHeight="1">
      <c r="B110" s="78"/>
      <c r="C110" s="319" t="s">
        <v>140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19"/>
      <c r="P110" s="319"/>
      <c r="Q110" s="319"/>
      <c r="R110" s="319"/>
      <c r="S110" s="319"/>
      <c r="T110" s="319"/>
      <c r="U110" s="319"/>
    </row>
    <row r="111" spans="2:21" ht="20" customHeight="1">
      <c r="B111" s="78"/>
      <c r="C111" s="319" t="s">
        <v>139</v>
      </c>
      <c r="D111" s="319"/>
      <c r="E111" s="319"/>
      <c r="F111" s="319"/>
      <c r="G111" s="319"/>
      <c r="H111" s="319"/>
      <c r="I111" s="319"/>
      <c r="J111" s="319"/>
      <c r="K111" s="319"/>
      <c r="L111" s="319"/>
      <c r="M111" s="319"/>
      <c r="N111" s="319"/>
      <c r="O111" s="319"/>
      <c r="P111" s="319"/>
      <c r="Q111" s="319"/>
      <c r="R111" s="319"/>
      <c r="S111" s="319"/>
      <c r="T111" s="319"/>
      <c r="U111" s="319"/>
    </row>
    <row r="112" spans="2:21" ht="20" customHeight="1">
      <c r="B112" s="78"/>
      <c r="C112" s="319" t="s">
        <v>61</v>
      </c>
      <c r="D112" s="319"/>
      <c r="E112" s="319"/>
      <c r="F112" s="319"/>
      <c r="G112" s="319"/>
      <c r="H112" s="319"/>
      <c r="I112" s="319"/>
      <c r="J112" s="319"/>
      <c r="K112" s="319"/>
      <c r="L112" s="319"/>
      <c r="M112" s="319"/>
      <c r="N112" s="319"/>
      <c r="O112" s="319"/>
      <c r="P112" s="319"/>
      <c r="Q112" s="319"/>
      <c r="R112" s="319"/>
      <c r="S112" s="319"/>
      <c r="T112" s="319"/>
      <c r="U112" s="319"/>
    </row>
    <row r="113" spans="2:21" ht="20" customHeight="1">
      <c r="B113" s="78"/>
      <c r="C113" s="319" t="s">
        <v>62</v>
      </c>
      <c r="D113" s="319"/>
      <c r="E113" s="319"/>
      <c r="F113" s="319"/>
      <c r="G113" s="319"/>
      <c r="H113" s="319"/>
      <c r="I113" s="319"/>
      <c r="J113" s="319"/>
      <c r="K113" s="319"/>
      <c r="L113" s="319"/>
      <c r="M113" s="319"/>
      <c r="N113" s="319"/>
      <c r="O113" s="319"/>
      <c r="P113" s="319"/>
      <c r="Q113" s="319"/>
      <c r="R113" s="319"/>
      <c r="S113" s="319"/>
      <c r="T113" s="319"/>
      <c r="U113" s="319"/>
    </row>
    <row r="114" spans="2:21" ht="20" customHeight="1">
      <c r="B114" s="114"/>
      <c r="F114" s="11"/>
      <c r="G114" s="76"/>
      <c r="I114" s="9"/>
    </row>
    <row r="115" spans="2:21" ht="20" customHeight="1">
      <c r="B115" s="155" t="s">
        <v>231</v>
      </c>
      <c r="C115" s="115"/>
      <c r="D115" s="115"/>
      <c r="E115" s="115"/>
      <c r="F115" s="115"/>
      <c r="G115" s="115"/>
      <c r="H115" s="115"/>
      <c r="I115" s="115"/>
      <c r="J115" s="115"/>
    </row>
    <row r="116" spans="2:21" ht="40" customHeight="1">
      <c r="C116" s="235" t="s">
        <v>138</v>
      </c>
      <c r="D116" s="235"/>
      <c r="E116" s="235"/>
      <c r="F116" s="235"/>
      <c r="G116" s="235"/>
      <c r="H116" s="235"/>
      <c r="I116" s="235"/>
      <c r="J116" s="235"/>
      <c r="K116" s="235"/>
      <c r="L116" s="235"/>
      <c r="M116" s="235"/>
      <c r="N116" s="235"/>
      <c r="O116" s="235"/>
      <c r="P116" s="235"/>
      <c r="Q116" s="235"/>
      <c r="R116" s="235"/>
      <c r="S116" s="235"/>
      <c r="T116" s="235"/>
      <c r="U116" s="235"/>
    </row>
    <row r="117" spans="2:21" ht="20" customHeight="1">
      <c r="B117" s="114"/>
      <c r="F117" s="11"/>
      <c r="G117" s="76"/>
      <c r="I117" s="9"/>
    </row>
    <row r="118" spans="2:21" ht="20" customHeight="1">
      <c r="B118" s="321" t="s">
        <v>232</v>
      </c>
      <c r="C118" s="321"/>
      <c r="D118" s="321"/>
      <c r="E118" s="321"/>
      <c r="F118" s="321"/>
      <c r="G118" s="321"/>
      <c r="H118" s="321"/>
      <c r="I118" s="321"/>
      <c r="J118" s="321"/>
    </row>
    <row r="119" spans="2:21" ht="34.5" customHeight="1">
      <c r="C119" s="235" t="s">
        <v>137</v>
      </c>
      <c r="D119" s="235"/>
      <c r="E119" s="235"/>
      <c r="F119" s="235"/>
      <c r="G119" s="235"/>
      <c r="H119" s="235"/>
      <c r="I119" s="235"/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</row>
    <row r="120" spans="2:21" ht="409" customHeight="1"/>
    <row r="121" spans="2:21" ht="20" customHeight="1">
      <c r="B121" s="324" t="s">
        <v>63</v>
      </c>
      <c r="C121" s="324"/>
      <c r="D121" s="324"/>
      <c r="E121" s="324"/>
      <c r="F121" s="324"/>
      <c r="G121" s="324"/>
      <c r="H121" s="324"/>
      <c r="I121" s="324"/>
    </row>
    <row r="122" spans="2:21" ht="33.75" customHeight="1">
      <c r="B122" s="325" t="s">
        <v>136</v>
      </c>
      <c r="C122" s="325"/>
      <c r="D122" s="325"/>
      <c r="E122" s="325"/>
      <c r="F122" s="325"/>
      <c r="G122" s="325"/>
      <c r="H122" s="325"/>
      <c r="I122" s="325"/>
      <c r="J122" s="325"/>
      <c r="K122" s="325"/>
      <c r="L122" s="325"/>
      <c r="M122" s="325"/>
      <c r="N122" s="325"/>
      <c r="O122" s="325"/>
      <c r="P122" s="325"/>
      <c r="Q122" s="325"/>
      <c r="R122" s="325"/>
      <c r="S122" s="325"/>
      <c r="T122" s="325"/>
      <c r="U122" s="325"/>
    </row>
    <row r="123" spans="2:21" ht="50" customHeight="1">
      <c r="B123" s="326" t="s">
        <v>135</v>
      </c>
      <c r="C123" s="327"/>
      <c r="D123" s="327"/>
      <c r="E123" s="327"/>
      <c r="F123" s="328" t="s">
        <v>134</v>
      </c>
      <c r="G123" s="327"/>
      <c r="H123" s="327"/>
      <c r="I123" s="327"/>
      <c r="J123" s="327"/>
      <c r="K123" s="327"/>
      <c r="L123" s="327"/>
      <c r="M123" s="328" t="s">
        <v>133</v>
      </c>
      <c r="N123" s="327"/>
      <c r="O123" s="327"/>
      <c r="P123" s="327"/>
      <c r="Q123" s="327"/>
      <c r="R123" s="327"/>
      <c r="S123" s="327"/>
      <c r="T123" s="327"/>
      <c r="U123" s="329"/>
    </row>
    <row r="124" spans="2:21" ht="55" customHeight="1">
      <c r="B124" s="330" t="s">
        <v>132</v>
      </c>
      <c r="C124" s="331"/>
      <c r="D124" s="331"/>
      <c r="E124" s="331"/>
      <c r="F124" s="336" t="s">
        <v>131</v>
      </c>
      <c r="G124" s="337"/>
      <c r="H124" s="337"/>
      <c r="I124" s="337"/>
      <c r="J124" s="337"/>
      <c r="K124" s="337"/>
      <c r="L124" s="338"/>
      <c r="M124" s="339" t="s">
        <v>120</v>
      </c>
      <c r="N124" s="339"/>
      <c r="O124" s="339"/>
      <c r="P124" s="339"/>
      <c r="Q124" s="339"/>
      <c r="R124" s="339"/>
      <c r="S124" s="339"/>
      <c r="T124" s="339"/>
      <c r="U124" s="340"/>
    </row>
    <row r="125" spans="2:21" ht="55" customHeight="1">
      <c r="B125" s="332"/>
      <c r="C125" s="333"/>
      <c r="D125" s="333"/>
      <c r="E125" s="333"/>
      <c r="F125" s="341" t="s">
        <v>130</v>
      </c>
      <c r="G125" s="342"/>
      <c r="H125" s="342"/>
      <c r="I125" s="342"/>
      <c r="J125" s="342"/>
      <c r="K125" s="342"/>
      <c r="L125" s="343"/>
      <c r="M125" s="339"/>
      <c r="N125" s="339"/>
      <c r="O125" s="339"/>
      <c r="P125" s="339"/>
      <c r="Q125" s="339"/>
      <c r="R125" s="339"/>
      <c r="S125" s="339"/>
      <c r="T125" s="339"/>
      <c r="U125" s="340"/>
    </row>
    <row r="126" spans="2:21" ht="55" customHeight="1">
      <c r="B126" s="332"/>
      <c r="C126" s="333"/>
      <c r="D126" s="333"/>
      <c r="E126" s="333"/>
      <c r="F126" s="341" t="s">
        <v>129</v>
      </c>
      <c r="G126" s="342"/>
      <c r="H126" s="342"/>
      <c r="I126" s="342"/>
      <c r="J126" s="342"/>
      <c r="K126" s="342"/>
      <c r="L126" s="343"/>
      <c r="M126" s="339"/>
      <c r="N126" s="339"/>
      <c r="O126" s="339"/>
      <c r="P126" s="339"/>
      <c r="Q126" s="339"/>
      <c r="R126" s="339"/>
      <c r="S126" s="339"/>
      <c r="T126" s="339"/>
      <c r="U126" s="340"/>
    </row>
    <row r="127" spans="2:21" ht="55" customHeight="1">
      <c r="B127" s="334"/>
      <c r="C127" s="335"/>
      <c r="D127" s="335"/>
      <c r="E127" s="335"/>
      <c r="F127" s="344" t="s">
        <v>128</v>
      </c>
      <c r="G127" s="345"/>
      <c r="H127" s="345"/>
      <c r="I127" s="345"/>
      <c r="J127" s="345"/>
      <c r="K127" s="345"/>
      <c r="L127" s="346"/>
      <c r="M127" s="339"/>
      <c r="N127" s="339"/>
      <c r="O127" s="339"/>
      <c r="P127" s="339"/>
      <c r="Q127" s="339"/>
      <c r="R127" s="339"/>
      <c r="S127" s="339"/>
      <c r="T127" s="339"/>
      <c r="U127" s="340"/>
    </row>
    <row r="128" spans="2:21" ht="55" customHeight="1">
      <c r="B128" s="330" t="s">
        <v>127</v>
      </c>
      <c r="C128" s="331"/>
      <c r="D128" s="331"/>
      <c r="E128" s="331"/>
      <c r="F128" s="336" t="s">
        <v>211</v>
      </c>
      <c r="G128" s="337"/>
      <c r="H128" s="337"/>
      <c r="I128" s="337"/>
      <c r="J128" s="337"/>
      <c r="K128" s="337"/>
      <c r="L128" s="338"/>
      <c r="M128" s="339" t="s">
        <v>120</v>
      </c>
      <c r="N128" s="339"/>
      <c r="O128" s="339"/>
      <c r="P128" s="339"/>
      <c r="Q128" s="339"/>
      <c r="R128" s="339"/>
      <c r="S128" s="339"/>
      <c r="T128" s="339"/>
      <c r="U128" s="340"/>
    </row>
    <row r="129" spans="2:21" ht="55" customHeight="1">
      <c r="B129" s="332"/>
      <c r="C129" s="333"/>
      <c r="D129" s="333"/>
      <c r="E129" s="333"/>
      <c r="F129" s="347" t="s">
        <v>212</v>
      </c>
      <c r="G129" s="348"/>
      <c r="H129" s="348"/>
      <c r="I129" s="348"/>
      <c r="J129" s="348"/>
      <c r="K129" s="348"/>
      <c r="L129" s="349"/>
      <c r="M129" s="339"/>
      <c r="N129" s="339"/>
      <c r="O129" s="339"/>
      <c r="P129" s="339"/>
      <c r="Q129" s="339"/>
      <c r="R129" s="339"/>
      <c r="S129" s="339"/>
      <c r="T129" s="339"/>
      <c r="U129" s="340"/>
    </row>
    <row r="130" spans="2:21" ht="55" customHeight="1">
      <c r="B130" s="334"/>
      <c r="C130" s="335"/>
      <c r="D130" s="335"/>
      <c r="E130" s="335"/>
      <c r="F130" s="344" t="s">
        <v>213</v>
      </c>
      <c r="G130" s="345"/>
      <c r="H130" s="345"/>
      <c r="I130" s="345"/>
      <c r="J130" s="345"/>
      <c r="K130" s="345"/>
      <c r="L130" s="346"/>
      <c r="M130" s="339"/>
      <c r="N130" s="339"/>
      <c r="O130" s="339"/>
      <c r="P130" s="339"/>
      <c r="Q130" s="339"/>
      <c r="R130" s="339"/>
      <c r="S130" s="339"/>
      <c r="T130" s="339"/>
      <c r="U130" s="340"/>
    </row>
    <row r="131" spans="2:21" ht="55" customHeight="1">
      <c r="B131" s="332" t="s">
        <v>126</v>
      </c>
      <c r="C131" s="333"/>
      <c r="D131" s="333"/>
      <c r="E131" s="333"/>
      <c r="F131" s="341" t="s">
        <v>214</v>
      </c>
      <c r="G131" s="342"/>
      <c r="H131" s="342"/>
      <c r="I131" s="342"/>
      <c r="J131" s="342"/>
      <c r="K131" s="342"/>
      <c r="L131" s="343"/>
      <c r="M131" s="339" t="s">
        <v>120</v>
      </c>
      <c r="N131" s="339"/>
      <c r="O131" s="339"/>
      <c r="P131" s="339"/>
      <c r="Q131" s="339"/>
      <c r="R131" s="339"/>
      <c r="S131" s="339"/>
      <c r="T131" s="339"/>
      <c r="U131" s="340"/>
    </row>
    <row r="132" spans="2:21" ht="55" customHeight="1">
      <c r="B132" s="332"/>
      <c r="C132" s="333"/>
      <c r="D132" s="333"/>
      <c r="E132" s="333"/>
      <c r="F132" s="341" t="s">
        <v>215</v>
      </c>
      <c r="G132" s="342"/>
      <c r="H132" s="342"/>
      <c r="I132" s="342"/>
      <c r="J132" s="342"/>
      <c r="K132" s="342"/>
      <c r="L132" s="343"/>
      <c r="M132" s="339"/>
      <c r="N132" s="339"/>
      <c r="O132" s="339"/>
      <c r="P132" s="339"/>
      <c r="Q132" s="339"/>
      <c r="R132" s="339"/>
      <c r="S132" s="339"/>
      <c r="T132" s="339"/>
      <c r="U132" s="340"/>
    </row>
    <row r="133" spans="2:21" ht="55" customHeight="1">
      <c r="B133" s="350" t="s">
        <v>125</v>
      </c>
      <c r="C133" s="351"/>
      <c r="D133" s="351"/>
      <c r="E133" s="351"/>
      <c r="F133" s="352" t="s">
        <v>123</v>
      </c>
      <c r="G133" s="353"/>
      <c r="H133" s="353"/>
      <c r="I133" s="353"/>
      <c r="J133" s="353"/>
      <c r="K133" s="353"/>
      <c r="L133" s="354"/>
      <c r="M133" s="339" t="s">
        <v>123</v>
      </c>
      <c r="N133" s="339"/>
      <c r="O133" s="339"/>
      <c r="P133" s="339"/>
      <c r="Q133" s="339"/>
      <c r="R133" s="339"/>
      <c r="S133" s="339"/>
      <c r="T133" s="339"/>
      <c r="U133" s="340"/>
    </row>
    <row r="134" spans="2:21" ht="55" customHeight="1">
      <c r="B134" s="332" t="s">
        <v>124</v>
      </c>
      <c r="C134" s="333"/>
      <c r="D134" s="333"/>
      <c r="E134" s="333"/>
      <c r="F134" s="341" t="s">
        <v>123</v>
      </c>
      <c r="G134" s="342"/>
      <c r="H134" s="342"/>
      <c r="I134" s="342"/>
      <c r="J134" s="342"/>
      <c r="K134" s="342"/>
      <c r="L134" s="343"/>
      <c r="M134" s="339" t="s">
        <v>123</v>
      </c>
      <c r="N134" s="339"/>
      <c r="O134" s="339"/>
      <c r="P134" s="339"/>
      <c r="Q134" s="339"/>
      <c r="R134" s="339"/>
      <c r="S134" s="339"/>
      <c r="T134" s="339"/>
      <c r="U134" s="340"/>
    </row>
    <row r="135" spans="2:21" ht="55" customHeight="1">
      <c r="B135" s="355" t="s">
        <v>122</v>
      </c>
      <c r="C135" s="356"/>
      <c r="D135" s="356"/>
      <c r="E135" s="356"/>
      <c r="F135" s="357" t="s">
        <v>121</v>
      </c>
      <c r="G135" s="358"/>
      <c r="H135" s="358"/>
      <c r="I135" s="358"/>
      <c r="J135" s="358"/>
      <c r="K135" s="358"/>
      <c r="L135" s="359"/>
      <c r="M135" s="360" t="s">
        <v>120</v>
      </c>
      <c r="N135" s="360"/>
      <c r="O135" s="360"/>
      <c r="P135" s="360"/>
      <c r="Q135" s="360"/>
      <c r="R135" s="360"/>
      <c r="S135" s="360"/>
      <c r="T135" s="360"/>
      <c r="U135" s="361"/>
    </row>
    <row r="136" spans="2:21" ht="20.25" customHeight="1">
      <c r="B136" s="324" t="s">
        <v>64</v>
      </c>
      <c r="C136" s="324"/>
      <c r="D136" s="324"/>
      <c r="E136" s="324"/>
      <c r="F136" s="324"/>
      <c r="G136" s="324"/>
      <c r="H136" s="324"/>
      <c r="I136" s="324"/>
      <c r="J136" s="324"/>
      <c r="K136" s="324"/>
      <c r="L136" s="324"/>
      <c r="M136" s="324"/>
      <c r="N136" s="324"/>
      <c r="O136" s="324"/>
      <c r="P136" s="324"/>
      <c r="Q136" s="324"/>
      <c r="R136" s="324"/>
      <c r="S136" s="324"/>
      <c r="T136" s="324"/>
      <c r="U136" s="324"/>
    </row>
    <row r="137" spans="2:21" ht="42" customHeight="1">
      <c r="B137" s="325" t="s">
        <v>198</v>
      </c>
      <c r="C137" s="325"/>
      <c r="D137" s="325"/>
      <c r="E137" s="325"/>
      <c r="F137" s="325"/>
      <c r="G137" s="325"/>
      <c r="H137" s="325"/>
      <c r="I137" s="325"/>
      <c r="J137" s="325"/>
      <c r="K137" s="325"/>
      <c r="L137" s="325"/>
      <c r="M137" s="325"/>
      <c r="N137" s="325"/>
      <c r="O137" s="325"/>
      <c r="P137" s="325"/>
      <c r="Q137" s="325"/>
      <c r="R137" s="325"/>
      <c r="S137" s="325"/>
      <c r="T137" s="325"/>
      <c r="U137" s="325"/>
    </row>
    <row r="138" spans="2:21" ht="30" customHeight="1">
      <c r="B138" s="362" t="s">
        <v>119</v>
      </c>
      <c r="C138" s="363"/>
      <c r="D138" s="363"/>
      <c r="E138" s="363"/>
      <c r="F138" s="363"/>
      <c r="G138" s="363"/>
      <c r="H138" s="363"/>
      <c r="I138" s="364"/>
      <c r="J138" s="364"/>
      <c r="K138" s="364"/>
      <c r="L138" s="364"/>
      <c r="M138" s="365" t="s">
        <v>118</v>
      </c>
      <c r="N138" s="365"/>
      <c r="O138" s="112"/>
      <c r="P138" s="113" t="s">
        <v>117</v>
      </c>
      <c r="Q138" s="112"/>
      <c r="R138" s="366">
        <f>INT(SUM(R139,R140,R141,R142,R143,R144,R145,R146))</f>
        <v>1092686</v>
      </c>
      <c r="S138" s="366"/>
      <c r="T138" s="366"/>
      <c r="U138" s="367"/>
    </row>
    <row r="139" spans="2:21" ht="30" customHeight="1">
      <c r="B139" s="111"/>
      <c r="C139" s="368" t="s">
        <v>116</v>
      </c>
      <c r="D139" s="368"/>
      <c r="E139" s="368"/>
      <c r="F139" s="369" t="s">
        <v>67</v>
      </c>
      <c r="G139" s="369"/>
      <c r="H139" s="369"/>
      <c r="I139" s="370">
        <v>373353</v>
      </c>
      <c r="J139" s="370"/>
      <c r="K139" s="370"/>
      <c r="L139" s="370"/>
      <c r="M139" s="371" t="s">
        <v>115</v>
      </c>
      <c r="N139" s="371"/>
      <c r="O139" s="100" t="s">
        <v>103</v>
      </c>
      <c r="P139" s="133">
        <f>대가산출!G9</f>
        <v>0</v>
      </c>
      <c r="Q139" s="80"/>
      <c r="R139" s="372">
        <f t="shared" ref="R139:R146" si="0">P139*I139</f>
        <v>0</v>
      </c>
      <c r="S139" s="372"/>
      <c r="T139" s="372"/>
      <c r="U139" s="373"/>
    </row>
    <row r="140" spans="2:21" ht="30" customHeight="1">
      <c r="B140" s="79"/>
      <c r="C140" s="101"/>
      <c r="F140" s="374" t="s">
        <v>68</v>
      </c>
      <c r="G140" s="374"/>
      <c r="H140" s="374"/>
      <c r="I140" s="375">
        <v>310884</v>
      </c>
      <c r="J140" s="375"/>
      <c r="K140" s="375"/>
      <c r="L140" s="375"/>
      <c r="M140" s="376" t="s">
        <v>115</v>
      </c>
      <c r="N140" s="376"/>
      <c r="O140" s="99" t="s">
        <v>103</v>
      </c>
      <c r="P140" s="107">
        <f>대가산출!G10</f>
        <v>1</v>
      </c>
      <c r="Q140" s="4"/>
      <c r="R140" s="377">
        <f t="shared" si="0"/>
        <v>310884</v>
      </c>
      <c r="S140" s="377"/>
      <c r="T140" s="377"/>
      <c r="U140" s="378"/>
    </row>
    <row r="141" spans="2:21" ht="30" customHeight="1">
      <c r="B141" s="79"/>
      <c r="C141" s="101"/>
      <c r="F141" s="374" t="s">
        <v>69</v>
      </c>
      <c r="G141" s="374"/>
      <c r="H141" s="374"/>
      <c r="I141" s="375">
        <v>295138</v>
      </c>
      <c r="J141" s="375"/>
      <c r="K141" s="375"/>
      <c r="L141" s="375"/>
      <c r="M141" s="376" t="s">
        <v>65</v>
      </c>
      <c r="N141" s="376"/>
      <c r="O141" s="99" t="s">
        <v>103</v>
      </c>
      <c r="P141" s="107">
        <f>대가산출!G11</f>
        <v>0</v>
      </c>
      <c r="Q141" s="4"/>
      <c r="R141" s="377">
        <f t="shared" si="0"/>
        <v>0</v>
      </c>
      <c r="S141" s="377"/>
      <c r="T141" s="377"/>
      <c r="U141" s="378"/>
    </row>
    <row r="142" spans="2:21" ht="30" customHeight="1">
      <c r="B142" s="79"/>
      <c r="C142" s="101"/>
      <c r="F142" s="374" t="s">
        <v>70</v>
      </c>
      <c r="G142" s="374"/>
      <c r="H142" s="374"/>
      <c r="I142" s="375">
        <v>235459</v>
      </c>
      <c r="J142" s="375"/>
      <c r="K142" s="375"/>
      <c r="L142" s="375"/>
      <c r="M142" s="376" t="s">
        <v>65</v>
      </c>
      <c r="N142" s="376"/>
      <c r="O142" s="99" t="s">
        <v>103</v>
      </c>
      <c r="P142" s="107">
        <f>대가산출!G12</f>
        <v>1</v>
      </c>
      <c r="Q142" s="4"/>
      <c r="R142" s="377">
        <f t="shared" si="0"/>
        <v>235459</v>
      </c>
      <c r="S142" s="377"/>
      <c r="T142" s="377"/>
      <c r="U142" s="378"/>
    </row>
    <row r="143" spans="2:21" ht="30" customHeight="1">
      <c r="B143" s="136"/>
      <c r="C143" s="379" t="s">
        <v>114</v>
      </c>
      <c r="D143" s="379"/>
      <c r="E143" s="379"/>
      <c r="F143" s="369" t="s">
        <v>67</v>
      </c>
      <c r="G143" s="369"/>
      <c r="H143" s="369"/>
      <c r="I143" s="370">
        <v>373353</v>
      </c>
      <c r="J143" s="370"/>
      <c r="K143" s="370"/>
      <c r="L143" s="370"/>
      <c r="M143" s="371" t="s">
        <v>65</v>
      </c>
      <c r="N143" s="371"/>
      <c r="O143" s="100" t="s">
        <v>103</v>
      </c>
      <c r="P143" s="133">
        <f>대가산출!G13</f>
        <v>0</v>
      </c>
      <c r="Q143" s="80"/>
      <c r="R143" s="372">
        <f t="shared" si="0"/>
        <v>0</v>
      </c>
      <c r="S143" s="372"/>
      <c r="T143" s="372"/>
      <c r="U143" s="373"/>
    </row>
    <row r="144" spans="2:21" ht="30" customHeight="1">
      <c r="B144" s="79"/>
      <c r="C144" s="101"/>
      <c r="F144" s="374" t="s">
        <v>68</v>
      </c>
      <c r="G144" s="374"/>
      <c r="H144" s="374"/>
      <c r="I144" s="375">
        <v>310884</v>
      </c>
      <c r="J144" s="375"/>
      <c r="K144" s="375"/>
      <c r="L144" s="375"/>
      <c r="M144" s="376" t="s">
        <v>65</v>
      </c>
      <c r="N144" s="376"/>
      <c r="O144" s="99" t="s">
        <v>103</v>
      </c>
      <c r="P144" s="107">
        <f>대가산출!G14</f>
        <v>1</v>
      </c>
      <c r="Q144" s="4"/>
      <c r="R144" s="377">
        <f t="shared" si="0"/>
        <v>310884</v>
      </c>
      <c r="S144" s="377"/>
      <c r="T144" s="377"/>
      <c r="U144" s="378"/>
    </row>
    <row r="145" spans="2:21" ht="30" customHeight="1">
      <c r="B145" s="79"/>
      <c r="C145" s="137"/>
      <c r="F145" s="374" t="s">
        <v>69</v>
      </c>
      <c r="G145" s="374"/>
      <c r="H145" s="374"/>
      <c r="I145" s="375">
        <v>295138</v>
      </c>
      <c r="J145" s="375"/>
      <c r="K145" s="375"/>
      <c r="L145" s="375"/>
      <c r="M145" s="376" t="s">
        <v>65</v>
      </c>
      <c r="N145" s="376"/>
      <c r="O145" s="99" t="s">
        <v>103</v>
      </c>
      <c r="P145" s="107">
        <f>대가산출!G15</f>
        <v>0</v>
      </c>
      <c r="Q145" s="4"/>
      <c r="R145" s="377">
        <f t="shared" si="0"/>
        <v>0</v>
      </c>
      <c r="S145" s="377"/>
      <c r="T145" s="377"/>
      <c r="U145" s="378"/>
    </row>
    <row r="146" spans="2:21" ht="30" customHeight="1">
      <c r="B146" s="81"/>
      <c r="C146" s="110"/>
      <c r="D146" s="82"/>
      <c r="E146" s="82"/>
      <c r="F146" s="380" t="s">
        <v>70</v>
      </c>
      <c r="G146" s="380"/>
      <c r="H146" s="380"/>
      <c r="I146" s="381">
        <v>235459</v>
      </c>
      <c r="J146" s="381"/>
      <c r="K146" s="381"/>
      <c r="L146" s="381"/>
      <c r="M146" s="382" t="s">
        <v>65</v>
      </c>
      <c r="N146" s="382"/>
      <c r="O146" s="134" t="s">
        <v>103</v>
      </c>
      <c r="P146" s="135">
        <f>대가산출!G16</f>
        <v>1</v>
      </c>
      <c r="Q146" s="83"/>
      <c r="R146" s="383">
        <f t="shared" si="0"/>
        <v>235459</v>
      </c>
      <c r="S146" s="383"/>
      <c r="T146" s="383"/>
      <c r="U146" s="384"/>
    </row>
    <row r="147" spans="2:21" ht="30" customHeight="1">
      <c r="B147" s="385" t="s">
        <v>113</v>
      </c>
      <c r="C147" s="386"/>
      <c r="D147" s="386"/>
      <c r="E147" s="386"/>
      <c r="F147" s="386"/>
      <c r="G147" s="386"/>
      <c r="H147" s="386"/>
      <c r="I147" s="387" t="s">
        <v>112</v>
      </c>
      <c r="J147" s="387"/>
      <c r="K147" s="387"/>
      <c r="L147" s="387"/>
      <c r="M147" s="388" t="s">
        <v>109</v>
      </c>
      <c r="N147" s="388"/>
      <c r="O147" s="88"/>
      <c r="P147" s="98">
        <f>대가산출!G17</f>
        <v>10</v>
      </c>
      <c r="Q147" s="88"/>
      <c r="R147" s="389">
        <f>R138*P147%</f>
        <v>109268.6</v>
      </c>
      <c r="S147" s="389"/>
      <c r="T147" s="389"/>
      <c r="U147" s="390"/>
    </row>
    <row r="148" spans="2:21" ht="30" customHeight="1">
      <c r="B148" s="385" t="s">
        <v>111</v>
      </c>
      <c r="C148" s="386"/>
      <c r="D148" s="386"/>
      <c r="E148" s="386"/>
      <c r="F148" s="386"/>
      <c r="G148" s="386"/>
      <c r="H148" s="386"/>
      <c r="I148" s="391" t="s">
        <v>110</v>
      </c>
      <c r="J148" s="391"/>
      <c r="K148" s="391"/>
      <c r="L148" s="391"/>
      <c r="M148" s="388" t="s">
        <v>109</v>
      </c>
      <c r="N148" s="388"/>
      <c r="O148" s="88"/>
      <c r="P148" s="98">
        <f>대가산출!G18</f>
        <v>10</v>
      </c>
      <c r="Q148" s="88"/>
      <c r="R148" s="392">
        <f>(R138+R147)*P148%</f>
        <v>120195.46000000002</v>
      </c>
      <c r="S148" s="392"/>
      <c r="T148" s="392"/>
      <c r="U148" s="393"/>
    </row>
    <row r="149" spans="2:21" ht="30" customHeight="1">
      <c r="B149" s="394" t="s">
        <v>108</v>
      </c>
      <c r="C149" s="395"/>
      <c r="D149" s="395"/>
      <c r="E149" s="395"/>
      <c r="F149" s="395"/>
      <c r="G149" s="395"/>
      <c r="H149" s="395"/>
      <c r="I149" s="369"/>
      <c r="J149" s="369"/>
      <c r="K149" s="369"/>
      <c r="L149" s="100"/>
      <c r="M149" s="109"/>
      <c r="N149" s="80"/>
      <c r="O149" s="100"/>
      <c r="P149" s="80"/>
      <c r="Q149" s="80"/>
      <c r="R149" s="396">
        <f>SUM(R151:R155)</f>
        <v>219268</v>
      </c>
      <c r="S149" s="396"/>
      <c r="T149" s="396"/>
      <c r="U149" s="397"/>
    </row>
    <row r="150" spans="2:21" ht="30" customHeight="1">
      <c r="B150" s="85" t="s">
        <v>107</v>
      </c>
      <c r="C150" s="4"/>
      <c r="I150" s="84"/>
      <c r="J150" s="4"/>
      <c r="K150" s="86"/>
      <c r="L150" s="107"/>
      <c r="M150" s="108"/>
      <c r="N150" s="4"/>
      <c r="O150" s="107"/>
      <c r="P150" s="4"/>
      <c r="Q150" s="4"/>
      <c r="R150" s="377">
        <f>INT(M150*O150)</f>
        <v>0</v>
      </c>
      <c r="S150" s="377"/>
      <c r="T150" s="377"/>
      <c r="U150" s="378"/>
    </row>
    <row r="151" spans="2:21" ht="30" customHeight="1">
      <c r="B151" s="85" t="s">
        <v>106</v>
      </c>
      <c r="C151" s="4"/>
      <c r="I151" s="398">
        <v>20000</v>
      </c>
      <c r="J151" s="398"/>
      <c r="K151" s="398"/>
      <c r="L151" s="398"/>
      <c r="M151" s="376" t="s">
        <v>104</v>
      </c>
      <c r="N151" s="376"/>
      <c r="O151" s="99" t="s">
        <v>103</v>
      </c>
      <c r="P151" s="106">
        <f>대가산출!G21</f>
        <v>2</v>
      </c>
      <c r="Q151" s="4"/>
      <c r="R151" s="377">
        <f>P151*I151</f>
        <v>40000</v>
      </c>
      <c r="S151" s="377"/>
      <c r="T151" s="377"/>
      <c r="U151" s="378"/>
    </row>
    <row r="152" spans="2:21" ht="30" customHeight="1">
      <c r="B152" s="85" t="s">
        <v>105</v>
      </c>
      <c r="C152" s="4"/>
      <c r="I152" s="399">
        <v>20000</v>
      </c>
      <c r="J152" s="399"/>
      <c r="K152" s="399"/>
      <c r="L152" s="399"/>
      <c r="M152" s="374" t="s">
        <v>104</v>
      </c>
      <c r="N152" s="374"/>
      <c r="O152" s="99" t="s">
        <v>103</v>
      </c>
      <c r="P152" s="106">
        <f>대가산출!G22</f>
        <v>2</v>
      </c>
      <c r="Q152" s="4"/>
      <c r="R152" s="377">
        <f>P152*I152</f>
        <v>40000</v>
      </c>
      <c r="S152" s="377"/>
      <c r="T152" s="377"/>
      <c r="U152" s="378"/>
    </row>
    <row r="153" spans="2:21" ht="30" customHeight="1">
      <c r="B153" s="85" t="s">
        <v>102</v>
      </c>
      <c r="C153" s="99"/>
      <c r="I153" s="376" t="s">
        <v>101</v>
      </c>
      <c r="J153" s="376"/>
      <c r="K153" s="376"/>
      <c r="L153" s="376"/>
      <c r="M153" s="376"/>
      <c r="N153" s="376"/>
      <c r="O153" s="376"/>
      <c r="P153" s="376"/>
      <c r="Q153" s="376"/>
      <c r="R153" s="377">
        <f>ROUND(SUM(R139:R142)*10%,0)</f>
        <v>54634</v>
      </c>
      <c r="S153" s="377"/>
      <c r="T153" s="377"/>
      <c r="U153" s="378"/>
    </row>
    <row r="154" spans="2:21" ht="30" customHeight="1">
      <c r="B154" s="85" t="s">
        <v>100</v>
      </c>
      <c r="C154" s="99"/>
      <c r="I154" s="376" t="s">
        <v>76</v>
      </c>
      <c r="J154" s="376"/>
      <c r="K154" s="376"/>
      <c r="L154" s="376"/>
      <c r="M154" s="376"/>
      <c r="N154" s="376"/>
      <c r="O154" s="376"/>
      <c r="P154" s="376"/>
      <c r="Q154" s="376"/>
      <c r="R154" s="377">
        <f>ROUND(R138*5%,0)</f>
        <v>54634</v>
      </c>
      <c r="S154" s="377"/>
      <c r="T154" s="377"/>
      <c r="U154" s="378"/>
    </row>
    <row r="155" spans="2:21" ht="30" customHeight="1">
      <c r="B155" s="85" t="s">
        <v>99</v>
      </c>
      <c r="C155" s="99"/>
      <c r="I155" s="382"/>
      <c r="J155" s="382"/>
      <c r="K155" s="382"/>
      <c r="L155" s="382"/>
      <c r="M155" s="382"/>
      <c r="N155" s="382"/>
      <c r="O155" s="382"/>
      <c r="P155" s="382"/>
      <c r="Q155" s="382"/>
      <c r="R155" s="383">
        <v>30000</v>
      </c>
      <c r="S155" s="383"/>
      <c r="T155" s="383"/>
      <c r="U155" s="384"/>
    </row>
    <row r="156" spans="2:21" ht="30" customHeight="1">
      <c r="B156" s="385" t="s">
        <v>98</v>
      </c>
      <c r="C156" s="386"/>
      <c r="D156" s="386"/>
      <c r="E156" s="386"/>
      <c r="F156" s="386"/>
      <c r="G156" s="386"/>
      <c r="H156" s="386"/>
      <c r="I156" s="388" t="s">
        <v>97</v>
      </c>
      <c r="J156" s="388"/>
      <c r="K156" s="388"/>
      <c r="L156" s="388"/>
      <c r="M156" s="388"/>
      <c r="N156" s="388"/>
      <c r="O156" s="388"/>
      <c r="P156" s="388"/>
      <c r="Q156" s="388"/>
      <c r="R156" s="392">
        <v>0</v>
      </c>
      <c r="S156" s="392"/>
      <c r="T156" s="392"/>
      <c r="U156" s="393"/>
    </row>
    <row r="157" spans="2:21" ht="30" customHeight="1">
      <c r="B157" s="385" t="s">
        <v>96</v>
      </c>
      <c r="C157" s="386"/>
      <c r="D157" s="386"/>
      <c r="E157" s="386"/>
      <c r="F157" s="386"/>
      <c r="G157" s="386"/>
      <c r="H157" s="386"/>
      <c r="I157" s="87"/>
      <c r="J157" s="88"/>
      <c r="K157" s="89"/>
      <c r="L157" s="98" t="s">
        <v>95</v>
      </c>
      <c r="M157" s="98"/>
      <c r="N157" s="98"/>
      <c r="O157" s="98"/>
      <c r="P157" s="88"/>
      <c r="Q157" s="88"/>
      <c r="R157" s="408">
        <f>R138+R147+R148+R149</f>
        <v>1541418.06</v>
      </c>
      <c r="S157" s="408"/>
      <c r="T157" s="408"/>
      <c r="U157" s="409"/>
    </row>
    <row r="158" spans="2:21" ht="30" customHeight="1">
      <c r="B158" s="400" t="s">
        <v>71</v>
      </c>
      <c r="C158" s="401"/>
      <c r="D158" s="401"/>
      <c r="E158" s="401"/>
      <c r="F158" s="401"/>
      <c r="G158" s="401"/>
      <c r="H158" s="401"/>
      <c r="I158" s="87"/>
      <c r="J158" s="88"/>
      <c r="K158" s="89"/>
      <c r="L158" s="98"/>
      <c r="M158" s="98"/>
      <c r="N158" s="98"/>
      <c r="O158" s="98"/>
      <c r="P158" s="88"/>
      <c r="Q158" s="88"/>
      <c r="R158" s="392">
        <f>대가산출!H28</f>
        <v>41419</v>
      </c>
      <c r="S158" s="392"/>
      <c r="T158" s="392"/>
      <c r="U158" s="393"/>
    </row>
    <row r="159" spans="2:21" ht="30" customHeight="1">
      <c r="B159" s="400" t="s">
        <v>72</v>
      </c>
      <c r="C159" s="401"/>
      <c r="D159" s="401"/>
      <c r="E159" s="401"/>
      <c r="F159" s="401"/>
      <c r="G159" s="401"/>
      <c r="H159" s="401"/>
      <c r="I159" s="87"/>
      <c r="J159" s="88"/>
      <c r="K159" s="89"/>
      <c r="L159" s="98"/>
      <c r="M159" s="98"/>
      <c r="N159" s="98"/>
      <c r="O159" s="98"/>
      <c r="P159" s="88"/>
      <c r="Q159" s="88"/>
      <c r="R159" s="392">
        <f>대가산출!H29</f>
        <v>1500000</v>
      </c>
      <c r="S159" s="392"/>
      <c r="T159" s="392"/>
      <c r="U159" s="393"/>
    </row>
    <row r="160" spans="2:21" ht="30" customHeight="1">
      <c r="B160" s="400" t="s">
        <v>73</v>
      </c>
      <c r="C160" s="401"/>
      <c r="D160" s="401"/>
      <c r="E160" s="401"/>
      <c r="F160" s="401"/>
      <c r="G160" s="401"/>
      <c r="H160" s="401"/>
      <c r="I160" s="87"/>
      <c r="J160" s="88"/>
      <c r="K160" s="89"/>
      <c r="L160" s="98"/>
      <c r="M160" s="98"/>
      <c r="N160" s="98"/>
      <c r="O160" s="98"/>
      <c r="P160" s="88"/>
      <c r="Q160" s="88"/>
      <c r="R160" s="402" t="s">
        <v>94</v>
      </c>
      <c r="S160" s="402"/>
      <c r="T160" s="402"/>
      <c r="U160" s="403"/>
    </row>
    <row r="161" spans="2:21" ht="30" customHeight="1">
      <c r="B161" s="404" t="s">
        <v>93</v>
      </c>
      <c r="C161" s="405"/>
      <c r="D161" s="405"/>
      <c r="E161" s="405"/>
      <c r="F161" s="405"/>
      <c r="G161" s="405"/>
      <c r="H161" s="405"/>
      <c r="I161" s="105"/>
      <c r="J161" s="102"/>
      <c r="K161" s="104"/>
      <c r="L161" s="103"/>
      <c r="M161" s="103"/>
      <c r="N161" s="103"/>
      <c r="O161" s="103"/>
      <c r="P161" s="102"/>
      <c r="Q161" s="102"/>
      <c r="R161" s="406">
        <f>대가산출!H31</f>
        <v>1500000</v>
      </c>
      <c r="S161" s="406"/>
      <c r="T161" s="406"/>
      <c r="U161" s="407"/>
    </row>
    <row r="162" spans="2:21" ht="25" customHeight="1"/>
    <row r="163" spans="2:21" ht="25" customHeight="1"/>
    <row r="164" spans="2:21" ht="25" customHeight="1"/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</sheetData>
  <mergeCells count="221"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F68:U68"/>
    <mergeCell ref="B73:J73"/>
    <mergeCell ref="C75:U75"/>
    <mergeCell ref="B77:J77"/>
    <mergeCell ref="C78:U78"/>
    <mergeCell ref="C79:U79"/>
    <mergeCell ref="C80:U80"/>
    <mergeCell ref="B82:J82"/>
    <mergeCell ref="C83:U83"/>
    <mergeCell ref="B58:U58"/>
    <mergeCell ref="B60:U60"/>
    <mergeCell ref="B61:I61"/>
    <mergeCell ref="J61:N61"/>
    <mergeCell ref="B62:U62"/>
    <mergeCell ref="B64:J64"/>
    <mergeCell ref="C65:U65"/>
    <mergeCell ref="B67:U67"/>
    <mergeCell ref="O61:T61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45:E45"/>
    <mergeCell ref="B46:U46"/>
    <mergeCell ref="B48:D48"/>
    <mergeCell ref="E48:U48"/>
    <mergeCell ref="B34:C44"/>
    <mergeCell ref="D34:F34"/>
    <mergeCell ref="G34:L34"/>
    <mergeCell ref="M34:U34"/>
    <mergeCell ref="D35:F35"/>
    <mergeCell ref="G35:Q35"/>
    <mergeCell ref="R35:U35"/>
    <mergeCell ref="D36:F36"/>
    <mergeCell ref="G36:U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I42"/>
    <mergeCell ref="J42:L42"/>
    <mergeCell ref="M42:U42"/>
    <mergeCell ref="G43:I43"/>
    <mergeCell ref="J43:U43"/>
    <mergeCell ref="G44:I44"/>
    <mergeCell ref="J44:U44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7:U7"/>
    <mergeCell ref="B8:U8"/>
    <mergeCell ref="B9:U9"/>
    <mergeCell ref="B10:U10"/>
    <mergeCell ref="B16:U16"/>
    <mergeCell ref="I22:U22"/>
    <mergeCell ref="I23:U23"/>
    <mergeCell ref="I24:U24"/>
    <mergeCell ref="B27:U2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6" min="1" max="20" man="1"/>
    <brk id="84" min="1" max="20" man="1"/>
    <brk id="107" min="1" max="20" man="1"/>
    <brk id="120" min="1" max="20" man="1"/>
    <brk id="135" min="1" max="20" man="1"/>
  </rowBreaks>
  <colBreaks count="1" manualBreakCount="1">
    <brk id="21" max="16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2026-04-17T02:12:38Z</cp:lastPrinted>
  <dcterms:modified xsi:type="dcterms:W3CDTF">2026-04-22T02:06:01Z</dcterms:modified>
</cp:coreProperties>
</file>