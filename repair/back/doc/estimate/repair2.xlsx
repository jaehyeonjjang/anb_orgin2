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13CCAD4A-76B5-DB4C-AC77-104F96CE5721}" xr6:coauthVersionLast="47" xr6:coauthVersionMax="47" xr10:uidLastSave="{00000000-0000-0000-0000-000000000000}"/>
  <bookViews>
    <workbookView xWindow="0" yWindow="680" windowWidth="34200" windowHeight="19800" activeTab="2" xr2:uid="{00000000-000D-0000-FFFF-FFFF00000000}"/>
  </bookViews>
  <sheets>
    <sheet name="갑지" sheetId="1" r:id="rId1"/>
    <sheet name="대가산출" sheetId="3" r:id="rId2"/>
    <sheet name="계약서1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계약서1!$H$1:$AA$114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1" i="4" l="1"/>
  <c r="M35" i="4"/>
  <c r="M40" i="4"/>
  <c r="Q25" i="1"/>
  <c r="H9" i="4" s="1"/>
  <c r="M16" i="3" l="1"/>
  <c r="M15" i="3"/>
  <c r="M8" i="3" s="1"/>
  <c r="M14" i="3"/>
  <c r="M13" i="3"/>
  <c r="M12" i="3"/>
  <c r="M11" i="3"/>
  <c r="M10" i="3"/>
  <c r="M9" i="3"/>
  <c r="I5" i="3"/>
  <c r="L54" i="4"/>
  <c r="M29" i="4"/>
  <c r="M17" i="3" l="1"/>
  <c r="M18" i="3" s="1"/>
  <c r="L53" i="4"/>
  <c r="M22" i="3" l="1"/>
  <c r="M24" i="3" s="1"/>
  <c r="I3" i="3" l="1"/>
  <c r="I4" i="3"/>
  <c r="M26" i="3"/>
  <c r="M37" i="4" l="1"/>
  <c r="M36" i="4"/>
  <c r="R35" i="1"/>
</calcChain>
</file>

<file path=xl/sharedStrings.xml><?xml version="1.0" encoding="utf-8"?>
<sst xmlns="http://schemas.openxmlformats.org/spreadsheetml/2006/main" count="195" uniqueCount="181">
  <si>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</si>
  <si>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</si>
  <si>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</si>
  <si>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</si>
  <si>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</si>
  <si>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</si>
  <si>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</si>
  <si>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</si>
  <si>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</si>
  <si>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</si>
  <si>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t>/</t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</si>
  <si>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</si>
  <si>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</si>
  <si>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</si>
  <si>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</si>
  <si>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</si>
  <si>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</si>
  <si>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</si>
  <si>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</si>
  <si>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</si>
  <si>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</si>
  <si>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</si>
  <si>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</si>
  <si>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</si>
  <si>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부가가치세</t>
  </si>
  <si>
    <t>공 급 가 액</t>
  </si>
  <si>
    <t>절 삭 금 액</t>
  </si>
  <si>
    <t>구조형식,용도,경과년수</t>
  </si>
  <si>
    <t>%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</si>
  <si>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</si>
  <si>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</si>
  <si>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</si>
  <si>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</si>
  <si>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</si>
  <si>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</si>
  <si>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</si>
  <si>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</si>
  <si>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</si>
  <si>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</si>
  <si>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</si>
  <si>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</si>
  <si>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</si>
  <si>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</si>
  <si>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</si>
  <si>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</si>
  <si>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</si>
  <si>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</si>
  <si>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</si>
  <si>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</si>
  <si>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</si>
  <si>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</si>
  <si>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</si>
  <si>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</si>
  <si>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</si>
  <si>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</si>
  <si>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</si>
  <si>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</si>
  <si>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</si>
  <si>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</si>
  <si>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</si>
  <si>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 xml:space="preserve">2026   .     .     .   ~   2026 .     .     . </t>
  </si>
  <si>
    <t>보고서 납품</t>
  </si>
  <si>
    <t>기 타 사 항</t>
  </si>
  <si>
    <t>경기도 용인시 기흥구 마북로 159 한성프라자 207호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</si>
  <si>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</si>
  <si>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t>마곡엠밸리4단지아파트</t>
  </si>
  <si>
    <t>2026년    월     일</t>
  </si>
  <si>
    <t>계약일로 부터 60일 이내이며 보고서 1부</t>
  </si>
  <si>
    <t>대표회의 회장  :</t>
  </si>
  <si>
    <t>(인)</t>
  </si>
  <si>
    <t xml:space="preserve"> 서        응       원 </t>
  </si>
  <si>
    <t xml:space="preserve">제2조(용역의 범위) </t>
  </si>
  <si>
    <t>"발주자"는 "수주자"에게 공동주택관리법과 동법 시행규칙 제7조의 별표1에 표시된 항목으로 한정한다.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</si>
  <si>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</si>
  <si>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</si>
  <si>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</si>
  <si>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</si>
  <si>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</si>
  <si>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</si>
  <si>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</si>
  <si>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</si>
  <si>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</si>
  <si>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>제9조(특약사항)</t>
  </si>
  <si>
    <t>장기수선계획서 작성 대행 용역</t>
  </si>
  <si>
    <t>나. 이 견적서의 유효기간은 30일 입니다.</t>
  </si>
  <si>
    <t>계약  기간</t>
  </si>
  <si>
    <t>위        치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</si>
  <si>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수립 대행을 성실히 수행하는 것을 원칙으로 한다.</t>
  </si>
  <si>
    <t>"발주자"는 수주자"에게 제공한 기존 장기수선 계획서를 바탕으로 작성하는 업무</t>
  </si>
  <si>
    <t>2026년</t>
  </si>
  <si>
    <t>※ 첨    부 :  1. 장기수선계획서 수립 견적서 1부. 끝.</t>
  </si>
  <si>
    <t>장기수선계획서 검토조정 대행 계약서</t>
  </si>
  <si>
    <t>1. 장기수선계획서 검토조정 대행 계약서 1부.</t>
  </si>
  <si>
    <t>장기수선계획 검토조정 대행 계약조건</t>
  </si>
  <si>
    <t>(우)16910  경기도 용인시 기흥구 마북로 159 한성프라자 207호 (마북동)   전화 : 031-283-3328    팩스 : 031-284-3328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</si>
  <si>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</si>
  <si>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</si>
  <si>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</si>
  <si>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</si>
  <si>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</si>
  <si>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</si>
  <si>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</si>
  <si>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</si>
  <si>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재수립</t>
  </si>
  <si>
    <t xml:space="preserve">② 조정 </t>
  </si>
  <si>
    <t>"발주자"는 "수주자"에게 공동주택관리법과 동법 시행규칙 제7조의 별표1에 표시된 항목 이외의 항목을 요구할 수 있으며, 이러한 경우 서면으로 통지하여야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</si>
  <si>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</si>
  <si>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</si>
  <si>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② 지급시기는 계약일로 부터 60일 이내에 지급하여야 한다.</t>
  </si>
  <si>
    <t>① 장기수선계획서 검토조정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</si>
  <si>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</si>
  <si>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 xml:space="preserve">② 위임업무 처리시 필요한 자료 통보 </t>
  </si>
  <si>
    <t>1. 도면 (건축, 토목, 조경, 기계설비, 전기, 소방, 정보통신 등)</t>
  </si>
  <si>
    <t>2. 장기수선 충당금 보조부원장 (출력 가능한 년도까지)</t>
  </si>
  <si>
    <t>3. 어린이 놀이터 검사 필증(합격증)</t>
  </si>
  <si>
    <t>4. 기존 장기수선계획서 (이전 작성한 장기수선 계획서)</t>
  </si>
  <si>
    <t>5. 단지개요, 적립요율부분, 최근 관리부과내역서, 사업자등록증 사본</t>
  </si>
  <si>
    <t>6. 장기수선계획을 위한 사전 예비조사서 (수주자 제공 양식 작성)</t>
  </si>
  <si>
    <t>7. 아파트에서 결정해야 할 사항 (1∽4번 모두 작성)</t>
  </si>
  <si>
    <t>② 본 계약은 당사자 사이의 합의 또는 천재지변, 전쟁, 기타 불가항력의 사유로 인하여 위임업무가 불가능할 때 해지 할 수 있다.</t>
  </si>
  <si>
    <t>③  계약이 해지된 때에는 "발주자"와 "수주자"는 지체없이 그때까지 발생한 비용 등을 정산하여야 한다.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</si>
  <si>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</si>
  <si>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</si>
  <si>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③ 장기수선계획서 완성본은 3회(검수, 수정, 회수)까지만 수정한 후 완료하는 것으로 한다.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</si>
  <si>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</si>
  <si>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</si>
  <si>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(직접인건비+제경비)*20%</t>
  </si>
  <si>
    <t>직접인건비*40%</t>
  </si>
  <si>
    <r>
      <rPr>
        <sz val="11"/>
        <color rgb="FF000000"/>
        <rFont val="한컴 솔잎 B"/>
        <charset val="129"/>
      </rPr>
      <t xml:space="preserve"> 1. 직 접 인 건 비</t>
    </r>
  </si>
  <si>
    <r>
      <rPr>
        <sz val="11"/>
        <color rgb="FF000000"/>
        <rFont val="한컴 솔잎 B"/>
        <charset val="129"/>
      </rPr>
      <t xml:space="preserve"> 5. 인   쇄   비</t>
    </r>
  </si>
  <si>
    <t xml:space="preserve"> 7. 합 계 금 액</t>
  </si>
  <si>
    <r>
      <t xml:space="preserve"> 4. 직 접</t>
    </r>
    <r>
      <rPr>
        <sz val="7"/>
        <color rgb="FF000000"/>
        <rFont val="한컴 솔잎 B"/>
        <charset val="129"/>
      </rPr>
      <t xml:space="preserve">  </t>
    </r>
    <r>
      <rPr>
        <sz val="11"/>
        <color rgb="FF000000"/>
        <rFont val="한컴 솔잎 B"/>
        <charset val="129"/>
      </rPr>
      <t>경 비</t>
    </r>
  </si>
  <si>
    <r>
      <t xml:space="preserve"> </t>
    </r>
    <r>
      <rPr>
        <sz val="11"/>
        <color rgb="FF000000"/>
        <rFont val="한컴 솔잎 B"/>
        <charset val="129"/>
      </rPr>
      <t>6. 추 가</t>
    </r>
    <r>
      <rPr>
        <sz val="7"/>
        <color rgb="FF000000"/>
        <rFont val="한컴 솔잎 B"/>
        <charset val="129"/>
      </rPr>
      <t xml:space="preserve">  </t>
    </r>
    <r>
      <rPr>
        <sz val="11"/>
        <color rgb="FF000000"/>
        <rFont val="한컴 솔잎 B"/>
        <charset val="129"/>
      </rPr>
      <t>경 비</t>
    </r>
  </si>
  <si>
    <t>가. 장기수선계획 용역기간 : 6개월   (계약일자로부터)</t>
  </si>
  <si>
    <t>"수주자"는 "발주자"가 제공한 자료가 부실한 경우 반드시 "발주자"에게 서면으로 통보한다.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</si>
  <si>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</si>
  <si>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</si>
  <si>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</si>
  <si>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</si>
  <si>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t>031-657-6579</t>
  </si>
  <si>
    <t xml:space="preserve">팩스 : </t>
  </si>
  <si>
    <t>031-656-6579</t>
  </si>
  <si>
    <t xml:space="preserve">전화 : </t>
  </si>
  <si>
    <t xml:space="preserve">① "발주자"의 구성원 및 회장(단장 포함)이 변경이 있을 경우에도 본 계약은 자동적으로 후임 구성원 및 회장(단장 포함)에게 승계된 것으로 본다. </t>
  </si>
  <si>
    <t>무로 하는 ㈜에이앤비입니다.</t>
  </si>
  <si>
    <t>귀 아파트에서 수립하고자 하는 장기수선계획서 작성에 관한 견적서를 아래와 같이 제출하오니</t>
    <phoneticPr fontId="1" type="noConversion"/>
  </si>
  <si>
    <t>검토하시어 수립 대행업무 위임하여 주시기 바랍니다.</t>
    <phoneticPr fontId="1" type="noConversion"/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</si>
  <si>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</si>
  <si>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</si>
  <si>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</si>
  <si>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</si>
  <si>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</si>
  <si>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t>가. 공동주택관리법 제29조에 의거한 장기수선계획 검토·조정</t>
    <phoneticPr fontId="1" type="noConversion"/>
  </si>
  <si>
    <t>나. 장기수선계획 보고서(1부) 및 엑셀파일 출력물 제공</t>
    <phoneticPr fontId="1" type="noConversion"/>
  </si>
  <si>
    <t>계획 조정(검토 포함) , 시설물 유지보수(도장, 방수공사 등), 기술자문 및 감리 등을 주 업</t>
    <phoneticPr fontId="1" type="noConversion"/>
  </si>
  <si>
    <t>시설물 안전진단(구조 안전진단), 안전점검(정밀, 정기), 건축물 하자 조사(점검), 장기수선</t>
    <phoneticPr fontId="1" type="noConversion"/>
  </si>
  <si>
    <t>서울 성북구 길음로9길 50 (길음동)</t>
    <phoneticPr fontId="1" type="noConversion"/>
  </si>
  <si>
    <t>아파트 15개동 1012세대</t>
    <phoneticPr fontId="1" type="noConversion"/>
  </si>
  <si>
    <t>2010년 09월</t>
    <phoneticPr fontId="1" type="noConversion"/>
  </si>
  <si>
    <t>02-912-5002 / 02-912-5002</t>
    <phoneticPr fontId="1" type="noConversion"/>
  </si>
  <si>
    <t>가. 단   지   명  :</t>
    <phoneticPr fontId="1" type="noConversion"/>
  </si>
  <si>
    <t xml:space="preserve">나. 소   재   지  : </t>
    <phoneticPr fontId="1" type="noConversion"/>
  </si>
  <si>
    <t>다. 단 지  규 모  :</t>
    <phoneticPr fontId="1" type="noConversion"/>
  </si>
  <si>
    <t>라. 준   공   일  :</t>
    <phoneticPr fontId="1" type="noConversion"/>
  </si>
  <si>
    <t>마. 전 화 / 팩 스 :</t>
    <phoneticPr fontId="1" type="noConversion"/>
  </si>
  <si>
    <t>가. 외업</t>
    <phoneticPr fontId="1" type="noConversion"/>
  </si>
  <si>
    <t>나. 내업</t>
    <phoneticPr fontId="1" type="noConversion"/>
  </si>
  <si>
    <t>●   주 소 : 경기도 용인시 기흥구 마북로 159 한성프라자 207호</t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</si>
  <si>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1. 귀 사의 무궁한 발전을 기원합니다.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</si>
  <si>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</si>
  <si>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3. 그 동안 귀사에서 물심양면으로 도와주신 부분에 대하여 무궁한 감사 드리며,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</si>
  <si>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</si>
  <si>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 xml:space="preserve">5. 용  역   범  위 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</si>
  <si>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7. 참  고  사  항</t>
    </r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</si>
  <si>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4"/>
        <color rgb="FF000000"/>
        <rFont val="바탕체"/>
        <family val="1"/>
        <charset val="129"/>
      </rPr>
      <t>6. 용    역    비  :</t>
    </r>
    <phoneticPr fontId="1" type="noConversion"/>
  </si>
  <si>
    <t>마곡엠밸리4단지아파트</t>
    <phoneticPr fontId="1" type="noConversion"/>
  </si>
  <si>
    <t>「공동주택관리법」(이하 “공주법”이라 한다) 제29조(장기수선계획), 시행령 제30조</t>
    <phoneticPr fontId="1" type="noConversion"/>
  </si>
  <si>
    <t>(장기수선계획의 수립), 시행규칙 제7조(장기수선계획의 수립기준 등)의 규정에 따라</t>
    <phoneticPr fontId="1" type="noConversion"/>
  </si>
  <si>
    <t>㈜에이앤비(이하 "수주자"라 한다)는 다음과 같이 계약을 체결한다.</t>
    <phoneticPr fontId="1" type="noConversion"/>
  </si>
  <si>
    <t>붙 임 서 류 :</t>
  </si>
  <si>
    <t xml:space="preserve">계 약 일 자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</si>
</sst>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yyyy&quot;년&quot;\ m&quot;월&quot;\ d&quot;일&quot;;@"/>
    <numFmt numFmtId="180" formatCode="#,##0_ "/>
    <numFmt numFmtId="181" formatCode="&quot;₩&quot;#,##0"/>
    <numFmt numFmtId="182" formatCode="&quot;일금&quot;\ [$-412]General&quot;원&quot;&quot;정&quot;"/>
    <numFmt numFmtId="183" formatCode="@\ &quot;정&quot;&quot;기&quot;&quot;안&quot;&quot;전&quot;&quot;점&quot;&quot;검&quot;&quot;(상반기)&quot;\ &quot;용&quot;&quot;역&quot;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17">
    <font>
      <sz val="10"/>
      <color rgb="FF000000"/>
      <name val="바탕"/>
    </font>
    <font>
      <sz val="12"/>
      <color rgb="FF000000"/>
      <name val="함초롬바탕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돋움"/>
      <family val="2"/>
      <charset val="129"/>
    </font>
    <font>
      <sz val="12"/>
      <color rgb="FF000000"/>
      <name val="바탕체"/>
      <family val="1"/>
      <charset val="129"/>
    </font>
    <font>
      <sz val="8"/>
      <color rgb="FF000000"/>
      <name val="바탕"/>
      <family val="1"/>
      <charset val="129"/>
    </font>
    <font>
      <sz val="11"/>
      <color rgb="FF000000"/>
      <name val="바탕체"/>
      <family val="1"/>
      <charset val="129"/>
    </font>
    <font>
      <sz val="12"/>
      <color theme="1"/>
      <name val="돋움"/>
      <family val="2"/>
      <charset val="129"/>
    </font>
    <font>
      <sz val="13"/>
      <color rgb="FF000000"/>
      <name val="굴림"/>
      <family val="2"/>
      <charset val="129"/>
    </font>
    <font>
      <sz val="13"/>
      <color rgb="FF000000"/>
      <name val="한컴 솔잎 B"/>
      <charset val="129"/>
    </font>
    <font>
      <sz val="11"/>
      <color rgb="FF000000"/>
      <name val="한컴 솔잎 B"/>
      <charset val="129"/>
    </font>
    <font>
      <sz val="16"/>
      <color rgb="FF000000"/>
      <name val="한컴 솔잎 B"/>
      <charset val="129"/>
    </font>
    <font>
      <sz val="10"/>
      <color rgb="FF000000"/>
      <name val="굴림"/>
      <family val="2"/>
      <charset val="129"/>
    </font>
    <font>
      <sz val="14"/>
      <color rgb="FF000000"/>
      <name val="한컴 솔잎 B"/>
      <charset val="129"/>
    </font>
    <font>
      <sz val="10"/>
      <color rgb="FF000000"/>
      <name val="한컴 솔잎 B"/>
      <charset val="129"/>
    </font>
    <font>
      <sz val="12"/>
      <color rgb="FF000000"/>
      <name val="한컴 솔잎 B"/>
      <charset val="129"/>
    </font>
    <font>
      <sz val="8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9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0000"/>
      <name val="굴림"/>
      <family val="2"/>
      <charset val="129"/>
    </font>
    <font>
      <sz val="20"/>
      <color rgb="FF000000"/>
      <name val="한컴 솔잎 B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charset val="129"/>
    </font>
    <font>
      <sz val="26"/>
      <color rgb="FF000000"/>
      <name val="한컴 솔잎 B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2"/>
      <color rgb="FFFF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7"/>
      <color rgb="FF000000"/>
      <name val="한컴 솔잎 B"/>
      <charset val="129"/>
    </font>
    <font>
      <b/>
      <sz val="18"/>
      <color rgb="FF000000"/>
      <name val="돋움"/>
      <family val="2"/>
      <charset val="129"/>
    </font>
    <font>
      <sz val="10"/>
      <color rgb="FF000000"/>
      <name val="바탕"/>
      <family val="1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u/>
      <sz val="12"/>
      <color theme="1"/>
      <name val="바탕체"/>
      <family val="1"/>
      <charset val="129"/>
    </font>
    <font>
      <sz val="12"/>
      <color theme="1"/>
      <name val="바탕체"/>
      <family val="1"/>
      <charset val="129"/>
    </font>
    <font>
      <b/>
      <u/>
      <sz val="12"/>
      <color rgb="FF00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sz val="14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sz val="14"/>
      <color rgb="FF000000"/>
      <name val="돋움"/>
      <family val="2"/>
      <charset val="129"/>
    </font>
    <font>
      <sz val="12"/>
      <color rgb="FF000000"/>
      <name val="돋움"/>
      <family val="3"/>
      <charset val="129"/>
    </font>
    <font>
      <b/>
      <sz val="28"/>
      <color rgb="FF000000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77111117893"/>
        <bgColor rgb="FF000000"/>
      </patternFill>
    </fill>
  </fills>
  <borders count="7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</borders>
  <cellStyleXfs count="3121">
    <xf numFmtId="0" fontId="0" fillId="0" borderId="0" applyFill="0" applyProtection="0">
      <alignment vertical="center"/>
    </xf>
    <xf numFmtId="0" fontId="6" fillId="0" borderId="0">
      <alignment vertical="center"/>
    </xf>
    <xf numFmtId="177" fontId="6" fillId="0" borderId="0" applyFont="0" applyFill="0" applyBorder="0" applyAlignment="0" applyProtection="0">
      <alignment vertical="center"/>
    </xf>
    <xf numFmtId="176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0" fontId="103" fillId="0" borderId="0">
      <alignment vertical="center"/>
    </xf>
    <xf numFmtId="0" fontId="6" fillId="0" borderId="0">
      <alignment vertical="center"/>
    </xf>
    <xf numFmtId="177" fontId="6" fillId="0" borderId="0" applyFont="0" applyFill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5" fillId="0" borderId="0">
      <alignment vertical="center"/>
    </xf>
    <xf numFmtId="0" fontId="7" fillId="0" borderId="0">
      <alignment vertical="center"/>
      <protection locked="0"/>
    </xf>
    <xf numFmtId="184" fontId="7" fillId="0" borderId="0" applyFill="0" applyBorder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29" fillId="0" borderId="32">
      <alignment horizontal="center" vertical="center"/>
    </xf>
    <xf numFmtId="3" fontId="30" fillId="0" borderId="1">
      <alignment vertical="center"/>
    </xf>
    <xf numFmtId="185" fontId="6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6" fillId="0" borderId="0">
      <alignment vertical="center"/>
    </xf>
    <xf numFmtId="186" fontId="6" fillId="0" borderId="0" applyFont="0" applyFill="0" applyBorder="0" applyProtection="0">
      <alignment vertical="center"/>
    </xf>
    <xf numFmtId="187" fontId="6" fillId="0" borderId="0">
      <alignment vertical="center"/>
    </xf>
    <xf numFmtId="188" fontId="6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89" fontId="33" fillId="0" borderId="0" applyFont="0" applyFill="0" applyBorder="0" applyAlignment="0" applyProtection="0">
      <alignment vertical="center"/>
    </xf>
    <xf numFmtId="190" fontId="33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191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2" fontId="7" fillId="0" borderId="0">
      <alignment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4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5" fontId="6" fillId="0" borderId="0">
      <alignment vertical="center"/>
    </xf>
    <xf numFmtId="193" fontId="2" fillId="0" borderId="0">
      <alignment vertical="center"/>
    </xf>
    <xf numFmtId="0" fontId="25" fillId="0" borderId="0">
      <alignment horizontal="center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6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8" fontId="38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8" fontId="38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7" fontId="6" fillId="0" borderId="0">
      <alignment horizontal="center" vertical="center"/>
    </xf>
    <xf numFmtId="193" fontId="2" fillId="0" borderId="0">
      <alignment vertical="center"/>
    </xf>
    <xf numFmtId="0" fontId="25" fillId="0" borderId="0">
      <alignment horizontal="center" vertical="center"/>
    </xf>
    <xf numFmtId="3" fontId="37" fillId="0" borderId="38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199" fontId="39" fillId="0" borderId="0">
      <alignment vertical="center"/>
    </xf>
    <xf numFmtId="0" fontId="6" fillId="0" borderId="0">
      <alignment vertical="center"/>
    </xf>
    <xf numFmtId="2" fontId="37" fillId="0" borderId="38">
      <alignment horizontal="right" vertical="center"/>
    </xf>
    <xf numFmtId="0" fontId="7" fillId="0" borderId="39">
      <alignment horizontal="center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199" fontId="39" fillId="0" borderId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Font="0" applyFill="0" applyBorder="0" applyAlignment="0" applyProtection="0">
      <alignment vertical="center"/>
    </xf>
    <xf numFmtId="19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3" fontId="9" fillId="0" borderId="0" applyFill="0" applyBorder="0" applyAlignment="0">
      <alignment vertical="center"/>
    </xf>
    <xf numFmtId="0" fontId="47" fillId="0" borderId="0">
      <alignment vertical="center"/>
    </xf>
    <xf numFmtId="0" fontId="48" fillId="0" borderId="0" applyNumberFormat="0" applyFill="0" applyBorder="0" applyAlignment="0" applyProtection="0">
      <alignment vertical="top"/>
      <protection locked="0"/>
    </xf>
    <xf numFmtId="204" fontId="6" fillId="0" borderId="0">
      <alignment vertical="center"/>
    </xf>
    <xf numFmtId="205" fontId="7" fillId="0" borderId="0">
      <alignment vertical="center"/>
      <protection locked="0"/>
    </xf>
    <xf numFmtId="0" fontId="49" fillId="0" borderId="0" applyNumberFormat="0" applyAlignment="0">
      <alignment horizontal="left" vertical="center"/>
    </xf>
    <xf numFmtId="0" fontId="50" fillId="0" borderId="0" applyNumberFormat="0" applyAlignment="0">
      <alignment vertical="center"/>
    </xf>
    <xf numFmtId="0" fontId="26" fillId="0" borderId="0" applyFont="0" applyFill="0" applyBorder="0" applyAlignment="0" applyProtection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88" fontId="6" fillId="0" borderId="1" applyFill="0" applyBorder="0" applyAlignment="0">
      <alignment vertical="center"/>
    </xf>
    <xf numFmtId="206" fontId="7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6" fillId="0" borderId="0" applyFont="0" applyFill="0" applyBorder="0" applyAlignment="0" applyProtection="0">
      <alignment vertical="center"/>
    </xf>
    <xf numFmtId="207" fontId="6" fillId="0" borderId="0" applyFont="0" applyFill="0" applyBorder="0" applyAlignment="0" applyProtection="0">
      <alignment vertical="center"/>
    </xf>
    <xf numFmtId="208" fontId="6" fillId="0" borderId="0">
      <alignment vertical="center"/>
    </xf>
    <xf numFmtId="209" fontId="52" fillId="0" borderId="1">
      <alignment vertical="center"/>
    </xf>
    <xf numFmtId="0" fontId="53" fillId="0" borderId="0" applyNumberFormat="0" applyAlignmen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0" fontId="7" fillId="0" borderId="0">
      <alignment vertical="center"/>
      <protection locked="0"/>
    </xf>
    <xf numFmtId="38" fontId="55" fillId="5" borderId="0" applyNumberFormat="0" applyBorder="0" applyAlignment="0" applyProtection="0">
      <alignment vertical="center"/>
    </xf>
    <xf numFmtId="3" fontId="52" fillId="0" borderId="40">
      <alignment horizontal="right" vertical="center"/>
    </xf>
    <xf numFmtId="4" fontId="52" fillId="0" borderId="40">
      <alignment horizontal="right" vertical="center"/>
    </xf>
    <xf numFmtId="0" fontId="56" fillId="0" borderId="0">
      <alignment horizontal="left" vertical="center"/>
    </xf>
    <xf numFmtId="0" fontId="57" fillId="0" borderId="36" applyNumberFormat="0" applyAlignment="0" applyProtection="0">
      <alignment horizontal="left" vertical="center"/>
    </xf>
    <xf numFmtId="0" fontId="57" fillId="0" borderId="41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1" fontId="33" fillId="0" borderId="0">
      <alignment vertical="center"/>
      <protection locked="0"/>
    </xf>
    <xf numFmtId="211" fontId="33" fillId="0" borderId="0">
      <alignment vertical="center"/>
      <protection locked="0"/>
    </xf>
    <xf numFmtId="10" fontId="55" fillId="8" borderId="1" applyNumberFormat="0" applyBorder="0" applyAlignment="0" applyProtection="0">
      <alignment vertical="center"/>
    </xf>
    <xf numFmtId="212" fontId="59" fillId="9" borderId="0">
      <alignment vertical="center"/>
    </xf>
    <xf numFmtId="213" fontId="52" fillId="0" borderId="1">
      <alignment vertical="center"/>
    </xf>
    <xf numFmtId="212" fontId="60" fillId="10" borderId="0">
      <alignment vertical="center"/>
    </xf>
    <xf numFmtId="214" fontId="52" fillId="0" borderId="1">
      <alignment horizontal="right" vertical="center"/>
    </xf>
    <xf numFmtId="215" fontId="52" fillId="0" borderId="1">
      <alignment vertical="center"/>
    </xf>
    <xf numFmtId="216" fontId="52" fillId="0" borderId="1">
      <alignment vertical="center"/>
    </xf>
    <xf numFmtId="177" fontId="33" fillId="0" borderId="0" applyFont="0" applyFill="0" applyBorder="0" applyAlignment="0" applyProtection="0">
      <alignment vertical="center"/>
    </xf>
    <xf numFmtId="178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1" fillId="0" borderId="4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2" fillId="0" borderId="0" applyFont="0" applyFill="0" applyBorder="0" applyAlignment="0" applyProtection="0">
      <alignment vertical="center"/>
    </xf>
    <xf numFmtId="37" fontId="63" fillId="0" borderId="0">
      <alignment vertical="center"/>
    </xf>
    <xf numFmtId="217" fontId="9" fillId="0" borderId="0">
      <alignment vertical="center"/>
    </xf>
    <xf numFmtId="0" fontId="7" fillId="0" borderId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202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Font="0" applyFill="0" applyBorder="0" applyAlignment="0" applyProtection="0">
      <alignment vertical="center"/>
    </xf>
    <xf numFmtId="218" fontId="64" fillId="0" borderId="0">
      <alignment vertical="center"/>
    </xf>
    <xf numFmtId="0" fontId="29" fillId="0" borderId="0" applyNumberFormat="0" applyFont="0" applyFill="0" applyBorder="0" applyAlignment="0" applyProtection="0">
      <alignment horizontal="left" vertical="center"/>
    </xf>
    <xf numFmtId="14" fontId="65" fillId="0" borderId="0" applyNumberFormat="0" applyFill="0" applyBorder="0" applyAlignment="0" applyProtection="0">
      <alignment horizontal="left" vertical="center"/>
    </xf>
    <xf numFmtId="0" fontId="7" fillId="0" borderId="0">
      <alignment vertical="center"/>
    </xf>
    <xf numFmtId="219" fontId="39" fillId="0" borderId="0">
      <alignment vertical="center"/>
    </xf>
    <xf numFmtId="219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Fill="0" applyBorder="0" applyProtection="0">
      <alignment horizontal="centerContinuous" vertical="center"/>
    </xf>
    <xf numFmtId="0" fontId="69" fillId="0" borderId="0" applyFill="0" applyBorder="0" applyProtection="0">
      <alignment horizontal="centerContinuous" vertical="center"/>
    </xf>
    <xf numFmtId="0" fontId="31" fillId="5" borderId="0" applyFill="0" applyBorder="0" applyProtection="0">
      <alignment horizontal="center" vertical="center"/>
    </xf>
    <xf numFmtId="0" fontId="51" fillId="0" borderId="42">
      <alignment vertical="center"/>
      <protection locked="0"/>
    </xf>
    <xf numFmtId="0" fontId="70" fillId="0" borderId="39">
      <alignment horizontal="left" vertical="center"/>
    </xf>
    <xf numFmtId="220" fontId="33" fillId="0" borderId="0" applyFont="0" applyFill="0" applyBorder="0" applyAlignment="0" applyProtection="0">
      <alignment vertical="center"/>
    </xf>
    <xf numFmtId="221" fontId="33" fillId="0" borderId="0" applyFon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top"/>
      <protection locked="0"/>
    </xf>
    <xf numFmtId="49" fontId="52" fillId="0" borderId="1">
      <alignment horizontal="center" vertical="center"/>
    </xf>
    <xf numFmtId="222" fontId="7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43">
      <alignment horizontal="center" vertical="center"/>
    </xf>
    <xf numFmtId="37" fontId="30" fillId="0" borderId="38" applyAlignment="0">
      <alignment vertical="center"/>
    </xf>
    <xf numFmtId="0" fontId="6" fillId="0" borderId="0">
      <alignment vertical="center"/>
    </xf>
    <xf numFmtId="223" fontId="26" fillId="0" borderId="19" applyFont="0" applyFill="0" applyBorder="0" applyAlignment="0">
      <alignment horizontal="left" vertical="center"/>
    </xf>
    <xf numFmtId="0" fontId="51" fillId="0" borderId="0">
      <alignment vertical="center"/>
      <protection locked="0"/>
    </xf>
    <xf numFmtId="3" fontId="29" fillId="0" borderId="44">
      <alignment horizontal="center" vertical="center"/>
    </xf>
    <xf numFmtId="0" fontId="73" fillId="0" borderId="45">
      <alignment vertical="center"/>
    </xf>
    <xf numFmtId="0" fontId="51" fillId="0" borderId="0">
      <alignment vertical="center"/>
      <protection locked="0"/>
    </xf>
    <xf numFmtId="0" fontId="74" fillId="0" borderId="0" applyNumberForma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91" fontId="26" fillId="0" borderId="4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9" fillId="0" borderId="0" applyNumberFormat="0" applyFont="0" applyFill="0" applyBorder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4" fontId="51" fillId="0" borderId="0">
      <alignment vertical="center"/>
      <protection locked="0"/>
    </xf>
    <xf numFmtId="225" fontId="7" fillId="0" borderId="0" applyFont="0" applyFill="0" applyBorder="0" applyProtection="0">
      <alignment horizontal="center" vertical="center"/>
    </xf>
    <xf numFmtId="226" fontId="7" fillId="0" borderId="0" applyFont="0" applyFill="0" applyBorder="0" applyProtection="0">
      <alignment horizontal="center" vertical="center"/>
    </xf>
    <xf numFmtId="9" fontId="25" fillId="5" borderId="0" applyFill="0" applyBorder="0" applyProtection="0">
      <alignment horizontal="right" vertical="center"/>
    </xf>
    <xf numFmtId="10" fontId="25" fillId="0" borderId="0" applyFill="0" applyBorder="0" applyProtection="0">
      <alignment horizontal="right" vertical="center"/>
    </xf>
    <xf numFmtId="227" fontId="6" fillId="0" borderId="0" applyFont="0" applyFill="0" applyBorder="0" applyAlignment="0" applyProtection="0">
      <alignment vertical="center"/>
    </xf>
    <xf numFmtId="228" fontId="39" fillId="0" borderId="0" applyFont="0" applyFill="0" applyBorder="0" applyAlignment="0" applyProtection="0">
      <alignment vertical="center"/>
    </xf>
    <xf numFmtId="0" fontId="76" fillId="0" borderId="0" applyFont="0" applyFill="0" applyBorder="0" applyProtection="0">
      <alignment horizontal="center" vertical="center"/>
    </xf>
    <xf numFmtId="0" fontId="76" fillId="0" borderId="0" applyFont="0" applyFill="0" applyBorder="0" applyProtection="0">
      <alignment horizontal="center" vertical="center"/>
    </xf>
    <xf numFmtId="229" fontId="77" fillId="0" borderId="46" applyFont="0" applyFill="0" applyAlignment="0" applyProtection="0">
      <alignment horizontal="center" vertical="center"/>
    </xf>
    <xf numFmtId="0" fontId="78" fillId="0" borderId="0">
      <alignment vertical="center"/>
    </xf>
    <xf numFmtId="191" fontId="79" fillId="0" borderId="19">
      <alignment vertical="center"/>
    </xf>
    <xf numFmtId="0" fontId="39" fillId="0" borderId="0" applyNumberFormat="0" applyFont="0" applyFill="0" applyBorder="0" applyProtection="0">
      <alignment horizontal="centerContinuous" vertical="center"/>
    </xf>
    <xf numFmtId="180" fontId="103" fillId="0" borderId="47">
      <alignment vertical="center"/>
    </xf>
    <xf numFmtId="230" fontId="75" fillId="0" borderId="0">
      <alignment vertical="center"/>
    </xf>
    <xf numFmtId="191" fontId="80" fillId="0" borderId="19">
      <alignment vertical="center"/>
    </xf>
    <xf numFmtId="231" fontId="81" fillId="0" borderId="0">
      <alignment vertical="center"/>
    </xf>
    <xf numFmtId="177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3" fontId="103" fillId="0" borderId="1" applyFont="0" applyFill="0" applyAlignme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82" fillId="0" borderId="48">
      <alignment vertical="center"/>
    </xf>
    <xf numFmtId="232" fontId="52" fillId="0" borderId="1" applyBorder="0">
      <alignment vertical="center"/>
    </xf>
    <xf numFmtId="0" fontId="83" fillId="0" borderId="0" applyFont="0" applyFill="0" applyBorder="0" applyAlignme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3" fontId="7" fillId="0" borderId="0">
      <alignment vertical="center"/>
      <protection locked="0"/>
    </xf>
    <xf numFmtId="0" fontId="72" fillId="9" borderId="0">
      <alignment vertical="center"/>
    </xf>
    <xf numFmtId="0" fontId="7" fillId="0" borderId="0">
      <alignment vertical="center"/>
    </xf>
    <xf numFmtId="0" fontId="86" fillId="0" borderId="0">
      <alignment horizontal="centerContinuous" vertical="center"/>
    </xf>
    <xf numFmtId="0" fontId="7" fillId="0" borderId="1">
      <alignment horizontal="distributed" vertical="center"/>
    </xf>
    <xf numFmtId="0" fontId="7" fillId="0" borderId="34">
      <alignment horizontal="distributed" vertical="top"/>
    </xf>
    <xf numFmtId="0" fontId="7" fillId="0" borderId="49">
      <alignment horizontal="distributed" vertical="center"/>
    </xf>
    <xf numFmtId="0" fontId="7" fillId="0" borderId="0">
      <alignment vertical="center"/>
    </xf>
    <xf numFmtId="0" fontId="87" fillId="0" borderId="0">
      <alignment vertical="center"/>
    </xf>
    <xf numFmtId="0" fontId="88" fillId="3" borderId="0" applyNumberFormat="0" applyBorder="0" applyAlignment="0" applyProtection="0">
      <alignment vertical="center"/>
    </xf>
    <xf numFmtId="0" fontId="7" fillId="0" borderId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234" fontId="7" fillId="0" borderId="0" applyFont="0" applyFill="0" applyBorder="0" applyProtection="0">
      <alignment vertical="center"/>
    </xf>
    <xf numFmtId="38" fontId="39" fillId="0" borderId="0" applyFont="0" applyFill="0" applyBorder="0" applyProtection="0">
      <alignment vertical="center"/>
    </xf>
    <xf numFmtId="235" fontId="6" fillId="0" borderId="0" applyFont="0" applyFill="0" applyBorder="0" applyAlignment="0" applyProtection="0">
      <alignment vertical="center"/>
    </xf>
    <xf numFmtId="0" fontId="33" fillId="0" borderId="1">
      <alignment vertical="center"/>
    </xf>
    <xf numFmtId="236" fontId="6" fillId="5" borderId="0" applyFill="0" applyBorder="0" applyProtection="0">
      <alignment horizontal="right" vertical="center"/>
    </xf>
    <xf numFmtId="38" fontId="39" fillId="0" borderId="0" applyFont="0" applyFill="0" applyBorder="0" applyAlignment="0" applyProtection="0">
      <alignment vertical="center"/>
    </xf>
    <xf numFmtId="180" fontId="39" fillId="0" borderId="0" applyFont="0" applyFill="0" applyBorder="0" applyAlignment="0" applyProtection="0">
      <alignment vertical="center"/>
    </xf>
    <xf numFmtId="38" fontId="39" fillId="0" borderId="0" applyFill="0" applyBorder="0" applyAlignment="0" applyProtection="0">
      <alignment vertical="center"/>
    </xf>
    <xf numFmtId="230" fontId="76" fillId="0" borderId="0" applyFont="0" applyFill="0" applyBorder="0" applyAlignment="0" applyProtection="0">
      <alignment vertical="center"/>
    </xf>
    <xf numFmtId="237" fontId="29" fillId="0" borderId="0" applyFont="0" applyFill="0" applyBorder="0" applyAlignment="0" applyProtection="0">
      <alignment vertical="center"/>
    </xf>
    <xf numFmtId="238" fontId="29" fillId="0" borderId="0" applyFont="0" applyFill="0" applyBorder="0" applyAlignment="0" applyProtection="0">
      <alignment vertical="center"/>
    </xf>
    <xf numFmtId="239" fontId="76" fillId="0" borderId="1">
      <alignment vertical="center"/>
    </xf>
    <xf numFmtId="240" fontId="29" fillId="0" borderId="0" applyFont="0" applyFill="0" applyBorder="0" applyAlignment="0" applyProtection="0">
      <alignment vertical="center"/>
    </xf>
    <xf numFmtId="241" fontId="29" fillId="0" borderId="0" applyFont="0" applyFill="0" applyBorder="0" applyAlignment="0" applyProtection="0">
      <alignment vertical="center"/>
    </xf>
    <xf numFmtId="0" fontId="7" fillId="0" borderId="0" applyFont="0" applyFill="0" applyBorder="0" applyAlignment="0" applyProtection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0" fontId="7" fillId="0" borderId="0" applyFont="0" applyFill="0" applyBorder="0" applyAlignment="0" applyProtection="0">
      <alignment vertical="center"/>
    </xf>
    <xf numFmtId="242" fontId="7" fillId="0" borderId="0">
      <alignment vertical="center"/>
      <protection locked="0"/>
    </xf>
    <xf numFmtId="224" fontId="51" fillId="0" borderId="0">
      <alignment vertical="center"/>
      <protection locked="0"/>
    </xf>
    <xf numFmtId="0" fontId="80" fillId="0" borderId="47">
      <alignment horizontal="center" vertical="center"/>
    </xf>
    <xf numFmtId="0" fontId="80" fillId="0" borderId="47">
      <alignment horizontal="left" vertical="center"/>
    </xf>
    <xf numFmtId="0" fontId="80" fillId="0" borderId="47">
      <alignment vertical="center" textRotation="255"/>
    </xf>
    <xf numFmtId="0" fontId="30" fillId="0" borderId="49">
      <alignment horizontal="distributed" vertical="center"/>
    </xf>
    <xf numFmtId="0" fontId="30" fillId="0" borderId="50">
      <alignment horizontal="distributed" vertical="center"/>
    </xf>
    <xf numFmtId="0" fontId="30" fillId="0" borderId="51">
      <alignment horizontal="distributed" vertical="top"/>
    </xf>
    <xf numFmtId="0" fontId="6" fillId="0" borderId="0">
      <alignment vertical="center"/>
    </xf>
    <xf numFmtId="0" fontId="6" fillId="0" borderId="0">
      <alignment vertical="center"/>
    </xf>
    <xf numFmtId="0" fontId="103" fillId="0" borderId="0" applyFill="0" applyProtection="0">
      <alignment vertical="center"/>
    </xf>
    <xf numFmtId="0" fontId="6" fillId="0" borderId="0">
      <alignment vertical="center"/>
    </xf>
    <xf numFmtId="1" fontId="30" fillId="0" borderId="48">
      <alignment horizontal="centerContinuous" vertical="center"/>
    </xf>
    <xf numFmtId="0" fontId="6" fillId="0" borderId="1" applyNumberFormat="0" applyFill="0" applyProtection="0">
      <alignment vertical="center"/>
    </xf>
    <xf numFmtId="0" fontId="7" fillId="0" borderId="0">
      <alignment vertical="center"/>
    </xf>
    <xf numFmtId="0" fontId="51" fillId="0" borderId="42">
      <alignment vertical="center"/>
      <protection locked="0"/>
    </xf>
    <xf numFmtId="243" fontId="7" fillId="0" borderId="0">
      <alignment vertical="center"/>
      <protection locked="0"/>
    </xf>
    <xf numFmtId="244" fontId="7" fillId="0" borderId="0">
      <alignment vertical="center"/>
      <protection locked="0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262">
    <xf numFmtId="0" fontId="0" fillId="0" borderId="0" xfId="0" applyFill="1" applyProtection="1">
      <alignment vertical="center"/>
    </xf>
    <xf numFmtId="0" fontId="6" fillId="0" borderId="0" xfId="6" applyAlignment="1">
      <alignment shrinkToFit="1"/>
    </xf>
    <xf numFmtId="0" fontId="12" fillId="5" borderId="3" xfId="6" applyFont="1" applyFill="1" applyBorder="1" applyAlignment="1">
      <alignment vertical="center" shrinkToFit="1"/>
    </xf>
    <xf numFmtId="0" fontId="12" fillId="5" borderId="6" xfId="6" applyFont="1" applyFill="1" applyBorder="1" applyAlignment="1">
      <alignment vertical="center" shrinkToFit="1"/>
    </xf>
    <xf numFmtId="0" fontId="12" fillId="5" borderId="8" xfId="6" applyFont="1" applyFill="1" applyBorder="1" applyAlignment="1">
      <alignment vertical="center" shrinkToFit="1"/>
    </xf>
    <xf numFmtId="0" fontId="16" fillId="6" borderId="11" xfId="6" applyFont="1" applyFill="1" applyBorder="1" applyAlignment="1">
      <alignment horizontal="center" vertical="center" shrinkToFit="1"/>
    </xf>
    <xf numFmtId="177" fontId="16" fillId="6" borderId="4" xfId="6" applyNumberFormat="1" applyFont="1" applyFill="1" applyBorder="1" applyAlignment="1">
      <alignment vertical="center" shrinkToFit="1"/>
    </xf>
    <xf numFmtId="0" fontId="17" fillId="0" borderId="12" xfId="6" applyFont="1" applyBorder="1" applyAlignment="1">
      <alignment horizontal="center" vertical="center" shrinkToFit="1"/>
    </xf>
    <xf numFmtId="177" fontId="13" fillId="0" borderId="1" xfId="6" applyNumberFormat="1" applyFont="1" applyBorder="1" applyAlignment="1">
      <alignment horizontal="right" vertical="center" shrinkToFit="1"/>
    </xf>
    <xf numFmtId="0" fontId="17" fillId="6" borderId="12" xfId="6" applyFont="1" applyFill="1" applyBorder="1" applyAlignment="1">
      <alignment horizontal="center" vertical="center" shrinkToFit="1"/>
    </xf>
    <xf numFmtId="0" fontId="19" fillId="0" borderId="12" xfId="6" applyFont="1" applyBorder="1" applyAlignment="1">
      <alignment horizontal="center" vertical="center" wrapText="1" shrinkToFit="1"/>
    </xf>
    <xf numFmtId="0" fontId="17" fillId="5" borderId="12" xfId="6" applyFont="1" applyFill="1" applyBorder="1" applyAlignment="1">
      <alignment horizontal="center" vertical="center" shrinkToFit="1"/>
    </xf>
    <xf numFmtId="177" fontId="20" fillId="5" borderId="1" xfId="6" applyNumberFormat="1" applyFont="1" applyFill="1" applyBorder="1" applyAlignment="1">
      <alignment horizontal="right" vertical="center" shrinkToFit="1"/>
    </xf>
    <xf numFmtId="0" fontId="17" fillId="0" borderId="14" xfId="6" applyFont="1" applyBorder="1" applyAlignment="1">
      <alignment horizontal="center" vertical="center" shrinkToFit="1"/>
    </xf>
    <xf numFmtId="0" fontId="21" fillId="5" borderId="12" xfId="6" applyFont="1" applyFill="1" applyBorder="1" applyAlignment="1">
      <alignment horizontal="center" vertical="center" shrinkToFit="1"/>
    </xf>
    <xf numFmtId="38" fontId="20" fillId="5" borderId="1" xfId="7" applyNumberFormat="1" applyFont="1" applyFill="1" applyBorder="1" applyAlignment="1">
      <alignment horizontal="right" vertical="center" shrinkToFit="1"/>
    </xf>
    <xf numFmtId="177" fontId="20" fillId="5" borderId="1" xfId="7" applyFont="1" applyFill="1" applyBorder="1" applyAlignment="1">
      <alignment horizontal="right" vertical="center" shrinkToFit="1"/>
    </xf>
    <xf numFmtId="177" fontId="17" fillId="0" borderId="18" xfId="7" applyFont="1" applyFill="1" applyBorder="1" applyAlignment="1">
      <alignment horizontal="right" vertical="center" shrinkToFit="1"/>
    </xf>
    <xf numFmtId="177" fontId="17" fillId="0" borderId="15" xfId="7" applyFont="1" applyBorder="1" applyAlignment="1">
      <alignment horizontal="right" vertical="center" shrinkToFit="1"/>
    </xf>
    <xf numFmtId="177" fontId="17" fillId="0" borderId="16" xfId="7" applyFont="1" applyBorder="1" applyAlignment="1">
      <alignment horizontal="right" vertical="center" shrinkToFit="1"/>
    </xf>
    <xf numFmtId="177" fontId="17" fillId="0" borderId="18" xfId="7" applyFont="1" applyBorder="1" applyAlignment="1">
      <alignment horizontal="right" vertical="center" shrinkToFit="1"/>
    </xf>
    <xf numFmtId="0" fontId="13" fillId="6" borderId="25" xfId="8" applyFont="1" applyFill="1" applyBorder="1" applyAlignment="1">
      <alignment horizontal="center" vertical="center" shrinkToFit="1"/>
    </xf>
    <xf numFmtId="177" fontId="13" fillId="5" borderId="26" xfId="6" applyNumberFormat="1" applyFont="1" applyFill="1" applyBorder="1" applyAlignment="1">
      <alignment horizontal="right" vertical="center" shrinkToFit="1"/>
    </xf>
    <xf numFmtId="0" fontId="13" fillId="0" borderId="29" xfId="8" applyFont="1" applyFill="1" applyBorder="1" applyAlignment="1">
      <alignment horizontal="center" vertical="center" shrinkToFit="1"/>
    </xf>
    <xf numFmtId="183" fontId="27" fillId="0" borderId="4" xfId="6" applyNumberFormat="1" applyFont="1" applyBorder="1" applyAlignment="1">
      <alignment horizontal="center" vertical="center" shrinkToFit="1"/>
    </xf>
    <xf numFmtId="177" fontId="13" fillId="6" borderId="1" xfId="6" applyNumberFormat="1" applyFont="1" applyFill="1" applyBorder="1" applyAlignment="1">
      <alignment horizontal="right" vertical="center" shrinkToFit="1"/>
    </xf>
    <xf numFmtId="0" fontId="2" fillId="0" borderId="0" xfId="6" applyFont="1" applyAlignment="1">
      <alignment vertical="center" wrapText="1" shrinkToFit="1"/>
    </xf>
    <xf numFmtId="0" fontId="2" fillId="0" borderId="0" xfId="6" applyFont="1" applyAlignment="1">
      <alignment horizontal="center" vertical="center" shrinkToFit="1"/>
    </xf>
    <xf numFmtId="38" fontId="20" fillId="12" borderId="21" xfId="7" applyNumberFormat="1" applyFont="1" applyFill="1" applyBorder="1" applyAlignment="1">
      <alignment horizontal="right" vertical="center" shrinkToFit="1"/>
    </xf>
    <xf numFmtId="0" fontId="17" fillId="12" borderId="20" xfId="6" applyFont="1" applyFill="1" applyBorder="1" applyAlignment="1">
      <alignment horizontal="center" vertical="center" shrinkToFit="1"/>
    </xf>
    <xf numFmtId="0" fontId="6" fillId="0" borderId="0" xfId="6" applyAlignment="1">
      <alignment horizontal="center" shrinkToFit="1"/>
    </xf>
    <xf numFmtId="0" fontId="6" fillId="0" borderId="0" xfId="6" applyAlignment="1">
      <alignment horizontal="right" shrinkToFit="1"/>
    </xf>
    <xf numFmtId="0" fontId="6" fillId="0" borderId="0" xfId="6" applyAlignment="1">
      <alignment wrapText="1" shrinkToFit="1"/>
    </xf>
    <xf numFmtId="0" fontId="80" fillId="0" borderId="0" xfId="6" applyFont="1" applyAlignment="1">
      <alignment horizontal="center" vertical="center" shrinkToFit="1"/>
    </xf>
    <xf numFmtId="0" fontId="80" fillId="0" borderId="0" xfId="6" applyFont="1" applyAlignment="1">
      <alignment horizontal="justify" vertical="center" shrinkToFit="1"/>
    </xf>
    <xf numFmtId="0" fontId="2" fillId="0" borderId="7" xfId="6" applyFont="1" applyBorder="1" applyAlignment="1">
      <alignment vertical="center" wrapText="1" shrinkToFit="1"/>
    </xf>
    <xf numFmtId="0" fontId="2" fillId="0" borderId="0" xfId="6" applyFont="1" applyAlignment="1">
      <alignment horizontal="left" vertical="center" wrapText="1" shrinkToFit="1"/>
    </xf>
    <xf numFmtId="0" fontId="2" fillId="0" borderId="0" xfId="6" applyFont="1" applyAlignment="1">
      <alignment horizontal="left" vertical="center" shrinkToFit="1"/>
    </xf>
    <xf numFmtId="0" fontId="96" fillId="0" borderId="0" xfId="6" applyFont="1" applyAlignment="1">
      <alignment horizontal="justify" vertical="center" shrinkToFit="1"/>
    </xf>
    <xf numFmtId="0" fontId="96" fillId="0" borderId="0" xfId="6" applyFont="1" applyAlignment="1">
      <alignment horizontal="left" vertical="center" wrapText="1" shrinkToFit="1"/>
    </xf>
    <xf numFmtId="0" fontId="6" fillId="0" borderId="0" xfId="6" applyAlignment="1">
      <alignment horizontal="left" wrapText="1" shrinkToFit="1"/>
    </xf>
    <xf numFmtId="0" fontId="94" fillId="0" borderId="0" xfId="6" applyFont="1" applyAlignment="1">
      <alignment horizontal="left" vertical="center" wrapText="1" shrinkToFit="1"/>
    </xf>
    <xf numFmtId="0" fontId="96" fillId="0" borderId="0" xfId="6" applyFont="1" applyAlignment="1">
      <alignment horizontal="justify" vertical="center" wrapText="1" shrinkToFit="1"/>
    </xf>
    <xf numFmtId="0" fontId="2" fillId="0" borderId="0" xfId="6" applyFont="1" applyAlignment="1">
      <alignment vertical="center" shrinkToFit="1"/>
    </xf>
    <xf numFmtId="0" fontId="90" fillId="0" borderId="0" xfId="6" applyFont="1" applyAlignment="1">
      <alignment vertical="center" wrapText="1" shrinkToFit="1"/>
    </xf>
    <xf numFmtId="0" fontId="2" fillId="0" borderId="0" xfId="6" applyFont="1" applyAlignment="1">
      <alignment horizontal="center" vertical="center" wrapText="1" shrinkToFit="1"/>
    </xf>
    <xf numFmtId="0" fontId="91" fillId="0" borderId="0" xfId="6" applyFont="1" applyAlignment="1">
      <alignment vertical="center" wrapText="1" shrinkToFit="1"/>
    </xf>
    <xf numFmtId="0" fontId="6" fillId="0" borderId="6" xfId="6" applyBorder="1" applyAlignment="1">
      <alignment shrinkToFit="1"/>
    </xf>
    <xf numFmtId="0" fontId="26" fillId="0" borderId="0" xfId="9" applyFont="1" applyAlignment="1">
      <alignment vertical="center" shrinkToFit="1"/>
    </xf>
    <xf numFmtId="0" fontId="23" fillId="0" borderId="0" xfId="6" applyFont="1" applyAlignment="1">
      <alignment vertical="center" shrinkToFit="1"/>
    </xf>
    <xf numFmtId="0" fontId="15" fillId="0" borderId="0" xfId="6" applyFont="1" applyAlignment="1">
      <alignment vertical="center" shrinkToFit="1"/>
    </xf>
    <xf numFmtId="0" fontId="11" fillId="0" borderId="0" xfId="6" applyFont="1" applyAlignment="1">
      <alignment vertical="center" shrinkToFit="1"/>
    </xf>
    <xf numFmtId="49" fontId="13" fillId="0" borderId="24" xfId="6" quotePrefix="1" applyNumberFormat="1" applyFont="1" applyBorder="1" applyAlignment="1">
      <alignment vertical="center" shrinkToFit="1"/>
    </xf>
    <xf numFmtId="49" fontId="13" fillId="0" borderId="22" xfId="6" quotePrefix="1" applyNumberFormat="1" applyFont="1" applyBorder="1" applyAlignment="1">
      <alignment vertical="center" shrinkToFit="1"/>
    </xf>
    <xf numFmtId="49" fontId="16" fillId="0" borderId="22" xfId="6" quotePrefix="1" applyNumberFormat="1" applyFont="1" applyBorder="1" applyAlignment="1">
      <alignment vertical="center" textRotation="255" shrinkToFit="1"/>
    </xf>
    <xf numFmtId="181" fontId="17" fillId="0" borderId="23" xfId="6" applyNumberFormat="1" applyFont="1" applyBorder="1" applyAlignment="1">
      <alignment horizontal="center" vertical="center" shrinkToFit="1"/>
    </xf>
    <xf numFmtId="181" fontId="17" fillId="0" borderId="17" xfId="6" applyNumberFormat="1" applyFont="1" applyBorder="1" applyAlignment="1">
      <alignment horizontal="center" vertical="center" shrinkToFit="1"/>
    </xf>
    <xf numFmtId="0" fontId="17" fillId="0" borderId="17" xfId="6" quotePrefix="1" applyFont="1" applyBorder="1" applyAlignment="1">
      <alignment horizontal="center" vertical="center" shrinkToFit="1"/>
    </xf>
    <xf numFmtId="0" fontId="13" fillId="0" borderId="30" xfId="8" applyFont="1" applyFill="1" applyBorder="1" applyAlignment="1">
      <alignment horizontal="center" vertical="center" shrinkToFit="1"/>
    </xf>
    <xf numFmtId="0" fontId="13" fillId="5" borderId="26" xfId="8" applyFont="1" applyFill="1" applyBorder="1" applyAlignment="1">
      <alignment horizontal="center" vertical="center" shrinkToFit="1"/>
    </xf>
    <xf numFmtId="0" fontId="17" fillId="0" borderId="18" xfId="6" applyFont="1" applyBorder="1" applyAlignment="1">
      <alignment horizontal="center" vertical="center" shrinkToFit="1"/>
    </xf>
    <xf numFmtId="0" fontId="17" fillId="0" borderId="16" xfId="6" applyFont="1" applyBorder="1" applyAlignment="1">
      <alignment horizontal="center" vertical="center" shrinkToFit="1"/>
    </xf>
    <xf numFmtId="0" fontId="13" fillId="5" borderId="1" xfId="6" applyFont="1" applyFill="1" applyBorder="1" applyAlignment="1">
      <alignment vertical="center" shrinkToFit="1"/>
    </xf>
    <xf numFmtId="0" fontId="13" fillId="5" borderId="19" xfId="6" applyFont="1" applyFill="1" applyBorder="1" applyAlignment="1">
      <alignment vertical="center" shrinkToFit="1"/>
    </xf>
    <xf numFmtId="0" fontId="17" fillId="12" borderId="21" xfId="6" applyFont="1" applyFill="1" applyBorder="1" applyAlignment="1">
      <alignment vertical="center" shrinkToFit="1"/>
    </xf>
    <xf numFmtId="0" fontId="13" fillId="5" borderId="1" xfId="6" applyFont="1" applyFill="1" applyBorder="1" applyAlignment="1">
      <alignment horizontal="center" vertical="center" shrinkToFit="1"/>
    </xf>
    <xf numFmtId="0" fontId="13" fillId="5" borderId="19" xfId="6" applyFont="1" applyFill="1" applyBorder="1" applyAlignment="1">
      <alignment horizontal="center" vertical="center" shrinkToFit="1"/>
    </xf>
    <xf numFmtId="0" fontId="17" fillId="12" borderId="21" xfId="6" applyFont="1" applyFill="1" applyBorder="1" applyAlignment="1">
      <alignment horizontal="center" vertical="center" shrinkToFit="1"/>
    </xf>
    <xf numFmtId="0" fontId="17" fillId="0" borderId="15" xfId="6" applyFont="1" applyBorder="1" applyAlignment="1">
      <alignment horizontal="center" vertical="center" shrinkToFit="1"/>
    </xf>
    <xf numFmtId="0" fontId="13" fillId="0" borderId="2" xfId="6" applyFont="1" applyBorder="1" applyAlignment="1">
      <alignment horizontal="center" vertical="center" shrinkToFit="1"/>
    </xf>
    <xf numFmtId="0" fontId="13" fillId="6" borderId="2" xfId="6" applyFont="1" applyFill="1" applyBorder="1" applyAlignment="1">
      <alignment horizontal="center" vertical="center" shrinkToFit="1"/>
    </xf>
    <xf numFmtId="0" fontId="13" fillId="5" borderId="1" xfId="6" applyFont="1" applyFill="1" applyBorder="1" applyAlignment="1">
      <alignment horizontal="right" vertical="center" shrinkToFit="1"/>
    </xf>
    <xf numFmtId="0" fontId="13" fillId="5" borderId="19" xfId="6" applyFont="1" applyFill="1" applyBorder="1" applyAlignment="1">
      <alignment horizontal="right" vertical="center" shrinkToFit="1"/>
    </xf>
    <xf numFmtId="0" fontId="17" fillId="12" borderId="21" xfId="6" applyFont="1" applyFill="1" applyBorder="1" applyAlignment="1">
      <alignment horizontal="right" vertical="center" shrinkToFit="1"/>
    </xf>
    <xf numFmtId="0" fontId="17" fillId="5" borderId="1" xfId="6" applyFont="1" applyFill="1" applyBorder="1" applyAlignment="1">
      <alignment horizontal="right" vertical="center" shrinkToFit="1"/>
    </xf>
    <xf numFmtId="0" fontId="13" fillId="6" borderId="4" xfId="6" applyFont="1" applyFill="1" applyBorder="1" applyAlignment="1">
      <alignment horizontal="center" vertical="center" shrinkToFit="1"/>
    </xf>
    <xf numFmtId="0" fontId="0" fillId="0" borderId="0" xfId="0" applyFill="1" applyAlignment="1" applyProtection="1">
      <alignment vertical="center" shrinkToFit="1"/>
    </xf>
    <xf numFmtId="3" fontId="0" fillId="0" borderId="2" xfId="0" applyNumberFormat="1" applyFill="1" applyBorder="1" applyAlignment="1" applyProtection="1">
      <alignment vertical="center" shrinkToFit="1"/>
    </xf>
    <xf numFmtId="3" fontId="0" fillId="0" borderId="1" xfId="0" applyNumberFormat="1" applyFill="1" applyBorder="1" applyAlignment="1" applyProtection="1">
      <alignment vertical="center" shrinkToFit="1"/>
    </xf>
    <xf numFmtId="0" fontId="2" fillId="0" borderId="0" xfId="0" applyFont="1" applyFill="1" applyAlignment="1" applyProtection="1">
      <alignment vertical="center" shrinkToFit="1"/>
    </xf>
    <xf numFmtId="0" fontId="2" fillId="0" borderId="0" xfId="0" applyFont="1" applyFill="1" applyAlignment="1" applyProtection="1">
      <alignment horizontal="left" vertical="center" wrapText="1" shrinkToFit="1"/>
    </xf>
    <xf numFmtId="0" fontId="6" fillId="0" borderId="0" xfId="0" applyFont="1" applyFill="1" applyAlignment="1" applyProtection="1">
      <alignment vertical="center" shrinkToFit="1"/>
    </xf>
    <xf numFmtId="0" fontId="7" fillId="0" borderId="0" xfId="0" applyFont="1" applyFill="1" applyAlignment="1" applyProtection="1">
      <alignment vertical="center" shrinkToFit="1"/>
    </xf>
    <xf numFmtId="0" fontId="9" fillId="0" borderId="0" xfId="0" applyFont="1" applyFill="1" applyAlignment="1" applyProtection="1">
      <alignment vertical="center" shrinkToFit="1"/>
    </xf>
    <xf numFmtId="0" fontId="8" fillId="0" borderId="0" xfId="0" applyFont="1" applyFill="1" applyAlignment="1" applyProtection="1">
      <alignment vertical="center" shrinkToFit="1"/>
    </xf>
    <xf numFmtId="0" fontId="1" fillId="0" borderId="0" xfId="0" applyFont="1" applyFill="1" applyAlignment="1" applyProtection="1">
      <alignment vertical="center" shrinkToFit="1"/>
    </xf>
    <xf numFmtId="0" fontId="1" fillId="0" borderId="0" xfId="0" applyFont="1" applyFill="1" applyAlignment="1" applyProtection="1">
      <alignment horizontal="left" vertical="center" wrapText="1" shrinkToFit="1"/>
    </xf>
    <xf numFmtId="0" fontId="4" fillId="0" borderId="0" xfId="0" applyFont="1" applyFill="1" applyAlignment="1" applyProtection="1">
      <alignment vertical="center" shrinkToFit="1"/>
    </xf>
    <xf numFmtId="3" fontId="4" fillId="0" borderId="0" xfId="0" applyNumberFormat="1" applyFont="1" applyFill="1" applyAlignment="1" applyProtection="1">
      <alignment vertical="center" shrinkToFit="1"/>
    </xf>
    <xf numFmtId="3" fontId="0" fillId="0" borderId="0" xfId="0" applyNumberFormat="1" applyFill="1" applyAlignment="1" applyProtection="1">
      <alignment vertical="center" shrinkToFit="1"/>
    </xf>
    <xf numFmtId="0" fontId="7" fillId="0" borderId="0" xfId="5" applyFont="1" applyAlignment="1">
      <alignment vertical="center" wrapText="1" shrinkToFit="1"/>
    </xf>
    <xf numFmtId="0" fontId="10" fillId="0" borderId="0" xfId="0" applyFont="1" applyFill="1" applyAlignment="1" applyProtection="1">
      <alignment vertical="center" shrinkToFit="1"/>
    </xf>
    <xf numFmtId="0" fontId="3" fillId="0" borderId="0" xfId="0" applyFont="1" applyFill="1" applyAlignment="1" applyProtection="1">
      <alignment horizontal="center" vertical="center" shrinkToFit="1"/>
    </xf>
    <xf numFmtId="0" fontId="2" fillId="0" borderId="41" xfId="6" applyFont="1" applyBorder="1" applyAlignment="1">
      <alignment horizontal="center" vertical="center" wrapText="1" shrinkToFit="1"/>
    </xf>
    <xf numFmtId="0" fontId="105" fillId="0" borderId="0" xfId="0" applyFont="1" applyFill="1" applyAlignment="1" applyProtection="1">
      <alignment vertical="center" shrinkToFit="1"/>
    </xf>
    <xf numFmtId="0" fontId="7" fillId="2" borderId="0" xfId="0" applyFont="1" applyFill="1" applyAlignment="1" applyProtection="1">
      <alignment vertical="center" shrinkToFit="1"/>
    </xf>
    <xf numFmtId="0" fontId="105" fillId="2" borderId="0" xfId="0" applyFont="1" applyFill="1" applyAlignment="1" applyProtection="1">
      <alignment vertical="center" shrinkToFit="1"/>
    </xf>
    <xf numFmtId="0" fontId="7" fillId="0" borderId="0" xfId="0" applyFont="1" applyFill="1" applyAlignment="1" applyProtection="1">
      <alignment horizontal="left" vertical="center" shrinkToFit="1"/>
    </xf>
    <xf numFmtId="0" fontId="7" fillId="0" borderId="0" xfId="0" applyFont="1" applyFill="1" applyAlignment="1" applyProtection="1">
      <alignment vertical="center" wrapText="1" shrinkToFit="1"/>
    </xf>
    <xf numFmtId="0" fontId="7" fillId="0" borderId="0" xfId="0" applyFont="1" applyFill="1" applyAlignment="1" applyProtection="1">
      <alignment horizontal="left" shrinkToFit="1"/>
    </xf>
    <xf numFmtId="0" fontId="107" fillId="0" borderId="0" xfId="0" applyFont="1" applyFill="1" applyAlignment="1" applyProtection="1">
      <alignment vertical="center" shrinkToFit="1"/>
    </xf>
    <xf numFmtId="0" fontId="109" fillId="0" borderId="0" xfId="0" applyFont="1" applyFill="1" applyAlignment="1" applyProtection="1">
      <alignment vertical="center" shrinkToFit="1"/>
    </xf>
    <xf numFmtId="0" fontId="106" fillId="0" borderId="0" xfId="0" applyFont="1" applyFill="1" applyAlignment="1" applyProtection="1">
      <alignment vertical="center" shrinkToFit="1"/>
    </xf>
    <xf numFmtId="0" fontId="52" fillId="0" borderId="0" xfId="0" applyFont="1" applyFill="1" applyAlignment="1" applyProtection="1">
      <alignment vertical="center" shrinkToFit="1"/>
    </xf>
    <xf numFmtId="3" fontId="52" fillId="0" borderId="0" xfId="0" applyNumberFormat="1" applyFont="1" applyFill="1" applyAlignment="1" applyProtection="1">
      <alignment vertical="center" shrinkToFit="1"/>
    </xf>
    <xf numFmtId="0" fontId="112" fillId="0" borderId="0" xfId="0" applyFont="1" applyFill="1" applyAlignment="1" applyProtection="1">
      <alignment vertical="center" shrinkToFit="1"/>
    </xf>
    <xf numFmtId="0" fontId="114" fillId="0" borderId="0" xfId="0" applyFont="1" applyFill="1" applyAlignment="1" applyProtection="1">
      <alignment vertical="center" shrinkToFit="1"/>
    </xf>
    <xf numFmtId="0" fontId="89" fillId="11" borderId="64" xfId="6" applyFont="1" applyFill="1" applyBorder="1" applyAlignment="1">
      <alignment horizontal="center" vertical="center" wrapText="1" shrinkToFit="1"/>
    </xf>
    <xf numFmtId="0" fontId="89" fillId="11" borderId="0" xfId="6" applyFont="1" applyFill="1" applyAlignment="1">
      <alignment horizontal="center" vertical="center" wrapText="1" shrinkToFit="1"/>
    </xf>
    <xf numFmtId="0" fontId="116" fillId="0" borderId="0" xfId="6" applyFont="1" applyAlignment="1">
      <alignment horizontal="center" vertical="center" shrinkToFit="1"/>
    </xf>
    <xf numFmtId="0" fontId="102" fillId="0" borderId="0" xfId="6" applyFont="1" applyAlignment="1">
      <alignment horizontal="center" vertical="center" wrapText="1" shrinkToFit="1"/>
    </xf>
    <xf numFmtId="0" fontId="80" fillId="11" borderId="64" xfId="6" applyFont="1" applyFill="1" applyBorder="1" applyAlignment="1">
      <alignment horizontal="center" vertical="center" wrapText="1" shrinkToFit="1"/>
    </xf>
    <xf numFmtId="0" fontId="80" fillId="11" borderId="0" xfId="6" applyFont="1" applyFill="1" applyAlignment="1">
      <alignment horizontal="center" vertical="center" wrapText="1" shrinkToFit="1"/>
    </xf>
    <xf numFmtId="14" fontId="102" fillId="0" borderId="0" xfId="6" applyNumberFormat="1" applyFont="1" applyAlignment="1">
      <alignment horizontal="center" vertical="center" shrinkToFit="1"/>
    </xf>
    <xf numFmtId="0" fontId="89" fillId="0" borderId="0" xfId="6" applyFont="1" applyAlignment="1">
      <alignment horizontal="center" vertical="center" wrapText="1" shrinkToFit="1"/>
    </xf>
    <xf numFmtId="0" fontId="91" fillId="0" borderId="0" xfId="6" applyFont="1" applyAlignment="1">
      <alignment horizontal="left" vertical="center" wrapText="1" shrinkToFit="1"/>
    </xf>
    <xf numFmtId="0" fontId="2" fillId="0" borderId="0" xfId="6" applyFont="1" applyAlignment="1">
      <alignment horizontal="center" vertical="center" wrapText="1" shrinkToFit="1"/>
    </xf>
    <xf numFmtId="0" fontId="92" fillId="0" borderId="10" xfId="6" applyFont="1" applyBorder="1" applyAlignment="1">
      <alignment horizontal="center" vertical="center" wrapText="1" shrinkToFit="1"/>
    </xf>
    <xf numFmtId="0" fontId="92" fillId="0" borderId="9" xfId="6" applyFont="1" applyBorder="1" applyAlignment="1">
      <alignment horizontal="center" vertical="center" wrapText="1" shrinkToFit="1"/>
    </xf>
    <xf numFmtId="0" fontId="92" fillId="0" borderId="8" xfId="6" applyFont="1" applyBorder="1" applyAlignment="1">
      <alignment horizontal="center" vertical="center" wrapText="1" shrinkToFit="1"/>
    </xf>
    <xf numFmtId="0" fontId="93" fillId="0" borderId="65" xfId="6" applyFont="1" applyBorder="1" applyAlignment="1">
      <alignment horizontal="center" vertical="center" textRotation="255" wrapText="1" shrinkToFit="1"/>
    </xf>
    <xf numFmtId="0" fontId="93" fillId="0" borderId="26" xfId="6" applyFont="1" applyBorder="1" applyAlignment="1">
      <alignment horizontal="center" vertical="center" textRotation="255" wrapText="1" shrinkToFit="1"/>
    </xf>
    <xf numFmtId="0" fontId="93" fillId="0" borderId="13" xfId="6" applyFont="1" applyBorder="1" applyAlignment="1">
      <alignment horizontal="center" vertical="center" textRotation="255" wrapText="1" shrinkToFit="1"/>
    </xf>
    <xf numFmtId="0" fontId="93" fillId="0" borderId="1" xfId="6" applyFont="1" applyBorder="1" applyAlignment="1">
      <alignment horizontal="center" vertical="center" textRotation="255" wrapText="1" shrinkToFit="1"/>
    </xf>
    <xf numFmtId="0" fontId="94" fillId="0" borderId="26" xfId="6" applyFont="1" applyBorder="1" applyAlignment="1">
      <alignment horizontal="center" vertical="center" wrapText="1" shrinkToFit="1"/>
    </xf>
    <xf numFmtId="0" fontId="2" fillId="0" borderId="26" xfId="6" applyFont="1" applyBorder="1" applyAlignment="1">
      <alignment horizontal="left" vertical="center" wrapText="1" shrinkToFit="1"/>
    </xf>
    <xf numFmtId="0" fontId="2" fillId="0" borderId="25" xfId="6" applyFont="1" applyBorder="1" applyAlignment="1">
      <alignment horizontal="left" vertical="center" wrapText="1" shrinkToFit="1"/>
    </xf>
    <xf numFmtId="0" fontId="94" fillId="0" borderId="1" xfId="6" applyFont="1" applyBorder="1" applyAlignment="1">
      <alignment horizontal="center" vertical="center" wrapText="1" shrinkToFit="1"/>
    </xf>
    <xf numFmtId="0" fontId="2" fillId="0" borderId="0" xfId="6" applyFont="1" applyAlignment="1">
      <alignment horizontal="left" vertical="center" wrapText="1" shrinkToFit="1"/>
    </xf>
    <xf numFmtId="0" fontId="2" fillId="0" borderId="6" xfId="6" applyFont="1" applyBorder="1" applyAlignment="1">
      <alignment horizontal="left" vertical="center" wrapText="1" shrinkToFit="1"/>
    </xf>
    <xf numFmtId="0" fontId="2" fillId="0" borderId="45" xfId="6" applyFont="1" applyBorder="1" applyAlignment="1">
      <alignment horizontal="left" vertical="center" wrapText="1" shrinkToFit="1"/>
    </xf>
    <xf numFmtId="0" fontId="2" fillId="0" borderId="66" xfId="6" applyFont="1" applyBorder="1" applyAlignment="1">
      <alignment horizontal="left" vertical="center" wrapText="1" shrinkToFit="1"/>
    </xf>
    <xf numFmtId="0" fontId="93" fillId="0" borderId="68" xfId="6" applyFont="1" applyBorder="1" applyAlignment="1">
      <alignment horizontal="center" vertical="center" textRotation="255" wrapText="1" shrinkToFit="1"/>
    </xf>
    <xf numFmtId="0" fontId="93" fillId="0" borderId="49" xfId="6" applyFont="1" applyBorder="1" applyAlignment="1">
      <alignment horizontal="center" vertical="center" textRotation="255" wrapText="1" shrinkToFit="1"/>
    </xf>
    <xf numFmtId="0" fontId="93" fillId="0" borderId="33" xfId="6" applyFont="1" applyBorder="1" applyAlignment="1">
      <alignment horizontal="center" vertical="center" textRotation="255" wrapText="1" shrinkToFit="1"/>
    </xf>
    <xf numFmtId="0" fontId="93" fillId="0" borderId="32" xfId="6" applyFont="1" applyBorder="1" applyAlignment="1">
      <alignment horizontal="center" vertical="center" textRotation="255" wrapText="1" shrinkToFit="1"/>
    </xf>
    <xf numFmtId="0" fontId="2" fillId="0" borderId="56" xfId="6" applyFont="1" applyBorder="1" applyAlignment="1">
      <alignment horizontal="left" vertical="center" wrapText="1" shrinkToFit="1"/>
    </xf>
    <xf numFmtId="0" fontId="2" fillId="0" borderId="41" xfId="6" applyFont="1" applyBorder="1" applyAlignment="1">
      <alignment horizontal="left" vertical="center" wrapText="1" shrinkToFit="1"/>
    </xf>
    <xf numFmtId="0" fontId="2" fillId="0" borderId="41" xfId="6" applyFont="1" applyBorder="1" applyAlignment="1">
      <alignment horizontal="left" vertical="center" shrinkToFit="1"/>
    </xf>
    <xf numFmtId="0" fontId="2" fillId="0" borderId="1" xfId="6" applyFont="1" applyBorder="1" applyAlignment="1">
      <alignment horizontal="left" vertical="center" wrapText="1" shrinkToFit="1"/>
    </xf>
    <xf numFmtId="0" fontId="2" fillId="0" borderId="12" xfId="6" applyFont="1" applyBorder="1" applyAlignment="1">
      <alignment horizontal="left" vertical="center" wrapText="1" shrinkToFit="1"/>
    </xf>
    <xf numFmtId="0" fontId="2" fillId="0" borderId="56" xfId="6" applyFont="1" applyBorder="1" applyAlignment="1">
      <alignment horizontal="center" vertical="center" wrapText="1" shrinkToFit="1"/>
    </xf>
    <xf numFmtId="0" fontId="2" fillId="0" borderId="41" xfId="6" applyFont="1" applyBorder="1" applyAlignment="1">
      <alignment horizontal="center" vertical="center" wrapText="1" shrinkToFit="1"/>
    </xf>
    <xf numFmtId="0" fontId="2" fillId="0" borderId="67" xfId="6" applyFont="1" applyBorder="1" applyAlignment="1">
      <alignment horizontal="center" vertical="center" wrapText="1" shrinkToFit="1"/>
    </xf>
    <xf numFmtId="0" fontId="94" fillId="0" borderId="56" xfId="6" applyFont="1" applyBorder="1" applyAlignment="1">
      <alignment horizontal="center" vertical="center" wrapText="1" shrinkToFit="1"/>
    </xf>
    <xf numFmtId="0" fontId="94" fillId="0" borderId="41" xfId="6" applyFont="1" applyBorder="1" applyAlignment="1">
      <alignment horizontal="center" vertical="center" wrapText="1" shrinkToFit="1"/>
    </xf>
    <xf numFmtId="0" fontId="94" fillId="0" borderId="2" xfId="6" applyFont="1" applyBorder="1" applyAlignment="1">
      <alignment horizontal="center" vertical="center" wrapText="1" shrinkToFit="1"/>
    </xf>
    <xf numFmtId="0" fontId="2" fillId="0" borderId="67" xfId="6" applyFont="1" applyBorder="1" applyAlignment="1">
      <alignment horizontal="left" vertical="center" wrapText="1" shrinkToFit="1"/>
    </xf>
    <xf numFmtId="0" fontId="94" fillId="0" borderId="32" xfId="6" applyFont="1" applyBorder="1" applyAlignment="1">
      <alignment horizontal="center" vertical="center" wrapText="1" shrinkToFit="1"/>
    </xf>
    <xf numFmtId="0" fontId="2" fillId="0" borderId="32" xfId="6" applyFont="1" applyBorder="1" applyAlignment="1">
      <alignment horizontal="left" vertical="center" wrapText="1" shrinkToFit="1"/>
    </xf>
    <xf numFmtId="0" fontId="2" fillId="0" borderId="31" xfId="6" applyFont="1" applyBorder="1" applyAlignment="1">
      <alignment horizontal="left" vertical="center" wrapText="1" shrinkToFit="1"/>
    </xf>
    <xf numFmtId="0" fontId="80" fillId="0" borderId="7" xfId="6" applyFont="1" applyBorder="1" applyAlignment="1">
      <alignment horizontal="justify" vertical="center" wrapText="1" shrinkToFit="1"/>
    </xf>
    <xf numFmtId="0" fontId="80" fillId="0" borderId="0" xfId="6" applyFont="1" applyAlignment="1">
      <alignment horizontal="justify" vertical="center" wrapText="1" shrinkToFit="1"/>
    </xf>
    <xf numFmtId="0" fontId="2" fillId="0" borderId="7" xfId="6" applyFont="1" applyBorder="1" applyAlignment="1">
      <alignment horizontal="left" vertical="center" wrapText="1"/>
    </xf>
    <xf numFmtId="0" fontId="2" fillId="0" borderId="0" xfId="6" applyFont="1" applyAlignment="1">
      <alignment horizontal="left" vertical="center" wrapText="1"/>
    </xf>
    <xf numFmtId="0" fontId="2" fillId="0" borderId="6" xfId="6" applyFont="1" applyBorder="1" applyAlignment="1">
      <alignment horizontal="left" vertical="center" wrapText="1"/>
    </xf>
    <xf numFmtId="0" fontId="2" fillId="0" borderId="7" xfId="6" applyFont="1" applyBorder="1" applyAlignment="1">
      <alignment horizontal="center" vertical="center" shrinkToFit="1"/>
    </xf>
    <xf numFmtId="0" fontId="2" fillId="0" borderId="0" xfId="6" applyFont="1" applyAlignment="1">
      <alignment horizontal="center" vertical="center" shrinkToFit="1"/>
    </xf>
    <xf numFmtId="0" fontId="2" fillId="0" borderId="69" xfId="6" applyFont="1" applyBorder="1" applyAlignment="1">
      <alignment horizontal="center" vertical="center" wrapText="1" shrinkToFit="1"/>
    </xf>
    <xf numFmtId="0" fontId="2" fillId="0" borderId="45" xfId="6" applyFont="1" applyBorder="1" applyAlignment="1">
      <alignment horizontal="center" vertical="center" wrapText="1" shrinkToFit="1"/>
    </xf>
    <xf numFmtId="14" fontId="2" fillId="0" borderId="45" xfId="6" applyNumberFormat="1" applyFont="1" applyBorder="1" applyAlignment="1">
      <alignment horizontal="left" vertical="center" wrapText="1" shrinkToFit="1"/>
    </xf>
    <xf numFmtId="14" fontId="2" fillId="0" borderId="66" xfId="6" applyNumberFormat="1" applyFont="1" applyBorder="1" applyAlignment="1">
      <alignment horizontal="left" vertical="center" wrapText="1" shrinkToFit="1"/>
    </xf>
    <xf numFmtId="0" fontId="97" fillId="0" borderId="0" xfId="6" applyFont="1" applyAlignment="1">
      <alignment horizontal="left" vertical="center" shrinkToFit="1"/>
    </xf>
    <xf numFmtId="0" fontId="98" fillId="0" borderId="0" xfId="6" applyFont="1" applyAlignment="1">
      <alignment horizontal="center" vertical="center" shrinkToFit="1"/>
    </xf>
    <xf numFmtId="0" fontId="2" fillId="0" borderId="0" xfId="6" applyFont="1" applyAlignment="1">
      <alignment horizontal="left" vertical="center" shrinkToFit="1"/>
    </xf>
    <xf numFmtId="0" fontId="93" fillId="0" borderId="0" xfId="6" applyFont="1" applyAlignment="1">
      <alignment horizontal="left" vertical="center" shrinkToFit="1"/>
    </xf>
    <xf numFmtId="0" fontId="95" fillId="0" borderId="0" xfId="6" applyFont="1" applyAlignment="1">
      <alignment horizontal="left" vertical="center" shrinkToFit="1"/>
    </xf>
    <xf numFmtId="0" fontId="95" fillId="0" borderId="0" xfId="6" applyFont="1" applyAlignment="1">
      <alignment horizontal="left" shrinkToFit="1"/>
    </xf>
    <xf numFmtId="0" fontId="115" fillId="0" borderId="0" xfId="6" applyFont="1" applyAlignment="1">
      <alignment horizontal="left" vertical="center" wrapText="1"/>
    </xf>
    <xf numFmtId="0" fontId="104" fillId="0" borderId="0" xfId="0" applyFont="1" applyFill="1" applyAlignment="1" applyProtection="1">
      <alignment horizontal="center" vertical="center" shrinkToFit="1"/>
    </xf>
    <xf numFmtId="0" fontId="52" fillId="0" borderId="0" xfId="5" applyFont="1" applyAlignment="1">
      <alignment horizontal="center" vertical="center" shrinkToFit="1"/>
    </xf>
    <xf numFmtId="0" fontId="106" fillId="0" borderId="0" xfId="0" applyFont="1" applyFill="1" applyAlignment="1" applyProtection="1">
      <alignment horizontal="center" vertical="center" shrinkToFit="1"/>
    </xf>
    <xf numFmtId="0" fontId="7" fillId="0" borderId="0" xfId="0" applyFont="1" applyFill="1" applyAlignment="1" applyProtection="1">
      <alignment horizontal="left" vertical="center" shrinkToFit="1"/>
    </xf>
    <xf numFmtId="179" fontId="7" fillId="0" borderId="0" xfId="0" applyNumberFormat="1" applyFont="1" applyFill="1" applyAlignment="1" applyProtection="1">
      <alignment horizontal="left" vertical="center" shrinkToFit="1"/>
    </xf>
    <xf numFmtId="0" fontId="7" fillId="0" borderId="0" xfId="5" applyFont="1" applyAlignment="1">
      <alignment horizontal="left" vertical="center" wrapText="1" shrinkToFit="1"/>
    </xf>
    <xf numFmtId="0" fontId="5" fillId="0" borderId="0" xfId="0" applyFont="1" applyFill="1" applyAlignment="1" applyProtection="1">
      <alignment horizontal="left" shrinkToFit="1"/>
    </xf>
    <xf numFmtId="0" fontId="7" fillId="0" borderId="0" xfId="0" applyFont="1" applyFill="1" applyAlignment="1" applyProtection="1">
      <alignment horizontal="left" vertical="center" wrapText="1" shrinkToFit="1"/>
    </xf>
    <xf numFmtId="0" fontId="1" fillId="0" borderId="0" xfId="0" applyFont="1" applyFill="1" applyAlignment="1" applyProtection="1">
      <alignment horizontal="left" shrinkToFit="1"/>
    </xf>
    <xf numFmtId="0" fontId="1" fillId="0" borderId="0" xfId="0" applyFont="1" applyFill="1" applyAlignment="1" applyProtection="1">
      <alignment horizontal="left" wrapText="1" shrinkToFit="1"/>
    </xf>
    <xf numFmtId="0" fontId="7" fillId="0" borderId="0" xfId="0" applyFont="1" applyFill="1" applyAlignment="1" applyProtection="1">
      <alignment horizontal="left" vertical="center"/>
    </xf>
    <xf numFmtId="0" fontId="111" fillId="0" borderId="0" xfId="0" applyFont="1" applyFill="1" applyAlignment="1" applyProtection="1">
      <alignment horizontal="center" vertical="center" shrinkToFit="1"/>
    </xf>
    <xf numFmtId="0" fontId="113" fillId="0" borderId="0" xfId="0" applyFont="1" applyFill="1" applyAlignment="1" applyProtection="1">
      <alignment horizontal="left" vertical="center"/>
    </xf>
    <xf numFmtId="0" fontId="113" fillId="0" borderId="0" xfId="0" applyFont="1" applyFill="1" applyAlignment="1" applyProtection="1">
      <alignment horizontal="center" vertical="center" wrapText="1"/>
    </xf>
    <xf numFmtId="0" fontId="108" fillId="0" borderId="0" xfId="0" applyFont="1" applyFill="1" applyAlignment="1" applyProtection="1">
      <alignment vertical="center" shrinkToFit="1"/>
    </xf>
    <xf numFmtId="0" fontId="110" fillId="0" borderId="0" xfId="0" applyFont="1" applyFill="1" applyAlignment="1" applyProtection="1">
      <alignment vertical="center" shrinkToFit="1"/>
    </xf>
    <xf numFmtId="0" fontId="28" fillId="6" borderId="0" xfId="6" quotePrefix="1" applyFont="1" applyFill="1" applyAlignment="1">
      <alignment horizontal="center" vertical="center" shrinkToFit="1"/>
    </xf>
    <xf numFmtId="0" fontId="13" fillId="0" borderId="4" xfId="6" applyFont="1" applyBorder="1" applyAlignment="1">
      <alignment horizontal="right" vertical="center" shrinkToFit="1"/>
    </xf>
    <xf numFmtId="0" fontId="16" fillId="6" borderId="58" xfId="6" applyFont="1" applyFill="1" applyBorder="1" applyAlignment="1">
      <alignment horizontal="center" vertical="center" shrinkToFit="1"/>
    </xf>
    <xf numFmtId="0" fontId="16" fillId="6" borderId="59" xfId="6" applyFont="1" applyFill="1" applyBorder="1" applyAlignment="1">
      <alignment horizontal="center" vertical="center" shrinkToFit="1"/>
    </xf>
    <xf numFmtId="177" fontId="16" fillId="6" borderId="37" xfId="6" applyNumberFormat="1" applyFont="1" applyFill="1" applyBorder="1" applyAlignment="1">
      <alignment horizontal="left" vertical="center" shrinkToFit="1"/>
    </xf>
    <xf numFmtId="182" fontId="16" fillId="6" borderId="36" xfId="6" applyNumberFormat="1" applyFont="1" applyFill="1" applyBorder="1" applyAlignment="1">
      <alignment horizontal="left" vertical="center" shrinkToFit="1"/>
    </xf>
    <xf numFmtId="182" fontId="16" fillId="6" borderId="35" xfId="6" applyNumberFormat="1" applyFont="1" applyFill="1" applyBorder="1" applyAlignment="1">
      <alignment horizontal="left" vertical="center" shrinkToFit="1"/>
    </xf>
    <xf numFmtId="0" fontId="16" fillId="7" borderId="28" xfId="6" applyFont="1" applyFill="1" applyBorder="1" applyAlignment="1">
      <alignment horizontal="center" vertical="center" shrinkToFit="1"/>
    </xf>
    <xf numFmtId="0" fontId="16" fillId="7" borderId="27" xfId="6" applyFont="1" applyFill="1" applyBorder="1" applyAlignment="1">
      <alignment horizontal="center" vertical="center" shrinkToFit="1"/>
    </xf>
    <xf numFmtId="182" fontId="16" fillId="7" borderId="61" xfId="6" applyNumberFormat="1" applyFont="1" applyFill="1" applyBorder="1" applyAlignment="1">
      <alignment horizontal="left" vertical="center" shrinkToFit="1"/>
    </xf>
    <xf numFmtId="182" fontId="16" fillId="7" borderId="62" xfId="6" applyNumberFormat="1" applyFont="1" applyFill="1" applyBorder="1" applyAlignment="1">
      <alignment horizontal="left" vertical="center" shrinkToFit="1"/>
    </xf>
    <xf numFmtId="182" fontId="16" fillId="7" borderId="63" xfId="6" applyNumberFormat="1" applyFont="1" applyFill="1" applyBorder="1" applyAlignment="1">
      <alignment horizontal="left" vertical="center" shrinkToFit="1"/>
    </xf>
    <xf numFmtId="0" fontId="16" fillId="7" borderId="55" xfId="6" applyFont="1" applyFill="1" applyBorder="1" applyAlignment="1">
      <alignment horizontal="center" vertical="center" shrinkToFit="1"/>
    </xf>
    <xf numFmtId="0" fontId="16" fillId="7" borderId="54" xfId="6" applyFont="1" applyFill="1" applyBorder="1" applyAlignment="1">
      <alignment horizontal="center" vertical="center" shrinkToFit="1"/>
    </xf>
    <xf numFmtId="182" fontId="16" fillId="7" borderId="52" xfId="6" applyNumberFormat="1" applyFont="1" applyFill="1" applyBorder="1" applyAlignment="1">
      <alignment horizontal="left" vertical="center" shrinkToFit="1"/>
    </xf>
    <xf numFmtId="182" fontId="16" fillId="7" borderId="53" xfId="6" applyNumberFormat="1" applyFont="1" applyFill="1" applyBorder="1" applyAlignment="1">
      <alignment horizontal="left" vertical="center" shrinkToFit="1"/>
    </xf>
    <xf numFmtId="182" fontId="16" fillId="7" borderId="60" xfId="6" applyNumberFormat="1" applyFont="1" applyFill="1" applyBorder="1" applyAlignment="1">
      <alignment horizontal="left" vertical="center" shrinkToFit="1"/>
    </xf>
    <xf numFmtId="0" fontId="24" fillId="0" borderId="58" xfId="6" applyFont="1" applyBorder="1" applyAlignment="1">
      <alignment horizontal="center" vertical="center" shrinkToFit="1"/>
    </xf>
    <xf numFmtId="0" fontId="24" fillId="0" borderId="36" xfId="6" applyFont="1" applyBorder="1" applyAlignment="1">
      <alignment horizontal="center" vertical="center" shrinkToFit="1"/>
    </xf>
    <xf numFmtId="0" fontId="24" fillId="0" borderId="35" xfId="6" applyFont="1" applyBorder="1" applyAlignment="1">
      <alignment horizontal="center" vertical="center" shrinkToFit="1"/>
    </xf>
    <xf numFmtId="0" fontId="13" fillId="0" borderId="58" xfId="8" applyFont="1" applyFill="1" applyBorder="1" applyAlignment="1">
      <alignment horizontal="center" vertical="center" shrinkToFit="1"/>
    </xf>
    <xf numFmtId="0" fontId="13" fillId="0" borderId="59" xfId="8" applyFont="1" applyFill="1" applyBorder="1" applyAlignment="1">
      <alignment horizontal="center" vertical="center" shrinkToFit="1"/>
    </xf>
    <xf numFmtId="0" fontId="13" fillId="5" borderId="28" xfId="8" applyFont="1" applyFill="1" applyBorder="1" applyAlignment="1">
      <alignment horizontal="left" vertical="center" shrinkToFit="1"/>
    </xf>
    <xf numFmtId="0" fontId="13" fillId="5" borderId="27" xfId="8" applyFont="1" applyFill="1" applyBorder="1" applyAlignment="1">
      <alignment horizontal="left" vertical="center" shrinkToFit="1"/>
    </xf>
    <xf numFmtId="0" fontId="13" fillId="5" borderId="57" xfId="6" applyFont="1" applyFill="1" applyBorder="1" applyAlignment="1">
      <alignment horizontal="left" vertical="center" shrinkToFit="1"/>
    </xf>
    <xf numFmtId="0" fontId="13" fillId="5" borderId="2" xfId="6" applyFont="1" applyFill="1" applyBorder="1" applyAlignment="1">
      <alignment horizontal="left" vertical="center" shrinkToFit="1"/>
    </xf>
    <xf numFmtId="0" fontId="13" fillId="12" borderId="70" xfId="6" applyFont="1" applyFill="1" applyBorder="1" applyAlignment="1">
      <alignment horizontal="left" vertical="center" shrinkToFit="1"/>
    </xf>
    <xf numFmtId="0" fontId="17" fillId="12" borderId="71" xfId="6" applyFont="1" applyFill="1" applyBorder="1" applyAlignment="1">
      <alignment horizontal="left" vertical="center" shrinkToFit="1"/>
    </xf>
    <xf numFmtId="0" fontId="18" fillId="5" borderId="57" xfId="6" applyFont="1" applyFill="1" applyBorder="1" applyAlignment="1">
      <alignment horizontal="left" vertical="center" shrinkToFit="1"/>
    </xf>
    <xf numFmtId="0" fontId="18" fillId="5" borderId="2" xfId="6" applyFont="1" applyFill="1" applyBorder="1" applyAlignment="1">
      <alignment horizontal="left" vertical="center" shrinkToFit="1"/>
    </xf>
    <xf numFmtId="0" fontId="18" fillId="0" borderId="57" xfId="6" applyFont="1" applyBorder="1" applyAlignment="1">
      <alignment horizontal="left" vertical="center" shrinkToFit="1"/>
    </xf>
    <xf numFmtId="0" fontId="18" fillId="0" borderId="2" xfId="6" applyFont="1" applyBorder="1" applyAlignment="1">
      <alignment horizontal="left" vertical="center" shrinkToFit="1"/>
    </xf>
    <xf numFmtId="0" fontId="13" fillId="0" borderId="56" xfId="6" applyFont="1" applyBorder="1" applyAlignment="1">
      <alignment horizontal="center" vertical="center" shrinkToFit="1"/>
    </xf>
    <xf numFmtId="0" fontId="13" fillId="0" borderId="41" xfId="6" applyFont="1" applyBorder="1" applyAlignment="1">
      <alignment horizontal="center" vertical="center" shrinkToFit="1"/>
    </xf>
    <xf numFmtId="0" fontId="13" fillId="0" borderId="2" xfId="6" applyFont="1" applyBorder="1" applyAlignment="1">
      <alignment horizontal="center" vertical="center" shrinkToFit="1"/>
    </xf>
    <xf numFmtId="0" fontId="18" fillId="0" borderId="57" xfId="6" applyFont="1" applyBorder="1" applyAlignment="1">
      <alignment horizontal="center" vertical="center" shrinkToFit="1"/>
    </xf>
    <xf numFmtId="0" fontId="18" fillId="0" borderId="2" xfId="6" applyFont="1" applyBorder="1" applyAlignment="1">
      <alignment horizontal="center" vertical="center" shrinkToFit="1"/>
    </xf>
    <xf numFmtId="0" fontId="18" fillId="6" borderId="57" xfId="6" applyFont="1" applyFill="1" applyBorder="1" applyAlignment="1">
      <alignment horizontal="center" vertical="center" shrinkToFit="1"/>
    </xf>
    <xf numFmtId="0" fontId="18" fillId="6" borderId="2" xfId="6" applyFont="1" applyFill="1" applyBorder="1" applyAlignment="1">
      <alignment horizontal="center" vertical="center" shrinkToFit="1"/>
    </xf>
    <xf numFmtId="0" fontId="13" fillId="6" borderId="56" xfId="6" applyFont="1" applyFill="1" applyBorder="1" applyAlignment="1">
      <alignment horizontal="center" vertical="center" shrinkToFit="1"/>
    </xf>
    <xf numFmtId="0" fontId="13" fillId="6" borderId="41" xfId="6" applyFont="1" applyFill="1" applyBorder="1" applyAlignment="1">
      <alignment horizontal="center" vertical="center" shrinkToFit="1"/>
    </xf>
    <xf numFmtId="0" fontId="13" fillId="6" borderId="2" xfId="6" applyFont="1" applyFill="1" applyBorder="1" applyAlignment="1">
      <alignment horizontal="center" vertical="center" shrinkToFit="1"/>
    </xf>
    <xf numFmtId="0" fontId="16" fillId="6" borderId="55" xfId="6" applyFont="1" applyFill="1" applyBorder="1" applyAlignment="1">
      <alignment horizontal="center" vertical="center" shrinkToFit="1"/>
    </xf>
    <xf numFmtId="0" fontId="16" fillId="6" borderId="54" xfId="6" applyFont="1" applyFill="1" applyBorder="1" applyAlignment="1">
      <alignment horizontal="center" vertical="center" shrinkToFit="1"/>
    </xf>
    <xf numFmtId="0" fontId="13" fillId="6" borderId="52" xfId="6" applyFont="1" applyFill="1" applyBorder="1" applyAlignment="1">
      <alignment horizontal="center" vertical="center" shrinkToFit="1"/>
    </xf>
    <xf numFmtId="0" fontId="13" fillId="6" borderId="53" xfId="6" applyFont="1" applyFill="1" applyBorder="1" applyAlignment="1">
      <alignment horizontal="center" vertical="center" shrinkToFit="1"/>
    </xf>
    <xf numFmtId="0" fontId="13" fillId="6" borderId="54" xfId="6" applyFont="1" applyFill="1" applyBorder="1" applyAlignment="1">
      <alignment horizontal="center" vertical="center" shrinkToFit="1"/>
    </xf>
    <xf numFmtId="0" fontId="12" fillId="5" borderId="10" xfId="6" applyFont="1" applyFill="1" applyBorder="1" applyAlignment="1">
      <alignment horizontal="center" vertical="center" shrinkToFit="1"/>
    </xf>
    <xf numFmtId="0" fontId="12" fillId="5" borderId="9" xfId="6" applyFont="1" applyFill="1" applyBorder="1" applyAlignment="1">
      <alignment horizontal="center" vertical="center" shrinkToFit="1"/>
    </xf>
    <xf numFmtId="0" fontId="12" fillId="5" borderId="7" xfId="6" applyFont="1" applyFill="1" applyBorder="1" applyAlignment="1">
      <alignment horizontal="center" vertical="center" shrinkToFit="1"/>
    </xf>
    <xf numFmtId="0" fontId="12" fillId="5" borderId="0" xfId="6" applyFont="1" applyFill="1" applyAlignment="1">
      <alignment horizontal="center" vertical="center" shrinkToFit="1"/>
    </xf>
    <xf numFmtId="0" fontId="12" fillId="5" borderId="5" xfId="6" applyFont="1" applyFill="1" applyBorder="1" applyAlignment="1">
      <alignment horizontal="center" vertical="center" shrinkToFit="1"/>
    </xf>
    <xf numFmtId="0" fontId="12" fillId="5" borderId="4" xfId="6" applyFont="1" applyFill="1" applyBorder="1" applyAlignment="1">
      <alignment horizontal="center" vertical="center" shrinkToFit="1"/>
    </xf>
    <xf numFmtId="0" fontId="14" fillId="0" borderId="9" xfId="6" applyFont="1" applyBorder="1" applyAlignment="1">
      <alignment horizontal="center" vertical="center" wrapText="1" shrinkToFit="1"/>
    </xf>
    <xf numFmtId="0" fontId="17" fillId="0" borderId="0" xfId="6" applyFont="1" applyAlignment="1">
      <alignment horizontal="center" vertical="center" wrapText="1" shrinkToFit="1"/>
    </xf>
    <xf numFmtId="0" fontId="13" fillId="0" borderId="4" xfId="6" applyFont="1" applyBorder="1" applyAlignment="1">
      <alignment horizontal="center" vertical="center" shrinkToFit="1"/>
    </xf>
    <xf numFmtId="0" fontId="94" fillId="0" borderId="1" xfId="6" applyFont="1" applyBorder="1" applyAlignment="1">
      <alignment horizontal="left" vertical="center" wrapText="1" shrinkToFit="1"/>
    </xf>
    <xf numFmtId="0" fontId="94" fillId="0" borderId="12" xfId="6" applyFont="1" applyBorder="1" applyAlignment="1">
      <alignment horizontal="left" vertical="center" wrapText="1" shrinkToFit="1"/>
    </xf>
    <xf numFmtId="182" fontId="94" fillId="0" borderId="1" xfId="6" applyNumberFormat="1" applyFont="1" applyBorder="1" applyAlignment="1">
      <alignment horizontal="left" vertical="center" shrinkToFit="1"/>
    </xf>
    <xf numFmtId="182" fontId="94" fillId="0" borderId="12" xfId="6" applyNumberFormat="1" applyFont="1" applyBorder="1" applyAlignment="1">
      <alignment horizontal="left" vertical="center" shrinkToFit="1"/>
    </xf>
    <xf numFmtId="0" fontId="2" fillId="0" borderId="0" xfId="6" applyFont="1" applyAlignment="1">
      <alignment shrinkToFit="1"/>
    </xf>
    <xf numFmtId="0" fontId="2" fillId="0" borderId="0" xfId="6" applyFont="1" applyAlignment="1">
      <alignment horizontal="center" shrinkToFit="1"/>
    </xf>
    <xf numFmtId="0" fontId="2" fillId="0" borderId="0" xfId="6" applyFont="1" applyAlignment="1">
      <alignment horizontal="right" shrinkToFit="1"/>
    </xf>
    <xf numFmtId="0" fontId="2" fillId="0" borderId="6" xfId="6" applyFont="1" applyBorder="1" applyAlignment="1">
      <alignment shrinkToFit="1"/>
    </xf>
    <xf numFmtId="0" fontId="2" fillId="0" borderId="7" xfId="6" applyFont="1" applyBorder="1" applyAlignment="1">
      <alignment horizontal="justify" vertical="center" wrapText="1" shrinkToFit="1"/>
    </xf>
    <xf numFmtId="0" fontId="2" fillId="0" borderId="0" xfId="6" applyFont="1" applyAlignment="1">
      <alignment horizontal="justify" vertical="center" wrapText="1" shrinkToFit="1"/>
    </xf>
    <xf numFmtId="0" fontId="2" fillId="0" borderId="13" xfId="6" applyFont="1" applyBorder="1" applyAlignment="1">
      <alignment horizontal="center" vertical="center" wrapText="1" shrinkToFit="1"/>
    </xf>
    <xf numFmtId="0" fontId="2" fillId="0" borderId="1" xfId="6" applyFont="1" applyBorder="1" applyAlignment="1">
      <alignment horizontal="center" vertical="center" wrapText="1" shrinkToFit="1"/>
    </xf>
    <xf numFmtId="0" fontId="2" fillId="0" borderId="12" xfId="6" applyFont="1" applyBorder="1" applyAlignment="1">
      <alignment horizontal="center" vertical="center" wrapText="1" shrinkToFit="1"/>
    </xf>
    <xf numFmtId="0" fontId="2" fillId="0" borderId="56" xfId="6" applyFont="1" applyBorder="1" applyAlignment="1">
      <alignment horizontal="left" vertical="center" shrinkToFit="1"/>
    </xf>
    <xf numFmtId="0" fontId="2" fillId="0" borderId="2" xfId="6" applyFont="1" applyBorder="1" applyAlignment="1">
      <alignment horizontal="left" vertical="center" shrinkToFit="1"/>
    </xf>
    <xf numFmtId="0" fontId="2" fillId="0" borderId="33" xfId="6" applyFont="1" applyBorder="1" applyAlignment="1">
      <alignment horizontal="center" vertical="center" wrapText="1" shrinkToFit="1"/>
    </xf>
    <xf numFmtId="0" fontId="2" fillId="0" borderId="32" xfId="6" applyFont="1" applyBorder="1" applyAlignment="1">
      <alignment horizontal="center" vertical="center" wrapText="1" shrinkToFit="1"/>
    </xf>
    <xf numFmtId="0" fontId="2" fillId="0" borderId="52" xfId="6" applyFont="1" applyBorder="1" applyAlignment="1">
      <alignment horizontal="center" vertical="center" wrapText="1" shrinkToFit="1"/>
    </xf>
    <xf numFmtId="0" fontId="2" fillId="0" borderId="54" xfId="6" applyFont="1" applyBorder="1" applyAlignment="1">
      <alignment horizontal="center" vertical="center" wrapText="1" shrinkToFit="1"/>
    </xf>
    <xf numFmtId="0" fontId="2" fillId="0" borderId="54" xfId="6" applyFont="1" applyBorder="1" applyAlignment="1">
      <alignment vertical="center" shrinkToFit="1"/>
    </xf>
    <xf numFmtId="0" fontId="2" fillId="0" borderId="60" xfId="6" applyFont="1" applyBorder="1" applyAlignment="1">
      <alignment vertical="center" shrinkToFit="1"/>
    </xf>
  </cellXfs>
  <cellStyles count="3121">
    <cellStyle name=" " xfId="10" xr:uid="{00000000-0005-0000-0000-000000000000}"/>
    <cellStyle name=" _97연말" xfId="12" xr:uid="{00000000-0005-0000-0000-000002000000}"/>
    <cellStyle name=" _97연말1" xfId="13" xr:uid="{00000000-0005-0000-0000-000003000000}"/>
    <cellStyle name=" _Book1" xfId="14" xr:uid="{00000000-0005-0000-0000-000004000000}"/>
    <cellStyle name="_01토공" xfId="25" xr:uid="{00000000-0005-0000-0000-00000F000000}"/>
    <cellStyle name="_01토공_00-설계서,원가계산,내역서" xfId="26" xr:uid="{00000000-0005-0000-0000-000010000000}"/>
    <cellStyle name="_01토공_라멘교 토공" xfId="27" xr:uid="{00000000-0005-0000-0000-000011000000}"/>
    <cellStyle name="_01토공_라멘교 토공_00-설계서,원가계산,내역서" xfId="28" xr:uid="{00000000-0005-0000-0000-000012000000}"/>
    <cellStyle name="_01토공_철거" xfId="29" xr:uid="{00000000-0005-0000-0000-000013000000}"/>
    <cellStyle name="_01토공_철거_00-설계서,원가계산,내역서" xfId="30" xr:uid="{00000000-0005-0000-0000-000014000000}"/>
    <cellStyle name="_01토공_철거_라멘교 토공" xfId="31" xr:uid="{00000000-0005-0000-0000-000015000000}"/>
    <cellStyle name="_01토공_철거_라멘교 토공_00-설계서,원가계산,내역서" xfId="32" xr:uid="{00000000-0005-0000-0000-000016000000}"/>
    <cellStyle name="_갑지(0127)" xfId="38" xr:uid="{00000000-0005-0000-0000-00001C000000}"/>
    <cellStyle name="_공사요율표-031008" xfId="39" xr:uid="{00000000-0005-0000-0000-00001D000000}"/>
    <cellStyle name="_공양식(레인보우스케이프)" xfId="40" xr:uid="{00000000-0005-0000-0000-00001E000000}"/>
    <cellStyle name="_관급-(수배전반)" xfId="41" xr:uid="{00000000-0005-0000-0000-00001F000000}"/>
    <cellStyle name="_내역서" xfId="42" xr:uid="{00000000-0005-0000-0000-000020000000}"/>
    <cellStyle name="_능말폐기물내역(2단계-총괄)" xfId="43" xr:uid="{00000000-0005-0000-0000-000021000000}"/>
    <cellStyle name="_대구역사약전내역(자재부제출)" xfId="44" xr:uid="{00000000-0005-0000-0000-000022000000}"/>
    <cellStyle name="_대원공원설계서" xfId="45" xr:uid="{00000000-0005-0000-0000-000023000000}"/>
    <cellStyle name="_대원공원설계서_00-설계서,원가계산,내역서" xfId="46" xr:uid="{00000000-0005-0000-0000-000024000000}"/>
    <cellStyle name="_대원공원설계서_내역서-최종0223" xfId="47" xr:uid="{00000000-0005-0000-0000-000025000000}"/>
    <cellStyle name="_대원공원설계서_내역서-최종0223_00-설계서,원가계산,내역서" xfId="48" xr:uid="{00000000-0005-0000-0000-000026000000}"/>
    <cellStyle name="_대원공원설계서_내역서-최종0223_설계서-1" xfId="49" xr:uid="{00000000-0005-0000-0000-000027000000}"/>
    <cellStyle name="_대원공원설계서_내역서-최종0223_설계서-1_00-설계서,원가계산,내역서" xfId="50" xr:uid="{00000000-0005-0000-0000-000028000000}"/>
    <cellStyle name="_대원공원설계서_내역서-최종0223_진해자은수량산출서(단지내)" xfId="51" xr:uid="{00000000-0005-0000-0000-000029000000}"/>
    <cellStyle name="_대원공원설계서_내역서-최종0223_진해자은수량산출서(단지내)_00-설계서,원가계산,내역서" xfId="52" xr:uid="{00000000-0005-0000-0000-00002A000000}"/>
    <cellStyle name="_대원공원설계서_내역서-최종0223_진해자은수량산출서(단지내)_기초산출표-56-128-최종" xfId="53" xr:uid="{00000000-0005-0000-0000-00002B000000}"/>
    <cellStyle name="_대원공원설계서_내역서-최종0223_진해자은수량산출서(단지내)_기초산출표-56-128-최종_00-설계서,원가계산,내역서" xfId="54" xr:uid="{00000000-0005-0000-0000-00002C000000}"/>
    <cellStyle name="_대원공원설계서_내역서-최종0223_진해자은수량산출서(단지내)_기초산출표-56-128-최종_설계서-1" xfId="55" xr:uid="{00000000-0005-0000-0000-00002D000000}"/>
    <cellStyle name="_대원공원설계서_내역서-최종0223_진해자은수량산출서(단지내)_기초산출표-56-128-최종_설계서-1_00-설계서,원가계산,내역서" xfId="56" xr:uid="{00000000-0005-0000-0000-00002E000000}"/>
    <cellStyle name="_대원공원설계서_내역서-최종0223_진해자은수량산출서(단지내)_설계서-1" xfId="57" xr:uid="{00000000-0005-0000-0000-00002F000000}"/>
    <cellStyle name="_대원공원설계서_내역서-최종0223_진해자은수량산출서(단지내)_설계서-1_00-설계서,원가계산,내역서" xfId="58" xr:uid="{00000000-0005-0000-0000-000030000000}"/>
    <cellStyle name="_대원공원설계서_내역서-최종0223_진해자은수량산출서(단지내)_취합" xfId="59" xr:uid="{00000000-0005-0000-0000-000031000000}"/>
    <cellStyle name="_대원공원설계서_내역서-최종0223_진해자은수량산출서(단지내)_취합_00-설계서,원가계산,내역서" xfId="60" xr:uid="{00000000-0005-0000-0000-000032000000}"/>
    <cellStyle name="_대원공원설계서_내역서-최종0223_진해자은수량산출서(단지내)_취합_설계서-1" xfId="61" xr:uid="{00000000-0005-0000-0000-000033000000}"/>
    <cellStyle name="_대원공원설계서_내역서-최종0223_진해자은수량산출서(단지내)_취합_설계서-1_00-설계서,원가계산,내역서" xfId="62" xr:uid="{00000000-0005-0000-0000-000034000000}"/>
    <cellStyle name="_대원공원설계서_설계서-1" xfId="63" xr:uid="{00000000-0005-0000-0000-000035000000}"/>
    <cellStyle name="_대원공원설계서_설계서-1_00-설계서,원가계산,내역서" xfId="64" xr:uid="{00000000-0005-0000-0000-000036000000}"/>
    <cellStyle name="_대원공원설계서_율동자연공원내 화장실 보수 및 도색공사" xfId="65" xr:uid="{00000000-0005-0000-0000-000037000000}"/>
    <cellStyle name="_대원공원설계서_율동자연공원내 화장실 보수 및 도색공사_00-설계서,원가계산,내역서" xfId="66" xr:uid="{00000000-0005-0000-0000-000038000000}"/>
    <cellStyle name="_대원공원설계서_율동자연공원내 화장실 보수 및 도색공사_내역서-최종0223" xfId="67" xr:uid="{00000000-0005-0000-0000-000039000000}"/>
    <cellStyle name="_대원공원설계서_율동자연공원내 화장실 보수 및 도색공사_내역서-최종0223_00-설계서,원가계산,내역서" xfId="68" xr:uid="{00000000-0005-0000-0000-00003A000000}"/>
    <cellStyle name="_대원공원설계서_율동자연공원내 화장실 보수 및 도색공사_내역서-최종0223_설계서-1" xfId="69" xr:uid="{00000000-0005-0000-0000-00003B000000}"/>
    <cellStyle name="_대원공원설계서_율동자연공원내 화장실 보수 및 도색공사_내역서-최종0223_설계서-1_00-설계서,원가계산,내역서" xfId="70" xr:uid="{00000000-0005-0000-0000-00003C000000}"/>
    <cellStyle name="_대원공원설계서_율동자연공원내 화장실 보수 및 도색공사_내역서-최종0223_진해자은수량산출서(단지내)" xfId="71" xr:uid="{00000000-0005-0000-0000-00003D000000}"/>
    <cellStyle name="_대원공원설계서_율동자연공원내 화장실 보수 및 도색공사_내역서-최종0223_진해자은수량산출서(단지내)_00-설계서,원가계산,내역서" xfId="72" xr:uid="{00000000-0005-0000-0000-00003E000000}"/>
    <cellStyle name="_대원공원설계서_율동자연공원내 화장실 보수 및 도색공사_내역서-최종0223_진해자은수량산출서(단지내)_기초산출표-56-128-최종" xfId="73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74" xr:uid="{00000000-0005-0000-0000-000040000000}"/>
    <cellStyle name="_대원공원설계서_율동자연공원내 화장실 보수 및 도색공사_내역서-최종0223_진해자은수량산출서(단지내)_기초산출표-56-128-최종_설계서-1" xfId="75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76" xr:uid="{00000000-0005-0000-0000-000042000000}"/>
    <cellStyle name="_대원공원설계서_율동자연공원내 화장실 보수 및 도색공사_내역서-최종0223_진해자은수량산출서(단지내)_설계서-1" xfId="77" xr:uid="{00000000-0005-0000-0000-000043000000}"/>
    <cellStyle name="_대원공원설계서_율동자연공원내 화장실 보수 및 도색공사_내역서-최종0223_진해자은수량산출서(단지내)_설계서-1_00-설계서,원가계산,내역서" xfId="78" xr:uid="{00000000-0005-0000-0000-000044000000}"/>
    <cellStyle name="_대원공원설계서_율동자연공원내 화장실 보수 및 도색공사_내역서-최종0223_진해자은수량산출서(단지내)_취합" xfId="79" xr:uid="{00000000-0005-0000-0000-000045000000}"/>
    <cellStyle name="_대원공원설계서_율동자연공원내 화장실 보수 및 도색공사_내역서-최종0223_진해자은수량산출서(단지내)_취합_00-설계서,원가계산,내역서" xfId="80" xr:uid="{00000000-0005-0000-0000-000046000000}"/>
    <cellStyle name="_대원공원설계서_율동자연공원내 화장실 보수 및 도색공사_내역서-최종0223_진해자은수량산출서(단지내)_취합_설계서-1" xfId="81" xr:uid="{00000000-0005-0000-0000-000047000000}"/>
    <cellStyle name="_대원공원설계서_율동자연공원내 화장실 보수 및 도색공사_내역서-최종0223_진해자은수량산출서(단지내)_취합_설계서-1_00-설계서,원가계산,내역서" xfId="82" xr:uid="{00000000-0005-0000-0000-000048000000}"/>
    <cellStyle name="_대원공원설계서_율동자연공원내 화장실 보수 및 도색공사_설계서-1" xfId="83" xr:uid="{00000000-0005-0000-0000-000049000000}"/>
    <cellStyle name="_대원공원설계서_율동자연공원내 화장실 보수 및 도색공사_설계서-1_00-설계서,원가계산,내역서" xfId="84" xr:uid="{00000000-0005-0000-0000-00004A000000}"/>
    <cellStyle name="_대원공원설계서_율동자연공원내 화장실 보수 및 도색공사_진해자은수량산출서(단지내)" xfId="85" xr:uid="{00000000-0005-0000-0000-00004B000000}"/>
    <cellStyle name="_대원공원설계서_율동자연공원내 화장실 보수 및 도색공사_진해자은수량산출서(단지내)_00-설계서,원가계산,내역서" xfId="86" xr:uid="{00000000-0005-0000-0000-00004C000000}"/>
    <cellStyle name="_대원공원설계서_율동자연공원내 화장실 보수 및 도색공사_진해자은수량산출서(단지내)_기초산출표-56-128-최종" xfId="87" xr:uid="{00000000-0005-0000-0000-00004D000000}"/>
    <cellStyle name="_대원공원설계서_율동자연공원내 화장실 보수 및 도색공사_진해자은수량산출서(단지내)_기초산출표-56-128-최종_00-설계서,원가계산,내역서" xfId="88" xr:uid="{00000000-0005-0000-0000-00004E000000}"/>
    <cellStyle name="_대원공원설계서_율동자연공원내 화장실 보수 및 도색공사_진해자은수량산출서(단지내)_기초산출표-56-128-최종_설계서-1" xfId="89" xr:uid="{00000000-0005-0000-0000-00004F000000}"/>
    <cellStyle name="_대원공원설계서_율동자연공원내 화장실 보수 및 도색공사_진해자은수량산출서(단지내)_기초산출표-56-128-최종_설계서-1_00-설계서,원가계산,내역서" xfId="90" xr:uid="{00000000-0005-0000-0000-000050000000}"/>
    <cellStyle name="_대원공원설계서_율동자연공원내 화장실 보수 및 도색공사_진해자은수량산출서(단지내)_설계서-1" xfId="91" xr:uid="{00000000-0005-0000-0000-000051000000}"/>
    <cellStyle name="_대원공원설계서_율동자연공원내 화장실 보수 및 도색공사_진해자은수량산출서(단지내)_설계서-1_00-설계서,원가계산,내역서" xfId="92" xr:uid="{00000000-0005-0000-0000-000052000000}"/>
    <cellStyle name="_대원공원설계서_율동자연공원내 화장실 보수 및 도색공사_진해자은수량산출서(단지내)_취합" xfId="93" xr:uid="{00000000-0005-0000-0000-000053000000}"/>
    <cellStyle name="_대원공원설계서_율동자연공원내 화장실 보수 및 도색공사_진해자은수량산출서(단지내)_취합_00-설계서,원가계산,내역서" xfId="94" xr:uid="{00000000-0005-0000-0000-000054000000}"/>
    <cellStyle name="_대원공원설계서_율동자연공원내 화장실 보수 및 도색공사_진해자은수량산출서(단지내)_취합_설계서-1" xfId="95" xr:uid="{00000000-0005-0000-0000-000055000000}"/>
    <cellStyle name="_대원공원설계서_율동자연공원내 화장실 보수 및 도색공사_진해자은수량산출서(단지내)_취합_설계서-1_00-설계서,원가계산,내역서" xfId="96" xr:uid="{00000000-0005-0000-0000-000056000000}"/>
    <cellStyle name="_대원공원설계서_율동자연공원내 휴게편의점 도색작업-할증-천정면적추가" xfId="97" xr:uid="{00000000-0005-0000-0000-000057000000}"/>
    <cellStyle name="_대원공원설계서_율동자연공원내 휴게편의점 도색작업-할증-천정면적추가_00-설계서,원가계산,내역서" xfId="98" xr:uid="{00000000-0005-0000-0000-000058000000}"/>
    <cellStyle name="_대원공원설계서_율동자연공원내 휴게편의점 도색작업-할증-천정면적추가_내역서-최종0223" xfId="99" xr:uid="{00000000-0005-0000-0000-000059000000}"/>
    <cellStyle name="_대원공원설계서_율동자연공원내 휴게편의점 도색작업-할증-천정면적추가_내역서-최종0223_00-설계서,원가계산,내역서" xfId="100" xr:uid="{00000000-0005-0000-0000-00005A000000}"/>
    <cellStyle name="_대원공원설계서_율동자연공원내 휴게편의점 도색작업-할증-천정면적추가_내역서-최종0223_설계서-1" xfId="101" xr:uid="{00000000-0005-0000-0000-00005B000000}"/>
    <cellStyle name="_대원공원설계서_율동자연공원내 휴게편의점 도색작업-할증-천정면적추가_내역서-최종0223_설계서-1_00-설계서,원가계산,내역서" xfId="102" xr:uid="{00000000-0005-0000-0000-00005C000000}"/>
    <cellStyle name="_대원공원설계서_율동자연공원내 휴게편의점 도색작업-할증-천정면적추가_내역서-최종0223_진해자은수량산출서(단지내)" xfId="103" xr:uid="{00000000-0005-0000-0000-00005D000000}"/>
    <cellStyle name="_대원공원설계서_율동자연공원내 휴게편의점 도색작업-할증-천정면적추가_내역서-최종0223_진해자은수량산출서(단지내)_00-설계서,원가계산,내역서" xfId="104" xr:uid="{00000000-0005-0000-0000-00005E000000}"/>
    <cellStyle name="_대원공원설계서_율동자연공원내 휴게편의점 도색작업-할증-천정면적추가_내역서-최종0223_진해자은수량산출서(단지내)_기초산출표-56-128-최종" xfId="105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106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107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108" xr:uid="{00000000-0005-0000-0000-000062000000}"/>
    <cellStyle name="_대원공원설계서_율동자연공원내 휴게편의점 도색작업-할증-천정면적추가_내역서-최종0223_진해자은수량산출서(단지내)_설계서-1" xfId="109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10" xr:uid="{00000000-0005-0000-0000-000064000000}"/>
    <cellStyle name="_대원공원설계서_율동자연공원내 휴게편의점 도색작업-할증-천정면적추가_내역서-최종0223_진해자은수량산출서(단지내)_취합" xfId="111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12" xr:uid="{00000000-0005-0000-0000-000066000000}"/>
    <cellStyle name="_대원공원설계서_율동자연공원내 휴게편의점 도색작업-할증-천정면적추가_내역서-최종0223_진해자은수량산출서(단지내)_취합_설계서-1" xfId="113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14" xr:uid="{00000000-0005-0000-0000-000068000000}"/>
    <cellStyle name="_대원공원설계서_율동자연공원내 휴게편의점 도색작업-할증-천정면적추가_설계서-1" xfId="115" xr:uid="{00000000-0005-0000-0000-000069000000}"/>
    <cellStyle name="_대원공원설계서_율동자연공원내 휴게편의점 도색작업-할증-천정면적추가_설계서-1_00-설계서,원가계산,내역서" xfId="116" xr:uid="{00000000-0005-0000-0000-00006A000000}"/>
    <cellStyle name="_대원공원설계서_율동자연공원내 휴게편의점 도색작업-할증-천정면적추가_진해자은수량산출서(단지내)" xfId="117" xr:uid="{00000000-0005-0000-0000-00006B000000}"/>
    <cellStyle name="_대원공원설계서_율동자연공원내 휴게편의점 도색작업-할증-천정면적추가_진해자은수량산출서(단지내)_00-설계서,원가계산,내역서" xfId="118" xr:uid="{00000000-0005-0000-0000-00006C000000}"/>
    <cellStyle name="_대원공원설계서_율동자연공원내 휴게편의점 도색작업-할증-천정면적추가_진해자은수량산출서(단지내)_기초산출표-56-128-최종" xfId="119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20" xr:uid="{00000000-0005-0000-0000-00006E000000}"/>
    <cellStyle name="_대원공원설계서_율동자연공원내 휴게편의점 도색작업-할증-천정면적추가_진해자은수량산출서(단지내)_기초산출표-56-128-최종_설계서-1" xfId="121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22" xr:uid="{00000000-0005-0000-0000-000070000000}"/>
    <cellStyle name="_대원공원설계서_율동자연공원내 휴게편의점 도색작업-할증-천정면적추가_진해자은수량산출서(단지내)_설계서-1" xfId="123" xr:uid="{00000000-0005-0000-0000-000071000000}"/>
    <cellStyle name="_대원공원설계서_율동자연공원내 휴게편의점 도색작업-할증-천정면적추가_진해자은수량산출서(단지내)_설계서-1_00-설계서,원가계산,내역서" xfId="124" xr:uid="{00000000-0005-0000-0000-000072000000}"/>
    <cellStyle name="_대원공원설계서_율동자연공원내 휴게편의점 도색작업-할증-천정면적추가_진해자은수량산출서(단지내)_취합" xfId="125" xr:uid="{00000000-0005-0000-0000-000073000000}"/>
    <cellStyle name="_대원공원설계서_율동자연공원내 휴게편의점 도색작업-할증-천정면적추가_진해자은수량산출서(단지내)_취합_00-설계서,원가계산,내역서" xfId="126" xr:uid="{00000000-0005-0000-0000-000074000000}"/>
    <cellStyle name="_대원공원설계서_율동자연공원내 휴게편의점 도색작업-할증-천정면적추가_진해자은수량산출서(단지내)_취합_설계서-1" xfId="127" xr:uid="{00000000-0005-0000-0000-000075000000}"/>
    <cellStyle name="_대원공원설계서_율동자연공원내 휴게편의점 도색작업-할증-천정면적추가_진해자은수량산출서(단지내)_취합_설계서-1_00-설계서,원가계산,내역서" xfId="128" xr:uid="{00000000-0005-0000-0000-000076000000}"/>
    <cellStyle name="_대원공원설계서_진해자은수량산출서(단지내)" xfId="129" xr:uid="{00000000-0005-0000-0000-000077000000}"/>
    <cellStyle name="_대원공원설계서_진해자은수량산출서(단지내)_00-설계서,원가계산,내역서" xfId="130" xr:uid="{00000000-0005-0000-0000-000078000000}"/>
    <cellStyle name="_대원공원설계서_진해자은수량산출서(단지내)_기초산출표-56-128-최종" xfId="131" xr:uid="{00000000-0005-0000-0000-000079000000}"/>
    <cellStyle name="_대원공원설계서_진해자은수량산출서(단지내)_기초산출표-56-128-최종_00-설계서,원가계산,내역서" xfId="132" xr:uid="{00000000-0005-0000-0000-00007A000000}"/>
    <cellStyle name="_대원공원설계서_진해자은수량산출서(단지내)_기초산출표-56-128-최종_설계서-1" xfId="133" xr:uid="{00000000-0005-0000-0000-00007B000000}"/>
    <cellStyle name="_대원공원설계서_진해자은수량산출서(단지내)_기초산출표-56-128-최종_설계서-1_00-설계서,원가계산,내역서" xfId="134" xr:uid="{00000000-0005-0000-0000-00007C000000}"/>
    <cellStyle name="_대원공원설계서_진해자은수량산출서(단지내)_설계서-1" xfId="135" xr:uid="{00000000-0005-0000-0000-00007D000000}"/>
    <cellStyle name="_대원공원설계서_진해자은수량산출서(단지내)_설계서-1_00-설계서,원가계산,내역서" xfId="136" xr:uid="{00000000-0005-0000-0000-00007E000000}"/>
    <cellStyle name="_대원공원설계서_진해자은수량산출서(단지내)_취합" xfId="137" xr:uid="{00000000-0005-0000-0000-00007F000000}"/>
    <cellStyle name="_대원공원설계서_진해자은수량산출서(단지내)_취합_00-설계서,원가계산,내역서" xfId="138" xr:uid="{00000000-0005-0000-0000-000080000000}"/>
    <cellStyle name="_대원공원설계서_진해자은수량산출서(단지내)_취합_설계서-1" xfId="139" xr:uid="{00000000-0005-0000-0000-000081000000}"/>
    <cellStyle name="_대원공원설계서_진해자은수량산출서(단지내)_취합_설계서-1_00-설계서,원가계산,내역서" xfId="140" xr:uid="{00000000-0005-0000-0000-000082000000}"/>
    <cellStyle name="_동래점 토공사 가시설발주2-김대리님" xfId="141" xr:uid="{00000000-0005-0000-0000-000083000000}"/>
    <cellStyle name="_라멘교 토공" xfId="142" xr:uid="{00000000-0005-0000-0000-000084000000}"/>
    <cellStyle name="_라멘교 토공_00-설계서,원가계산,내역서" xfId="143" xr:uid="{00000000-0005-0000-0000-000085000000}"/>
    <cellStyle name="_롯데본점 신관지하1층" xfId="144" xr:uid="{00000000-0005-0000-0000-000086000000}"/>
    <cellStyle name="_명품가약전" xfId="145" xr:uid="{00000000-0005-0000-0000-000087000000}"/>
    <cellStyle name="_명품가조명제어" xfId="146" xr:uid="{00000000-0005-0000-0000-000088000000}"/>
    <cellStyle name="_방동" xfId="147" xr:uid="{00000000-0005-0000-0000-000089000000}"/>
    <cellStyle name="_방동_00-설계서,원가계산,내역서" xfId="148" xr:uid="{00000000-0005-0000-0000-00008A000000}"/>
    <cellStyle name="_방동_03구조~1" xfId="149" xr:uid="{00000000-0005-0000-0000-00008B000000}"/>
    <cellStyle name="_방동_03구조~1_00-설계서,원가계산,내역서" xfId="150" xr:uid="{00000000-0005-0000-0000-00008C000000}"/>
    <cellStyle name="_방동_03구조~1_라멘교 토공" xfId="151" xr:uid="{00000000-0005-0000-0000-00008D000000}"/>
    <cellStyle name="_방동_03구조~1_라멘교 토공_00-설계서,원가계산,내역서" xfId="152" xr:uid="{00000000-0005-0000-0000-00008E000000}"/>
    <cellStyle name="_방동_03구조~1_포장" xfId="153" xr:uid="{00000000-0005-0000-0000-00008F000000}"/>
    <cellStyle name="_방동_03구조~1_포장_00-설계서,원가계산,내역서" xfId="154" xr:uid="{00000000-0005-0000-0000-000090000000}"/>
    <cellStyle name="_방동_03구조~1_포장_라멘교 토공" xfId="155" xr:uid="{00000000-0005-0000-0000-000091000000}"/>
    <cellStyle name="_방동_03구조~1_포장_라멘교 토공_00-설계서,원가계산,내역서" xfId="156" xr:uid="{00000000-0005-0000-0000-000092000000}"/>
    <cellStyle name="_방동_03구조물공" xfId="157" xr:uid="{00000000-0005-0000-0000-000093000000}"/>
    <cellStyle name="_방동_03구조물공_00-설계서,원가계산,내역서" xfId="158" xr:uid="{00000000-0005-0000-0000-000094000000}"/>
    <cellStyle name="_방동_03구조물공_라멘교 토공" xfId="159" xr:uid="{00000000-0005-0000-0000-000095000000}"/>
    <cellStyle name="_방동_03구조물공_라멘교 토공_00-설계서,원가계산,내역서" xfId="160" xr:uid="{00000000-0005-0000-0000-000096000000}"/>
    <cellStyle name="_방동_03구조물공_포장" xfId="161" xr:uid="{00000000-0005-0000-0000-000097000000}"/>
    <cellStyle name="_방동_03구조물공_포장_00-설계서,원가계산,내역서" xfId="162" xr:uid="{00000000-0005-0000-0000-000098000000}"/>
    <cellStyle name="_방동_03구조물공_포장_라멘교 토공" xfId="163" xr:uid="{00000000-0005-0000-0000-000099000000}"/>
    <cellStyle name="_방동_03구조물공_포장_라멘교 토공_00-설계서,원가계산,내역서" xfId="164" xr:uid="{00000000-0005-0000-0000-00009A000000}"/>
    <cellStyle name="_방동_내역서-최종0223" xfId="165" xr:uid="{00000000-0005-0000-0000-00009B000000}"/>
    <cellStyle name="_방동_내역서-최종0223_00-설계서,원가계산,내역서" xfId="166" xr:uid="{00000000-0005-0000-0000-00009C000000}"/>
    <cellStyle name="_방동_내역서-최종0223_설계서-1" xfId="167" xr:uid="{00000000-0005-0000-0000-00009D000000}"/>
    <cellStyle name="_방동_내역서-최종0223_설계서-1_00-설계서,원가계산,내역서" xfId="168" xr:uid="{00000000-0005-0000-0000-00009E000000}"/>
    <cellStyle name="_방동_내역서-최종0223_진해자은수량산출서(단지내)" xfId="169" xr:uid="{00000000-0005-0000-0000-00009F000000}"/>
    <cellStyle name="_방동_내역서-최종0223_진해자은수량산출서(단지내)_00-설계서,원가계산,내역서" xfId="170" xr:uid="{00000000-0005-0000-0000-0000A0000000}"/>
    <cellStyle name="_방동_내역서-최종0223_진해자은수량산출서(단지내)_기초산출표-56-128-최종" xfId="171" xr:uid="{00000000-0005-0000-0000-0000A1000000}"/>
    <cellStyle name="_방동_내역서-최종0223_진해자은수량산출서(단지내)_기초산출표-56-128-최종_00-설계서,원가계산,내역서" xfId="172" xr:uid="{00000000-0005-0000-0000-0000A2000000}"/>
    <cellStyle name="_방동_내역서-최종0223_진해자은수량산출서(단지내)_기초산출표-56-128-최종_설계서-1" xfId="173" xr:uid="{00000000-0005-0000-0000-0000A3000000}"/>
    <cellStyle name="_방동_내역서-최종0223_진해자은수량산출서(단지내)_기초산출표-56-128-최종_설계서-1_00-설계서,원가계산,내역서" xfId="174" xr:uid="{00000000-0005-0000-0000-0000A4000000}"/>
    <cellStyle name="_방동_내역서-최종0223_진해자은수량산출서(단지내)_설계서-1" xfId="175" xr:uid="{00000000-0005-0000-0000-0000A5000000}"/>
    <cellStyle name="_방동_내역서-최종0223_진해자은수량산출서(단지내)_설계서-1_00-설계서,원가계산,내역서" xfId="176" xr:uid="{00000000-0005-0000-0000-0000A6000000}"/>
    <cellStyle name="_방동_내역서-최종0223_진해자은수량산출서(단지내)_취합" xfId="177" xr:uid="{00000000-0005-0000-0000-0000A7000000}"/>
    <cellStyle name="_방동_내역서-최종0223_진해자은수량산출서(단지내)_취합_00-설계서,원가계산,내역서" xfId="178" xr:uid="{00000000-0005-0000-0000-0000A8000000}"/>
    <cellStyle name="_방동_내역서-최종0223_진해자은수량산출서(단지내)_취합_설계서-1" xfId="179" xr:uid="{00000000-0005-0000-0000-0000A9000000}"/>
    <cellStyle name="_방동_내역서-최종0223_진해자은수량산출서(단지내)_취합_설계서-1_00-설계서,원가계산,내역서" xfId="180" xr:uid="{00000000-0005-0000-0000-0000AA000000}"/>
    <cellStyle name="_방동_동막리소교량" xfId="181" xr:uid="{00000000-0005-0000-0000-0000AB000000}"/>
    <cellStyle name="_방동_동막리소교량_00-설계서,원가계산,내역서" xfId="182" xr:uid="{00000000-0005-0000-0000-0000AC000000}"/>
    <cellStyle name="_방동_동막리소교량_라멘교 토공" xfId="183" xr:uid="{00000000-0005-0000-0000-0000AD000000}"/>
    <cellStyle name="_방동_동막리소교량_라멘교 토공_00-설계서,원가계산,내역서" xfId="184" xr:uid="{00000000-0005-0000-0000-0000AE000000}"/>
    <cellStyle name="_방동_동막리소교량_포장" xfId="185" xr:uid="{00000000-0005-0000-0000-0000AF000000}"/>
    <cellStyle name="_방동_동막리소교량_포장_00-설계서,원가계산,내역서" xfId="186" xr:uid="{00000000-0005-0000-0000-0000B0000000}"/>
    <cellStyle name="_방동_동막리소교량_포장_라멘교 토공" xfId="187" xr:uid="{00000000-0005-0000-0000-0000B1000000}"/>
    <cellStyle name="_방동_동막리소교량_포장_라멘교 토공_00-설계서,원가계산,내역서" xfId="188" xr:uid="{00000000-0005-0000-0000-0000B2000000}"/>
    <cellStyle name="_방동_라멘교 토공" xfId="189" xr:uid="{00000000-0005-0000-0000-0000B3000000}"/>
    <cellStyle name="_방동_라멘교 토공_00-설계서,원가계산,내역서" xfId="190" xr:uid="{00000000-0005-0000-0000-0000B4000000}"/>
    <cellStyle name="_방동_마현12~1" xfId="191" xr:uid="{00000000-0005-0000-0000-0000B5000000}"/>
    <cellStyle name="_방동_마현12~1_00-설계서,원가계산,내역서" xfId="192" xr:uid="{00000000-0005-0000-0000-0000B6000000}"/>
    <cellStyle name="_방동_마현12~1_라멘교 토공" xfId="193" xr:uid="{00000000-0005-0000-0000-0000B7000000}"/>
    <cellStyle name="_방동_마현12~1_라멘교 토공_00-설계서,원가계산,내역서" xfId="194" xr:uid="{00000000-0005-0000-0000-0000B8000000}"/>
    <cellStyle name="_방동_마현12~1_포장" xfId="195" xr:uid="{00000000-0005-0000-0000-0000B9000000}"/>
    <cellStyle name="_방동_마현12~1_포장_00-설계서,원가계산,내역서" xfId="196" xr:uid="{00000000-0005-0000-0000-0000BA000000}"/>
    <cellStyle name="_방동_마현12~1_포장_라멘교 토공" xfId="197" xr:uid="{00000000-0005-0000-0000-0000BB000000}"/>
    <cellStyle name="_방동_마현12~1_포장_라멘교 토공_00-설계서,원가계산,내역서" xfId="198" xr:uid="{00000000-0005-0000-0000-0000BC000000}"/>
    <cellStyle name="_방동_문혜3리" xfId="199" xr:uid="{00000000-0005-0000-0000-0000BD000000}"/>
    <cellStyle name="_방동_문혜3리_00-설계서,원가계산,내역서" xfId="200" xr:uid="{00000000-0005-0000-0000-0000BE000000}"/>
    <cellStyle name="_방동_문혜3리_라멘교 토공" xfId="201" xr:uid="{00000000-0005-0000-0000-0000BF000000}"/>
    <cellStyle name="_방동_문혜3리_라멘교 토공_00-설계서,원가계산,내역서" xfId="202" xr:uid="{00000000-0005-0000-0000-0000C0000000}"/>
    <cellStyle name="_방동_문혜3리_포장" xfId="203" xr:uid="{00000000-0005-0000-0000-0000C1000000}"/>
    <cellStyle name="_방동_문혜3리_포장_00-설계서,원가계산,내역서" xfId="204" xr:uid="{00000000-0005-0000-0000-0000C2000000}"/>
    <cellStyle name="_방동_문혜3리_포장_라멘교 토공" xfId="205" xr:uid="{00000000-0005-0000-0000-0000C3000000}"/>
    <cellStyle name="_방동_문혜3리_포장_라멘교 토공_00-설계서,원가계산,내역서" xfId="206" xr:uid="{00000000-0005-0000-0000-0000C4000000}"/>
    <cellStyle name="_방동_방동" xfId="207" xr:uid="{00000000-0005-0000-0000-0000C5000000}"/>
    <cellStyle name="_방동_방동_00-설계서,원가계산,내역서" xfId="208" xr:uid="{00000000-0005-0000-0000-0000C6000000}"/>
    <cellStyle name="_방동_방동_내역서-최종0223" xfId="209" xr:uid="{00000000-0005-0000-0000-0000C7000000}"/>
    <cellStyle name="_방동_방동_내역서-최종0223_00-설계서,원가계산,내역서" xfId="210" xr:uid="{00000000-0005-0000-0000-0000C8000000}"/>
    <cellStyle name="_방동_방동_내역서-최종0223_설계서-1" xfId="211" xr:uid="{00000000-0005-0000-0000-0000C9000000}"/>
    <cellStyle name="_방동_방동_내역서-최종0223_설계서-1_00-설계서,원가계산,내역서" xfId="212" xr:uid="{00000000-0005-0000-0000-0000CA000000}"/>
    <cellStyle name="_방동_방동_내역서-최종0223_진해자은수량산출서(단지내)" xfId="213" xr:uid="{00000000-0005-0000-0000-0000CB000000}"/>
    <cellStyle name="_방동_방동_내역서-최종0223_진해자은수량산출서(단지내)_00-설계서,원가계산,내역서" xfId="214" xr:uid="{00000000-0005-0000-0000-0000CC000000}"/>
    <cellStyle name="_방동_방동_내역서-최종0223_진해자은수량산출서(단지내)_기초산출표-56-128-최종" xfId="215" xr:uid="{00000000-0005-0000-0000-0000CD000000}"/>
    <cellStyle name="_방동_방동_내역서-최종0223_진해자은수량산출서(단지내)_기초산출표-56-128-최종_00-설계서,원가계산,내역서" xfId="216" xr:uid="{00000000-0005-0000-0000-0000CE000000}"/>
    <cellStyle name="_방동_방동_내역서-최종0223_진해자은수량산출서(단지내)_기초산출표-56-128-최종_설계서-1" xfId="217" xr:uid="{00000000-0005-0000-0000-0000CF000000}"/>
    <cellStyle name="_방동_방동_내역서-최종0223_진해자은수량산출서(단지내)_기초산출표-56-128-최종_설계서-1_00-설계서,원가계산,내역서" xfId="218" xr:uid="{00000000-0005-0000-0000-0000D0000000}"/>
    <cellStyle name="_방동_방동_내역서-최종0223_진해자은수량산출서(단지내)_설계서-1" xfId="219" xr:uid="{00000000-0005-0000-0000-0000D1000000}"/>
    <cellStyle name="_방동_방동_내역서-최종0223_진해자은수량산출서(단지내)_설계서-1_00-설계서,원가계산,내역서" xfId="220" xr:uid="{00000000-0005-0000-0000-0000D2000000}"/>
    <cellStyle name="_방동_방동_내역서-최종0223_진해자은수량산출서(단지내)_취합" xfId="221" xr:uid="{00000000-0005-0000-0000-0000D3000000}"/>
    <cellStyle name="_방동_방동_내역서-최종0223_진해자은수량산출서(단지내)_취합_00-설계서,원가계산,내역서" xfId="222" xr:uid="{00000000-0005-0000-0000-0000D4000000}"/>
    <cellStyle name="_방동_방동_내역서-최종0223_진해자은수량산출서(단지내)_취합_설계서-1" xfId="223" xr:uid="{00000000-0005-0000-0000-0000D5000000}"/>
    <cellStyle name="_방동_방동_내역서-최종0223_진해자은수량산출서(단지내)_취합_설계서-1_00-설계서,원가계산,내역서" xfId="224" xr:uid="{00000000-0005-0000-0000-0000D6000000}"/>
    <cellStyle name="_방동_방동_라멘교 토공" xfId="225" xr:uid="{00000000-0005-0000-0000-0000D7000000}"/>
    <cellStyle name="_방동_방동_라멘교 토공_00-설계서,원가계산,내역서" xfId="226" xr:uid="{00000000-0005-0000-0000-0000D8000000}"/>
    <cellStyle name="_방동_방동_설계서-1" xfId="227" xr:uid="{00000000-0005-0000-0000-0000D9000000}"/>
    <cellStyle name="_방동_방동_설계서-1_00-설계서,원가계산,내역서" xfId="228" xr:uid="{00000000-0005-0000-0000-0000DA000000}"/>
    <cellStyle name="_방동_방동_율동자연공원내 화장실 보수 및 도색공사" xfId="229" xr:uid="{00000000-0005-0000-0000-0000DB000000}"/>
    <cellStyle name="_방동_방동_율동자연공원내 화장실 보수 및 도색공사_00-설계서,원가계산,내역서" xfId="230" xr:uid="{00000000-0005-0000-0000-0000DC000000}"/>
    <cellStyle name="_방동_방동_율동자연공원내 화장실 보수 및 도색공사_내역서-최종0223" xfId="231" xr:uid="{00000000-0005-0000-0000-0000DD000000}"/>
    <cellStyle name="_방동_방동_율동자연공원내 화장실 보수 및 도색공사_내역서-최종0223_00-설계서,원가계산,내역서" xfId="232" xr:uid="{00000000-0005-0000-0000-0000DE000000}"/>
    <cellStyle name="_방동_방동_율동자연공원내 화장실 보수 및 도색공사_내역서-최종0223_설계서-1" xfId="233" xr:uid="{00000000-0005-0000-0000-0000DF000000}"/>
    <cellStyle name="_방동_방동_율동자연공원내 화장실 보수 및 도색공사_내역서-최종0223_설계서-1_00-설계서,원가계산,내역서" xfId="234" xr:uid="{00000000-0005-0000-0000-0000E0000000}"/>
    <cellStyle name="_방동_방동_율동자연공원내 화장실 보수 및 도색공사_내역서-최종0223_진해자은수량산출서(단지내)" xfId="235" xr:uid="{00000000-0005-0000-0000-0000E1000000}"/>
    <cellStyle name="_방동_방동_율동자연공원내 화장실 보수 및 도색공사_내역서-최종0223_진해자은수량산출서(단지내)_00-설계서,원가계산,내역서" xfId="236" xr:uid="{00000000-0005-0000-0000-0000E2000000}"/>
    <cellStyle name="_방동_방동_율동자연공원내 화장실 보수 및 도색공사_내역서-최종0223_진해자은수량산출서(단지내)_기초산출표-56-128-최종" xfId="237" xr:uid="{00000000-0005-0000-0000-0000E3000000}"/>
    <cellStyle name="_방동_방동_율동자연공원내 화장실 보수 및 도색공사_내역서-최종0223_진해자은수량산출서(단지내)_기초산출표-56-128-최종_00-설계서,원가계산,내역서" xfId="238" xr:uid="{00000000-0005-0000-0000-0000E4000000}"/>
    <cellStyle name="_방동_방동_율동자연공원내 화장실 보수 및 도색공사_내역서-최종0223_진해자은수량산출서(단지내)_기초산출표-56-128-최종_설계서-1" xfId="239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40" xr:uid="{00000000-0005-0000-0000-0000E6000000}"/>
    <cellStyle name="_방동_방동_율동자연공원내 화장실 보수 및 도색공사_내역서-최종0223_진해자은수량산출서(단지내)_설계서-1" xfId="241" xr:uid="{00000000-0005-0000-0000-0000E7000000}"/>
    <cellStyle name="_방동_방동_율동자연공원내 화장실 보수 및 도색공사_내역서-최종0223_진해자은수량산출서(단지내)_설계서-1_00-설계서,원가계산,내역서" xfId="242" xr:uid="{00000000-0005-0000-0000-0000E8000000}"/>
    <cellStyle name="_방동_방동_율동자연공원내 화장실 보수 및 도색공사_내역서-최종0223_진해자은수량산출서(단지내)_취합" xfId="243" xr:uid="{00000000-0005-0000-0000-0000E9000000}"/>
    <cellStyle name="_방동_방동_율동자연공원내 화장실 보수 및 도색공사_내역서-최종0223_진해자은수량산출서(단지내)_취합_00-설계서,원가계산,내역서" xfId="244" xr:uid="{00000000-0005-0000-0000-0000EA000000}"/>
    <cellStyle name="_방동_방동_율동자연공원내 화장실 보수 및 도색공사_내역서-최종0223_진해자은수량산출서(단지내)_취합_설계서-1" xfId="245" xr:uid="{00000000-0005-0000-0000-0000EB000000}"/>
    <cellStyle name="_방동_방동_율동자연공원내 화장실 보수 및 도색공사_내역서-최종0223_진해자은수량산출서(단지내)_취합_설계서-1_00-설계서,원가계산,내역서" xfId="246" xr:uid="{00000000-0005-0000-0000-0000EC000000}"/>
    <cellStyle name="_방동_방동_율동자연공원내 화장실 보수 및 도색공사_설계서-1" xfId="247" xr:uid="{00000000-0005-0000-0000-0000ED000000}"/>
    <cellStyle name="_방동_방동_율동자연공원내 화장실 보수 및 도색공사_설계서-1_00-설계서,원가계산,내역서" xfId="248" xr:uid="{00000000-0005-0000-0000-0000EE000000}"/>
    <cellStyle name="_방동_방동_율동자연공원내 화장실 보수 및 도색공사_진해자은수량산출서(단지내)" xfId="249" xr:uid="{00000000-0005-0000-0000-0000EF000000}"/>
    <cellStyle name="_방동_방동_율동자연공원내 화장실 보수 및 도색공사_진해자은수량산출서(단지내)_00-설계서,원가계산,내역서" xfId="250" xr:uid="{00000000-0005-0000-0000-0000F0000000}"/>
    <cellStyle name="_방동_방동_율동자연공원내 화장실 보수 및 도색공사_진해자은수량산출서(단지내)_기초산출표-56-128-최종" xfId="251" xr:uid="{00000000-0005-0000-0000-0000F1000000}"/>
    <cellStyle name="_방동_방동_율동자연공원내 화장실 보수 및 도색공사_진해자은수량산출서(단지내)_기초산출표-56-128-최종_00-설계서,원가계산,내역서" xfId="252" xr:uid="{00000000-0005-0000-0000-0000F2000000}"/>
    <cellStyle name="_방동_방동_율동자연공원내 화장실 보수 및 도색공사_진해자은수량산출서(단지내)_기초산출표-56-128-최종_설계서-1" xfId="253" xr:uid="{00000000-0005-0000-0000-0000F3000000}"/>
    <cellStyle name="_방동_방동_율동자연공원내 화장실 보수 및 도색공사_진해자은수량산출서(단지내)_기초산출표-56-128-최종_설계서-1_00-설계서,원가계산,내역서" xfId="254" xr:uid="{00000000-0005-0000-0000-0000F4000000}"/>
    <cellStyle name="_방동_방동_율동자연공원내 화장실 보수 및 도색공사_진해자은수량산출서(단지내)_설계서-1" xfId="255" xr:uid="{00000000-0005-0000-0000-0000F5000000}"/>
    <cellStyle name="_방동_방동_율동자연공원내 화장실 보수 및 도색공사_진해자은수량산출서(단지내)_설계서-1_00-설계서,원가계산,내역서" xfId="256" xr:uid="{00000000-0005-0000-0000-0000F6000000}"/>
    <cellStyle name="_방동_방동_율동자연공원내 화장실 보수 및 도색공사_진해자은수량산출서(단지내)_취합" xfId="257" xr:uid="{00000000-0005-0000-0000-0000F7000000}"/>
    <cellStyle name="_방동_방동_율동자연공원내 화장실 보수 및 도색공사_진해자은수량산출서(단지내)_취합_00-설계서,원가계산,내역서" xfId="258" xr:uid="{00000000-0005-0000-0000-0000F8000000}"/>
    <cellStyle name="_방동_방동_율동자연공원내 화장실 보수 및 도색공사_진해자은수량산출서(단지내)_취합_설계서-1" xfId="259" xr:uid="{00000000-0005-0000-0000-0000F9000000}"/>
    <cellStyle name="_방동_방동_율동자연공원내 화장실 보수 및 도색공사_진해자은수량산출서(단지내)_취합_설계서-1_00-설계서,원가계산,내역서" xfId="260" xr:uid="{00000000-0005-0000-0000-0000FA000000}"/>
    <cellStyle name="_방동_방동_율동자연공원내 휴게편의점 도색작업-할증-천정면적추가" xfId="261" xr:uid="{00000000-0005-0000-0000-0000FB000000}"/>
    <cellStyle name="_방동_방동_율동자연공원내 휴게편의점 도색작업-할증-천정면적추가_00-설계서,원가계산,내역서" xfId="262" xr:uid="{00000000-0005-0000-0000-0000FC000000}"/>
    <cellStyle name="_방동_방동_율동자연공원내 휴게편의점 도색작업-할증-천정면적추가_내역서-최종0223" xfId="263" xr:uid="{00000000-0005-0000-0000-0000FD000000}"/>
    <cellStyle name="_방동_방동_율동자연공원내 휴게편의점 도색작업-할증-천정면적추가_내역서-최종0223_00-설계서,원가계산,내역서" xfId="264" xr:uid="{00000000-0005-0000-0000-0000FE000000}"/>
    <cellStyle name="_방동_방동_율동자연공원내 휴게편의점 도색작업-할증-천정면적추가_내역서-최종0223_설계서-1" xfId="265" xr:uid="{00000000-0005-0000-0000-0000FF000000}"/>
    <cellStyle name="_방동_방동_율동자연공원내 휴게편의점 도색작업-할증-천정면적추가_내역서-최종0223_설계서-1_00-설계서,원가계산,내역서" xfId="266" xr:uid="{00000000-0005-0000-0000-000000010000}"/>
    <cellStyle name="_방동_방동_율동자연공원내 휴게편의점 도색작업-할증-천정면적추가_내역서-최종0223_진해자은수량산출서(단지내)" xfId="267" xr:uid="{00000000-0005-0000-0000-000001010000}"/>
    <cellStyle name="_방동_방동_율동자연공원내 휴게편의점 도색작업-할증-천정면적추가_내역서-최종0223_진해자은수량산출서(단지내)_00-설계서,원가계산,내역서" xfId="268" xr:uid="{00000000-0005-0000-0000-000002010000}"/>
    <cellStyle name="_방동_방동_율동자연공원내 휴게편의점 도색작업-할증-천정면적추가_내역서-최종0223_진해자은수량산출서(단지내)_기초산출표-56-128-최종" xfId="269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70" xr:uid="{00000000-0005-0000-0000-000004010000}"/>
    <cellStyle name="_방동_방동_율동자연공원내 휴게편의점 도색작업-할증-천정면적추가_내역서-최종0223_진해자은수량산출서(단지내)_기초산출표-56-128-최종_설계서-1" xfId="271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72" xr:uid="{00000000-0005-0000-0000-000006010000}"/>
    <cellStyle name="_방동_방동_율동자연공원내 휴게편의점 도색작업-할증-천정면적추가_내역서-최종0223_진해자은수량산출서(단지내)_설계서-1" xfId="273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74" xr:uid="{00000000-0005-0000-0000-000008010000}"/>
    <cellStyle name="_방동_방동_율동자연공원내 휴게편의점 도색작업-할증-천정면적추가_내역서-최종0223_진해자은수량산출서(단지내)_취합" xfId="275" xr:uid="{00000000-0005-0000-0000-000009010000}"/>
    <cellStyle name="_방동_방동_율동자연공원내 휴게편의점 도색작업-할증-천정면적추가_내역서-최종0223_진해자은수량산출서(단지내)_취합_00-설계서,원가계산,내역서" xfId="276" xr:uid="{00000000-0005-0000-0000-00000A010000}"/>
    <cellStyle name="_방동_방동_율동자연공원내 휴게편의점 도색작업-할증-천정면적추가_내역서-최종0223_진해자은수량산출서(단지내)_취합_설계서-1" xfId="277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78" xr:uid="{00000000-0005-0000-0000-00000C010000}"/>
    <cellStyle name="_방동_방동_율동자연공원내 휴게편의점 도색작업-할증-천정면적추가_설계서-1" xfId="279" xr:uid="{00000000-0005-0000-0000-00000D010000}"/>
    <cellStyle name="_방동_방동_율동자연공원내 휴게편의점 도색작업-할증-천정면적추가_설계서-1_00-설계서,원가계산,내역서" xfId="280" xr:uid="{00000000-0005-0000-0000-00000E010000}"/>
    <cellStyle name="_방동_방동_율동자연공원내 휴게편의점 도색작업-할증-천정면적추가_진해자은수량산출서(단지내)" xfId="281" xr:uid="{00000000-0005-0000-0000-00000F010000}"/>
    <cellStyle name="_방동_방동_율동자연공원내 휴게편의점 도색작업-할증-천정면적추가_진해자은수량산출서(단지내)_00-설계서,원가계산,내역서" xfId="282" xr:uid="{00000000-0005-0000-0000-000010010000}"/>
    <cellStyle name="_방동_방동_율동자연공원내 휴게편의점 도색작업-할증-천정면적추가_진해자은수량산출서(단지내)_기초산출표-56-128-최종" xfId="283" xr:uid="{00000000-0005-0000-0000-000011010000}"/>
    <cellStyle name="_방동_방동_율동자연공원내 휴게편의점 도색작업-할증-천정면적추가_진해자은수량산출서(단지내)_기초산출표-56-128-최종_00-설계서,원가계산,내역서" xfId="284" xr:uid="{00000000-0005-0000-0000-000012010000}"/>
    <cellStyle name="_방동_방동_율동자연공원내 휴게편의점 도색작업-할증-천정면적추가_진해자은수량산출서(단지내)_기초산출표-56-128-최종_설계서-1" xfId="285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86" xr:uid="{00000000-0005-0000-0000-000014010000}"/>
    <cellStyle name="_방동_방동_율동자연공원내 휴게편의점 도색작업-할증-천정면적추가_진해자은수량산출서(단지내)_설계서-1" xfId="287" xr:uid="{00000000-0005-0000-0000-000015010000}"/>
    <cellStyle name="_방동_방동_율동자연공원내 휴게편의점 도색작업-할증-천정면적추가_진해자은수량산출서(단지내)_설계서-1_00-설계서,원가계산,내역서" xfId="288" xr:uid="{00000000-0005-0000-0000-000016010000}"/>
    <cellStyle name="_방동_방동_율동자연공원내 휴게편의점 도색작업-할증-천정면적추가_진해자은수량산출서(단지내)_취합" xfId="289" xr:uid="{00000000-0005-0000-0000-000017010000}"/>
    <cellStyle name="_방동_방동_율동자연공원내 휴게편의점 도색작업-할증-천정면적추가_진해자은수량산출서(단지내)_취합_00-설계서,원가계산,내역서" xfId="290" xr:uid="{00000000-0005-0000-0000-000018010000}"/>
    <cellStyle name="_방동_방동_율동자연공원내 휴게편의점 도색작업-할증-천정면적추가_진해자은수량산출서(단지내)_취합_설계서-1" xfId="291" xr:uid="{00000000-0005-0000-0000-000019010000}"/>
    <cellStyle name="_방동_방동_율동자연공원내 휴게편의점 도색작업-할증-천정면적추가_진해자은수량산출서(단지내)_취합_설계서-1_00-설계서,원가계산,내역서" xfId="292" xr:uid="{00000000-0005-0000-0000-00001A010000}"/>
    <cellStyle name="_방동_방동_이문동구간중랑천변녹화사업(수량산출서, 071127)-최종" xfId="293" xr:uid="{00000000-0005-0000-0000-00001B010000}"/>
    <cellStyle name="_방동_방동_이문동구간중랑천변녹화사업(수량산출서, 071127)-최종_00-설계서,원가계산,내역서" xfId="294" xr:uid="{00000000-0005-0000-0000-00001C010000}"/>
    <cellStyle name="_방동_방동_진해자은수량산출서(단지내)" xfId="295" xr:uid="{00000000-0005-0000-0000-00001D010000}"/>
    <cellStyle name="_방동_방동_진해자은수량산출서(단지내)_00-설계서,원가계산,내역서" xfId="296" xr:uid="{00000000-0005-0000-0000-00001E010000}"/>
    <cellStyle name="_방동_방동_진해자은수량산출서(단지내)_기초산출표-56-128-최종" xfId="297" xr:uid="{00000000-0005-0000-0000-00001F010000}"/>
    <cellStyle name="_방동_방동_진해자은수량산출서(단지내)_기초산출표-56-128-최종_00-설계서,원가계산,내역서" xfId="298" xr:uid="{00000000-0005-0000-0000-000020010000}"/>
    <cellStyle name="_방동_방동_진해자은수량산출서(단지내)_기초산출표-56-128-최종_설계서-1" xfId="299" xr:uid="{00000000-0005-0000-0000-000021010000}"/>
    <cellStyle name="_방동_방동_진해자은수량산출서(단지내)_기초산출표-56-128-최종_설계서-1_00-설계서,원가계산,내역서" xfId="300" xr:uid="{00000000-0005-0000-0000-000022010000}"/>
    <cellStyle name="_방동_방동_진해자은수량산출서(단지내)_설계서-1" xfId="301" xr:uid="{00000000-0005-0000-0000-000023010000}"/>
    <cellStyle name="_방동_방동_진해자은수량산출서(단지내)_설계서-1_00-설계서,원가계산,내역서" xfId="302" xr:uid="{00000000-0005-0000-0000-000024010000}"/>
    <cellStyle name="_방동_방동_진해자은수량산출서(단지내)_취합" xfId="303" xr:uid="{00000000-0005-0000-0000-000025010000}"/>
    <cellStyle name="_방동_방동_진해자은수량산출서(단지내)_취합_00-설계서,원가계산,내역서" xfId="304" xr:uid="{00000000-0005-0000-0000-000026010000}"/>
    <cellStyle name="_방동_방동_진해자은수량산출서(단지내)_취합_설계서-1" xfId="305" xr:uid="{00000000-0005-0000-0000-000027010000}"/>
    <cellStyle name="_방동_방동_진해자은수량산출서(단지내)_취합_설계서-1_00-설계서,원가계산,내역서" xfId="306" xr:uid="{00000000-0005-0000-0000-000028010000}"/>
    <cellStyle name="_방동_방동_포장" xfId="307" xr:uid="{00000000-0005-0000-0000-000029010000}"/>
    <cellStyle name="_방동_방동_포장_00-설계서,원가계산,내역서" xfId="308" xr:uid="{00000000-0005-0000-0000-00002A010000}"/>
    <cellStyle name="_방동_방동_포장_라멘교 토공" xfId="309" xr:uid="{00000000-0005-0000-0000-00002B010000}"/>
    <cellStyle name="_방동_방동_포장_라멘교 토공_00-설계서,원가계산,내역서" xfId="310" xr:uid="{00000000-0005-0000-0000-00002C010000}"/>
    <cellStyle name="_방동_산양2리지구" xfId="311" xr:uid="{00000000-0005-0000-0000-00002D010000}"/>
    <cellStyle name="_방동_산양2리지구_00-설계서,원가계산,내역서" xfId="312" xr:uid="{00000000-0005-0000-0000-00002E010000}"/>
    <cellStyle name="_방동_산양2리지구_라멘교 토공" xfId="313" xr:uid="{00000000-0005-0000-0000-00002F010000}"/>
    <cellStyle name="_방동_산양2리지구_라멘교 토공_00-설계서,원가계산,내역서" xfId="314" xr:uid="{00000000-0005-0000-0000-000030010000}"/>
    <cellStyle name="_방동_산양2리지구_포장" xfId="315" xr:uid="{00000000-0005-0000-0000-000031010000}"/>
    <cellStyle name="_방동_산양2리지구_포장_00-설계서,원가계산,내역서" xfId="316" xr:uid="{00000000-0005-0000-0000-000032010000}"/>
    <cellStyle name="_방동_산양2리지구_포장_라멘교 토공" xfId="317" xr:uid="{00000000-0005-0000-0000-000033010000}"/>
    <cellStyle name="_방동_산양2리지구_포장_라멘교 토공_00-설계서,원가계산,내역서" xfId="318" xr:uid="{00000000-0005-0000-0000-000034010000}"/>
    <cellStyle name="_방동_산양리지구" xfId="319" xr:uid="{00000000-0005-0000-0000-000035010000}"/>
    <cellStyle name="_방동_산양리지구_00-설계서,원가계산,내역서" xfId="320" xr:uid="{00000000-0005-0000-0000-000036010000}"/>
    <cellStyle name="_방동_산양리지구_내역서-최종0223" xfId="321" xr:uid="{00000000-0005-0000-0000-000037010000}"/>
    <cellStyle name="_방동_산양리지구_내역서-최종0223_00-설계서,원가계산,내역서" xfId="322" xr:uid="{00000000-0005-0000-0000-000038010000}"/>
    <cellStyle name="_방동_산양리지구_내역서-최종0223_설계서-1" xfId="323" xr:uid="{00000000-0005-0000-0000-000039010000}"/>
    <cellStyle name="_방동_산양리지구_내역서-최종0223_설계서-1_00-설계서,원가계산,내역서" xfId="324" xr:uid="{00000000-0005-0000-0000-00003A010000}"/>
    <cellStyle name="_방동_산양리지구_내역서-최종0223_진해자은수량산출서(단지내)" xfId="325" xr:uid="{00000000-0005-0000-0000-00003B010000}"/>
    <cellStyle name="_방동_산양리지구_내역서-최종0223_진해자은수량산출서(단지내)_00-설계서,원가계산,내역서" xfId="326" xr:uid="{00000000-0005-0000-0000-00003C010000}"/>
    <cellStyle name="_방동_산양리지구_내역서-최종0223_진해자은수량산출서(단지내)_기초산출표-56-128-최종" xfId="327" xr:uid="{00000000-0005-0000-0000-00003D010000}"/>
    <cellStyle name="_방동_산양리지구_내역서-최종0223_진해자은수량산출서(단지내)_기초산출표-56-128-최종_00-설계서,원가계산,내역서" xfId="328" xr:uid="{00000000-0005-0000-0000-00003E010000}"/>
    <cellStyle name="_방동_산양리지구_내역서-최종0223_진해자은수량산출서(단지내)_기초산출표-56-128-최종_설계서-1" xfId="329" xr:uid="{00000000-0005-0000-0000-00003F010000}"/>
    <cellStyle name="_방동_산양리지구_내역서-최종0223_진해자은수량산출서(단지내)_기초산출표-56-128-최종_설계서-1_00-설계서,원가계산,내역서" xfId="330" xr:uid="{00000000-0005-0000-0000-000040010000}"/>
    <cellStyle name="_방동_산양리지구_내역서-최종0223_진해자은수량산출서(단지내)_설계서-1" xfId="331" xr:uid="{00000000-0005-0000-0000-000041010000}"/>
    <cellStyle name="_방동_산양리지구_내역서-최종0223_진해자은수량산출서(단지내)_설계서-1_00-설계서,원가계산,내역서" xfId="332" xr:uid="{00000000-0005-0000-0000-000042010000}"/>
    <cellStyle name="_방동_산양리지구_내역서-최종0223_진해자은수량산출서(단지내)_취합" xfId="333" xr:uid="{00000000-0005-0000-0000-000043010000}"/>
    <cellStyle name="_방동_산양리지구_내역서-최종0223_진해자은수량산출서(단지내)_취합_00-설계서,원가계산,내역서" xfId="334" xr:uid="{00000000-0005-0000-0000-000044010000}"/>
    <cellStyle name="_방동_산양리지구_내역서-최종0223_진해자은수량산출서(단지내)_취합_설계서-1" xfId="335" xr:uid="{00000000-0005-0000-0000-000045010000}"/>
    <cellStyle name="_방동_산양리지구_내역서-최종0223_진해자은수량산출서(단지내)_취합_설계서-1_00-설계서,원가계산,내역서" xfId="336" xr:uid="{00000000-0005-0000-0000-000046010000}"/>
    <cellStyle name="_방동_산양리지구_라멘교 토공" xfId="337" xr:uid="{00000000-0005-0000-0000-000047010000}"/>
    <cellStyle name="_방동_산양리지구_라멘교 토공_00-설계서,원가계산,내역서" xfId="338" xr:uid="{00000000-0005-0000-0000-000048010000}"/>
    <cellStyle name="_방동_산양리지구_설계서-1" xfId="339" xr:uid="{00000000-0005-0000-0000-000049010000}"/>
    <cellStyle name="_방동_산양리지구_설계서-1_00-설계서,원가계산,내역서" xfId="340" xr:uid="{00000000-0005-0000-0000-00004A010000}"/>
    <cellStyle name="_방동_산양리지구_율동자연공원내 화장실 보수 및 도색공사" xfId="341" xr:uid="{00000000-0005-0000-0000-00004B010000}"/>
    <cellStyle name="_방동_산양리지구_율동자연공원내 화장실 보수 및 도색공사_00-설계서,원가계산,내역서" xfId="342" xr:uid="{00000000-0005-0000-0000-00004C010000}"/>
    <cellStyle name="_방동_산양리지구_율동자연공원내 화장실 보수 및 도색공사_내역서-최종0223" xfId="343" xr:uid="{00000000-0005-0000-0000-00004D010000}"/>
    <cellStyle name="_방동_산양리지구_율동자연공원내 화장실 보수 및 도색공사_내역서-최종0223_00-설계서,원가계산,내역서" xfId="344" xr:uid="{00000000-0005-0000-0000-00004E010000}"/>
    <cellStyle name="_방동_산양리지구_율동자연공원내 화장실 보수 및 도색공사_내역서-최종0223_설계서-1" xfId="345" xr:uid="{00000000-0005-0000-0000-00004F010000}"/>
    <cellStyle name="_방동_산양리지구_율동자연공원내 화장실 보수 및 도색공사_내역서-최종0223_설계서-1_00-설계서,원가계산,내역서" xfId="346" xr:uid="{00000000-0005-0000-0000-000050010000}"/>
    <cellStyle name="_방동_산양리지구_율동자연공원내 화장실 보수 및 도색공사_내역서-최종0223_진해자은수량산출서(단지내)" xfId="347" xr:uid="{00000000-0005-0000-0000-000051010000}"/>
    <cellStyle name="_방동_산양리지구_율동자연공원내 화장실 보수 및 도색공사_내역서-최종0223_진해자은수량산출서(단지내)_00-설계서,원가계산,내역서" xfId="348" xr:uid="{00000000-0005-0000-0000-000052010000}"/>
    <cellStyle name="_방동_산양리지구_율동자연공원내 화장실 보수 및 도색공사_내역서-최종0223_진해자은수량산출서(단지내)_기초산출표-56-128-최종" xfId="349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50" xr:uid="{00000000-0005-0000-0000-000054010000}"/>
    <cellStyle name="_방동_산양리지구_율동자연공원내 화장실 보수 및 도색공사_내역서-최종0223_진해자은수량산출서(단지내)_기초산출표-56-128-최종_설계서-1" xfId="351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52" xr:uid="{00000000-0005-0000-0000-000056010000}"/>
    <cellStyle name="_방동_산양리지구_율동자연공원내 화장실 보수 및 도색공사_내역서-최종0223_진해자은수량산출서(단지내)_설계서-1" xfId="353" xr:uid="{00000000-0005-0000-0000-000057010000}"/>
    <cellStyle name="_방동_산양리지구_율동자연공원내 화장실 보수 및 도색공사_내역서-최종0223_진해자은수량산출서(단지내)_설계서-1_00-설계서,원가계산,내역서" xfId="354" xr:uid="{00000000-0005-0000-0000-000058010000}"/>
    <cellStyle name="_방동_산양리지구_율동자연공원내 화장실 보수 및 도색공사_내역서-최종0223_진해자은수량산출서(단지내)_취합" xfId="355" xr:uid="{00000000-0005-0000-0000-000059010000}"/>
    <cellStyle name="_방동_산양리지구_율동자연공원내 화장실 보수 및 도색공사_내역서-최종0223_진해자은수량산출서(단지내)_취합_00-설계서,원가계산,내역서" xfId="356" xr:uid="{00000000-0005-0000-0000-00005A010000}"/>
    <cellStyle name="_방동_산양리지구_율동자연공원내 화장실 보수 및 도색공사_내역서-최종0223_진해자은수량산출서(단지내)_취합_설계서-1" xfId="357" xr:uid="{00000000-0005-0000-0000-00005B010000}"/>
    <cellStyle name="_방동_산양리지구_율동자연공원내 화장실 보수 및 도색공사_내역서-최종0223_진해자은수량산출서(단지내)_취합_설계서-1_00-설계서,원가계산,내역서" xfId="358" xr:uid="{00000000-0005-0000-0000-00005C010000}"/>
    <cellStyle name="_방동_산양리지구_율동자연공원내 화장실 보수 및 도색공사_설계서-1" xfId="359" xr:uid="{00000000-0005-0000-0000-00005D010000}"/>
    <cellStyle name="_방동_산양리지구_율동자연공원내 화장실 보수 및 도색공사_설계서-1_00-설계서,원가계산,내역서" xfId="360" xr:uid="{00000000-0005-0000-0000-00005E010000}"/>
    <cellStyle name="_방동_산양리지구_율동자연공원내 화장실 보수 및 도색공사_진해자은수량산출서(단지내)" xfId="361" xr:uid="{00000000-0005-0000-0000-00005F010000}"/>
    <cellStyle name="_방동_산양리지구_율동자연공원내 화장실 보수 및 도색공사_진해자은수량산출서(단지내)_00-설계서,원가계산,내역서" xfId="362" xr:uid="{00000000-0005-0000-0000-000060010000}"/>
    <cellStyle name="_방동_산양리지구_율동자연공원내 화장실 보수 및 도색공사_진해자은수량산출서(단지내)_기초산출표-56-128-최종" xfId="363" xr:uid="{00000000-0005-0000-0000-000061010000}"/>
    <cellStyle name="_방동_산양리지구_율동자연공원내 화장실 보수 및 도색공사_진해자은수량산출서(단지내)_기초산출표-56-128-최종_00-설계서,원가계산,내역서" xfId="364" xr:uid="{00000000-0005-0000-0000-000062010000}"/>
    <cellStyle name="_방동_산양리지구_율동자연공원내 화장실 보수 및 도색공사_진해자은수량산출서(단지내)_기초산출표-56-128-최종_설계서-1" xfId="365" xr:uid="{00000000-0005-0000-0000-000063010000}"/>
    <cellStyle name="_방동_산양리지구_율동자연공원내 화장실 보수 및 도색공사_진해자은수량산출서(단지내)_기초산출표-56-128-최종_설계서-1_00-설계서,원가계산,내역서" xfId="366" xr:uid="{00000000-0005-0000-0000-000064010000}"/>
    <cellStyle name="_방동_산양리지구_율동자연공원내 화장실 보수 및 도색공사_진해자은수량산출서(단지내)_설계서-1" xfId="367" xr:uid="{00000000-0005-0000-0000-000065010000}"/>
    <cellStyle name="_방동_산양리지구_율동자연공원내 화장실 보수 및 도색공사_진해자은수량산출서(단지내)_설계서-1_00-설계서,원가계산,내역서" xfId="368" xr:uid="{00000000-0005-0000-0000-000066010000}"/>
    <cellStyle name="_방동_산양리지구_율동자연공원내 화장실 보수 및 도색공사_진해자은수량산출서(단지내)_취합" xfId="369" xr:uid="{00000000-0005-0000-0000-000067010000}"/>
    <cellStyle name="_방동_산양리지구_율동자연공원내 화장실 보수 및 도색공사_진해자은수량산출서(단지내)_취합_00-설계서,원가계산,내역서" xfId="370" xr:uid="{00000000-0005-0000-0000-000068010000}"/>
    <cellStyle name="_방동_산양리지구_율동자연공원내 화장실 보수 및 도색공사_진해자은수량산출서(단지내)_취합_설계서-1" xfId="371" xr:uid="{00000000-0005-0000-0000-000069010000}"/>
    <cellStyle name="_방동_산양리지구_율동자연공원내 화장실 보수 및 도색공사_진해자은수량산출서(단지내)_취합_설계서-1_00-설계서,원가계산,내역서" xfId="372" xr:uid="{00000000-0005-0000-0000-00006A010000}"/>
    <cellStyle name="_방동_산양리지구_율동자연공원내 휴게편의점 도색작업-할증-천정면적추가" xfId="373" xr:uid="{00000000-0005-0000-0000-00006B010000}"/>
    <cellStyle name="_방동_산양리지구_율동자연공원내 휴게편의점 도색작업-할증-천정면적추가_00-설계서,원가계산,내역서" xfId="374" xr:uid="{00000000-0005-0000-0000-00006C010000}"/>
    <cellStyle name="_방동_산양리지구_율동자연공원내 휴게편의점 도색작업-할증-천정면적추가_내역서-최종0223" xfId="375" xr:uid="{00000000-0005-0000-0000-00006D010000}"/>
    <cellStyle name="_방동_산양리지구_율동자연공원내 휴게편의점 도색작업-할증-천정면적추가_내역서-최종0223_00-설계서,원가계산,내역서" xfId="376" xr:uid="{00000000-0005-0000-0000-00006E010000}"/>
    <cellStyle name="_방동_산양리지구_율동자연공원내 휴게편의점 도색작업-할증-천정면적추가_내역서-최종0223_설계서-1" xfId="377" xr:uid="{00000000-0005-0000-0000-00006F010000}"/>
    <cellStyle name="_방동_산양리지구_율동자연공원내 휴게편의점 도색작업-할증-천정면적추가_내역서-최종0223_설계서-1_00-설계서,원가계산,내역서" xfId="378" xr:uid="{00000000-0005-0000-0000-000070010000}"/>
    <cellStyle name="_방동_산양리지구_율동자연공원내 휴게편의점 도색작업-할증-천정면적추가_내역서-최종0223_진해자은수량산출서(단지내)" xfId="379" xr:uid="{00000000-0005-0000-0000-000071010000}"/>
    <cellStyle name="_방동_산양리지구_율동자연공원내 휴게편의점 도색작업-할증-천정면적추가_내역서-최종0223_진해자은수량산출서(단지내)_00-설계서,원가계산,내역서" xfId="380" xr:uid="{00000000-0005-0000-0000-000072010000}"/>
    <cellStyle name="_방동_산양리지구_율동자연공원내 휴게편의점 도색작업-할증-천정면적추가_내역서-최종0223_진해자은수량산출서(단지내)_기초산출표-56-128-최종" xfId="381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82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83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84" xr:uid="{00000000-0005-0000-0000-000076010000}"/>
    <cellStyle name="_방동_산양리지구_율동자연공원내 휴게편의점 도색작업-할증-천정면적추가_내역서-최종0223_진해자은수량산출서(단지내)_설계서-1" xfId="385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86" xr:uid="{00000000-0005-0000-0000-000078010000}"/>
    <cellStyle name="_방동_산양리지구_율동자연공원내 휴게편의점 도색작업-할증-천정면적추가_내역서-최종0223_진해자은수량산출서(단지내)_취합" xfId="387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88" xr:uid="{00000000-0005-0000-0000-00007A010000}"/>
    <cellStyle name="_방동_산양리지구_율동자연공원내 휴게편의점 도색작업-할증-천정면적추가_내역서-최종0223_진해자은수량산출서(단지내)_취합_설계서-1" xfId="389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90" xr:uid="{00000000-0005-0000-0000-00007C010000}"/>
    <cellStyle name="_방동_산양리지구_율동자연공원내 휴게편의점 도색작업-할증-천정면적추가_설계서-1" xfId="391" xr:uid="{00000000-0005-0000-0000-00007D010000}"/>
    <cellStyle name="_방동_산양리지구_율동자연공원내 휴게편의점 도색작업-할증-천정면적추가_설계서-1_00-설계서,원가계산,내역서" xfId="392" xr:uid="{00000000-0005-0000-0000-00007E010000}"/>
    <cellStyle name="_방동_산양리지구_율동자연공원내 휴게편의점 도색작업-할증-천정면적추가_진해자은수량산출서(단지내)" xfId="393" xr:uid="{00000000-0005-0000-0000-00007F010000}"/>
    <cellStyle name="_방동_산양리지구_율동자연공원내 휴게편의점 도색작업-할증-천정면적추가_진해자은수량산출서(단지내)_00-설계서,원가계산,내역서" xfId="394" xr:uid="{00000000-0005-0000-0000-000080010000}"/>
    <cellStyle name="_방동_산양리지구_율동자연공원내 휴게편의점 도색작업-할증-천정면적추가_진해자은수량산출서(단지내)_기초산출표-56-128-최종" xfId="395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96" xr:uid="{00000000-0005-0000-0000-000082010000}"/>
    <cellStyle name="_방동_산양리지구_율동자연공원내 휴게편의점 도색작업-할증-천정면적추가_진해자은수량산출서(단지내)_기초산출표-56-128-최종_설계서-1" xfId="397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98" xr:uid="{00000000-0005-0000-0000-000084010000}"/>
    <cellStyle name="_방동_산양리지구_율동자연공원내 휴게편의점 도색작업-할증-천정면적추가_진해자은수량산출서(단지내)_설계서-1" xfId="399" xr:uid="{00000000-0005-0000-0000-000085010000}"/>
    <cellStyle name="_방동_산양리지구_율동자연공원내 휴게편의점 도색작업-할증-천정면적추가_진해자은수량산출서(단지내)_설계서-1_00-설계서,원가계산,내역서" xfId="400" xr:uid="{00000000-0005-0000-0000-000086010000}"/>
    <cellStyle name="_방동_산양리지구_율동자연공원내 휴게편의점 도색작업-할증-천정면적추가_진해자은수량산출서(단지내)_취합" xfId="401" xr:uid="{00000000-0005-0000-0000-000087010000}"/>
    <cellStyle name="_방동_산양리지구_율동자연공원내 휴게편의점 도색작업-할증-천정면적추가_진해자은수량산출서(단지내)_취합_00-설계서,원가계산,내역서" xfId="402" xr:uid="{00000000-0005-0000-0000-000088010000}"/>
    <cellStyle name="_방동_산양리지구_율동자연공원내 휴게편의점 도색작업-할증-천정면적추가_진해자은수량산출서(단지내)_취합_설계서-1" xfId="403" xr:uid="{00000000-0005-0000-0000-000089010000}"/>
    <cellStyle name="_방동_산양리지구_율동자연공원내 휴게편의점 도색작업-할증-천정면적추가_진해자은수량산출서(단지내)_취합_설계서-1_00-설계서,원가계산,내역서" xfId="404" xr:uid="{00000000-0005-0000-0000-00008A010000}"/>
    <cellStyle name="_방동_산양리지구_이문동구간중랑천변녹화사업(수량산출서, 071127)-최종" xfId="405" xr:uid="{00000000-0005-0000-0000-00008B010000}"/>
    <cellStyle name="_방동_산양리지구_이문동구간중랑천변녹화사업(수량산출서, 071127)-최종_00-설계서,원가계산,내역서" xfId="406" xr:uid="{00000000-0005-0000-0000-00008C010000}"/>
    <cellStyle name="_방동_산양리지구_진해자은수량산출서(단지내)" xfId="407" xr:uid="{00000000-0005-0000-0000-00008D010000}"/>
    <cellStyle name="_방동_산양리지구_진해자은수량산출서(단지내)_00-설계서,원가계산,내역서" xfId="408" xr:uid="{00000000-0005-0000-0000-00008E010000}"/>
    <cellStyle name="_방동_산양리지구_진해자은수량산출서(단지내)_기초산출표-56-128-최종" xfId="409" xr:uid="{00000000-0005-0000-0000-00008F010000}"/>
    <cellStyle name="_방동_산양리지구_진해자은수량산출서(단지내)_기초산출표-56-128-최종_00-설계서,원가계산,내역서" xfId="410" xr:uid="{00000000-0005-0000-0000-000090010000}"/>
    <cellStyle name="_방동_산양리지구_진해자은수량산출서(단지내)_기초산출표-56-128-최종_설계서-1" xfId="411" xr:uid="{00000000-0005-0000-0000-000091010000}"/>
    <cellStyle name="_방동_산양리지구_진해자은수량산출서(단지내)_기초산출표-56-128-최종_설계서-1_00-설계서,원가계산,내역서" xfId="412" xr:uid="{00000000-0005-0000-0000-000092010000}"/>
    <cellStyle name="_방동_산양리지구_진해자은수량산출서(단지내)_설계서-1" xfId="413" xr:uid="{00000000-0005-0000-0000-000093010000}"/>
    <cellStyle name="_방동_산양리지구_진해자은수량산출서(단지내)_설계서-1_00-설계서,원가계산,내역서" xfId="414" xr:uid="{00000000-0005-0000-0000-000094010000}"/>
    <cellStyle name="_방동_산양리지구_진해자은수량산출서(단지내)_취합" xfId="415" xr:uid="{00000000-0005-0000-0000-000095010000}"/>
    <cellStyle name="_방동_산양리지구_진해자은수량산출서(단지내)_취합_00-설계서,원가계산,내역서" xfId="416" xr:uid="{00000000-0005-0000-0000-000096010000}"/>
    <cellStyle name="_방동_산양리지구_진해자은수량산출서(단지내)_취합_설계서-1" xfId="417" xr:uid="{00000000-0005-0000-0000-000097010000}"/>
    <cellStyle name="_방동_산양리지구_진해자은수량산출서(단지내)_취합_설계서-1_00-설계서,원가계산,내역서" xfId="418" xr:uid="{00000000-0005-0000-0000-000098010000}"/>
    <cellStyle name="_방동_산양리지구_포장" xfId="419" xr:uid="{00000000-0005-0000-0000-000099010000}"/>
    <cellStyle name="_방동_산양리지구_포장_00-설계서,원가계산,내역서" xfId="420" xr:uid="{00000000-0005-0000-0000-00009A010000}"/>
    <cellStyle name="_방동_산양리지구_포장_라멘교 토공" xfId="421" xr:uid="{00000000-0005-0000-0000-00009B010000}"/>
    <cellStyle name="_방동_산양리지구_포장_라멘교 토공_00-설계서,원가계산,내역서" xfId="422" xr:uid="{00000000-0005-0000-0000-00009C010000}"/>
    <cellStyle name="_방동_서상2리" xfId="423" xr:uid="{00000000-0005-0000-0000-00009D010000}"/>
    <cellStyle name="_방동_서상2리_00-설계서,원가계산,내역서" xfId="424" xr:uid="{00000000-0005-0000-0000-00009E010000}"/>
    <cellStyle name="_방동_서상2리_내역서-최종0223" xfId="425" xr:uid="{00000000-0005-0000-0000-00009F010000}"/>
    <cellStyle name="_방동_서상2리_내역서-최종0223_00-설계서,원가계산,내역서" xfId="426" xr:uid="{00000000-0005-0000-0000-0000A0010000}"/>
    <cellStyle name="_방동_서상2리_내역서-최종0223_설계서-1" xfId="427" xr:uid="{00000000-0005-0000-0000-0000A1010000}"/>
    <cellStyle name="_방동_서상2리_내역서-최종0223_설계서-1_00-설계서,원가계산,내역서" xfId="428" xr:uid="{00000000-0005-0000-0000-0000A2010000}"/>
    <cellStyle name="_방동_서상2리_내역서-최종0223_진해자은수량산출서(단지내)" xfId="429" xr:uid="{00000000-0005-0000-0000-0000A3010000}"/>
    <cellStyle name="_방동_서상2리_내역서-최종0223_진해자은수량산출서(단지내)_00-설계서,원가계산,내역서" xfId="430" xr:uid="{00000000-0005-0000-0000-0000A4010000}"/>
    <cellStyle name="_방동_서상2리_내역서-최종0223_진해자은수량산출서(단지내)_기초산출표-56-128-최종" xfId="431" xr:uid="{00000000-0005-0000-0000-0000A5010000}"/>
    <cellStyle name="_방동_서상2리_내역서-최종0223_진해자은수량산출서(단지내)_기초산출표-56-128-최종_00-설계서,원가계산,내역서" xfId="432" xr:uid="{00000000-0005-0000-0000-0000A6010000}"/>
    <cellStyle name="_방동_서상2리_내역서-최종0223_진해자은수량산출서(단지내)_기초산출표-56-128-최종_설계서-1" xfId="433" xr:uid="{00000000-0005-0000-0000-0000A7010000}"/>
    <cellStyle name="_방동_서상2리_내역서-최종0223_진해자은수량산출서(단지내)_기초산출표-56-128-최종_설계서-1_00-설계서,원가계산,내역서" xfId="434" xr:uid="{00000000-0005-0000-0000-0000A8010000}"/>
    <cellStyle name="_방동_서상2리_내역서-최종0223_진해자은수량산출서(단지내)_설계서-1" xfId="435" xr:uid="{00000000-0005-0000-0000-0000A9010000}"/>
    <cellStyle name="_방동_서상2리_내역서-최종0223_진해자은수량산출서(단지내)_설계서-1_00-설계서,원가계산,내역서" xfId="436" xr:uid="{00000000-0005-0000-0000-0000AA010000}"/>
    <cellStyle name="_방동_서상2리_내역서-최종0223_진해자은수량산출서(단지내)_취합" xfId="437" xr:uid="{00000000-0005-0000-0000-0000AB010000}"/>
    <cellStyle name="_방동_서상2리_내역서-최종0223_진해자은수량산출서(단지내)_취합_00-설계서,원가계산,내역서" xfId="438" xr:uid="{00000000-0005-0000-0000-0000AC010000}"/>
    <cellStyle name="_방동_서상2리_내역서-최종0223_진해자은수량산출서(단지내)_취합_설계서-1" xfId="439" xr:uid="{00000000-0005-0000-0000-0000AD010000}"/>
    <cellStyle name="_방동_서상2리_내역서-최종0223_진해자은수량산출서(단지내)_취합_설계서-1_00-설계서,원가계산,내역서" xfId="440" xr:uid="{00000000-0005-0000-0000-0000AE010000}"/>
    <cellStyle name="_방동_서상2리_라멘교 토공" xfId="441" xr:uid="{00000000-0005-0000-0000-0000AF010000}"/>
    <cellStyle name="_방동_서상2리_라멘교 토공_00-설계서,원가계산,내역서" xfId="442" xr:uid="{00000000-0005-0000-0000-0000B0010000}"/>
    <cellStyle name="_방동_서상2리_설계서-1" xfId="443" xr:uid="{00000000-0005-0000-0000-0000B1010000}"/>
    <cellStyle name="_방동_서상2리_설계서-1_00-설계서,원가계산,내역서" xfId="444" xr:uid="{00000000-0005-0000-0000-0000B2010000}"/>
    <cellStyle name="_방동_서상2리_율동자연공원내 화장실 보수 및 도색공사" xfId="445" xr:uid="{00000000-0005-0000-0000-0000B3010000}"/>
    <cellStyle name="_방동_서상2리_율동자연공원내 화장실 보수 및 도색공사_00-설계서,원가계산,내역서" xfId="446" xr:uid="{00000000-0005-0000-0000-0000B4010000}"/>
    <cellStyle name="_방동_서상2리_율동자연공원내 화장실 보수 및 도색공사_내역서-최종0223" xfId="447" xr:uid="{00000000-0005-0000-0000-0000B5010000}"/>
    <cellStyle name="_방동_서상2리_율동자연공원내 화장실 보수 및 도색공사_내역서-최종0223_00-설계서,원가계산,내역서" xfId="448" xr:uid="{00000000-0005-0000-0000-0000B6010000}"/>
    <cellStyle name="_방동_서상2리_율동자연공원내 화장실 보수 및 도색공사_내역서-최종0223_설계서-1" xfId="449" xr:uid="{00000000-0005-0000-0000-0000B7010000}"/>
    <cellStyle name="_방동_서상2리_율동자연공원내 화장실 보수 및 도색공사_내역서-최종0223_설계서-1_00-설계서,원가계산,내역서" xfId="450" xr:uid="{00000000-0005-0000-0000-0000B8010000}"/>
    <cellStyle name="_방동_서상2리_율동자연공원내 화장실 보수 및 도색공사_내역서-최종0223_진해자은수량산출서(단지내)" xfId="451" xr:uid="{00000000-0005-0000-0000-0000B9010000}"/>
    <cellStyle name="_방동_서상2리_율동자연공원내 화장실 보수 및 도색공사_내역서-최종0223_진해자은수량산출서(단지내)_00-설계서,원가계산,내역서" xfId="452" xr:uid="{00000000-0005-0000-0000-0000BA010000}"/>
    <cellStyle name="_방동_서상2리_율동자연공원내 화장실 보수 및 도색공사_내역서-최종0223_진해자은수량산출서(단지내)_기초산출표-56-128-최종" xfId="453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54" xr:uid="{00000000-0005-0000-0000-0000BC010000}"/>
    <cellStyle name="_방동_서상2리_율동자연공원내 화장실 보수 및 도색공사_내역서-최종0223_진해자은수량산출서(단지내)_기초산출표-56-128-최종_설계서-1" xfId="455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56" xr:uid="{00000000-0005-0000-0000-0000BE010000}"/>
    <cellStyle name="_방동_서상2리_율동자연공원내 화장실 보수 및 도색공사_내역서-최종0223_진해자은수량산출서(단지내)_설계서-1" xfId="457" xr:uid="{00000000-0005-0000-0000-0000BF010000}"/>
    <cellStyle name="_방동_서상2리_율동자연공원내 화장실 보수 및 도색공사_내역서-최종0223_진해자은수량산출서(단지내)_설계서-1_00-설계서,원가계산,내역서" xfId="458" xr:uid="{00000000-0005-0000-0000-0000C0010000}"/>
    <cellStyle name="_방동_서상2리_율동자연공원내 화장실 보수 및 도색공사_내역서-최종0223_진해자은수량산출서(단지내)_취합" xfId="459" xr:uid="{00000000-0005-0000-0000-0000C1010000}"/>
    <cellStyle name="_방동_서상2리_율동자연공원내 화장실 보수 및 도색공사_내역서-최종0223_진해자은수량산출서(단지내)_취합_00-설계서,원가계산,내역서" xfId="460" xr:uid="{00000000-0005-0000-0000-0000C2010000}"/>
    <cellStyle name="_방동_서상2리_율동자연공원내 화장실 보수 및 도색공사_내역서-최종0223_진해자은수량산출서(단지내)_취합_설계서-1" xfId="461" xr:uid="{00000000-0005-0000-0000-0000C3010000}"/>
    <cellStyle name="_방동_서상2리_율동자연공원내 화장실 보수 및 도색공사_내역서-최종0223_진해자은수량산출서(단지내)_취합_설계서-1_00-설계서,원가계산,내역서" xfId="462" xr:uid="{00000000-0005-0000-0000-0000C4010000}"/>
    <cellStyle name="_방동_서상2리_율동자연공원내 화장실 보수 및 도색공사_설계서-1" xfId="463" xr:uid="{00000000-0005-0000-0000-0000C5010000}"/>
    <cellStyle name="_방동_서상2리_율동자연공원내 화장실 보수 및 도색공사_설계서-1_00-설계서,원가계산,내역서" xfId="464" xr:uid="{00000000-0005-0000-0000-0000C6010000}"/>
    <cellStyle name="_방동_서상2리_율동자연공원내 화장실 보수 및 도색공사_진해자은수량산출서(단지내)" xfId="465" xr:uid="{00000000-0005-0000-0000-0000C7010000}"/>
    <cellStyle name="_방동_서상2리_율동자연공원내 화장실 보수 및 도색공사_진해자은수량산출서(단지내)_00-설계서,원가계산,내역서" xfId="466" xr:uid="{00000000-0005-0000-0000-0000C8010000}"/>
    <cellStyle name="_방동_서상2리_율동자연공원내 화장실 보수 및 도색공사_진해자은수량산출서(단지내)_기초산출표-56-128-최종" xfId="467" xr:uid="{00000000-0005-0000-0000-0000C9010000}"/>
    <cellStyle name="_방동_서상2리_율동자연공원내 화장실 보수 및 도색공사_진해자은수량산출서(단지내)_기초산출표-56-128-최종_00-설계서,원가계산,내역서" xfId="468" xr:uid="{00000000-0005-0000-0000-0000CA010000}"/>
    <cellStyle name="_방동_서상2리_율동자연공원내 화장실 보수 및 도색공사_진해자은수량산출서(단지내)_기초산출표-56-128-최종_설계서-1" xfId="469" xr:uid="{00000000-0005-0000-0000-0000CB010000}"/>
    <cellStyle name="_방동_서상2리_율동자연공원내 화장실 보수 및 도색공사_진해자은수량산출서(단지내)_기초산출표-56-128-최종_설계서-1_00-설계서,원가계산,내역서" xfId="470" xr:uid="{00000000-0005-0000-0000-0000CC010000}"/>
    <cellStyle name="_방동_서상2리_율동자연공원내 화장실 보수 및 도색공사_진해자은수량산출서(단지내)_설계서-1" xfId="471" xr:uid="{00000000-0005-0000-0000-0000CD010000}"/>
    <cellStyle name="_방동_서상2리_율동자연공원내 화장실 보수 및 도색공사_진해자은수량산출서(단지내)_설계서-1_00-설계서,원가계산,내역서" xfId="472" xr:uid="{00000000-0005-0000-0000-0000CE010000}"/>
    <cellStyle name="_방동_서상2리_율동자연공원내 화장실 보수 및 도색공사_진해자은수량산출서(단지내)_취합" xfId="473" xr:uid="{00000000-0005-0000-0000-0000CF010000}"/>
    <cellStyle name="_방동_서상2리_율동자연공원내 화장실 보수 및 도색공사_진해자은수량산출서(단지내)_취합_00-설계서,원가계산,내역서" xfId="474" xr:uid="{00000000-0005-0000-0000-0000D0010000}"/>
    <cellStyle name="_방동_서상2리_율동자연공원내 화장실 보수 및 도색공사_진해자은수량산출서(단지내)_취합_설계서-1" xfId="475" xr:uid="{00000000-0005-0000-0000-0000D1010000}"/>
    <cellStyle name="_방동_서상2리_율동자연공원내 화장실 보수 및 도색공사_진해자은수량산출서(단지내)_취합_설계서-1_00-설계서,원가계산,내역서" xfId="476" xr:uid="{00000000-0005-0000-0000-0000D2010000}"/>
    <cellStyle name="_방동_서상2리_율동자연공원내 휴게편의점 도색작업-할증-천정면적추가" xfId="477" xr:uid="{00000000-0005-0000-0000-0000D3010000}"/>
    <cellStyle name="_방동_서상2리_율동자연공원내 휴게편의점 도색작업-할증-천정면적추가_00-설계서,원가계산,내역서" xfId="478" xr:uid="{00000000-0005-0000-0000-0000D4010000}"/>
    <cellStyle name="_방동_서상2리_율동자연공원내 휴게편의점 도색작업-할증-천정면적추가_내역서-최종0223" xfId="479" xr:uid="{00000000-0005-0000-0000-0000D5010000}"/>
    <cellStyle name="_방동_서상2리_율동자연공원내 휴게편의점 도색작업-할증-천정면적추가_내역서-최종0223_00-설계서,원가계산,내역서" xfId="480" xr:uid="{00000000-0005-0000-0000-0000D6010000}"/>
    <cellStyle name="_방동_서상2리_율동자연공원내 휴게편의점 도색작업-할증-천정면적추가_내역서-최종0223_설계서-1" xfId="481" xr:uid="{00000000-0005-0000-0000-0000D7010000}"/>
    <cellStyle name="_방동_서상2리_율동자연공원내 휴게편의점 도색작업-할증-천정면적추가_내역서-최종0223_설계서-1_00-설계서,원가계산,내역서" xfId="482" xr:uid="{00000000-0005-0000-0000-0000D8010000}"/>
    <cellStyle name="_방동_서상2리_율동자연공원내 휴게편의점 도색작업-할증-천정면적추가_내역서-최종0223_진해자은수량산출서(단지내)" xfId="483" xr:uid="{00000000-0005-0000-0000-0000D9010000}"/>
    <cellStyle name="_방동_서상2리_율동자연공원내 휴게편의점 도색작업-할증-천정면적추가_내역서-최종0223_진해자은수량산출서(단지내)_00-설계서,원가계산,내역서" xfId="484" xr:uid="{00000000-0005-0000-0000-0000DA010000}"/>
    <cellStyle name="_방동_서상2리_율동자연공원내 휴게편의점 도색작업-할증-천정면적추가_내역서-최종0223_진해자은수량산출서(단지내)_기초산출표-56-128-최종" xfId="485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86" xr:uid="{00000000-0005-0000-0000-0000DC010000}"/>
    <cellStyle name="_방동_서상2리_율동자연공원내 휴게편의점 도색작업-할증-천정면적추가_내역서-최종0223_진해자은수량산출서(단지내)_기초산출표-56-128-최종_설계서-1" xfId="487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88" xr:uid="{00000000-0005-0000-0000-0000DE010000}"/>
    <cellStyle name="_방동_서상2리_율동자연공원내 휴게편의점 도색작업-할증-천정면적추가_내역서-최종0223_진해자은수량산출서(단지내)_설계서-1" xfId="489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90" xr:uid="{00000000-0005-0000-0000-0000E0010000}"/>
    <cellStyle name="_방동_서상2리_율동자연공원내 휴게편의점 도색작업-할증-천정면적추가_내역서-최종0223_진해자은수량산출서(단지내)_취합" xfId="491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92" xr:uid="{00000000-0005-0000-0000-0000E2010000}"/>
    <cellStyle name="_방동_서상2리_율동자연공원내 휴게편의점 도색작업-할증-천정면적추가_내역서-최종0223_진해자은수량산출서(단지내)_취합_설계서-1" xfId="493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94" xr:uid="{00000000-0005-0000-0000-0000E4010000}"/>
    <cellStyle name="_방동_서상2리_율동자연공원내 휴게편의점 도색작업-할증-천정면적추가_설계서-1" xfId="495" xr:uid="{00000000-0005-0000-0000-0000E5010000}"/>
    <cellStyle name="_방동_서상2리_율동자연공원내 휴게편의점 도색작업-할증-천정면적추가_설계서-1_00-설계서,원가계산,내역서" xfId="496" xr:uid="{00000000-0005-0000-0000-0000E6010000}"/>
    <cellStyle name="_방동_서상2리_율동자연공원내 휴게편의점 도색작업-할증-천정면적추가_진해자은수량산출서(단지내)" xfId="497" xr:uid="{00000000-0005-0000-0000-0000E7010000}"/>
    <cellStyle name="_방동_서상2리_율동자연공원내 휴게편의점 도색작업-할증-천정면적추가_진해자은수량산출서(단지내)_00-설계서,원가계산,내역서" xfId="498" xr:uid="{00000000-0005-0000-0000-0000E8010000}"/>
    <cellStyle name="_방동_서상2리_율동자연공원내 휴게편의점 도색작업-할증-천정면적추가_진해자은수량산출서(단지내)_기초산출표-56-128-최종" xfId="499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500" xr:uid="{00000000-0005-0000-0000-0000EA010000}"/>
    <cellStyle name="_방동_서상2리_율동자연공원내 휴게편의점 도색작업-할증-천정면적추가_진해자은수량산출서(단지내)_기초산출표-56-128-최종_설계서-1" xfId="501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502" xr:uid="{00000000-0005-0000-0000-0000EC010000}"/>
    <cellStyle name="_방동_서상2리_율동자연공원내 휴게편의점 도색작업-할증-천정면적추가_진해자은수량산출서(단지내)_설계서-1" xfId="503" xr:uid="{00000000-0005-0000-0000-0000ED010000}"/>
    <cellStyle name="_방동_서상2리_율동자연공원내 휴게편의점 도색작업-할증-천정면적추가_진해자은수량산출서(단지내)_설계서-1_00-설계서,원가계산,내역서" xfId="504" xr:uid="{00000000-0005-0000-0000-0000EE010000}"/>
    <cellStyle name="_방동_서상2리_율동자연공원내 휴게편의점 도색작업-할증-천정면적추가_진해자은수량산출서(단지내)_취합" xfId="505" xr:uid="{00000000-0005-0000-0000-0000EF010000}"/>
    <cellStyle name="_방동_서상2리_율동자연공원내 휴게편의점 도색작업-할증-천정면적추가_진해자은수량산출서(단지내)_취합_00-설계서,원가계산,내역서" xfId="506" xr:uid="{00000000-0005-0000-0000-0000F0010000}"/>
    <cellStyle name="_방동_서상2리_율동자연공원내 휴게편의점 도색작업-할증-천정면적추가_진해자은수량산출서(단지내)_취합_설계서-1" xfId="507" xr:uid="{00000000-0005-0000-0000-0000F1010000}"/>
    <cellStyle name="_방동_서상2리_율동자연공원내 휴게편의점 도색작업-할증-천정면적추가_진해자은수량산출서(단지내)_취합_설계서-1_00-설계서,원가계산,내역서" xfId="508" xr:uid="{00000000-0005-0000-0000-0000F2010000}"/>
    <cellStyle name="_방동_서상2리_이문동구간중랑천변녹화사업(수량산출서, 071127)-최종" xfId="509" xr:uid="{00000000-0005-0000-0000-0000F3010000}"/>
    <cellStyle name="_방동_서상2리_이문동구간중랑천변녹화사업(수량산출서, 071127)-최종_00-설계서,원가계산,내역서" xfId="510" xr:uid="{00000000-0005-0000-0000-0000F4010000}"/>
    <cellStyle name="_방동_서상2리_진해자은수량산출서(단지내)" xfId="511" xr:uid="{00000000-0005-0000-0000-0000F5010000}"/>
    <cellStyle name="_방동_서상2리_진해자은수량산출서(단지내)_00-설계서,원가계산,내역서" xfId="512" xr:uid="{00000000-0005-0000-0000-0000F6010000}"/>
    <cellStyle name="_방동_서상2리_진해자은수량산출서(단지내)_기초산출표-56-128-최종" xfId="513" xr:uid="{00000000-0005-0000-0000-0000F7010000}"/>
    <cellStyle name="_방동_서상2리_진해자은수량산출서(단지내)_기초산출표-56-128-최종_00-설계서,원가계산,내역서" xfId="514" xr:uid="{00000000-0005-0000-0000-0000F8010000}"/>
    <cellStyle name="_방동_서상2리_진해자은수량산출서(단지내)_기초산출표-56-128-최종_설계서-1" xfId="515" xr:uid="{00000000-0005-0000-0000-0000F9010000}"/>
    <cellStyle name="_방동_서상2리_진해자은수량산출서(단지내)_기초산출표-56-128-최종_설계서-1_00-설계서,원가계산,내역서" xfId="516" xr:uid="{00000000-0005-0000-0000-0000FA010000}"/>
    <cellStyle name="_방동_서상2리_진해자은수량산출서(단지내)_설계서-1" xfId="517" xr:uid="{00000000-0005-0000-0000-0000FB010000}"/>
    <cellStyle name="_방동_서상2리_진해자은수량산출서(단지내)_설계서-1_00-설계서,원가계산,내역서" xfId="518" xr:uid="{00000000-0005-0000-0000-0000FC010000}"/>
    <cellStyle name="_방동_서상2리_진해자은수량산출서(단지내)_취합" xfId="519" xr:uid="{00000000-0005-0000-0000-0000FD010000}"/>
    <cellStyle name="_방동_서상2리_진해자은수량산출서(단지내)_취합_00-설계서,원가계산,내역서" xfId="520" xr:uid="{00000000-0005-0000-0000-0000FE010000}"/>
    <cellStyle name="_방동_서상2리_진해자은수량산출서(단지내)_취합_설계서-1" xfId="521" xr:uid="{00000000-0005-0000-0000-0000FF010000}"/>
    <cellStyle name="_방동_서상2리_진해자은수량산출서(단지내)_취합_설계서-1_00-설계서,원가계산,내역서" xfId="522" xr:uid="{00000000-0005-0000-0000-000000020000}"/>
    <cellStyle name="_방동_서상2리_포장" xfId="523" xr:uid="{00000000-0005-0000-0000-000001020000}"/>
    <cellStyle name="_방동_서상2리_포장_00-설계서,원가계산,내역서" xfId="524" xr:uid="{00000000-0005-0000-0000-000002020000}"/>
    <cellStyle name="_방동_서상2리_포장_라멘교 토공" xfId="525" xr:uid="{00000000-0005-0000-0000-000003020000}"/>
    <cellStyle name="_방동_서상2리_포장_라멘교 토공_00-설계서,원가계산,내역서" xfId="526" xr:uid="{00000000-0005-0000-0000-000004020000}"/>
    <cellStyle name="_방동_설계서-1" xfId="527" xr:uid="{00000000-0005-0000-0000-000005020000}"/>
    <cellStyle name="_방동_설계서-1_00-설계서,원가계산,내역서" xfId="528" xr:uid="{00000000-0005-0000-0000-000006020000}"/>
    <cellStyle name="_방동_오항" xfId="529" xr:uid="{00000000-0005-0000-0000-000007020000}"/>
    <cellStyle name="_방동_오항_00-설계서,원가계산,내역서" xfId="530" xr:uid="{00000000-0005-0000-0000-000008020000}"/>
    <cellStyle name="_방동_오항_라멘교 토공" xfId="531" xr:uid="{00000000-0005-0000-0000-000009020000}"/>
    <cellStyle name="_방동_오항_라멘교 토공_00-설계서,원가계산,내역서" xfId="532" xr:uid="{00000000-0005-0000-0000-00000A020000}"/>
    <cellStyle name="_방동_오항_포장" xfId="533" xr:uid="{00000000-0005-0000-0000-00000B020000}"/>
    <cellStyle name="_방동_오항_포장_00-설계서,원가계산,내역서" xfId="534" xr:uid="{00000000-0005-0000-0000-00000C020000}"/>
    <cellStyle name="_방동_오항_포장_라멘교 토공" xfId="535" xr:uid="{00000000-0005-0000-0000-00000D020000}"/>
    <cellStyle name="_방동_오항_포장_라멘교 토공_00-설계서,원가계산,내역서" xfId="536" xr:uid="{00000000-0005-0000-0000-00000E020000}"/>
    <cellStyle name="_방동_원평" xfId="537" xr:uid="{00000000-0005-0000-0000-00000F020000}"/>
    <cellStyle name="_방동_원평_00-설계서,원가계산,내역서" xfId="538" xr:uid="{00000000-0005-0000-0000-000010020000}"/>
    <cellStyle name="_방동_원평_내역서-최종0223" xfId="539" xr:uid="{00000000-0005-0000-0000-000011020000}"/>
    <cellStyle name="_방동_원평_내역서-최종0223_00-설계서,원가계산,내역서" xfId="540" xr:uid="{00000000-0005-0000-0000-000012020000}"/>
    <cellStyle name="_방동_원평_내역서-최종0223_설계서-1" xfId="541" xr:uid="{00000000-0005-0000-0000-000013020000}"/>
    <cellStyle name="_방동_원평_내역서-최종0223_설계서-1_00-설계서,원가계산,내역서" xfId="542" xr:uid="{00000000-0005-0000-0000-000014020000}"/>
    <cellStyle name="_방동_원평_내역서-최종0223_진해자은수량산출서(단지내)" xfId="543" xr:uid="{00000000-0005-0000-0000-000015020000}"/>
    <cellStyle name="_방동_원평_내역서-최종0223_진해자은수량산출서(단지내)_00-설계서,원가계산,내역서" xfId="544" xr:uid="{00000000-0005-0000-0000-000016020000}"/>
    <cellStyle name="_방동_원평_내역서-최종0223_진해자은수량산출서(단지내)_기초산출표-56-128-최종" xfId="545" xr:uid="{00000000-0005-0000-0000-000017020000}"/>
    <cellStyle name="_방동_원평_내역서-최종0223_진해자은수량산출서(단지내)_기초산출표-56-128-최종_00-설계서,원가계산,내역서" xfId="546" xr:uid="{00000000-0005-0000-0000-000018020000}"/>
    <cellStyle name="_방동_원평_내역서-최종0223_진해자은수량산출서(단지내)_기초산출표-56-128-최종_설계서-1" xfId="547" xr:uid="{00000000-0005-0000-0000-000019020000}"/>
    <cellStyle name="_방동_원평_내역서-최종0223_진해자은수량산출서(단지내)_기초산출표-56-128-최종_설계서-1_00-설계서,원가계산,내역서" xfId="548" xr:uid="{00000000-0005-0000-0000-00001A020000}"/>
    <cellStyle name="_방동_원평_내역서-최종0223_진해자은수량산출서(단지내)_설계서-1" xfId="549" xr:uid="{00000000-0005-0000-0000-00001B020000}"/>
    <cellStyle name="_방동_원평_내역서-최종0223_진해자은수량산출서(단지내)_설계서-1_00-설계서,원가계산,내역서" xfId="550" xr:uid="{00000000-0005-0000-0000-00001C020000}"/>
    <cellStyle name="_방동_원평_내역서-최종0223_진해자은수량산출서(단지내)_취합" xfId="551" xr:uid="{00000000-0005-0000-0000-00001D020000}"/>
    <cellStyle name="_방동_원평_내역서-최종0223_진해자은수량산출서(단지내)_취합_00-설계서,원가계산,내역서" xfId="552" xr:uid="{00000000-0005-0000-0000-00001E020000}"/>
    <cellStyle name="_방동_원평_내역서-최종0223_진해자은수량산출서(단지내)_취합_설계서-1" xfId="553" xr:uid="{00000000-0005-0000-0000-00001F020000}"/>
    <cellStyle name="_방동_원평_내역서-최종0223_진해자은수량산출서(단지내)_취합_설계서-1_00-설계서,원가계산,내역서" xfId="554" xr:uid="{00000000-0005-0000-0000-000020020000}"/>
    <cellStyle name="_방동_원평_라멘교 토공" xfId="555" xr:uid="{00000000-0005-0000-0000-000021020000}"/>
    <cellStyle name="_방동_원평_라멘교 토공_00-설계서,원가계산,내역서" xfId="556" xr:uid="{00000000-0005-0000-0000-000022020000}"/>
    <cellStyle name="_방동_원평_설계서-1" xfId="557" xr:uid="{00000000-0005-0000-0000-000023020000}"/>
    <cellStyle name="_방동_원평_설계서-1_00-설계서,원가계산,내역서" xfId="558" xr:uid="{00000000-0005-0000-0000-000024020000}"/>
    <cellStyle name="_방동_원평_율동자연공원내 화장실 보수 및 도색공사" xfId="559" xr:uid="{00000000-0005-0000-0000-000025020000}"/>
    <cellStyle name="_방동_원평_율동자연공원내 화장실 보수 및 도색공사_00-설계서,원가계산,내역서" xfId="560" xr:uid="{00000000-0005-0000-0000-000026020000}"/>
    <cellStyle name="_방동_원평_율동자연공원내 화장실 보수 및 도색공사_내역서-최종0223" xfId="561" xr:uid="{00000000-0005-0000-0000-000027020000}"/>
    <cellStyle name="_방동_원평_율동자연공원내 화장실 보수 및 도색공사_내역서-최종0223_00-설계서,원가계산,내역서" xfId="562" xr:uid="{00000000-0005-0000-0000-000028020000}"/>
    <cellStyle name="_방동_원평_율동자연공원내 화장실 보수 및 도색공사_내역서-최종0223_설계서-1" xfId="563" xr:uid="{00000000-0005-0000-0000-000029020000}"/>
    <cellStyle name="_방동_원평_율동자연공원내 화장실 보수 및 도색공사_내역서-최종0223_설계서-1_00-설계서,원가계산,내역서" xfId="564" xr:uid="{00000000-0005-0000-0000-00002A020000}"/>
    <cellStyle name="_방동_원평_율동자연공원내 화장실 보수 및 도색공사_내역서-최종0223_진해자은수량산출서(단지내)" xfId="565" xr:uid="{00000000-0005-0000-0000-00002B020000}"/>
    <cellStyle name="_방동_원평_율동자연공원내 화장실 보수 및 도색공사_내역서-최종0223_진해자은수량산출서(단지내)_00-설계서,원가계산,내역서" xfId="566" xr:uid="{00000000-0005-0000-0000-00002C020000}"/>
    <cellStyle name="_방동_원평_율동자연공원내 화장실 보수 및 도색공사_내역서-최종0223_진해자은수량산출서(단지내)_기초산출표-56-128-최종" xfId="567" xr:uid="{00000000-0005-0000-0000-00002D020000}"/>
    <cellStyle name="_방동_원평_율동자연공원내 화장실 보수 및 도색공사_내역서-최종0223_진해자은수량산출서(단지내)_기초산출표-56-128-최종_00-설계서,원가계산,내역서" xfId="568" xr:uid="{00000000-0005-0000-0000-00002E020000}"/>
    <cellStyle name="_방동_원평_율동자연공원내 화장실 보수 및 도색공사_내역서-최종0223_진해자은수량산출서(단지내)_기초산출표-56-128-최종_설계서-1" xfId="569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70" xr:uid="{00000000-0005-0000-0000-000030020000}"/>
    <cellStyle name="_방동_원평_율동자연공원내 화장실 보수 및 도색공사_내역서-최종0223_진해자은수량산출서(단지내)_설계서-1" xfId="571" xr:uid="{00000000-0005-0000-0000-000031020000}"/>
    <cellStyle name="_방동_원평_율동자연공원내 화장실 보수 및 도색공사_내역서-최종0223_진해자은수량산출서(단지내)_설계서-1_00-설계서,원가계산,내역서" xfId="572" xr:uid="{00000000-0005-0000-0000-000032020000}"/>
    <cellStyle name="_방동_원평_율동자연공원내 화장실 보수 및 도색공사_내역서-최종0223_진해자은수량산출서(단지내)_취합" xfId="573" xr:uid="{00000000-0005-0000-0000-000033020000}"/>
    <cellStyle name="_방동_원평_율동자연공원내 화장실 보수 및 도색공사_내역서-최종0223_진해자은수량산출서(단지내)_취합_00-설계서,원가계산,내역서" xfId="574" xr:uid="{00000000-0005-0000-0000-000034020000}"/>
    <cellStyle name="_방동_원평_율동자연공원내 화장실 보수 및 도색공사_내역서-최종0223_진해자은수량산출서(단지내)_취합_설계서-1" xfId="575" xr:uid="{00000000-0005-0000-0000-000035020000}"/>
    <cellStyle name="_방동_원평_율동자연공원내 화장실 보수 및 도색공사_내역서-최종0223_진해자은수량산출서(단지내)_취합_설계서-1_00-설계서,원가계산,내역서" xfId="576" xr:uid="{00000000-0005-0000-0000-000036020000}"/>
    <cellStyle name="_방동_원평_율동자연공원내 화장실 보수 및 도색공사_설계서-1" xfId="577" xr:uid="{00000000-0005-0000-0000-000037020000}"/>
    <cellStyle name="_방동_원평_율동자연공원내 화장실 보수 및 도색공사_설계서-1_00-설계서,원가계산,내역서" xfId="578" xr:uid="{00000000-0005-0000-0000-000038020000}"/>
    <cellStyle name="_방동_원평_율동자연공원내 화장실 보수 및 도색공사_진해자은수량산출서(단지내)" xfId="579" xr:uid="{00000000-0005-0000-0000-000039020000}"/>
    <cellStyle name="_방동_원평_율동자연공원내 화장실 보수 및 도색공사_진해자은수량산출서(단지내)_00-설계서,원가계산,내역서" xfId="580" xr:uid="{00000000-0005-0000-0000-00003A020000}"/>
    <cellStyle name="_방동_원평_율동자연공원내 화장실 보수 및 도색공사_진해자은수량산출서(단지내)_기초산출표-56-128-최종" xfId="581" xr:uid="{00000000-0005-0000-0000-00003B020000}"/>
    <cellStyle name="_방동_원평_율동자연공원내 화장실 보수 및 도색공사_진해자은수량산출서(단지내)_기초산출표-56-128-최종_00-설계서,원가계산,내역서" xfId="582" xr:uid="{00000000-0005-0000-0000-00003C020000}"/>
    <cellStyle name="_방동_원평_율동자연공원내 화장실 보수 및 도색공사_진해자은수량산출서(단지내)_기초산출표-56-128-최종_설계서-1" xfId="583" xr:uid="{00000000-0005-0000-0000-00003D020000}"/>
    <cellStyle name="_방동_원평_율동자연공원내 화장실 보수 및 도색공사_진해자은수량산출서(단지내)_기초산출표-56-128-최종_설계서-1_00-설계서,원가계산,내역서" xfId="584" xr:uid="{00000000-0005-0000-0000-00003E020000}"/>
    <cellStyle name="_방동_원평_율동자연공원내 화장실 보수 및 도색공사_진해자은수량산출서(단지내)_설계서-1" xfId="585" xr:uid="{00000000-0005-0000-0000-00003F020000}"/>
    <cellStyle name="_방동_원평_율동자연공원내 화장실 보수 및 도색공사_진해자은수량산출서(단지내)_설계서-1_00-설계서,원가계산,내역서" xfId="586" xr:uid="{00000000-0005-0000-0000-000040020000}"/>
    <cellStyle name="_방동_원평_율동자연공원내 화장실 보수 및 도색공사_진해자은수량산출서(단지내)_취합" xfId="587" xr:uid="{00000000-0005-0000-0000-000041020000}"/>
    <cellStyle name="_방동_원평_율동자연공원내 화장실 보수 및 도색공사_진해자은수량산출서(단지내)_취합_00-설계서,원가계산,내역서" xfId="588" xr:uid="{00000000-0005-0000-0000-000042020000}"/>
    <cellStyle name="_방동_원평_율동자연공원내 화장실 보수 및 도색공사_진해자은수량산출서(단지내)_취합_설계서-1" xfId="589" xr:uid="{00000000-0005-0000-0000-000043020000}"/>
    <cellStyle name="_방동_원평_율동자연공원내 화장실 보수 및 도색공사_진해자은수량산출서(단지내)_취합_설계서-1_00-설계서,원가계산,내역서" xfId="590" xr:uid="{00000000-0005-0000-0000-000044020000}"/>
    <cellStyle name="_방동_원평_율동자연공원내 휴게편의점 도색작업-할증-천정면적추가" xfId="591" xr:uid="{00000000-0005-0000-0000-000045020000}"/>
    <cellStyle name="_방동_원평_율동자연공원내 휴게편의점 도색작업-할증-천정면적추가_00-설계서,원가계산,내역서" xfId="592" xr:uid="{00000000-0005-0000-0000-000046020000}"/>
    <cellStyle name="_방동_원평_율동자연공원내 휴게편의점 도색작업-할증-천정면적추가_내역서-최종0223" xfId="593" xr:uid="{00000000-0005-0000-0000-000047020000}"/>
    <cellStyle name="_방동_원평_율동자연공원내 휴게편의점 도색작업-할증-천정면적추가_내역서-최종0223_00-설계서,원가계산,내역서" xfId="594" xr:uid="{00000000-0005-0000-0000-000048020000}"/>
    <cellStyle name="_방동_원평_율동자연공원내 휴게편의점 도색작업-할증-천정면적추가_내역서-최종0223_설계서-1" xfId="595" xr:uid="{00000000-0005-0000-0000-000049020000}"/>
    <cellStyle name="_방동_원평_율동자연공원내 휴게편의점 도색작업-할증-천정면적추가_내역서-최종0223_설계서-1_00-설계서,원가계산,내역서" xfId="596" xr:uid="{00000000-0005-0000-0000-00004A020000}"/>
    <cellStyle name="_방동_원평_율동자연공원내 휴게편의점 도색작업-할증-천정면적추가_내역서-최종0223_진해자은수량산출서(단지내)" xfId="597" xr:uid="{00000000-0005-0000-0000-00004B020000}"/>
    <cellStyle name="_방동_원평_율동자연공원내 휴게편의점 도색작업-할증-천정면적추가_내역서-최종0223_진해자은수량산출서(단지내)_00-설계서,원가계산,내역서" xfId="598" xr:uid="{00000000-0005-0000-0000-00004C020000}"/>
    <cellStyle name="_방동_원평_율동자연공원내 휴게편의점 도색작업-할증-천정면적추가_내역서-최종0223_진해자은수량산출서(단지내)_기초산출표-56-128-최종" xfId="599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600" xr:uid="{00000000-0005-0000-0000-00004E020000}"/>
    <cellStyle name="_방동_원평_율동자연공원내 휴게편의점 도색작업-할증-천정면적추가_내역서-최종0223_진해자은수량산출서(단지내)_기초산출표-56-128-최종_설계서-1" xfId="601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602" xr:uid="{00000000-0005-0000-0000-000050020000}"/>
    <cellStyle name="_방동_원평_율동자연공원내 휴게편의점 도색작업-할증-천정면적추가_내역서-최종0223_진해자은수량산출서(단지내)_설계서-1" xfId="603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604" xr:uid="{00000000-0005-0000-0000-000052020000}"/>
    <cellStyle name="_방동_원평_율동자연공원내 휴게편의점 도색작업-할증-천정면적추가_내역서-최종0223_진해자은수량산출서(단지내)_취합" xfId="605" xr:uid="{00000000-0005-0000-0000-000053020000}"/>
    <cellStyle name="_방동_원평_율동자연공원내 휴게편의점 도색작업-할증-천정면적추가_내역서-최종0223_진해자은수량산출서(단지내)_취합_00-설계서,원가계산,내역서" xfId="606" xr:uid="{00000000-0005-0000-0000-000054020000}"/>
    <cellStyle name="_방동_원평_율동자연공원내 휴게편의점 도색작업-할증-천정면적추가_내역서-최종0223_진해자은수량산출서(단지내)_취합_설계서-1" xfId="607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608" xr:uid="{00000000-0005-0000-0000-000056020000}"/>
    <cellStyle name="_방동_원평_율동자연공원내 휴게편의점 도색작업-할증-천정면적추가_설계서-1" xfId="609" xr:uid="{00000000-0005-0000-0000-000057020000}"/>
    <cellStyle name="_방동_원평_율동자연공원내 휴게편의점 도색작업-할증-천정면적추가_설계서-1_00-설계서,원가계산,내역서" xfId="610" xr:uid="{00000000-0005-0000-0000-000058020000}"/>
    <cellStyle name="_방동_원평_율동자연공원내 휴게편의점 도색작업-할증-천정면적추가_진해자은수량산출서(단지내)" xfId="611" xr:uid="{00000000-0005-0000-0000-000059020000}"/>
    <cellStyle name="_방동_원평_율동자연공원내 휴게편의점 도색작업-할증-천정면적추가_진해자은수량산출서(단지내)_00-설계서,원가계산,내역서" xfId="612" xr:uid="{00000000-0005-0000-0000-00005A020000}"/>
    <cellStyle name="_방동_원평_율동자연공원내 휴게편의점 도색작업-할증-천정면적추가_진해자은수량산출서(단지내)_기초산출표-56-128-최종" xfId="613" xr:uid="{00000000-0005-0000-0000-00005B020000}"/>
    <cellStyle name="_방동_원평_율동자연공원내 휴게편의점 도색작업-할증-천정면적추가_진해자은수량산출서(단지내)_기초산출표-56-128-최종_00-설계서,원가계산,내역서" xfId="614" xr:uid="{00000000-0005-0000-0000-00005C020000}"/>
    <cellStyle name="_방동_원평_율동자연공원내 휴게편의점 도색작업-할증-천정면적추가_진해자은수량산출서(단지내)_기초산출표-56-128-최종_설계서-1" xfId="615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16" xr:uid="{00000000-0005-0000-0000-00005E020000}"/>
    <cellStyle name="_방동_원평_율동자연공원내 휴게편의점 도색작업-할증-천정면적추가_진해자은수량산출서(단지내)_설계서-1" xfId="617" xr:uid="{00000000-0005-0000-0000-00005F020000}"/>
    <cellStyle name="_방동_원평_율동자연공원내 휴게편의점 도색작업-할증-천정면적추가_진해자은수량산출서(단지내)_설계서-1_00-설계서,원가계산,내역서" xfId="618" xr:uid="{00000000-0005-0000-0000-000060020000}"/>
    <cellStyle name="_방동_원평_율동자연공원내 휴게편의점 도색작업-할증-천정면적추가_진해자은수량산출서(단지내)_취합" xfId="619" xr:uid="{00000000-0005-0000-0000-000061020000}"/>
    <cellStyle name="_방동_원평_율동자연공원내 휴게편의점 도색작업-할증-천정면적추가_진해자은수량산출서(단지내)_취합_00-설계서,원가계산,내역서" xfId="620" xr:uid="{00000000-0005-0000-0000-000062020000}"/>
    <cellStyle name="_방동_원평_율동자연공원내 휴게편의점 도색작업-할증-천정면적추가_진해자은수량산출서(단지내)_취합_설계서-1" xfId="621" xr:uid="{00000000-0005-0000-0000-000063020000}"/>
    <cellStyle name="_방동_원평_율동자연공원내 휴게편의점 도색작업-할증-천정면적추가_진해자은수량산출서(단지내)_취합_설계서-1_00-설계서,원가계산,내역서" xfId="622" xr:uid="{00000000-0005-0000-0000-000064020000}"/>
    <cellStyle name="_방동_원평_이문동구간중랑천변녹화사업(수량산출서, 071127)-최종" xfId="623" xr:uid="{00000000-0005-0000-0000-000065020000}"/>
    <cellStyle name="_방동_원평_이문동구간중랑천변녹화사업(수량산출서, 071127)-최종_00-설계서,원가계산,내역서" xfId="624" xr:uid="{00000000-0005-0000-0000-000066020000}"/>
    <cellStyle name="_방동_원평_진해자은수량산출서(단지내)" xfId="625" xr:uid="{00000000-0005-0000-0000-000067020000}"/>
    <cellStyle name="_방동_원평_진해자은수량산출서(단지내)_00-설계서,원가계산,내역서" xfId="626" xr:uid="{00000000-0005-0000-0000-000068020000}"/>
    <cellStyle name="_방동_원평_진해자은수량산출서(단지내)_기초산출표-56-128-최종" xfId="627" xr:uid="{00000000-0005-0000-0000-000069020000}"/>
    <cellStyle name="_방동_원평_진해자은수량산출서(단지내)_기초산출표-56-128-최종_00-설계서,원가계산,내역서" xfId="628" xr:uid="{00000000-0005-0000-0000-00006A020000}"/>
    <cellStyle name="_방동_원평_진해자은수량산출서(단지내)_기초산출표-56-128-최종_설계서-1" xfId="629" xr:uid="{00000000-0005-0000-0000-00006B020000}"/>
    <cellStyle name="_방동_원평_진해자은수량산출서(단지내)_기초산출표-56-128-최종_설계서-1_00-설계서,원가계산,내역서" xfId="630" xr:uid="{00000000-0005-0000-0000-00006C020000}"/>
    <cellStyle name="_방동_원평_진해자은수량산출서(단지내)_설계서-1" xfId="631" xr:uid="{00000000-0005-0000-0000-00006D020000}"/>
    <cellStyle name="_방동_원평_진해자은수량산출서(단지내)_설계서-1_00-설계서,원가계산,내역서" xfId="632" xr:uid="{00000000-0005-0000-0000-00006E020000}"/>
    <cellStyle name="_방동_원평_진해자은수량산출서(단지내)_취합" xfId="633" xr:uid="{00000000-0005-0000-0000-00006F020000}"/>
    <cellStyle name="_방동_원평_진해자은수량산출서(단지내)_취합_00-설계서,원가계산,내역서" xfId="634" xr:uid="{00000000-0005-0000-0000-000070020000}"/>
    <cellStyle name="_방동_원평_진해자은수량산출서(단지내)_취합_설계서-1" xfId="635" xr:uid="{00000000-0005-0000-0000-000071020000}"/>
    <cellStyle name="_방동_원평_진해자은수량산출서(단지내)_취합_설계서-1_00-설계서,원가계산,내역서" xfId="636" xr:uid="{00000000-0005-0000-0000-000072020000}"/>
    <cellStyle name="_방동_원평_포장" xfId="637" xr:uid="{00000000-0005-0000-0000-000073020000}"/>
    <cellStyle name="_방동_원평_포장_00-설계서,원가계산,내역서" xfId="638" xr:uid="{00000000-0005-0000-0000-000074020000}"/>
    <cellStyle name="_방동_원평_포장_라멘교 토공" xfId="639" xr:uid="{00000000-0005-0000-0000-000075020000}"/>
    <cellStyle name="_방동_원평_포장_라멘교 토공_00-설계서,원가계산,내역서" xfId="640" xr:uid="{00000000-0005-0000-0000-000076020000}"/>
    <cellStyle name="_방동_율동자연공원내 화장실 보수 및 도색공사" xfId="641" xr:uid="{00000000-0005-0000-0000-000077020000}"/>
    <cellStyle name="_방동_율동자연공원내 화장실 보수 및 도색공사_00-설계서,원가계산,내역서" xfId="642" xr:uid="{00000000-0005-0000-0000-000078020000}"/>
    <cellStyle name="_방동_율동자연공원내 화장실 보수 및 도색공사_내역서-최종0223" xfId="643" xr:uid="{00000000-0005-0000-0000-000079020000}"/>
    <cellStyle name="_방동_율동자연공원내 화장실 보수 및 도색공사_내역서-최종0223_00-설계서,원가계산,내역서" xfId="644" xr:uid="{00000000-0005-0000-0000-00007A020000}"/>
    <cellStyle name="_방동_율동자연공원내 화장실 보수 및 도색공사_내역서-최종0223_설계서-1" xfId="645" xr:uid="{00000000-0005-0000-0000-00007B020000}"/>
    <cellStyle name="_방동_율동자연공원내 화장실 보수 및 도색공사_내역서-최종0223_설계서-1_00-설계서,원가계산,내역서" xfId="646" xr:uid="{00000000-0005-0000-0000-00007C020000}"/>
    <cellStyle name="_방동_율동자연공원내 화장실 보수 및 도색공사_내역서-최종0223_진해자은수량산출서(단지내)" xfId="647" xr:uid="{00000000-0005-0000-0000-00007D020000}"/>
    <cellStyle name="_방동_율동자연공원내 화장실 보수 및 도색공사_내역서-최종0223_진해자은수량산출서(단지내)_00-설계서,원가계산,내역서" xfId="648" xr:uid="{00000000-0005-0000-0000-00007E020000}"/>
    <cellStyle name="_방동_율동자연공원내 화장실 보수 및 도색공사_내역서-최종0223_진해자은수량산출서(단지내)_기초산출표-56-128-최종" xfId="649" xr:uid="{00000000-0005-0000-0000-00007F020000}"/>
    <cellStyle name="_방동_율동자연공원내 화장실 보수 및 도색공사_내역서-최종0223_진해자은수량산출서(단지내)_기초산출표-56-128-최종_00-설계서,원가계산,내역서" xfId="650" xr:uid="{00000000-0005-0000-0000-000080020000}"/>
    <cellStyle name="_방동_율동자연공원내 화장실 보수 및 도색공사_내역서-최종0223_진해자은수량산출서(단지내)_기초산출표-56-128-최종_설계서-1" xfId="651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52" xr:uid="{00000000-0005-0000-0000-000082020000}"/>
    <cellStyle name="_방동_율동자연공원내 화장실 보수 및 도색공사_내역서-최종0223_진해자은수량산출서(단지내)_설계서-1" xfId="653" xr:uid="{00000000-0005-0000-0000-000083020000}"/>
    <cellStyle name="_방동_율동자연공원내 화장실 보수 및 도색공사_내역서-최종0223_진해자은수량산출서(단지내)_설계서-1_00-설계서,원가계산,내역서" xfId="654" xr:uid="{00000000-0005-0000-0000-000084020000}"/>
    <cellStyle name="_방동_율동자연공원내 화장실 보수 및 도색공사_내역서-최종0223_진해자은수량산출서(단지내)_취합" xfId="655" xr:uid="{00000000-0005-0000-0000-000085020000}"/>
    <cellStyle name="_방동_율동자연공원내 화장실 보수 및 도색공사_내역서-최종0223_진해자은수량산출서(단지내)_취합_00-설계서,원가계산,내역서" xfId="656" xr:uid="{00000000-0005-0000-0000-000086020000}"/>
    <cellStyle name="_방동_율동자연공원내 화장실 보수 및 도색공사_내역서-최종0223_진해자은수량산출서(단지내)_취합_설계서-1" xfId="657" xr:uid="{00000000-0005-0000-0000-000087020000}"/>
    <cellStyle name="_방동_율동자연공원내 화장실 보수 및 도색공사_내역서-최종0223_진해자은수량산출서(단지내)_취합_설계서-1_00-설계서,원가계산,내역서" xfId="658" xr:uid="{00000000-0005-0000-0000-000088020000}"/>
    <cellStyle name="_방동_율동자연공원내 화장실 보수 및 도색공사_설계서-1" xfId="659" xr:uid="{00000000-0005-0000-0000-000089020000}"/>
    <cellStyle name="_방동_율동자연공원내 화장실 보수 및 도색공사_설계서-1_00-설계서,원가계산,내역서" xfId="660" xr:uid="{00000000-0005-0000-0000-00008A020000}"/>
    <cellStyle name="_방동_율동자연공원내 화장실 보수 및 도색공사_진해자은수량산출서(단지내)" xfId="661" xr:uid="{00000000-0005-0000-0000-00008B020000}"/>
    <cellStyle name="_방동_율동자연공원내 화장실 보수 및 도색공사_진해자은수량산출서(단지내)_00-설계서,원가계산,내역서" xfId="662" xr:uid="{00000000-0005-0000-0000-00008C020000}"/>
    <cellStyle name="_방동_율동자연공원내 화장실 보수 및 도색공사_진해자은수량산출서(단지내)_기초산출표-56-128-최종" xfId="663" xr:uid="{00000000-0005-0000-0000-00008D020000}"/>
    <cellStyle name="_방동_율동자연공원내 화장실 보수 및 도색공사_진해자은수량산출서(단지내)_기초산출표-56-128-최종_00-설계서,원가계산,내역서" xfId="664" xr:uid="{00000000-0005-0000-0000-00008E020000}"/>
    <cellStyle name="_방동_율동자연공원내 화장실 보수 및 도색공사_진해자은수량산출서(단지내)_기초산출표-56-128-최종_설계서-1" xfId="665" xr:uid="{00000000-0005-0000-0000-00008F020000}"/>
    <cellStyle name="_방동_율동자연공원내 화장실 보수 및 도색공사_진해자은수량산출서(단지내)_기초산출표-56-128-최종_설계서-1_00-설계서,원가계산,내역서" xfId="666" xr:uid="{00000000-0005-0000-0000-000090020000}"/>
    <cellStyle name="_방동_율동자연공원내 화장실 보수 및 도색공사_진해자은수량산출서(단지내)_설계서-1" xfId="667" xr:uid="{00000000-0005-0000-0000-000091020000}"/>
    <cellStyle name="_방동_율동자연공원내 화장실 보수 및 도색공사_진해자은수량산출서(단지내)_설계서-1_00-설계서,원가계산,내역서" xfId="668" xr:uid="{00000000-0005-0000-0000-000092020000}"/>
    <cellStyle name="_방동_율동자연공원내 화장실 보수 및 도색공사_진해자은수량산출서(단지내)_취합" xfId="669" xr:uid="{00000000-0005-0000-0000-000093020000}"/>
    <cellStyle name="_방동_율동자연공원내 화장실 보수 및 도색공사_진해자은수량산출서(단지내)_취합_00-설계서,원가계산,내역서" xfId="670" xr:uid="{00000000-0005-0000-0000-000094020000}"/>
    <cellStyle name="_방동_율동자연공원내 화장실 보수 및 도색공사_진해자은수량산출서(단지내)_취합_설계서-1" xfId="671" xr:uid="{00000000-0005-0000-0000-000095020000}"/>
    <cellStyle name="_방동_율동자연공원내 화장실 보수 및 도색공사_진해자은수량산출서(단지내)_취합_설계서-1_00-설계서,원가계산,내역서" xfId="672" xr:uid="{00000000-0005-0000-0000-000096020000}"/>
    <cellStyle name="_방동_율동자연공원내 휴게편의점 도색작업-할증-천정면적추가" xfId="673" xr:uid="{00000000-0005-0000-0000-000097020000}"/>
    <cellStyle name="_방동_율동자연공원내 휴게편의점 도색작업-할증-천정면적추가_00-설계서,원가계산,내역서" xfId="674" xr:uid="{00000000-0005-0000-0000-000098020000}"/>
    <cellStyle name="_방동_율동자연공원내 휴게편의점 도색작업-할증-천정면적추가_내역서-최종0223" xfId="675" xr:uid="{00000000-0005-0000-0000-000099020000}"/>
    <cellStyle name="_방동_율동자연공원내 휴게편의점 도색작업-할증-천정면적추가_내역서-최종0223_00-설계서,원가계산,내역서" xfId="676" xr:uid="{00000000-0005-0000-0000-00009A020000}"/>
    <cellStyle name="_방동_율동자연공원내 휴게편의점 도색작업-할증-천정면적추가_내역서-최종0223_설계서-1" xfId="677" xr:uid="{00000000-0005-0000-0000-00009B020000}"/>
    <cellStyle name="_방동_율동자연공원내 휴게편의점 도색작업-할증-천정면적추가_내역서-최종0223_설계서-1_00-설계서,원가계산,내역서" xfId="678" xr:uid="{00000000-0005-0000-0000-00009C020000}"/>
    <cellStyle name="_방동_율동자연공원내 휴게편의점 도색작업-할증-천정면적추가_내역서-최종0223_진해자은수량산출서(단지내)" xfId="679" xr:uid="{00000000-0005-0000-0000-00009D020000}"/>
    <cellStyle name="_방동_율동자연공원내 휴게편의점 도색작업-할증-천정면적추가_내역서-최종0223_진해자은수량산출서(단지내)_00-설계서,원가계산,내역서" xfId="680" xr:uid="{00000000-0005-0000-0000-00009E020000}"/>
    <cellStyle name="_방동_율동자연공원내 휴게편의점 도색작업-할증-천정면적추가_내역서-최종0223_진해자은수량산출서(단지내)_기초산출표-56-128-최종" xfId="681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82" xr:uid="{00000000-0005-0000-0000-0000A0020000}"/>
    <cellStyle name="_방동_율동자연공원내 휴게편의점 도색작업-할증-천정면적추가_내역서-최종0223_진해자은수량산출서(단지내)_기초산출표-56-128-최종_설계서-1" xfId="683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84" xr:uid="{00000000-0005-0000-0000-0000A2020000}"/>
    <cellStyle name="_방동_율동자연공원내 휴게편의점 도색작업-할증-천정면적추가_내역서-최종0223_진해자은수량산출서(단지내)_설계서-1" xfId="685" xr:uid="{00000000-0005-0000-0000-0000A3020000}"/>
    <cellStyle name="_방동_율동자연공원내 휴게편의점 도색작업-할증-천정면적추가_내역서-최종0223_진해자은수량산출서(단지내)_설계서-1_00-설계서,원가계산,내역서" xfId="686" xr:uid="{00000000-0005-0000-0000-0000A4020000}"/>
    <cellStyle name="_방동_율동자연공원내 휴게편의점 도색작업-할증-천정면적추가_내역서-최종0223_진해자은수량산출서(단지내)_취합" xfId="687" xr:uid="{00000000-0005-0000-0000-0000A5020000}"/>
    <cellStyle name="_방동_율동자연공원내 휴게편의점 도색작업-할증-천정면적추가_내역서-최종0223_진해자은수량산출서(단지내)_취합_00-설계서,원가계산,내역서" xfId="688" xr:uid="{00000000-0005-0000-0000-0000A6020000}"/>
    <cellStyle name="_방동_율동자연공원내 휴게편의점 도색작업-할증-천정면적추가_내역서-최종0223_진해자은수량산출서(단지내)_취합_설계서-1" xfId="689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90" xr:uid="{00000000-0005-0000-0000-0000A8020000}"/>
    <cellStyle name="_방동_율동자연공원내 휴게편의점 도색작업-할증-천정면적추가_설계서-1" xfId="691" xr:uid="{00000000-0005-0000-0000-0000A9020000}"/>
    <cellStyle name="_방동_율동자연공원내 휴게편의점 도색작업-할증-천정면적추가_설계서-1_00-설계서,원가계산,내역서" xfId="692" xr:uid="{00000000-0005-0000-0000-0000AA020000}"/>
    <cellStyle name="_방동_율동자연공원내 휴게편의점 도색작업-할증-천정면적추가_진해자은수량산출서(단지내)" xfId="693" xr:uid="{00000000-0005-0000-0000-0000AB020000}"/>
    <cellStyle name="_방동_율동자연공원내 휴게편의점 도색작업-할증-천정면적추가_진해자은수량산출서(단지내)_00-설계서,원가계산,내역서" xfId="694" xr:uid="{00000000-0005-0000-0000-0000AC020000}"/>
    <cellStyle name="_방동_율동자연공원내 휴게편의점 도색작업-할증-천정면적추가_진해자은수량산출서(단지내)_기초산출표-56-128-최종" xfId="695" xr:uid="{00000000-0005-0000-0000-0000AD020000}"/>
    <cellStyle name="_방동_율동자연공원내 휴게편의점 도색작업-할증-천정면적추가_진해자은수량산출서(단지내)_기초산출표-56-128-최종_00-설계서,원가계산,내역서" xfId="696" xr:uid="{00000000-0005-0000-0000-0000AE020000}"/>
    <cellStyle name="_방동_율동자연공원내 휴게편의점 도색작업-할증-천정면적추가_진해자은수량산출서(단지내)_기초산출표-56-128-최종_설계서-1" xfId="697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98" xr:uid="{00000000-0005-0000-0000-0000B0020000}"/>
    <cellStyle name="_방동_율동자연공원내 휴게편의점 도색작업-할증-천정면적추가_진해자은수량산출서(단지내)_설계서-1" xfId="699" xr:uid="{00000000-0005-0000-0000-0000B1020000}"/>
    <cellStyle name="_방동_율동자연공원내 휴게편의점 도색작업-할증-천정면적추가_진해자은수량산출서(단지내)_설계서-1_00-설계서,원가계산,내역서" xfId="700" xr:uid="{00000000-0005-0000-0000-0000B2020000}"/>
    <cellStyle name="_방동_율동자연공원내 휴게편의점 도색작업-할증-천정면적추가_진해자은수량산출서(단지내)_취합" xfId="701" xr:uid="{00000000-0005-0000-0000-0000B3020000}"/>
    <cellStyle name="_방동_율동자연공원내 휴게편의점 도색작업-할증-천정면적추가_진해자은수량산출서(단지내)_취합_00-설계서,원가계산,내역서" xfId="702" xr:uid="{00000000-0005-0000-0000-0000B4020000}"/>
    <cellStyle name="_방동_율동자연공원내 휴게편의점 도색작업-할증-천정면적추가_진해자은수량산출서(단지내)_취합_설계서-1" xfId="703" xr:uid="{00000000-0005-0000-0000-0000B5020000}"/>
    <cellStyle name="_방동_율동자연공원내 휴게편의점 도색작업-할증-천정면적추가_진해자은수량산출서(단지내)_취합_설계서-1_00-설계서,원가계산,내역서" xfId="704" xr:uid="{00000000-0005-0000-0000-0000B6020000}"/>
    <cellStyle name="_방동_이문동구간중랑천변녹화사업(수량산출서, 071127)-최종" xfId="705" xr:uid="{00000000-0005-0000-0000-0000B7020000}"/>
    <cellStyle name="_방동_이문동구간중랑천변녹화사업(수량산출서, 071127)-최종_00-설계서,원가계산,내역서" xfId="706" xr:uid="{00000000-0005-0000-0000-0000B8020000}"/>
    <cellStyle name="_방동_진해자은수량산출서(단지내)" xfId="707" xr:uid="{00000000-0005-0000-0000-0000B9020000}"/>
    <cellStyle name="_방동_진해자은수량산출서(단지내)_00-설계서,원가계산,내역서" xfId="708" xr:uid="{00000000-0005-0000-0000-0000BA020000}"/>
    <cellStyle name="_방동_진해자은수량산출서(단지내)_기초산출표-56-128-최종" xfId="709" xr:uid="{00000000-0005-0000-0000-0000BB020000}"/>
    <cellStyle name="_방동_진해자은수량산출서(단지내)_기초산출표-56-128-최종_00-설계서,원가계산,내역서" xfId="710" xr:uid="{00000000-0005-0000-0000-0000BC020000}"/>
    <cellStyle name="_방동_진해자은수량산출서(단지내)_기초산출표-56-128-최종_설계서-1" xfId="711" xr:uid="{00000000-0005-0000-0000-0000BD020000}"/>
    <cellStyle name="_방동_진해자은수량산출서(단지내)_기초산출표-56-128-최종_설계서-1_00-설계서,원가계산,내역서" xfId="712" xr:uid="{00000000-0005-0000-0000-0000BE020000}"/>
    <cellStyle name="_방동_진해자은수량산출서(단지내)_설계서-1" xfId="713" xr:uid="{00000000-0005-0000-0000-0000BF020000}"/>
    <cellStyle name="_방동_진해자은수량산출서(단지내)_설계서-1_00-설계서,원가계산,내역서" xfId="714" xr:uid="{00000000-0005-0000-0000-0000C0020000}"/>
    <cellStyle name="_방동_진해자은수량산출서(단지내)_취합" xfId="715" xr:uid="{00000000-0005-0000-0000-0000C1020000}"/>
    <cellStyle name="_방동_진해자은수량산출서(단지내)_취합_00-설계서,원가계산,내역서" xfId="716" xr:uid="{00000000-0005-0000-0000-0000C2020000}"/>
    <cellStyle name="_방동_진해자은수량산출서(단지내)_취합_설계서-1" xfId="717" xr:uid="{00000000-0005-0000-0000-0000C3020000}"/>
    <cellStyle name="_방동_진해자은수량산출서(단지내)_취합_설계서-1_00-설계서,원가계산,내역서" xfId="718" xr:uid="{00000000-0005-0000-0000-0000C4020000}"/>
    <cellStyle name="_방동_추곡" xfId="719" xr:uid="{00000000-0005-0000-0000-0000C5020000}"/>
    <cellStyle name="_방동_추곡_00-설계서,원가계산,내역서" xfId="720" xr:uid="{00000000-0005-0000-0000-0000C6020000}"/>
    <cellStyle name="_방동_추곡_내역서-최종0223" xfId="721" xr:uid="{00000000-0005-0000-0000-0000C7020000}"/>
    <cellStyle name="_방동_추곡_내역서-최종0223_00-설계서,원가계산,내역서" xfId="722" xr:uid="{00000000-0005-0000-0000-0000C8020000}"/>
    <cellStyle name="_방동_추곡_내역서-최종0223_설계서-1" xfId="723" xr:uid="{00000000-0005-0000-0000-0000C9020000}"/>
    <cellStyle name="_방동_추곡_내역서-최종0223_설계서-1_00-설계서,원가계산,내역서" xfId="724" xr:uid="{00000000-0005-0000-0000-0000CA020000}"/>
    <cellStyle name="_방동_추곡_내역서-최종0223_진해자은수량산출서(단지내)" xfId="725" xr:uid="{00000000-0005-0000-0000-0000CB020000}"/>
    <cellStyle name="_방동_추곡_내역서-최종0223_진해자은수량산출서(단지내)_00-설계서,원가계산,내역서" xfId="726" xr:uid="{00000000-0005-0000-0000-0000CC020000}"/>
    <cellStyle name="_방동_추곡_내역서-최종0223_진해자은수량산출서(단지내)_기초산출표-56-128-최종" xfId="727" xr:uid="{00000000-0005-0000-0000-0000CD020000}"/>
    <cellStyle name="_방동_추곡_내역서-최종0223_진해자은수량산출서(단지내)_기초산출표-56-128-최종_00-설계서,원가계산,내역서" xfId="728" xr:uid="{00000000-0005-0000-0000-0000CE020000}"/>
    <cellStyle name="_방동_추곡_내역서-최종0223_진해자은수량산출서(단지내)_기초산출표-56-128-최종_설계서-1" xfId="729" xr:uid="{00000000-0005-0000-0000-0000CF020000}"/>
    <cellStyle name="_방동_추곡_내역서-최종0223_진해자은수량산출서(단지내)_기초산출표-56-128-최종_설계서-1_00-설계서,원가계산,내역서" xfId="730" xr:uid="{00000000-0005-0000-0000-0000D0020000}"/>
    <cellStyle name="_방동_추곡_내역서-최종0223_진해자은수량산출서(단지내)_설계서-1" xfId="731" xr:uid="{00000000-0005-0000-0000-0000D1020000}"/>
    <cellStyle name="_방동_추곡_내역서-최종0223_진해자은수량산출서(단지내)_설계서-1_00-설계서,원가계산,내역서" xfId="732" xr:uid="{00000000-0005-0000-0000-0000D2020000}"/>
    <cellStyle name="_방동_추곡_내역서-최종0223_진해자은수량산출서(단지내)_취합" xfId="733" xr:uid="{00000000-0005-0000-0000-0000D3020000}"/>
    <cellStyle name="_방동_추곡_내역서-최종0223_진해자은수량산출서(단지내)_취합_00-설계서,원가계산,내역서" xfId="734" xr:uid="{00000000-0005-0000-0000-0000D4020000}"/>
    <cellStyle name="_방동_추곡_내역서-최종0223_진해자은수량산출서(단지내)_취합_설계서-1" xfId="735" xr:uid="{00000000-0005-0000-0000-0000D5020000}"/>
    <cellStyle name="_방동_추곡_내역서-최종0223_진해자은수량산출서(단지내)_취합_설계서-1_00-설계서,원가계산,내역서" xfId="736" xr:uid="{00000000-0005-0000-0000-0000D6020000}"/>
    <cellStyle name="_방동_추곡_라멘교 토공" xfId="737" xr:uid="{00000000-0005-0000-0000-0000D7020000}"/>
    <cellStyle name="_방동_추곡_라멘교 토공_00-설계서,원가계산,내역서" xfId="738" xr:uid="{00000000-0005-0000-0000-0000D8020000}"/>
    <cellStyle name="_방동_추곡_설계서-1" xfId="739" xr:uid="{00000000-0005-0000-0000-0000D9020000}"/>
    <cellStyle name="_방동_추곡_설계서-1_00-설계서,원가계산,내역서" xfId="740" xr:uid="{00000000-0005-0000-0000-0000DA020000}"/>
    <cellStyle name="_방동_추곡_율동자연공원내 화장실 보수 및 도색공사" xfId="741" xr:uid="{00000000-0005-0000-0000-0000DB020000}"/>
    <cellStyle name="_방동_추곡_율동자연공원내 화장실 보수 및 도색공사_00-설계서,원가계산,내역서" xfId="742" xr:uid="{00000000-0005-0000-0000-0000DC020000}"/>
    <cellStyle name="_방동_추곡_율동자연공원내 화장실 보수 및 도색공사_내역서-최종0223" xfId="743" xr:uid="{00000000-0005-0000-0000-0000DD020000}"/>
    <cellStyle name="_방동_추곡_율동자연공원내 화장실 보수 및 도색공사_내역서-최종0223_00-설계서,원가계산,내역서" xfId="744" xr:uid="{00000000-0005-0000-0000-0000DE020000}"/>
    <cellStyle name="_방동_추곡_율동자연공원내 화장실 보수 및 도색공사_내역서-최종0223_설계서-1" xfId="745" xr:uid="{00000000-0005-0000-0000-0000DF020000}"/>
    <cellStyle name="_방동_추곡_율동자연공원내 화장실 보수 및 도색공사_내역서-최종0223_설계서-1_00-설계서,원가계산,내역서" xfId="746" xr:uid="{00000000-0005-0000-0000-0000E0020000}"/>
    <cellStyle name="_방동_추곡_율동자연공원내 화장실 보수 및 도색공사_내역서-최종0223_진해자은수량산출서(단지내)" xfId="747" xr:uid="{00000000-0005-0000-0000-0000E1020000}"/>
    <cellStyle name="_방동_추곡_율동자연공원내 화장실 보수 및 도색공사_내역서-최종0223_진해자은수량산출서(단지내)_00-설계서,원가계산,내역서" xfId="748" xr:uid="{00000000-0005-0000-0000-0000E2020000}"/>
    <cellStyle name="_방동_추곡_율동자연공원내 화장실 보수 및 도색공사_내역서-최종0223_진해자은수량산출서(단지내)_기초산출표-56-128-최종" xfId="749" xr:uid="{00000000-0005-0000-0000-0000E3020000}"/>
    <cellStyle name="_방동_추곡_율동자연공원내 화장실 보수 및 도색공사_내역서-최종0223_진해자은수량산출서(단지내)_기초산출표-56-128-최종_00-설계서,원가계산,내역서" xfId="750" xr:uid="{00000000-0005-0000-0000-0000E4020000}"/>
    <cellStyle name="_방동_추곡_율동자연공원내 화장실 보수 및 도색공사_내역서-최종0223_진해자은수량산출서(단지내)_기초산출표-56-128-최종_설계서-1" xfId="751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52" xr:uid="{00000000-0005-0000-0000-0000E6020000}"/>
    <cellStyle name="_방동_추곡_율동자연공원내 화장실 보수 및 도색공사_내역서-최종0223_진해자은수량산출서(단지내)_설계서-1" xfId="753" xr:uid="{00000000-0005-0000-0000-0000E7020000}"/>
    <cellStyle name="_방동_추곡_율동자연공원내 화장실 보수 및 도색공사_내역서-최종0223_진해자은수량산출서(단지내)_설계서-1_00-설계서,원가계산,내역서" xfId="754" xr:uid="{00000000-0005-0000-0000-0000E8020000}"/>
    <cellStyle name="_방동_추곡_율동자연공원내 화장실 보수 및 도색공사_내역서-최종0223_진해자은수량산출서(단지내)_취합" xfId="755" xr:uid="{00000000-0005-0000-0000-0000E9020000}"/>
    <cellStyle name="_방동_추곡_율동자연공원내 화장실 보수 및 도색공사_내역서-최종0223_진해자은수량산출서(단지내)_취합_00-설계서,원가계산,내역서" xfId="756" xr:uid="{00000000-0005-0000-0000-0000EA020000}"/>
    <cellStyle name="_방동_추곡_율동자연공원내 화장실 보수 및 도색공사_내역서-최종0223_진해자은수량산출서(단지내)_취합_설계서-1" xfId="757" xr:uid="{00000000-0005-0000-0000-0000EB020000}"/>
    <cellStyle name="_방동_추곡_율동자연공원내 화장실 보수 및 도색공사_내역서-최종0223_진해자은수량산출서(단지내)_취합_설계서-1_00-설계서,원가계산,내역서" xfId="758" xr:uid="{00000000-0005-0000-0000-0000EC020000}"/>
    <cellStyle name="_방동_추곡_율동자연공원내 화장실 보수 및 도색공사_설계서-1" xfId="759" xr:uid="{00000000-0005-0000-0000-0000ED020000}"/>
    <cellStyle name="_방동_추곡_율동자연공원내 화장실 보수 및 도색공사_설계서-1_00-설계서,원가계산,내역서" xfId="760" xr:uid="{00000000-0005-0000-0000-0000EE020000}"/>
    <cellStyle name="_방동_추곡_율동자연공원내 화장실 보수 및 도색공사_진해자은수량산출서(단지내)" xfId="761" xr:uid="{00000000-0005-0000-0000-0000EF020000}"/>
    <cellStyle name="_방동_추곡_율동자연공원내 화장실 보수 및 도색공사_진해자은수량산출서(단지내)_00-설계서,원가계산,내역서" xfId="762" xr:uid="{00000000-0005-0000-0000-0000F0020000}"/>
    <cellStyle name="_방동_추곡_율동자연공원내 화장실 보수 및 도색공사_진해자은수량산출서(단지내)_기초산출표-56-128-최종" xfId="763" xr:uid="{00000000-0005-0000-0000-0000F1020000}"/>
    <cellStyle name="_방동_추곡_율동자연공원내 화장실 보수 및 도색공사_진해자은수량산출서(단지내)_기초산출표-56-128-최종_00-설계서,원가계산,내역서" xfId="764" xr:uid="{00000000-0005-0000-0000-0000F2020000}"/>
    <cellStyle name="_방동_추곡_율동자연공원내 화장실 보수 및 도색공사_진해자은수량산출서(단지내)_기초산출표-56-128-최종_설계서-1" xfId="765" xr:uid="{00000000-0005-0000-0000-0000F3020000}"/>
    <cellStyle name="_방동_추곡_율동자연공원내 화장실 보수 및 도색공사_진해자은수량산출서(단지내)_기초산출표-56-128-최종_설계서-1_00-설계서,원가계산,내역서" xfId="766" xr:uid="{00000000-0005-0000-0000-0000F4020000}"/>
    <cellStyle name="_방동_추곡_율동자연공원내 화장실 보수 및 도색공사_진해자은수량산출서(단지내)_설계서-1" xfId="767" xr:uid="{00000000-0005-0000-0000-0000F5020000}"/>
    <cellStyle name="_방동_추곡_율동자연공원내 화장실 보수 및 도색공사_진해자은수량산출서(단지내)_설계서-1_00-설계서,원가계산,내역서" xfId="768" xr:uid="{00000000-0005-0000-0000-0000F6020000}"/>
    <cellStyle name="_방동_추곡_율동자연공원내 화장실 보수 및 도색공사_진해자은수량산출서(단지내)_취합" xfId="769" xr:uid="{00000000-0005-0000-0000-0000F7020000}"/>
    <cellStyle name="_방동_추곡_율동자연공원내 화장실 보수 및 도색공사_진해자은수량산출서(단지내)_취합_00-설계서,원가계산,내역서" xfId="770" xr:uid="{00000000-0005-0000-0000-0000F8020000}"/>
    <cellStyle name="_방동_추곡_율동자연공원내 화장실 보수 및 도색공사_진해자은수량산출서(단지내)_취합_설계서-1" xfId="771" xr:uid="{00000000-0005-0000-0000-0000F9020000}"/>
    <cellStyle name="_방동_추곡_율동자연공원내 화장실 보수 및 도색공사_진해자은수량산출서(단지내)_취합_설계서-1_00-설계서,원가계산,내역서" xfId="772" xr:uid="{00000000-0005-0000-0000-0000FA020000}"/>
    <cellStyle name="_방동_추곡_율동자연공원내 휴게편의점 도색작업-할증-천정면적추가" xfId="773" xr:uid="{00000000-0005-0000-0000-0000FB020000}"/>
    <cellStyle name="_방동_추곡_율동자연공원내 휴게편의점 도색작업-할증-천정면적추가_00-설계서,원가계산,내역서" xfId="774" xr:uid="{00000000-0005-0000-0000-0000FC020000}"/>
    <cellStyle name="_방동_추곡_율동자연공원내 휴게편의점 도색작업-할증-천정면적추가_내역서-최종0223" xfId="775" xr:uid="{00000000-0005-0000-0000-0000FD020000}"/>
    <cellStyle name="_방동_추곡_율동자연공원내 휴게편의점 도색작업-할증-천정면적추가_내역서-최종0223_00-설계서,원가계산,내역서" xfId="776" xr:uid="{00000000-0005-0000-0000-0000FE020000}"/>
    <cellStyle name="_방동_추곡_율동자연공원내 휴게편의점 도색작업-할증-천정면적추가_내역서-최종0223_설계서-1" xfId="777" xr:uid="{00000000-0005-0000-0000-0000FF020000}"/>
    <cellStyle name="_방동_추곡_율동자연공원내 휴게편의점 도색작업-할증-천정면적추가_내역서-최종0223_설계서-1_00-설계서,원가계산,내역서" xfId="778" xr:uid="{00000000-0005-0000-0000-000000030000}"/>
    <cellStyle name="_방동_추곡_율동자연공원내 휴게편의점 도색작업-할증-천정면적추가_내역서-최종0223_진해자은수량산출서(단지내)" xfId="779" xr:uid="{00000000-0005-0000-0000-000001030000}"/>
    <cellStyle name="_방동_추곡_율동자연공원내 휴게편의점 도색작업-할증-천정면적추가_내역서-최종0223_진해자은수량산출서(단지내)_00-설계서,원가계산,내역서" xfId="780" xr:uid="{00000000-0005-0000-0000-000002030000}"/>
    <cellStyle name="_방동_추곡_율동자연공원내 휴게편의점 도색작업-할증-천정면적추가_내역서-최종0223_진해자은수량산출서(단지내)_기초산출표-56-128-최종" xfId="781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82" xr:uid="{00000000-0005-0000-0000-000004030000}"/>
    <cellStyle name="_방동_추곡_율동자연공원내 휴게편의점 도색작업-할증-천정면적추가_내역서-최종0223_진해자은수량산출서(단지내)_기초산출표-56-128-최종_설계서-1" xfId="783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84" xr:uid="{00000000-0005-0000-0000-000006030000}"/>
    <cellStyle name="_방동_추곡_율동자연공원내 휴게편의점 도색작업-할증-천정면적추가_내역서-최종0223_진해자은수량산출서(단지내)_설계서-1" xfId="785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86" xr:uid="{00000000-0005-0000-0000-000008030000}"/>
    <cellStyle name="_방동_추곡_율동자연공원내 휴게편의점 도색작업-할증-천정면적추가_내역서-최종0223_진해자은수량산출서(단지내)_취합" xfId="787" xr:uid="{00000000-0005-0000-0000-000009030000}"/>
    <cellStyle name="_방동_추곡_율동자연공원내 휴게편의점 도색작업-할증-천정면적추가_내역서-최종0223_진해자은수량산출서(단지내)_취합_00-설계서,원가계산,내역서" xfId="788" xr:uid="{00000000-0005-0000-0000-00000A030000}"/>
    <cellStyle name="_방동_추곡_율동자연공원내 휴게편의점 도색작업-할증-천정면적추가_내역서-최종0223_진해자은수량산출서(단지내)_취합_설계서-1" xfId="789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90" xr:uid="{00000000-0005-0000-0000-00000C030000}"/>
    <cellStyle name="_방동_추곡_율동자연공원내 휴게편의점 도색작업-할증-천정면적추가_설계서-1" xfId="791" xr:uid="{00000000-0005-0000-0000-00000D030000}"/>
    <cellStyle name="_방동_추곡_율동자연공원내 휴게편의점 도색작업-할증-천정면적추가_설계서-1_00-설계서,원가계산,내역서" xfId="792" xr:uid="{00000000-0005-0000-0000-00000E030000}"/>
    <cellStyle name="_방동_추곡_율동자연공원내 휴게편의점 도색작업-할증-천정면적추가_진해자은수량산출서(단지내)" xfId="793" xr:uid="{00000000-0005-0000-0000-00000F030000}"/>
    <cellStyle name="_방동_추곡_율동자연공원내 휴게편의점 도색작업-할증-천정면적추가_진해자은수량산출서(단지내)_00-설계서,원가계산,내역서" xfId="794" xr:uid="{00000000-0005-0000-0000-000010030000}"/>
    <cellStyle name="_방동_추곡_율동자연공원내 휴게편의점 도색작업-할증-천정면적추가_진해자은수량산출서(단지내)_기초산출표-56-128-최종" xfId="795" xr:uid="{00000000-0005-0000-0000-000011030000}"/>
    <cellStyle name="_방동_추곡_율동자연공원내 휴게편의점 도색작업-할증-천정면적추가_진해자은수량산출서(단지내)_기초산출표-56-128-최종_00-설계서,원가계산,내역서" xfId="796" xr:uid="{00000000-0005-0000-0000-000012030000}"/>
    <cellStyle name="_방동_추곡_율동자연공원내 휴게편의점 도색작업-할증-천정면적추가_진해자은수량산출서(단지내)_기초산출표-56-128-최종_설계서-1" xfId="797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98" xr:uid="{00000000-0005-0000-0000-000014030000}"/>
    <cellStyle name="_방동_추곡_율동자연공원내 휴게편의점 도색작업-할증-천정면적추가_진해자은수량산출서(단지내)_설계서-1" xfId="799" xr:uid="{00000000-0005-0000-0000-000015030000}"/>
    <cellStyle name="_방동_추곡_율동자연공원내 휴게편의점 도색작업-할증-천정면적추가_진해자은수량산출서(단지내)_설계서-1_00-설계서,원가계산,내역서" xfId="800" xr:uid="{00000000-0005-0000-0000-000016030000}"/>
    <cellStyle name="_방동_추곡_율동자연공원내 휴게편의점 도색작업-할증-천정면적추가_진해자은수량산출서(단지내)_취합" xfId="801" xr:uid="{00000000-0005-0000-0000-000017030000}"/>
    <cellStyle name="_방동_추곡_율동자연공원내 휴게편의점 도색작업-할증-천정면적추가_진해자은수량산출서(단지내)_취합_00-설계서,원가계산,내역서" xfId="802" xr:uid="{00000000-0005-0000-0000-000018030000}"/>
    <cellStyle name="_방동_추곡_율동자연공원내 휴게편의점 도색작업-할증-천정면적추가_진해자은수량산출서(단지내)_취합_설계서-1" xfId="803" xr:uid="{00000000-0005-0000-0000-000019030000}"/>
    <cellStyle name="_방동_추곡_율동자연공원내 휴게편의점 도색작업-할증-천정면적추가_진해자은수량산출서(단지내)_취합_설계서-1_00-설계서,원가계산,내역서" xfId="804" xr:uid="{00000000-0005-0000-0000-00001A030000}"/>
    <cellStyle name="_방동_추곡_이문동구간중랑천변녹화사업(수량산출서, 071127)-최종" xfId="805" xr:uid="{00000000-0005-0000-0000-00001B030000}"/>
    <cellStyle name="_방동_추곡_이문동구간중랑천변녹화사업(수량산출서, 071127)-최종_00-설계서,원가계산,내역서" xfId="806" xr:uid="{00000000-0005-0000-0000-00001C030000}"/>
    <cellStyle name="_방동_추곡_진해자은수량산출서(단지내)" xfId="807" xr:uid="{00000000-0005-0000-0000-00001D030000}"/>
    <cellStyle name="_방동_추곡_진해자은수량산출서(단지내)_00-설계서,원가계산,내역서" xfId="808" xr:uid="{00000000-0005-0000-0000-00001E030000}"/>
    <cellStyle name="_방동_추곡_진해자은수량산출서(단지내)_기초산출표-56-128-최종" xfId="809" xr:uid="{00000000-0005-0000-0000-00001F030000}"/>
    <cellStyle name="_방동_추곡_진해자은수량산출서(단지내)_기초산출표-56-128-최종_00-설계서,원가계산,내역서" xfId="810" xr:uid="{00000000-0005-0000-0000-000020030000}"/>
    <cellStyle name="_방동_추곡_진해자은수량산출서(단지내)_기초산출표-56-128-최종_설계서-1" xfId="811" xr:uid="{00000000-0005-0000-0000-000021030000}"/>
    <cellStyle name="_방동_추곡_진해자은수량산출서(단지내)_기초산출표-56-128-최종_설계서-1_00-설계서,원가계산,내역서" xfId="812" xr:uid="{00000000-0005-0000-0000-000022030000}"/>
    <cellStyle name="_방동_추곡_진해자은수량산출서(단지내)_설계서-1" xfId="813" xr:uid="{00000000-0005-0000-0000-000023030000}"/>
    <cellStyle name="_방동_추곡_진해자은수량산출서(단지내)_설계서-1_00-설계서,원가계산,내역서" xfId="814" xr:uid="{00000000-0005-0000-0000-000024030000}"/>
    <cellStyle name="_방동_추곡_진해자은수량산출서(단지내)_취합" xfId="815" xr:uid="{00000000-0005-0000-0000-000025030000}"/>
    <cellStyle name="_방동_추곡_진해자은수량산출서(단지내)_취합_00-설계서,원가계산,내역서" xfId="816" xr:uid="{00000000-0005-0000-0000-000026030000}"/>
    <cellStyle name="_방동_추곡_진해자은수량산출서(단지내)_취합_설계서-1" xfId="817" xr:uid="{00000000-0005-0000-0000-000027030000}"/>
    <cellStyle name="_방동_추곡_진해자은수량산출서(단지내)_취합_설계서-1_00-설계서,원가계산,내역서" xfId="818" xr:uid="{00000000-0005-0000-0000-000028030000}"/>
    <cellStyle name="_방동_추곡_포장" xfId="819" xr:uid="{00000000-0005-0000-0000-000029030000}"/>
    <cellStyle name="_방동_추곡_포장_00-설계서,원가계산,내역서" xfId="820" xr:uid="{00000000-0005-0000-0000-00002A030000}"/>
    <cellStyle name="_방동_추곡_포장_라멘교 토공" xfId="821" xr:uid="{00000000-0005-0000-0000-00002B030000}"/>
    <cellStyle name="_방동_추곡_포장_라멘교 토공_00-설계서,원가계산,내역서" xfId="822" xr:uid="{00000000-0005-0000-0000-00002C030000}"/>
    <cellStyle name="_방동_포장" xfId="823" xr:uid="{00000000-0005-0000-0000-00002D030000}"/>
    <cellStyle name="_방동_포장_00-설계서,원가계산,내역서" xfId="824" xr:uid="{00000000-0005-0000-0000-00002E030000}"/>
    <cellStyle name="_방동_포장_라멘교 토공" xfId="825" xr:uid="{00000000-0005-0000-0000-00002F030000}"/>
    <cellStyle name="_방동_포장_라멘교 토공_00-설계서,원가계산,내역서" xfId="826" xr:uid="{00000000-0005-0000-0000-000030030000}"/>
    <cellStyle name="_백운초통신내역(최종)" xfId="827" xr:uid="{00000000-0005-0000-0000-000031030000}"/>
    <cellStyle name="_부대토목 예정공사비(2007.09.28)" xfId="828" xr:uid="{00000000-0005-0000-0000-000032030000}"/>
    <cellStyle name="_부평점정산내역" xfId="829" xr:uid="{00000000-0005-0000-0000-000033030000}"/>
    <cellStyle name="_분전반~1" xfId="830" xr:uid="{00000000-0005-0000-0000-000034030000}"/>
    <cellStyle name="_서천공주(견적서)" xfId="831" xr:uid="{00000000-0005-0000-0000-000035030000}"/>
    <cellStyle name="_서천공주(견적서)_2004견적내역서리스트" xfId="832" xr:uid="{00000000-0005-0000-0000-000036030000}"/>
    <cellStyle name="_석은희지압보도" xfId="833" xr:uid="{00000000-0005-0000-0000-000037030000}"/>
    <cellStyle name="_석은희지압보도_00-설계서,원가계산,내역서" xfId="834" xr:uid="{00000000-0005-0000-0000-000038030000}"/>
    <cellStyle name="_석은희지압보도_내역서-최종0223" xfId="835" xr:uid="{00000000-0005-0000-0000-000039030000}"/>
    <cellStyle name="_석은희지압보도_내역서-최종0223_00-설계서,원가계산,내역서" xfId="836" xr:uid="{00000000-0005-0000-0000-00003A030000}"/>
    <cellStyle name="_석은희지압보도_내역서-최종0223_설계서-1" xfId="837" xr:uid="{00000000-0005-0000-0000-00003B030000}"/>
    <cellStyle name="_석은희지압보도_내역서-최종0223_설계서-1_00-설계서,원가계산,내역서" xfId="838" xr:uid="{00000000-0005-0000-0000-00003C030000}"/>
    <cellStyle name="_석은희지압보도_내역서-최종0223_진해자은수량산출서(단지내)" xfId="839" xr:uid="{00000000-0005-0000-0000-00003D030000}"/>
    <cellStyle name="_석은희지압보도_내역서-최종0223_진해자은수량산출서(단지내)_00-설계서,원가계산,내역서" xfId="840" xr:uid="{00000000-0005-0000-0000-00003E030000}"/>
    <cellStyle name="_석은희지압보도_내역서-최종0223_진해자은수량산출서(단지내)_기초산출표-56-128-최종" xfId="841" xr:uid="{00000000-0005-0000-0000-00003F030000}"/>
    <cellStyle name="_석은희지압보도_내역서-최종0223_진해자은수량산출서(단지내)_기초산출표-56-128-최종_00-설계서,원가계산,내역서" xfId="842" xr:uid="{00000000-0005-0000-0000-000040030000}"/>
    <cellStyle name="_석은희지압보도_내역서-최종0223_진해자은수량산출서(단지내)_기초산출표-56-128-최종_설계서-1" xfId="843" xr:uid="{00000000-0005-0000-0000-000041030000}"/>
    <cellStyle name="_석은희지압보도_내역서-최종0223_진해자은수량산출서(단지내)_기초산출표-56-128-최종_설계서-1_00-설계서,원가계산,내역서" xfId="844" xr:uid="{00000000-0005-0000-0000-000042030000}"/>
    <cellStyle name="_석은희지압보도_내역서-최종0223_진해자은수량산출서(단지내)_설계서-1" xfId="845" xr:uid="{00000000-0005-0000-0000-000043030000}"/>
    <cellStyle name="_석은희지압보도_내역서-최종0223_진해자은수량산출서(단지내)_설계서-1_00-설계서,원가계산,내역서" xfId="846" xr:uid="{00000000-0005-0000-0000-000044030000}"/>
    <cellStyle name="_석은희지압보도_내역서-최종0223_진해자은수량산출서(단지내)_취합" xfId="847" xr:uid="{00000000-0005-0000-0000-000045030000}"/>
    <cellStyle name="_석은희지압보도_내역서-최종0223_진해자은수량산출서(단지내)_취합_00-설계서,원가계산,내역서" xfId="848" xr:uid="{00000000-0005-0000-0000-000046030000}"/>
    <cellStyle name="_석은희지압보도_내역서-최종0223_진해자은수량산출서(단지내)_취합_설계서-1" xfId="849" xr:uid="{00000000-0005-0000-0000-000047030000}"/>
    <cellStyle name="_석은희지압보도_내역서-최종0223_진해자은수량산출서(단지내)_취합_설계서-1_00-설계서,원가계산,내역서" xfId="850" xr:uid="{00000000-0005-0000-0000-000048030000}"/>
    <cellStyle name="_석은희지압보도_설계서-1" xfId="851" xr:uid="{00000000-0005-0000-0000-000049030000}"/>
    <cellStyle name="_석은희지압보도_설계서-1_00-설계서,원가계산,내역서" xfId="852" xr:uid="{00000000-0005-0000-0000-00004A030000}"/>
    <cellStyle name="_석은희지압보도_진해자은수량산출서(단지내)" xfId="853" xr:uid="{00000000-0005-0000-0000-00004B030000}"/>
    <cellStyle name="_석은희지압보도_진해자은수량산출서(단지내)_00-설계서,원가계산,내역서" xfId="854" xr:uid="{00000000-0005-0000-0000-00004C030000}"/>
    <cellStyle name="_석은희지압보도_진해자은수량산출서(단지내)_기초산출표-56-128-최종" xfId="855" xr:uid="{00000000-0005-0000-0000-00004D030000}"/>
    <cellStyle name="_석은희지압보도_진해자은수량산출서(단지내)_기초산출표-56-128-최종_00-설계서,원가계산,내역서" xfId="856" xr:uid="{00000000-0005-0000-0000-00004E030000}"/>
    <cellStyle name="_석은희지압보도_진해자은수량산출서(단지내)_기초산출표-56-128-최종_설계서-1" xfId="857" xr:uid="{00000000-0005-0000-0000-00004F030000}"/>
    <cellStyle name="_석은희지압보도_진해자은수량산출서(단지내)_기초산출표-56-128-최종_설계서-1_00-설계서,원가계산,내역서" xfId="858" xr:uid="{00000000-0005-0000-0000-000050030000}"/>
    <cellStyle name="_석은희지압보도_진해자은수량산출서(단지내)_설계서-1" xfId="859" xr:uid="{00000000-0005-0000-0000-000051030000}"/>
    <cellStyle name="_석은희지압보도_진해자은수량산출서(단지내)_설계서-1_00-설계서,원가계산,내역서" xfId="860" xr:uid="{00000000-0005-0000-0000-000052030000}"/>
    <cellStyle name="_석은희지압보도_진해자은수량산출서(단지내)_취합" xfId="861" xr:uid="{00000000-0005-0000-0000-000053030000}"/>
    <cellStyle name="_석은희지압보도_진해자은수량산출서(단지내)_취합_00-설계서,원가계산,내역서" xfId="862" xr:uid="{00000000-0005-0000-0000-000054030000}"/>
    <cellStyle name="_석은희지압보도_진해자은수량산출서(단지내)_취합_설계서-1" xfId="863" xr:uid="{00000000-0005-0000-0000-000055030000}"/>
    <cellStyle name="_석은희지압보도_진해자은수량산출서(단지내)_취합_설계서-1_00-설계서,원가계산,내역서" xfId="864" xr:uid="{00000000-0005-0000-0000-000056030000}"/>
    <cellStyle name="_설계변경" xfId="865" xr:uid="{00000000-0005-0000-0000-000057030000}"/>
    <cellStyle name="_실시계획인가 예정용역비" xfId="866" xr:uid="{00000000-0005-0000-0000-000058030000}"/>
    <cellStyle name="_실시설계 공내역서" xfId="867" xr:uid="{00000000-0005-0000-0000-000059030000}"/>
    <cellStyle name="_연안권내역서(토목부문내역서)" xfId="868" xr:uid="{00000000-0005-0000-0000-00005A030000}"/>
    <cellStyle name="_연안권역특화거리조성을위한음악분수대설치" xfId="869" xr:uid="{00000000-0005-0000-0000-00005B030000}"/>
    <cellStyle name="_연안권역특화거리조성을위한음악분수대설치_00-설계서,원가계산,내역서" xfId="870" xr:uid="{00000000-0005-0000-0000-00005C030000}"/>
    <cellStyle name="_연안권역특화거리조성을위한음악분수대설치R6(제출EBS)-설비,전기,관리실" xfId="871" xr:uid="{00000000-0005-0000-0000-00005D030000}"/>
    <cellStyle name="_연안권역특화거리조성을위한음악분수대설치R6(제출EBS)-설비,전기,관리실_00-설계서,원가계산,내역서" xfId="872" xr:uid="{00000000-0005-0000-0000-00005E030000}"/>
    <cellStyle name="_영화관약전설비(수정)" xfId="873" xr:uid="{00000000-0005-0000-0000-00005F030000}"/>
    <cellStyle name="_울산롯데호텔소방전기견적서" xfId="874" xr:uid="{00000000-0005-0000-0000-000060030000}"/>
    <cellStyle name="_울산백화점 발의내역(계약단가적용)" xfId="875" xr:uid="{00000000-0005-0000-0000-000061030000}"/>
    <cellStyle name="_울산점소방전기공사(발주)" xfId="876" xr:uid="{00000000-0005-0000-0000-000062030000}"/>
    <cellStyle name="_유성약전발의내역1" xfId="877" xr:uid="{00000000-0005-0000-0000-000063030000}"/>
    <cellStyle name="_응급ES" xfId="878" xr:uid="{00000000-0005-0000-0000-000064030000}"/>
    <cellStyle name="_응급RE" xfId="879" xr:uid="{00000000-0005-0000-0000-000065030000}"/>
    <cellStyle name="_일반전기1공구" xfId="880" xr:uid="{00000000-0005-0000-0000-000066030000}"/>
    <cellStyle name="_일반전기2공구" xfId="881" xr:uid="{00000000-0005-0000-0000-000067030000}"/>
    <cellStyle name="_일반전기정산" xfId="882" xr:uid="{00000000-0005-0000-0000-000068030000}"/>
    <cellStyle name="_전기" xfId="883" xr:uid="{00000000-0005-0000-0000-000069030000}"/>
    <cellStyle name="_전력간선" xfId="884" xr:uid="{00000000-0005-0000-0000-00006A030000}"/>
    <cellStyle name="_정산세부내역(건설사정)" xfId="885" xr:uid="{00000000-0005-0000-0000-00006B030000}"/>
    <cellStyle name="_준공-약전설비공사" xfId="886" xr:uid="{00000000-0005-0000-0000-00006C030000}"/>
    <cellStyle name="_추곡" xfId="887" xr:uid="{00000000-0005-0000-0000-00006D030000}"/>
    <cellStyle name="_추곡_00-설계서,원가계산,내역서" xfId="888" xr:uid="{00000000-0005-0000-0000-00006E030000}"/>
    <cellStyle name="_추곡_내역서-최종0223" xfId="889" xr:uid="{00000000-0005-0000-0000-00006F030000}"/>
    <cellStyle name="_추곡_내역서-최종0223_00-설계서,원가계산,내역서" xfId="890" xr:uid="{00000000-0005-0000-0000-000070030000}"/>
    <cellStyle name="_추곡_내역서-최종0223_설계서-1" xfId="891" xr:uid="{00000000-0005-0000-0000-000071030000}"/>
    <cellStyle name="_추곡_내역서-최종0223_설계서-1_00-설계서,원가계산,내역서" xfId="892" xr:uid="{00000000-0005-0000-0000-000072030000}"/>
    <cellStyle name="_추곡_내역서-최종0223_진해자은수량산출서(단지내)" xfId="893" xr:uid="{00000000-0005-0000-0000-000073030000}"/>
    <cellStyle name="_추곡_내역서-최종0223_진해자은수량산출서(단지내)_00-설계서,원가계산,내역서" xfId="894" xr:uid="{00000000-0005-0000-0000-000074030000}"/>
    <cellStyle name="_추곡_내역서-최종0223_진해자은수량산출서(단지내)_기초산출표-56-128-최종" xfId="895" xr:uid="{00000000-0005-0000-0000-000075030000}"/>
    <cellStyle name="_추곡_내역서-최종0223_진해자은수량산출서(단지내)_기초산출표-56-128-최종_00-설계서,원가계산,내역서" xfId="896" xr:uid="{00000000-0005-0000-0000-000076030000}"/>
    <cellStyle name="_추곡_내역서-최종0223_진해자은수량산출서(단지내)_기초산출표-56-128-최종_설계서-1" xfId="897" xr:uid="{00000000-0005-0000-0000-000077030000}"/>
    <cellStyle name="_추곡_내역서-최종0223_진해자은수량산출서(단지내)_기초산출표-56-128-최종_설계서-1_00-설계서,원가계산,내역서" xfId="898" xr:uid="{00000000-0005-0000-0000-000078030000}"/>
    <cellStyle name="_추곡_내역서-최종0223_진해자은수량산출서(단지내)_설계서-1" xfId="899" xr:uid="{00000000-0005-0000-0000-000079030000}"/>
    <cellStyle name="_추곡_내역서-최종0223_진해자은수량산출서(단지내)_설계서-1_00-설계서,원가계산,내역서" xfId="900" xr:uid="{00000000-0005-0000-0000-00007A030000}"/>
    <cellStyle name="_추곡_내역서-최종0223_진해자은수량산출서(단지내)_취합" xfId="901" xr:uid="{00000000-0005-0000-0000-00007B030000}"/>
    <cellStyle name="_추곡_내역서-최종0223_진해자은수량산출서(단지내)_취합_00-설계서,원가계산,내역서" xfId="902" xr:uid="{00000000-0005-0000-0000-00007C030000}"/>
    <cellStyle name="_추곡_내역서-최종0223_진해자은수량산출서(단지내)_취합_설계서-1" xfId="903" xr:uid="{00000000-0005-0000-0000-00007D030000}"/>
    <cellStyle name="_추곡_내역서-최종0223_진해자은수량산출서(단지내)_취합_설계서-1_00-설계서,원가계산,내역서" xfId="904" xr:uid="{00000000-0005-0000-0000-00007E030000}"/>
    <cellStyle name="_추곡_라멘교 토공" xfId="905" xr:uid="{00000000-0005-0000-0000-00007F030000}"/>
    <cellStyle name="_추곡_라멘교 토공_00-설계서,원가계산,내역서" xfId="906" xr:uid="{00000000-0005-0000-0000-000080030000}"/>
    <cellStyle name="_추곡_설계서-1" xfId="907" xr:uid="{00000000-0005-0000-0000-000081030000}"/>
    <cellStyle name="_추곡_설계서-1_00-설계서,원가계산,내역서" xfId="908" xr:uid="{00000000-0005-0000-0000-000082030000}"/>
    <cellStyle name="_추곡_율동자연공원내 화장실 보수 및 도색공사" xfId="909" xr:uid="{00000000-0005-0000-0000-000083030000}"/>
    <cellStyle name="_추곡_율동자연공원내 화장실 보수 및 도색공사_00-설계서,원가계산,내역서" xfId="910" xr:uid="{00000000-0005-0000-0000-000084030000}"/>
    <cellStyle name="_추곡_율동자연공원내 화장실 보수 및 도색공사_내역서-최종0223" xfId="911" xr:uid="{00000000-0005-0000-0000-000085030000}"/>
    <cellStyle name="_추곡_율동자연공원내 화장실 보수 및 도색공사_내역서-최종0223_00-설계서,원가계산,내역서" xfId="912" xr:uid="{00000000-0005-0000-0000-000086030000}"/>
    <cellStyle name="_추곡_율동자연공원내 화장실 보수 및 도색공사_내역서-최종0223_설계서-1" xfId="913" xr:uid="{00000000-0005-0000-0000-000087030000}"/>
    <cellStyle name="_추곡_율동자연공원내 화장실 보수 및 도색공사_내역서-최종0223_설계서-1_00-설계서,원가계산,내역서" xfId="914" xr:uid="{00000000-0005-0000-0000-000088030000}"/>
    <cellStyle name="_추곡_율동자연공원내 화장실 보수 및 도색공사_내역서-최종0223_진해자은수량산출서(단지내)" xfId="915" xr:uid="{00000000-0005-0000-0000-000089030000}"/>
    <cellStyle name="_추곡_율동자연공원내 화장실 보수 및 도색공사_내역서-최종0223_진해자은수량산출서(단지내)_00-설계서,원가계산,내역서" xfId="916" xr:uid="{00000000-0005-0000-0000-00008A030000}"/>
    <cellStyle name="_추곡_율동자연공원내 화장실 보수 및 도색공사_내역서-최종0223_진해자은수량산출서(단지내)_기초산출표-56-128-최종" xfId="917" xr:uid="{00000000-0005-0000-0000-00008B030000}"/>
    <cellStyle name="_추곡_율동자연공원내 화장실 보수 및 도색공사_내역서-최종0223_진해자은수량산출서(단지내)_기초산출표-56-128-최종_00-설계서,원가계산,내역서" xfId="918" xr:uid="{00000000-0005-0000-0000-00008C030000}"/>
    <cellStyle name="_추곡_율동자연공원내 화장실 보수 및 도색공사_내역서-최종0223_진해자은수량산출서(단지내)_기초산출표-56-128-최종_설계서-1" xfId="919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20" xr:uid="{00000000-0005-0000-0000-00008E030000}"/>
    <cellStyle name="_추곡_율동자연공원내 화장실 보수 및 도색공사_내역서-최종0223_진해자은수량산출서(단지내)_설계서-1" xfId="921" xr:uid="{00000000-0005-0000-0000-00008F030000}"/>
    <cellStyle name="_추곡_율동자연공원내 화장실 보수 및 도색공사_내역서-최종0223_진해자은수량산출서(단지내)_설계서-1_00-설계서,원가계산,내역서" xfId="922" xr:uid="{00000000-0005-0000-0000-000090030000}"/>
    <cellStyle name="_추곡_율동자연공원내 화장실 보수 및 도색공사_내역서-최종0223_진해자은수량산출서(단지내)_취합" xfId="923" xr:uid="{00000000-0005-0000-0000-000091030000}"/>
    <cellStyle name="_추곡_율동자연공원내 화장실 보수 및 도색공사_내역서-최종0223_진해자은수량산출서(단지내)_취합_00-설계서,원가계산,내역서" xfId="924" xr:uid="{00000000-0005-0000-0000-000092030000}"/>
    <cellStyle name="_추곡_율동자연공원내 화장실 보수 및 도색공사_내역서-최종0223_진해자은수량산출서(단지내)_취합_설계서-1" xfId="925" xr:uid="{00000000-0005-0000-0000-000093030000}"/>
    <cellStyle name="_추곡_율동자연공원내 화장실 보수 및 도색공사_내역서-최종0223_진해자은수량산출서(단지내)_취합_설계서-1_00-설계서,원가계산,내역서" xfId="926" xr:uid="{00000000-0005-0000-0000-000094030000}"/>
    <cellStyle name="_추곡_율동자연공원내 화장실 보수 및 도색공사_설계서-1" xfId="927" xr:uid="{00000000-0005-0000-0000-000095030000}"/>
    <cellStyle name="_추곡_율동자연공원내 화장실 보수 및 도색공사_설계서-1_00-설계서,원가계산,내역서" xfId="928" xr:uid="{00000000-0005-0000-0000-000096030000}"/>
    <cellStyle name="_추곡_율동자연공원내 화장실 보수 및 도색공사_진해자은수량산출서(단지내)" xfId="929" xr:uid="{00000000-0005-0000-0000-000097030000}"/>
    <cellStyle name="_추곡_율동자연공원내 화장실 보수 및 도색공사_진해자은수량산출서(단지내)_00-설계서,원가계산,내역서" xfId="930" xr:uid="{00000000-0005-0000-0000-000098030000}"/>
    <cellStyle name="_추곡_율동자연공원내 화장실 보수 및 도색공사_진해자은수량산출서(단지내)_기초산출표-56-128-최종" xfId="931" xr:uid="{00000000-0005-0000-0000-000099030000}"/>
    <cellStyle name="_추곡_율동자연공원내 화장실 보수 및 도색공사_진해자은수량산출서(단지내)_기초산출표-56-128-최종_00-설계서,원가계산,내역서" xfId="932" xr:uid="{00000000-0005-0000-0000-00009A030000}"/>
    <cellStyle name="_추곡_율동자연공원내 화장실 보수 및 도색공사_진해자은수량산출서(단지내)_기초산출표-56-128-최종_설계서-1" xfId="933" xr:uid="{00000000-0005-0000-0000-00009B030000}"/>
    <cellStyle name="_추곡_율동자연공원내 화장실 보수 및 도색공사_진해자은수량산출서(단지내)_기초산출표-56-128-최종_설계서-1_00-설계서,원가계산,내역서" xfId="934" xr:uid="{00000000-0005-0000-0000-00009C030000}"/>
    <cellStyle name="_추곡_율동자연공원내 화장실 보수 및 도색공사_진해자은수량산출서(단지내)_설계서-1" xfId="935" xr:uid="{00000000-0005-0000-0000-00009D030000}"/>
    <cellStyle name="_추곡_율동자연공원내 화장실 보수 및 도색공사_진해자은수량산출서(단지내)_설계서-1_00-설계서,원가계산,내역서" xfId="936" xr:uid="{00000000-0005-0000-0000-00009E030000}"/>
    <cellStyle name="_추곡_율동자연공원내 화장실 보수 및 도색공사_진해자은수량산출서(단지내)_취합" xfId="937" xr:uid="{00000000-0005-0000-0000-00009F030000}"/>
    <cellStyle name="_추곡_율동자연공원내 화장실 보수 및 도색공사_진해자은수량산출서(단지내)_취합_00-설계서,원가계산,내역서" xfId="938" xr:uid="{00000000-0005-0000-0000-0000A0030000}"/>
    <cellStyle name="_추곡_율동자연공원내 화장실 보수 및 도색공사_진해자은수량산출서(단지내)_취합_설계서-1" xfId="939" xr:uid="{00000000-0005-0000-0000-0000A1030000}"/>
    <cellStyle name="_추곡_율동자연공원내 화장실 보수 및 도색공사_진해자은수량산출서(단지내)_취합_설계서-1_00-설계서,원가계산,내역서" xfId="940" xr:uid="{00000000-0005-0000-0000-0000A2030000}"/>
    <cellStyle name="_추곡_율동자연공원내 휴게편의점 도색작업-할증-천정면적추가" xfId="941" xr:uid="{00000000-0005-0000-0000-0000A3030000}"/>
    <cellStyle name="_추곡_율동자연공원내 휴게편의점 도색작업-할증-천정면적추가_00-설계서,원가계산,내역서" xfId="942" xr:uid="{00000000-0005-0000-0000-0000A4030000}"/>
    <cellStyle name="_추곡_율동자연공원내 휴게편의점 도색작업-할증-천정면적추가_내역서-최종0223" xfId="943" xr:uid="{00000000-0005-0000-0000-0000A5030000}"/>
    <cellStyle name="_추곡_율동자연공원내 휴게편의점 도색작업-할증-천정면적추가_내역서-최종0223_00-설계서,원가계산,내역서" xfId="944" xr:uid="{00000000-0005-0000-0000-0000A6030000}"/>
    <cellStyle name="_추곡_율동자연공원내 휴게편의점 도색작업-할증-천정면적추가_내역서-최종0223_설계서-1" xfId="945" xr:uid="{00000000-0005-0000-0000-0000A7030000}"/>
    <cellStyle name="_추곡_율동자연공원내 휴게편의점 도색작업-할증-천정면적추가_내역서-최종0223_설계서-1_00-설계서,원가계산,내역서" xfId="946" xr:uid="{00000000-0005-0000-0000-0000A8030000}"/>
    <cellStyle name="_추곡_율동자연공원내 휴게편의점 도색작업-할증-천정면적추가_내역서-최종0223_진해자은수량산출서(단지내)" xfId="947" xr:uid="{00000000-0005-0000-0000-0000A9030000}"/>
    <cellStyle name="_추곡_율동자연공원내 휴게편의점 도색작업-할증-천정면적추가_내역서-최종0223_진해자은수량산출서(단지내)_00-설계서,원가계산,내역서" xfId="948" xr:uid="{00000000-0005-0000-0000-0000AA030000}"/>
    <cellStyle name="_추곡_율동자연공원내 휴게편의점 도색작업-할증-천정면적추가_내역서-최종0223_진해자은수량산출서(단지내)_기초산출표-56-128-최종" xfId="949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50" xr:uid="{00000000-0005-0000-0000-0000AC030000}"/>
    <cellStyle name="_추곡_율동자연공원내 휴게편의점 도색작업-할증-천정면적추가_내역서-최종0223_진해자은수량산출서(단지내)_기초산출표-56-128-최종_설계서-1" xfId="951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52" xr:uid="{00000000-0005-0000-0000-0000AE030000}"/>
    <cellStyle name="_추곡_율동자연공원내 휴게편의점 도색작업-할증-천정면적추가_내역서-최종0223_진해자은수량산출서(단지내)_설계서-1" xfId="953" xr:uid="{00000000-0005-0000-0000-0000AF030000}"/>
    <cellStyle name="_추곡_율동자연공원내 휴게편의점 도색작업-할증-천정면적추가_내역서-최종0223_진해자은수량산출서(단지내)_설계서-1_00-설계서,원가계산,내역서" xfId="954" xr:uid="{00000000-0005-0000-0000-0000B0030000}"/>
    <cellStyle name="_추곡_율동자연공원내 휴게편의점 도색작업-할증-천정면적추가_내역서-최종0223_진해자은수량산출서(단지내)_취합" xfId="955" xr:uid="{00000000-0005-0000-0000-0000B1030000}"/>
    <cellStyle name="_추곡_율동자연공원내 휴게편의점 도색작업-할증-천정면적추가_내역서-최종0223_진해자은수량산출서(단지내)_취합_00-설계서,원가계산,내역서" xfId="956" xr:uid="{00000000-0005-0000-0000-0000B2030000}"/>
    <cellStyle name="_추곡_율동자연공원내 휴게편의점 도색작업-할증-천정면적추가_내역서-최종0223_진해자은수량산출서(단지내)_취합_설계서-1" xfId="957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58" xr:uid="{00000000-0005-0000-0000-0000B4030000}"/>
    <cellStyle name="_추곡_율동자연공원내 휴게편의점 도색작업-할증-천정면적추가_설계서-1" xfId="959" xr:uid="{00000000-0005-0000-0000-0000B5030000}"/>
    <cellStyle name="_추곡_율동자연공원내 휴게편의점 도색작업-할증-천정면적추가_설계서-1_00-설계서,원가계산,내역서" xfId="960" xr:uid="{00000000-0005-0000-0000-0000B6030000}"/>
    <cellStyle name="_추곡_율동자연공원내 휴게편의점 도색작업-할증-천정면적추가_진해자은수량산출서(단지내)" xfId="961" xr:uid="{00000000-0005-0000-0000-0000B7030000}"/>
    <cellStyle name="_추곡_율동자연공원내 휴게편의점 도색작업-할증-천정면적추가_진해자은수량산출서(단지내)_00-설계서,원가계산,내역서" xfId="962" xr:uid="{00000000-0005-0000-0000-0000B8030000}"/>
    <cellStyle name="_추곡_율동자연공원내 휴게편의점 도색작업-할증-천정면적추가_진해자은수량산출서(단지내)_기초산출표-56-128-최종" xfId="963" xr:uid="{00000000-0005-0000-0000-0000B9030000}"/>
    <cellStyle name="_추곡_율동자연공원내 휴게편의점 도색작업-할증-천정면적추가_진해자은수량산출서(단지내)_기초산출표-56-128-최종_00-설계서,원가계산,내역서" xfId="964" xr:uid="{00000000-0005-0000-0000-0000BA030000}"/>
    <cellStyle name="_추곡_율동자연공원내 휴게편의점 도색작업-할증-천정면적추가_진해자은수량산출서(단지내)_기초산출표-56-128-최종_설계서-1" xfId="965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66" xr:uid="{00000000-0005-0000-0000-0000BC030000}"/>
    <cellStyle name="_추곡_율동자연공원내 휴게편의점 도색작업-할증-천정면적추가_진해자은수량산출서(단지내)_설계서-1" xfId="967" xr:uid="{00000000-0005-0000-0000-0000BD030000}"/>
    <cellStyle name="_추곡_율동자연공원내 휴게편의점 도색작업-할증-천정면적추가_진해자은수량산출서(단지내)_설계서-1_00-설계서,원가계산,내역서" xfId="968" xr:uid="{00000000-0005-0000-0000-0000BE030000}"/>
    <cellStyle name="_추곡_율동자연공원내 휴게편의점 도색작업-할증-천정면적추가_진해자은수량산출서(단지내)_취합" xfId="969" xr:uid="{00000000-0005-0000-0000-0000BF030000}"/>
    <cellStyle name="_추곡_율동자연공원내 휴게편의점 도색작업-할증-천정면적추가_진해자은수량산출서(단지내)_취합_00-설계서,원가계산,내역서" xfId="970" xr:uid="{00000000-0005-0000-0000-0000C0030000}"/>
    <cellStyle name="_추곡_율동자연공원내 휴게편의점 도색작업-할증-천정면적추가_진해자은수량산출서(단지내)_취합_설계서-1" xfId="971" xr:uid="{00000000-0005-0000-0000-0000C1030000}"/>
    <cellStyle name="_추곡_율동자연공원내 휴게편의점 도색작업-할증-천정면적추가_진해자은수량산출서(단지내)_취합_설계서-1_00-설계서,원가계산,내역서" xfId="972" xr:uid="{00000000-0005-0000-0000-0000C2030000}"/>
    <cellStyle name="_추곡_이문동구간중랑천변녹화사업(수량산출서, 071127)-최종" xfId="973" xr:uid="{00000000-0005-0000-0000-0000C3030000}"/>
    <cellStyle name="_추곡_이문동구간중랑천변녹화사업(수량산출서, 071127)-최종_00-설계서,원가계산,내역서" xfId="974" xr:uid="{00000000-0005-0000-0000-0000C4030000}"/>
    <cellStyle name="_추곡_진해자은수량산출서(단지내)" xfId="975" xr:uid="{00000000-0005-0000-0000-0000C5030000}"/>
    <cellStyle name="_추곡_진해자은수량산출서(단지내)_00-설계서,원가계산,내역서" xfId="976" xr:uid="{00000000-0005-0000-0000-0000C6030000}"/>
    <cellStyle name="_추곡_진해자은수량산출서(단지내)_기초산출표-56-128-최종" xfId="977" xr:uid="{00000000-0005-0000-0000-0000C7030000}"/>
    <cellStyle name="_추곡_진해자은수량산출서(단지내)_기초산출표-56-128-최종_00-설계서,원가계산,내역서" xfId="978" xr:uid="{00000000-0005-0000-0000-0000C8030000}"/>
    <cellStyle name="_추곡_진해자은수량산출서(단지내)_기초산출표-56-128-최종_설계서-1" xfId="979" xr:uid="{00000000-0005-0000-0000-0000C9030000}"/>
    <cellStyle name="_추곡_진해자은수량산출서(단지내)_기초산출표-56-128-최종_설계서-1_00-설계서,원가계산,내역서" xfId="980" xr:uid="{00000000-0005-0000-0000-0000CA030000}"/>
    <cellStyle name="_추곡_진해자은수량산출서(단지내)_설계서-1" xfId="981" xr:uid="{00000000-0005-0000-0000-0000CB030000}"/>
    <cellStyle name="_추곡_진해자은수량산출서(단지내)_설계서-1_00-설계서,원가계산,내역서" xfId="982" xr:uid="{00000000-0005-0000-0000-0000CC030000}"/>
    <cellStyle name="_추곡_진해자은수량산출서(단지내)_취합" xfId="983" xr:uid="{00000000-0005-0000-0000-0000CD030000}"/>
    <cellStyle name="_추곡_진해자은수량산출서(단지내)_취합_00-설계서,원가계산,내역서" xfId="984" xr:uid="{00000000-0005-0000-0000-0000CE030000}"/>
    <cellStyle name="_추곡_진해자은수량산출서(단지내)_취합_설계서-1" xfId="985" xr:uid="{00000000-0005-0000-0000-0000CF030000}"/>
    <cellStyle name="_추곡_진해자은수량산출서(단지내)_취합_설계서-1_00-설계서,원가계산,내역서" xfId="986" xr:uid="{00000000-0005-0000-0000-0000D0030000}"/>
    <cellStyle name="_추곡_추곡" xfId="987" xr:uid="{00000000-0005-0000-0000-0000D1030000}"/>
    <cellStyle name="_추곡_추곡_00-설계서,원가계산,내역서" xfId="988" xr:uid="{00000000-0005-0000-0000-0000D2030000}"/>
    <cellStyle name="_추곡_추곡_내역서-최종0223" xfId="989" xr:uid="{00000000-0005-0000-0000-0000D3030000}"/>
    <cellStyle name="_추곡_추곡_내역서-최종0223_00-설계서,원가계산,내역서" xfId="990" xr:uid="{00000000-0005-0000-0000-0000D4030000}"/>
    <cellStyle name="_추곡_추곡_내역서-최종0223_설계서-1" xfId="991" xr:uid="{00000000-0005-0000-0000-0000D5030000}"/>
    <cellStyle name="_추곡_추곡_내역서-최종0223_설계서-1_00-설계서,원가계산,내역서" xfId="992" xr:uid="{00000000-0005-0000-0000-0000D6030000}"/>
    <cellStyle name="_추곡_추곡_내역서-최종0223_진해자은수량산출서(단지내)" xfId="993" xr:uid="{00000000-0005-0000-0000-0000D7030000}"/>
    <cellStyle name="_추곡_추곡_내역서-최종0223_진해자은수량산출서(단지내)_00-설계서,원가계산,내역서" xfId="994" xr:uid="{00000000-0005-0000-0000-0000D8030000}"/>
    <cellStyle name="_추곡_추곡_내역서-최종0223_진해자은수량산출서(단지내)_기초산출표-56-128-최종" xfId="995" xr:uid="{00000000-0005-0000-0000-0000D9030000}"/>
    <cellStyle name="_추곡_추곡_내역서-최종0223_진해자은수량산출서(단지내)_기초산출표-56-128-최종_00-설계서,원가계산,내역서" xfId="996" xr:uid="{00000000-0005-0000-0000-0000DA030000}"/>
    <cellStyle name="_추곡_추곡_내역서-최종0223_진해자은수량산출서(단지내)_기초산출표-56-128-최종_설계서-1" xfId="997" xr:uid="{00000000-0005-0000-0000-0000DB030000}"/>
    <cellStyle name="_추곡_추곡_내역서-최종0223_진해자은수량산출서(단지내)_기초산출표-56-128-최종_설계서-1_00-설계서,원가계산,내역서" xfId="998" xr:uid="{00000000-0005-0000-0000-0000DC030000}"/>
    <cellStyle name="_추곡_추곡_내역서-최종0223_진해자은수량산출서(단지내)_설계서-1" xfId="999" xr:uid="{00000000-0005-0000-0000-0000DD030000}"/>
    <cellStyle name="_추곡_추곡_내역서-최종0223_진해자은수량산출서(단지내)_설계서-1_00-설계서,원가계산,내역서" xfId="1000" xr:uid="{00000000-0005-0000-0000-0000DE030000}"/>
    <cellStyle name="_추곡_추곡_내역서-최종0223_진해자은수량산출서(단지내)_취합" xfId="1001" xr:uid="{00000000-0005-0000-0000-0000DF030000}"/>
    <cellStyle name="_추곡_추곡_내역서-최종0223_진해자은수량산출서(단지내)_취합_00-설계서,원가계산,내역서" xfId="1002" xr:uid="{00000000-0005-0000-0000-0000E0030000}"/>
    <cellStyle name="_추곡_추곡_내역서-최종0223_진해자은수량산출서(단지내)_취합_설계서-1" xfId="1003" xr:uid="{00000000-0005-0000-0000-0000E1030000}"/>
    <cellStyle name="_추곡_추곡_내역서-최종0223_진해자은수량산출서(단지내)_취합_설계서-1_00-설계서,원가계산,내역서" xfId="1004" xr:uid="{00000000-0005-0000-0000-0000E2030000}"/>
    <cellStyle name="_추곡_추곡_라멘교 토공" xfId="1005" xr:uid="{00000000-0005-0000-0000-0000E3030000}"/>
    <cellStyle name="_추곡_추곡_라멘교 토공_00-설계서,원가계산,내역서" xfId="1006" xr:uid="{00000000-0005-0000-0000-0000E4030000}"/>
    <cellStyle name="_추곡_추곡_설계서-1" xfId="1007" xr:uid="{00000000-0005-0000-0000-0000E5030000}"/>
    <cellStyle name="_추곡_추곡_설계서-1_00-설계서,원가계산,내역서" xfId="1008" xr:uid="{00000000-0005-0000-0000-0000E6030000}"/>
    <cellStyle name="_추곡_추곡_율동자연공원내 화장실 보수 및 도색공사" xfId="1009" xr:uid="{00000000-0005-0000-0000-0000E7030000}"/>
    <cellStyle name="_추곡_추곡_율동자연공원내 화장실 보수 및 도색공사_00-설계서,원가계산,내역서" xfId="1010" xr:uid="{00000000-0005-0000-0000-0000E8030000}"/>
    <cellStyle name="_추곡_추곡_율동자연공원내 화장실 보수 및 도색공사_내역서-최종0223" xfId="1011" xr:uid="{00000000-0005-0000-0000-0000E9030000}"/>
    <cellStyle name="_추곡_추곡_율동자연공원내 화장실 보수 및 도색공사_내역서-최종0223_00-설계서,원가계산,내역서" xfId="1012" xr:uid="{00000000-0005-0000-0000-0000EA030000}"/>
    <cellStyle name="_추곡_추곡_율동자연공원내 화장실 보수 및 도색공사_내역서-최종0223_설계서-1" xfId="1013" xr:uid="{00000000-0005-0000-0000-0000EB030000}"/>
    <cellStyle name="_추곡_추곡_율동자연공원내 화장실 보수 및 도색공사_내역서-최종0223_설계서-1_00-설계서,원가계산,내역서" xfId="1014" xr:uid="{00000000-0005-0000-0000-0000EC030000}"/>
    <cellStyle name="_추곡_추곡_율동자연공원내 화장실 보수 및 도색공사_내역서-최종0223_진해자은수량산출서(단지내)" xfId="1015" xr:uid="{00000000-0005-0000-0000-0000ED030000}"/>
    <cellStyle name="_추곡_추곡_율동자연공원내 화장실 보수 및 도색공사_내역서-최종0223_진해자은수량산출서(단지내)_00-설계서,원가계산,내역서" xfId="1016" xr:uid="{00000000-0005-0000-0000-0000EE030000}"/>
    <cellStyle name="_추곡_추곡_율동자연공원내 화장실 보수 및 도색공사_내역서-최종0223_진해자은수량산출서(단지내)_기초산출표-56-128-최종" xfId="1017" xr:uid="{00000000-0005-0000-0000-0000EF030000}"/>
    <cellStyle name="_추곡_추곡_율동자연공원내 화장실 보수 및 도색공사_내역서-최종0223_진해자은수량산출서(단지내)_기초산출표-56-128-최종_00-설계서,원가계산,내역서" xfId="1018" xr:uid="{00000000-0005-0000-0000-0000F0030000}"/>
    <cellStyle name="_추곡_추곡_율동자연공원내 화장실 보수 및 도색공사_내역서-최종0223_진해자은수량산출서(단지내)_기초산출표-56-128-최종_설계서-1" xfId="1019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20" xr:uid="{00000000-0005-0000-0000-0000F2030000}"/>
    <cellStyle name="_추곡_추곡_율동자연공원내 화장실 보수 및 도색공사_내역서-최종0223_진해자은수량산출서(단지내)_설계서-1" xfId="1021" xr:uid="{00000000-0005-0000-0000-0000F3030000}"/>
    <cellStyle name="_추곡_추곡_율동자연공원내 화장실 보수 및 도색공사_내역서-최종0223_진해자은수량산출서(단지내)_설계서-1_00-설계서,원가계산,내역서" xfId="1022" xr:uid="{00000000-0005-0000-0000-0000F4030000}"/>
    <cellStyle name="_추곡_추곡_율동자연공원내 화장실 보수 및 도색공사_내역서-최종0223_진해자은수량산출서(단지내)_취합" xfId="1023" xr:uid="{00000000-0005-0000-0000-0000F5030000}"/>
    <cellStyle name="_추곡_추곡_율동자연공원내 화장실 보수 및 도색공사_내역서-최종0223_진해자은수량산출서(단지내)_취합_00-설계서,원가계산,내역서" xfId="1024" xr:uid="{00000000-0005-0000-0000-0000F6030000}"/>
    <cellStyle name="_추곡_추곡_율동자연공원내 화장실 보수 및 도색공사_내역서-최종0223_진해자은수량산출서(단지내)_취합_설계서-1" xfId="1025" xr:uid="{00000000-0005-0000-0000-0000F7030000}"/>
    <cellStyle name="_추곡_추곡_율동자연공원내 화장실 보수 및 도색공사_내역서-최종0223_진해자은수량산출서(단지내)_취합_설계서-1_00-설계서,원가계산,내역서" xfId="1026" xr:uid="{00000000-0005-0000-0000-0000F8030000}"/>
    <cellStyle name="_추곡_추곡_율동자연공원내 화장실 보수 및 도색공사_설계서-1" xfId="1027" xr:uid="{00000000-0005-0000-0000-0000F9030000}"/>
    <cellStyle name="_추곡_추곡_율동자연공원내 화장실 보수 및 도색공사_설계서-1_00-설계서,원가계산,내역서" xfId="1028" xr:uid="{00000000-0005-0000-0000-0000FA030000}"/>
    <cellStyle name="_추곡_추곡_율동자연공원내 화장실 보수 및 도색공사_진해자은수량산출서(단지내)" xfId="1029" xr:uid="{00000000-0005-0000-0000-0000FB030000}"/>
    <cellStyle name="_추곡_추곡_율동자연공원내 화장실 보수 및 도색공사_진해자은수량산출서(단지내)_00-설계서,원가계산,내역서" xfId="1030" xr:uid="{00000000-0005-0000-0000-0000FC030000}"/>
    <cellStyle name="_추곡_추곡_율동자연공원내 화장실 보수 및 도색공사_진해자은수량산출서(단지내)_기초산출표-56-128-최종" xfId="1031" xr:uid="{00000000-0005-0000-0000-0000FD030000}"/>
    <cellStyle name="_추곡_추곡_율동자연공원내 화장실 보수 및 도색공사_진해자은수량산출서(단지내)_기초산출표-56-128-최종_00-설계서,원가계산,내역서" xfId="1032" xr:uid="{00000000-0005-0000-0000-0000FE030000}"/>
    <cellStyle name="_추곡_추곡_율동자연공원내 화장실 보수 및 도색공사_진해자은수량산출서(단지내)_기초산출표-56-128-최종_설계서-1" xfId="1033" xr:uid="{00000000-0005-0000-0000-0000FF030000}"/>
    <cellStyle name="_추곡_추곡_율동자연공원내 화장실 보수 및 도색공사_진해자은수량산출서(단지내)_기초산출표-56-128-최종_설계서-1_00-설계서,원가계산,내역서" xfId="1034" xr:uid="{00000000-0005-0000-0000-000000040000}"/>
    <cellStyle name="_추곡_추곡_율동자연공원내 화장실 보수 및 도색공사_진해자은수량산출서(단지내)_설계서-1" xfId="1035" xr:uid="{00000000-0005-0000-0000-000001040000}"/>
    <cellStyle name="_추곡_추곡_율동자연공원내 화장실 보수 및 도색공사_진해자은수량산출서(단지내)_설계서-1_00-설계서,원가계산,내역서" xfId="1036" xr:uid="{00000000-0005-0000-0000-000002040000}"/>
    <cellStyle name="_추곡_추곡_율동자연공원내 화장실 보수 및 도색공사_진해자은수량산출서(단지내)_취합" xfId="1037" xr:uid="{00000000-0005-0000-0000-000003040000}"/>
    <cellStyle name="_추곡_추곡_율동자연공원내 화장실 보수 및 도색공사_진해자은수량산출서(단지내)_취합_00-설계서,원가계산,내역서" xfId="1038" xr:uid="{00000000-0005-0000-0000-000004040000}"/>
    <cellStyle name="_추곡_추곡_율동자연공원내 화장실 보수 및 도색공사_진해자은수량산출서(단지내)_취합_설계서-1" xfId="1039" xr:uid="{00000000-0005-0000-0000-000005040000}"/>
    <cellStyle name="_추곡_추곡_율동자연공원내 화장실 보수 및 도색공사_진해자은수량산출서(단지내)_취합_설계서-1_00-설계서,원가계산,내역서" xfId="1040" xr:uid="{00000000-0005-0000-0000-000006040000}"/>
    <cellStyle name="_추곡_추곡_율동자연공원내 휴게편의점 도색작업-할증-천정면적추가" xfId="1041" xr:uid="{00000000-0005-0000-0000-000007040000}"/>
    <cellStyle name="_추곡_추곡_율동자연공원내 휴게편의점 도색작업-할증-천정면적추가_00-설계서,원가계산,내역서" xfId="1042" xr:uid="{00000000-0005-0000-0000-000008040000}"/>
    <cellStyle name="_추곡_추곡_율동자연공원내 휴게편의점 도색작업-할증-천정면적추가_내역서-최종0223" xfId="1043" xr:uid="{00000000-0005-0000-0000-000009040000}"/>
    <cellStyle name="_추곡_추곡_율동자연공원내 휴게편의점 도색작업-할증-천정면적추가_내역서-최종0223_00-설계서,원가계산,내역서" xfId="1044" xr:uid="{00000000-0005-0000-0000-00000A040000}"/>
    <cellStyle name="_추곡_추곡_율동자연공원내 휴게편의점 도색작업-할증-천정면적추가_내역서-최종0223_설계서-1" xfId="1045" xr:uid="{00000000-0005-0000-0000-00000B040000}"/>
    <cellStyle name="_추곡_추곡_율동자연공원내 휴게편의점 도색작업-할증-천정면적추가_내역서-최종0223_설계서-1_00-설계서,원가계산,내역서" xfId="1046" xr:uid="{00000000-0005-0000-0000-00000C040000}"/>
    <cellStyle name="_추곡_추곡_율동자연공원내 휴게편의점 도색작업-할증-천정면적추가_내역서-최종0223_진해자은수량산출서(단지내)" xfId="1047" xr:uid="{00000000-0005-0000-0000-00000D040000}"/>
    <cellStyle name="_추곡_추곡_율동자연공원내 휴게편의점 도색작업-할증-천정면적추가_내역서-최종0223_진해자은수량산출서(단지내)_00-설계서,원가계산,내역서" xfId="1048" xr:uid="{00000000-0005-0000-0000-00000E040000}"/>
    <cellStyle name="_추곡_추곡_율동자연공원내 휴게편의점 도색작업-할증-천정면적추가_내역서-최종0223_진해자은수량산출서(단지내)_기초산출표-56-128-최종" xfId="1049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50" xr:uid="{00000000-0005-0000-0000-000010040000}"/>
    <cellStyle name="_추곡_추곡_율동자연공원내 휴게편의점 도색작업-할증-천정면적추가_내역서-최종0223_진해자은수량산출서(단지내)_기초산출표-56-128-최종_설계서-1" xfId="1051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52" xr:uid="{00000000-0005-0000-0000-000012040000}"/>
    <cellStyle name="_추곡_추곡_율동자연공원내 휴게편의점 도색작업-할증-천정면적추가_내역서-최종0223_진해자은수량산출서(단지내)_설계서-1" xfId="1053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54" xr:uid="{00000000-0005-0000-0000-000014040000}"/>
    <cellStyle name="_추곡_추곡_율동자연공원내 휴게편의점 도색작업-할증-천정면적추가_내역서-최종0223_진해자은수량산출서(단지내)_취합" xfId="1055" xr:uid="{00000000-0005-0000-0000-000015040000}"/>
    <cellStyle name="_추곡_추곡_율동자연공원내 휴게편의점 도색작업-할증-천정면적추가_내역서-최종0223_진해자은수량산출서(단지내)_취합_00-설계서,원가계산,내역서" xfId="1056" xr:uid="{00000000-0005-0000-0000-000016040000}"/>
    <cellStyle name="_추곡_추곡_율동자연공원내 휴게편의점 도색작업-할증-천정면적추가_내역서-최종0223_진해자은수량산출서(단지내)_취합_설계서-1" xfId="1057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58" xr:uid="{00000000-0005-0000-0000-000018040000}"/>
    <cellStyle name="_추곡_추곡_율동자연공원내 휴게편의점 도색작업-할증-천정면적추가_설계서-1" xfId="1059" xr:uid="{00000000-0005-0000-0000-000019040000}"/>
    <cellStyle name="_추곡_추곡_율동자연공원내 휴게편의점 도색작업-할증-천정면적추가_설계서-1_00-설계서,원가계산,내역서" xfId="1060" xr:uid="{00000000-0005-0000-0000-00001A040000}"/>
    <cellStyle name="_추곡_추곡_율동자연공원내 휴게편의점 도색작업-할증-천정면적추가_진해자은수량산출서(단지내)" xfId="1061" xr:uid="{00000000-0005-0000-0000-00001B040000}"/>
    <cellStyle name="_추곡_추곡_율동자연공원내 휴게편의점 도색작업-할증-천정면적추가_진해자은수량산출서(단지내)_00-설계서,원가계산,내역서" xfId="1062" xr:uid="{00000000-0005-0000-0000-00001C040000}"/>
    <cellStyle name="_추곡_추곡_율동자연공원내 휴게편의점 도색작업-할증-천정면적추가_진해자은수량산출서(단지내)_기초산출표-56-128-최종" xfId="1063" xr:uid="{00000000-0005-0000-0000-00001D040000}"/>
    <cellStyle name="_추곡_추곡_율동자연공원내 휴게편의점 도색작업-할증-천정면적추가_진해자은수량산출서(단지내)_기초산출표-56-128-최종_00-설계서,원가계산,내역서" xfId="1064" xr:uid="{00000000-0005-0000-0000-00001E040000}"/>
    <cellStyle name="_추곡_추곡_율동자연공원내 휴게편의점 도색작업-할증-천정면적추가_진해자은수량산출서(단지내)_기초산출표-56-128-최종_설계서-1" xfId="1065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66" xr:uid="{00000000-0005-0000-0000-000020040000}"/>
    <cellStyle name="_추곡_추곡_율동자연공원내 휴게편의점 도색작업-할증-천정면적추가_진해자은수량산출서(단지내)_설계서-1" xfId="1067" xr:uid="{00000000-0005-0000-0000-000021040000}"/>
    <cellStyle name="_추곡_추곡_율동자연공원내 휴게편의점 도색작업-할증-천정면적추가_진해자은수량산출서(단지내)_설계서-1_00-설계서,원가계산,내역서" xfId="1068" xr:uid="{00000000-0005-0000-0000-000022040000}"/>
    <cellStyle name="_추곡_추곡_율동자연공원내 휴게편의점 도색작업-할증-천정면적추가_진해자은수량산출서(단지내)_취합" xfId="1069" xr:uid="{00000000-0005-0000-0000-000023040000}"/>
    <cellStyle name="_추곡_추곡_율동자연공원내 휴게편의점 도색작업-할증-천정면적추가_진해자은수량산출서(단지내)_취합_00-설계서,원가계산,내역서" xfId="1070" xr:uid="{00000000-0005-0000-0000-000024040000}"/>
    <cellStyle name="_추곡_추곡_율동자연공원내 휴게편의점 도색작업-할증-천정면적추가_진해자은수량산출서(단지내)_취합_설계서-1" xfId="1071" xr:uid="{00000000-0005-0000-0000-000025040000}"/>
    <cellStyle name="_추곡_추곡_율동자연공원내 휴게편의점 도색작업-할증-천정면적추가_진해자은수량산출서(단지내)_취합_설계서-1_00-설계서,원가계산,내역서" xfId="1072" xr:uid="{00000000-0005-0000-0000-000026040000}"/>
    <cellStyle name="_추곡_추곡_이문동구간중랑천변녹화사업(수량산출서, 071127)-최종" xfId="1073" xr:uid="{00000000-0005-0000-0000-000027040000}"/>
    <cellStyle name="_추곡_추곡_이문동구간중랑천변녹화사업(수량산출서, 071127)-최종_00-설계서,원가계산,내역서" xfId="1074" xr:uid="{00000000-0005-0000-0000-000028040000}"/>
    <cellStyle name="_추곡_추곡_진해자은수량산출서(단지내)" xfId="1075" xr:uid="{00000000-0005-0000-0000-000029040000}"/>
    <cellStyle name="_추곡_추곡_진해자은수량산출서(단지내)_00-설계서,원가계산,내역서" xfId="1076" xr:uid="{00000000-0005-0000-0000-00002A040000}"/>
    <cellStyle name="_추곡_추곡_진해자은수량산출서(단지내)_기초산출표-56-128-최종" xfId="1077" xr:uid="{00000000-0005-0000-0000-00002B040000}"/>
    <cellStyle name="_추곡_추곡_진해자은수량산출서(단지내)_기초산출표-56-128-최종_00-설계서,원가계산,내역서" xfId="1078" xr:uid="{00000000-0005-0000-0000-00002C040000}"/>
    <cellStyle name="_추곡_추곡_진해자은수량산출서(단지내)_기초산출표-56-128-최종_설계서-1" xfId="1079" xr:uid="{00000000-0005-0000-0000-00002D040000}"/>
    <cellStyle name="_추곡_추곡_진해자은수량산출서(단지내)_기초산출표-56-128-최종_설계서-1_00-설계서,원가계산,내역서" xfId="1080" xr:uid="{00000000-0005-0000-0000-00002E040000}"/>
    <cellStyle name="_추곡_추곡_진해자은수량산출서(단지내)_설계서-1" xfId="1081" xr:uid="{00000000-0005-0000-0000-00002F040000}"/>
    <cellStyle name="_추곡_추곡_진해자은수량산출서(단지내)_설계서-1_00-설계서,원가계산,내역서" xfId="1082" xr:uid="{00000000-0005-0000-0000-000030040000}"/>
    <cellStyle name="_추곡_추곡_진해자은수량산출서(단지내)_취합" xfId="1083" xr:uid="{00000000-0005-0000-0000-000031040000}"/>
    <cellStyle name="_추곡_추곡_진해자은수량산출서(단지내)_취합_00-설계서,원가계산,내역서" xfId="1084" xr:uid="{00000000-0005-0000-0000-000032040000}"/>
    <cellStyle name="_추곡_추곡_진해자은수량산출서(단지내)_취합_설계서-1" xfId="1085" xr:uid="{00000000-0005-0000-0000-000033040000}"/>
    <cellStyle name="_추곡_추곡_진해자은수량산출서(단지내)_취합_설계서-1_00-설계서,원가계산,내역서" xfId="1086" xr:uid="{00000000-0005-0000-0000-000034040000}"/>
    <cellStyle name="_추곡_추곡_포장" xfId="1087" xr:uid="{00000000-0005-0000-0000-000035040000}"/>
    <cellStyle name="_추곡_추곡_포장_00-설계서,원가계산,내역서" xfId="1088" xr:uid="{00000000-0005-0000-0000-000036040000}"/>
    <cellStyle name="_추곡_추곡_포장_라멘교 토공" xfId="1089" xr:uid="{00000000-0005-0000-0000-000037040000}"/>
    <cellStyle name="_추곡_추곡_포장_라멘교 토공_00-설계서,원가계산,내역서" xfId="1090" xr:uid="{00000000-0005-0000-0000-000038040000}"/>
    <cellStyle name="_추곡_포장" xfId="1091" xr:uid="{00000000-0005-0000-0000-000039040000}"/>
    <cellStyle name="_추곡_포장_00-설계서,원가계산,내역서" xfId="1092" xr:uid="{00000000-0005-0000-0000-00003A040000}"/>
    <cellStyle name="_추곡_포장_라멘교 토공" xfId="1093" xr:uid="{00000000-0005-0000-0000-00003B040000}"/>
    <cellStyle name="_추곡_포장_라멘교 토공_00-설계서,원가계산,내역서" xfId="1094" xr:uid="{00000000-0005-0000-0000-00003C040000}"/>
    <cellStyle name="_포장" xfId="1095" xr:uid="{00000000-0005-0000-0000-00003D040000}"/>
    <cellStyle name="_포장_00-설계서,원가계산,내역서" xfId="1096" xr:uid="{00000000-0005-0000-0000-00003E040000}"/>
    <cellStyle name="_포장_라멘교 토공" xfId="1097" xr:uid="{00000000-0005-0000-0000-00003F040000}"/>
    <cellStyle name="_포장_라멘교 토공_00-설계서,원가계산,내역서" xfId="1098" xr:uid="{00000000-0005-0000-0000-000040040000}"/>
    <cellStyle name="_호수SS내역서040920" xfId="1099" xr:uid="{00000000-0005-0000-0000-000041040000}"/>
    <cellStyle name="_호텔약전전기공사(1공구)-발의" xfId="1100" xr:uid="{00000000-0005-0000-0000-000042040000}"/>
    <cellStyle name="_홍보관수량참고(특성화설계서)" xfId="1101" xr:uid="{00000000-0005-0000-0000-000043040000}"/>
    <cellStyle name="_Book1" xfId="33" xr:uid="{00000000-0005-0000-0000-000017000000}"/>
    <cellStyle name="_CM공문양식(품의,협조,대외공문)" xfId="34" xr:uid="{00000000-0005-0000-0000-000018000000}"/>
    <cellStyle name="_CM양식(대외공문,협조전,품의서)" xfId="35" xr:uid="{00000000-0005-0000-0000-000019000000}"/>
    <cellStyle name="_FCST (2)" xfId="36" xr:uid="{00000000-0005-0000-0000-00001A000000}"/>
    <cellStyle name="_RE" xfId="37" xr:uid="{00000000-0005-0000-0000-00001B000000}"/>
    <cellStyle name="??&amp;O?&amp;H?_x0008__x000f__x0007_?_x0007__x0001__x0001_" xfId="21" xr:uid="{00000000-0005-0000-0000-00000B000000}"/>
    <cellStyle name="??&amp;O?&amp;H?_x0008_??_x0007__x0001__x0001_" xfId="22" xr:uid="{00000000-0005-0000-0000-00000C000000}"/>
    <cellStyle name="?曹%U?&amp;H?_x0008_?s_x000a__x0007__x0001__x0001_" xfId="24" xr:uid="{00000000-0005-0000-0000-00000E000000}"/>
    <cellStyle name="?W?_laroux" xfId="23" xr:uid="{00000000-0005-0000-0000-00000D000000}"/>
    <cellStyle name="' '" xfId="11" xr:uid="{00000000-0005-0000-0000-000001000000}"/>
    <cellStyle name="’E‰Y [0.00]_laroux" xfId="1102" xr:uid="{00000000-0005-0000-0000-000044040000}"/>
    <cellStyle name="’E‰Y_laroux" xfId="1103" xr:uid="{00000000-0005-0000-0000-000045040000}"/>
    <cellStyle name="&quot;" xfId="15" xr:uid="{00000000-0005-0000-0000-000005000000}"/>
    <cellStyle name="(##.00)" xfId="17" xr:uid="{00000000-0005-0000-0000-000007000000}"/>
    <cellStyle name="(△콤마)" xfId="18" xr:uid="{00000000-0005-0000-0000-000008000000}"/>
    <cellStyle name="(백분율)" xfId="19" xr:uid="{00000000-0005-0000-0000-000009000000}"/>
    <cellStyle name="(콤마)" xfId="20" xr:uid="{00000000-0005-0000-0000-00000A000000}"/>
    <cellStyle name="#,##0" xfId="16" xr:uid="{00000000-0005-0000-0000-000006000000}"/>
    <cellStyle name="+,-,0" xfId="1105" xr:uid="{00000000-0005-0000-0000-000047040000}"/>
    <cellStyle name="△ []" xfId="1106" xr:uid="{00000000-0005-0000-0000-000048040000}"/>
    <cellStyle name="△ [0]" xfId="1107" xr:uid="{00000000-0005-0000-0000-000049040000}"/>
    <cellStyle name="△백분율" xfId="1108" xr:uid="{00000000-0005-0000-0000-00004A040000}"/>
    <cellStyle name="△콤마" xfId="1109" xr:uid="{00000000-0005-0000-0000-00004B040000}"/>
    <cellStyle name="¤@?e_TEST-1 " xfId="1104" xr:uid="{00000000-0005-0000-0000-000046040000}"/>
    <cellStyle name="0" xfId="1113" xr:uid="{00000000-0005-0000-0000-00004F040000}"/>
    <cellStyle name="0.0" xfId="1114" xr:uid="{00000000-0005-0000-0000-000050040000}"/>
    <cellStyle name="0.00" xfId="1115" xr:uid="{00000000-0005-0000-0000-000051040000}"/>
    <cellStyle name="00" xfId="1116" xr:uid="{00000000-0005-0000-0000-000052040000}"/>
    <cellStyle name="1" xfId="1117" xr:uid="{00000000-0005-0000-0000-000053040000}"/>
    <cellStyle name="1_00-수량산출서" xfId="1118" xr:uid="{00000000-0005-0000-0000-000054040000}"/>
    <cellStyle name="1_00-예산서양식100" xfId="1119" xr:uid="{00000000-0005-0000-0000-000055040000}"/>
    <cellStyle name="1_01-내역서(071118)" xfId="1120" xr:uid="{00000000-0005-0000-0000-000056040000}"/>
    <cellStyle name="1_22수량산출서(총괄)" xfId="1122" xr:uid="{00000000-0005-0000-0000-000058040000}"/>
    <cellStyle name="1_22bl3lot수량산출" xfId="1121" xr:uid="{00000000-0005-0000-0000-000057040000}"/>
    <cellStyle name="1_강남폐기물내역" xfId="2487" xr:uid="{00000000-0005-0000-0000-0000AD090000}"/>
    <cellStyle name="1_공양식(레인보우스케이프)" xfId="2488" xr:uid="{00000000-0005-0000-0000-0000AE090000}"/>
    <cellStyle name="1_단가조사표" xfId="2489" xr:uid="{00000000-0005-0000-0000-0000AF090000}"/>
    <cellStyle name="1_단가조사표_1011소각" xfId="2490" xr:uid="{00000000-0005-0000-0000-0000B0090000}"/>
    <cellStyle name="1_단가조사표_1113교~1" xfId="2491" xr:uid="{00000000-0005-0000-0000-0000B1090000}"/>
    <cellStyle name="1_단가조사표_121내역" xfId="2492" xr:uid="{00000000-0005-0000-0000-0000B2090000}"/>
    <cellStyle name="1_단가조사표_객토량" xfId="2493" xr:uid="{00000000-0005-0000-0000-0000B3090000}"/>
    <cellStyle name="1_단가조사표_교통센~1" xfId="2494" xr:uid="{00000000-0005-0000-0000-0000B4090000}"/>
    <cellStyle name="1_단가조사표_교통센터412" xfId="2495" xr:uid="{00000000-0005-0000-0000-0000B5090000}"/>
    <cellStyle name="1_단가조사표_교통수" xfId="2496" xr:uid="{00000000-0005-0000-0000-0000B6090000}"/>
    <cellStyle name="1_단가조사표_교통수량산출서" xfId="2497" xr:uid="{00000000-0005-0000-0000-0000B7090000}"/>
    <cellStyle name="1_단가조사표_구조물대가 (2)" xfId="2498" xr:uid="{00000000-0005-0000-0000-0000B8090000}"/>
    <cellStyle name="1_단가조사표_내역서 (2)" xfId="2499" xr:uid="{00000000-0005-0000-0000-0000B9090000}"/>
    <cellStyle name="1_단가조사표_대전관저지구" xfId="2500" xr:uid="{00000000-0005-0000-0000-0000BA090000}"/>
    <cellStyle name="1_단가조사표_동측지~1" xfId="2501" xr:uid="{00000000-0005-0000-0000-0000BB090000}"/>
    <cellStyle name="1_단가조사표_동측지원422" xfId="2502" xr:uid="{00000000-0005-0000-0000-0000BC090000}"/>
    <cellStyle name="1_단가조사표_동측지원512" xfId="2503" xr:uid="{00000000-0005-0000-0000-0000BD090000}"/>
    <cellStyle name="1_단가조사표_동측지원524" xfId="2504" xr:uid="{00000000-0005-0000-0000-0000BE090000}"/>
    <cellStyle name="1_단가조사표_부대422" xfId="2505" xr:uid="{00000000-0005-0000-0000-0000BF090000}"/>
    <cellStyle name="1_단가조사표_부대시설" xfId="2506" xr:uid="{00000000-0005-0000-0000-0000C0090000}"/>
    <cellStyle name="1_단가조사표_소각수~1" xfId="2507" xr:uid="{00000000-0005-0000-0000-0000C1090000}"/>
    <cellStyle name="1_단가조사표_소각수내역서" xfId="2508" xr:uid="{00000000-0005-0000-0000-0000C2090000}"/>
    <cellStyle name="1_단가조사표_소각수목2" xfId="2509" xr:uid="{00000000-0005-0000-0000-0000C3090000}"/>
    <cellStyle name="1_단가조사표_수량산출서 (2)" xfId="2510" xr:uid="{00000000-0005-0000-0000-0000C4090000}"/>
    <cellStyle name="1_단가조사표_엑스포~1" xfId="2511" xr:uid="{00000000-0005-0000-0000-0000C5090000}"/>
    <cellStyle name="1_단가조사표_엑스포한빛1" xfId="2512" xr:uid="{00000000-0005-0000-0000-0000C6090000}"/>
    <cellStyle name="1_단가조사표_여객터미널331" xfId="2513" xr:uid="{00000000-0005-0000-0000-0000C7090000}"/>
    <cellStyle name="1_단가조사표_여객터미널513" xfId="2514" xr:uid="{00000000-0005-0000-0000-0000C8090000}"/>
    <cellStyle name="1_단가조사표_여객터미널629" xfId="2515" xr:uid="{00000000-0005-0000-0000-0000C9090000}"/>
    <cellStyle name="1_단가조사표_외곽도로616" xfId="2516" xr:uid="{00000000-0005-0000-0000-0000CA090000}"/>
    <cellStyle name="1_단가조사표_원가계~1" xfId="2517" xr:uid="{00000000-0005-0000-0000-0000CB090000}"/>
    <cellStyle name="1_단가조사표_유기질" xfId="2518" xr:uid="{00000000-0005-0000-0000-0000CC090000}"/>
    <cellStyle name="1_단가조사표_자재조서 (2)" xfId="2519" xr:uid="{00000000-0005-0000-0000-0000CD090000}"/>
    <cellStyle name="1_단가조사표_총괄내역" xfId="2520" xr:uid="{00000000-0005-0000-0000-0000CE090000}"/>
    <cellStyle name="1_단가조사표_총괄내역 (2)" xfId="2521" xr:uid="{00000000-0005-0000-0000-0000CF090000}"/>
    <cellStyle name="1_단가조사표_터미널도로403" xfId="2522" xr:uid="{00000000-0005-0000-0000-0000D0090000}"/>
    <cellStyle name="1_단가조사표_터미널도로429" xfId="2523" xr:uid="{00000000-0005-0000-0000-0000D1090000}"/>
    <cellStyle name="1_단가조사표_포장일위" xfId="2524" xr:uid="{00000000-0005-0000-0000-0000D2090000}"/>
    <cellStyle name="1_목동내역" xfId="2525" xr:uid="{00000000-0005-0000-0000-0000D3090000}"/>
    <cellStyle name="1_시민계략공사" xfId="2526" xr:uid="{00000000-0005-0000-0000-0000D4090000}"/>
    <cellStyle name="1_시민계략공사 2" xfId="2527" xr:uid="{00000000-0005-0000-0000-0000D5090000}"/>
    <cellStyle name="1_시민계략공사 3" xfId="2528" xr:uid="{00000000-0005-0000-0000-0000D6090000}"/>
    <cellStyle name="1_시민계략공사_2002년도각종계산서너릿제터널등7개소" xfId="2529" xr:uid="{00000000-0005-0000-0000-0000D7090000}"/>
    <cellStyle name="1_시민계략공사_2003년 각종계산서(읽기전용)" xfId="2530" xr:uid="{00000000-0005-0000-0000-0000D8090000}"/>
    <cellStyle name="1_시민계략공사_2003년 각종계산서(읽기전용)_00-설계서,원가계산,내역서" xfId="2531" xr:uid="{00000000-0005-0000-0000-0000D9090000}"/>
    <cellStyle name="1_시민계략공사_2003년 각종계산서(읽기전용)_내역서(전기)" xfId="2532" xr:uid="{00000000-0005-0000-0000-0000DA090000}"/>
    <cellStyle name="1_시민계략공사_2003년 각종계산서(읽기전용)_내역서(전기)_00-설계서,원가계산,내역서" xfId="2533" xr:uid="{00000000-0005-0000-0000-0000DB090000}"/>
    <cellStyle name="1_시민계략공사_각종계산서" xfId="2537" xr:uid="{00000000-0005-0000-0000-0000DF090000}"/>
    <cellStyle name="1_시민계략공사_각종계산서_00-설계서,원가계산,내역서" xfId="2538" xr:uid="{00000000-0005-0000-0000-0000E0090000}"/>
    <cellStyle name="1_시민계략공사_계산서및내역서5월9일변경" xfId="2539" xr:uid="{00000000-0005-0000-0000-0000E1090000}"/>
    <cellStyle name="1_시민계략공사_관급-(수배전반)" xfId="2540" xr:uid="{00000000-0005-0000-0000-0000E2090000}"/>
    <cellStyle name="1_시민계략공사_관급-(수배전반) 2" xfId="2541" xr:uid="{00000000-0005-0000-0000-0000E3090000}"/>
    <cellStyle name="1_시민계략공사_관급-(수배전반) 3" xfId="2542" xr:uid="{00000000-0005-0000-0000-0000E4090000}"/>
    <cellStyle name="1_시민계략공사_관급-등기구" xfId="2543" xr:uid="{00000000-0005-0000-0000-0000E5090000}"/>
    <cellStyle name="1_시민계략공사_관급-등기구 2" xfId="2544" xr:uid="{00000000-0005-0000-0000-0000E6090000}"/>
    <cellStyle name="1_시민계략공사_관급-등기구 3" xfId="2545" xr:uid="{00000000-0005-0000-0000-0000E7090000}"/>
    <cellStyle name="1_시민계략공사_관급-태양광등기구" xfId="2546" xr:uid="{00000000-0005-0000-0000-0000E8090000}"/>
    <cellStyle name="1_시민계략공사_관급-태양광등기구 2" xfId="2547" xr:uid="{00000000-0005-0000-0000-0000E9090000}"/>
    <cellStyle name="1_시민계략공사_관급-태양광등기구 3" xfId="2548" xr:uid="{00000000-0005-0000-0000-0000EA090000}"/>
    <cellStyle name="1_시민계략공사_광양중동중학교실증축공사(전기)-4월10일한번더" xfId="2549" xr:uid="{00000000-0005-0000-0000-0000EB090000}"/>
    <cellStyle name="1_시민계략공사_광양중동중학교실증축공사(전기)-4월10일한번더 2" xfId="2550" xr:uid="{00000000-0005-0000-0000-0000EC090000}"/>
    <cellStyle name="1_시민계략공사_광양중동중학교실증축공사(전기)-4월10일한번더 3" xfId="2551" xr:uid="{00000000-0005-0000-0000-0000ED090000}"/>
    <cellStyle name="1_시민계략공사_무안연꽃방죽(4월9일)한번더" xfId="2552" xr:uid="{00000000-0005-0000-0000-0000EE090000}"/>
    <cellStyle name="1_시민계략공사_무안연꽃방죽(4월9일)한번더 2" xfId="2553" xr:uid="{00000000-0005-0000-0000-0000EF090000}"/>
    <cellStyle name="1_시민계략공사_무안연꽃방죽(4월9일)한번더 3" xfId="2554" xr:uid="{00000000-0005-0000-0000-0000F0090000}"/>
    <cellStyle name="1_시민계략공사_백운초 신축 전기공사-납품-" xfId="2555" xr:uid="{00000000-0005-0000-0000-0000F1090000}"/>
    <cellStyle name="1_시민계략공사_백운초 신축 전기공사-납품- 2" xfId="2556" xr:uid="{00000000-0005-0000-0000-0000F2090000}"/>
    <cellStyle name="1_시민계략공사_백운초 신축 전기공사-납품- 3" xfId="2557" xr:uid="{00000000-0005-0000-0000-0000F3090000}"/>
    <cellStyle name="1_시민계략공사_보일약국~순국비간 도로개설 가로등설치공사" xfId="2558" xr:uid="{00000000-0005-0000-0000-0000F4090000}"/>
    <cellStyle name="1_시민계략공사_보일약국~순국비간 도로개설 가로등설치공사 2" xfId="2559" xr:uid="{00000000-0005-0000-0000-0000F5090000}"/>
    <cellStyle name="1_시민계략공사_보일약국~순국비간 도로개설 가로등설치공사 3" xfId="2560" xr:uid="{00000000-0005-0000-0000-0000F6090000}"/>
    <cellStyle name="1_시민계략공사_복지관 부하계산서" xfId="2561" xr:uid="{00000000-0005-0000-0000-0000F7090000}"/>
    <cellStyle name="1_시민계략공사_복지관 부하계산서_00-설계서,원가계산,내역서" xfId="2562" xr:uid="{00000000-0005-0000-0000-0000F8090000}"/>
    <cellStyle name="1_시민계략공사_복지관 부하계산서_내역서(전기)" xfId="2563" xr:uid="{00000000-0005-0000-0000-0000F9090000}"/>
    <cellStyle name="1_시민계략공사_복지관 부하계산서_내역서(전기)_00-설계서,원가계산,내역서" xfId="2564" xr:uid="{00000000-0005-0000-0000-0000FA090000}"/>
    <cellStyle name="1_시민계략공사_봉산면보건지소신축공사(전기)11월30일변경" xfId="2565" xr:uid="{00000000-0005-0000-0000-0000FB090000}"/>
    <cellStyle name="1_시민계략공사_봉산면보건지소신축공사(전기)11월30일변경 2" xfId="2566" xr:uid="{00000000-0005-0000-0000-0000FC090000}"/>
    <cellStyle name="1_시민계략공사_봉산면보건지소신축공사(전기)11월30일변경 3" xfId="2567" xr:uid="{00000000-0005-0000-0000-0000FD090000}"/>
    <cellStyle name="1_시민계략공사_북문로(팔마로)가로등설치공사(변경)3월11일" xfId="2568" xr:uid="{00000000-0005-0000-0000-0000FE090000}"/>
    <cellStyle name="1_시민계략공사_북문로(팔마로)가로등설치공사(변경)3월11일 2" xfId="2569" xr:uid="{00000000-0005-0000-0000-0000FF090000}"/>
    <cellStyle name="1_시민계략공사_북문로(팔마로)가로등설치공사(변경)3월11일 3" xfId="2570" xr:uid="{00000000-0005-0000-0000-0000000A0000}"/>
    <cellStyle name="1_시민계략공사_북문로(팔마로)가로등설치공사NO34번까지시행분" xfId="2571" xr:uid="{00000000-0005-0000-0000-0000010A0000}"/>
    <cellStyle name="1_시민계략공사_북문로(팔마로)가로등설치공사NO34번까지시행분 2" xfId="2572" xr:uid="{00000000-0005-0000-0000-0000020A0000}"/>
    <cellStyle name="1_시민계략공사_북문로(팔마로)가로등설치공사NO34번까지시행분 3" xfId="2573" xr:uid="{00000000-0005-0000-0000-0000030A0000}"/>
    <cellStyle name="1_시민계략공사_북문로(팔마로)교통신호등설치공사NO34번까지" xfId="2574" xr:uid="{00000000-0005-0000-0000-0000040A0000}"/>
    <cellStyle name="1_시민계략공사_북문로(팔마로)교통신호등설치공사NO34번까지 2" xfId="2575" xr:uid="{00000000-0005-0000-0000-0000050A0000}"/>
    <cellStyle name="1_시민계략공사_북문로(팔마로)교통신호등설치공사NO34번까지 3" xfId="2576" xr:uid="{00000000-0005-0000-0000-0000060A0000}"/>
    <cellStyle name="1_시민계략공사_북문팔마로확포장공사가로등" xfId="2577" xr:uid="{00000000-0005-0000-0000-0000070A0000}"/>
    <cellStyle name="1_시민계략공사_북문팔마로확포장공사가로등 2" xfId="2578" xr:uid="{00000000-0005-0000-0000-0000080A0000}"/>
    <cellStyle name="1_시민계략공사_북문팔마로확포장공사가로등 3" xfId="2579" xr:uid="{00000000-0005-0000-0000-0000090A0000}"/>
    <cellStyle name="1_시민계략공사_비상부하,발전기용량 계산서" xfId="2580" xr:uid="{00000000-0005-0000-0000-00000A0A0000}"/>
    <cellStyle name="1_시민계략공사_비상부하,발전기용량 계산서_00-설계서,원가계산,내역서" xfId="2581" xr:uid="{00000000-0005-0000-0000-00000B0A0000}"/>
    <cellStyle name="1_시민계략공사_비상부하,발전기용량 계산서_내역서(전기)" xfId="2582" xr:uid="{00000000-0005-0000-0000-00000C0A0000}"/>
    <cellStyle name="1_시민계략공사_비상부하,발전기용량 계산서_내역서(전기)_00-설계서,원가계산,내역서" xfId="2583" xr:uid="{00000000-0005-0000-0000-00000D0A0000}"/>
    <cellStyle name="1_시민계략공사_여수오동도분수(사급)R2" xfId="2584" xr:uid="{00000000-0005-0000-0000-00000E0A0000}"/>
    <cellStyle name="1_시민계략공사_여수오동도분수(사급)R2 2" xfId="2585" xr:uid="{00000000-0005-0000-0000-00000F0A0000}"/>
    <cellStyle name="1_시민계략공사_여수오동도분수(사급)R2 3" xfId="2586" xr:uid="{00000000-0005-0000-0000-0000100A0000}"/>
    <cellStyle name="1_시민계략공사_오동도음악분수수전설비공사(1차전기)" xfId="2587" xr:uid="{00000000-0005-0000-0000-0000110A0000}"/>
    <cellStyle name="1_시민계략공사_율촌중학교심야전기" xfId="2588" xr:uid="{00000000-0005-0000-0000-0000120A0000}"/>
    <cellStyle name="1_시민계략공사_율촌중학교심야전기 2" xfId="2589" xr:uid="{00000000-0005-0000-0000-0000130A0000}"/>
    <cellStyle name="1_시민계략공사_율촌중학교심야전기 3" xfId="2590" xr:uid="{00000000-0005-0000-0000-0000140A0000}"/>
    <cellStyle name="1_시민계략공사_전기-한남" xfId="2591" xr:uid="{00000000-0005-0000-0000-0000150A0000}"/>
    <cellStyle name="1_시민계략공사_조도계산서" xfId="2592" xr:uid="{00000000-0005-0000-0000-0000160A0000}"/>
    <cellStyle name="1_시민계략공사_조도계산서_00-설계서,원가계산,내역서" xfId="2593" xr:uid="{00000000-0005-0000-0000-0000170A0000}"/>
    <cellStyle name="1_시민계략공사_조도계산서_내역서(전기)" xfId="2594" xr:uid="{00000000-0005-0000-0000-0000180A0000}"/>
    <cellStyle name="1_시민계략공사_조도계산서_내역서(전기)_00-설계서,원가계산,내역서" xfId="2595" xr:uid="{00000000-0005-0000-0000-0000190A0000}"/>
    <cellStyle name="1_시민계략공사_Book2" xfId="2534" xr:uid="{00000000-0005-0000-0000-0000DC090000}"/>
    <cellStyle name="1_시민계략공사_Book2 2" xfId="2535" xr:uid="{00000000-0005-0000-0000-0000DD090000}"/>
    <cellStyle name="1_시민계략공사_Book2 3" xfId="2536" xr:uid="{00000000-0005-0000-0000-0000DE090000}"/>
    <cellStyle name="1_연안권역특화거리조성을위한음악분수대설치R6(제출EBS)-설비,전기,관리실" xfId="2596" xr:uid="{00000000-0005-0000-0000-00001A0A0000}"/>
    <cellStyle name="1_이문동(철거수량산출서)-1" xfId="2597" xr:uid="{00000000-0005-0000-0000-00001B0A0000}"/>
    <cellStyle name="1_이문동구간중랑천변녹화사업(수량산출서, 071127)-최종" xfId="2598" xr:uid="{00000000-0005-0000-0000-00001C0A0000}"/>
    <cellStyle name="1_일위대가공식2004" xfId="2599" xr:uid="{00000000-0005-0000-0000-00001D0A0000}"/>
    <cellStyle name="1_일위대가공식2005" xfId="2600" xr:uid="{00000000-0005-0000-0000-00001E0A0000}"/>
    <cellStyle name="1_폐기물" xfId="2601" xr:uid="{00000000-0005-0000-0000-00001F0A0000}"/>
    <cellStyle name="1_폐기물집계" xfId="2602" xr:uid="{00000000-0005-0000-0000-0000200A0000}"/>
    <cellStyle name="1_현충묘지-수량산출서" xfId="2603" xr:uid="{00000000-0005-0000-0000-0000210A0000}"/>
    <cellStyle name="1_laroux" xfId="1123" xr:uid="{00000000-0005-0000-0000-000059040000}"/>
    <cellStyle name="1_laroux_ATC-YOON1" xfId="1124" xr:uid="{00000000-0005-0000-0000-00005A040000}"/>
    <cellStyle name="1_total" xfId="1125" xr:uid="{00000000-0005-0000-0000-00005B040000}"/>
    <cellStyle name="1_total_00-설계서,원가계산,내역서" xfId="1126" xr:uid="{00000000-0005-0000-0000-00005C040000}"/>
    <cellStyle name="1_total_00-수량산출서" xfId="1127" xr:uid="{00000000-0005-0000-0000-00005D040000}"/>
    <cellStyle name="1_total_00-수량산출서_00-설계서,원가계산,내역서" xfId="1128" xr:uid="{00000000-0005-0000-0000-00005E040000}"/>
    <cellStyle name="1_total_01-내역서(071118)" xfId="1129" xr:uid="{00000000-0005-0000-0000-00005F040000}"/>
    <cellStyle name="1_total_01-내역서(071118)_00-설계서,원가계산,내역서" xfId="1130" xr:uid="{00000000-0005-0000-0000-000060040000}"/>
    <cellStyle name="1_total_구로리총괄내역" xfId="1131" xr:uid="{00000000-0005-0000-0000-000061040000}"/>
    <cellStyle name="1_total_구로리총괄내역_00-설계서,원가계산,내역서" xfId="1132" xr:uid="{00000000-0005-0000-0000-000062040000}"/>
    <cellStyle name="1_total_구로리총괄내역_구로리설계예산서1029" xfId="1133" xr:uid="{00000000-0005-0000-0000-000063040000}"/>
    <cellStyle name="1_total_구로리총괄내역_구로리설계예산서1029_00-설계서,원가계산,내역서" xfId="1134" xr:uid="{00000000-0005-0000-0000-000064040000}"/>
    <cellStyle name="1_total_구로리총괄내역_구로리설계예산서1029_설계서-1" xfId="1135" xr:uid="{00000000-0005-0000-0000-000065040000}"/>
    <cellStyle name="1_total_구로리총괄내역_구로리설계예산서1029_설계서-1_00-설계서,원가계산,내역서" xfId="1136" xr:uid="{00000000-0005-0000-0000-000066040000}"/>
    <cellStyle name="1_total_구로리총괄내역_구로리설계예산서1029_진해자은수량산출서(단지내)" xfId="1137" xr:uid="{00000000-0005-0000-0000-000067040000}"/>
    <cellStyle name="1_total_구로리총괄내역_구로리설계예산서1029_진해자은수량산출서(단지내)_00-설계서,원가계산,내역서" xfId="1138" xr:uid="{00000000-0005-0000-0000-000068040000}"/>
    <cellStyle name="1_total_구로리총괄내역_구로리설계예산서1029_진해자은수량산출서(단지내)_기초산출표-56-128-최종" xfId="1139" xr:uid="{00000000-0005-0000-0000-000069040000}"/>
    <cellStyle name="1_total_구로리총괄내역_구로리설계예산서1029_진해자은수량산출서(단지내)_기초산출표-56-128-최종_00-설계서,원가계산,내역서" xfId="1140" xr:uid="{00000000-0005-0000-0000-00006A040000}"/>
    <cellStyle name="1_total_구로리총괄내역_구로리설계예산서1029_진해자은수량산출서(단지내)_기초산출표-56-128-최종_설계서-1" xfId="1141" xr:uid="{00000000-0005-0000-0000-00006B040000}"/>
    <cellStyle name="1_total_구로리총괄내역_구로리설계예산서1029_진해자은수량산출서(단지내)_기초산출표-56-128-최종_설계서-1_00-설계서,원가계산,내역서" xfId="1142" xr:uid="{00000000-0005-0000-0000-00006C040000}"/>
    <cellStyle name="1_total_구로리총괄내역_구로리설계예산서1029_진해자은수량산출서(단지내)_설계서-1" xfId="1143" xr:uid="{00000000-0005-0000-0000-00006D040000}"/>
    <cellStyle name="1_total_구로리총괄내역_구로리설계예산서1029_진해자은수량산출서(단지내)_설계서-1_00-설계서,원가계산,내역서" xfId="1144" xr:uid="{00000000-0005-0000-0000-00006E040000}"/>
    <cellStyle name="1_total_구로리총괄내역_구로리설계예산서1029_진해자은수량산출서(단지내)_취합" xfId="1145" xr:uid="{00000000-0005-0000-0000-00006F040000}"/>
    <cellStyle name="1_total_구로리총괄내역_구로리설계예산서1029_진해자은수량산출서(단지내)_취합_00-설계서,원가계산,내역서" xfId="1146" xr:uid="{00000000-0005-0000-0000-000070040000}"/>
    <cellStyle name="1_total_구로리총괄내역_구로리설계예산서1029_진해자은수량산출서(단지내)_취합_설계서-1" xfId="1147" xr:uid="{00000000-0005-0000-0000-000071040000}"/>
    <cellStyle name="1_total_구로리총괄내역_구로리설계예산서1029_진해자은수량산출서(단지내)_취합_설계서-1_00-설계서,원가계산,내역서" xfId="1148" xr:uid="{00000000-0005-0000-0000-000072040000}"/>
    <cellStyle name="1_total_구로리총괄내역_구로리설계예산서1118준공" xfId="1149" xr:uid="{00000000-0005-0000-0000-000073040000}"/>
    <cellStyle name="1_total_구로리총괄내역_구로리설계예산서1118준공_00-설계서,원가계산,내역서" xfId="1150" xr:uid="{00000000-0005-0000-0000-000074040000}"/>
    <cellStyle name="1_total_구로리총괄내역_구로리설계예산서1118준공_설계서-1" xfId="1151" xr:uid="{00000000-0005-0000-0000-000075040000}"/>
    <cellStyle name="1_total_구로리총괄내역_구로리설계예산서1118준공_설계서-1_00-설계서,원가계산,내역서" xfId="1152" xr:uid="{00000000-0005-0000-0000-000076040000}"/>
    <cellStyle name="1_total_구로리총괄내역_구로리설계예산서1118준공_진해자은수량산출서(단지내)" xfId="1153" xr:uid="{00000000-0005-0000-0000-000077040000}"/>
    <cellStyle name="1_total_구로리총괄내역_구로리설계예산서1118준공_진해자은수량산출서(단지내)_00-설계서,원가계산,내역서" xfId="1154" xr:uid="{00000000-0005-0000-0000-000078040000}"/>
    <cellStyle name="1_total_구로리총괄내역_구로리설계예산서1118준공_진해자은수량산출서(단지내)_기초산출표-56-128-최종" xfId="1155" xr:uid="{00000000-0005-0000-0000-000079040000}"/>
    <cellStyle name="1_total_구로리총괄내역_구로리설계예산서1118준공_진해자은수량산출서(단지내)_기초산출표-56-128-최종_00-설계서,원가계산,내역서" xfId="1156" xr:uid="{00000000-0005-0000-0000-00007A040000}"/>
    <cellStyle name="1_total_구로리총괄내역_구로리설계예산서1118준공_진해자은수량산출서(단지내)_기초산출표-56-128-최종_설계서-1" xfId="1157" xr:uid="{00000000-0005-0000-0000-00007B040000}"/>
    <cellStyle name="1_total_구로리총괄내역_구로리설계예산서1118준공_진해자은수량산출서(단지내)_기초산출표-56-128-최종_설계서-1_00-설계서,원가계산,내역서" xfId="1158" xr:uid="{00000000-0005-0000-0000-00007C040000}"/>
    <cellStyle name="1_total_구로리총괄내역_구로리설계예산서1118준공_진해자은수량산출서(단지내)_설계서-1" xfId="1159" xr:uid="{00000000-0005-0000-0000-00007D040000}"/>
    <cellStyle name="1_total_구로리총괄내역_구로리설계예산서1118준공_진해자은수량산출서(단지내)_설계서-1_00-설계서,원가계산,내역서" xfId="1160" xr:uid="{00000000-0005-0000-0000-00007E040000}"/>
    <cellStyle name="1_total_구로리총괄내역_구로리설계예산서1118준공_진해자은수량산출서(단지내)_취합" xfId="1161" xr:uid="{00000000-0005-0000-0000-00007F040000}"/>
    <cellStyle name="1_total_구로리총괄내역_구로리설계예산서1118준공_진해자은수량산출서(단지내)_취합_00-설계서,원가계산,내역서" xfId="1162" xr:uid="{00000000-0005-0000-0000-000080040000}"/>
    <cellStyle name="1_total_구로리총괄내역_구로리설계예산서1118준공_진해자은수량산출서(단지내)_취합_설계서-1" xfId="1163" xr:uid="{00000000-0005-0000-0000-000081040000}"/>
    <cellStyle name="1_total_구로리총괄내역_구로리설계예산서1118준공_진해자은수량산출서(단지내)_취합_설계서-1_00-설계서,원가계산,내역서" xfId="1164" xr:uid="{00000000-0005-0000-0000-000082040000}"/>
    <cellStyle name="1_total_구로리총괄내역_구로리설계예산서조경" xfId="1165" xr:uid="{00000000-0005-0000-0000-000083040000}"/>
    <cellStyle name="1_total_구로리총괄내역_구로리설계예산서조경_00-설계서,원가계산,내역서" xfId="1166" xr:uid="{00000000-0005-0000-0000-000084040000}"/>
    <cellStyle name="1_total_구로리총괄내역_구로리설계예산서조경_설계서-1" xfId="1167" xr:uid="{00000000-0005-0000-0000-000085040000}"/>
    <cellStyle name="1_total_구로리총괄내역_구로리설계예산서조경_설계서-1_00-설계서,원가계산,내역서" xfId="1168" xr:uid="{00000000-0005-0000-0000-000086040000}"/>
    <cellStyle name="1_total_구로리총괄내역_구로리설계예산서조경_진해자은수량산출서(단지내)" xfId="1169" xr:uid="{00000000-0005-0000-0000-000087040000}"/>
    <cellStyle name="1_total_구로리총괄내역_구로리설계예산서조경_진해자은수량산출서(단지내)_00-설계서,원가계산,내역서" xfId="1170" xr:uid="{00000000-0005-0000-0000-000088040000}"/>
    <cellStyle name="1_total_구로리총괄내역_구로리설계예산서조경_진해자은수량산출서(단지내)_기초산출표-56-128-최종" xfId="1171" xr:uid="{00000000-0005-0000-0000-000089040000}"/>
    <cellStyle name="1_total_구로리총괄내역_구로리설계예산서조경_진해자은수량산출서(단지내)_기초산출표-56-128-최종_00-설계서,원가계산,내역서" xfId="1172" xr:uid="{00000000-0005-0000-0000-00008A040000}"/>
    <cellStyle name="1_total_구로리총괄내역_구로리설계예산서조경_진해자은수량산출서(단지내)_기초산출표-56-128-최종_설계서-1" xfId="1173" xr:uid="{00000000-0005-0000-0000-00008B040000}"/>
    <cellStyle name="1_total_구로리총괄내역_구로리설계예산서조경_진해자은수량산출서(단지내)_기초산출표-56-128-최종_설계서-1_00-설계서,원가계산,내역서" xfId="1174" xr:uid="{00000000-0005-0000-0000-00008C040000}"/>
    <cellStyle name="1_total_구로리총괄내역_구로리설계예산서조경_진해자은수량산출서(단지내)_설계서-1" xfId="1175" xr:uid="{00000000-0005-0000-0000-00008D040000}"/>
    <cellStyle name="1_total_구로리총괄내역_구로리설계예산서조경_진해자은수량산출서(단지내)_설계서-1_00-설계서,원가계산,내역서" xfId="1176" xr:uid="{00000000-0005-0000-0000-00008E040000}"/>
    <cellStyle name="1_total_구로리총괄내역_구로리설계예산서조경_진해자은수량산출서(단지내)_취합" xfId="1177" xr:uid="{00000000-0005-0000-0000-00008F040000}"/>
    <cellStyle name="1_total_구로리총괄내역_구로리설계예산서조경_진해자은수량산출서(단지내)_취합_00-설계서,원가계산,내역서" xfId="1178" xr:uid="{00000000-0005-0000-0000-000090040000}"/>
    <cellStyle name="1_total_구로리총괄내역_구로리설계예산서조경_진해자은수량산출서(단지내)_취합_설계서-1" xfId="1179" xr:uid="{00000000-0005-0000-0000-000091040000}"/>
    <cellStyle name="1_total_구로리총괄내역_구로리설계예산서조경_진해자은수량산출서(단지내)_취합_설계서-1_00-설계서,원가계산,내역서" xfId="1180" xr:uid="{00000000-0005-0000-0000-000092040000}"/>
    <cellStyle name="1_total_구로리총괄내역_구로리어린이공원예산서(조경)1125" xfId="1181" xr:uid="{00000000-0005-0000-0000-000093040000}"/>
    <cellStyle name="1_total_구로리총괄내역_구로리어린이공원예산서(조경)1125_00-설계서,원가계산,내역서" xfId="1182" xr:uid="{00000000-0005-0000-0000-000094040000}"/>
    <cellStyle name="1_total_구로리총괄내역_구로리어린이공원예산서(조경)1125_설계서-1" xfId="1183" xr:uid="{00000000-0005-0000-0000-000095040000}"/>
    <cellStyle name="1_total_구로리총괄내역_구로리어린이공원예산서(조경)1125_설계서-1_00-설계서,원가계산,내역서" xfId="1184" xr:uid="{00000000-0005-0000-0000-000096040000}"/>
    <cellStyle name="1_total_구로리총괄내역_구로리어린이공원예산서(조경)1125_진해자은수량산출서(단지내)" xfId="1185" xr:uid="{00000000-0005-0000-0000-000097040000}"/>
    <cellStyle name="1_total_구로리총괄내역_구로리어린이공원예산서(조경)1125_진해자은수량산출서(단지내)_00-설계서,원가계산,내역서" xfId="1186" xr:uid="{00000000-0005-0000-0000-000098040000}"/>
    <cellStyle name="1_total_구로리총괄내역_구로리어린이공원예산서(조경)1125_진해자은수량산출서(단지내)_기초산출표-56-128-최종" xfId="1187" xr:uid="{00000000-0005-0000-0000-000099040000}"/>
    <cellStyle name="1_total_구로리총괄내역_구로리어린이공원예산서(조경)1125_진해자은수량산출서(단지내)_기초산출표-56-128-최종_00-설계서,원가계산,내역서" xfId="1188" xr:uid="{00000000-0005-0000-0000-00009A040000}"/>
    <cellStyle name="1_total_구로리총괄내역_구로리어린이공원예산서(조경)1125_진해자은수량산출서(단지내)_기초산출표-56-128-최종_설계서-1" xfId="1189" xr:uid="{00000000-0005-0000-0000-00009B040000}"/>
    <cellStyle name="1_total_구로리총괄내역_구로리어린이공원예산서(조경)1125_진해자은수량산출서(단지내)_기초산출표-56-128-최종_설계서-1_00-설계서,원가계산,내역서" xfId="1190" xr:uid="{00000000-0005-0000-0000-00009C040000}"/>
    <cellStyle name="1_total_구로리총괄내역_구로리어린이공원예산서(조경)1125_진해자은수량산출서(단지내)_설계서-1" xfId="1191" xr:uid="{00000000-0005-0000-0000-00009D040000}"/>
    <cellStyle name="1_total_구로리총괄내역_구로리어린이공원예산서(조경)1125_진해자은수량산출서(단지내)_설계서-1_00-설계서,원가계산,내역서" xfId="1192" xr:uid="{00000000-0005-0000-0000-00009E040000}"/>
    <cellStyle name="1_total_구로리총괄내역_구로리어린이공원예산서(조경)1125_진해자은수량산출서(단지내)_취합" xfId="1193" xr:uid="{00000000-0005-0000-0000-00009F040000}"/>
    <cellStyle name="1_total_구로리총괄내역_구로리어린이공원예산서(조경)1125_진해자은수량산출서(단지내)_취합_00-설계서,원가계산,내역서" xfId="1194" xr:uid="{00000000-0005-0000-0000-0000A0040000}"/>
    <cellStyle name="1_total_구로리총괄내역_구로리어린이공원예산서(조경)1125_진해자은수량산출서(단지내)_취합_설계서-1" xfId="1195" xr:uid="{00000000-0005-0000-0000-0000A1040000}"/>
    <cellStyle name="1_total_구로리총괄내역_구로리어린이공원예산서(조경)1125_진해자은수량산출서(단지내)_취합_설계서-1_00-설계서,원가계산,내역서" xfId="1196" xr:uid="{00000000-0005-0000-0000-0000A2040000}"/>
    <cellStyle name="1_total_구로리총괄내역_내역서" xfId="1197" xr:uid="{00000000-0005-0000-0000-0000A3040000}"/>
    <cellStyle name="1_total_구로리총괄내역_내역서_00-설계서,원가계산,내역서" xfId="1198" xr:uid="{00000000-0005-0000-0000-0000A4040000}"/>
    <cellStyle name="1_total_구로리총괄내역_내역서_설계서-1" xfId="1199" xr:uid="{00000000-0005-0000-0000-0000A5040000}"/>
    <cellStyle name="1_total_구로리총괄내역_내역서_설계서-1_00-설계서,원가계산,내역서" xfId="1200" xr:uid="{00000000-0005-0000-0000-0000A6040000}"/>
    <cellStyle name="1_total_구로리총괄내역_내역서_진해자은수량산출서(단지내)" xfId="1201" xr:uid="{00000000-0005-0000-0000-0000A7040000}"/>
    <cellStyle name="1_total_구로리총괄내역_내역서_진해자은수량산출서(단지내)_00-설계서,원가계산,내역서" xfId="1202" xr:uid="{00000000-0005-0000-0000-0000A8040000}"/>
    <cellStyle name="1_total_구로리총괄내역_내역서_진해자은수량산출서(단지내)_기초산출표-56-128-최종" xfId="1203" xr:uid="{00000000-0005-0000-0000-0000A9040000}"/>
    <cellStyle name="1_total_구로리총괄내역_내역서_진해자은수량산출서(단지내)_기초산출표-56-128-최종_00-설계서,원가계산,내역서" xfId="1204" xr:uid="{00000000-0005-0000-0000-0000AA040000}"/>
    <cellStyle name="1_total_구로리총괄내역_내역서_진해자은수량산출서(단지내)_기초산출표-56-128-최종_설계서-1" xfId="1205" xr:uid="{00000000-0005-0000-0000-0000AB040000}"/>
    <cellStyle name="1_total_구로리총괄내역_내역서_진해자은수량산출서(단지내)_기초산출표-56-128-최종_설계서-1_00-설계서,원가계산,내역서" xfId="1206" xr:uid="{00000000-0005-0000-0000-0000AC040000}"/>
    <cellStyle name="1_total_구로리총괄내역_내역서_진해자은수량산출서(단지내)_설계서-1" xfId="1207" xr:uid="{00000000-0005-0000-0000-0000AD040000}"/>
    <cellStyle name="1_total_구로리총괄내역_내역서_진해자은수량산출서(단지내)_설계서-1_00-설계서,원가계산,내역서" xfId="1208" xr:uid="{00000000-0005-0000-0000-0000AE040000}"/>
    <cellStyle name="1_total_구로리총괄내역_내역서_진해자은수량산출서(단지내)_취합" xfId="1209" xr:uid="{00000000-0005-0000-0000-0000AF040000}"/>
    <cellStyle name="1_total_구로리총괄내역_내역서_진해자은수량산출서(단지내)_취합_00-설계서,원가계산,내역서" xfId="1210" xr:uid="{00000000-0005-0000-0000-0000B0040000}"/>
    <cellStyle name="1_total_구로리총괄내역_내역서_진해자은수량산출서(단지내)_취합_설계서-1" xfId="1211" xr:uid="{00000000-0005-0000-0000-0000B1040000}"/>
    <cellStyle name="1_total_구로리총괄내역_내역서_진해자은수량산출서(단지내)_취합_설계서-1_00-설계서,원가계산,내역서" xfId="1212" xr:uid="{00000000-0005-0000-0000-0000B2040000}"/>
    <cellStyle name="1_total_구로리총괄내역_노임단가표" xfId="1213" xr:uid="{00000000-0005-0000-0000-0000B3040000}"/>
    <cellStyle name="1_total_구로리총괄내역_노임단가표_00-설계서,원가계산,내역서" xfId="1214" xr:uid="{00000000-0005-0000-0000-0000B4040000}"/>
    <cellStyle name="1_total_구로리총괄내역_노임단가표_설계서-1" xfId="1215" xr:uid="{00000000-0005-0000-0000-0000B5040000}"/>
    <cellStyle name="1_total_구로리총괄내역_노임단가표_설계서-1_00-설계서,원가계산,내역서" xfId="1216" xr:uid="{00000000-0005-0000-0000-0000B6040000}"/>
    <cellStyle name="1_total_구로리총괄내역_노임단가표_진해자은수량산출서(단지내)" xfId="1217" xr:uid="{00000000-0005-0000-0000-0000B7040000}"/>
    <cellStyle name="1_total_구로리총괄내역_노임단가표_진해자은수량산출서(단지내)_00-설계서,원가계산,내역서" xfId="1218" xr:uid="{00000000-0005-0000-0000-0000B8040000}"/>
    <cellStyle name="1_total_구로리총괄내역_노임단가표_진해자은수량산출서(단지내)_기초산출표-56-128-최종" xfId="1219" xr:uid="{00000000-0005-0000-0000-0000B9040000}"/>
    <cellStyle name="1_total_구로리총괄내역_노임단가표_진해자은수량산출서(단지내)_기초산출표-56-128-최종_00-설계서,원가계산,내역서" xfId="1220" xr:uid="{00000000-0005-0000-0000-0000BA040000}"/>
    <cellStyle name="1_total_구로리총괄내역_노임단가표_진해자은수량산출서(단지내)_기초산출표-56-128-최종_설계서-1" xfId="1221" xr:uid="{00000000-0005-0000-0000-0000BB040000}"/>
    <cellStyle name="1_total_구로리총괄내역_노임단가표_진해자은수량산출서(단지내)_기초산출표-56-128-최종_설계서-1_00-설계서,원가계산,내역서" xfId="1222" xr:uid="{00000000-0005-0000-0000-0000BC040000}"/>
    <cellStyle name="1_total_구로리총괄내역_노임단가표_진해자은수량산출서(단지내)_설계서-1" xfId="1223" xr:uid="{00000000-0005-0000-0000-0000BD040000}"/>
    <cellStyle name="1_total_구로리총괄내역_노임단가표_진해자은수량산출서(단지내)_설계서-1_00-설계서,원가계산,내역서" xfId="1224" xr:uid="{00000000-0005-0000-0000-0000BE040000}"/>
    <cellStyle name="1_total_구로리총괄내역_노임단가표_진해자은수량산출서(단지내)_취합" xfId="1225" xr:uid="{00000000-0005-0000-0000-0000BF040000}"/>
    <cellStyle name="1_total_구로리총괄내역_노임단가표_진해자은수량산출서(단지내)_취합_00-설계서,원가계산,내역서" xfId="1226" xr:uid="{00000000-0005-0000-0000-0000C0040000}"/>
    <cellStyle name="1_total_구로리총괄내역_노임단가표_진해자은수량산출서(단지내)_취합_설계서-1" xfId="1227" xr:uid="{00000000-0005-0000-0000-0000C1040000}"/>
    <cellStyle name="1_total_구로리총괄내역_노임단가표_진해자은수량산출서(단지내)_취합_설계서-1_00-설계서,원가계산,내역서" xfId="1228" xr:uid="{00000000-0005-0000-0000-0000C2040000}"/>
    <cellStyle name="1_total_구로리총괄내역_설계서-1" xfId="1229" xr:uid="{00000000-0005-0000-0000-0000C3040000}"/>
    <cellStyle name="1_total_구로리총괄내역_설계서-1_00-설계서,원가계산,내역서" xfId="1230" xr:uid="{00000000-0005-0000-0000-0000C4040000}"/>
    <cellStyle name="1_total_구로리총괄내역_수도권매립지" xfId="1231" xr:uid="{00000000-0005-0000-0000-0000C5040000}"/>
    <cellStyle name="1_total_구로리총괄내역_수도권매립지_00-설계서,원가계산,내역서" xfId="1232" xr:uid="{00000000-0005-0000-0000-0000C6040000}"/>
    <cellStyle name="1_total_구로리총괄내역_수도권매립지_설계서-1" xfId="1233" xr:uid="{00000000-0005-0000-0000-0000C7040000}"/>
    <cellStyle name="1_total_구로리총괄내역_수도권매립지_설계서-1_00-설계서,원가계산,내역서" xfId="1234" xr:uid="{00000000-0005-0000-0000-0000C8040000}"/>
    <cellStyle name="1_total_구로리총괄내역_수도권매립지_진해자은수량산출서(단지내)" xfId="1235" xr:uid="{00000000-0005-0000-0000-0000C9040000}"/>
    <cellStyle name="1_total_구로리총괄내역_수도권매립지_진해자은수량산출서(단지내)_00-설계서,원가계산,내역서" xfId="1236" xr:uid="{00000000-0005-0000-0000-0000CA040000}"/>
    <cellStyle name="1_total_구로리총괄내역_수도권매립지_진해자은수량산출서(단지내)_기초산출표-56-128-최종" xfId="1237" xr:uid="{00000000-0005-0000-0000-0000CB040000}"/>
    <cellStyle name="1_total_구로리총괄내역_수도권매립지_진해자은수량산출서(단지내)_기초산출표-56-128-최종_00-설계서,원가계산,내역서" xfId="1238" xr:uid="{00000000-0005-0000-0000-0000CC040000}"/>
    <cellStyle name="1_total_구로리총괄내역_수도권매립지_진해자은수량산출서(단지내)_기초산출표-56-128-최종_설계서-1" xfId="1239" xr:uid="{00000000-0005-0000-0000-0000CD040000}"/>
    <cellStyle name="1_total_구로리총괄내역_수도권매립지_진해자은수량산출서(단지내)_기초산출표-56-128-최종_설계서-1_00-설계서,원가계산,내역서" xfId="1240" xr:uid="{00000000-0005-0000-0000-0000CE040000}"/>
    <cellStyle name="1_total_구로리총괄내역_수도권매립지_진해자은수량산출서(단지내)_설계서-1" xfId="1241" xr:uid="{00000000-0005-0000-0000-0000CF040000}"/>
    <cellStyle name="1_total_구로리총괄내역_수도권매립지_진해자은수량산출서(단지내)_설계서-1_00-설계서,원가계산,내역서" xfId="1242" xr:uid="{00000000-0005-0000-0000-0000D0040000}"/>
    <cellStyle name="1_total_구로리총괄내역_수도권매립지_진해자은수량산출서(단지내)_취합" xfId="1243" xr:uid="{00000000-0005-0000-0000-0000D1040000}"/>
    <cellStyle name="1_total_구로리총괄내역_수도권매립지_진해자은수량산출서(단지내)_취합_00-설계서,원가계산,내역서" xfId="1244" xr:uid="{00000000-0005-0000-0000-0000D2040000}"/>
    <cellStyle name="1_total_구로리총괄내역_수도권매립지_진해자은수량산출서(단지내)_취합_설계서-1" xfId="1245" xr:uid="{00000000-0005-0000-0000-0000D3040000}"/>
    <cellStyle name="1_total_구로리총괄내역_수도권매립지_진해자은수량산출서(단지내)_취합_설계서-1_00-설계서,원가계산,내역서" xfId="1246" xr:uid="{00000000-0005-0000-0000-0000D4040000}"/>
    <cellStyle name="1_total_구로리총괄내역_수도권매립지1004(발주용)" xfId="1247" xr:uid="{00000000-0005-0000-0000-0000D5040000}"/>
    <cellStyle name="1_total_구로리총괄내역_수도권매립지1004(발주용)_00-설계서,원가계산,내역서" xfId="1248" xr:uid="{00000000-0005-0000-0000-0000D6040000}"/>
    <cellStyle name="1_total_구로리총괄내역_수도권매립지1004(발주용)_설계서-1" xfId="1249" xr:uid="{00000000-0005-0000-0000-0000D7040000}"/>
    <cellStyle name="1_total_구로리총괄내역_수도권매립지1004(발주용)_설계서-1_00-설계서,원가계산,내역서" xfId="1250" xr:uid="{00000000-0005-0000-0000-0000D8040000}"/>
    <cellStyle name="1_total_구로리총괄내역_수도권매립지1004(발주용)_진해자은수량산출서(단지내)" xfId="1251" xr:uid="{00000000-0005-0000-0000-0000D9040000}"/>
    <cellStyle name="1_total_구로리총괄내역_수도권매립지1004(발주용)_진해자은수량산출서(단지내)_00-설계서,원가계산,내역서" xfId="1252" xr:uid="{00000000-0005-0000-0000-0000DA040000}"/>
    <cellStyle name="1_total_구로리총괄내역_수도권매립지1004(발주용)_진해자은수량산출서(단지내)_기초산출표-56-128-최종" xfId="1253" xr:uid="{00000000-0005-0000-0000-0000DB040000}"/>
    <cellStyle name="1_total_구로리총괄내역_수도권매립지1004(발주용)_진해자은수량산출서(단지내)_기초산출표-56-128-최종_00-설계서,원가계산,내역서" xfId="1254" xr:uid="{00000000-0005-0000-0000-0000DC040000}"/>
    <cellStyle name="1_total_구로리총괄내역_수도권매립지1004(발주용)_진해자은수량산출서(단지내)_기초산출표-56-128-최종_설계서-1" xfId="1255" xr:uid="{00000000-0005-0000-0000-0000DD040000}"/>
    <cellStyle name="1_total_구로리총괄내역_수도권매립지1004(발주용)_진해자은수량산출서(단지내)_기초산출표-56-128-최종_설계서-1_00-설계서,원가계산,내역서" xfId="1256" xr:uid="{00000000-0005-0000-0000-0000DE040000}"/>
    <cellStyle name="1_total_구로리총괄내역_수도권매립지1004(발주용)_진해자은수량산출서(단지내)_설계서-1" xfId="1257" xr:uid="{00000000-0005-0000-0000-0000DF040000}"/>
    <cellStyle name="1_total_구로리총괄내역_수도권매립지1004(발주용)_진해자은수량산출서(단지내)_설계서-1_00-설계서,원가계산,내역서" xfId="1258" xr:uid="{00000000-0005-0000-0000-0000E0040000}"/>
    <cellStyle name="1_total_구로리총괄내역_수도권매립지1004(발주용)_진해자은수량산출서(단지내)_취합" xfId="1259" xr:uid="{00000000-0005-0000-0000-0000E1040000}"/>
    <cellStyle name="1_total_구로리총괄내역_수도권매립지1004(발주용)_진해자은수량산출서(단지내)_취합_00-설계서,원가계산,내역서" xfId="1260" xr:uid="{00000000-0005-0000-0000-0000E2040000}"/>
    <cellStyle name="1_total_구로리총괄내역_수도권매립지1004(발주용)_진해자은수량산출서(단지내)_취합_설계서-1" xfId="1261" xr:uid="{00000000-0005-0000-0000-0000E3040000}"/>
    <cellStyle name="1_total_구로리총괄내역_수도권매립지1004(발주용)_진해자은수량산출서(단지내)_취합_설계서-1_00-설계서,원가계산,내역서" xfId="1262" xr:uid="{00000000-0005-0000-0000-0000E4040000}"/>
    <cellStyle name="1_total_구로리총괄내역_일신건영설계예산서(0211)" xfId="1263" xr:uid="{00000000-0005-0000-0000-0000E5040000}"/>
    <cellStyle name="1_total_구로리총괄내역_일신건영설계예산서(0211)_00-설계서,원가계산,내역서" xfId="1264" xr:uid="{00000000-0005-0000-0000-0000E6040000}"/>
    <cellStyle name="1_total_구로리총괄내역_일신건영설계예산서(0211)_설계서-1" xfId="1265" xr:uid="{00000000-0005-0000-0000-0000E7040000}"/>
    <cellStyle name="1_total_구로리총괄내역_일신건영설계예산서(0211)_설계서-1_00-설계서,원가계산,내역서" xfId="1266" xr:uid="{00000000-0005-0000-0000-0000E8040000}"/>
    <cellStyle name="1_total_구로리총괄내역_일신건영설계예산서(0211)_진해자은수량산출서(단지내)" xfId="1267" xr:uid="{00000000-0005-0000-0000-0000E9040000}"/>
    <cellStyle name="1_total_구로리총괄내역_일신건영설계예산서(0211)_진해자은수량산출서(단지내)_00-설계서,원가계산,내역서" xfId="1268" xr:uid="{00000000-0005-0000-0000-0000EA040000}"/>
    <cellStyle name="1_total_구로리총괄내역_일신건영설계예산서(0211)_진해자은수량산출서(단지내)_기초산출표-56-128-최종" xfId="1269" xr:uid="{00000000-0005-0000-0000-0000EB040000}"/>
    <cellStyle name="1_total_구로리총괄내역_일신건영설계예산서(0211)_진해자은수량산출서(단지내)_기초산출표-56-128-최종_00-설계서,원가계산,내역서" xfId="1270" xr:uid="{00000000-0005-0000-0000-0000EC040000}"/>
    <cellStyle name="1_total_구로리총괄내역_일신건영설계예산서(0211)_진해자은수량산출서(단지내)_기초산출표-56-128-최종_설계서-1" xfId="1271" xr:uid="{00000000-0005-0000-0000-0000ED040000}"/>
    <cellStyle name="1_total_구로리총괄내역_일신건영설계예산서(0211)_진해자은수량산출서(단지내)_기초산출표-56-128-최종_설계서-1_00-설계서,원가계산,내역서" xfId="1272" xr:uid="{00000000-0005-0000-0000-0000EE040000}"/>
    <cellStyle name="1_total_구로리총괄내역_일신건영설계예산서(0211)_진해자은수량산출서(단지내)_설계서-1" xfId="1273" xr:uid="{00000000-0005-0000-0000-0000EF040000}"/>
    <cellStyle name="1_total_구로리총괄내역_일신건영설계예산서(0211)_진해자은수량산출서(단지내)_설계서-1_00-설계서,원가계산,내역서" xfId="1274" xr:uid="{00000000-0005-0000-0000-0000F0040000}"/>
    <cellStyle name="1_total_구로리총괄내역_일신건영설계예산서(0211)_진해자은수량산출서(단지내)_취합" xfId="1275" xr:uid="{00000000-0005-0000-0000-0000F1040000}"/>
    <cellStyle name="1_total_구로리총괄내역_일신건영설계예산서(0211)_진해자은수량산출서(단지내)_취합_00-설계서,원가계산,내역서" xfId="1276" xr:uid="{00000000-0005-0000-0000-0000F2040000}"/>
    <cellStyle name="1_total_구로리총괄내역_일신건영설계예산서(0211)_진해자은수량산출서(단지내)_취합_설계서-1" xfId="1277" xr:uid="{00000000-0005-0000-0000-0000F3040000}"/>
    <cellStyle name="1_total_구로리총괄내역_일신건영설계예산서(0211)_진해자은수량산출서(단지내)_취합_설계서-1_00-설계서,원가계산,내역서" xfId="1278" xr:uid="{00000000-0005-0000-0000-0000F4040000}"/>
    <cellStyle name="1_total_구로리총괄내역_일위대가" xfId="1279" xr:uid="{00000000-0005-0000-0000-0000F5040000}"/>
    <cellStyle name="1_total_구로리총괄내역_일위대가_00-설계서,원가계산,내역서" xfId="1280" xr:uid="{00000000-0005-0000-0000-0000F6040000}"/>
    <cellStyle name="1_total_구로리총괄내역_일위대가_설계서-1" xfId="1281" xr:uid="{00000000-0005-0000-0000-0000F7040000}"/>
    <cellStyle name="1_total_구로리총괄내역_일위대가_설계서-1_00-설계서,원가계산,내역서" xfId="1282" xr:uid="{00000000-0005-0000-0000-0000F8040000}"/>
    <cellStyle name="1_total_구로리총괄내역_일위대가_진해자은수량산출서(단지내)" xfId="1283" xr:uid="{00000000-0005-0000-0000-0000F9040000}"/>
    <cellStyle name="1_total_구로리총괄내역_일위대가_진해자은수량산출서(단지내)_00-설계서,원가계산,내역서" xfId="1284" xr:uid="{00000000-0005-0000-0000-0000FA040000}"/>
    <cellStyle name="1_total_구로리총괄내역_일위대가_진해자은수량산출서(단지내)_기초산출표-56-128-최종" xfId="1285" xr:uid="{00000000-0005-0000-0000-0000FB040000}"/>
    <cellStyle name="1_total_구로리총괄내역_일위대가_진해자은수량산출서(단지내)_기초산출표-56-128-최종_00-설계서,원가계산,내역서" xfId="1286" xr:uid="{00000000-0005-0000-0000-0000FC040000}"/>
    <cellStyle name="1_total_구로리총괄내역_일위대가_진해자은수량산출서(단지내)_기초산출표-56-128-최종_설계서-1" xfId="1287" xr:uid="{00000000-0005-0000-0000-0000FD040000}"/>
    <cellStyle name="1_total_구로리총괄내역_일위대가_진해자은수량산출서(단지내)_기초산출표-56-128-최종_설계서-1_00-설계서,원가계산,내역서" xfId="1288" xr:uid="{00000000-0005-0000-0000-0000FE040000}"/>
    <cellStyle name="1_total_구로리총괄내역_일위대가_진해자은수량산출서(단지내)_설계서-1" xfId="1289" xr:uid="{00000000-0005-0000-0000-0000FF040000}"/>
    <cellStyle name="1_total_구로리총괄내역_일위대가_진해자은수량산출서(단지내)_설계서-1_00-설계서,원가계산,내역서" xfId="1290" xr:uid="{00000000-0005-0000-0000-000000050000}"/>
    <cellStyle name="1_total_구로리총괄내역_일위대가_진해자은수량산출서(단지내)_취합" xfId="1291" xr:uid="{00000000-0005-0000-0000-000001050000}"/>
    <cellStyle name="1_total_구로리총괄내역_일위대가_진해자은수량산출서(단지내)_취합_00-설계서,원가계산,내역서" xfId="1292" xr:uid="{00000000-0005-0000-0000-000002050000}"/>
    <cellStyle name="1_total_구로리총괄내역_일위대가_진해자은수량산출서(단지내)_취합_설계서-1" xfId="1293" xr:uid="{00000000-0005-0000-0000-000003050000}"/>
    <cellStyle name="1_total_구로리총괄내역_일위대가_진해자은수량산출서(단지내)_취합_설계서-1_00-설계서,원가계산,내역서" xfId="1294" xr:uid="{00000000-0005-0000-0000-000004050000}"/>
    <cellStyle name="1_total_구로리총괄내역_자재단가표" xfId="1295" xr:uid="{00000000-0005-0000-0000-000005050000}"/>
    <cellStyle name="1_total_구로리총괄내역_자재단가표_00-설계서,원가계산,내역서" xfId="1296" xr:uid="{00000000-0005-0000-0000-000006050000}"/>
    <cellStyle name="1_total_구로리총괄내역_자재단가표_설계서-1" xfId="1297" xr:uid="{00000000-0005-0000-0000-000007050000}"/>
    <cellStyle name="1_total_구로리총괄내역_자재단가표_설계서-1_00-설계서,원가계산,내역서" xfId="1298" xr:uid="{00000000-0005-0000-0000-000008050000}"/>
    <cellStyle name="1_total_구로리총괄내역_자재단가표_진해자은수량산출서(단지내)" xfId="1299" xr:uid="{00000000-0005-0000-0000-000009050000}"/>
    <cellStyle name="1_total_구로리총괄내역_자재단가표_진해자은수량산출서(단지내)_00-설계서,원가계산,내역서" xfId="1300" xr:uid="{00000000-0005-0000-0000-00000A050000}"/>
    <cellStyle name="1_total_구로리총괄내역_자재단가표_진해자은수량산출서(단지내)_기초산출표-56-128-최종" xfId="1301" xr:uid="{00000000-0005-0000-0000-00000B050000}"/>
    <cellStyle name="1_total_구로리총괄내역_자재단가표_진해자은수량산출서(단지내)_기초산출표-56-128-최종_00-설계서,원가계산,내역서" xfId="1302" xr:uid="{00000000-0005-0000-0000-00000C050000}"/>
    <cellStyle name="1_total_구로리총괄내역_자재단가표_진해자은수량산출서(단지내)_기초산출표-56-128-최종_설계서-1" xfId="1303" xr:uid="{00000000-0005-0000-0000-00000D050000}"/>
    <cellStyle name="1_total_구로리총괄내역_자재단가표_진해자은수량산출서(단지내)_기초산출표-56-128-최종_설계서-1_00-설계서,원가계산,내역서" xfId="1304" xr:uid="{00000000-0005-0000-0000-00000E050000}"/>
    <cellStyle name="1_total_구로리총괄내역_자재단가표_진해자은수량산출서(단지내)_설계서-1" xfId="1305" xr:uid="{00000000-0005-0000-0000-00000F050000}"/>
    <cellStyle name="1_total_구로리총괄내역_자재단가표_진해자은수량산출서(단지내)_설계서-1_00-설계서,원가계산,내역서" xfId="1306" xr:uid="{00000000-0005-0000-0000-000010050000}"/>
    <cellStyle name="1_total_구로리총괄내역_자재단가표_진해자은수량산출서(단지내)_취합" xfId="1307" xr:uid="{00000000-0005-0000-0000-000011050000}"/>
    <cellStyle name="1_total_구로리총괄내역_자재단가표_진해자은수량산출서(단지내)_취합_00-설계서,원가계산,내역서" xfId="1308" xr:uid="{00000000-0005-0000-0000-000012050000}"/>
    <cellStyle name="1_total_구로리총괄내역_자재단가표_진해자은수량산출서(단지내)_취합_설계서-1" xfId="1309" xr:uid="{00000000-0005-0000-0000-000013050000}"/>
    <cellStyle name="1_total_구로리총괄내역_자재단가표_진해자은수량산출서(단지내)_취합_설계서-1_00-설계서,원가계산,내역서" xfId="1310" xr:uid="{00000000-0005-0000-0000-000014050000}"/>
    <cellStyle name="1_total_구로리총괄내역_장안초등학교내역0814" xfId="1311" xr:uid="{00000000-0005-0000-0000-000015050000}"/>
    <cellStyle name="1_total_구로리총괄내역_장안초등학교내역0814_00-설계서,원가계산,내역서" xfId="1312" xr:uid="{00000000-0005-0000-0000-000016050000}"/>
    <cellStyle name="1_total_구로리총괄내역_장안초등학교내역0814_설계서-1" xfId="1313" xr:uid="{00000000-0005-0000-0000-000017050000}"/>
    <cellStyle name="1_total_구로리총괄내역_장안초등학교내역0814_설계서-1_00-설계서,원가계산,내역서" xfId="1314" xr:uid="{00000000-0005-0000-0000-000018050000}"/>
    <cellStyle name="1_total_구로리총괄내역_장안초등학교내역0814_진해자은수량산출서(단지내)" xfId="1315" xr:uid="{00000000-0005-0000-0000-000019050000}"/>
    <cellStyle name="1_total_구로리총괄내역_장안초등학교내역0814_진해자은수량산출서(단지내)_00-설계서,원가계산,내역서" xfId="1316" xr:uid="{00000000-0005-0000-0000-00001A050000}"/>
    <cellStyle name="1_total_구로리총괄내역_장안초등학교내역0814_진해자은수량산출서(단지내)_기초산출표-56-128-최종" xfId="1317" xr:uid="{00000000-0005-0000-0000-00001B050000}"/>
    <cellStyle name="1_total_구로리총괄내역_장안초등학교내역0814_진해자은수량산출서(단지내)_기초산출표-56-128-최종_00-설계서,원가계산,내역서" xfId="1318" xr:uid="{00000000-0005-0000-0000-00001C050000}"/>
    <cellStyle name="1_total_구로리총괄내역_장안초등학교내역0814_진해자은수량산출서(단지내)_기초산출표-56-128-최종_설계서-1" xfId="1319" xr:uid="{00000000-0005-0000-0000-00001D050000}"/>
    <cellStyle name="1_total_구로리총괄내역_장안초등학교내역0814_진해자은수량산출서(단지내)_기초산출표-56-128-최종_설계서-1_00-설계서,원가계산,내역서" xfId="1320" xr:uid="{00000000-0005-0000-0000-00001E050000}"/>
    <cellStyle name="1_total_구로리총괄내역_장안초등학교내역0814_진해자은수량산출서(단지내)_설계서-1" xfId="1321" xr:uid="{00000000-0005-0000-0000-00001F050000}"/>
    <cellStyle name="1_total_구로리총괄내역_장안초등학교내역0814_진해자은수량산출서(단지내)_설계서-1_00-설계서,원가계산,내역서" xfId="1322" xr:uid="{00000000-0005-0000-0000-000020050000}"/>
    <cellStyle name="1_total_구로리총괄내역_장안초등학교내역0814_진해자은수량산출서(단지내)_취합" xfId="1323" xr:uid="{00000000-0005-0000-0000-000021050000}"/>
    <cellStyle name="1_total_구로리총괄내역_장안초등학교내역0814_진해자은수량산출서(단지내)_취합_00-설계서,원가계산,내역서" xfId="1324" xr:uid="{00000000-0005-0000-0000-000022050000}"/>
    <cellStyle name="1_total_구로리총괄내역_장안초등학교내역0814_진해자은수량산출서(단지내)_취합_설계서-1" xfId="1325" xr:uid="{00000000-0005-0000-0000-000023050000}"/>
    <cellStyle name="1_total_구로리총괄내역_장안초등학교내역0814_진해자은수량산출서(단지내)_취합_설계서-1_00-설계서,원가계산,내역서" xfId="1326" xr:uid="{00000000-0005-0000-0000-000024050000}"/>
    <cellStyle name="1_total_구로리총괄내역_진해자은수량산출서(단지내)" xfId="1327" xr:uid="{00000000-0005-0000-0000-000025050000}"/>
    <cellStyle name="1_total_구로리총괄내역_진해자은수량산출서(단지내)_00-설계서,원가계산,내역서" xfId="1328" xr:uid="{00000000-0005-0000-0000-000026050000}"/>
    <cellStyle name="1_total_구로리총괄내역_진해자은수량산출서(단지내)_기초산출표-56-128-최종" xfId="1329" xr:uid="{00000000-0005-0000-0000-000027050000}"/>
    <cellStyle name="1_total_구로리총괄내역_진해자은수량산출서(단지내)_기초산출표-56-128-최종_00-설계서,원가계산,내역서" xfId="1330" xr:uid="{00000000-0005-0000-0000-000028050000}"/>
    <cellStyle name="1_total_구로리총괄내역_진해자은수량산출서(단지내)_기초산출표-56-128-최종_설계서-1" xfId="1331" xr:uid="{00000000-0005-0000-0000-000029050000}"/>
    <cellStyle name="1_total_구로리총괄내역_진해자은수량산출서(단지내)_기초산출표-56-128-최종_설계서-1_00-설계서,원가계산,내역서" xfId="1332" xr:uid="{00000000-0005-0000-0000-00002A050000}"/>
    <cellStyle name="1_total_구로리총괄내역_진해자은수량산출서(단지내)_설계서-1" xfId="1333" xr:uid="{00000000-0005-0000-0000-00002B050000}"/>
    <cellStyle name="1_total_구로리총괄내역_진해자은수량산출서(단지내)_설계서-1_00-설계서,원가계산,내역서" xfId="1334" xr:uid="{00000000-0005-0000-0000-00002C050000}"/>
    <cellStyle name="1_total_구로리총괄내역_진해자은수량산출서(단지내)_취합" xfId="1335" xr:uid="{00000000-0005-0000-0000-00002D050000}"/>
    <cellStyle name="1_total_구로리총괄내역_진해자은수량산출서(단지내)_취합_00-설계서,원가계산,내역서" xfId="1336" xr:uid="{00000000-0005-0000-0000-00002E050000}"/>
    <cellStyle name="1_total_구로리총괄내역_진해자은수량산출서(단지내)_취합_설계서-1" xfId="1337" xr:uid="{00000000-0005-0000-0000-00002F050000}"/>
    <cellStyle name="1_total_구로리총괄내역_진해자은수량산출서(단지내)_취합_설계서-1_00-설계서,원가계산,내역서" xfId="1338" xr:uid="{00000000-0005-0000-0000-000030050000}"/>
    <cellStyle name="1_total_목동내역" xfId="1339" xr:uid="{00000000-0005-0000-0000-000031050000}"/>
    <cellStyle name="1_total_목동내역_00-설계서,원가계산,내역서" xfId="1340" xr:uid="{00000000-0005-0000-0000-000032050000}"/>
    <cellStyle name="1_total_목동내역_폐기물집계" xfId="1341" xr:uid="{00000000-0005-0000-0000-000033050000}"/>
    <cellStyle name="1_total_목동내역_폐기물집계_00-설계서,원가계산,내역서" xfId="1342" xr:uid="{00000000-0005-0000-0000-000034050000}"/>
    <cellStyle name="1_total_설계서-1" xfId="1343" xr:uid="{00000000-0005-0000-0000-000035050000}"/>
    <cellStyle name="1_total_설계서-1_00-설계서,원가계산,내역서" xfId="1344" xr:uid="{00000000-0005-0000-0000-000036050000}"/>
    <cellStyle name="1_total_이문동구간중랑천변녹화사업(수량산출서, 071127)-최종" xfId="1345" xr:uid="{00000000-0005-0000-0000-000037050000}"/>
    <cellStyle name="1_total_이문동구간중랑천변녹화사업(수량산출서, 071127)-최종_00-설계서,원가계산,내역서" xfId="1346" xr:uid="{00000000-0005-0000-0000-000038050000}"/>
    <cellStyle name="1_total_진해자은수량산출서(단지내)" xfId="1347" xr:uid="{00000000-0005-0000-0000-000039050000}"/>
    <cellStyle name="1_total_진해자은수량산출서(단지내)_00-설계서,원가계산,내역서" xfId="1348" xr:uid="{00000000-0005-0000-0000-00003A050000}"/>
    <cellStyle name="1_total_진해자은수량산출서(단지내)_기초산출표-56-128-최종" xfId="1349" xr:uid="{00000000-0005-0000-0000-00003B050000}"/>
    <cellStyle name="1_total_진해자은수량산출서(단지내)_기초산출표-56-128-최종_00-설계서,원가계산,내역서" xfId="1350" xr:uid="{00000000-0005-0000-0000-00003C050000}"/>
    <cellStyle name="1_total_진해자은수량산출서(단지내)_기초산출표-56-128-최종_설계서-1" xfId="1351" xr:uid="{00000000-0005-0000-0000-00003D050000}"/>
    <cellStyle name="1_total_진해자은수량산출서(단지내)_기초산출표-56-128-최종_설계서-1_00-설계서,원가계산,내역서" xfId="1352" xr:uid="{00000000-0005-0000-0000-00003E050000}"/>
    <cellStyle name="1_total_진해자은수량산출서(단지내)_설계서-1" xfId="1353" xr:uid="{00000000-0005-0000-0000-00003F050000}"/>
    <cellStyle name="1_total_진해자은수량산출서(단지내)_설계서-1_00-설계서,원가계산,내역서" xfId="1354" xr:uid="{00000000-0005-0000-0000-000040050000}"/>
    <cellStyle name="1_total_진해자은수량산출서(단지내)_취합" xfId="1355" xr:uid="{00000000-0005-0000-0000-000041050000}"/>
    <cellStyle name="1_total_진해자은수량산출서(단지내)_취합_00-설계서,원가계산,내역서" xfId="1356" xr:uid="{00000000-0005-0000-0000-000042050000}"/>
    <cellStyle name="1_total_진해자은수량산출서(단지내)_취합_설계서-1" xfId="1357" xr:uid="{00000000-0005-0000-0000-000043050000}"/>
    <cellStyle name="1_total_진해자은수량산출서(단지내)_취합_설계서-1_00-설계서,원가계산,내역서" xfId="1358" xr:uid="{00000000-0005-0000-0000-000044050000}"/>
    <cellStyle name="1_total_총괄내역0518" xfId="1359" xr:uid="{00000000-0005-0000-0000-000045050000}"/>
    <cellStyle name="1_total_총괄내역0518_00-설계서,원가계산,내역서" xfId="1360" xr:uid="{00000000-0005-0000-0000-000046050000}"/>
    <cellStyle name="1_total_총괄내역0518_구로리설계예산서1029" xfId="1361" xr:uid="{00000000-0005-0000-0000-000047050000}"/>
    <cellStyle name="1_total_총괄내역0518_구로리설계예산서1029_00-설계서,원가계산,내역서" xfId="1362" xr:uid="{00000000-0005-0000-0000-000048050000}"/>
    <cellStyle name="1_total_총괄내역0518_구로리설계예산서1029_설계서-1" xfId="1363" xr:uid="{00000000-0005-0000-0000-000049050000}"/>
    <cellStyle name="1_total_총괄내역0518_구로리설계예산서1029_설계서-1_00-설계서,원가계산,내역서" xfId="1364" xr:uid="{00000000-0005-0000-0000-00004A050000}"/>
    <cellStyle name="1_total_총괄내역0518_구로리설계예산서1029_진해자은수량산출서(단지내)" xfId="1365" xr:uid="{00000000-0005-0000-0000-00004B050000}"/>
    <cellStyle name="1_total_총괄내역0518_구로리설계예산서1029_진해자은수량산출서(단지내)_00-설계서,원가계산,내역서" xfId="1366" xr:uid="{00000000-0005-0000-0000-00004C050000}"/>
    <cellStyle name="1_total_총괄내역0518_구로리설계예산서1029_진해자은수량산출서(단지내)_기초산출표-56-128-최종" xfId="1367" xr:uid="{00000000-0005-0000-0000-00004D050000}"/>
    <cellStyle name="1_total_총괄내역0518_구로리설계예산서1029_진해자은수량산출서(단지내)_기초산출표-56-128-최종_00-설계서,원가계산,내역서" xfId="1368" xr:uid="{00000000-0005-0000-0000-00004E050000}"/>
    <cellStyle name="1_total_총괄내역0518_구로리설계예산서1029_진해자은수량산출서(단지내)_기초산출표-56-128-최종_설계서-1" xfId="1369" xr:uid="{00000000-0005-0000-0000-00004F050000}"/>
    <cellStyle name="1_total_총괄내역0518_구로리설계예산서1029_진해자은수량산출서(단지내)_기초산출표-56-128-최종_설계서-1_00-설계서,원가계산,내역서" xfId="1370" xr:uid="{00000000-0005-0000-0000-000050050000}"/>
    <cellStyle name="1_total_총괄내역0518_구로리설계예산서1029_진해자은수량산출서(단지내)_설계서-1" xfId="1371" xr:uid="{00000000-0005-0000-0000-000051050000}"/>
    <cellStyle name="1_total_총괄내역0518_구로리설계예산서1029_진해자은수량산출서(단지내)_설계서-1_00-설계서,원가계산,내역서" xfId="1372" xr:uid="{00000000-0005-0000-0000-000052050000}"/>
    <cellStyle name="1_total_총괄내역0518_구로리설계예산서1029_진해자은수량산출서(단지내)_취합" xfId="1373" xr:uid="{00000000-0005-0000-0000-000053050000}"/>
    <cellStyle name="1_total_총괄내역0518_구로리설계예산서1029_진해자은수량산출서(단지내)_취합_00-설계서,원가계산,내역서" xfId="1374" xr:uid="{00000000-0005-0000-0000-000054050000}"/>
    <cellStyle name="1_total_총괄내역0518_구로리설계예산서1029_진해자은수량산출서(단지내)_취합_설계서-1" xfId="1375" xr:uid="{00000000-0005-0000-0000-000055050000}"/>
    <cellStyle name="1_total_총괄내역0518_구로리설계예산서1029_진해자은수량산출서(단지내)_취합_설계서-1_00-설계서,원가계산,내역서" xfId="1376" xr:uid="{00000000-0005-0000-0000-000056050000}"/>
    <cellStyle name="1_total_총괄내역0518_구로리설계예산서1118준공" xfId="1377" xr:uid="{00000000-0005-0000-0000-000057050000}"/>
    <cellStyle name="1_total_총괄내역0518_구로리설계예산서1118준공_00-설계서,원가계산,내역서" xfId="1378" xr:uid="{00000000-0005-0000-0000-000058050000}"/>
    <cellStyle name="1_total_총괄내역0518_구로리설계예산서1118준공_설계서-1" xfId="1379" xr:uid="{00000000-0005-0000-0000-000059050000}"/>
    <cellStyle name="1_total_총괄내역0518_구로리설계예산서1118준공_설계서-1_00-설계서,원가계산,내역서" xfId="1380" xr:uid="{00000000-0005-0000-0000-00005A050000}"/>
    <cellStyle name="1_total_총괄내역0518_구로리설계예산서1118준공_진해자은수량산출서(단지내)" xfId="1381" xr:uid="{00000000-0005-0000-0000-00005B050000}"/>
    <cellStyle name="1_total_총괄내역0518_구로리설계예산서1118준공_진해자은수량산출서(단지내)_00-설계서,원가계산,내역서" xfId="1382" xr:uid="{00000000-0005-0000-0000-00005C050000}"/>
    <cellStyle name="1_total_총괄내역0518_구로리설계예산서1118준공_진해자은수량산출서(단지내)_기초산출표-56-128-최종" xfId="1383" xr:uid="{00000000-0005-0000-0000-00005D050000}"/>
    <cellStyle name="1_total_총괄내역0518_구로리설계예산서1118준공_진해자은수량산출서(단지내)_기초산출표-56-128-최종_00-설계서,원가계산,내역서" xfId="1384" xr:uid="{00000000-0005-0000-0000-00005E050000}"/>
    <cellStyle name="1_total_총괄내역0518_구로리설계예산서1118준공_진해자은수량산출서(단지내)_기초산출표-56-128-최종_설계서-1" xfId="1385" xr:uid="{00000000-0005-0000-0000-00005F050000}"/>
    <cellStyle name="1_total_총괄내역0518_구로리설계예산서1118준공_진해자은수량산출서(단지내)_기초산출표-56-128-최종_설계서-1_00-설계서,원가계산,내역서" xfId="1386" xr:uid="{00000000-0005-0000-0000-000060050000}"/>
    <cellStyle name="1_total_총괄내역0518_구로리설계예산서1118준공_진해자은수량산출서(단지내)_설계서-1" xfId="1387" xr:uid="{00000000-0005-0000-0000-000061050000}"/>
    <cellStyle name="1_total_총괄내역0518_구로리설계예산서1118준공_진해자은수량산출서(단지내)_설계서-1_00-설계서,원가계산,내역서" xfId="1388" xr:uid="{00000000-0005-0000-0000-000062050000}"/>
    <cellStyle name="1_total_총괄내역0518_구로리설계예산서1118준공_진해자은수량산출서(단지내)_취합" xfId="1389" xr:uid="{00000000-0005-0000-0000-000063050000}"/>
    <cellStyle name="1_total_총괄내역0518_구로리설계예산서1118준공_진해자은수량산출서(단지내)_취합_00-설계서,원가계산,내역서" xfId="1390" xr:uid="{00000000-0005-0000-0000-000064050000}"/>
    <cellStyle name="1_total_총괄내역0518_구로리설계예산서1118준공_진해자은수량산출서(단지내)_취합_설계서-1" xfId="1391" xr:uid="{00000000-0005-0000-0000-000065050000}"/>
    <cellStyle name="1_total_총괄내역0518_구로리설계예산서1118준공_진해자은수량산출서(단지내)_취합_설계서-1_00-설계서,원가계산,내역서" xfId="1392" xr:uid="{00000000-0005-0000-0000-000066050000}"/>
    <cellStyle name="1_total_총괄내역0518_구로리설계예산서조경" xfId="1393" xr:uid="{00000000-0005-0000-0000-000067050000}"/>
    <cellStyle name="1_total_총괄내역0518_구로리설계예산서조경_00-설계서,원가계산,내역서" xfId="1394" xr:uid="{00000000-0005-0000-0000-000068050000}"/>
    <cellStyle name="1_total_총괄내역0518_구로리설계예산서조경_설계서-1" xfId="1395" xr:uid="{00000000-0005-0000-0000-000069050000}"/>
    <cellStyle name="1_total_총괄내역0518_구로리설계예산서조경_설계서-1_00-설계서,원가계산,내역서" xfId="1396" xr:uid="{00000000-0005-0000-0000-00006A050000}"/>
    <cellStyle name="1_total_총괄내역0518_구로리설계예산서조경_진해자은수량산출서(단지내)" xfId="1397" xr:uid="{00000000-0005-0000-0000-00006B050000}"/>
    <cellStyle name="1_total_총괄내역0518_구로리설계예산서조경_진해자은수량산출서(단지내)_00-설계서,원가계산,내역서" xfId="1398" xr:uid="{00000000-0005-0000-0000-00006C050000}"/>
    <cellStyle name="1_total_총괄내역0518_구로리설계예산서조경_진해자은수량산출서(단지내)_기초산출표-56-128-최종" xfId="1399" xr:uid="{00000000-0005-0000-0000-00006D050000}"/>
    <cellStyle name="1_total_총괄내역0518_구로리설계예산서조경_진해자은수량산출서(단지내)_기초산출표-56-128-최종_00-설계서,원가계산,내역서" xfId="1400" xr:uid="{00000000-0005-0000-0000-00006E050000}"/>
    <cellStyle name="1_total_총괄내역0518_구로리설계예산서조경_진해자은수량산출서(단지내)_기초산출표-56-128-최종_설계서-1" xfId="1401" xr:uid="{00000000-0005-0000-0000-00006F050000}"/>
    <cellStyle name="1_total_총괄내역0518_구로리설계예산서조경_진해자은수량산출서(단지내)_기초산출표-56-128-최종_설계서-1_00-설계서,원가계산,내역서" xfId="1402" xr:uid="{00000000-0005-0000-0000-000070050000}"/>
    <cellStyle name="1_total_총괄내역0518_구로리설계예산서조경_진해자은수량산출서(단지내)_설계서-1" xfId="1403" xr:uid="{00000000-0005-0000-0000-000071050000}"/>
    <cellStyle name="1_total_총괄내역0518_구로리설계예산서조경_진해자은수량산출서(단지내)_설계서-1_00-설계서,원가계산,내역서" xfId="1404" xr:uid="{00000000-0005-0000-0000-000072050000}"/>
    <cellStyle name="1_total_총괄내역0518_구로리설계예산서조경_진해자은수량산출서(단지내)_취합" xfId="1405" xr:uid="{00000000-0005-0000-0000-000073050000}"/>
    <cellStyle name="1_total_총괄내역0518_구로리설계예산서조경_진해자은수량산출서(단지내)_취합_00-설계서,원가계산,내역서" xfId="1406" xr:uid="{00000000-0005-0000-0000-000074050000}"/>
    <cellStyle name="1_total_총괄내역0518_구로리설계예산서조경_진해자은수량산출서(단지내)_취합_설계서-1" xfId="1407" xr:uid="{00000000-0005-0000-0000-000075050000}"/>
    <cellStyle name="1_total_총괄내역0518_구로리설계예산서조경_진해자은수량산출서(단지내)_취합_설계서-1_00-설계서,원가계산,내역서" xfId="1408" xr:uid="{00000000-0005-0000-0000-000076050000}"/>
    <cellStyle name="1_total_총괄내역0518_구로리어린이공원예산서(조경)1125" xfId="1409" xr:uid="{00000000-0005-0000-0000-000077050000}"/>
    <cellStyle name="1_total_총괄내역0518_구로리어린이공원예산서(조경)1125_00-설계서,원가계산,내역서" xfId="1410" xr:uid="{00000000-0005-0000-0000-000078050000}"/>
    <cellStyle name="1_total_총괄내역0518_구로리어린이공원예산서(조경)1125_설계서-1" xfId="1411" xr:uid="{00000000-0005-0000-0000-000079050000}"/>
    <cellStyle name="1_total_총괄내역0518_구로리어린이공원예산서(조경)1125_설계서-1_00-설계서,원가계산,내역서" xfId="1412" xr:uid="{00000000-0005-0000-0000-00007A050000}"/>
    <cellStyle name="1_total_총괄내역0518_구로리어린이공원예산서(조경)1125_진해자은수량산출서(단지내)" xfId="1413" xr:uid="{00000000-0005-0000-0000-00007B050000}"/>
    <cellStyle name="1_total_총괄내역0518_구로리어린이공원예산서(조경)1125_진해자은수량산출서(단지내)_00-설계서,원가계산,내역서" xfId="1414" xr:uid="{00000000-0005-0000-0000-00007C050000}"/>
    <cellStyle name="1_total_총괄내역0518_구로리어린이공원예산서(조경)1125_진해자은수량산출서(단지내)_기초산출표-56-128-최종" xfId="1415" xr:uid="{00000000-0005-0000-0000-00007D050000}"/>
    <cellStyle name="1_total_총괄내역0518_구로리어린이공원예산서(조경)1125_진해자은수량산출서(단지내)_기초산출표-56-128-최종_00-설계서,원가계산,내역서" xfId="1416" xr:uid="{00000000-0005-0000-0000-00007E050000}"/>
    <cellStyle name="1_total_총괄내역0518_구로리어린이공원예산서(조경)1125_진해자은수량산출서(단지내)_기초산출표-56-128-최종_설계서-1" xfId="1417" xr:uid="{00000000-0005-0000-0000-00007F050000}"/>
    <cellStyle name="1_total_총괄내역0518_구로리어린이공원예산서(조경)1125_진해자은수량산출서(단지내)_기초산출표-56-128-최종_설계서-1_00-설계서,원가계산,내역서" xfId="1418" xr:uid="{00000000-0005-0000-0000-000080050000}"/>
    <cellStyle name="1_total_총괄내역0518_구로리어린이공원예산서(조경)1125_진해자은수량산출서(단지내)_설계서-1" xfId="1419" xr:uid="{00000000-0005-0000-0000-000081050000}"/>
    <cellStyle name="1_total_총괄내역0518_구로리어린이공원예산서(조경)1125_진해자은수량산출서(단지내)_설계서-1_00-설계서,원가계산,내역서" xfId="1420" xr:uid="{00000000-0005-0000-0000-000082050000}"/>
    <cellStyle name="1_total_총괄내역0518_구로리어린이공원예산서(조경)1125_진해자은수량산출서(단지내)_취합" xfId="1421" xr:uid="{00000000-0005-0000-0000-000083050000}"/>
    <cellStyle name="1_total_총괄내역0518_구로리어린이공원예산서(조경)1125_진해자은수량산출서(단지내)_취합_00-설계서,원가계산,내역서" xfId="1422" xr:uid="{00000000-0005-0000-0000-000084050000}"/>
    <cellStyle name="1_total_총괄내역0518_구로리어린이공원예산서(조경)1125_진해자은수량산출서(단지내)_취합_설계서-1" xfId="1423" xr:uid="{00000000-0005-0000-0000-000085050000}"/>
    <cellStyle name="1_total_총괄내역0518_구로리어린이공원예산서(조경)1125_진해자은수량산출서(단지내)_취합_설계서-1_00-설계서,원가계산,내역서" xfId="1424" xr:uid="{00000000-0005-0000-0000-000086050000}"/>
    <cellStyle name="1_total_총괄내역0518_내역서" xfId="1425" xr:uid="{00000000-0005-0000-0000-000087050000}"/>
    <cellStyle name="1_total_총괄내역0518_내역서_00-설계서,원가계산,내역서" xfId="1426" xr:uid="{00000000-0005-0000-0000-000088050000}"/>
    <cellStyle name="1_total_총괄내역0518_내역서_설계서-1" xfId="1427" xr:uid="{00000000-0005-0000-0000-000089050000}"/>
    <cellStyle name="1_total_총괄내역0518_내역서_설계서-1_00-설계서,원가계산,내역서" xfId="1428" xr:uid="{00000000-0005-0000-0000-00008A050000}"/>
    <cellStyle name="1_total_총괄내역0518_내역서_진해자은수량산출서(단지내)" xfId="1429" xr:uid="{00000000-0005-0000-0000-00008B050000}"/>
    <cellStyle name="1_total_총괄내역0518_내역서_진해자은수량산출서(단지내)_00-설계서,원가계산,내역서" xfId="1430" xr:uid="{00000000-0005-0000-0000-00008C050000}"/>
    <cellStyle name="1_total_총괄내역0518_내역서_진해자은수량산출서(단지내)_기초산출표-56-128-최종" xfId="1431" xr:uid="{00000000-0005-0000-0000-00008D050000}"/>
    <cellStyle name="1_total_총괄내역0518_내역서_진해자은수량산출서(단지내)_기초산출표-56-128-최종_00-설계서,원가계산,내역서" xfId="1432" xr:uid="{00000000-0005-0000-0000-00008E050000}"/>
    <cellStyle name="1_total_총괄내역0518_내역서_진해자은수량산출서(단지내)_기초산출표-56-128-최종_설계서-1" xfId="1433" xr:uid="{00000000-0005-0000-0000-00008F050000}"/>
    <cellStyle name="1_total_총괄내역0518_내역서_진해자은수량산출서(단지내)_기초산출표-56-128-최종_설계서-1_00-설계서,원가계산,내역서" xfId="1434" xr:uid="{00000000-0005-0000-0000-000090050000}"/>
    <cellStyle name="1_total_총괄내역0518_내역서_진해자은수량산출서(단지내)_설계서-1" xfId="1435" xr:uid="{00000000-0005-0000-0000-000091050000}"/>
    <cellStyle name="1_total_총괄내역0518_내역서_진해자은수량산출서(단지내)_설계서-1_00-설계서,원가계산,내역서" xfId="1436" xr:uid="{00000000-0005-0000-0000-000092050000}"/>
    <cellStyle name="1_total_총괄내역0518_내역서_진해자은수량산출서(단지내)_취합" xfId="1437" xr:uid="{00000000-0005-0000-0000-000093050000}"/>
    <cellStyle name="1_total_총괄내역0518_내역서_진해자은수량산출서(단지내)_취합_00-설계서,원가계산,내역서" xfId="1438" xr:uid="{00000000-0005-0000-0000-000094050000}"/>
    <cellStyle name="1_total_총괄내역0518_내역서_진해자은수량산출서(단지내)_취합_설계서-1" xfId="1439" xr:uid="{00000000-0005-0000-0000-000095050000}"/>
    <cellStyle name="1_total_총괄내역0518_내역서_진해자은수량산출서(단지내)_취합_설계서-1_00-설계서,원가계산,내역서" xfId="1440" xr:uid="{00000000-0005-0000-0000-000096050000}"/>
    <cellStyle name="1_total_총괄내역0518_노임단가표" xfId="1441" xr:uid="{00000000-0005-0000-0000-000097050000}"/>
    <cellStyle name="1_total_총괄내역0518_노임단가표_00-설계서,원가계산,내역서" xfId="1442" xr:uid="{00000000-0005-0000-0000-000098050000}"/>
    <cellStyle name="1_total_총괄내역0518_노임단가표_설계서-1" xfId="1443" xr:uid="{00000000-0005-0000-0000-000099050000}"/>
    <cellStyle name="1_total_총괄내역0518_노임단가표_설계서-1_00-설계서,원가계산,내역서" xfId="1444" xr:uid="{00000000-0005-0000-0000-00009A050000}"/>
    <cellStyle name="1_total_총괄내역0518_노임단가표_진해자은수량산출서(단지내)" xfId="1445" xr:uid="{00000000-0005-0000-0000-00009B050000}"/>
    <cellStyle name="1_total_총괄내역0518_노임단가표_진해자은수량산출서(단지내)_00-설계서,원가계산,내역서" xfId="1446" xr:uid="{00000000-0005-0000-0000-00009C050000}"/>
    <cellStyle name="1_total_총괄내역0518_노임단가표_진해자은수량산출서(단지내)_기초산출표-56-128-최종" xfId="1447" xr:uid="{00000000-0005-0000-0000-00009D050000}"/>
    <cellStyle name="1_total_총괄내역0518_노임단가표_진해자은수량산출서(단지내)_기초산출표-56-128-최종_00-설계서,원가계산,내역서" xfId="1448" xr:uid="{00000000-0005-0000-0000-00009E050000}"/>
    <cellStyle name="1_total_총괄내역0518_노임단가표_진해자은수량산출서(단지내)_기초산출표-56-128-최종_설계서-1" xfId="1449" xr:uid="{00000000-0005-0000-0000-00009F050000}"/>
    <cellStyle name="1_total_총괄내역0518_노임단가표_진해자은수량산출서(단지내)_기초산출표-56-128-최종_설계서-1_00-설계서,원가계산,내역서" xfId="1450" xr:uid="{00000000-0005-0000-0000-0000A0050000}"/>
    <cellStyle name="1_total_총괄내역0518_노임단가표_진해자은수량산출서(단지내)_설계서-1" xfId="1451" xr:uid="{00000000-0005-0000-0000-0000A1050000}"/>
    <cellStyle name="1_total_총괄내역0518_노임단가표_진해자은수량산출서(단지내)_설계서-1_00-설계서,원가계산,내역서" xfId="1452" xr:uid="{00000000-0005-0000-0000-0000A2050000}"/>
    <cellStyle name="1_total_총괄내역0518_노임단가표_진해자은수량산출서(단지내)_취합" xfId="1453" xr:uid="{00000000-0005-0000-0000-0000A3050000}"/>
    <cellStyle name="1_total_총괄내역0518_노임단가표_진해자은수량산출서(단지내)_취합_00-설계서,원가계산,내역서" xfId="1454" xr:uid="{00000000-0005-0000-0000-0000A4050000}"/>
    <cellStyle name="1_total_총괄내역0518_노임단가표_진해자은수량산출서(단지내)_취합_설계서-1" xfId="1455" xr:uid="{00000000-0005-0000-0000-0000A5050000}"/>
    <cellStyle name="1_total_총괄내역0518_노임단가표_진해자은수량산출서(단지내)_취합_설계서-1_00-설계서,원가계산,내역서" xfId="1456" xr:uid="{00000000-0005-0000-0000-0000A6050000}"/>
    <cellStyle name="1_total_총괄내역0518_설계서-1" xfId="1457" xr:uid="{00000000-0005-0000-0000-0000A7050000}"/>
    <cellStyle name="1_total_총괄내역0518_설계서-1_00-설계서,원가계산,내역서" xfId="1458" xr:uid="{00000000-0005-0000-0000-0000A8050000}"/>
    <cellStyle name="1_total_총괄내역0518_수도권매립지" xfId="1459" xr:uid="{00000000-0005-0000-0000-0000A9050000}"/>
    <cellStyle name="1_total_총괄내역0518_수도권매립지_00-설계서,원가계산,내역서" xfId="1460" xr:uid="{00000000-0005-0000-0000-0000AA050000}"/>
    <cellStyle name="1_total_총괄내역0518_수도권매립지_설계서-1" xfId="1461" xr:uid="{00000000-0005-0000-0000-0000AB050000}"/>
    <cellStyle name="1_total_총괄내역0518_수도권매립지_설계서-1_00-설계서,원가계산,내역서" xfId="1462" xr:uid="{00000000-0005-0000-0000-0000AC050000}"/>
    <cellStyle name="1_total_총괄내역0518_수도권매립지_진해자은수량산출서(단지내)" xfId="1463" xr:uid="{00000000-0005-0000-0000-0000AD050000}"/>
    <cellStyle name="1_total_총괄내역0518_수도권매립지_진해자은수량산출서(단지내)_00-설계서,원가계산,내역서" xfId="1464" xr:uid="{00000000-0005-0000-0000-0000AE050000}"/>
    <cellStyle name="1_total_총괄내역0518_수도권매립지_진해자은수량산출서(단지내)_기초산출표-56-128-최종" xfId="1465" xr:uid="{00000000-0005-0000-0000-0000AF050000}"/>
    <cellStyle name="1_total_총괄내역0518_수도권매립지_진해자은수량산출서(단지내)_기초산출표-56-128-최종_00-설계서,원가계산,내역서" xfId="1466" xr:uid="{00000000-0005-0000-0000-0000B0050000}"/>
    <cellStyle name="1_total_총괄내역0518_수도권매립지_진해자은수량산출서(단지내)_기초산출표-56-128-최종_설계서-1" xfId="1467" xr:uid="{00000000-0005-0000-0000-0000B1050000}"/>
    <cellStyle name="1_total_총괄내역0518_수도권매립지_진해자은수량산출서(단지내)_기초산출표-56-128-최종_설계서-1_00-설계서,원가계산,내역서" xfId="1468" xr:uid="{00000000-0005-0000-0000-0000B2050000}"/>
    <cellStyle name="1_total_총괄내역0518_수도권매립지_진해자은수량산출서(단지내)_설계서-1" xfId="1469" xr:uid="{00000000-0005-0000-0000-0000B3050000}"/>
    <cellStyle name="1_total_총괄내역0518_수도권매립지_진해자은수량산출서(단지내)_설계서-1_00-설계서,원가계산,내역서" xfId="1470" xr:uid="{00000000-0005-0000-0000-0000B4050000}"/>
    <cellStyle name="1_total_총괄내역0518_수도권매립지_진해자은수량산출서(단지내)_취합" xfId="1471" xr:uid="{00000000-0005-0000-0000-0000B5050000}"/>
    <cellStyle name="1_total_총괄내역0518_수도권매립지_진해자은수량산출서(단지내)_취합_00-설계서,원가계산,내역서" xfId="1472" xr:uid="{00000000-0005-0000-0000-0000B6050000}"/>
    <cellStyle name="1_total_총괄내역0518_수도권매립지_진해자은수량산출서(단지내)_취합_설계서-1" xfId="1473" xr:uid="{00000000-0005-0000-0000-0000B7050000}"/>
    <cellStyle name="1_total_총괄내역0518_수도권매립지_진해자은수량산출서(단지내)_취합_설계서-1_00-설계서,원가계산,내역서" xfId="1474" xr:uid="{00000000-0005-0000-0000-0000B8050000}"/>
    <cellStyle name="1_total_총괄내역0518_수도권매립지1004(발주용)" xfId="1475" xr:uid="{00000000-0005-0000-0000-0000B9050000}"/>
    <cellStyle name="1_total_총괄내역0518_수도권매립지1004(발주용)_00-설계서,원가계산,내역서" xfId="1476" xr:uid="{00000000-0005-0000-0000-0000BA050000}"/>
    <cellStyle name="1_total_총괄내역0518_수도권매립지1004(발주용)_설계서-1" xfId="1477" xr:uid="{00000000-0005-0000-0000-0000BB050000}"/>
    <cellStyle name="1_total_총괄내역0518_수도권매립지1004(발주용)_설계서-1_00-설계서,원가계산,내역서" xfId="1478" xr:uid="{00000000-0005-0000-0000-0000BC050000}"/>
    <cellStyle name="1_total_총괄내역0518_수도권매립지1004(발주용)_진해자은수량산출서(단지내)" xfId="1479" xr:uid="{00000000-0005-0000-0000-0000BD050000}"/>
    <cellStyle name="1_total_총괄내역0518_수도권매립지1004(발주용)_진해자은수량산출서(단지내)_00-설계서,원가계산,내역서" xfId="1480" xr:uid="{00000000-0005-0000-0000-0000BE050000}"/>
    <cellStyle name="1_total_총괄내역0518_수도권매립지1004(발주용)_진해자은수량산출서(단지내)_기초산출표-56-128-최종" xfId="1481" xr:uid="{00000000-0005-0000-0000-0000BF050000}"/>
    <cellStyle name="1_total_총괄내역0518_수도권매립지1004(발주용)_진해자은수량산출서(단지내)_기초산출표-56-128-최종_00-설계서,원가계산,내역서" xfId="1482" xr:uid="{00000000-0005-0000-0000-0000C0050000}"/>
    <cellStyle name="1_total_총괄내역0518_수도권매립지1004(발주용)_진해자은수량산출서(단지내)_기초산출표-56-128-최종_설계서-1" xfId="1483" xr:uid="{00000000-0005-0000-0000-0000C1050000}"/>
    <cellStyle name="1_total_총괄내역0518_수도권매립지1004(발주용)_진해자은수량산출서(단지내)_기초산출표-56-128-최종_설계서-1_00-설계서,원가계산,내역서" xfId="1484" xr:uid="{00000000-0005-0000-0000-0000C2050000}"/>
    <cellStyle name="1_total_총괄내역0518_수도권매립지1004(발주용)_진해자은수량산출서(단지내)_설계서-1" xfId="1485" xr:uid="{00000000-0005-0000-0000-0000C3050000}"/>
    <cellStyle name="1_total_총괄내역0518_수도권매립지1004(발주용)_진해자은수량산출서(단지내)_설계서-1_00-설계서,원가계산,내역서" xfId="1486" xr:uid="{00000000-0005-0000-0000-0000C4050000}"/>
    <cellStyle name="1_total_총괄내역0518_수도권매립지1004(발주용)_진해자은수량산출서(단지내)_취합" xfId="1487" xr:uid="{00000000-0005-0000-0000-0000C5050000}"/>
    <cellStyle name="1_total_총괄내역0518_수도권매립지1004(발주용)_진해자은수량산출서(단지내)_취합_00-설계서,원가계산,내역서" xfId="1488" xr:uid="{00000000-0005-0000-0000-0000C6050000}"/>
    <cellStyle name="1_total_총괄내역0518_수도권매립지1004(발주용)_진해자은수량산출서(단지내)_취합_설계서-1" xfId="1489" xr:uid="{00000000-0005-0000-0000-0000C7050000}"/>
    <cellStyle name="1_total_총괄내역0518_수도권매립지1004(발주용)_진해자은수량산출서(단지내)_취합_설계서-1_00-설계서,원가계산,내역서" xfId="1490" xr:uid="{00000000-0005-0000-0000-0000C8050000}"/>
    <cellStyle name="1_total_총괄내역0518_일신건영설계예산서(0211)" xfId="1491" xr:uid="{00000000-0005-0000-0000-0000C9050000}"/>
    <cellStyle name="1_total_총괄내역0518_일신건영설계예산서(0211)_00-설계서,원가계산,내역서" xfId="1492" xr:uid="{00000000-0005-0000-0000-0000CA050000}"/>
    <cellStyle name="1_total_총괄내역0518_일신건영설계예산서(0211)_설계서-1" xfId="1493" xr:uid="{00000000-0005-0000-0000-0000CB050000}"/>
    <cellStyle name="1_total_총괄내역0518_일신건영설계예산서(0211)_설계서-1_00-설계서,원가계산,내역서" xfId="1494" xr:uid="{00000000-0005-0000-0000-0000CC050000}"/>
    <cellStyle name="1_total_총괄내역0518_일신건영설계예산서(0211)_진해자은수량산출서(단지내)" xfId="1495" xr:uid="{00000000-0005-0000-0000-0000CD050000}"/>
    <cellStyle name="1_total_총괄내역0518_일신건영설계예산서(0211)_진해자은수량산출서(단지내)_00-설계서,원가계산,내역서" xfId="1496" xr:uid="{00000000-0005-0000-0000-0000CE050000}"/>
    <cellStyle name="1_total_총괄내역0518_일신건영설계예산서(0211)_진해자은수량산출서(단지내)_기초산출표-56-128-최종" xfId="1497" xr:uid="{00000000-0005-0000-0000-0000CF050000}"/>
    <cellStyle name="1_total_총괄내역0518_일신건영설계예산서(0211)_진해자은수량산출서(단지내)_기초산출표-56-128-최종_00-설계서,원가계산,내역서" xfId="1498" xr:uid="{00000000-0005-0000-0000-0000D0050000}"/>
    <cellStyle name="1_total_총괄내역0518_일신건영설계예산서(0211)_진해자은수량산출서(단지내)_기초산출표-56-128-최종_설계서-1" xfId="1499" xr:uid="{00000000-0005-0000-0000-0000D1050000}"/>
    <cellStyle name="1_total_총괄내역0518_일신건영설계예산서(0211)_진해자은수량산출서(단지내)_기초산출표-56-128-최종_설계서-1_00-설계서,원가계산,내역서" xfId="1500" xr:uid="{00000000-0005-0000-0000-0000D2050000}"/>
    <cellStyle name="1_total_총괄내역0518_일신건영설계예산서(0211)_진해자은수량산출서(단지내)_설계서-1" xfId="1501" xr:uid="{00000000-0005-0000-0000-0000D3050000}"/>
    <cellStyle name="1_total_총괄내역0518_일신건영설계예산서(0211)_진해자은수량산출서(단지내)_설계서-1_00-설계서,원가계산,내역서" xfId="1502" xr:uid="{00000000-0005-0000-0000-0000D4050000}"/>
    <cellStyle name="1_total_총괄내역0518_일신건영설계예산서(0211)_진해자은수량산출서(단지내)_취합" xfId="1503" xr:uid="{00000000-0005-0000-0000-0000D5050000}"/>
    <cellStyle name="1_total_총괄내역0518_일신건영설계예산서(0211)_진해자은수량산출서(단지내)_취합_00-설계서,원가계산,내역서" xfId="1504" xr:uid="{00000000-0005-0000-0000-0000D6050000}"/>
    <cellStyle name="1_total_총괄내역0518_일신건영설계예산서(0211)_진해자은수량산출서(단지내)_취합_설계서-1" xfId="1505" xr:uid="{00000000-0005-0000-0000-0000D7050000}"/>
    <cellStyle name="1_total_총괄내역0518_일신건영설계예산서(0211)_진해자은수량산출서(단지내)_취합_설계서-1_00-설계서,원가계산,내역서" xfId="1506" xr:uid="{00000000-0005-0000-0000-0000D8050000}"/>
    <cellStyle name="1_total_총괄내역0518_일위대가" xfId="1507" xr:uid="{00000000-0005-0000-0000-0000D9050000}"/>
    <cellStyle name="1_total_총괄내역0518_일위대가_00-설계서,원가계산,내역서" xfId="1508" xr:uid="{00000000-0005-0000-0000-0000DA050000}"/>
    <cellStyle name="1_total_총괄내역0518_일위대가_설계서-1" xfId="1509" xr:uid="{00000000-0005-0000-0000-0000DB050000}"/>
    <cellStyle name="1_total_총괄내역0518_일위대가_설계서-1_00-설계서,원가계산,내역서" xfId="1510" xr:uid="{00000000-0005-0000-0000-0000DC050000}"/>
    <cellStyle name="1_total_총괄내역0518_일위대가_진해자은수량산출서(단지내)" xfId="1511" xr:uid="{00000000-0005-0000-0000-0000DD050000}"/>
    <cellStyle name="1_total_총괄내역0518_일위대가_진해자은수량산출서(단지내)_00-설계서,원가계산,내역서" xfId="1512" xr:uid="{00000000-0005-0000-0000-0000DE050000}"/>
    <cellStyle name="1_total_총괄내역0518_일위대가_진해자은수량산출서(단지내)_기초산출표-56-128-최종" xfId="1513" xr:uid="{00000000-0005-0000-0000-0000DF050000}"/>
    <cellStyle name="1_total_총괄내역0518_일위대가_진해자은수량산출서(단지내)_기초산출표-56-128-최종_00-설계서,원가계산,내역서" xfId="1514" xr:uid="{00000000-0005-0000-0000-0000E0050000}"/>
    <cellStyle name="1_total_총괄내역0518_일위대가_진해자은수량산출서(단지내)_기초산출표-56-128-최종_설계서-1" xfId="1515" xr:uid="{00000000-0005-0000-0000-0000E1050000}"/>
    <cellStyle name="1_total_총괄내역0518_일위대가_진해자은수량산출서(단지내)_기초산출표-56-128-최종_설계서-1_00-설계서,원가계산,내역서" xfId="1516" xr:uid="{00000000-0005-0000-0000-0000E2050000}"/>
    <cellStyle name="1_total_총괄내역0518_일위대가_진해자은수량산출서(단지내)_설계서-1" xfId="1517" xr:uid="{00000000-0005-0000-0000-0000E3050000}"/>
    <cellStyle name="1_total_총괄내역0518_일위대가_진해자은수량산출서(단지내)_설계서-1_00-설계서,원가계산,내역서" xfId="1518" xr:uid="{00000000-0005-0000-0000-0000E4050000}"/>
    <cellStyle name="1_total_총괄내역0518_일위대가_진해자은수량산출서(단지내)_취합" xfId="1519" xr:uid="{00000000-0005-0000-0000-0000E5050000}"/>
    <cellStyle name="1_total_총괄내역0518_일위대가_진해자은수량산출서(단지내)_취합_00-설계서,원가계산,내역서" xfId="1520" xr:uid="{00000000-0005-0000-0000-0000E6050000}"/>
    <cellStyle name="1_total_총괄내역0518_일위대가_진해자은수량산출서(단지내)_취합_설계서-1" xfId="1521" xr:uid="{00000000-0005-0000-0000-0000E7050000}"/>
    <cellStyle name="1_total_총괄내역0518_일위대가_진해자은수량산출서(단지내)_취합_설계서-1_00-설계서,원가계산,내역서" xfId="1522" xr:uid="{00000000-0005-0000-0000-0000E8050000}"/>
    <cellStyle name="1_total_총괄내역0518_자재단가표" xfId="1523" xr:uid="{00000000-0005-0000-0000-0000E9050000}"/>
    <cellStyle name="1_total_총괄내역0518_자재단가표_00-설계서,원가계산,내역서" xfId="1524" xr:uid="{00000000-0005-0000-0000-0000EA050000}"/>
    <cellStyle name="1_total_총괄내역0518_자재단가표_설계서-1" xfId="1525" xr:uid="{00000000-0005-0000-0000-0000EB050000}"/>
    <cellStyle name="1_total_총괄내역0518_자재단가표_설계서-1_00-설계서,원가계산,내역서" xfId="1526" xr:uid="{00000000-0005-0000-0000-0000EC050000}"/>
    <cellStyle name="1_total_총괄내역0518_자재단가표_진해자은수량산출서(단지내)" xfId="1527" xr:uid="{00000000-0005-0000-0000-0000ED050000}"/>
    <cellStyle name="1_total_총괄내역0518_자재단가표_진해자은수량산출서(단지내)_00-설계서,원가계산,내역서" xfId="1528" xr:uid="{00000000-0005-0000-0000-0000EE050000}"/>
    <cellStyle name="1_total_총괄내역0518_자재단가표_진해자은수량산출서(단지내)_기초산출표-56-128-최종" xfId="1529" xr:uid="{00000000-0005-0000-0000-0000EF050000}"/>
    <cellStyle name="1_total_총괄내역0518_자재단가표_진해자은수량산출서(단지내)_기초산출표-56-128-최종_00-설계서,원가계산,내역서" xfId="1530" xr:uid="{00000000-0005-0000-0000-0000F0050000}"/>
    <cellStyle name="1_total_총괄내역0518_자재단가표_진해자은수량산출서(단지내)_기초산출표-56-128-최종_설계서-1" xfId="1531" xr:uid="{00000000-0005-0000-0000-0000F1050000}"/>
    <cellStyle name="1_total_총괄내역0518_자재단가표_진해자은수량산출서(단지내)_기초산출표-56-128-최종_설계서-1_00-설계서,원가계산,내역서" xfId="1532" xr:uid="{00000000-0005-0000-0000-0000F2050000}"/>
    <cellStyle name="1_total_총괄내역0518_자재단가표_진해자은수량산출서(단지내)_설계서-1" xfId="1533" xr:uid="{00000000-0005-0000-0000-0000F3050000}"/>
    <cellStyle name="1_total_총괄내역0518_자재단가표_진해자은수량산출서(단지내)_설계서-1_00-설계서,원가계산,내역서" xfId="1534" xr:uid="{00000000-0005-0000-0000-0000F4050000}"/>
    <cellStyle name="1_total_총괄내역0518_자재단가표_진해자은수량산출서(단지내)_취합" xfId="1535" xr:uid="{00000000-0005-0000-0000-0000F5050000}"/>
    <cellStyle name="1_total_총괄내역0518_자재단가표_진해자은수량산출서(단지내)_취합_00-설계서,원가계산,내역서" xfId="1536" xr:uid="{00000000-0005-0000-0000-0000F6050000}"/>
    <cellStyle name="1_total_총괄내역0518_자재단가표_진해자은수량산출서(단지내)_취합_설계서-1" xfId="1537" xr:uid="{00000000-0005-0000-0000-0000F7050000}"/>
    <cellStyle name="1_total_총괄내역0518_자재단가표_진해자은수량산출서(단지내)_취합_설계서-1_00-설계서,원가계산,내역서" xfId="1538" xr:uid="{00000000-0005-0000-0000-0000F8050000}"/>
    <cellStyle name="1_total_총괄내역0518_장안초등학교내역0814" xfId="1539" xr:uid="{00000000-0005-0000-0000-0000F9050000}"/>
    <cellStyle name="1_total_총괄내역0518_장안초등학교내역0814_00-설계서,원가계산,내역서" xfId="1540" xr:uid="{00000000-0005-0000-0000-0000FA050000}"/>
    <cellStyle name="1_total_총괄내역0518_장안초등학교내역0814_설계서-1" xfId="1541" xr:uid="{00000000-0005-0000-0000-0000FB050000}"/>
    <cellStyle name="1_total_총괄내역0518_장안초등학교내역0814_설계서-1_00-설계서,원가계산,내역서" xfId="1542" xr:uid="{00000000-0005-0000-0000-0000FC050000}"/>
    <cellStyle name="1_total_총괄내역0518_장안초등학교내역0814_진해자은수량산출서(단지내)" xfId="1543" xr:uid="{00000000-0005-0000-0000-0000FD050000}"/>
    <cellStyle name="1_total_총괄내역0518_장안초등학교내역0814_진해자은수량산출서(단지내)_00-설계서,원가계산,내역서" xfId="1544" xr:uid="{00000000-0005-0000-0000-0000FE050000}"/>
    <cellStyle name="1_total_총괄내역0518_장안초등학교내역0814_진해자은수량산출서(단지내)_기초산출표-56-128-최종" xfId="1545" xr:uid="{00000000-0005-0000-0000-0000FF050000}"/>
    <cellStyle name="1_total_총괄내역0518_장안초등학교내역0814_진해자은수량산출서(단지내)_기초산출표-56-128-최종_00-설계서,원가계산,내역서" xfId="1546" xr:uid="{00000000-0005-0000-0000-000000060000}"/>
    <cellStyle name="1_total_총괄내역0518_장안초등학교내역0814_진해자은수량산출서(단지내)_기초산출표-56-128-최종_설계서-1" xfId="1547" xr:uid="{00000000-0005-0000-0000-000001060000}"/>
    <cellStyle name="1_total_총괄내역0518_장안초등학교내역0814_진해자은수량산출서(단지내)_기초산출표-56-128-최종_설계서-1_00-설계서,원가계산,내역서" xfId="1548" xr:uid="{00000000-0005-0000-0000-000002060000}"/>
    <cellStyle name="1_total_총괄내역0518_장안초등학교내역0814_진해자은수량산출서(단지내)_설계서-1" xfId="1549" xr:uid="{00000000-0005-0000-0000-000003060000}"/>
    <cellStyle name="1_total_총괄내역0518_장안초등학교내역0814_진해자은수량산출서(단지내)_설계서-1_00-설계서,원가계산,내역서" xfId="1550" xr:uid="{00000000-0005-0000-0000-000004060000}"/>
    <cellStyle name="1_total_총괄내역0518_장안초등학교내역0814_진해자은수량산출서(단지내)_취합" xfId="1551" xr:uid="{00000000-0005-0000-0000-000005060000}"/>
    <cellStyle name="1_total_총괄내역0518_장안초등학교내역0814_진해자은수량산출서(단지내)_취합_00-설계서,원가계산,내역서" xfId="1552" xr:uid="{00000000-0005-0000-0000-000006060000}"/>
    <cellStyle name="1_total_총괄내역0518_장안초등학교내역0814_진해자은수량산출서(단지내)_취합_설계서-1" xfId="1553" xr:uid="{00000000-0005-0000-0000-000007060000}"/>
    <cellStyle name="1_total_총괄내역0518_장안초등학교내역0814_진해자은수량산출서(단지내)_취합_설계서-1_00-설계서,원가계산,내역서" xfId="1554" xr:uid="{00000000-0005-0000-0000-000008060000}"/>
    <cellStyle name="1_total_총괄내역0518_진해자은수량산출서(단지내)" xfId="1555" xr:uid="{00000000-0005-0000-0000-000009060000}"/>
    <cellStyle name="1_total_총괄내역0518_진해자은수량산출서(단지내)_00-설계서,원가계산,내역서" xfId="1556" xr:uid="{00000000-0005-0000-0000-00000A060000}"/>
    <cellStyle name="1_total_총괄내역0518_진해자은수량산출서(단지내)_기초산출표-56-128-최종" xfId="1557" xr:uid="{00000000-0005-0000-0000-00000B060000}"/>
    <cellStyle name="1_total_총괄내역0518_진해자은수량산출서(단지내)_기초산출표-56-128-최종_00-설계서,원가계산,내역서" xfId="1558" xr:uid="{00000000-0005-0000-0000-00000C060000}"/>
    <cellStyle name="1_total_총괄내역0518_진해자은수량산출서(단지내)_기초산출표-56-128-최종_설계서-1" xfId="1559" xr:uid="{00000000-0005-0000-0000-00000D060000}"/>
    <cellStyle name="1_total_총괄내역0518_진해자은수량산출서(단지내)_기초산출표-56-128-최종_설계서-1_00-설계서,원가계산,내역서" xfId="1560" xr:uid="{00000000-0005-0000-0000-00000E060000}"/>
    <cellStyle name="1_total_총괄내역0518_진해자은수량산출서(단지내)_설계서-1" xfId="1561" xr:uid="{00000000-0005-0000-0000-00000F060000}"/>
    <cellStyle name="1_total_총괄내역0518_진해자은수량산출서(단지내)_설계서-1_00-설계서,원가계산,내역서" xfId="1562" xr:uid="{00000000-0005-0000-0000-000010060000}"/>
    <cellStyle name="1_total_총괄내역0518_진해자은수량산출서(단지내)_취합" xfId="1563" xr:uid="{00000000-0005-0000-0000-000011060000}"/>
    <cellStyle name="1_total_총괄내역0518_진해자은수량산출서(단지내)_취합_00-설계서,원가계산,내역서" xfId="1564" xr:uid="{00000000-0005-0000-0000-000012060000}"/>
    <cellStyle name="1_total_총괄내역0518_진해자은수량산출서(단지내)_취합_설계서-1" xfId="1565" xr:uid="{00000000-0005-0000-0000-000013060000}"/>
    <cellStyle name="1_total_총괄내역0518_진해자은수량산출서(단지내)_취합_설계서-1_00-설계서,원가계산,내역서" xfId="1566" xr:uid="{00000000-0005-0000-0000-000014060000}"/>
    <cellStyle name="1_total_현충묘지-예산서(조경)" xfId="1567" xr:uid="{00000000-0005-0000-0000-000015060000}"/>
    <cellStyle name="1_total_현충묘지-예산서(조경)_00-설계서,원가계산,내역서" xfId="1568" xr:uid="{00000000-0005-0000-0000-000016060000}"/>
    <cellStyle name="1_total_현충묘지-예산서(조경)_목동내역" xfId="1569" xr:uid="{00000000-0005-0000-0000-000017060000}"/>
    <cellStyle name="1_total_현충묘지-예산서(조경)_목동내역_00-설계서,원가계산,내역서" xfId="1570" xr:uid="{00000000-0005-0000-0000-000018060000}"/>
    <cellStyle name="1_total_현충묘지-예산서(조경)_목동내역_폐기물집계" xfId="1571" xr:uid="{00000000-0005-0000-0000-000019060000}"/>
    <cellStyle name="1_total_현충묘지-예산서(조경)_목동내역_폐기물집계_00-설계서,원가계산,내역서" xfId="1572" xr:uid="{00000000-0005-0000-0000-00001A060000}"/>
    <cellStyle name="1_total_현충묘지-예산서(조경)_예산서-엑셀변환양식100" xfId="1573" xr:uid="{00000000-0005-0000-0000-00001B060000}"/>
    <cellStyle name="1_total_현충묘지-예산서(조경)_예산서-엑셀변환양식100_00-설계서,원가계산,내역서" xfId="1574" xr:uid="{00000000-0005-0000-0000-00001C060000}"/>
    <cellStyle name="1_total_현충묘지-예산서(조경)_예산서-엑셀변환양식100_목동내역" xfId="1575" xr:uid="{00000000-0005-0000-0000-00001D060000}"/>
    <cellStyle name="1_total_현충묘지-예산서(조경)_예산서-엑셀변환양식100_목동내역_00-설계서,원가계산,내역서" xfId="1576" xr:uid="{00000000-0005-0000-0000-00001E060000}"/>
    <cellStyle name="1_total_현충묘지-예산서(조경)_예산서-엑셀변환양식100_목동내역_폐기물집계" xfId="1577" xr:uid="{00000000-0005-0000-0000-00001F060000}"/>
    <cellStyle name="1_total_현충묘지-예산서(조경)_예산서-엑셀변환양식100_목동내역_폐기물집계_00-설계서,원가계산,내역서" xfId="1578" xr:uid="{00000000-0005-0000-0000-000020060000}"/>
    <cellStyle name="1_tree" xfId="1579" xr:uid="{00000000-0005-0000-0000-000021060000}"/>
    <cellStyle name="1_tree_00-설계서,원가계산,내역서" xfId="1580" xr:uid="{00000000-0005-0000-0000-000022060000}"/>
    <cellStyle name="1_tree_00-수량산출서" xfId="1581" xr:uid="{00000000-0005-0000-0000-000023060000}"/>
    <cellStyle name="1_tree_00-수량산출서_00-설계서,원가계산,내역서" xfId="1582" xr:uid="{00000000-0005-0000-0000-000024060000}"/>
    <cellStyle name="1_tree_01-내역서(071118)" xfId="1583" xr:uid="{00000000-0005-0000-0000-000025060000}"/>
    <cellStyle name="1_tree_01-내역서(071118)_00-설계서,원가계산,내역서" xfId="1584" xr:uid="{00000000-0005-0000-0000-000026060000}"/>
    <cellStyle name="1_tree_구로리총괄내역" xfId="1585" xr:uid="{00000000-0005-0000-0000-000027060000}"/>
    <cellStyle name="1_tree_구로리총괄내역_00-설계서,원가계산,내역서" xfId="1586" xr:uid="{00000000-0005-0000-0000-000028060000}"/>
    <cellStyle name="1_tree_구로리총괄내역_구로리설계예산서1029" xfId="1587" xr:uid="{00000000-0005-0000-0000-000029060000}"/>
    <cellStyle name="1_tree_구로리총괄내역_구로리설계예산서1029_00-설계서,원가계산,내역서" xfId="1588" xr:uid="{00000000-0005-0000-0000-00002A060000}"/>
    <cellStyle name="1_tree_구로리총괄내역_구로리설계예산서1029_설계서-1" xfId="1589" xr:uid="{00000000-0005-0000-0000-00002B060000}"/>
    <cellStyle name="1_tree_구로리총괄내역_구로리설계예산서1029_설계서-1_00-설계서,원가계산,내역서" xfId="1590" xr:uid="{00000000-0005-0000-0000-00002C060000}"/>
    <cellStyle name="1_tree_구로리총괄내역_구로리설계예산서1029_진해자은수량산출서(단지내)" xfId="1591" xr:uid="{00000000-0005-0000-0000-00002D060000}"/>
    <cellStyle name="1_tree_구로리총괄내역_구로리설계예산서1029_진해자은수량산출서(단지내)_00-설계서,원가계산,내역서" xfId="1592" xr:uid="{00000000-0005-0000-0000-00002E060000}"/>
    <cellStyle name="1_tree_구로리총괄내역_구로리설계예산서1029_진해자은수량산출서(단지내)_기초산출표-56-128-최종" xfId="1593" xr:uid="{00000000-0005-0000-0000-00002F060000}"/>
    <cellStyle name="1_tree_구로리총괄내역_구로리설계예산서1029_진해자은수량산출서(단지내)_기초산출표-56-128-최종_00-설계서,원가계산,내역서" xfId="1594" xr:uid="{00000000-0005-0000-0000-000030060000}"/>
    <cellStyle name="1_tree_구로리총괄내역_구로리설계예산서1029_진해자은수량산출서(단지내)_기초산출표-56-128-최종_설계서-1" xfId="1595" xr:uid="{00000000-0005-0000-0000-000031060000}"/>
    <cellStyle name="1_tree_구로리총괄내역_구로리설계예산서1029_진해자은수량산출서(단지내)_기초산출표-56-128-최종_설계서-1_00-설계서,원가계산,내역서" xfId="1596" xr:uid="{00000000-0005-0000-0000-000032060000}"/>
    <cellStyle name="1_tree_구로리총괄내역_구로리설계예산서1029_진해자은수량산출서(단지내)_설계서-1" xfId="1597" xr:uid="{00000000-0005-0000-0000-000033060000}"/>
    <cellStyle name="1_tree_구로리총괄내역_구로리설계예산서1029_진해자은수량산출서(단지내)_설계서-1_00-설계서,원가계산,내역서" xfId="1598" xr:uid="{00000000-0005-0000-0000-000034060000}"/>
    <cellStyle name="1_tree_구로리총괄내역_구로리설계예산서1029_진해자은수량산출서(단지내)_취합" xfId="1599" xr:uid="{00000000-0005-0000-0000-000035060000}"/>
    <cellStyle name="1_tree_구로리총괄내역_구로리설계예산서1029_진해자은수량산출서(단지내)_취합_00-설계서,원가계산,내역서" xfId="1600" xr:uid="{00000000-0005-0000-0000-000036060000}"/>
    <cellStyle name="1_tree_구로리총괄내역_구로리설계예산서1029_진해자은수량산출서(단지내)_취합_설계서-1" xfId="1601" xr:uid="{00000000-0005-0000-0000-000037060000}"/>
    <cellStyle name="1_tree_구로리총괄내역_구로리설계예산서1029_진해자은수량산출서(단지내)_취합_설계서-1_00-설계서,원가계산,내역서" xfId="1602" xr:uid="{00000000-0005-0000-0000-000038060000}"/>
    <cellStyle name="1_tree_구로리총괄내역_구로리설계예산서1118준공" xfId="1603" xr:uid="{00000000-0005-0000-0000-000039060000}"/>
    <cellStyle name="1_tree_구로리총괄내역_구로리설계예산서1118준공_00-설계서,원가계산,내역서" xfId="1604" xr:uid="{00000000-0005-0000-0000-00003A060000}"/>
    <cellStyle name="1_tree_구로리총괄내역_구로리설계예산서1118준공_설계서-1" xfId="1605" xr:uid="{00000000-0005-0000-0000-00003B060000}"/>
    <cellStyle name="1_tree_구로리총괄내역_구로리설계예산서1118준공_설계서-1_00-설계서,원가계산,내역서" xfId="1606" xr:uid="{00000000-0005-0000-0000-00003C060000}"/>
    <cellStyle name="1_tree_구로리총괄내역_구로리설계예산서1118준공_진해자은수량산출서(단지내)" xfId="1607" xr:uid="{00000000-0005-0000-0000-00003D060000}"/>
    <cellStyle name="1_tree_구로리총괄내역_구로리설계예산서1118준공_진해자은수량산출서(단지내)_00-설계서,원가계산,내역서" xfId="1608" xr:uid="{00000000-0005-0000-0000-00003E060000}"/>
    <cellStyle name="1_tree_구로리총괄내역_구로리설계예산서1118준공_진해자은수량산출서(단지내)_기초산출표-56-128-최종" xfId="1609" xr:uid="{00000000-0005-0000-0000-00003F060000}"/>
    <cellStyle name="1_tree_구로리총괄내역_구로리설계예산서1118준공_진해자은수량산출서(단지내)_기초산출표-56-128-최종_00-설계서,원가계산,내역서" xfId="1610" xr:uid="{00000000-0005-0000-0000-000040060000}"/>
    <cellStyle name="1_tree_구로리총괄내역_구로리설계예산서1118준공_진해자은수량산출서(단지내)_기초산출표-56-128-최종_설계서-1" xfId="1611" xr:uid="{00000000-0005-0000-0000-000041060000}"/>
    <cellStyle name="1_tree_구로리총괄내역_구로리설계예산서1118준공_진해자은수량산출서(단지내)_기초산출표-56-128-최종_설계서-1_00-설계서,원가계산,내역서" xfId="1612" xr:uid="{00000000-0005-0000-0000-000042060000}"/>
    <cellStyle name="1_tree_구로리총괄내역_구로리설계예산서1118준공_진해자은수량산출서(단지내)_설계서-1" xfId="1613" xr:uid="{00000000-0005-0000-0000-000043060000}"/>
    <cellStyle name="1_tree_구로리총괄내역_구로리설계예산서1118준공_진해자은수량산출서(단지내)_설계서-1_00-설계서,원가계산,내역서" xfId="1614" xr:uid="{00000000-0005-0000-0000-000044060000}"/>
    <cellStyle name="1_tree_구로리총괄내역_구로리설계예산서1118준공_진해자은수량산출서(단지내)_취합" xfId="1615" xr:uid="{00000000-0005-0000-0000-000045060000}"/>
    <cellStyle name="1_tree_구로리총괄내역_구로리설계예산서1118준공_진해자은수량산출서(단지내)_취합_00-설계서,원가계산,내역서" xfId="1616" xr:uid="{00000000-0005-0000-0000-000046060000}"/>
    <cellStyle name="1_tree_구로리총괄내역_구로리설계예산서1118준공_진해자은수량산출서(단지내)_취합_설계서-1" xfId="1617" xr:uid="{00000000-0005-0000-0000-000047060000}"/>
    <cellStyle name="1_tree_구로리총괄내역_구로리설계예산서1118준공_진해자은수량산출서(단지내)_취합_설계서-1_00-설계서,원가계산,내역서" xfId="1618" xr:uid="{00000000-0005-0000-0000-000048060000}"/>
    <cellStyle name="1_tree_구로리총괄내역_구로리설계예산서조경" xfId="1619" xr:uid="{00000000-0005-0000-0000-000049060000}"/>
    <cellStyle name="1_tree_구로리총괄내역_구로리설계예산서조경_00-설계서,원가계산,내역서" xfId="1620" xr:uid="{00000000-0005-0000-0000-00004A060000}"/>
    <cellStyle name="1_tree_구로리총괄내역_구로리설계예산서조경_설계서-1" xfId="1621" xr:uid="{00000000-0005-0000-0000-00004B060000}"/>
    <cellStyle name="1_tree_구로리총괄내역_구로리설계예산서조경_설계서-1_00-설계서,원가계산,내역서" xfId="1622" xr:uid="{00000000-0005-0000-0000-00004C060000}"/>
    <cellStyle name="1_tree_구로리총괄내역_구로리설계예산서조경_진해자은수량산출서(단지내)" xfId="1623" xr:uid="{00000000-0005-0000-0000-00004D060000}"/>
    <cellStyle name="1_tree_구로리총괄내역_구로리설계예산서조경_진해자은수량산출서(단지내)_00-설계서,원가계산,내역서" xfId="1624" xr:uid="{00000000-0005-0000-0000-00004E060000}"/>
    <cellStyle name="1_tree_구로리총괄내역_구로리설계예산서조경_진해자은수량산출서(단지내)_기초산출표-56-128-최종" xfId="1625" xr:uid="{00000000-0005-0000-0000-00004F060000}"/>
    <cellStyle name="1_tree_구로리총괄내역_구로리설계예산서조경_진해자은수량산출서(단지내)_기초산출표-56-128-최종_00-설계서,원가계산,내역서" xfId="1626" xr:uid="{00000000-0005-0000-0000-000050060000}"/>
    <cellStyle name="1_tree_구로리총괄내역_구로리설계예산서조경_진해자은수량산출서(단지내)_기초산출표-56-128-최종_설계서-1" xfId="1627" xr:uid="{00000000-0005-0000-0000-000051060000}"/>
    <cellStyle name="1_tree_구로리총괄내역_구로리설계예산서조경_진해자은수량산출서(단지내)_기초산출표-56-128-최종_설계서-1_00-설계서,원가계산,내역서" xfId="1628" xr:uid="{00000000-0005-0000-0000-000052060000}"/>
    <cellStyle name="1_tree_구로리총괄내역_구로리설계예산서조경_진해자은수량산출서(단지내)_설계서-1" xfId="1629" xr:uid="{00000000-0005-0000-0000-000053060000}"/>
    <cellStyle name="1_tree_구로리총괄내역_구로리설계예산서조경_진해자은수량산출서(단지내)_설계서-1_00-설계서,원가계산,내역서" xfId="1630" xr:uid="{00000000-0005-0000-0000-000054060000}"/>
    <cellStyle name="1_tree_구로리총괄내역_구로리설계예산서조경_진해자은수량산출서(단지내)_취합" xfId="1631" xr:uid="{00000000-0005-0000-0000-000055060000}"/>
    <cellStyle name="1_tree_구로리총괄내역_구로리설계예산서조경_진해자은수량산출서(단지내)_취합_00-설계서,원가계산,내역서" xfId="1632" xr:uid="{00000000-0005-0000-0000-000056060000}"/>
    <cellStyle name="1_tree_구로리총괄내역_구로리설계예산서조경_진해자은수량산출서(단지내)_취합_설계서-1" xfId="1633" xr:uid="{00000000-0005-0000-0000-000057060000}"/>
    <cellStyle name="1_tree_구로리총괄내역_구로리설계예산서조경_진해자은수량산출서(단지내)_취합_설계서-1_00-설계서,원가계산,내역서" xfId="1634" xr:uid="{00000000-0005-0000-0000-000058060000}"/>
    <cellStyle name="1_tree_구로리총괄내역_구로리어린이공원예산서(조경)1125" xfId="1635" xr:uid="{00000000-0005-0000-0000-000059060000}"/>
    <cellStyle name="1_tree_구로리총괄내역_구로리어린이공원예산서(조경)1125_00-설계서,원가계산,내역서" xfId="1636" xr:uid="{00000000-0005-0000-0000-00005A060000}"/>
    <cellStyle name="1_tree_구로리총괄내역_구로리어린이공원예산서(조경)1125_설계서-1" xfId="1637" xr:uid="{00000000-0005-0000-0000-00005B060000}"/>
    <cellStyle name="1_tree_구로리총괄내역_구로리어린이공원예산서(조경)1125_설계서-1_00-설계서,원가계산,내역서" xfId="1638" xr:uid="{00000000-0005-0000-0000-00005C060000}"/>
    <cellStyle name="1_tree_구로리총괄내역_구로리어린이공원예산서(조경)1125_진해자은수량산출서(단지내)" xfId="1639" xr:uid="{00000000-0005-0000-0000-00005D060000}"/>
    <cellStyle name="1_tree_구로리총괄내역_구로리어린이공원예산서(조경)1125_진해자은수량산출서(단지내)_00-설계서,원가계산,내역서" xfId="1640" xr:uid="{00000000-0005-0000-0000-00005E060000}"/>
    <cellStyle name="1_tree_구로리총괄내역_구로리어린이공원예산서(조경)1125_진해자은수량산출서(단지내)_기초산출표-56-128-최종" xfId="1641" xr:uid="{00000000-0005-0000-0000-00005F060000}"/>
    <cellStyle name="1_tree_구로리총괄내역_구로리어린이공원예산서(조경)1125_진해자은수량산출서(단지내)_기초산출표-56-128-최종_00-설계서,원가계산,내역서" xfId="1642" xr:uid="{00000000-0005-0000-0000-000060060000}"/>
    <cellStyle name="1_tree_구로리총괄내역_구로리어린이공원예산서(조경)1125_진해자은수량산출서(단지내)_기초산출표-56-128-최종_설계서-1" xfId="1643" xr:uid="{00000000-0005-0000-0000-000061060000}"/>
    <cellStyle name="1_tree_구로리총괄내역_구로리어린이공원예산서(조경)1125_진해자은수량산출서(단지내)_기초산출표-56-128-최종_설계서-1_00-설계서,원가계산,내역서" xfId="1644" xr:uid="{00000000-0005-0000-0000-000062060000}"/>
    <cellStyle name="1_tree_구로리총괄내역_구로리어린이공원예산서(조경)1125_진해자은수량산출서(단지내)_설계서-1" xfId="1645" xr:uid="{00000000-0005-0000-0000-000063060000}"/>
    <cellStyle name="1_tree_구로리총괄내역_구로리어린이공원예산서(조경)1125_진해자은수량산출서(단지내)_설계서-1_00-설계서,원가계산,내역서" xfId="1646" xr:uid="{00000000-0005-0000-0000-000064060000}"/>
    <cellStyle name="1_tree_구로리총괄내역_구로리어린이공원예산서(조경)1125_진해자은수량산출서(단지내)_취합" xfId="1647" xr:uid="{00000000-0005-0000-0000-000065060000}"/>
    <cellStyle name="1_tree_구로리총괄내역_구로리어린이공원예산서(조경)1125_진해자은수량산출서(단지내)_취합_00-설계서,원가계산,내역서" xfId="1648" xr:uid="{00000000-0005-0000-0000-000066060000}"/>
    <cellStyle name="1_tree_구로리총괄내역_구로리어린이공원예산서(조경)1125_진해자은수량산출서(단지내)_취합_설계서-1" xfId="1649" xr:uid="{00000000-0005-0000-0000-000067060000}"/>
    <cellStyle name="1_tree_구로리총괄내역_구로리어린이공원예산서(조경)1125_진해자은수량산출서(단지내)_취합_설계서-1_00-설계서,원가계산,내역서" xfId="1650" xr:uid="{00000000-0005-0000-0000-000068060000}"/>
    <cellStyle name="1_tree_구로리총괄내역_내역서" xfId="1651" xr:uid="{00000000-0005-0000-0000-000069060000}"/>
    <cellStyle name="1_tree_구로리총괄내역_내역서_00-설계서,원가계산,내역서" xfId="1652" xr:uid="{00000000-0005-0000-0000-00006A060000}"/>
    <cellStyle name="1_tree_구로리총괄내역_내역서_설계서-1" xfId="1653" xr:uid="{00000000-0005-0000-0000-00006B060000}"/>
    <cellStyle name="1_tree_구로리총괄내역_내역서_설계서-1_00-설계서,원가계산,내역서" xfId="1654" xr:uid="{00000000-0005-0000-0000-00006C060000}"/>
    <cellStyle name="1_tree_구로리총괄내역_내역서_진해자은수량산출서(단지내)" xfId="1655" xr:uid="{00000000-0005-0000-0000-00006D060000}"/>
    <cellStyle name="1_tree_구로리총괄내역_내역서_진해자은수량산출서(단지내)_00-설계서,원가계산,내역서" xfId="1656" xr:uid="{00000000-0005-0000-0000-00006E060000}"/>
    <cellStyle name="1_tree_구로리총괄내역_내역서_진해자은수량산출서(단지내)_기초산출표-56-128-최종" xfId="1657" xr:uid="{00000000-0005-0000-0000-00006F060000}"/>
    <cellStyle name="1_tree_구로리총괄내역_내역서_진해자은수량산출서(단지내)_기초산출표-56-128-최종_00-설계서,원가계산,내역서" xfId="1658" xr:uid="{00000000-0005-0000-0000-000070060000}"/>
    <cellStyle name="1_tree_구로리총괄내역_내역서_진해자은수량산출서(단지내)_기초산출표-56-128-최종_설계서-1" xfId="1659" xr:uid="{00000000-0005-0000-0000-000071060000}"/>
    <cellStyle name="1_tree_구로리총괄내역_내역서_진해자은수량산출서(단지내)_기초산출표-56-128-최종_설계서-1_00-설계서,원가계산,내역서" xfId="1660" xr:uid="{00000000-0005-0000-0000-000072060000}"/>
    <cellStyle name="1_tree_구로리총괄내역_내역서_진해자은수량산출서(단지내)_설계서-1" xfId="1661" xr:uid="{00000000-0005-0000-0000-000073060000}"/>
    <cellStyle name="1_tree_구로리총괄내역_내역서_진해자은수량산출서(단지내)_설계서-1_00-설계서,원가계산,내역서" xfId="1662" xr:uid="{00000000-0005-0000-0000-000074060000}"/>
    <cellStyle name="1_tree_구로리총괄내역_내역서_진해자은수량산출서(단지내)_취합" xfId="1663" xr:uid="{00000000-0005-0000-0000-000075060000}"/>
    <cellStyle name="1_tree_구로리총괄내역_내역서_진해자은수량산출서(단지내)_취합_00-설계서,원가계산,내역서" xfId="1664" xr:uid="{00000000-0005-0000-0000-000076060000}"/>
    <cellStyle name="1_tree_구로리총괄내역_내역서_진해자은수량산출서(단지내)_취합_설계서-1" xfId="1665" xr:uid="{00000000-0005-0000-0000-000077060000}"/>
    <cellStyle name="1_tree_구로리총괄내역_내역서_진해자은수량산출서(단지내)_취합_설계서-1_00-설계서,원가계산,내역서" xfId="1666" xr:uid="{00000000-0005-0000-0000-000078060000}"/>
    <cellStyle name="1_tree_구로리총괄내역_노임단가표" xfId="1667" xr:uid="{00000000-0005-0000-0000-000079060000}"/>
    <cellStyle name="1_tree_구로리총괄내역_노임단가표_00-설계서,원가계산,내역서" xfId="1668" xr:uid="{00000000-0005-0000-0000-00007A060000}"/>
    <cellStyle name="1_tree_구로리총괄내역_노임단가표_설계서-1" xfId="1669" xr:uid="{00000000-0005-0000-0000-00007B060000}"/>
    <cellStyle name="1_tree_구로리총괄내역_노임단가표_설계서-1_00-설계서,원가계산,내역서" xfId="1670" xr:uid="{00000000-0005-0000-0000-00007C060000}"/>
    <cellStyle name="1_tree_구로리총괄내역_노임단가표_진해자은수량산출서(단지내)" xfId="1671" xr:uid="{00000000-0005-0000-0000-00007D060000}"/>
    <cellStyle name="1_tree_구로리총괄내역_노임단가표_진해자은수량산출서(단지내)_00-설계서,원가계산,내역서" xfId="1672" xr:uid="{00000000-0005-0000-0000-00007E060000}"/>
    <cellStyle name="1_tree_구로리총괄내역_노임단가표_진해자은수량산출서(단지내)_기초산출표-56-128-최종" xfId="1673" xr:uid="{00000000-0005-0000-0000-00007F060000}"/>
    <cellStyle name="1_tree_구로리총괄내역_노임단가표_진해자은수량산출서(단지내)_기초산출표-56-128-최종_00-설계서,원가계산,내역서" xfId="1674" xr:uid="{00000000-0005-0000-0000-000080060000}"/>
    <cellStyle name="1_tree_구로리총괄내역_노임단가표_진해자은수량산출서(단지내)_기초산출표-56-128-최종_설계서-1" xfId="1675" xr:uid="{00000000-0005-0000-0000-000081060000}"/>
    <cellStyle name="1_tree_구로리총괄내역_노임단가표_진해자은수량산출서(단지내)_기초산출표-56-128-최종_설계서-1_00-설계서,원가계산,내역서" xfId="1676" xr:uid="{00000000-0005-0000-0000-000082060000}"/>
    <cellStyle name="1_tree_구로리총괄내역_노임단가표_진해자은수량산출서(단지내)_설계서-1" xfId="1677" xr:uid="{00000000-0005-0000-0000-000083060000}"/>
    <cellStyle name="1_tree_구로리총괄내역_노임단가표_진해자은수량산출서(단지내)_설계서-1_00-설계서,원가계산,내역서" xfId="1678" xr:uid="{00000000-0005-0000-0000-000084060000}"/>
    <cellStyle name="1_tree_구로리총괄내역_노임단가표_진해자은수량산출서(단지내)_취합" xfId="1679" xr:uid="{00000000-0005-0000-0000-000085060000}"/>
    <cellStyle name="1_tree_구로리총괄내역_노임단가표_진해자은수량산출서(단지내)_취합_00-설계서,원가계산,내역서" xfId="1680" xr:uid="{00000000-0005-0000-0000-000086060000}"/>
    <cellStyle name="1_tree_구로리총괄내역_노임단가표_진해자은수량산출서(단지내)_취합_설계서-1" xfId="1681" xr:uid="{00000000-0005-0000-0000-000087060000}"/>
    <cellStyle name="1_tree_구로리총괄내역_노임단가표_진해자은수량산출서(단지내)_취합_설계서-1_00-설계서,원가계산,내역서" xfId="1682" xr:uid="{00000000-0005-0000-0000-000088060000}"/>
    <cellStyle name="1_tree_구로리총괄내역_설계서-1" xfId="1683" xr:uid="{00000000-0005-0000-0000-000089060000}"/>
    <cellStyle name="1_tree_구로리총괄내역_설계서-1_00-설계서,원가계산,내역서" xfId="1684" xr:uid="{00000000-0005-0000-0000-00008A060000}"/>
    <cellStyle name="1_tree_구로리총괄내역_수도권매립지" xfId="1685" xr:uid="{00000000-0005-0000-0000-00008B060000}"/>
    <cellStyle name="1_tree_구로리총괄내역_수도권매립지_00-설계서,원가계산,내역서" xfId="1686" xr:uid="{00000000-0005-0000-0000-00008C060000}"/>
    <cellStyle name="1_tree_구로리총괄내역_수도권매립지_설계서-1" xfId="1687" xr:uid="{00000000-0005-0000-0000-00008D060000}"/>
    <cellStyle name="1_tree_구로리총괄내역_수도권매립지_설계서-1_00-설계서,원가계산,내역서" xfId="1688" xr:uid="{00000000-0005-0000-0000-00008E060000}"/>
    <cellStyle name="1_tree_구로리총괄내역_수도권매립지_진해자은수량산출서(단지내)" xfId="1689" xr:uid="{00000000-0005-0000-0000-00008F060000}"/>
    <cellStyle name="1_tree_구로리총괄내역_수도권매립지_진해자은수량산출서(단지내)_00-설계서,원가계산,내역서" xfId="1690" xr:uid="{00000000-0005-0000-0000-000090060000}"/>
    <cellStyle name="1_tree_구로리총괄내역_수도권매립지_진해자은수량산출서(단지내)_기초산출표-56-128-최종" xfId="1691" xr:uid="{00000000-0005-0000-0000-000091060000}"/>
    <cellStyle name="1_tree_구로리총괄내역_수도권매립지_진해자은수량산출서(단지내)_기초산출표-56-128-최종_00-설계서,원가계산,내역서" xfId="1692" xr:uid="{00000000-0005-0000-0000-000092060000}"/>
    <cellStyle name="1_tree_구로리총괄내역_수도권매립지_진해자은수량산출서(단지내)_기초산출표-56-128-최종_설계서-1" xfId="1693" xr:uid="{00000000-0005-0000-0000-000093060000}"/>
    <cellStyle name="1_tree_구로리총괄내역_수도권매립지_진해자은수량산출서(단지내)_기초산출표-56-128-최종_설계서-1_00-설계서,원가계산,내역서" xfId="1694" xr:uid="{00000000-0005-0000-0000-000094060000}"/>
    <cellStyle name="1_tree_구로리총괄내역_수도권매립지_진해자은수량산출서(단지내)_설계서-1" xfId="1695" xr:uid="{00000000-0005-0000-0000-000095060000}"/>
    <cellStyle name="1_tree_구로리총괄내역_수도권매립지_진해자은수량산출서(단지내)_설계서-1_00-설계서,원가계산,내역서" xfId="1696" xr:uid="{00000000-0005-0000-0000-000096060000}"/>
    <cellStyle name="1_tree_구로리총괄내역_수도권매립지_진해자은수량산출서(단지내)_취합" xfId="1697" xr:uid="{00000000-0005-0000-0000-000097060000}"/>
    <cellStyle name="1_tree_구로리총괄내역_수도권매립지_진해자은수량산출서(단지내)_취합_00-설계서,원가계산,내역서" xfId="1698" xr:uid="{00000000-0005-0000-0000-000098060000}"/>
    <cellStyle name="1_tree_구로리총괄내역_수도권매립지_진해자은수량산출서(단지내)_취합_설계서-1" xfId="1699" xr:uid="{00000000-0005-0000-0000-000099060000}"/>
    <cellStyle name="1_tree_구로리총괄내역_수도권매립지_진해자은수량산출서(단지내)_취합_설계서-1_00-설계서,원가계산,내역서" xfId="1700" xr:uid="{00000000-0005-0000-0000-00009A060000}"/>
    <cellStyle name="1_tree_구로리총괄내역_수도권매립지1004(발주용)" xfId="1701" xr:uid="{00000000-0005-0000-0000-00009B060000}"/>
    <cellStyle name="1_tree_구로리총괄내역_수도권매립지1004(발주용)_00-설계서,원가계산,내역서" xfId="1702" xr:uid="{00000000-0005-0000-0000-00009C060000}"/>
    <cellStyle name="1_tree_구로리총괄내역_수도권매립지1004(발주용)_설계서-1" xfId="1703" xr:uid="{00000000-0005-0000-0000-00009D060000}"/>
    <cellStyle name="1_tree_구로리총괄내역_수도권매립지1004(발주용)_설계서-1_00-설계서,원가계산,내역서" xfId="1704" xr:uid="{00000000-0005-0000-0000-00009E060000}"/>
    <cellStyle name="1_tree_구로리총괄내역_수도권매립지1004(발주용)_진해자은수량산출서(단지내)" xfId="1705" xr:uid="{00000000-0005-0000-0000-00009F060000}"/>
    <cellStyle name="1_tree_구로리총괄내역_수도권매립지1004(발주용)_진해자은수량산출서(단지내)_00-설계서,원가계산,내역서" xfId="1706" xr:uid="{00000000-0005-0000-0000-0000A0060000}"/>
    <cellStyle name="1_tree_구로리총괄내역_수도권매립지1004(발주용)_진해자은수량산출서(단지내)_기초산출표-56-128-최종" xfId="1707" xr:uid="{00000000-0005-0000-0000-0000A1060000}"/>
    <cellStyle name="1_tree_구로리총괄내역_수도권매립지1004(발주용)_진해자은수량산출서(단지내)_기초산출표-56-128-최종_00-설계서,원가계산,내역서" xfId="1708" xr:uid="{00000000-0005-0000-0000-0000A2060000}"/>
    <cellStyle name="1_tree_구로리총괄내역_수도권매립지1004(발주용)_진해자은수량산출서(단지내)_기초산출표-56-128-최종_설계서-1" xfId="1709" xr:uid="{00000000-0005-0000-0000-0000A3060000}"/>
    <cellStyle name="1_tree_구로리총괄내역_수도권매립지1004(발주용)_진해자은수량산출서(단지내)_기초산출표-56-128-최종_설계서-1_00-설계서,원가계산,내역서" xfId="1710" xr:uid="{00000000-0005-0000-0000-0000A4060000}"/>
    <cellStyle name="1_tree_구로리총괄내역_수도권매립지1004(발주용)_진해자은수량산출서(단지내)_설계서-1" xfId="1711" xr:uid="{00000000-0005-0000-0000-0000A5060000}"/>
    <cellStyle name="1_tree_구로리총괄내역_수도권매립지1004(발주용)_진해자은수량산출서(단지내)_설계서-1_00-설계서,원가계산,내역서" xfId="1712" xr:uid="{00000000-0005-0000-0000-0000A6060000}"/>
    <cellStyle name="1_tree_구로리총괄내역_수도권매립지1004(발주용)_진해자은수량산출서(단지내)_취합" xfId="1713" xr:uid="{00000000-0005-0000-0000-0000A7060000}"/>
    <cellStyle name="1_tree_구로리총괄내역_수도권매립지1004(발주용)_진해자은수량산출서(단지내)_취합_00-설계서,원가계산,내역서" xfId="1714" xr:uid="{00000000-0005-0000-0000-0000A8060000}"/>
    <cellStyle name="1_tree_구로리총괄내역_수도권매립지1004(발주용)_진해자은수량산출서(단지내)_취합_설계서-1" xfId="1715" xr:uid="{00000000-0005-0000-0000-0000A9060000}"/>
    <cellStyle name="1_tree_구로리총괄내역_수도권매립지1004(발주용)_진해자은수량산출서(단지내)_취합_설계서-1_00-설계서,원가계산,내역서" xfId="1716" xr:uid="{00000000-0005-0000-0000-0000AA060000}"/>
    <cellStyle name="1_tree_구로리총괄내역_일신건영설계예산서(0211)" xfId="1717" xr:uid="{00000000-0005-0000-0000-0000AB060000}"/>
    <cellStyle name="1_tree_구로리총괄내역_일신건영설계예산서(0211)_00-설계서,원가계산,내역서" xfId="1718" xr:uid="{00000000-0005-0000-0000-0000AC060000}"/>
    <cellStyle name="1_tree_구로리총괄내역_일신건영설계예산서(0211)_설계서-1" xfId="1719" xr:uid="{00000000-0005-0000-0000-0000AD060000}"/>
    <cellStyle name="1_tree_구로리총괄내역_일신건영설계예산서(0211)_설계서-1_00-설계서,원가계산,내역서" xfId="1720" xr:uid="{00000000-0005-0000-0000-0000AE060000}"/>
    <cellStyle name="1_tree_구로리총괄내역_일신건영설계예산서(0211)_진해자은수량산출서(단지내)" xfId="1721" xr:uid="{00000000-0005-0000-0000-0000AF060000}"/>
    <cellStyle name="1_tree_구로리총괄내역_일신건영설계예산서(0211)_진해자은수량산출서(단지내)_00-설계서,원가계산,내역서" xfId="1722" xr:uid="{00000000-0005-0000-0000-0000B0060000}"/>
    <cellStyle name="1_tree_구로리총괄내역_일신건영설계예산서(0211)_진해자은수량산출서(단지내)_기초산출표-56-128-최종" xfId="1723" xr:uid="{00000000-0005-0000-0000-0000B1060000}"/>
    <cellStyle name="1_tree_구로리총괄내역_일신건영설계예산서(0211)_진해자은수량산출서(단지내)_기초산출표-56-128-최종_00-설계서,원가계산,내역서" xfId="1724" xr:uid="{00000000-0005-0000-0000-0000B2060000}"/>
    <cellStyle name="1_tree_구로리총괄내역_일신건영설계예산서(0211)_진해자은수량산출서(단지내)_기초산출표-56-128-최종_설계서-1" xfId="1725" xr:uid="{00000000-0005-0000-0000-0000B3060000}"/>
    <cellStyle name="1_tree_구로리총괄내역_일신건영설계예산서(0211)_진해자은수량산출서(단지내)_기초산출표-56-128-최종_설계서-1_00-설계서,원가계산,내역서" xfId="1726" xr:uid="{00000000-0005-0000-0000-0000B4060000}"/>
    <cellStyle name="1_tree_구로리총괄내역_일신건영설계예산서(0211)_진해자은수량산출서(단지내)_설계서-1" xfId="1727" xr:uid="{00000000-0005-0000-0000-0000B5060000}"/>
    <cellStyle name="1_tree_구로리총괄내역_일신건영설계예산서(0211)_진해자은수량산출서(단지내)_설계서-1_00-설계서,원가계산,내역서" xfId="1728" xr:uid="{00000000-0005-0000-0000-0000B6060000}"/>
    <cellStyle name="1_tree_구로리총괄내역_일신건영설계예산서(0211)_진해자은수량산출서(단지내)_취합" xfId="1729" xr:uid="{00000000-0005-0000-0000-0000B7060000}"/>
    <cellStyle name="1_tree_구로리총괄내역_일신건영설계예산서(0211)_진해자은수량산출서(단지내)_취합_00-설계서,원가계산,내역서" xfId="1730" xr:uid="{00000000-0005-0000-0000-0000B8060000}"/>
    <cellStyle name="1_tree_구로리총괄내역_일신건영설계예산서(0211)_진해자은수량산출서(단지내)_취합_설계서-1" xfId="1731" xr:uid="{00000000-0005-0000-0000-0000B9060000}"/>
    <cellStyle name="1_tree_구로리총괄내역_일신건영설계예산서(0211)_진해자은수량산출서(단지내)_취합_설계서-1_00-설계서,원가계산,내역서" xfId="1732" xr:uid="{00000000-0005-0000-0000-0000BA060000}"/>
    <cellStyle name="1_tree_구로리총괄내역_일위대가" xfId="1733" xr:uid="{00000000-0005-0000-0000-0000BB060000}"/>
    <cellStyle name="1_tree_구로리총괄내역_일위대가_00-설계서,원가계산,내역서" xfId="1734" xr:uid="{00000000-0005-0000-0000-0000BC060000}"/>
    <cellStyle name="1_tree_구로리총괄내역_일위대가_설계서-1" xfId="1735" xr:uid="{00000000-0005-0000-0000-0000BD060000}"/>
    <cellStyle name="1_tree_구로리총괄내역_일위대가_설계서-1_00-설계서,원가계산,내역서" xfId="1736" xr:uid="{00000000-0005-0000-0000-0000BE060000}"/>
    <cellStyle name="1_tree_구로리총괄내역_일위대가_진해자은수량산출서(단지내)" xfId="1737" xr:uid="{00000000-0005-0000-0000-0000BF060000}"/>
    <cellStyle name="1_tree_구로리총괄내역_일위대가_진해자은수량산출서(단지내)_00-설계서,원가계산,내역서" xfId="1738" xr:uid="{00000000-0005-0000-0000-0000C0060000}"/>
    <cellStyle name="1_tree_구로리총괄내역_일위대가_진해자은수량산출서(단지내)_기초산출표-56-128-최종" xfId="1739" xr:uid="{00000000-0005-0000-0000-0000C1060000}"/>
    <cellStyle name="1_tree_구로리총괄내역_일위대가_진해자은수량산출서(단지내)_기초산출표-56-128-최종_00-설계서,원가계산,내역서" xfId="1740" xr:uid="{00000000-0005-0000-0000-0000C2060000}"/>
    <cellStyle name="1_tree_구로리총괄내역_일위대가_진해자은수량산출서(단지내)_기초산출표-56-128-최종_설계서-1" xfId="1741" xr:uid="{00000000-0005-0000-0000-0000C3060000}"/>
    <cellStyle name="1_tree_구로리총괄내역_일위대가_진해자은수량산출서(단지내)_기초산출표-56-128-최종_설계서-1_00-설계서,원가계산,내역서" xfId="1742" xr:uid="{00000000-0005-0000-0000-0000C4060000}"/>
    <cellStyle name="1_tree_구로리총괄내역_일위대가_진해자은수량산출서(단지내)_설계서-1" xfId="1743" xr:uid="{00000000-0005-0000-0000-0000C5060000}"/>
    <cellStyle name="1_tree_구로리총괄내역_일위대가_진해자은수량산출서(단지내)_설계서-1_00-설계서,원가계산,내역서" xfId="1744" xr:uid="{00000000-0005-0000-0000-0000C6060000}"/>
    <cellStyle name="1_tree_구로리총괄내역_일위대가_진해자은수량산출서(단지내)_취합" xfId="1745" xr:uid="{00000000-0005-0000-0000-0000C7060000}"/>
    <cellStyle name="1_tree_구로리총괄내역_일위대가_진해자은수량산출서(단지내)_취합_00-설계서,원가계산,내역서" xfId="1746" xr:uid="{00000000-0005-0000-0000-0000C8060000}"/>
    <cellStyle name="1_tree_구로리총괄내역_일위대가_진해자은수량산출서(단지내)_취합_설계서-1" xfId="1747" xr:uid="{00000000-0005-0000-0000-0000C9060000}"/>
    <cellStyle name="1_tree_구로리총괄내역_일위대가_진해자은수량산출서(단지내)_취합_설계서-1_00-설계서,원가계산,내역서" xfId="1748" xr:uid="{00000000-0005-0000-0000-0000CA060000}"/>
    <cellStyle name="1_tree_구로리총괄내역_자재단가표" xfId="1749" xr:uid="{00000000-0005-0000-0000-0000CB060000}"/>
    <cellStyle name="1_tree_구로리총괄내역_자재단가표_00-설계서,원가계산,내역서" xfId="1750" xr:uid="{00000000-0005-0000-0000-0000CC060000}"/>
    <cellStyle name="1_tree_구로리총괄내역_자재단가표_설계서-1" xfId="1751" xr:uid="{00000000-0005-0000-0000-0000CD060000}"/>
    <cellStyle name="1_tree_구로리총괄내역_자재단가표_설계서-1_00-설계서,원가계산,내역서" xfId="1752" xr:uid="{00000000-0005-0000-0000-0000CE060000}"/>
    <cellStyle name="1_tree_구로리총괄내역_자재단가표_진해자은수량산출서(단지내)" xfId="1753" xr:uid="{00000000-0005-0000-0000-0000CF060000}"/>
    <cellStyle name="1_tree_구로리총괄내역_자재단가표_진해자은수량산출서(단지내)_00-설계서,원가계산,내역서" xfId="1754" xr:uid="{00000000-0005-0000-0000-0000D0060000}"/>
    <cellStyle name="1_tree_구로리총괄내역_자재단가표_진해자은수량산출서(단지내)_기초산출표-56-128-최종" xfId="1755" xr:uid="{00000000-0005-0000-0000-0000D1060000}"/>
    <cellStyle name="1_tree_구로리총괄내역_자재단가표_진해자은수량산출서(단지내)_기초산출표-56-128-최종_00-설계서,원가계산,내역서" xfId="1756" xr:uid="{00000000-0005-0000-0000-0000D2060000}"/>
    <cellStyle name="1_tree_구로리총괄내역_자재단가표_진해자은수량산출서(단지내)_기초산출표-56-128-최종_설계서-1" xfId="1757" xr:uid="{00000000-0005-0000-0000-0000D3060000}"/>
    <cellStyle name="1_tree_구로리총괄내역_자재단가표_진해자은수량산출서(단지내)_기초산출표-56-128-최종_설계서-1_00-설계서,원가계산,내역서" xfId="1758" xr:uid="{00000000-0005-0000-0000-0000D4060000}"/>
    <cellStyle name="1_tree_구로리총괄내역_자재단가표_진해자은수량산출서(단지내)_설계서-1" xfId="1759" xr:uid="{00000000-0005-0000-0000-0000D5060000}"/>
    <cellStyle name="1_tree_구로리총괄내역_자재단가표_진해자은수량산출서(단지내)_설계서-1_00-설계서,원가계산,내역서" xfId="1760" xr:uid="{00000000-0005-0000-0000-0000D6060000}"/>
    <cellStyle name="1_tree_구로리총괄내역_자재단가표_진해자은수량산출서(단지내)_취합" xfId="1761" xr:uid="{00000000-0005-0000-0000-0000D7060000}"/>
    <cellStyle name="1_tree_구로리총괄내역_자재단가표_진해자은수량산출서(단지내)_취합_00-설계서,원가계산,내역서" xfId="1762" xr:uid="{00000000-0005-0000-0000-0000D8060000}"/>
    <cellStyle name="1_tree_구로리총괄내역_자재단가표_진해자은수량산출서(단지내)_취합_설계서-1" xfId="1763" xr:uid="{00000000-0005-0000-0000-0000D9060000}"/>
    <cellStyle name="1_tree_구로리총괄내역_자재단가표_진해자은수량산출서(단지내)_취합_설계서-1_00-설계서,원가계산,내역서" xfId="1764" xr:uid="{00000000-0005-0000-0000-0000DA060000}"/>
    <cellStyle name="1_tree_구로리총괄내역_장안초등학교내역0814" xfId="1765" xr:uid="{00000000-0005-0000-0000-0000DB060000}"/>
    <cellStyle name="1_tree_구로리총괄내역_장안초등학교내역0814_00-설계서,원가계산,내역서" xfId="1766" xr:uid="{00000000-0005-0000-0000-0000DC060000}"/>
    <cellStyle name="1_tree_구로리총괄내역_장안초등학교내역0814_설계서-1" xfId="1767" xr:uid="{00000000-0005-0000-0000-0000DD060000}"/>
    <cellStyle name="1_tree_구로리총괄내역_장안초등학교내역0814_설계서-1_00-설계서,원가계산,내역서" xfId="1768" xr:uid="{00000000-0005-0000-0000-0000DE060000}"/>
    <cellStyle name="1_tree_구로리총괄내역_장안초등학교내역0814_진해자은수량산출서(단지내)" xfId="1769" xr:uid="{00000000-0005-0000-0000-0000DF060000}"/>
    <cellStyle name="1_tree_구로리총괄내역_장안초등학교내역0814_진해자은수량산출서(단지내)_00-설계서,원가계산,내역서" xfId="1770" xr:uid="{00000000-0005-0000-0000-0000E0060000}"/>
    <cellStyle name="1_tree_구로리총괄내역_장안초등학교내역0814_진해자은수량산출서(단지내)_기초산출표-56-128-최종" xfId="1771" xr:uid="{00000000-0005-0000-0000-0000E1060000}"/>
    <cellStyle name="1_tree_구로리총괄내역_장안초등학교내역0814_진해자은수량산출서(단지내)_기초산출표-56-128-최종_00-설계서,원가계산,내역서" xfId="1772" xr:uid="{00000000-0005-0000-0000-0000E2060000}"/>
    <cellStyle name="1_tree_구로리총괄내역_장안초등학교내역0814_진해자은수량산출서(단지내)_기초산출표-56-128-최종_설계서-1" xfId="1773" xr:uid="{00000000-0005-0000-0000-0000E3060000}"/>
    <cellStyle name="1_tree_구로리총괄내역_장안초등학교내역0814_진해자은수량산출서(단지내)_기초산출표-56-128-최종_설계서-1_00-설계서,원가계산,내역서" xfId="1774" xr:uid="{00000000-0005-0000-0000-0000E4060000}"/>
    <cellStyle name="1_tree_구로리총괄내역_장안초등학교내역0814_진해자은수량산출서(단지내)_설계서-1" xfId="1775" xr:uid="{00000000-0005-0000-0000-0000E5060000}"/>
    <cellStyle name="1_tree_구로리총괄내역_장안초등학교내역0814_진해자은수량산출서(단지내)_설계서-1_00-설계서,원가계산,내역서" xfId="1776" xr:uid="{00000000-0005-0000-0000-0000E6060000}"/>
    <cellStyle name="1_tree_구로리총괄내역_장안초등학교내역0814_진해자은수량산출서(단지내)_취합" xfId="1777" xr:uid="{00000000-0005-0000-0000-0000E7060000}"/>
    <cellStyle name="1_tree_구로리총괄내역_장안초등학교내역0814_진해자은수량산출서(단지내)_취합_00-설계서,원가계산,내역서" xfId="1778" xr:uid="{00000000-0005-0000-0000-0000E8060000}"/>
    <cellStyle name="1_tree_구로리총괄내역_장안초등학교내역0814_진해자은수량산출서(단지내)_취합_설계서-1" xfId="1779" xr:uid="{00000000-0005-0000-0000-0000E9060000}"/>
    <cellStyle name="1_tree_구로리총괄내역_장안초등학교내역0814_진해자은수량산출서(단지내)_취합_설계서-1_00-설계서,원가계산,내역서" xfId="1780" xr:uid="{00000000-0005-0000-0000-0000EA060000}"/>
    <cellStyle name="1_tree_구로리총괄내역_진해자은수량산출서(단지내)" xfId="1781" xr:uid="{00000000-0005-0000-0000-0000EB060000}"/>
    <cellStyle name="1_tree_구로리총괄내역_진해자은수량산출서(단지내)_00-설계서,원가계산,내역서" xfId="1782" xr:uid="{00000000-0005-0000-0000-0000EC060000}"/>
    <cellStyle name="1_tree_구로리총괄내역_진해자은수량산출서(단지내)_기초산출표-56-128-최종" xfId="1783" xr:uid="{00000000-0005-0000-0000-0000ED060000}"/>
    <cellStyle name="1_tree_구로리총괄내역_진해자은수량산출서(단지내)_기초산출표-56-128-최종_00-설계서,원가계산,내역서" xfId="1784" xr:uid="{00000000-0005-0000-0000-0000EE060000}"/>
    <cellStyle name="1_tree_구로리총괄내역_진해자은수량산출서(단지내)_기초산출표-56-128-최종_설계서-1" xfId="1785" xr:uid="{00000000-0005-0000-0000-0000EF060000}"/>
    <cellStyle name="1_tree_구로리총괄내역_진해자은수량산출서(단지내)_기초산출표-56-128-최종_설계서-1_00-설계서,원가계산,내역서" xfId="1786" xr:uid="{00000000-0005-0000-0000-0000F0060000}"/>
    <cellStyle name="1_tree_구로리총괄내역_진해자은수량산출서(단지내)_설계서-1" xfId="1787" xr:uid="{00000000-0005-0000-0000-0000F1060000}"/>
    <cellStyle name="1_tree_구로리총괄내역_진해자은수량산출서(단지내)_설계서-1_00-설계서,원가계산,내역서" xfId="1788" xr:uid="{00000000-0005-0000-0000-0000F2060000}"/>
    <cellStyle name="1_tree_구로리총괄내역_진해자은수량산출서(단지내)_취합" xfId="1789" xr:uid="{00000000-0005-0000-0000-0000F3060000}"/>
    <cellStyle name="1_tree_구로리총괄내역_진해자은수량산출서(단지내)_취합_00-설계서,원가계산,내역서" xfId="1790" xr:uid="{00000000-0005-0000-0000-0000F4060000}"/>
    <cellStyle name="1_tree_구로리총괄내역_진해자은수량산출서(단지내)_취합_설계서-1" xfId="1791" xr:uid="{00000000-0005-0000-0000-0000F5060000}"/>
    <cellStyle name="1_tree_구로리총괄내역_진해자은수량산출서(단지내)_취합_설계서-1_00-설계서,원가계산,내역서" xfId="1792" xr:uid="{00000000-0005-0000-0000-0000F6060000}"/>
    <cellStyle name="1_tree_목동내역" xfId="1793" xr:uid="{00000000-0005-0000-0000-0000F7060000}"/>
    <cellStyle name="1_tree_목동내역_00-설계서,원가계산,내역서" xfId="1794" xr:uid="{00000000-0005-0000-0000-0000F8060000}"/>
    <cellStyle name="1_tree_목동내역_폐기물집계" xfId="1795" xr:uid="{00000000-0005-0000-0000-0000F9060000}"/>
    <cellStyle name="1_tree_목동내역_폐기물집계_00-설계서,원가계산,내역서" xfId="1796" xr:uid="{00000000-0005-0000-0000-0000FA060000}"/>
    <cellStyle name="1_tree_설계서-1" xfId="1797" xr:uid="{00000000-0005-0000-0000-0000FB060000}"/>
    <cellStyle name="1_tree_설계서-1_00-설계서,원가계산,내역서" xfId="1798" xr:uid="{00000000-0005-0000-0000-0000FC060000}"/>
    <cellStyle name="1_tree_수량산출" xfId="1799" xr:uid="{00000000-0005-0000-0000-0000FD060000}"/>
    <cellStyle name="1_tree_수량산출_00-설계서,원가계산,내역서" xfId="1800" xr:uid="{00000000-0005-0000-0000-0000FE060000}"/>
    <cellStyle name="1_tree_수량산출_00-수량산출서" xfId="1801" xr:uid="{00000000-0005-0000-0000-0000FF060000}"/>
    <cellStyle name="1_tree_수량산출_00-수량산출서_00-설계서,원가계산,내역서" xfId="1802" xr:uid="{00000000-0005-0000-0000-000000070000}"/>
    <cellStyle name="1_tree_수량산출_01-내역서(071118)" xfId="1803" xr:uid="{00000000-0005-0000-0000-000001070000}"/>
    <cellStyle name="1_tree_수량산출_01-내역서(071118)_00-설계서,원가계산,내역서" xfId="1804" xr:uid="{00000000-0005-0000-0000-000002070000}"/>
    <cellStyle name="1_tree_수량산출_구로리총괄내역" xfId="1805" xr:uid="{00000000-0005-0000-0000-000003070000}"/>
    <cellStyle name="1_tree_수량산출_구로리총괄내역_00-설계서,원가계산,내역서" xfId="1806" xr:uid="{00000000-0005-0000-0000-000004070000}"/>
    <cellStyle name="1_tree_수량산출_구로리총괄내역_구로리설계예산서1029" xfId="1807" xr:uid="{00000000-0005-0000-0000-000005070000}"/>
    <cellStyle name="1_tree_수량산출_구로리총괄내역_구로리설계예산서1029_00-설계서,원가계산,내역서" xfId="1808" xr:uid="{00000000-0005-0000-0000-000006070000}"/>
    <cellStyle name="1_tree_수량산출_구로리총괄내역_구로리설계예산서1029_설계서-1" xfId="1809" xr:uid="{00000000-0005-0000-0000-000007070000}"/>
    <cellStyle name="1_tree_수량산출_구로리총괄내역_구로리설계예산서1029_설계서-1_00-설계서,원가계산,내역서" xfId="1810" xr:uid="{00000000-0005-0000-0000-000008070000}"/>
    <cellStyle name="1_tree_수량산출_구로리총괄내역_구로리설계예산서1029_진해자은수량산출서(단지내)" xfId="1811" xr:uid="{00000000-0005-0000-0000-000009070000}"/>
    <cellStyle name="1_tree_수량산출_구로리총괄내역_구로리설계예산서1029_진해자은수량산출서(단지내)_00-설계서,원가계산,내역서" xfId="1812" xr:uid="{00000000-0005-0000-0000-00000A070000}"/>
    <cellStyle name="1_tree_수량산출_구로리총괄내역_구로리설계예산서1029_진해자은수량산출서(단지내)_기초산출표-56-128-최종" xfId="1813" xr:uid="{00000000-0005-0000-0000-00000B070000}"/>
    <cellStyle name="1_tree_수량산출_구로리총괄내역_구로리설계예산서1029_진해자은수량산출서(단지내)_기초산출표-56-128-최종_00-설계서,원가계산,내역서" xfId="1814" xr:uid="{00000000-0005-0000-0000-00000C070000}"/>
    <cellStyle name="1_tree_수량산출_구로리총괄내역_구로리설계예산서1029_진해자은수량산출서(단지내)_기초산출표-56-128-최종_설계서-1" xfId="1815" xr:uid="{00000000-0005-0000-0000-00000D070000}"/>
    <cellStyle name="1_tree_수량산출_구로리총괄내역_구로리설계예산서1029_진해자은수량산출서(단지내)_기초산출표-56-128-최종_설계서-1_00-설계서,원가계산,내역서" xfId="1816" xr:uid="{00000000-0005-0000-0000-00000E070000}"/>
    <cellStyle name="1_tree_수량산출_구로리총괄내역_구로리설계예산서1029_진해자은수량산출서(단지내)_설계서-1" xfId="1817" xr:uid="{00000000-0005-0000-0000-00000F070000}"/>
    <cellStyle name="1_tree_수량산출_구로리총괄내역_구로리설계예산서1029_진해자은수량산출서(단지내)_설계서-1_00-설계서,원가계산,내역서" xfId="1818" xr:uid="{00000000-0005-0000-0000-000010070000}"/>
    <cellStyle name="1_tree_수량산출_구로리총괄내역_구로리설계예산서1029_진해자은수량산출서(단지내)_취합" xfId="1819" xr:uid="{00000000-0005-0000-0000-000011070000}"/>
    <cellStyle name="1_tree_수량산출_구로리총괄내역_구로리설계예산서1029_진해자은수량산출서(단지내)_취합_00-설계서,원가계산,내역서" xfId="1820" xr:uid="{00000000-0005-0000-0000-000012070000}"/>
    <cellStyle name="1_tree_수량산출_구로리총괄내역_구로리설계예산서1029_진해자은수량산출서(단지내)_취합_설계서-1" xfId="1821" xr:uid="{00000000-0005-0000-0000-000013070000}"/>
    <cellStyle name="1_tree_수량산출_구로리총괄내역_구로리설계예산서1029_진해자은수량산출서(단지내)_취합_설계서-1_00-설계서,원가계산,내역서" xfId="1822" xr:uid="{00000000-0005-0000-0000-000014070000}"/>
    <cellStyle name="1_tree_수량산출_구로리총괄내역_구로리설계예산서1118준공" xfId="1823" xr:uid="{00000000-0005-0000-0000-000015070000}"/>
    <cellStyle name="1_tree_수량산출_구로리총괄내역_구로리설계예산서1118준공_00-설계서,원가계산,내역서" xfId="1824" xr:uid="{00000000-0005-0000-0000-000016070000}"/>
    <cellStyle name="1_tree_수량산출_구로리총괄내역_구로리설계예산서1118준공_설계서-1" xfId="1825" xr:uid="{00000000-0005-0000-0000-000017070000}"/>
    <cellStyle name="1_tree_수량산출_구로리총괄내역_구로리설계예산서1118준공_설계서-1_00-설계서,원가계산,내역서" xfId="1826" xr:uid="{00000000-0005-0000-0000-000018070000}"/>
    <cellStyle name="1_tree_수량산출_구로리총괄내역_구로리설계예산서1118준공_진해자은수량산출서(단지내)" xfId="1827" xr:uid="{00000000-0005-0000-0000-000019070000}"/>
    <cellStyle name="1_tree_수량산출_구로리총괄내역_구로리설계예산서1118준공_진해자은수량산출서(단지내)_00-설계서,원가계산,내역서" xfId="1828" xr:uid="{00000000-0005-0000-0000-00001A070000}"/>
    <cellStyle name="1_tree_수량산출_구로리총괄내역_구로리설계예산서1118준공_진해자은수량산출서(단지내)_기초산출표-56-128-최종" xfId="1829" xr:uid="{00000000-0005-0000-0000-00001B070000}"/>
    <cellStyle name="1_tree_수량산출_구로리총괄내역_구로리설계예산서1118준공_진해자은수량산출서(단지내)_기초산출표-56-128-최종_00-설계서,원가계산,내역서" xfId="1830" xr:uid="{00000000-0005-0000-0000-00001C070000}"/>
    <cellStyle name="1_tree_수량산출_구로리총괄내역_구로리설계예산서1118준공_진해자은수량산출서(단지내)_기초산출표-56-128-최종_설계서-1" xfId="1831" xr:uid="{00000000-0005-0000-0000-00001D070000}"/>
    <cellStyle name="1_tree_수량산출_구로리총괄내역_구로리설계예산서1118준공_진해자은수량산출서(단지내)_기초산출표-56-128-최종_설계서-1_00-설계서,원가계산,내역서" xfId="1832" xr:uid="{00000000-0005-0000-0000-00001E070000}"/>
    <cellStyle name="1_tree_수량산출_구로리총괄내역_구로리설계예산서1118준공_진해자은수량산출서(단지내)_설계서-1" xfId="1833" xr:uid="{00000000-0005-0000-0000-00001F070000}"/>
    <cellStyle name="1_tree_수량산출_구로리총괄내역_구로리설계예산서1118준공_진해자은수량산출서(단지내)_설계서-1_00-설계서,원가계산,내역서" xfId="1834" xr:uid="{00000000-0005-0000-0000-000020070000}"/>
    <cellStyle name="1_tree_수량산출_구로리총괄내역_구로리설계예산서1118준공_진해자은수량산출서(단지내)_취합" xfId="1835" xr:uid="{00000000-0005-0000-0000-000021070000}"/>
    <cellStyle name="1_tree_수량산출_구로리총괄내역_구로리설계예산서1118준공_진해자은수량산출서(단지내)_취합_00-설계서,원가계산,내역서" xfId="1836" xr:uid="{00000000-0005-0000-0000-000022070000}"/>
    <cellStyle name="1_tree_수량산출_구로리총괄내역_구로리설계예산서1118준공_진해자은수량산출서(단지내)_취합_설계서-1" xfId="1837" xr:uid="{00000000-0005-0000-0000-000023070000}"/>
    <cellStyle name="1_tree_수량산출_구로리총괄내역_구로리설계예산서1118준공_진해자은수량산출서(단지내)_취합_설계서-1_00-설계서,원가계산,내역서" xfId="1838" xr:uid="{00000000-0005-0000-0000-000024070000}"/>
    <cellStyle name="1_tree_수량산출_구로리총괄내역_구로리설계예산서조경" xfId="1839" xr:uid="{00000000-0005-0000-0000-000025070000}"/>
    <cellStyle name="1_tree_수량산출_구로리총괄내역_구로리설계예산서조경_00-설계서,원가계산,내역서" xfId="1840" xr:uid="{00000000-0005-0000-0000-000026070000}"/>
    <cellStyle name="1_tree_수량산출_구로리총괄내역_구로리설계예산서조경_설계서-1" xfId="1841" xr:uid="{00000000-0005-0000-0000-000027070000}"/>
    <cellStyle name="1_tree_수량산출_구로리총괄내역_구로리설계예산서조경_설계서-1_00-설계서,원가계산,내역서" xfId="1842" xr:uid="{00000000-0005-0000-0000-000028070000}"/>
    <cellStyle name="1_tree_수량산출_구로리총괄내역_구로리설계예산서조경_진해자은수량산출서(단지내)" xfId="1843" xr:uid="{00000000-0005-0000-0000-000029070000}"/>
    <cellStyle name="1_tree_수량산출_구로리총괄내역_구로리설계예산서조경_진해자은수량산출서(단지내)_00-설계서,원가계산,내역서" xfId="1844" xr:uid="{00000000-0005-0000-0000-00002A070000}"/>
    <cellStyle name="1_tree_수량산출_구로리총괄내역_구로리설계예산서조경_진해자은수량산출서(단지내)_기초산출표-56-128-최종" xfId="1845" xr:uid="{00000000-0005-0000-0000-00002B070000}"/>
    <cellStyle name="1_tree_수량산출_구로리총괄내역_구로리설계예산서조경_진해자은수량산출서(단지내)_기초산출표-56-128-최종_00-설계서,원가계산,내역서" xfId="1846" xr:uid="{00000000-0005-0000-0000-00002C070000}"/>
    <cellStyle name="1_tree_수량산출_구로리총괄내역_구로리설계예산서조경_진해자은수량산출서(단지내)_기초산출표-56-128-최종_설계서-1" xfId="1847" xr:uid="{00000000-0005-0000-0000-00002D070000}"/>
    <cellStyle name="1_tree_수량산출_구로리총괄내역_구로리설계예산서조경_진해자은수량산출서(단지내)_기초산출표-56-128-최종_설계서-1_00-설계서,원가계산,내역서" xfId="1848" xr:uid="{00000000-0005-0000-0000-00002E070000}"/>
    <cellStyle name="1_tree_수량산출_구로리총괄내역_구로리설계예산서조경_진해자은수량산출서(단지내)_설계서-1" xfId="1849" xr:uid="{00000000-0005-0000-0000-00002F070000}"/>
    <cellStyle name="1_tree_수량산출_구로리총괄내역_구로리설계예산서조경_진해자은수량산출서(단지내)_설계서-1_00-설계서,원가계산,내역서" xfId="1850" xr:uid="{00000000-0005-0000-0000-000030070000}"/>
    <cellStyle name="1_tree_수량산출_구로리총괄내역_구로리설계예산서조경_진해자은수량산출서(단지내)_취합" xfId="1851" xr:uid="{00000000-0005-0000-0000-000031070000}"/>
    <cellStyle name="1_tree_수량산출_구로리총괄내역_구로리설계예산서조경_진해자은수량산출서(단지내)_취합_00-설계서,원가계산,내역서" xfId="1852" xr:uid="{00000000-0005-0000-0000-000032070000}"/>
    <cellStyle name="1_tree_수량산출_구로리총괄내역_구로리설계예산서조경_진해자은수량산출서(단지내)_취합_설계서-1" xfId="1853" xr:uid="{00000000-0005-0000-0000-000033070000}"/>
    <cellStyle name="1_tree_수량산출_구로리총괄내역_구로리설계예산서조경_진해자은수량산출서(단지내)_취합_설계서-1_00-설계서,원가계산,내역서" xfId="1854" xr:uid="{00000000-0005-0000-0000-000034070000}"/>
    <cellStyle name="1_tree_수량산출_구로리총괄내역_구로리어린이공원예산서(조경)1125" xfId="1855" xr:uid="{00000000-0005-0000-0000-000035070000}"/>
    <cellStyle name="1_tree_수량산출_구로리총괄내역_구로리어린이공원예산서(조경)1125_00-설계서,원가계산,내역서" xfId="1856" xr:uid="{00000000-0005-0000-0000-000036070000}"/>
    <cellStyle name="1_tree_수량산출_구로리총괄내역_구로리어린이공원예산서(조경)1125_설계서-1" xfId="1857" xr:uid="{00000000-0005-0000-0000-000037070000}"/>
    <cellStyle name="1_tree_수량산출_구로리총괄내역_구로리어린이공원예산서(조경)1125_설계서-1_00-설계서,원가계산,내역서" xfId="1858" xr:uid="{00000000-0005-0000-0000-000038070000}"/>
    <cellStyle name="1_tree_수량산출_구로리총괄내역_구로리어린이공원예산서(조경)1125_진해자은수량산출서(단지내)" xfId="1859" xr:uid="{00000000-0005-0000-0000-000039070000}"/>
    <cellStyle name="1_tree_수량산출_구로리총괄내역_구로리어린이공원예산서(조경)1125_진해자은수량산출서(단지내)_00-설계서,원가계산,내역서" xfId="1860" xr:uid="{00000000-0005-0000-0000-00003A070000}"/>
    <cellStyle name="1_tree_수량산출_구로리총괄내역_구로리어린이공원예산서(조경)1125_진해자은수량산출서(단지내)_기초산출표-56-128-최종" xfId="1861" xr:uid="{00000000-0005-0000-0000-00003B070000}"/>
    <cellStyle name="1_tree_수량산출_구로리총괄내역_구로리어린이공원예산서(조경)1125_진해자은수량산출서(단지내)_기초산출표-56-128-최종_00-설계서,원가계산,내역서" xfId="1862" xr:uid="{00000000-0005-0000-0000-00003C070000}"/>
    <cellStyle name="1_tree_수량산출_구로리총괄내역_구로리어린이공원예산서(조경)1125_진해자은수량산출서(단지내)_기초산출표-56-128-최종_설계서-1" xfId="1863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64" xr:uid="{00000000-0005-0000-0000-00003E070000}"/>
    <cellStyle name="1_tree_수량산출_구로리총괄내역_구로리어린이공원예산서(조경)1125_진해자은수량산출서(단지내)_설계서-1" xfId="1865" xr:uid="{00000000-0005-0000-0000-00003F070000}"/>
    <cellStyle name="1_tree_수량산출_구로리총괄내역_구로리어린이공원예산서(조경)1125_진해자은수량산출서(단지내)_설계서-1_00-설계서,원가계산,내역서" xfId="1866" xr:uid="{00000000-0005-0000-0000-000040070000}"/>
    <cellStyle name="1_tree_수량산출_구로리총괄내역_구로리어린이공원예산서(조경)1125_진해자은수량산출서(단지내)_취합" xfId="1867" xr:uid="{00000000-0005-0000-0000-000041070000}"/>
    <cellStyle name="1_tree_수량산출_구로리총괄내역_구로리어린이공원예산서(조경)1125_진해자은수량산출서(단지내)_취합_00-설계서,원가계산,내역서" xfId="1868" xr:uid="{00000000-0005-0000-0000-000042070000}"/>
    <cellStyle name="1_tree_수량산출_구로리총괄내역_구로리어린이공원예산서(조경)1125_진해자은수량산출서(단지내)_취합_설계서-1" xfId="1869" xr:uid="{00000000-0005-0000-0000-000043070000}"/>
    <cellStyle name="1_tree_수량산출_구로리총괄내역_구로리어린이공원예산서(조경)1125_진해자은수량산출서(단지내)_취합_설계서-1_00-설계서,원가계산,내역서" xfId="1870" xr:uid="{00000000-0005-0000-0000-000044070000}"/>
    <cellStyle name="1_tree_수량산출_구로리총괄내역_내역서" xfId="1871" xr:uid="{00000000-0005-0000-0000-000045070000}"/>
    <cellStyle name="1_tree_수량산출_구로리총괄내역_내역서_00-설계서,원가계산,내역서" xfId="1872" xr:uid="{00000000-0005-0000-0000-000046070000}"/>
    <cellStyle name="1_tree_수량산출_구로리총괄내역_내역서_설계서-1" xfId="1873" xr:uid="{00000000-0005-0000-0000-000047070000}"/>
    <cellStyle name="1_tree_수량산출_구로리총괄내역_내역서_설계서-1_00-설계서,원가계산,내역서" xfId="1874" xr:uid="{00000000-0005-0000-0000-000048070000}"/>
    <cellStyle name="1_tree_수량산출_구로리총괄내역_내역서_진해자은수량산출서(단지내)" xfId="1875" xr:uid="{00000000-0005-0000-0000-000049070000}"/>
    <cellStyle name="1_tree_수량산출_구로리총괄내역_내역서_진해자은수량산출서(단지내)_00-설계서,원가계산,내역서" xfId="1876" xr:uid="{00000000-0005-0000-0000-00004A070000}"/>
    <cellStyle name="1_tree_수량산출_구로리총괄내역_내역서_진해자은수량산출서(단지내)_기초산출표-56-128-최종" xfId="1877" xr:uid="{00000000-0005-0000-0000-00004B070000}"/>
    <cellStyle name="1_tree_수량산출_구로리총괄내역_내역서_진해자은수량산출서(단지내)_기초산출표-56-128-최종_00-설계서,원가계산,내역서" xfId="1878" xr:uid="{00000000-0005-0000-0000-00004C070000}"/>
    <cellStyle name="1_tree_수량산출_구로리총괄내역_내역서_진해자은수량산출서(단지내)_기초산출표-56-128-최종_설계서-1" xfId="1879" xr:uid="{00000000-0005-0000-0000-00004D070000}"/>
    <cellStyle name="1_tree_수량산출_구로리총괄내역_내역서_진해자은수량산출서(단지내)_기초산출표-56-128-최종_설계서-1_00-설계서,원가계산,내역서" xfId="1880" xr:uid="{00000000-0005-0000-0000-00004E070000}"/>
    <cellStyle name="1_tree_수량산출_구로리총괄내역_내역서_진해자은수량산출서(단지내)_설계서-1" xfId="1881" xr:uid="{00000000-0005-0000-0000-00004F070000}"/>
    <cellStyle name="1_tree_수량산출_구로리총괄내역_내역서_진해자은수량산출서(단지내)_설계서-1_00-설계서,원가계산,내역서" xfId="1882" xr:uid="{00000000-0005-0000-0000-000050070000}"/>
    <cellStyle name="1_tree_수량산출_구로리총괄내역_내역서_진해자은수량산출서(단지내)_취합" xfId="1883" xr:uid="{00000000-0005-0000-0000-000051070000}"/>
    <cellStyle name="1_tree_수량산출_구로리총괄내역_내역서_진해자은수량산출서(단지내)_취합_00-설계서,원가계산,내역서" xfId="1884" xr:uid="{00000000-0005-0000-0000-000052070000}"/>
    <cellStyle name="1_tree_수량산출_구로리총괄내역_내역서_진해자은수량산출서(단지내)_취합_설계서-1" xfId="1885" xr:uid="{00000000-0005-0000-0000-000053070000}"/>
    <cellStyle name="1_tree_수량산출_구로리총괄내역_내역서_진해자은수량산출서(단지내)_취합_설계서-1_00-설계서,원가계산,내역서" xfId="1886" xr:uid="{00000000-0005-0000-0000-000054070000}"/>
    <cellStyle name="1_tree_수량산출_구로리총괄내역_노임단가표" xfId="1887" xr:uid="{00000000-0005-0000-0000-000055070000}"/>
    <cellStyle name="1_tree_수량산출_구로리총괄내역_노임단가표_00-설계서,원가계산,내역서" xfId="1888" xr:uid="{00000000-0005-0000-0000-000056070000}"/>
    <cellStyle name="1_tree_수량산출_구로리총괄내역_노임단가표_설계서-1" xfId="1889" xr:uid="{00000000-0005-0000-0000-000057070000}"/>
    <cellStyle name="1_tree_수량산출_구로리총괄내역_노임단가표_설계서-1_00-설계서,원가계산,내역서" xfId="1890" xr:uid="{00000000-0005-0000-0000-000058070000}"/>
    <cellStyle name="1_tree_수량산출_구로리총괄내역_노임단가표_진해자은수량산출서(단지내)" xfId="1891" xr:uid="{00000000-0005-0000-0000-000059070000}"/>
    <cellStyle name="1_tree_수량산출_구로리총괄내역_노임단가표_진해자은수량산출서(단지내)_00-설계서,원가계산,내역서" xfId="1892" xr:uid="{00000000-0005-0000-0000-00005A070000}"/>
    <cellStyle name="1_tree_수량산출_구로리총괄내역_노임단가표_진해자은수량산출서(단지내)_기초산출표-56-128-최종" xfId="1893" xr:uid="{00000000-0005-0000-0000-00005B070000}"/>
    <cellStyle name="1_tree_수량산출_구로리총괄내역_노임단가표_진해자은수량산출서(단지내)_기초산출표-56-128-최종_00-설계서,원가계산,내역서" xfId="1894" xr:uid="{00000000-0005-0000-0000-00005C070000}"/>
    <cellStyle name="1_tree_수량산출_구로리총괄내역_노임단가표_진해자은수량산출서(단지내)_기초산출표-56-128-최종_설계서-1" xfId="1895" xr:uid="{00000000-0005-0000-0000-00005D070000}"/>
    <cellStyle name="1_tree_수량산출_구로리총괄내역_노임단가표_진해자은수량산출서(단지내)_기초산출표-56-128-최종_설계서-1_00-설계서,원가계산,내역서" xfId="1896" xr:uid="{00000000-0005-0000-0000-00005E070000}"/>
    <cellStyle name="1_tree_수량산출_구로리총괄내역_노임단가표_진해자은수량산출서(단지내)_설계서-1" xfId="1897" xr:uid="{00000000-0005-0000-0000-00005F070000}"/>
    <cellStyle name="1_tree_수량산출_구로리총괄내역_노임단가표_진해자은수량산출서(단지내)_설계서-1_00-설계서,원가계산,내역서" xfId="1898" xr:uid="{00000000-0005-0000-0000-000060070000}"/>
    <cellStyle name="1_tree_수량산출_구로리총괄내역_노임단가표_진해자은수량산출서(단지내)_취합" xfId="1899" xr:uid="{00000000-0005-0000-0000-000061070000}"/>
    <cellStyle name="1_tree_수량산출_구로리총괄내역_노임단가표_진해자은수량산출서(단지내)_취합_00-설계서,원가계산,내역서" xfId="1900" xr:uid="{00000000-0005-0000-0000-000062070000}"/>
    <cellStyle name="1_tree_수량산출_구로리총괄내역_노임단가표_진해자은수량산출서(단지내)_취합_설계서-1" xfId="1901" xr:uid="{00000000-0005-0000-0000-000063070000}"/>
    <cellStyle name="1_tree_수량산출_구로리총괄내역_노임단가표_진해자은수량산출서(단지내)_취합_설계서-1_00-설계서,원가계산,내역서" xfId="1902" xr:uid="{00000000-0005-0000-0000-000064070000}"/>
    <cellStyle name="1_tree_수량산출_구로리총괄내역_설계서-1" xfId="1903" xr:uid="{00000000-0005-0000-0000-000065070000}"/>
    <cellStyle name="1_tree_수량산출_구로리총괄내역_설계서-1_00-설계서,원가계산,내역서" xfId="1904" xr:uid="{00000000-0005-0000-0000-000066070000}"/>
    <cellStyle name="1_tree_수량산출_구로리총괄내역_수도권매립지" xfId="1905" xr:uid="{00000000-0005-0000-0000-000067070000}"/>
    <cellStyle name="1_tree_수량산출_구로리총괄내역_수도권매립지_00-설계서,원가계산,내역서" xfId="1906" xr:uid="{00000000-0005-0000-0000-000068070000}"/>
    <cellStyle name="1_tree_수량산출_구로리총괄내역_수도권매립지_설계서-1" xfId="1907" xr:uid="{00000000-0005-0000-0000-000069070000}"/>
    <cellStyle name="1_tree_수량산출_구로리총괄내역_수도권매립지_설계서-1_00-설계서,원가계산,내역서" xfId="1908" xr:uid="{00000000-0005-0000-0000-00006A070000}"/>
    <cellStyle name="1_tree_수량산출_구로리총괄내역_수도권매립지_진해자은수량산출서(단지내)" xfId="1909" xr:uid="{00000000-0005-0000-0000-00006B070000}"/>
    <cellStyle name="1_tree_수량산출_구로리총괄내역_수도권매립지_진해자은수량산출서(단지내)_00-설계서,원가계산,내역서" xfId="1910" xr:uid="{00000000-0005-0000-0000-00006C070000}"/>
    <cellStyle name="1_tree_수량산출_구로리총괄내역_수도권매립지_진해자은수량산출서(단지내)_기초산출표-56-128-최종" xfId="1911" xr:uid="{00000000-0005-0000-0000-00006D070000}"/>
    <cellStyle name="1_tree_수량산출_구로리총괄내역_수도권매립지_진해자은수량산출서(단지내)_기초산출표-56-128-최종_00-설계서,원가계산,내역서" xfId="1912" xr:uid="{00000000-0005-0000-0000-00006E070000}"/>
    <cellStyle name="1_tree_수량산출_구로리총괄내역_수도권매립지_진해자은수량산출서(단지내)_기초산출표-56-128-최종_설계서-1" xfId="1913" xr:uid="{00000000-0005-0000-0000-00006F070000}"/>
    <cellStyle name="1_tree_수량산출_구로리총괄내역_수도권매립지_진해자은수량산출서(단지내)_기초산출표-56-128-최종_설계서-1_00-설계서,원가계산,내역서" xfId="1914" xr:uid="{00000000-0005-0000-0000-000070070000}"/>
    <cellStyle name="1_tree_수량산출_구로리총괄내역_수도권매립지_진해자은수량산출서(단지내)_설계서-1" xfId="1915" xr:uid="{00000000-0005-0000-0000-000071070000}"/>
    <cellStyle name="1_tree_수량산출_구로리총괄내역_수도권매립지_진해자은수량산출서(단지내)_설계서-1_00-설계서,원가계산,내역서" xfId="1916" xr:uid="{00000000-0005-0000-0000-000072070000}"/>
    <cellStyle name="1_tree_수량산출_구로리총괄내역_수도권매립지_진해자은수량산출서(단지내)_취합" xfId="1917" xr:uid="{00000000-0005-0000-0000-000073070000}"/>
    <cellStyle name="1_tree_수량산출_구로리총괄내역_수도권매립지_진해자은수량산출서(단지내)_취합_00-설계서,원가계산,내역서" xfId="1918" xr:uid="{00000000-0005-0000-0000-000074070000}"/>
    <cellStyle name="1_tree_수량산출_구로리총괄내역_수도권매립지_진해자은수량산출서(단지내)_취합_설계서-1" xfId="1919" xr:uid="{00000000-0005-0000-0000-000075070000}"/>
    <cellStyle name="1_tree_수량산출_구로리총괄내역_수도권매립지_진해자은수량산출서(단지내)_취합_설계서-1_00-설계서,원가계산,내역서" xfId="1920" xr:uid="{00000000-0005-0000-0000-000076070000}"/>
    <cellStyle name="1_tree_수량산출_구로리총괄내역_수도권매립지1004(발주용)" xfId="1921" xr:uid="{00000000-0005-0000-0000-000077070000}"/>
    <cellStyle name="1_tree_수량산출_구로리총괄내역_수도권매립지1004(발주용)_00-설계서,원가계산,내역서" xfId="1922" xr:uid="{00000000-0005-0000-0000-000078070000}"/>
    <cellStyle name="1_tree_수량산출_구로리총괄내역_수도권매립지1004(발주용)_설계서-1" xfId="1923" xr:uid="{00000000-0005-0000-0000-000079070000}"/>
    <cellStyle name="1_tree_수량산출_구로리총괄내역_수도권매립지1004(발주용)_설계서-1_00-설계서,원가계산,내역서" xfId="1924" xr:uid="{00000000-0005-0000-0000-00007A070000}"/>
    <cellStyle name="1_tree_수량산출_구로리총괄내역_수도권매립지1004(발주용)_진해자은수량산출서(단지내)" xfId="1925" xr:uid="{00000000-0005-0000-0000-00007B070000}"/>
    <cellStyle name="1_tree_수량산출_구로리총괄내역_수도권매립지1004(발주용)_진해자은수량산출서(단지내)_00-설계서,원가계산,내역서" xfId="1926" xr:uid="{00000000-0005-0000-0000-00007C070000}"/>
    <cellStyle name="1_tree_수량산출_구로리총괄내역_수도권매립지1004(발주용)_진해자은수량산출서(단지내)_기초산출표-56-128-최종" xfId="1927" xr:uid="{00000000-0005-0000-0000-00007D070000}"/>
    <cellStyle name="1_tree_수량산출_구로리총괄내역_수도권매립지1004(발주용)_진해자은수량산출서(단지내)_기초산출표-56-128-최종_00-설계서,원가계산,내역서" xfId="1928" xr:uid="{00000000-0005-0000-0000-00007E070000}"/>
    <cellStyle name="1_tree_수량산출_구로리총괄내역_수도권매립지1004(발주용)_진해자은수량산출서(단지내)_기초산출표-56-128-최종_설계서-1" xfId="1929" xr:uid="{00000000-0005-0000-0000-00007F070000}"/>
    <cellStyle name="1_tree_수량산출_구로리총괄내역_수도권매립지1004(발주용)_진해자은수량산출서(단지내)_기초산출표-56-128-최종_설계서-1_00-설계서,원가계산,내역서" xfId="1930" xr:uid="{00000000-0005-0000-0000-000080070000}"/>
    <cellStyle name="1_tree_수량산출_구로리총괄내역_수도권매립지1004(발주용)_진해자은수량산출서(단지내)_설계서-1" xfId="1931" xr:uid="{00000000-0005-0000-0000-000081070000}"/>
    <cellStyle name="1_tree_수량산출_구로리총괄내역_수도권매립지1004(발주용)_진해자은수량산출서(단지내)_설계서-1_00-설계서,원가계산,내역서" xfId="1932" xr:uid="{00000000-0005-0000-0000-000082070000}"/>
    <cellStyle name="1_tree_수량산출_구로리총괄내역_수도권매립지1004(발주용)_진해자은수량산출서(단지내)_취합" xfId="1933" xr:uid="{00000000-0005-0000-0000-000083070000}"/>
    <cellStyle name="1_tree_수량산출_구로리총괄내역_수도권매립지1004(발주용)_진해자은수량산출서(단지내)_취합_00-설계서,원가계산,내역서" xfId="1934" xr:uid="{00000000-0005-0000-0000-000084070000}"/>
    <cellStyle name="1_tree_수량산출_구로리총괄내역_수도권매립지1004(발주용)_진해자은수량산출서(단지내)_취합_설계서-1" xfId="1935" xr:uid="{00000000-0005-0000-0000-000085070000}"/>
    <cellStyle name="1_tree_수량산출_구로리총괄내역_수도권매립지1004(발주용)_진해자은수량산출서(단지내)_취합_설계서-1_00-설계서,원가계산,내역서" xfId="1936" xr:uid="{00000000-0005-0000-0000-000086070000}"/>
    <cellStyle name="1_tree_수량산출_구로리총괄내역_일신건영설계예산서(0211)" xfId="1937" xr:uid="{00000000-0005-0000-0000-000087070000}"/>
    <cellStyle name="1_tree_수량산출_구로리총괄내역_일신건영설계예산서(0211)_00-설계서,원가계산,내역서" xfId="1938" xr:uid="{00000000-0005-0000-0000-000088070000}"/>
    <cellStyle name="1_tree_수량산출_구로리총괄내역_일신건영설계예산서(0211)_설계서-1" xfId="1939" xr:uid="{00000000-0005-0000-0000-000089070000}"/>
    <cellStyle name="1_tree_수량산출_구로리총괄내역_일신건영설계예산서(0211)_설계서-1_00-설계서,원가계산,내역서" xfId="1940" xr:uid="{00000000-0005-0000-0000-00008A070000}"/>
    <cellStyle name="1_tree_수량산출_구로리총괄내역_일신건영설계예산서(0211)_진해자은수량산출서(단지내)" xfId="1941" xr:uid="{00000000-0005-0000-0000-00008B070000}"/>
    <cellStyle name="1_tree_수량산출_구로리총괄내역_일신건영설계예산서(0211)_진해자은수량산출서(단지내)_00-설계서,원가계산,내역서" xfId="1942" xr:uid="{00000000-0005-0000-0000-00008C070000}"/>
    <cellStyle name="1_tree_수량산출_구로리총괄내역_일신건영설계예산서(0211)_진해자은수량산출서(단지내)_기초산출표-56-128-최종" xfId="1943" xr:uid="{00000000-0005-0000-0000-00008D070000}"/>
    <cellStyle name="1_tree_수량산출_구로리총괄내역_일신건영설계예산서(0211)_진해자은수량산출서(단지내)_기초산출표-56-128-최종_00-설계서,원가계산,내역서" xfId="1944" xr:uid="{00000000-0005-0000-0000-00008E070000}"/>
    <cellStyle name="1_tree_수량산출_구로리총괄내역_일신건영설계예산서(0211)_진해자은수량산출서(단지내)_기초산출표-56-128-최종_설계서-1" xfId="1945" xr:uid="{00000000-0005-0000-0000-00008F070000}"/>
    <cellStyle name="1_tree_수량산출_구로리총괄내역_일신건영설계예산서(0211)_진해자은수량산출서(단지내)_기초산출표-56-128-최종_설계서-1_00-설계서,원가계산,내역서" xfId="1946" xr:uid="{00000000-0005-0000-0000-000090070000}"/>
    <cellStyle name="1_tree_수량산출_구로리총괄내역_일신건영설계예산서(0211)_진해자은수량산출서(단지내)_설계서-1" xfId="1947" xr:uid="{00000000-0005-0000-0000-000091070000}"/>
    <cellStyle name="1_tree_수량산출_구로리총괄내역_일신건영설계예산서(0211)_진해자은수량산출서(단지내)_설계서-1_00-설계서,원가계산,내역서" xfId="1948" xr:uid="{00000000-0005-0000-0000-000092070000}"/>
    <cellStyle name="1_tree_수량산출_구로리총괄내역_일신건영설계예산서(0211)_진해자은수량산출서(단지내)_취합" xfId="1949" xr:uid="{00000000-0005-0000-0000-000093070000}"/>
    <cellStyle name="1_tree_수량산출_구로리총괄내역_일신건영설계예산서(0211)_진해자은수량산출서(단지내)_취합_00-설계서,원가계산,내역서" xfId="1950" xr:uid="{00000000-0005-0000-0000-000094070000}"/>
    <cellStyle name="1_tree_수량산출_구로리총괄내역_일신건영설계예산서(0211)_진해자은수량산출서(단지내)_취합_설계서-1" xfId="1951" xr:uid="{00000000-0005-0000-0000-000095070000}"/>
    <cellStyle name="1_tree_수량산출_구로리총괄내역_일신건영설계예산서(0211)_진해자은수량산출서(단지내)_취합_설계서-1_00-설계서,원가계산,내역서" xfId="1952" xr:uid="{00000000-0005-0000-0000-000096070000}"/>
    <cellStyle name="1_tree_수량산출_구로리총괄내역_일위대가" xfId="1953" xr:uid="{00000000-0005-0000-0000-000097070000}"/>
    <cellStyle name="1_tree_수량산출_구로리총괄내역_일위대가_00-설계서,원가계산,내역서" xfId="1954" xr:uid="{00000000-0005-0000-0000-000098070000}"/>
    <cellStyle name="1_tree_수량산출_구로리총괄내역_일위대가_설계서-1" xfId="1955" xr:uid="{00000000-0005-0000-0000-000099070000}"/>
    <cellStyle name="1_tree_수량산출_구로리총괄내역_일위대가_설계서-1_00-설계서,원가계산,내역서" xfId="1956" xr:uid="{00000000-0005-0000-0000-00009A070000}"/>
    <cellStyle name="1_tree_수량산출_구로리총괄내역_일위대가_진해자은수량산출서(단지내)" xfId="1957" xr:uid="{00000000-0005-0000-0000-00009B070000}"/>
    <cellStyle name="1_tree_수량산출_구로리총괄내역_일위대가_진해자은수량산출서(단지내)_00-설계서,원가계산,내역서" xfId="1958" xr:uid="{00000000-0005-0000-0000-00009C070000}"/>
    <cellStyle name="1_tree_수량산출_구로리총괄내역_일위대가_진해자은수량산출서(단지내)_기초산출표-56-128-최종" xfId="1959" xr:uid="{00000000-0005-0000-0000-00009D070000}"/>
    <cellStyle name="1_tree_수량산출_구로리총괄내역_일위대가_진해자은수량산출서(단지내)_기초산출표-56-128-최종_00-설계서,원가계산,내역서" xfId="1960" xr:uid="{00000000-0005-0000-0000-00009E070000}"/>
    <cellStyle name="1_tree_수량산출_구로리총괄내역_일위대가_진해자은수량산출서(단지내)_기초산출표-56-128-최종_설계서-1" xfId="1961" xr:uid="{00000000-0005-0000-0000-00009F070000}"/>
    <cellStyle name="1_tree_수량산출_구로리총괄내역_일위대가_진해자은수량산출서(단지내)_기초산출표-56-128-최종_설계서-1_00-설계서,원가계산,내역서" xfId="1962" xr:uid="{00000000-0005-0000-0000-0000A0070000}"/>
    <cellStyle name="1_tree_수량산출_구로리총괄내역_일위대가_진해자은수량산출서(단지내)_설계서-1" xfId="1963" xr:uid="{00000000-0005-0000-0000-0000A1070000}"/>
    <cellStyle name="1_tree_수량산출_구로리총괄내역_일위대가_진해자은수량산출서(단지내)_설계서-1_00-설계서,원가계산,내역서" xfId="1964" xr:uid="{00000000-0005-0000-0000-0000A2070000}"/>
    <cellStyle name="1_tree_수량산출_구로리총괄내역_일위대가_진해자은수량산출서(단지내)_취합" xfId="1965" xr:uid="{00000000-0005-0000-0000-0000A3070000}"/>
    <cellStyle name="1_tree_수량산출_구로리총괄내역_일위대가_진해자은수량산출서(단지내)_취합_00-설계서,원가계산,내역서" xfId="1966" xr:uid="{00000000-0005-0000-0000-0000A4070000}"/>
    <cellStyle name="1_tree_수량산출_구로리총괄내역_일위대가_진해자은수량산출서(단지내)_취합_설계서-1" xfId="1967" xr:uid="{00000000-0005-0000-0000-0000A5070000}"/>
    <cellStyle name="1_tree_수량산출_구로리총괄내역_일위대가_진해자은수량산출서(단지내)_취합_설계서-1_00-설계서,원가계산,내역서" xfId="1968" xr:uid="{00000000-0005-0000-0000-0000A6070000}"/>
    <cellStyle name="1_tree_수량산출_구로리총괄내역_자재단가표" xfId="1969" xr:uid="{00000000-0005-0000-0000-0000A7070000}"/>
    <cellStyle name="1_tree_수량산출_구로리총괄내역_자재단가표_00-설계서,원가계산,내역서" xfId="1970" xr:uid="{00000000-0005-0000-0000-0000A8070000}"/>
    <cellStyle name="1_tree_수량산출_구로리총괄내역_자재단가표_설계서-1" xfId="1971" xr:uid="{00000000-0005-0000-0000-0000A9070000}"/>
    <cellStyle name="1_tree_수량산출_구로리총괄내역_자재단가표_설계서-1_00-설계서,원가계산,내역서" xfId="1972" xr:uid="{00000000-0005-0000-0000-0000AA070000}"/>
    <cellStyle name="1_tree_수량산출_구로리총괄내역_자재단가표_진해자은수량산출서(단지내)" xfId="1973" xr:uid="{00000000-0005-0000-0000-0000AB070000}"/>
    <cellStyle name="1_tree_수량산출_구로리총괄내역_자재단가표_진해자은수량산출서(단지내)_00-설계서,원가계산,내역서" xfId="1974" xr:uid="{00000000-0005-0000-0000-0000AC070000}"/>
    <cellStyle name="1_tree_수량산출_구로리총괄내역_자재단가표_진해자은수량산출서(단지내)_기초산출표-56-128-최종" xfId="1975" xr:uid="{00000000-0005-0000-0000-0000AD070000}"/>
    <cellStyle name="1_tree_수량산출_구로리총괄내역_자재단가표_진해자은수량산출서(단지내)_기초산출표-56-128-최종_00-설계서,원가계산,내역서" xfId="1976" xr:uid="{00000000-0005-0000-0000-0000AE070000}"/>
    <cellStyle name="1_tree_수량산출_구로리총괄내역_자재단가표_진해자은수량산출서(단지내)_기초산출표-56-128-최종_설계서-1" xfId="1977" xr:uid="{00000000-0005-0000-0000-0000AF070000}"/>
    <cellStyle name="1_tree_수량산출_구로리총괄내역_자재단가표_진해자은수량산출서(단지내)_기초산출표-56-128-최종_설계서-1_00-설계서,원가계산,내역서" xfId="1978" xr:uid="{00000000-0005-0000-0000-0000B0070000}"/>
    <cellStyle name="1_tree_수량산출_구로리총괄내역_자재단가표_진해자은수량산출서(단지내)_설계서-1" xfId="1979" xr:uid="{00000000-0005-0000-0000-0000B1070000}"/>
    <cellStyle name="1_tree_수량산출_구로리총괄내역_자재단가표_진해자은수량산출서(단지내)_설계서-1_00-설계서,원가계산,내역서" xfId="1980" xr:uid="{00000000-0005-0000-0000-0000B2070000}"/>
    <cellStyle name="1_tree_수량산출_구로리총괄내역_자재단가표_진해자은수량산출서(단지내)_취합" xfId="1981" xr:uid="{00000000-0005-0000-0000-0000B3070000}"/>
    <cellStyle name="1_tree_수량산출_구로리총괄내역_자재단가표_진해자은수량산출서(단지내)_취합_00-설계서,원가계산,내역서" xfId="1982" xr:uid="{00000000-0005-0000-0000-0000B4070000}"/>
    <cellStyle name="1_tree_수량산출_구로리총괄내역_자재단가표_진해자은수량산출서(단지내)_취합_설계서-1" xfId="1983" xr:uid="{00000000-0005-0000-0000-0000B5070000}"/>
    <cellStyle name="1_tree_수량산출_구로리총괄내역_자재단가표_진해자은수량산출서(단지내)_취합_설계서-1_00-설계서,원가계산,내역서" xfId="1984" xr:uid="{00000000-0005-0000-0000-0000B6070000}"/>
    <cellStyle name="1_tree_수량산출_구로리총괄내역_장안초등학교내역0814" xfId="1985" xr:uid="{00000000-0005-0000-0000-0000B7070000}"/>
    <cellStyle name="1_tree_수량산출_구로리총괄내역_장안초등학교내역0814_00-설계서,원가계산,내역서" xfId="1986" xr:uid="{00000000-0005-0000-0000-0000B8070000}"/>
    <cellStyle name="1_tree_수량산출_구로리총괄내역_장안초등학교내역0814_설계서-1" xfId="1987" xr:uid="{00000000-0005-0000-0000-0000B9070000}"/>
    <cellStyle name="1_tree_수량산출_구로리총괄내역_장안초등학교내역0814_설계서-1_00-설계서,원가계산,내역서" xfId="1988" xr:uid="{00000000-0005-0000-0000-0000BA070000}"/>
    <cellStyle name="1_tree_수량산출_구로리총괄내역_장안초등학교내역0814_진해자은수량산출서(단지내)" xfId="1989" xr:uid="{00000000-0005-0000-0000-0000BB070000}"/>
    <cellStyle name="1_tree_수량산출_구로리총괄내역_장안초등학교내역0814_진해자은수량산출서(단지내)_00-설계서,원가계산,내역서" xfId="1990" xr:uid="{00000000-0005-0000-0000-0000BC070000}"/>
    <cellStyle name="1_tree_수량산출_구로리총괄내역_장안초등학교내역0814_진해자은수량산출서(단지내)_기초산출표-56-128-최종" xfId="1991" xr:uid="{00000000-0005-0000-0000-0000BD070000}"/>
    <cellStyle name="1_tree_수량산출_구로리총괄내역_장안초등학교내역0814_진해자은수량산출서(단지내)_기초산출표-56-128-최종_00-설계서,원가계산,내역서" xfId="1992" xr:uid="{00000000-0005-0000-0000-0000BE070000}"/>
    <cellStyle name="1_tree_수량산출_구로리총괄내역_장안초등학교내역0814_진해자은수량산출서(단지내)_기초산출표-56-128-최종_설계서-1" xfId="1993" xr:uid="{00000000-0005-0000-0000-0000BF070000}"/>
    <cellStyle name="1_tree_수량산출_구로리총괄내역_장안초등학교내역0814_진해자은수량산출서(단지내)_기초산출표-56-128-최종_설계서-1_00-설계서,원가계산,내역서" xfId="1994" xr:uid="{00000000-0005-0000-0000-0000C0070000}"/>
    <cellStyle name="1_tree_수량산출_구로리총괄내역_장안초등학교내역0814_진해자은수량산출서(단지내)_설계서-1" xfId="1995" xr:uid="{00000000-0005-0000-0000-0000C1070000}"/>
    <cellStyle name="1_tree_수량산출_구로리총괄내역_장안초등학교내역0814_진해자은수량산출서(단지내)_설계서-1_00-설계서,원가계산,내역서" xfId="1996" xr:uid="{00000000-0005-0000-0000-0000C2070000}"/>
    <cellStyle name="1_tree_수량산출_구로리총괄내역_장안초등학교내역0814_진해자은수량산출서(단지내)_취합" xfId="1997" xr:uid="{00000000-0005-0000-0000-0000C3070000}"/>
    <cellStyle name="1_tree_수량산출_구로리총괄내역_장안초등학교내역0814_진해자은수량산출서(단지내)_취합_00-설계서,원가계산,내역서" xfId="1998" xr:uid="{00000000-0005-0000-0000-0000C4070000}"/>
    <cellStyle name="1_tree_수량산출_구로리총괄내역_장안초등학교내역0814_진해자은수량산출서(단지내)_취합_설계서-1" xfId="1999" xr:uid="{00000000-0005-0000-0000-0000C5070000}"/>
    <cellStyle name="1_tree_수량산출_구로리총괄내역_장안초등학교내역0814_진해자은수량산출서(단지내)_취합_설계서-1_00-설계서,원가계산,내역서" xfId="2000" xr:uid="{00000000-0005-0000-0000-0000C6070000}"/>
    <cellStyle name="1_tree_수량산출_구로리총괄내역_진해자은수량산출서(단지내)" xfId="2001" xr:uid="{00000000-0005-0000-0000-0000C7070000}"/>
    <cellStyle name="1_tree_수량산출_구로리총괄내역_진해자은수량산출서(단지내)_00-설계서,원가계산,내역서" xfId="2002" xr:uid="{00000000-0005-0000-0000-0000C8070000}"/>
    <cellStyle name="1_tree_수량산출_구로리총괄내역_진해자은수량산출서(단지내)_기초산출표-56-128-최종" xfId="2003" xr:uid="{00000000-0005-0000-0000-0000C9070000}"/>
    <cellStyle name="1_tree_수량산출_구로리총괄내역_진해자은수량산출서(단지내)_기초산출표-56-128-최종_00-설계서,원가계산,내역서" xfId="2004" xr:uid="{00000000-0005-0000-0000-0000CA070000}"/>
    <cellStyle name="1_tree_수량산출_구로리총괄내역_진해자은수량산출서(단지내)_기초산출표-56-128-최종_설계서-1" xfId="2005" xr:uid="{00000000-0005-0000-0000-0000CB070000}"/>
    <cellStyle name="1_tree_수량산출_구로리총괄내역_진해자은수량산출서(단지내)_기초산출표-56-128-최종_설계서-1_00-설계서,원가계산,내역서" xfId="2006" xr:uid="{00000000-0005-0000-0000-0000CC070000}"/>
    <cellStyle name="1_tree_수량산출_구로리총괄내역_진해자은수량산출서(단지내)_설계서-1" xfId="2007" xr:uid="{00000000-0005-0000-0000-0000CD070000}"/>
    <cellStyle name="1_tree_수량산출_구로리총괄내역_진해자은수량산출서(단지내)_설계서-1_00-설계서,원가계산,내역서" xfId="2008" xr:uid="{00000000-0005-0000-0000-0000CE070000}"/>
    <cellStyle name="1_tree_수량산출_구로리총괄내역_진해자은수량산출서(단지내)_취합" xfId="2009" xr:uid="{00000000-0005-0000-0000-0000CF070000}"/>
    <cellStyle name="1_tree_수량산출_구로리총괄내역_진해자은수량산출서(단지내)_취합_00-설계서,원가계산,내역서" xfId="2010" xr:uid="{00000000-0005-0000-0000-0000D0070000}"/>
    <cellStyle name="1_tree_수량산출_구로리총괄내역_진해자은수량산출서(단지내)_취합_설계서-1" xfId="2011" xr:uid="{00000000-0005-0000-0000-0000D1070000}"/>
    <cellStyle name="1_tree_수량산출_구로리총괄내역_진해자은수량산출서(단지내)_취합_설계서-1_00-설계서,원가계산,내역서" xfId="2012" xr:uid="{00000000-0005-0000-0000-0000D2070000}"/>
    <cellStyle name="1_tree_수량산출_목동내역" xfId="2013" xr:uid="{00000000-0005-0000-0000-0000D3070000}"/>
    <cellStyle name="1_tree_수량산출_목동내역_00-설계서,원가계산,내역서" xfId="2014" xr:uid="{00000000-0005-0000-0000-0000D4070000}"/>
    <cellStyle name="1_tree_수량산출_목동내역_폐기물집계" xfId="2015" xr:uid="{00000000-0005-0000-0000-0000D5070000}"/>
    <cellStyle name="1_tree_수량산출_목동내역_폐기물집계_00-설계서,원가계산,내역서" xfId="2016" xr:uid="{00000000-0005-0000-0000-0000D6070000}"/>
    <cellStyle name="1_tree_수량산출_설계서-1" xfId="2017" xr:uid="{00000000-0005-0000-0000-0000D7070000}"/>
    <cellStyle name="1_tree_수량산출_설계서-1_00-설계서,원가계산,내역서" xfId="2018" xr:uid="{00000000-0005-0000-0000-0000D8070000}"/>
    <cellStyle name="1_tree_수량산출_이문동구간중랑천변녹화사업(수량산출서, 071127)-최종" xfId="2019" xr:uid="{00000000-0005-0000-0000-0000D9070000}"/>
    <cellStyle name="1_tree_수량산출_이문동구간중랑천변녹화사업(수량산출서, 071127)-최종_00-설계서,원가계산,내역서" xfId="2020" xr:uid="{00000000-0005-0000-0000-0000DA070000}"/>
    <cellStyle name="1_tree_수량산출_진해자은수량산출서(단지내)" xfId="2021" xr:uid="{00000000-0005-0000-0000-0000DB070000}"/>
    <cellStyle name="1_tree_수량산출_진해자은수량산출서(단지내)_00-설계서,원가계산,내역서" xfId="2022" xr:uid="{00000000-0005-0000-0000-0000DC070000}"/>
    <cellStyle name="1_tree_수량산출_진해자은수량산출서(단지내)_기초산출표-56-128-최종" xfId="2023" xr:uid="{00000000-0005-0000-0000-0000DD070000}"/>
    <cellStyle name="1_tree_수량산출_진해자은수량산출서(단지내)_기초산출표-56-128-최종_00-설계서,원가계산,내역서" xfId="2024" xr:uid="{00000000-0005-0000-0000-0000DE070000}"/>
    <cellStyle name="1_tree_수량산출_진해자은수량산출서(단지내)_기초산출표-56-128-최종_설계서-1" xfId="2025" xr:uid="{00000000-0005-0000-0000-0000DF070000}"/>
    <cellStyle name="1_tree_수량산출_진해자은수량산출서(단지내)_기초산출표-56-128-최종_설계서-1_00-설계서,원가계산,내역서" xfId="2026" xr:uid="{00000000-0005-0000-0000-0000E0070000}"/>
    <cellStyle name="1_tree_수량산출_진해자은수량산출서(단지내)_설계서-1" xfId="2027" xr:uid="{00000000-0005-0000-0000-0000E1070000}"/>
    <cellStyle name="1_tree_수량산출_진해자은수량산출서(단지내)_설계서-1_00-설계서,원가계산,내역서" xfId="2028" xr:uid="{00000000-0005-0000-0000-0000E2070000}"/>
    <cellStyle name="1_tree_수량산출_진해자은수량산출서(단지내)_취합" xfId="2029" xr:uid="{00000000-0005-0000-0000-0000E3070000}"/>
    <cellStyle name="1_tree_수량산출_진해자은수량산출서(단지내)_취합_00-설계서,원가계산,내역서" xfId="2030" xr:uid="{00000000-0005-0000-0000-0000E4070000}"/>
    <cellStyle name="1_tree_수량산출_진해자은수량산출서(단지내)_취합_설계서-1" xfId="2031" xr:uid="{00000000-0005-0000-0000-0000E5070000}"/>
    <cellStyle name="1_tree_수량산출_진해자은수량산출서(단지내)_취합_설계서-1_00-설계서,원가계산,내역서" xfId="2032" xr:uid="{00000000-0005-0000-0000-0000E6070000}"/>
    <cellStyle name="1_tree_수량산출_총괄내역0518" xfId="2033" xr:uid="{00000000-0005-0000-0000-0000E7070000}"/>
    <cellStyle name="1_tree_수량산출_총괄내역0518_00-설계서,원가계산,내역서" xfId="2034" xr:uid="{00000000-0005-0000-0000-0000E8070000}"/>
    <cellStyle name="1_tree_수량산출_총괄내역0518_구로리설계예산서1029" xfId="2035" xr:uid="{00000000-0005-0000-0000-0000E9070000}"/>
    <cellStyle name="1_tree_수량산출_총괄내역0518_구로리설계예산서1029_00-설계서,원가계산,내역서" xfId="2036" xr:uid="{00000000-0005-0000-0000-0000EA070000}"/>
    <cellStyle name="1_tree_수량산출_총괄내역0518_구로리설계예산서1029_설계서-1" xfId="2037" xr:uid="{00000000-0005-0000-0000-0000EB070000}"/>
    <cellStyle name="1_tree_수량산출_총괄내역0518_구로리설계예산서1029_설계서-1_00-설계서,원가계산,내역서" xfId="2038" xr:uid="{00000000-0005-0000-0000-0000EC070000}"/>
    <cellStyle name="1_tree_수량산출_총괄내역0518_구로리설계예산서1029_진해자은수량산출서(단지내)" xfId="2039" xr:uid="{00000000-0005-0000-0000-0000ED070000}"/>
    <cellStyle name="1_tree_수량산출_총괄내역0518_구로리설계예산서1029_진해자은수량산출서(단지내)_00-설계서,원가계산,내역서" xfId="2040" xr:uid="{00000000-0005-0000-0000-0000EE070000}"/>
    <cellStyle name="1_tree_수량산출_총괄내역0518_구로리설계예산서1029_진해자은수량산출서(단지내)_기초산출표-56-128-최종" xfId="2041" xr:uid="{00000000-0005-0000-0000-0000EF070000}"/>
    <cellStyle name="1_tree_수량산출_총괄내역0518_구로리설계예산서1029_진해자은수량산출서(단지내)_기초산출표-56-128-최종_00-설계서,원가계산,내역서" xfId="2042" xr:uid="{00000000-0005-0000-0000-0000F0070000}"/>
    <cellStyle name="1_tree_수량산출_총괄내역0518_구로리설계예산서1029_진해자은수량산출서(단지내)_기초산출표-56-128-최종_설계서-1" xfId="2043" xr:uid="{00000000-0005-0000-0000-0000F1070000}"/>
    <cellStyle name="1_tree_수량산출_총괄내역0518_구로리설계예산서1029_진해자은수량산출서(단지내)_기초산출표-56-128-최종_설계서-1_00-설계서,원가계산,내역서" xfId="2044" xr:uid="{00000000-0005-0000-0000-0000F2070000}"/>
    <cellStyle name="1_tree_수량산출_총괄내역0518_구로리설계예산서1029_진해자은수량산출서(단지내)_설계서-1" xfId="2045" xr:uid="{00000000-0005-0000-0000-0000F3070000}"/>
    <cellStyle name="1_tree_수량산출_총괄내역0518_구로리설계예산서1029_진해자은수량산출서(단지내)_설계서-1_00-설계서,원가계산,내역서" xfId="2046" xr:uid="{00000000-0005-0000-0000-0000F4070000}"/>
    <cellStyle name="1_tree_수량산출_총괄내역0518_구로리설계예산서1029_진해자은수량산출서(단지내)_취합" xfId="2047" xr:uid="{00000000-0005-0000-0000-0000F5070000}"/>
    <cellStyle name="1_tree_수량산출_총괄내역0518_구로리설계예산서1029_진해자은수량산출서(단지내)_취합_00-설계서,원가계산,내역서" xfId="2048" xr:uid="{00000000-0005-0000-0000-0000F6070000}"/>
    <cellStyle name="1_tree_수량산출_총괄내역0518_구로리설계예산서1029_진해자은수량산출서(단지내)_취합_설계서-1" xfId="2049" xr:uid="{00000000-0005-0000-0000-0000F7070000}"/>
    <cellStyle name="1_tree_수량산출_총괄내역0518_구로리설계예산서1029_진해자은수량산출서(단지내)_취합_설계서-1_00-설계서,원가계산,내역서" xfId="2050" xr:uid="{00000000-0005-0000-0000-0000F8070000}"/>
    <cellStyle name="1_tree_수량산출_총괄내역0518_구로리설계예산서1118준공" xfId="2051" xr:uid="{00000000-0005-0000-0000-0000F9070000}"/>
    <cellStyle name="1_tree_수량산출_총괄내역0518_구로리설계예산서1118준공_00-설계서,원가계산,내역서" xfId="2052" xr:uid="{00000000-0005-0000-0000-0000FA070000}"/>
    <cellStyle name="1_tree_수량산출_총괄내역0518_구로리설계예산서1118준공_설계서-1" xfId="2053" xr:uid="{00000000-0005-0000-0000-0000FB070000}"/>
    <cellStyle name="1_tree_수량산출_총괄내역0518_구로리설계예산서1118준공_설계서-1_00-설계서,원가계산,내역서" xfId="2054" xr:uid="{00000000-0005-0000-0000-0000FC070000}"/>
    <cellStyle name="1_tree_수량산출_총괄내역0518_구로리설계예산서1118준공_진해자은수량산출서(단지내)" xfId="2055" xr:uid="{00000000-0005-0000-0000-0000FD070000}"/>
    <cellStyle name="1_tree_수량산출_총괄내역0518_구로리설계예산서1118준공_진해자은수량산출서(단지내)_00-설계서,원가계산,내역서" xfId="2056" xr:uid="{00000000-0005-0000-0000-0000FE070000}"/>
    <cellStyle name="1_tree_수량산출_총괄내역0518_구로리설계예산서1118준공_진해자은수량산출서(단지내)_기초산출표-56-128-최종" xfId="2057" xr:uid="{00000000-0005-0000-0000-0000FF070000}"/>
    <cellStyle name="1_tree_수량산출_총괄내역0518_구로리설계예산서1118준공_진해자은수량산출서(단지내)_기초산출표-56-128-최종_00-설계서,원가계산,내역서" xfId="2058" xr:uid="{00000000-0005-0000-0000-000000080000}"/>
    <cellStyle name="1_tree_수량산출_총괄내역0518_구로리설계예산서1118준공_진해자은수량산출서(단지내)_기초산출표-56-128-최종_설계서-1" xfId="2059" xr:uid="{00000000-0005-0000-0000-000001080000}"/>
    <cellStyle name="1_tree_수량산출_총괄내역0518_구로리설계예산서1118준공_진해자은수량산출서(단지내)_기초산출표-56-128-최종_설계서-1_00-설계서,원가계산,내역서" xfId="2060" xr:uid="{00000000-0005-0000-0000-000002080000}"/>
    <cellStyle name="1_tree_수량산출_총괄내역0518_구로리설계예산서1118준공_진해자은수량산출서(단지내)_설계서-1" xfId="2061" xr:uid="{00000000-0005-0000-0000-000003080000}"/>
    <cellStyle name="1_tree_수량산출_총괄내역0518_구로리설계예산서1118준공_진해자은수량산출서(단지내)_설계서-1_00-설계서,원가계산,내역서" xfId="2062" xr:uid="{00000000-0005-0000-0000-000004080000}"/>
    <cellStyle name="1_tree_수량산출_총괄내역0518_구로리설계예산서1118준공_진해자은수량산출서(단지내)_취합" xfId="2063" xr:uid="{00000000-0005-0000-0000-000005080000}"/>
    <cellStyle name="1_tree_수량산출_총괄내역0518_구로리설계예산서1118준공_진해자은수량산출서(단지내)_취합_00-설계서,원가계산,내역서" xfId="2064" xr:uid="{00000000-0005-0000-0000-000006080000}"/>
    <cellStyle name="1_tree_수량산출_총괄내역0518_구로리설계예산서1118준공_진해자은수량산출서(단지내)_취합_설계서-1" xfId="2065" xr:uid="{00000000-0005-0000-0000-000007080000}"/>
    <cellStyle name="1_tree_수량산출_총괄내역0518_구로리설계예산서1118준공_진해자은수량산출서(단지내)_취합_설계서-1_00-설계서,원가계산,내역서" xfId="2066" xr:uid="{00000000-0005-0000-0000-000008080000}"/>
    <cellStyle name="1_tree_수량산출_총괄내역0518_구로리설계예산서조경" xfId="2067" xr:uid="{00000000-0005-0000-0000-000009080000}"/>
    <cellStyle name="1_tree_수량산출_총괄내역0518_구로리설계예산서조경_00-설계서,원가계산,내역서" xfId="2068" xr:uid="{00000000-0005-0000-0000-00000A080000}"/>
    <cellStyle name="1_tree_수량산출_총괄내역0518_구로리설계예산서조경_설계서-1" xfId="2069" xr:uid="{00000000-0005-0000-0000-00000B080000}"/>
    <cellStyle name="1_tree_수량산출_총괄내역0518_구로리설계예산서조경_설계서-1_00-설계서,원가계산,내역서" xfId="2070" xr:uid="{00000000-0005-0000-0000-00000C080000}"/>
    <cellStyle name="1_tree_수량산출_총괄내역0518_구로리설계예산서조경_진해자은수량산출서(단지내)" xfId="2071" xr:uid="{00000000-0005-0000-0000-00000D080000}"/>
    <cellStyle name="1_tree_수량산출_총괄내역0518_구로리설계예산서조경_진해자은수량산출서(단지내)_00-설계서,원가계산,내역서" xfId="2072" xr:uid="{00000000-0005-0000-0000-00000E080000}"/>
    <cellStyle name="1_tree_수량산출_총괄내역0518_구로리설계예산서조경_진해자은수량산출서(단지내)_기초산출표-56-128-최종" xfId="2073" xr:uid="{00000000-0005-0000-0000-00000F080000}"/>
    <cellStyle name="1_tree_수량산출_총괄내역0518_구로리설계예산서조경_진해자은수량산출서(단지내)_기초산출표-56-128-최종_00-설계서,원가계산,내역서" xfId="2074" xr:uid="{00000000-0005-0000-0000-000010080000}"/>
    <cellStyle name="1_tree_수량산출_총괄내역0518_구로리설계예산서조경_진해자은수량산출서(단지내)_기초산출표-56-128-최종_설계서-1" xfId="2075" xr:uid="{00000000-0005-0000-0000-000011080000}"/>
    <cellStyle name="1_tree_수량산출_총괄내역0518_구로리설계예산서조경_진해자은수량산출서(단지내)_기초산출표-56-128-최종_설계서-1_00-설계서,원가계산,내역서" xfId="2076" xr:uid="{00000000-0005-0000-0000-000012080000}"/>
    <cellStyle name="1_tree_수량산출_총괄내역0518_구로리설계예산서조경_진해자은수량산출서(단지내)_설계서-1" xfId="2077" xr:uid="{00000000-0005-0000-0000-000013080000}"/>
    <cellStyle name="1_tree_수량산출_총괄내역0518_구로리설계예산서조경_진해자은수량산출서(단지내)_설계서-1_00-설계서,원가계산,내역서" xfId="2078" xr:uid="{00000000-0005-0000-0000-000014080000}"/>
    <cellStyle name="1_tree_수량산출_총괄내역0518_구로리설계예산서조경_진해자은수량산출서(단지내)_취합" xfId="2079" xr:uid="{00000000-0005-0000-0000-000015080000}"/>
    <cellStyle name="1_tree_수량산출_총괄내역0518_구로리설계예산서조경_진해자은수량산출서(단지내)_취합_00-설계서,원가계산,내역서" xfId="2080" xr:uid="{00000000-0005-0000-0000-000016080000}"/>
    <cellStyle name="1_tree_수량산출_총괄내역0518_구로리설계예산서조경_진해자은수량산출서(단지내)_취합_설계서-1" xfId="2081" xr:uid="{00000000-0005-0000-0000-000017080000}"/>
    <cellStyle name="1_tree_수량산출_총괄내역0518_구로리설계예산서조경_진해자은수량산출서(단지내)_취합_설계서-1_00-설계서,원가계산,내역서" xfId="2082" xr:uid="{00000000-0005-0000-0000-000018080000}"/>
    <cellStyle name="1_tree_수량산출_총괄내역0518_구로리어린이공원예산서(조경)1125" xfId="2083" xr:uid="{00000000-0005-0000-0000-000019080000}"/>
    <cellStyle name="1_tree_수량산출_총괄내역0518_구로리어린이공원예산서(조경)1125_00-설계서,원가계산,내역서" xfId="2084" xr:uid="{00000000-0005-0000-0000-00001A080000}"/>
    <cellStyle name="1_tree_수량산출_총괄내역0518_구로리어린이공원예산서(조경)1125_설계서-1" xfId="2085" xr:uid="{00000000-0005-0000-0000-00001B080000}"/>
    <cellStyle name="1_tree_수량산출_총괄내역0518_구로리어린이공원예산서(조경)1125_설계서-1_00-설계서,원가계산,내역서" xfId="2086" xr:uid="{00000000-0005-0000-0000-00001C080000}"/>
    <cellStyle name="1_tree_수량산출_총괄내역0518_구로리어린이공원예산서(조경)1125_진해자은수량산출서(단지내)" xfId="2087" xr:uid="{00000000-0005-0000-0000-00001D080000}"/>
    <cellStyle name="1_tree_수량산출_총괄내역0518_구로리어린이공원예산서(조경)1125_진해자은수량산출서(단지내)_00-설계서,원가계산,내역서" xfId="2088" xr:uid="{00000000-0005-0000-0000-00001E080000}"/>
    <cellStyle name="1_tree_수량산출_총괄내역0518_구로리어린이공원예산서(조경)1125_진해자은수량산출서(단지내)_기초산출표-56-128-최종" xfId="2089" xr:uid="{00000000-0005-0000-0000-00001F080000}"/>
    <cellStyle name="1_tree_수량산출_총괄내역0518_구로리어린이공원예산서(조경)1125_진해자은수량산출서(단지내)_기초산출표-56-128-최종_00-설계서,원가계산,내역서" xfId="2090" xr:uid="{00000000-0005-0000-0000-000020080000}"/>
    <cellStyle name="1_tree_수량산출_총괄내역0518_구로리어린이공원예산서(조경)1125_진해자은수량산출서(단지내)_기초산출표-56-128-최종_설계서-1" xfId="2091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92" xr:uid="{00000000-0005-0000-0000-000022080000}"/>
    <cellStyle name="1_tree_수량산출_총괄내역0518_구로리어린이공원예산서(조경)1125_진해자은수량산출서(단지내)_설계서-1" xfId="2093" xr:uid="{00000000-0005-0000-0000-000023080000}"/>
    <cellStyle name="1_tree_수량산출_총괄내역0518_구로리어린이공원예산서(조경)1125_진해자은수량산출서(단지내)_설계서-1_00-설계서,원가계산,내역서" xfId="2094" xr:uid="{00000000-0005-0000-0000-000024080000}"/>
    <cellStyle name="1_tree_수량산출_총괄내역0518_구로리어린이공원예산서(조경)1125_진해자은수량산출서(단지내)_취합" xfId="2095" xr:uid="{00000000-0005-0000-0000-000025080000}"/>
    <cellStyle name="1_tree_수량산출_총괄내역0518_구로리어린이공원예산서(조경)1125_진해자은수량산출서(단지내)_취합_00-설계서,원가계산,내역서" xfId="2096" xr:uid="{00000000-0005-0000-0000-000026080000}"/>
    <cellStyle name="1_tree_수량산출_총괄내역0518_구로리어린이공원예산서(조경)1125_진해자은수량산출서(단지내)_취합_설계서-1" xfId="2097" xr:uid="{00000000-0005-0000-0000-000027080000}"/>
    <cellStyle name="1_tree_수량산출_총괄내역0518_구로리어린이공원예산서(조경)1125_진해자은수량산출서(단지내)_취합_설계서-1_00-설계서,원가계산,내역서" xfId="2098" xr:uid="{00000000-0005-0000-0000-000028080000}"/>
    <cellStyle name="1_tree_수량산출_총괄내역0518_내역서" xfId="2099" xr:uid="{00000000-0005-0000-0000-000029080000}"/>
    <cellStyle name="1_tree_수량산출_총괄내역0518_내역서_00-설계서,원가계산,내역서" xfId="2100" xr:uid="{00000000-0005-0000-0000-00002A080000}"/>
    <cellStyle name="1_tree_수량산출_총괄내역0518_내역서_설계서-1" xfId="2101" xr:uid="{00000000-0005-0000-0000-00002B080000}"/>
    <cellStyle name="1_tree_수량산출_총괄내역0518_내역서_설계서-1_00-설계서,원가계산,내역서" xfId="2102" xr:uid="{00000000-0005-0000-0000-00002C080000}"/>
    <cellStyle name="1_tree_수량산출_총괄내역0518_내역서_진해자은수량산출서(단지내)" xfId="2103" xr:uid="{00000000-0005-0000-0000-00002D080000}"/>
    <cellStyle name="1_tree_수량산출_총괄내역0518_내역서_진해자은수량산출서(단지내)_00-설계서,원가계산,내역서" xfId="2104" xr:uid="{00000000-0005-0000-0000-00002E080000}"/>
    <cellStyle name="1_tree_수량산출_총괄내역0518_내역서_진해자은수량산출서(단지내)_기초산출표-56-128-최종" xfId="2105" xr:uid="{00000000-0005-0000-0000-00002F080000}"/>
    <cellStyle name="1_tree_수량산출_총괄내역0518_내역서_진해자은수량산출서(단지내)_기초산출표-56-128-최종_00-설계서,원가계산,내역서" xfId="2106" xr:uid="{00000000-0005-0000-0000-000030080000}"/>
    <cellStyle name="1_tree_수량산출_총괄내역0518_내역서_진해자은수량산출서(단지내)_기초산출표-56-128-최종_설계서-1" xfId="2107" xr:uid="{00000000-0005-0000-0000-000031080000}"/>
    <cellStyle name="1_tree_수량산출_총괄내역0518_내역서_진해자은수량산출서(단지내)_기초산출표-56-128-최종_설계서-1_00-설계서,원가계산,내역서" xfId="2108" xr:uid="{00000000-0005-0000-0000-000032080000}"/>
    <cellStyle name="1_tree_수량산출_총괄내역0518_내역서_진해자은수량산출서(단지내)_설계서-1" xfId="2109" xr:uid="{00000000-0005-0000-0000-000033080000}"/>
    <cellStyle name="1_tree_수량산출_총괄내역0518_내역서_진해자은수량산출서(단지내)_설계서-1_00-설계서,원가계산,내역서" xfId="2110" xr:uid="{00000000-0005-0000-0000-000034080000}"/>
    <cellStyle name="1_tree_수량산출_총괄내역0518_내역서_진해자은수량산출서(단지내)_취합" xfId="2111" xr:uid="{00000000-0005-0000-0000-000035080000}"/>
    <cellStyle name="1_tree_수량산출_총괄내역0518_내역서_진해자은수량산출서(단지내)_취합_00-설계서,원가계산,내역서" xfId="2112" xr:uid="{00000000-0005-0000-0000-000036080000}"/>
    <cellStyle name="1_tree_수량산출_총괄내역0518_내역서_진해자은수량산출서(단지내)_취합_설계서-1" xfId="2113" xr:uid="{00000000-0005-0000-0000-000037080000}"/>
    <cellStyle name="1_tree_수량산출_총괄내역0518_내역서_진해자은수량산출서(단지내)_취합_설계서-1_00-설계서,원가계산,내역서" xfId="2114" xr:uid="{00000000-0005-0000-0000-000038080000}"/>
    <cellStyle name="1_tree_수량산출_총괄내역0518_노임단가표" xfId="2115" xr:uid="{00000000-0005-0000-0000-000039080000}"/>
    <cellStyle name="1_tree_수량산출_총괄내역0518_노임단가표_00-설계서,원가계산,내역서" xfId="2116" xr:uid="{00000000-0005-0000-0000-00003A080000}"/>
    <cellStyle name="1_tree_수량산출_총괄내역0518_노임단가표_설계서-1" xfId="2117" xr:uid="{00000000-0005-0000-0000-00003B080000}"/>
    <cellStyle name="1_tree_수량산출_총괄내역0518_노임단가표_설계서-1_00-설계서,원가계산,내역서" xfId="2118" xr:uid="{00000000-0005-0000-0000-00003C080000}"/>
    <cellStyle name="1_tree_수량산출_총괄내역0518_노임단가표_진해자은수량산출서(단지내)" xfId="2119" xr:uid="{00000000-0005-0000-0000-00003D080000}"/>
    <cellStyle name="1_tree_수량산출_총괄내역0518_노임단가표_진해자은수량산출서(단지내)_00-설계서,원가계산,내역서" xfId="2120" xr:uid="{00000000-0005-0000-0000-00003E080000}"/>
    <cellStyle name="1_tree_수량산출_총괄내역0518_노임단가표_진해자은수량산출서(단지내)_기초산출표-56-128-최종" xfId="2121" xr:uid="{00000000-0005-0000-0000-00003F080000}"/>
    <cellStyle name="1_tree_수량산출_총괄내역0518_노임단가표_진해자은수량산출서(단지내)_기초산출표-56-128-최종_00-설계서,원가계산,내역서" xfId="2122" xr:uid="{00000000-0005-0000-0000-000040080000}"/>
    <cellStyle name="1_tree_수량산출_총괄내역0518_노임단가표_진해자은수량산출서(단지내)_기초산출표-56-128-최종_설계서-1" xfId="2123" xr:uid="{00000000-0005-0000-0000-000041080000}"/>
    <cellStyle name="1_tree_수량산출_총괄내역0518_노임단가표_진해자은수량산출서(단지내)_기초산출표-56-128-최종_설계서-1_00-설계서,원가계산,내역서" xfId="2124" xr:uid="{00000000-0005-0000-0000-000042080000}"/>
    <cellStyle name="1_tree_수량산출_총괄내역0518_노임단가표_진해자은수량산출서(단지내)_설계서-1" xfId="2125" xr:uid="{00000000-0005-0000-0000-000043080000}"/>
    <cellStyle name="1_tree_수량산출_총괄내역0518_노임단가표_진해자은수량산출서(단지내)_설계서-1_00-설계서,원가계산,내역서" xfId="2126" xr:uid="{00000000-0005-0000-0000-000044080000}"/>
    <cellStyle name="1_tree_수량산출_총괄내역0518_노임단가표_진해자은수량산출서(단지내)_취합" xfId="2127" xr:uid="{00000000-0005-0000-0000-000045080000}"/>
    <cellStyle name="1_tree_수량산출_총괄내역0518_노임단가표_진해자은수량산출서(단지내)_취합_00-설계서,원가계산,내역서" xfId="2128" xr:uid="{00000000-0005-0000-0000-000046080000}"/>
    <cellStyle name="1_tree_수량산출_총괄내역0518_노임단가표_진해자은수량산출서(단지내)_취합_설계서-1" xfId="2129" xr:uid="{00000000-0005-0000-0000-000047080000}"/>
    <cellStyle name="1_tree_수량산출_총괄내역0518_노임단가표_진해자은수량산출서(단지내)_취합_설계서-1_00-설계서,원가계산,내역서" xfId="2130" xr:uid="{00000000-0005-0000-0000-000048080000}"/>
    <cellStyle name="1_tree_수량산출_총괄내역0518_설계서-1" xfId="2131" xr:uid="{00000000-0005-0000-0000-000049080000}"/>
    <cellStyle name="1_tree_수량산출_총괄내역0518_설계서-1_00-설계서,원가계산,내역서" xfId="2132" xr:uid="{00000000-0005-0000-0000-00004A080000}"/>
    <cellStyle name="1_tree_수량산출_총괄내역0518_수도권매립지" xfId="2133" xr:uid="{00000000-0005-0000-0000-00004B080000}"/>
    <cellStyle name="1_tree_수량산출_총괄내역0518_수도권매립지_00-설계서,원가계산,내역서" xfId="2134" xr:uid="{00000000-0005-0000-0000-00004C080000}"/>
    <cellStyle name="1_tree_수량산출_총괄내역0518_수도권매립지_설계서-1" xfId="2135" xr:uid="{00000000-0005-0000-0000-00004D080000}"/>
    <cellStyle name="1_tree_수량산출_총괄내역0518_수도권매립지_설계서-1_00-설계서,원가계산,내역서" xfId="2136" xr:uid="{00000000-0005-0000-0000-00004E080000}"/>
    <cellStyle name="1_tree_수량산출_총괄내역0518_수도권매립지_진해자은수량산출서(단지내)" xfId="2137" xr:uid="{00000000-0005-0000-0000-00004F080000}"/>
    <cellStyle name="1_tree_수량산출_총괄내역0518_수도권매립지_진해자은수량산출서(단지내)_00-설계서,원가계산,내역서" xfId="2138" xr:uid="{00000000-0005-0000-0000-000050080000}"/>
    <cellStyle name="1_tree_수량산출_총괄내역0518_수도권매립지_진해자은수량산출서(단지내)_기초산출표-56-128-최종" xfId="2139" xr:uid="{00000000-0005-0000-0000-000051080000}"/>
    <cellStyle name="1_tree_수량산출_총괄내역0518_수도권매립지_진해자은수량산출서(단지내)_기초산출표-56-128-최종_00-설계서,원가계산,내역서" xfId="2140" xr:uid="{00000000-0005-0000-0000-000052080000}"/>
    <cellStyle name="1_tree_수량산출_총괄내역0518_수도권매립지_진해자은수량산출서(단지내)_기초산출표-56-128-최종_설계서-1" xfId="2141" xr:uid="{00000000-0005-0000-0000-000053080000}"/>
    <cellStyle name="1_tree_수량산출_총괄내역0518_수도권매립지_진해자은수량산출서(단지내)_기초산출표-56-128-최종_설계서-1_00-설계서,원가계산,내역서" xfId="2142" xr:uid="{00000000-0005-0000-0000-000054080000}"/>
    <cellStyle name="1_tree_수량산출_총괄내역0518_수도권매립지_진해자은수량산출서(단지내)_설계서-1" xfId="2143" xr:uid="{00000000-0005-0000-0000-000055080000}"/>
    <cellStyle name="1_tree_수량산출_총괄내역0518_수도권매립지_진해자은수량산출서(단지내)_설계서-1_00-설계서,원가계산,내역서" xfId="2144" xr:uid="{00000000-0005-0000-0000-000056080000}"/>
    <cellStyle name="1_tree_수량산출_총괄내역0518_수도권매립지_진해자은수량산출서(단지내)_취합" xfId="2145" xr:uid="{00000000-0005-0000-0000-000057080000}"/>
    <cellStyle name="1_tree_수량산출_총괄내역0518_수도권매립지_진해자은수량산출서(단지내)_취합_00-설계서,원가계산,내역서" xfId="2146" xr:uid="{00000000-0005-0000-0000-000058080000}"/>
    <cellStyle name="1_tree_수량산출_총괄내역0518_수도권매립지_진해자은수량산출서(단지내)_취합_설계서-1" xfId="2147" xr:uid="{00000000-0005-0000-0000-000059080000}"/>
    <cellStyle name="1_tree_수량산출_총괄내역0518_수도권매립지_진해자은수량산출서(단지내)_취합_설계서-1_00-설계서,원가계산,내역서" xfId="2148" xr:uid="{00000000-0005-0000-0000-00005A080000}"/>
    <cellStyle name="1_tree_수량산출_총괄내역0518_수도권매립지1004(발주용)" xfId="2149" xr:uid="{00000000-0005-0000-0000-00005B080000}"/>
    <cellStyle name="1_tree_수량산출_총괄내역0518_수도권매립지1004(발주용)_00-설계서,원가계산,내역서" xfId="2150" xr:uid="{00000000-0005-0000-0000-00005C080000}"/>
    <cellStyle name="1_tree_수량산출_총괄내역0518_수도권매립지1004(발주용)_설계서-1" xfId="2151" xr:uid="{00000000-0005-0000-0000-00005D080000}"/>
    <cellStyle name="1_tree_수량산출_총괄내역0518_수도권매립지1004(발주용)_설계서-1_00-설계서,원가계산,내역서" xfId="2152" xr:uid="{00000000-0005-0000-0000-00005E080000}"/>
    <cellStyle name="1_tree_수량산출_총괄내역0518_수도권매립지1004(발주용)_진해자은수량산출서(단지내)" xfId="2153" xr:uid="{00000000-0005-0000-0000-00005F080000}"/>
    <cellStyle name="1_tree_수량산출_총괄내역0518_수도권매립지1004(발주용)_진해자은수량산출서(단지내)_00-설계서,원가계산,내역서" xfId="2154" xr:uid="{00000000-0005-0000-0000-000060080000}"/>
    <cellStyle name="1_tree_수량산출_총괄내역0518_수도권매립지1004(발주용)_진해자은수량산출서(단지내)_기초산출표-56-128-최종" xfId="2155" xr:uid="{00000000-0005-0000-0000-000061080000}"/>
    <cellStyle name="1_tree_수량산출_총괄내역0518_수도권매립지1004(발주용)_진해자은수량산출서(단지내)_기초산출표-56-128-최종_00-설계서,원가계산,내역서" xfId="2156" xr:uid="{00000000-0005-0000-0000-000062080000}"/>
    <cellStyle name="1_tree_수량산출_총괄내역0518_수도권매립지1004(발주용)_진해자은수량산출서(단지내)_기초산출표-56-128-최종_설계서-1" xfId="2157" xr:uid="{00000000-0005-0000-0000-000063080000}"/>
    <cellStyle name="1_tree_수량산출_총괄내역0518_수도권매립지1004(발주용)_진해자은수량산출서(단지내)_기초산출표-56-128-최종_설계서-1_00-설계서,원가계산,내역서" xfId="2158" xr:uid="{00000000-0005-0000-0000-000064080000}"/>
    <cellStyle name="1_tree_수량산출_총괄내역0518_수도권매립지1004(발주용)_진해자은수량산출서(단지내)_설계서-1" xfId="2159" xr:uid="{00000000-0005-0000-0000-000065080000}"/>
    <cellStyle name="1_tree_수량산출_총괄내역0518_수도권매립지1004(발주용)_진해자은수량산출서(단지내)_설계서-1_00-설계서,원가계산,내역서" xfId="2160" xr:uid="{00000000-0005-0000-0000-000066080000}"/>
    <cellStyle name="1_tree_수량산출_총괄내역0518_수도권매립지1004(발주용)_진해자은수량산출서(단지내)_취합" xfId="2161" xr:uid="{00000000-0005-0000-0000-000067080000}"/>
    <cellStyle name="1_tree_수량산출_총괄내역0518_수도권매립지1004(발주용)_진해자은수량산출서(단지내)_취합_00-설계서,원가계산,내역서" xfId="2162" xr:uid="{00000000-0005-0000-0000-000068080000}"/>
    <cellStyle name="1_tree_수량산출_총괄내역0518_수도권매립지1004(발주용)_진해자은수량산출서(단지내)_취합_설계서-1" xfId="2163" xr:uid="{00000000-0005-0000-0000-000069080000}"/>
    <cellStyle name="1_tree_수량산출_총괄내역0518_수도권매립지1004(발주용)_진해자은수량산출서(단지내)_취합_설계서-1_00-설계서,원가계산,내역서" xfId="2164" xr:uid="{00000000-0005-0000-0000-00006A080000}"/>
    <cellStyle name="1_tree_수량산출_총괄내역0518_일신건영설계예산서(0211)" xfId="2165" xr:uid="{00000000-0005-0000-0000-00006B080000}"/>
    <cellStyle name="1_tree_수량산출_총괄내역0518_일신건영설계예산서(0211)_00-설계서,원가계산,내역서" xfId="2166" xr:uid="{00000000-0005-0000-0000-00006C080000}"/>
    <cellStyle name="1_tree_수량산출_총괄내역0518_일신건영설계예산서(0211)_설계서-1" xfId="2167" xr:uid="{00000000-0005-0000-0000-00006D080000}"/>
    <cellStyle name="1_tree_수량산출_총괄내역0518_일신건영설계예산서(0211)_설계서-1_00-설계서,원가계산,내역서" xfId="2168" xr:uid="{00000000-0005-0000-0000-00006E080000}"/>
    <cellStyle name="1_tree_수량산출_총괄내역0518_일신건영설계예산서(0211)_진해자은수량산출서(단지내)" xfId="2169" xr:uid="{00000000-0005-0000-0000-00006F080000}"/>
    <cellStyle name="1_tree_수량산출_총괄내역0518_일신건영설계예산서(0211)_진해자은수량산출서(단지내)_00-설계서,원가계산,내역서" xfId="2170" xr:uid="{00000000-0005-0000-0000-000070080000}"/>
    <cellStyle name="1_tree_수량산출_총괄내역0518_일신건영설계예산서(0211)_진해자은수량산출서(단지내)_기초산출표-56-128-최종" xfId="2171" xr:uid="{00000000-0005-0000-0000-000071080000}"/>
    <cellStyle name="1_tree_수량산출_총괄내역0518_일신건영설계예산서(0211)_진해자은수량산출서(단지내)_기초산출표-56-128-최종_00-설계서,원가계산,내역서" xfId="2172" xr:uid="{00000000-0005-0000-0000-000072080000}"/>
    <cellStyle name="1_tree_수량산출_총괄내역0518_일신건영설계예산서(0211)_진해자은수량산출서(단지내)_기초산출표-56-128-최종_설계서-1" xfId="2173" xr:uid="{00000000-0005-0000-0000-000073080000}"/>
    <cellStyle name="1_tree_수량산출_총괄내역0518_일신건영설계예산서(0211)_진해자은수량산출서(단지내)_기초산출표-56-128-최종_설계서-1_00-설계서,원가계산,내역서" xfId="2174" xr:uid="{00000000-0005-0000-0000-000074080000}"/>
    <cellStyle name="1_tree_수량산출_총괄내역0518_일신건영설계예산서(0211)_진해자은수량산출서(단지내)_설계서-1" xfId="2175" xr:uid="{00000000-0005-0000-0000-000075080000}"/>
    <cellStyle name="1_tree_수량산출_총괄내역0518_일신건영설계예산서(0211)_진해자은수량산출서(단지내)_설계서-1_00-설계서,원가계산,내역서" xfId="2176" xr:uid="{00000000-0005-0000-0000-000076080000}"/>
    <cellStyle name="1_tree_수량산출_총괄내역0518_일신건영설계예산서(0211)_진해자은수량산출서(단지내)_취합" xfId="2177" xr:uid="{00000000-0005-0000-0000-000077080000}"/>
    <cellStyle name="1_tree_수량산출_총괄내역0518_일신건영설계예산서(0211)_진해자은수량산출서(단지내)_취합_00-설계서,원가계산,내역서" xfId="2178" xr:uid="{00000000-0005-0000-0000-000078080000}"/>
    <cellStyle name="1_tree_수량산출_총괄내역0518_일신건영설계예산서(0211)_진해자은수량산출서(단지내)_취합_설계서-1" xfId="2179" xr:uid="{00000000-0005-0000-0000-000079080000}"/>
    <cellStyle name="1_tree_수량산출_총괄내역0518_일신건영설계예산서(0211)_진해자은수량산출서(단지내)_취합_설계서-1_00-설계서,원가계산,내역서" xfId="2180" xr:uid="{00000000-0005-0000-0000-00007A080000}"/>
    <cellStyle name="1_tree_수량산출_총괄내역0518_일위대가" xfId="2181" xr:uid="{00000000-0005-0000-0000-00007B080000}"/>
    <cellStyle name="1_tree_수량산출_총괄내역0518_일위대가_00-설계서,원가계산,내역서" xfId="2182" xr:uid="{00000000-0005-0000-0000-00007C080000}"/>
    <cellStyle name="1_tree_수량산출_총괄내역0518_일위대가_설계서-1" xfId="2183" xr:uid="{00000000-0005-0000-0000-00007D080000}"/>
    <cellStyle name="1_tree_수량산출_총괄내역0518_일위대가_설계서-1_00-설계서,원가계산,내역서" xfId="2184" xr:uid="{00000000-0005-0000-0000-00007E080000}"/>
    <cellStyle name="1_tree_수량산출_총괄내역0518_일위대가_진해자은수량산출서(단지내)" xfId="2185" xr:uid="{00000000-0005-0000-0000-00007F080000}"/>
    <cellStyle name="1_tree_수량산출_총괄내역0518_일위대가_진해자은수량산출서(단지내)_00-설계서,원가계산,내역서" xfId="2186" xr:uid="{00000000-0005-0000-0000-000080080000}"/>
    <cellStyle name="1_tree_수량산출_총괄내역0518_일위대가_진해자은수량산출서(단지내)_기초산출표-56-128-최종" xfId="2187" xr:uid="{00000000-0005-0000-0000-000081080000}"/>
    <cellStyle name="1_tree_수량산출_총괄내역0518_일위대가_진해자은수량산출서(단지내)_기초산출표-56-128-최종_00-설계서,원가계산,내역서" xfId="2188" xr:uid="{00000000-0005-0000-0000-000082080000}"/>
    <cellStyle name="1_tree_수량산출_총괄내역0518_일위대가_진해자은수량산출서(단지내)_기초산출표-56-128-최종_설계서-1" xfId="2189" xr:uid="{00000000-0005-0000-0000-000083080000}"/>
    <cellStyle name="1_tree_수량산출_총괄내역0518_일위대가_진해자은수량산출서(단지내)_기초산출표-56-128-최종_설계서-1_00-설계서,원가계산,내역서" xfId="2190" xr:uid="{00000000-0005-0000-0000-000084080000}"/>
    <cellStyle name="1_tree_수량산출_총괄내역0518_일위대가_진해자은수량산출서(단지내)_설계서-1" xfId="2191" xr:uid="{00000000-0005-0000-0000-000085080000}"/>
    <cellStyle name="1_tree_수량산출_총괄내역0518_일위대가_진해자은수량산출서(단지내)_설계서-1_00-설계서,원가계산,내역서" xfId="2192" xr:uid="{00000000-0005-0000-0000-000086080000}"/>
    <cellStyle name="1_tree_수량산출_총괄내역0518_일위대가_진해자은수량산출서(단지내)_취합" xfId="2193" xr:uid="{00000000-0005-0000-0000-000087080000}"/>
    <cellStyle name="1_tree_수량산출_총괄내역0518_일위대가_진해자은수량산출서(단지내)_취합_00-설계서,원가계산,내역서" xfId="2194" xr:uid="{00000000-0005-0000-0000-000088080000}"/>
    <cellStyle name="1_tree_수량산출_총괄내역0518_일위대가_진해자은수량산출서(단지내)_취합_설계서-1" xfId="2195" xr:uid="{00000000-0005-0000-0000-000089080000}"/>
    <cellStyle name="1_tree_수량산출_총괄내역0518_일위대가_진해자은수량산출서(단지내)_취합_설계서-1_00-설계서,원가계산,내역서" xfId="2196" xr:uid="{00000000-0005-0000-0000-00008A080000}"/>
    <cellStyle name="1_tree_수량산출_총괄내역0518_자재단가표" xfId="2197" xr:uid="{00000000-0005-0000-0000-00008B080000}"/>
    <cellStyle name="1_tree_수량산출_총괄내역0518_자재단가표_00-설계서,원가계산,내역서" xfId="2198" xr:uid="{00000000-0005-0000-0000-00008C080000}"/>
    <cellStyle name="1_tree_수량산출_총괄내역0518_자재단가표_설계서-1" xfId="2199" xr:uid="{00000000-0005-0000-0000-00008D080000}"/>
    <cellStyle name="1_tree_수량산출_총괄내역0518_자재단가표_설계서-1_00-설계서,원가계산,내역서" xfId="2200" xr:uid="{00000000-0005-0000-0000-00008E080000}"/>
    <cellStyle name="1_tree_수량산출_총괄내역0518_자재단가표_진해자은수량산출서(단지내)" xfId="2201" xr:uid="{00000000-0005-0000-0000-00008F080000}"/>
    <cellStyle name="1_tree_수량산출_총괄내역0518_자재단가표_진해자은수량산출서(단지내)_00-설계서,원가계산,내역서" xfId="2202" xr:uid="{00000000-0005-0000-0000-000090080000}"/>
    <cellStyle name="1_tree_수량산출_총괄내역0518_자재단가표_진해자은수량산출서(단지내)_기초산출표-56-128-최종" xfId="2203" xr:uid="{00000000-0005-0000-0000-000091080000}"/>
    <cellStyle name="1_tree_수량산출_총괄내역0518_자재단가표_진해자은수량산출서(단지내)_기초산출표-56-128-최종_00-설계서,원가계산,내역서" xfId="2204" xr:uid="{00000000-0005-0000-0000-000092080000}"/>
    <cellStyle name="1_tree_수량산출_총괄내역0518_자재단가표_진해자은수량산출서(단지내)_기초산출표-56-128-최종_설계서-1" xfId="2205" xr:uid="{00000000-0005-0000-0000-000093080000}"/>
    <cellStyle name="1_tree_수량산출_총괄내역0518_자재단가표_진해자은수량산출서(단지내)_기초산출표-56-128-최종_설계서-1_00-설계서,원가계산,내역서" xfId="2206" xr:uid="{00000000-0005-0000-0000-000094080000}"/>
    <cellStyle name="1_tree_수량산출_총괄내역0518_자재단가표_진해자은수량산출서(단지내)_설계서-1" xfId="2207" xr:uid="{00000000-0005-0000-0000-000095080000}"/>
    <cellStyle name="1_tree_수량산출_총괄내역0518_자재단가표_진해자은수량산출서(단지내)_설계서-1_00-설계서,원가계산,내역서" xfId="2208" xr:uid="{00000000-0005-0000-0000-000096080000}"/>
    <cellStyle name="1_tree_수량산출_총괄내역0518_자재단가표_진해자은수량산출서(단지내)_취합" xfId="2209" xr:uid="{00000000-0005-0000-0000-000097080000}"/>
    <cellStyle name="1_tree_수량산출_총괄내역0518_자재단가표_진해자은수량산출서(단지내)_취합_00-설계서,원가계산,내역서" xfId="2210" xr:uid="{00000000-0005-0000-0000-000098080000}"/>
    <cellStyle name="1_tree_수량산출_총괄내역0518_자재단가표_진해자은수량산출서(단지내)_취합_설계서-1" xfId="2211" xr:uid="{00000000-0005-0000-0000-000099080000}"/>
    <cellStyle name="1_tree_수량산출_총괄내역0518_자재단가표_진해자은수량산출서(단지내)_취합_설계서-1_00-설계서,원가계산,내역서" xfId="2212" xr:uid="{00000000-0005-0000-0000-00009A080000}"/>
    <cellStyle name="1_tree_수량산출_총괄내역0518_장안초등학교내역0814" xfId="2213" xr:uid="{00000000-0005-0000-0000-00009B080000}"/>
    <cellStyle name="1_tree_수량산출_총괄내역0518_장안초등학교내역0814_00-설계서,원가계산,내역서" xfId="2214" xr:uid="{00000000-0005-0000-0000-00009C080000}"/>
    <cellStyle name="1_tree_수량산출_총괄내역0518_장안초등학교내역0814_설계서-1" xfId="2215" xr:uid="{00000000-0005-0000-0000-00009D080000}"/>
    <cellStyle name="1_tree_수량산출_총괄내역0518_장안초등학교내역0814_설계서-1_00-설계서,원가계산,내역서" xfId="2216" xr:uid="{00000000-0005-0000-0000-00009E080000}"/>
    <cellStyle name="1_tree_수량산출_총괄내역0518_장안초등학교내역0814_진해자은수량산출서(단지내)" xfId="2217" xr:uid="{00000000-0005-0000-0000-00009F080000}"/>
    <cellStyle name="1_tree_수량산출_총괄내역0518_장안초등학교내역0814_진해자은수량산출서(단지내)_00-설계서,원가계산,내역서" xfId="2218" xr:uid="{00000000-0005-0000-0000-0000A0080000}"/>
    <cellStyle name="1_tree_수량산출_총괄내역0518_장안초등학교내역0814_진해자은수량산출서(단지내)_기초산출표-56-128-최종" xfId="2219" xr:uid="{00000000-0005-0000-0000-0000A1080000}"/>
    <cellStyle name="1_tree_수량산출_총괄내역0518_장안초등학교내역0814_진해자은수량산출서(단지내)_기초산출표-56-128-최종_00-설계서,원가계산,내역서" xfId="2220" xr:uid="{00000000-0005-0000-0000-0000A2080000}"/>
    <cellStyle name="1_tree_수량산출_총괄내역0518_장안초등학교내역0814_진해자은수량산출서(단지내)_기초산출표-56-128-최종_설계서-1" xfId="2221" xr:uid="{00000000-0005-0000-0000-0000A3080000}"/>
    <cellStyle name="1_tree_수량산출_총괄내역0518_장안초등학교내역0814_진해자은수량산출서(단지내)_기초산출표-56-128-최종_설계서-1_00-설계서,원가계산,내역서" xfId="2222" xr:uid="{00000000-0005-0000-0000-0000A4080000}"/>
    <cellStyle name="1_tree_수량산출_총괄내역0518_장안초등학교내역0814_진해자은수량산출서(단지내)_설계서-1" xfId="2223" xr:uid="{00000000-0005-0000-0000-0000A5080000}"/>
    <cellStyle name="1_tree_수량산출_총괄내역0518_장안초등학교내역0814_진해자은수량산출서(단지내)_설계서-1_00-설계서,원가계산,내역서" xfId="2224" xr:uid="{00000000-0005-0000-0000-0000A6080000}"/>
    <cellStyle name="1_tree_수량산출_총괄내역0518_장안초등학교내역0814_진해자은수량산출서(단지내)_취합" xfId="2225" xr:uid="{00000000-0005-0000-0000-0000A7080000}"/>
    <cellStyle name="1_tree_수량산출_총괄내역0518_장안초등학교내역0814_진해자은수량산출서(단지내)_취합_00-설계서,원가계산,내역서" xfId="2226" xr:uid="{00000000-0005-0000-0000-0000A8080000}"/>
    <cellStyle name="1_tree_수량산출_총괄내역0518_장안초등학교내역0814_진해자은수량산출서(단지내)_취합_설계서-1" xfId="2227" xr:uid="{00000000-0005-0000-0000-0000A9080000}"/>
    <cellStyle name="1_tree_수량산출_총괄내역0518_장안초등학교내역0814_진해자은수량산출서(단지내)_취합_설계서-1_00-설계서,원가계산,내역서" xfId="2228" xr:uid="{00000000-0005-0000-0000-0000AA080000}"/>
    <cellStyle name="1_tree_수량산출_총괄내역0518_진해자은수량산출서(단지내)" xfId="2229" xr:uid="{00000000-0005-0000-0000-0000AB080000}"/>
    <cellStyle name="1_tree_수량산출_총괄내역0518_진해자은수량산출서(단지내)_00-설계서,원가계산,내역서" xfId="2230" xr:uid="{00000000-0005-0000-0000-0000AC080000}"/>
    <cellStyle name="1_tree_수량산출_총괄내역0518_진해자은수량산출서(단지내)_기초산출표-56-128-최종" xfId="2231" xr:uid="{00000000-0005-0000-0000-0000AD080000}"/>
    <cellStyle name="1_tree_수량산출_총괄내역0518_진해자은수량산출서(단지내)_기초산출표-56-128-최종_00-설계서,원가계산,내역서" xfId="2232" xr:uid="{00000000-0005-0000-0000-0000AE080000}"/>
    <cellStyle name="1_tree_수량산출_총괄내역0518_진해자은수량산출서(단지내)_기초산출표-56-128-최종_설계서-1" xfId="2233" xr:uid="{00000000-0005-0000-0000-0000AF080000}"/>
    <cellStyle name="1_tree_수량산출_총괄내역0518_진해자은수량산출서(단지내)_기초산출표-56-128-최종_설계서-1_00-설계서,원가계산,내역서" xfId="2234" xr:uid="{00000000-0005-0000-0000-0000B0080000}"/>
    <cellStyle name="1_tree_수량산출_총괄내역0518_진해자은수량산출서(단지내)_설계서-1" xfId="2235" xr:uid="{00000000-0005-0000-0000-0000B1080000}"/>
    <cellStyle name="1_tree_수량산출_총괄내역0518_진해자은수량산출서(단지내)_설계서-1_00-설계서,원가계산,내역서" xfId="2236" xr:uid="{00000000-0005-0000-0000-0000B2080000}"/>
    <cellStyle name="1_tree_수량산출_총괄내역0518_진해자은수량산출서(단지내)_취합" xfId="2237" xr:uid="{00000000-0005-0000-0000-0000B3080000}"/>
    <cellStyle name="1_tree_수량산출_총괄내역0518_진해자은수량산출서(단지내)_취합_00-설계서,원가계산,내역서" xfId="2238" xr:uid="{00000000-0005-0000-0000-0000B4080000}"/>
    <cellStyle name="1_tree_수량산출_총괄내역0518_진해자은수량산출서(단지내)_취합_설계서-1" xfId="2239" xr:uid="{00000000-0005-0000-0000-0000B5080000}"/>
    <cellStyle name="1_tree_수량산출_총괄내역0518_진해자은수량산출서(단지내)_취합_설계서-1_00-설계서,원가계산,내역서" xfId="2240" xr:uid="{00000000-0005-0000-0000-0000B6080000}"/>
    <cellStyle name="1_tree_수량산출_현충묘지-예산서(조경)" xfId="2241" xr:uid="{00000000-0005-0000-0000-0000B7080000}"/>
    <cellStyle name="1_tree_수량산출_현충묘지-예산서(조경)_00-설계서,원가계산,내역서" xfId="2242" xr:uid="{00000000-0005-0000-0000-0000B8080000}"/>
    <cellStyle name="1_tree_수량산출_현충묘지-예산서(조경)_목동내역" xfId="2243" xr:uid="{00000000-0005-0000-0000-0000B9080000}"/>
    <cellStyle name="1_tree_수량산출_현충묘지-예산서(조경)_목동내역_00-설계서,원가계산,내역서" xfId="2244" xr:uid="{00000000-0005-0000-0000-0000BA080000}"/>
    <cellStyle name="1_tree_수량산출_현충묘지-예산서(조경)_목동내역_폐기물집계" xfId="2245" xr:uid="{00000000-0005-0000-0000-0000BB080000}"/>
    <cellStyle name="1_tree_수량산출_현충묘지-예산서(조경)_목동내역_폐기물집계_00-설계서,원가계산,내역서" xfId="2246" xr:uid="{00000000-0005-0000-0000-0000BC080000}"/>
    <cellStyle name="1_tree_수량산출_현충묘지-예산서(조경)_예산서-엑셀변환양식100" xfId="2247" xr:uid="{00000000-0005-0000-0000-0000BD080000}"/>
    <cellStyle name="1_tree_수량산출_현충묘지-예산서(조경)_예산서-엑셀변환양식100_00-설계서,원가계산,내역서" xfId="2248" xr:uid="{00000000-0005-0000-0000-0000BE080000}"/>
    <cellStyle name="1_tree_수량산출_현충묘지-예산서(조경)_예산서-엑셀변환양식100_목동내역" xfId="2249" xr:uid="{00000000-0005-0000-0000-0000BF080000}"/>
    <cellStyle name="1_tree_수량산출_현충묘지-예산서(조경)_예산서-엑셀변환양식100_목동내역_00-설계서,원가계산,내역서" xfId="2250" xr:uid="{00000000-0005-0000-0000-0000C0080000}"/>
    <cellStyle name="1_tree_수량산출_현충묘지-예산서(조경)_예산서-엑셀변환양식100_목동내역_폐기물집계" xfId="2251" xr:uid="{00000000-0005-0000-0000-0000C1080000}"/>
    <cellStyle name="1_tree_수량산출_현충묘지-예산서(조경)_예산서-엑셀변환양식100_목동내역_폐기물집계_00-설계서,원가계산,내역서" xfId="2252" xr:uid="{00000000-0005-0000-0000-0000C2080000}"/>
    <cellStyle name="1_tree_이문동구간중랑천변녹화사업(수량산출서, 071127)-최종" xfId="2253" xr:uid="{00000000-0005-0000-0000-0000C3080000}"/>
    <cellStyle name="1_tree_이문동구간중랑천변녹화사업(수량산출서, 071127)-최종_00-설계서,원가계산,내역서" xfId="2254" xr:uid="{00000000-0005-0000-0000-0000C4080000}"/>
    <cellStyle name="1_tree_진해자은수량산출서(단지내)" xfId="2255" xr:uid="{00000000-0005-0000-0000-0000C5080000}"/>
    <cellStyle name="1_tree_진해자은수량산출서(단지내)_00-설계서,원가계산,내역서" xfId="2256" xr:uid="{00000000-0005-0000-0000-0000C6080000}"/>
    <cellStyle name="1_tree_진해자은수량산출서(단지내)_기초산출표-56-128-최종" xfId="2257" xr:uid="{00000000-0005-0000-0000-0000C7080000}"/>
    <cellStyle name="1_tree_진해자은수량산출서(단지내)_기초산출표-56-128-최종_00-설계서,원가계산,내역서" xfId="2258" xr:uid="{00000000-0005-0000-0000-0000C8080000}"/>
    <cellStyle name="1_tree_진해자은수량산출서(단지내)_기초산출표-56-128-최종_설계서-1" xfId="2259" xr:uid="{00000000-0005-0000-0000-0000C9080000}"/>
    <cellStyle name="1_tree_진해자은수량산출서(단지내)_기초산출표-56-128-최종_설계서-1_00-설계서,원가계산,내역서" xfId="2260" xr:uid="{00000000-0005-0000-0000-0000CA080000}"/>
    <cellStyle name="1_tree_진해자은수량산출서(단지내)_설계서-1" xfId="2261" xr:uid="{00000000-0005-0000-0000-0000CB080000}"/>
    <cellStyle name="1_tree_진해자은수량산출서(단지내)_설계서-1_00-설계서,원가계산,내역서" xfId="2262" xr:uid="{00000000-0005-0000-0000-0000CC080000}"/>
    <cellStyle name="1_tree_진해자은수량산출서(단지내)_취합" xfId="2263" xr:uid="{00000000-0005-0000-0000-0000CD080000}"/>
    <cellStyle name="1_tree_진해자은수량산출서(단지내)_취합_00-설계서,원가계산,내역서" xfId="2264" xr:uid="{00000000-0005-0000-0000-0000CE080000}"/>
    <cellStyle name="1_tree_진해자은수량산출서(단지내)_취합_설계서-1" xfId="2265" xr:uid="{00000000-0005-0000-0000-0000CF080000}"/>
    <cellStyle name="1_tree_진해자은수량산출서(단지내)_취합_설계서-1_00-설계서,원가계산,내역서" xfId="2266" xr:uid="{00000000-0005-0000-0000-0000D0080000}"/>
    <cellStyle name="1_tree_총괄내역0518" xfId="2267" xr:uid="{00000000-0005-0000-0000-0000D1080000}"/>
    <cellStyle name="1_tree_총괄내역0518_00-설계서,원가계산,내역서" xfId="2268" xr:uid="{00000000-0005-0000-0000-0000D2080000}"/>
    <cellStyle name="1_tree_총괄내역0518_구로리설계예산서1029" xfId="2269" xr:uid="{00000000-0005-0000-0000-0000D3080000}"/>
    <cellStyle name="1_tree_총괄내역0518_구로리설계예산서1029_00-설계서,원가계산,내역서" xfId="2270" xr:uid="{00000000-0005-0000-0000-0000D4080000}"/>
    <cellStyle name="1_tree_총괄내역0518_구로리설계예산서1029_설계서-1" xfId="2271" xr:uid="{00000000-0005-0000-0000-0000D5080000}"/>
    <cellStyle name="1_tree_총괄내역0518_구로리설계예산서1029_설계서-1_00-설계서,원가계산,내역서" xfId="2272" xr:uid="{00000000-0005-0000-0000-0000D6080000}"/>
    <cellStyle name="1_tree_총괄내역0518_구로리설계예산서1029_진해자은수량산출서(단지내)" xfId="2273" xr:uid="{00000000-0005-0000-0000-0000D7080000}"/>
    <cellStyle name="1_tree_총괄내역0518_구로리설계예산서1029_진해자은수량산출서(단지내)_00-설계서,원가계산,내역서" xfId="2274" xr:uid="{00000000-0005-0000-0000-0000D8080000}"/>
    <cellStyle name="1_tree_총괄내역0518_구로리설계예산서1029_진해자은수량산출서(단지내)_기초산출표-56-128-최종" xfId="2275" xr:uid="{00000000-0005-0000-0000-0000D9080000}"/>
    <cellStyle name="1_tree_총괄내역0518_구로리설계예산서1029_진해자은수량산출서(단지내)_기초산출표-56-128-최종_00-설계서,원가계산,내역서" xfId="2276" xr:uid="{00000000-0005-0000-0000-0000DA080000}"/>
    <cellStyle name="1_tree_총괄내역0518_구로리설계예산서1029_진해자은수량산출서(단지내)_기초산출표-56-128-최종_설계서-1" xfId="2277" xr:uid="{00000000-0005-0000-0000-0000DB080000}"/>
    <cellStyle name="1_tree_총괄내역0518_구로리설계예산서1029_진해자은수량산출서(단지내)_기초산출표-56-128-최종_설계서-1_00-설계서,원가계산,내역서" xfId="2278" xr:uid="{00000000-0005-0000-0000-0000DC080000}"/>
    <cellStyle name="1_tree_총괄내역0518_구로리설계예산서1029_진해자은수량산출서(단지내)_설계서-1" xfId="2279" xr:uid="{00000000-0005-0000-0000-0000DD080000}"/>
    <cellStyle name="1_tree_총괄내역0518_구로리설계예산서1029_진해자은수량산출서(단지내)_설계서-1_00-설계서,원가계산,내역서" xfId="2280" xr:uid="{00000000-0005-0000-0000-0000DE080000}"/>
    <cellStyle name="1_tree_총괄내역0518_구로리설계예산서1029_진해자은수량산출서(단지내)_취합" xfId="2281" xr:uid="{00000000-0005-0000-0000-0000DF080000}"/>
    <cellStyle name="1_tree_총괄내역0518_구로리설계예산서1029_진해자은수량산출서(단지내)_취합_00-설계서,원가계산,내역서" xfId="2282" xr:uid="{00000000-0005-0000-0000-0000E0080000}"/>
    <cellStyle name="1_tree_총괄내역0518_구로리설계예산서1029_진해자은수량산출서(단지내)_취합_설계서-1" xfId="2283" xr:uid="{00000000-0005-0000-0000-0000E1080000}"/>
    <cellStyle name="1_tree_총괄내역0518_구로리설계예산서1029_진해자은수량산출서(단지내)_취합_설계서-1_00-설계서,원가계산,내역서" xfId="2284" xr:uid="{00000000-0005-0000-0000-0000E2080000}"/>
    <cellStyle name="1_tree_총괄내역0518_구로리설계예산서1118준공" xfId="2285" xr:uid="{00000000-0005-0000-0000-0000E3080000}"/>
    <cellStyle name="1_tree_총괄내역0518_구로리설계예산서1118준공_00-설계서,원가계산,내역서" xfId="2286" xr:uid="{00000000-0005-0000-0000-0000E4080000}"/>
    <cellStyle name="1_tree_총괄내역0518_구로리설계예산서1118준공_설계서-1" xfId="2287" xr:uid="{00000000-0005-0000-0000-0000E5080000}"/>
    <cellStyle name="1_tree_총괄내역0518_구로리설계예산서1118준공_설계서-1_00-설계서,원가계산,내역서" xfId="2288" xr:uid="{00000000-0005-0000-0000-0000E6080000}"/>
    <cellStyle name="1_tree_총괄내역0518_구로리설계예산서1118준공_진해자은수량산출서(단지내)" xfId="2289" xr:uid="{00000000-0005-0000-0000-0000E7080000}"/>
    <cellStyle name="1_tree_총괄내역0518_구로리설계예산서1118준공_진해자은수량산출서(단지내)_00-설계서,원가계산,내역서" xfId="2290" xr:uid="{00000000-0005-0000-0000-0000E8080000}"/>
    <cellStyle name="1_tree_총괄내역0518_구로리설계예산서1118준공_진해자은수량산출서(단지내)_기초산출표-56-128-최종" xfId="2291" xr:uid="{00000000-0005-0000-0000-0000E9080000}"/>
    <cellStyle name="1_tree_총괄내역0518_구로리설계예산서1118준공_진해자은수량산출서(단지내)_기초산출표-56-128-최종_00-설계서,원가계산,내역서" xfId="2292" xr:uid="{00000000-0005-0000-0000-0000EA080000}"/>
    <cellStyle name="1_tree_총괄내역0518_구로리설계예산서1118준공_진해자은수량산출서(단지내)_기초산출표-56-128-최종_설계서-1" xfId="2293" xr:uid="{00000000-0005-0000-0000-0000EB080000}"/>
    <cellStyle name="1_tree_총괄내역0518_구로리설계예산서1118준공_진해자은수량산출서(단지내)_기초산출표-56-128-최종_설계서-1_00-설계서,원가계산,내역서" xfId="2294" xr:uid="{00000000-0005-0000-0000-0000EC080000}"/>
    <cellStyle name="1_tree_총괄내역0518_구로리설계예산서1118준공_진해자은수량산출서(단지내)_설계서-1" xfId="2295" xr:uid="{00000000-0005-0000-0000-0000ED080000}"/>
    <cellStyle name="1_tree_총괄내역0518_구로리설계예산서1118준공_진해자은수량산출서(단지내)_설계서-1_00-설계서,원가계산,내역서" xfId="2296" xr:uid="{00000000-0005-0000-0000-0000EE080000}"/>
    <cellStyle name="1_tree_총괄내역0518_구로리설계예산서1118준공_진해자은수량산출서(단지내)_취합" xfId="2297" xr:uid="{00000000-0005-0000-0000-0000EF080000}"/>
    <cellStyle name="1_tree_총괄내역0518_구로리설계예산서1118준공_진해자은수량산출서(단지내)_취합_00-설계서,원가계산,내역서" xfId="2298" xr:uid="{00000000-0005-0000-0000-0000F0080000}"/>
    <cellStyle name="1_tree_총괄내역0518_구로리설계예산서1118준공_진해자은수량산출서(단지내)_취합_설계서-1" xfId="2299" xr:uid="{00000000-0005-0000-0000-0000F1080000}"/>
    <cellStyle name="1_tree_총괄내역0518_구로리설계예산서1118준공_진해자은수량산출서(단지내)_취합_설계서-1_00-설계서,원가계산,내역서" xfId="2300" xr:uid="{00000000-0005-0000-0000-0000F2080000}"/>
    <cellStyle name="1_tree_총괄내역0518_구로리설계예산서조경" xfId="2301" xr:uid="{00000000-0005-0000-0000-0000F3080000}"/>
    <cellStyle name="1_tree_총괄내역0518_구로리설계예산서조경_00-설계서,원가계산,내역서" xfId="2302" xr:uid="{00000000-0005-0000-0000-0000F4080000}"/>
    <cellStyle name="1_tree_총괄내역0518_구로리설계예산서조경_설계서-1" xfId="2303" xr:uid="{00000000-0005-0000-0000-0000F5080000}"/>
    <cellStyle name="1_tree_총괄내역0518_구로리설계예산서조경_설계서-1_00-설계서,원가계산,내역서" xfId="2304" xr:uid="{00000000-0005-0000-0000-0000F6080000}"/>
    <cellStyle name="1_tree_총괄내역0518_구로리설계예산서조경_진해자은수량산출서(단지내)" xfId="2305" xr:uid="{00000000-0005-0000-0000-0000F7080000}"/>
    <cellStyle name="1_tree_총괄내역0518_구로리설계예산서조경_진해자은수량산출서(단지내)_00-설계서,원가계산,내역서" xfId="2306" xr:uid="{00000000-0005-0000-0000-0000F8080000}"/>
    <cellStyle name="1_tree_총괄내역0518_구로리설계예산서조경_진해자은수량산출서(단지내)_기초산출표-56-128-최종" xfId="2307" xr:uid="{00000000-0005-0000-0000-0000F9080000}"/>
    <cellStyle name="1_tree_총괄내역0518_구로리설계예산서조경_진해자은수량산출서(단지내)_기초산출표-56-128-최종_00-설계서,원가계산,내역서" xfId="2308" xr:uid="{00000000-0005-0000-0000-0000FA080000}"/>
    <cellStyle name="1_tree_총괄내역0518_구로리설계예산서조경_진해자은수량산출서(단지내)_기초산출표-56-128-최종_설계서-1" xfId="2309" xr:uid="{00000000-0005-0000-0000-0000FB080000}"/>
    <cellStyle name="1_tree_총괄내역0518_구로리설계예산서조경_진해자은수량산출서(단지내)_기초산출표-56-128-최종_설계서-1_00-설계서,원가계산,내역서" xfId="2310" xr:uid="{00000000-0005-0000-0000-0000FC080000}"/>
    <cellStyle name="1_tree_총괄내역0518_구로리설계예산서조경_진해자은수량산출서(단지내)_설계서-1" xfId="2311" xr:uid="{00000000-0005-0000-0000-0000FD080000}"/>
    <cellStyle name="1_tree_총괄내역0518_구로리설계예산서조경_진해자은수량산출서(단지내)_설계서-1_00-설계서,원가계산,내역서" xfId="2312" xr:uid="{00000000-0005-0000-0000-0000FE080000}"/>
    <cellStyle name="1_tree_총괄내역0518_구로리설계예산서조경_진해자은수량산출서(단지내)_취합" xfId="2313" xr:uid="{00000000-0005-0000-0000-0000FF080000}"/>
    <cellStyle name="1_tree_총괄내역0518_구로리설계예산서조경_진해자은수량산출서(단지내)_취합_00-설계서,원가계산,내역서" xfId="2314" xr:uid="{00000000-0005-0000-0000-000000090000}"/>
    <cellStyle name="1_tree_총괄내역0518_구로리설계예산서조경_진해자은수량산출서(단지내)_취합_설계서-1" xfId="2315" xr:uid="{00000000-0005-0000-0000-000001090000}"/>
    <cellStyle name="1_tree_총괄내역0518_구로리설계예산서조경_진해자은수량산출서(단지내)_취합_설계서-1_00-설계서,원가계산,내역서" xfId="2316" xr:uid="{00000000-0005-0000-0000-000002090000}"/>
    <cellStyle name="1_tree_총괄내역0518_구로리어린이공원예산서(조경)1125" xfId="2317" xr:uid="{00000000-0005-0000-0000-000003090000}"/>
    <cellStyle name="1_tree_총괄내역0518_구로리어린이공원예산서(조경)1125_00-설계서,원가계산,내역서" xfId="2318" xr:uid="{00000000-0005-0000-0000-000004090000}"/>
    <cellStyle name="1_tree_총괄내역0518_구로리어린이공원예산서(조경)1125_설계서-1" xfId="2319" xr:uid="{00000000-0005-0000-0000-000005090000}"/>
    <cellStyle name="1_tree_총괄내역0518_구로리어린이공원예산서(조경)1125_설계서-1_00-설계서,원가계산,내역서" xfId="2320" xr:uid="{00000000-0005-0000-0000-000006090000}"/>
    <cellStyle name="1_tree_총괄내역0518_구로리어린이공원예산서(조경)1125_진해자은수량산출서(단지내)" xfId="2321" xr:uid="{00000000-0005-0000-0000-000007090000}"/>
    <cellStyle name="1_tree_총괄내역0518_구로리어린이공원예산서(조경)1125_진해자은수량산출서(단지내)_00-설계서,원가계산,내역서" xfId="2322" xr:uid="{00000000-0005-0000-0000-000008090000}"/>
    <cellStyle name="1_tree_총괄내역0518_구로리어린이공원예산서(조경)1125_진해자은수량산출서(단지내)_기초산출표-56-128-최종" xfId="2323" xr:uid="{00000000-0005-0000-0000-000009090000}"/>
    <cellStyle name="1_tree_총괄내역0518_구로리어린이공원예산서(조경)1125_진해자은수량산출서(단지내)_기초산출표-56-128-최종_00-설계서,원가계산,내역서" xfId="2324" xr:uid="{00000000-0005-0000-0000-00000A090000}"/>
    <cellStyle name="1_tree_총괄내역0518_구로리어린이공원예산서(조경)1125_진해자은수량산출서(단지내)_기초산출표-56-128-최종_설계서-1" xfId="2325" xr:uid="{00000000-0005-0000-0000-00000B090000}"/>
    <cellStyle name="1_tree_총괄내역0518_구로리어린이공원예산서(조경)1125_진해자은수량산출서(단지내)_기초산출표-56-128-최종_설계서-1_00-설계서,원가계산,내역서" xfId="2326" xr:uid="{00000000-0005-0000-0000-00000C090000}"/>
    <cellStyle name="1_tree_총괄내역0518_구로리어린이공원예산서(조경)1125_진해자은수량산출서(단지내)_설계서-1" xfId="2327" xr:uid="{00000000-0005-0000-0000-00000D090000}"/>
    <cellStyle name="1_tree_총괄내역0518_구로리어린이공원예산서(조경)1125_진해자은수량산출서(단지내)_설계서-1_00-설계서,원가계산,내역서" xfId="2328" xr:uid="{00000000-0005-0000-0000-00000E090000}"/>
    <cellStyle name="1_tree_총괄내역0518_구로리어린이공원예산서(조경)1125_진해자은수량산출서(단지내)_취합" xfId="2329" xr:uid="{00000000-0005-0000-0000-00000F090000}"/>
    <cellStyle name="1_tree_총괄내역0518_구로리어린이공원예산서(조경)1125_진해자은수량산출서(단지내)_취합_00-설계서,원가계산,내역서" xfId="2330" xr:uid="{00000000-0005-0000-0000-000010090000}"/>
    <cellStyle name="1_tree_총괄내역0518_구로리어린이공원예산서(조경)1125_진해자은수량산출서(단지내)_취합_설계서-1" xfId="2331" xr:uid="{00000000-0005-0000-0000-000011090000}"/>
    <cellStyle name="1_tree_총괄내역0518_구로리어린이공원예산서(조경)1125_진해자은수량산출서(단지내)_취합_설계서-1_00-설계서,원가계산,내역서" xfId="2332" xr:uid="{00000000-0005-0000-0000-000012090000}"/>
    <cellStyle name="1_tree_총괄내역0518_내역서" xfId="2333" xr:uid="{00000000-0005-0000-0000-000013090000}"/>
    <cellStyle name="1_tree_총괄내역0518_내역서_00-설계서,원가계산,내역서" xfId="2334" xr:uid="{00000000-0005-0000-0000-000014090000}"/>
    <cellStyle name="1_tree_총괄내역0518_내역서_설계서-1" xfId="2335" xr:uid="{00000000-0005-0000-0000-000015090000}"/>
    <cellStyle name="1_tree_총괄내역0518_내역서_설계서-1_00-설계서,원가계산,내역서" xfId="2336" xr:uid="{00000000-0005-0000-0000-000016090000}"/>
    <cellStyle name="1_tree_총괄내역0518_내역서_진해자은수량산출서(단지내)" xfId="2337" xr:uid="{00000000-0005-0000-0000-000017090000}"/>
    <cellStyle name="1_tree_총괄내역0518_내역서_진해자은수량산출서(단지내)_00-설계서,원가계산,내역서" xfId="2338" xr:uid="{00000000-0005-0000-0000-000018090000}"/>
    <cellStyle name="1_tree_총괄내역0518_내역서_진해자은수량산출서(단지내)_기초산출표-56-128-최종" xfId="2339" xr:uid="{00000000-0005-0000-0000-000019090000}"/>
    <cellStyle name="1_tree_총괄내역0518_내역서_진해자은수량산출서(단지내)_기초산출표-56-128-최종_00-설계서,원가계산,내역서" xfId="2340" xr:uid="{00000000-0005-0000-0000-00001A090000}"/>
    <cellStyle name="1_tree_총괄내역0518_내역서_진해자은수량산출서(단지내)_기초산출표-56-128-최종_설계서-1" xfId="2341" xr:uid="{00000000-0005-0000-0000-00001B090000}"/>
    <cellStyle name="1_tree_총괄내역0518_내역서_진해자은수량산출서(단지내)_기초산출표-56-128-최종_설계서-1_00-설계서,원가계산,내역서" xfId="2342" xr:uid="{00000000-0005-0000-0000-00001C090000}"/>
    <cellStyle name="1_tree_총괄내역0518_내역서_진해자은수량산출서(단지내)_설계서-1" xfId="2343" xr:uid="{00000000-0005-0000-0000-00001D090000}"/>
    <cellStyle name="1_tree_총괄내역0518_내역서_진해자은수량산출서(단지내)_설계서-1_00-설계서,원가계산,내역서" xfId="2344" xr:uid="{00000000-0005-0000-0000-00001E090000}"/>
    <cellStyle name="1_tree_총괄내역0518_내역서_진해자은수량산출서(단지내)_취합" xfId="2345" xr:uid="{00000000-0005-0000-0000-00001F090000}"/>
    <cellStyle name="1_tree_총괄내역0518_내역서_진해자은수량산출서(단지내)_취합_00-설계서,원가계산,내역서" xfId="2346" xr:uid="{00000000-0005-0000-0000-000020090000}"/>
    <cellStyle name="1_tree_총괄내역0518_내역서_진해자은수량산출서(단지내)_취합_설계서-1" xfId="2347" xr:uid="{00000000-0005-0000-0000-000021090000}"/>
    <cellStyle name="1_tree_총괄내역0518_내역서_진해자은수량산출서(단지내)_취합_설계서-1_00-설계서,원가계산,내역서" xfId="2348" xr:uid="{00000000-0005-0000-0000-000022090000}"/>
    <cellStyle name="1_tree_총괄내역0518_노임단가표" xfId="2349" xr:uid="{00000000-0005-0000-0000-000023090000}"/>
    <cellStyle name="1_tree_총괄내역0518_노임단가표_00-설계서,원가계산,내역서" xfId="2350" xr:uid="{00000000-0005-0000-0000-000024090000}"/>
    <cellStyle name="1_tree_총괄내역0518_노임단가표_설계서-1" xfId="2351" xr:uid="{00000000-0005-0000-0000-000025090000}"/>
    <cellStyle name="1_tree_총괄내역0518_노임단가표_설계서-1_00-설계서,원가계산,내역서" xfId="2352" xr:uid="{00000000-0005-0000-0000-000026090000}"/>
    <cellStyle name="1_tree_총괄내역0518_노임단가표_진해자은수량산출서(단지내)" xfId="2353" xr:uid="{00000000-0005-0000-0000-000027090000}"/>
    <cellStyle name="1_tree_총괄내역0518_노임단가표_진해자은수량산출서(단지내)_00-설계서,원가계산,내역서" xfId="2354" xr:uid="{00000000-0005-0000-0000-000028090000}"/>
    <cellStyle name="1_tree_총괄내역0518_노임단가표_진해자은수량산출서(단지내)_기초산출표-56-128-최종" xfId="2355" xr:uid="{00000000-0005-0000-0000-000029090000}"/>
    <cellStyle name="1_tree_총괄내역0518_노임단가표_진해자은수량산출서(단지내)_기초산출표-56-128-최종_00-설계서,원가계산,내역서" xfId="2356" xr:uid="{00000000-0005-0000-0000-00002A090000}"/>
    <cellStyle name="1_tree_총괄내역0518_노임단가표_진해자은수량산출서(단지내)_기초산출표-56-128-최종_설계서-1" xfId="2357" xr:uid="{00000000-0005-0000-0000-00002B090000}"/>
    <cellStyle name="1_tree_총괄내역0518_노임단가표_진해자은수량산출서(단지내)_기초산출표-56-128-최종_설계서-1_00-설계서,원가계산,내역서" xfId="2358" xr:uid="{00000000-0005-0000-0000-00002C090000}"/>
    <cellStyle name="1_tree_총괄내역0518_노임단가표_진해자은수량산출서(단지내)_설계서-1" xfId="2359" xr:uid="{00000000-0005-0000-0000-00002D090000}"/>
    <cellStyle name="1_tree_총괄내역0518_노임단가표_진해자은수량산출서(단지내)_설계서-1_00-설계서,원가계산,내역서" xfId="2360" xr:uid="{00000000-0005-0000-0000-00002E090000}"/>
    <cellStyle name="1_tree_총괄내역0518_노임단가표_진해자은수량산출서(단지내)_취합" xfId="2361" xr:uid="{00000000-0005-0000-0000-00002F090000}"/>
    <cellStyle name="1_tree_총괄내역0518_노임단가표_진해자은수량산출서(단지내)_취합_00-설계서,원가계산,내역서" xfId="2362" xr:uid="{00000000-0005-0000-0000-000030090000}"/>
    <cellStyle name="1_tree_총괄내역0518_노임단가표_진해자은수량산출서(단지내)_취합_설계서-1" xfId="2363" xr:uid="{00000000-0005-0000-0000-000031090000}"/>
    <cellStyle name="1_tree_총괄내역0518_노임단가표_진해자은수량산출서(단지내)_취합_설계서-1_00-설계서,원가계산,내역서" xfId="2364" xr:uid="{00000000-0005-0000-0000-000032090000}"/>
    <cellStyle name="1_tree_총괄내역0518_설계서-1" xfId="2365" xr:uid="{00000000-0005-0000-0000-000033090000}"/>
    <cellStyle name="1_tree_총괄내역0518_설계서-1_00-설계서,원가계산,내역서" xfId="2366" xr:uid="{00000000-0005-0000-0000-000034090000}"/>
    <cellStyle name="1_tree_총괄내역0518_수도권매립지" xfId="2367" xr:uid="{00000000-0005-0000-0000-000035090000}"/>
    <cellStyle name="1_tree_총괄내역0518_수도권매립지_00-설계서,원가계산,내역서" xfId="2368" xr:uid="{00000000-0005-0000-0000-000036090000}"/>
    <cellStyle name="1_tree_총괄내역0518_수도권매립지_설계서-1" xfId="2369" xr:uid="{00000000-0005-0000-0000-000037090000}"/>
    <cellStyle name="1_tree_총괄내역0518_수도권매립지_설계서-1_00-설계서,원가계산,내역서" xfId="2370" xr:uid="{00000000-0005-0000-0000-000038090000}"/>
    <cellStyle name="1_tree_총괄내역0518_수도권매립지_진해자은수량산출서(단지내)" xfId="2371" xr:uid="{00000000-0005-0000-0000-000039090000}"/>
    <cellStyle name="1_tree_총괄내역0518_수도권매립지_진해자은수량산출서(단지내)_00-설계서,원가계산,내역서" xfId="2372" xr:uid="{00000000-0005-0000-0000-00003A090000}"/>
    <cellStyle name="1_tree_총괄내역0518_수도권매립지_진해자은수량산출서(단지내)_기초산출표-56-128-최종" xfId="2373" xr:uid="{00000000-0005-0000-0000-00003B090000}"/>
    <cellStyle name="1_tree_총괄내역0518_수도권매립지_진해자은수량산출서(단지내)_기초산출표-56-128-최종_00-설계서,원가계산,내역서" xfId="2374" xr:uid="{00000000-0005-0000-0000-00003C090000}"/>
    <cellStyle name="1_tree_총괄내역0518_수도권매립지_진해자은수량산출서(단지내)_기초산출표-56-128-최종_설계서-1" xfId="2375" xr:uid="{00000000-0005-0000-0000-00003D090000}"/>
    <cellStyle name="1_tree_총괄내역0518_수도권매립지_진해자은수량산출서(단지내)_기초산출표-56-128-최종_설계서-1_00-설계서,원가계산,내역서" xfId="2376" xr:uid="{00000000-0005-0000-0000-00003E090000}"/>
    <cellStyle name="1_tree_총괄내역0518_수도권매립지_진해자은수량산출서(단지내)_설계서-1" xfId="2377" xr:uid="{00000000-0005-0000-0000-00003F090000}"/>
    <cellStyle name="1_tree_총괄내역0518_수도권매립지_진해자은수량산출서(단지내)_설계서-1_00-설계서,원가계산,내역서" xfId="2378" xr:uid="{00000000-0005-0000-0000-000040090000}"/>
    <cellStyle name="1_tree_총괄내역0518_수도권매립지_진해자은수량산출서(단지내)_취합" xfId="2379" xr:uid="{00000000-0005-0000-0000-000041090000}"/>
    <cellStyle name="1_tree_총괄내역0518_수도권매립지_진해자은수량산출서(단지내)_취합_00-설계서,원가계산,내역서" xfId="2380" xr:uid="{00000000-0005-0000-0000-000042090000}"/>
    <cellStyle name="1_tree_총괄내역0518_수도권매립지_진해자은수량산출서(단지내)_취합_설계서-1" xfId="2381" xr:uid="{00000000-0005-0000-0000-000043090000}"/>
    <cellStyle name="1_tree_총괄내역0518_수도권매립지_진해자은수량산출서(단지내)_취합_설계서-1_00-설계서,원가계산,내역서" xfId="2382" xr:uid="{00000000-0005-0000-0000-000044090000}"/>
    <cellStyle name="1_tree_총괄내역0518_수도권매립지1004(발주용)" xfId="2383" xr:uid="{00000000-0005-0000-0000-000045090000}"/>
    <cellStyle name="1_tree_총괄내역0518_수도권매립지1004(발주용)_00-설계서,원가계산,내역서" xfId="2384" xr:uid="{00000000-0005-0000-0000-000046090000}"/>
    <cellStyle name="1_tree_총괄내역0518_수도권매립지1004(발주용)_설계서-1" xfId="2385" xr:uid="{00000000-0005-0000-0000-000047090000}"/>
    <cellStyle name="1_tree_총괄내역0518_수도권매립지1004(발주용)_설계서-1_00-설계서,원가계산,내역서" xfId="2386" xr:uid="{00000000-0005-0000-0000-000048090000}"/>
    <cellStyle name="1_tree_총괄내역0518_수도권매립지1004(발주용)_진해자은수량산출서(단지내)" xfId="2387" xr:uid="{00000000-0005-0000-0000-000049090000}"/>
    <cellStyle name="1_tree_총괄내역0518_수도권매립지1004(발주용)_진해자은수량산출서(단지내)_00-설계서,원가계산,내역서" xfId="2388" xr:uid="{00000000-0005-0000-0000-00004A090000}"/>
    <cellStyle name="1_tree_총괄내역0518_수도권매립지1004(발주용)_진해자은수량산출서(단지내)_기초산출표-56-128-최종" xfId="2389" xr:uid="{00000000-0005-0000-0000-00004B090000}"/>
    <cellStyle name="1_tree_총괄내역0518_수도권매립지1004(발주용)_진해자은수량산출서(단지내)_기초산출표-56-128-최종_00-설계서,원가계산,내역서" xfId="2390" xr:uid="{00000000-0005-0000-0000-00004C090000}"/>
    <cellStyle name="1_tree_총괄내역0518_수도권매립지1004(발주용)_진해자은수량산출서(단지내)_기초산출표-56-128-최종_설계서-1" xfId="2391" xr:uid="{00000000-0005-0000-0000-00004D090000}"/>
    <cellStyle name="1_tree_총괄내역0518_수도권매립지1004(발주용)_진해자은수량산출서(단지내)_기초산출표-56-128-최종_설계서-1_00-설계서,원가계산,내역서" xfId="2392" xr:uid="{00000000-0005-0000-0000-00004E090000}"/>
    <cellStyle name="1_tree_총괄내역0518_수도권매립지1004(발주용)_진해자은수량산출서(단지내)_설계서-1" xfId="2393" xr:uid="{00000000-0005-0000-0000-00004F090000}"/>
    <cellStyle name="1_tree_총괄내역0518_수도권매립지1004(발주용)_진해자은수량산출서(단지내)_설계서-1_00-설계서,원가계산,내역서" xfId="2394" xr:uid="{00000000-0005-0000-0000-000050090000}"/>
    <cellStyle name="1_tree_총괄내역0518_수도권매립지1004(발주용)_진해자은수량산출서(단지내)_취합" xfId="2395" xr:uid="{00000000-0005-0000-0000-000051090000}"/>
    <cellStyle name="1_tree_총괄내역0518_수도권매립지1004(발주용)_진해자은수량산출서(단지내)_취합_00-설계서,원가계산,내역서" xfId="2396" xr:uid="{00000000-0005-0000-0000-000052090000}"/>
    <cellStyle name="1_tree_총괄내역0518_수도권매립지1004(발주용)_진해자은수량산출서(단지내)_취합_설계서-1" xfId="2397" xr:uid="{00000000-0005-0000-0000-000053090000}"/>
    <cellStyle name="1_tree_총괄내역0518_수도권매립지1004(발주용)_진해자은수량산출서(단지내)_취합_설계서-1_00-설계서,원가계산,내역서" xfId="2398" xr:uid="{00000000-0005-0000-0000-000054090000}"/>
    <cellStyle name="1_tree_총괄내역0518_일신건영설계예산서(0211)" xfId="2399" xr:uid="{00000000-0005-0000-0000-000055090000}"/>
    <cellStyle name="1_tree_총괄내역0518_일신건영설계예산서(0211)_00-설계서,원가계산,내역서" xfId="2400" xr:uid="{00000000-0005-0000-0000-000056090000}"/>
    <cellStyle name="1_tree_총괄내역0518_일신건영설계예산서(0211)_설계서-1" xfId="2401" xr:uid="{00000000-0005-0000-0000-000057090000}"/>
    <cellStyle name="1_tree_총괄내역0518_일신건영설계예산서(0211)_설계서-1_00-설계서,원가계산,내역서" xfId="2402" xr:uid="{00000000-0005-0000-0000-000058090000}"/>
    <cellStyle name="1_tree_총괄내역0518_일신건영설계예산서(0211)_진해자은수량산출서(단지내)" xfId="2403" xr:uid="{00000000-0005-0000-0000-000059090000}"/>
    <cellStyle name="1_tree_총괄내역0518_일신건영설계예산서(0211)_진해자은수량산출서(단지내)_00-설계서,원가계산,내역서" xfId="2404" xr:uid="{00000000-0005-0000-0000-00005A090000}"/>
    <cellStyle name="1_tree_총괄내역0518_일신건영설계예산서(0211)_진해자은수량산출서(단지내)_기초산출표-56-128-최종" xfId="2405" xr:uid="{00000000-0005-0000-0000-00005B090000}"/>
    <cellStyle name="1_tree_총괄내역0518_일신건영설계예산서(0211)_진해자은수량산출서(단지내)_기초산출표-56-128-최종_00-설계서,원가계산,내역서" xfId="2406" xr:uid="{00000000-0005-0000-0000-00005C090000}"/>
    <cellStyle name="1_tree_총괄내역0518_일신건영설계예산서(0211)_진해자은수량산출서(단지내)_기초산출표-56-128-최종_설계서-1" xfId="2407" xr:uid="{00000000-0005-0000-0000-00005D090000}"/>
    <cellStyle name="1_tree_총괄내역0518_일신건영설계예산서(0211)_진해자은수량산출서(단지내)_기초산출표-56-128-최종_설계서-1_00-설계서,원가계산,내역서" xfId="2408" xr:uid="{00000000-0005-0000-0000-00005E090000}"/>
    <cellStyle name="1_tree_총괄내역0518_일신건영설계예산서(0211)_진해자은수량산출서(단지내)_설계서-1" xfId="2409" xr:uid="{00000000-0005-0000-0000-00005F090000}"/>
    <cellStyle name="1_tree_총괄내역0518_일신건영설계예산서(0211)_진해자은수량산출서(단지내)_설계서-1_00-설계서,원가계산,내역서" xfId="2410" xr:uid="{00000000-0005-0000-0000-000060090000}"/>
    <cellStyle name="1_tree_총괄내역0518_일신건영설계예산서(0211)_진해자은수량산출서(단지내)_취합" xfId="2411" xr:uid="{00000000-0005-0000-0000-000061090000}"/>
    <cellStyle name="1_tree_총괄내역0518_일신건영설계예산서(0211)_진해자은수량산출서(단지내)_취합_00-설계서,원가계산,내역서" xfId="2412" xr:uid="{00000000-0005-0000-0000-000062090000}"/>
    <cellStyle name="1_tree_총괄내역0518_일신건영설계예산서(0211)_진해자은수량산출서(단지내)_취합_설계서-1" xfId="2413" xr:uid="{00000000-0005-0000-0000-000063090000}"/>
    <cellStyle name="1_tree_총괄내역0518_일신건영설계예산서(0211)_진해자은수량산출서(단지내)_취합_설계서-1_00-설계서,원가계산,내역서" xfId="2414" xr:uid="{00000000-0005-0000-0000-000064090000}"/>
    <cellStyle name="1_tree_총괄내역0518_일위대가" xfId="2415" xr:uid="{00000000-0005-0000-0000-000065090000}"/>
    <cellStyle name="1_tree_총괄내역0518_일위대가_00-설계서,원가계산,내역서" xfId="2416" xr:uid="{00000000-0005-0000-0000-000066090000}"/>
    <cellStyle name="1_tree_총괄내역0518_일위대가_설계서-1" xfId="2417" xr:uid="{00000000-0005-0000-0000-000067090000}"/>
    <cellStyle name="1_tree_총괄내역0518_일위대가_설계서-1_00-설계서,원가계산,내역서" xfId="2418" xr:uid="{00000000-0005-0000-0000-000068090000}"/>
    <cellStyle name="1_tree_총괄내역0518_일위대가_진해자은수량산출서(단지내)" xfId="2419" xr:uid="{00000000-0005-0000-0000-000069090000}"/>
    <cellStyle name="1_tree_총괄내역0518_일위대가_진해자은수량산출서(단지내)_00-설계서,원가계산,내역서" xfId="2420" xr:uid="{00000000-0005-0000-0000-00006A090000}"/>
    <cellStyle name="1_tree_총괄내역0518_일위대가_진해자은수량산출서(단지내)_기초산출표-56-128-최종" xfId="2421" xr:uid="{00000000-0005-0000-0000-00006B090000}"/>
    <cellStyle name="1_tree_총괄내역0518_일위대가_진해자은수량산출서(단지내)_기초산출표-56-128-최종_00-설계서,원가계산,내역서" xfId="2422" xr:uid="{00000000-0005-0000-0000-00006C090000}"/>
    <cellStyle name="1_tree_총괄내역0518_일위대가_진해자은수량산출서(단지내)_기초산출표-56-128-최종_설계서-1" xfId="2423" xr:uid="{00000000-0005-0000-0000-00006D090000}"/>
    <cellStyle name="1_tree_총괄내역0518_일위대가_진해자은수량산출서(단지내)_기초산출표-56-128-최종_설계서-1_00-설계서,원가계산,내역서" xfId="2424" xr:uid="{00000000-0005-0000-0000-00006E090000}"/>
    <cellStyle name="1_tree_총괄내역0518_일위대가_진해자은수량산출서(단지내)_설계서-1" xfId="2425" xr:uid="{00000000-0005-0000-0000-00006F090000}"/>
    <cellStyle name="1_tree_총괄내역0518_일위대가_진해자은수량산출서(단지내)_설계서-1_00-설계서,원가계산,내역서" xfId="2426" xr:uid="{00000000-0005-0000-0000-000070090000}"/>
    <cellStyle name="1_tree_총괄내역0518_일위대가_진해자은수량산출서(단지내)_취합" xfId="2427" xr:uid="{00000000-0005-0000-0000-000071090000}"/>
    <cellStyle name="1_tree_총괄내역0518_일위대가_진해자은수량산출서(단지내)_취합_00-설계서,원가계산,내역서" xfId="2428" xr:uid="{00000000-0005-0000-0000-000072090000}"/>
    <cellStyle name="1_tree_총괄내역0518_일위대가_진해자은수량산출서(단지내)_취합_설계서-1" xfId="2429" xr:uid="{00000000-0005-0000-0000-000073090000}"/>
    <cellStyle name="1_tree_총괄내역0518_일위대가_진해자은수량산출서(단지내)_취합_설계서-1_00-설계서,원가계산,내역서" xfId="2430" xr:uid="{00000000-0005-0000-0000-000074090000}"/>
    <cellStyle name="1_tree_총괄내역0518_자재단가표" xfId="2431" xr:uid="{00000000-0005-0000-0000-000075090000}"/>
    <cellStyle name="1_tree_총괄내역0518_자재단가표_00-설계서,원가계산,내역서" xfId="2432" xr:uid="{00000000-0005-0000-0000-000076090000}"/>
    <cellStyle name="1_tree_총괄내역0518_자재단가표_설계서-1" xfId="2433" xr:uid="{00000000-0005-0000-0000-000077090000}"/>
    <cellStyle name="1_tree_총괄내역0518_자재단가표_설계서-1_00-설계서,원가계산,내역서" xfId="2434" xr:uid="{00000000-0005-0000-0000-000078090000}"/>
    <cellStyle name="1_tree_총괄내역0518_자재단가표_진해자은수량산출서(단지내)" xfId="2435" xr:uid="{00000000-0005-0000-0000-000079090000}"/>
    <cellStyle name="1_tree_총괄내역0518_자재단가표_진해자은수량산출서(단지내)_00-설계서,원가계산,내역서" xfId="2436" xr:uid="{00000000-0005-0000-0000-00007A090000}"/>
    <cellStyle name="1_tree_총괄내역0518_자재단가표_진해자은수량산출서(단지내)_기초산출표-56-128-최종" xfId="2437" xr:uid="{00000000-0005-0000-0000-00007B090000}"/>
    <cellStyle name="1_tree_총괄내역0518_자재단가표_진해자은수량산출서(단지내)_기초산출표-56-128-최종_00-설계서,원가계산,내역서" xfId="2438" xr:uid="{00000000-0005-0000-0000-00007C090000}"/>
    <cellStyle name="1_tree_총괄내역0518_자재단가표_진해자은수량산출서(단지내)_기초산출표-56-128-최종_설계서-1" xfId="2439" xr:uid="{00000000-0005-0000-0000-00007D090000}"/>
    <cellStyle name="1_tree_총괄내역0518_자재단가표_진해자은수량산출서(단지내)_기초산출표-56-128-최종_설계서-1_00-설계서,원가계산,내역서" xfId="2440" xr:uid="{00000000-0005-0000-0000-00007E090000}"/>
    <cellStyle name="1_tree_총괄내역0518_자재단가표_진해자은수량산출서(단지내)_설계서-1" xfId="2441" xr:uid="{00000000-0005-0000-0000-00007F090000}"/>
    <cellStyle name="1_tree_총괄내역0518_자재단가표_진해자은수량산출서(단지내)_설계서-1_00-설계서,원가계산,내역서" xfId="2442" xr:uid="{00000000-0005-0000-0000-000080090000}"/>
    <cellStyle name="1_tree_총괄내역0518_자재단가표_진해자은수량산출서(단지내)_취합" xfId="2443" xr:uid="{00000000-0005-0000-0000-000081090000}"/>
    <cellStyle name="1_tree_총괄내역0518_자재단가표_진해자은수량산출서(단지내)_취합_00-설계서,원가계산,내역서" xfId="2444" xr:uid="{00000000-0005-0000-0000-000082090000}"/>
    <cellStyle name="1_tree_총괄내역0518_자재단가표_진해자은수량산출서(단지내)_취합_설계서-1" xfId="2445" xr:uid="{00000000-0005-0000-0000-000083090000}"/>
    <cellStyle name="1_tree_총괄내역0518_자재단가표_진해자은수량산출서(단지내)_취합_설계서-1_00-설계서,원가계산,내역서" xfId="2446" xr:uid="{00000000-0005-0000-0000-000084090000}"/>
    <cellStyle name="1_tree_총괄내역0518_장안초등학교내역0814" xfId="2447" xr:uid="{00000000-0005-0000-0000-000085090000}"/>
    <cellStyle name="1_tree_총괄내역0518_장안초등학교내역0814_00-설계서,원가계산,내역서" xfId="2448" xr:uid="{00000000-0005-0000-0000-000086090000}"/>
    <cellStyle name="1_tree_총괄내역0518_장안초등학교내역0814_설계서-1" xfId="2449" xr:uid="{00000000-0005-0000-0000-000087090000}"/>
    <cellStyle name="1_tree_총괄내역0518_장안초등학교내역0814_설계서-1_00-설계서,원가계산,내역서" xfId="2450" xr:uid="{00000000-0005-0000-0000-000088090000}"/>
    <cellStyle name="1_tree_총괄내역0518_장안초등학교내역0814_진해자은수량산출서(단지내)" xfId="2451" xr:uid="{00000000-0005-0000-0000-000089090000}"/>
    <cellStyle name="1_tree_총괄내역0518_장안초등학교내역0814_진해자은수량산출서(단지내)_00-설계서,원가계산,내역서" xfId="2452" xr:uid="{00000000-0005-0000-0000-00008A090000}"/>
    <cellStyle name="1_tree_총괄내역0518_장안초등학교내역0814_진해자은수량산출서(단지내)_기초산출표-56-128-최종" xfId="2453" xr:uid="{00000000-0005-0000-0000-00008B090000}"/>
    <cellStyle name="1_tree_총괄내역0518_장안초등학교내역0814_진해자은수량산출서(단지내)_기초산출표-56-128-최종_00-설계서,원가계산,내역서" xfId="2454" xr:uid="{00000000-0005-0000-0000-00008C090000}"/>
    <cellStyle name="1_tree_총괄내역0518_장안초등학교내역0814_진해자은수량산출서(단지내)_기초산출표-56-128-최종_설계서-1" xfId="2455" xr:uid="{00000000-0005-0000-0000-00008D090000}"/>
    <cellStyle name="1_tree_총괄내역0518_장안초등학교내역0814_진해자은수량산출서(단지내)_기초산출표-56-128-최종_설계서-1_00-설계서,원가계산,내역서" xfId="2456" xr:uid="{00000000-0005-0000-0000-00008E090000}"/>
    <cellStyle name="1_tree_총괄내역0518_장안초등학교내역0814_진해자은수량산출서(단지내)_설계서-1" xfId="2457" xr:uid="{00000000-0005-0000-0000-00008F090000}"/>
    <cellStyle name="1_tree_총괄내역0518_장안초등학교내역0814_진해자은수량산출서(단지내)_설계서-1_00-설계서,원가계산,내역서" xfId="2458" xr:uid="{00000000-0005-0000-0000-000090090000}"/>
    <cellStyle name="1_tree_총괄내역0518_장안초등학교내역0814_진해자은수량산출서(단지내)_취합" xfId="2459" xr:uid="{00000000-0005-0000-0000-000091090000}"/>
    <cellStyle name="1_tree_총괄내역0518_장안초등학교내역0814_진해자은수량산출서(단지내)_취합_00-설계서,원가계산,내역서" xfId="2460" xr:uid="{00000000-0005-0000-0000-000092090000}"/>
    <cellStyle name="1_tree_총괄내역0518_장안초등학교내역0814_진해자은수량산출서(단지내)_취합_설계서-1" xfId="2461" xr:uid="{00000000-0005-0000-0000-000093090000}"/>
    <cellStyle name="1_tree_총괄내역0518_장안초등학교내역0814_진해자은수량산출서(단지내)_취합_설계서-1_00-설계서,원가계산,내역서" xfId="2462" xr:uid="{00000000-0005-0000-0000-000094090000}"/>
    <cellStyle name="1_tree_총괄내역0518_진해자은수량산출서(단지내)" xfId="2463" xr:uid="{00000000-0005-0000-0000-000095090000}"/>
    <cellStyle name="1_tree_총괄내역0518_진해자은수량산출서(단지내)_00-설계서,원가계산,내역서" xfId="2464" xr:uid="{00000000-0005-0000-0000-000096090000}"/>
    <cellStyle name="1_tree_총괄내역0518_진해자은수량산출서(단지내)_기초산출표-56-128-최종" xfId="2465" xr:uid="{00000000-0005-0000-0000-000097090000}"/>
    <cellStyle name="1_tree_총괄내역0518_진해자은수량산출서(단지내)_기초산출표-56-128-최종_00-설계서,원가계산,내역서" xfId="2466" xr:uid="{00000000-0005-0000-0000-000098090000}"/>
    <cellStyle name="1_tree_총괄내역0518_진해자은수량산출서(단지내)_기초산출표-56-128-최종_설계서-1" xfId="2467" xr:uid="{00000000-0005-0000-0000-000099090000}"/>
    <cellStyle name="1_tree_총괄내역0518_진해자은수량산출서(단지내)_기초산출표-56-128-최종_설계서-1_00-설계서,원가계산,내역서" xfId="2468" xr:uid="{00000000-0005-0000-0000-00009A090000}"/>
    <cellStyle name="1_tree_총괄내역0518_진해자은수량산출서(단지내)_설계서-1" xfId="2469" xr:uid="{00000000-0005-0000-0000-00009B090000}"/>
    <cellStyle name="1_tree_총괄내역0518_진해자은수량산출서(단지내)_설계서-1_00-설계서,원가계산,내역서" xfId="2470" xr:uid="{00000000-0005-0000-0000-00009C090000}"/>
    <cellStyle name="1_tree_총괄내역0518_진해자은수량산출서(단지내)_취합" xfId="2471" xr:uid="{00000000-0005-0000-0000-00009D090000}"/>
    <cellStyle name="1_tree_총괄내역0518_진해자은수량산출서(단지내)_취합_00-설계서,원가계산,내역서" xfId="2472" xr:uid="{00000000-0005-0000-0000-00009E090000}"/>
    <cellStyle name="1_tree_총괄내역0518_진해자은수량산출서(단지내)_취합_설계서-1" xfId="2473" xr:uid="{00000000-0005-0000-0000-00009F090000}"/>
    <cellStyle name="1_tree_총괄내역0518_진해자은수량산출서(단지내)_취합_설계서-1_00-설계서,원가계산,내역서" xfId="2474" xr:uid="{00000000-0005-0000-0000-0000A0090000}"/>
    <cellStyle name="1_tree_현충묘지-예산서(조경)" xfId="2475" xr:uid="{00000000-0005-0000-0000-0000A1090000}"/>
    <cellStyle name="1_tree_현충묘지-예산서(조경)_00-설계서,원가계산,내역서" xfId="2476" xr:uid="{00000000-0005-0000-0000-0000A2090000}"/>
    <cellStyle name="1_tree_현충묘지-예산서(조경)_목동내역" xfId="2477" xr:uid="{00000000-0005-0000-0000-0000A3090000}"/>
    <cellStyle name="1_tree_현충묘지-예산서(조경)_목동내역_00-설계서,원가계산,내역서" xfId="2478" xr:uid="{00000000-0005-0000-0000-0000A4090000}"/>
    <cellStyle name="1_tree_현충묘지-예산서(조경)_목동내역_폐기물집계" xfId="2479" xr:uid="{00000000-0005-0000-0000-0000A5090000}"/>
    <cellStyle name="1_tree_현충묘지-예산서(조경)_목동내역_폐기물집계_00-설계서,원가계산,내역서" xfId="2480" xr:uid="{00000000-0005-0000-0000-0000A6090000}"/>
    <cellStyle name="1_tree_현충묘지-예산서(조경)_예산서-엑셀변환양식100" xfId="2481" xr:uid="{00000000-0005-0000-0000-0000A7090000}"/>
    <cellStyle name="1_tree_현충묘지-예산서(조경)_예산서-엑셀변환양식100_00-설계서,원가계산,내역서" xfId="2482" xr:uid="{00000000-0005-0000-0000-0000A8090000}"/>
    <cellStyle name="1_tree_현충묘지-예산서(조경)_예산서-엑셀변환양식100_목동내역" xfId="2483" xr:uid="{00000000-0005-0000-0000-0000A9090000}"/>
    <cellStyle name="1_tree_현충묘지-예산서(조경)_예산서-엑셀변환양식100_목동내역_00-설계서,원가계산,내역서" xfId="2484" xr:uid="{00000000-0005-0000-0000-0000AA090000}"/>
    <cellStyle name="1_tree_현충묘지-예산서(조경)_예산서-엑셀변환양식100_목동내역_폐기물집계" xfId="2485" xr:uid="{00000000-0005-0000-0000-0000AB090000}"/>
    <cellStyle name="1_tree_현충묘지-예산서(조경)_예산서-엑셀변환양식100_목동내역_폐기물집계_00-설계서,원가계산,내역서" xfId="2486" xr:uid="{00000000-0005-0000-0000-0000AC090000}"/>
    <cellStyle name="11" xfId="2604" xr:uid="{00000000-0005-0000-0000-0000220A0000}"/>
    <cellStyle name="111" xfId="2605" xr:uid="{00000000-0005-0000-0000-0000230A0000}"/>
    <cellStyle name="2" xfId="2606" xr:uid="{00000000-0005-0000-0000-0000240A0000}"/>
    <cellStyle name="2_단가조사표" xfId="2610" xr:uid="{00000000-0005-0000-0000-0000280A0000}"/>
    <cellStyle name="2_단가조사표_1011소각" xfId="2611" xr:uid="{00000000-0005-0000-0000-0000290A0000}"/>
    <cellStyle name="2_단가조사표_1113교~1" xfId="2612" xr:uid="{00000000-0005-0000-0000-00002A0A0000}"/>
    <cellStyle name="2_단가조사표_121내역" xfId="2613" xr:uid="{00000000-0005-0000-0000-00002B0A0000}"/>
    <cellStyle name="2_단가조사표_객토량" xfId="2614" xr:uid="{00000000-0005-0000-0000-00002C0A0000}"/>
    <cellStyle name="2_단가조사표_교통센~1" xfId="2615" xr:uid="{00000000-0005-0000-0000-00002D0A0000}"/>
    <cellStyle name="2_단가조사표_교통센터412" xfId="2616" xr:uid="{00000000-0005-0000-0000-00002E0A0000}"/>
    <cellStyle name="2_단가조사표_교통수" xfId="2617" xr:uid="{00000000-0005-0000-0000-00002F0A0000}"/>
    <cellStyle name="2_단가조사표_교통수량산출서" xfId="2618" xr:uid="{00000000-0005-0000-0000-0000300A0000}"/>
    <cellStyle name="2_단가조사표_구조물대가 (2)" xfId="2619" xr:uid="{00000000-0005-0000-0000-0000310A0000}"/>
    <cellStyle name="2_단가조사표_내역서 (2)" xfId="2620" xr:uid="{00000000-0005-0000-0000-0000320A0000}"/>
    <cellStyle name="2_단가조사표_대전관저지구" xfId="2621" xr:uid="{00000000-0005-0000-0000-0000330A0000}"/>
    <cellStyle name="2_단가조사표_동측지~1" xfId="2622" xr:uid="{00000000-0005-0000-0000-0000340A0000}"/>
    <cellStyle name="2_단가조사표_동측지원422" xfId="2623" xr:uid="{00000000-0005-0000-0000-0000350A0000}"/>
    <cellStyle name="2_단가조사표_동측지원512" xfId="2624" xr:uid="{00000000-0005-0000-0000-0000360A0000}"/>
    <cellStyle name="2_단가조사표_동측지원524" xfId="2625" xr:uid="{00000000-0005-0000-0000-0000370A0000}"/>
    <cellStyle name="2_단가조사표_부대422" xfId="2626" xr:uid="{00000000-0005-0000-0000-0000380A0000}"/>
    <cellStyle name="2_단가조사표_부대시설" xfId="2627" xr:uid="{00000000-0005-0000-0000-0000390A0000}"/>
    <cellStyle name="2_단가조사표_소각수~1" xfId="2628" xr:uid="{00000000-0005-0000-0000-00003A0A0000}"/>
    <cellStyle name="2_단가조사표_소각수내역서" xfId="2629" xr:uid="{00000000-0005-0000-0000-00003B0A0000}"/>
    <cellStyle name="2_단가조사표_소각수목2" xfId="2630" xr:uid="{00000000-0005-0000-0000-00003C0A0000}"/>
    <cellStyle name="2_단가조사표_수량산출서 (2)" xfId="2631" xr:uid="{00000000-0005-0000-0000-00003D0A0000}"/>
    <cellStyle name="2_단가조사표_엑스포~1" xfId="2632" xr:uid="{00000000-0005-0000-0000-00003E0A0000}"/>
    <cellStyle name="2_단가조사표_엑스포한빛1" xfId="2633" xr:uid="{00000000-0005-0000-0000-00003F0A0000}"/>
    <cellStyle name="2_단가조사표_여객터미널331" xfId="2634" xr:uid="{00000000-0005-0000-0000-0000400A0000}"/>
    <cellStyle name="2_단가조사표_여객터미널513" xfId="2635" xr:uid="{00000000-0005-0000-0000-0000410A0000}"/>
    <cellStyle name="2_단가조사표_여객터미널629" xfId="2636" xr:uid="{00000000-0005-0000-0000-0000420A0000}"/>
    <cellStyle name="2_단가조사표_외곽도로616" xfId="2637" xr:uid="{00000000-0005-0000-0000-0000430A0000}"/>
    <cellStyle name="2_단가조사표_원가계~1" xfId="2638" xr:uid="{00000000-0005-0000-0000-0000440A0000}"/>
    <cellStyle name="2_단가조사표_유기질" xfId="2639" xr:uid="{00000000-0005-0000-0000-0000450A0000}"/>
    <cellStyle name="2_단가조사표_자재조서 (2)" xfId="2640" xr:uid="{00000000-0005-0000-0000-0000460A0000}"/>
    <cellStyle name="2_단가조사표_총괄내역" xfId="2641" xr:uid="{00000000-0005-0000-0000-0000470A0000}"/>
    <cellStyle name="2_단가조사표_총괄내역 (2)" xfId="2642" xr:uid="{00000000-0005-0000-0000-0000480A0000}"/>
    <cellStyle name="2_단가조사표_터미널도로403" xfId="2643" xr:uid="{00000000-0005-0000-0000-0000490A0000}"/>
    <cellStyle name="2_단가조사표_터미널도로429" xfId="2644" xr:uid="{00000000-0005-0000-0000-00004A0A0000}"/>
    <cellStyle name="2_단가조사표_포장일위" xfId="2645" xr:uid="{00000000-0005-0000-0000-00004B0A0000}"/>
    <cellStyle name="2_laroux" xfId="2608" xr:uid="{00000000-0005-0000-0000-0000260A0000}"/>
    <cellStyle name="2_laroux_ATC-YOON1" xfId="2609" xr:uid="{00000000-0005-0000-0000-0000270A0000}"/>
    <cellStyle name="2)" xfId="2607" xr:uid="{00000000-0005-0000-0000-0000250A0000}"/>
    <cellStyle name="20% - 강조색1 2" xfId="8" xr:uid="{00000000-0005-0000-0000-00004C0A0000}"/>
    <cellStyle name="2자리" xfId="2646" xr:uid="{00000000-0005-0000-0000-00004D0A0000}"/>
    <cellStyle name="가운데" xfId="2760" xr:uid="{00000000-0005-0000-0000-0000C20A0000}"/>
    <cellStyle name="고정소숫점" xfId="2761" xr:uid="{00000000-0005-0000-0000-0000C30A0000}"/>
    <cellStyle name="고정출력1" xfId="2762" xr:uid="{00000000-0005-0000-0000-0000C40A0000}"/>
    <cellStyle name="고정출력2" xfId="2763" xr:uid="{00000000-0005-0000-0000-0000C50A0000}"/>
    <cellStyle name="공사원가계산서(조경)" xfId="2764" xr:uid="{00000000-0005-0000-0000-0000C60A0000}"/>
    <cellStyle name="공종" xfId="2765" xr:uid="{00000000-0005-0000-0000-0000C70A0000}"/>
    <cellStyle name="괘선" xfId="2766" xr:uid="{00000000-0005-0000-0000-0000C80A0000}"/>
    <cellStyle name="괘선1" xfId="2767" xr:uid="{00000000-0005-0000-0000-0000C90A0000}"/>
    <cellStyle name="기계" xfId="2768" xr:uid="{00000000-0005-0000-0000-0000CA0A0000}"/>
    <cellStyle name="기본숫자" xfId="2769" xr:uid="{00000000-0005-0000-0000-0000CB0A0000}"/>
    <cellStyle name="날짜" xfId="2770" xr:uid="{00000000-0005-0000-0000-0000CC0A0000}"/>
    <cellStyle name="내역서" xfId="2771" xr:uid="{00000000-0005-0000-0000-0000CD0A0000}"/>
    <cellStyle name="네모제목" xfId="2772" xr:uid="{00000000-0005-0000-0000-0000CE0A0000}"/>
    <cellStyle name="달러" xfId="2773" xr:uid="{00000000-0005-0000-0000-0000CF0A0000}"/>
    <cellStyle name="뒤에 오는 하이퍼링크" xfId="2774" xr:uid="{00000000-0005-0000-0000-0000D00A0000}"/>
    <cellStyle name="똿뗦먛귟 [0.00]_laroux" xfId="2775" xr:uid="{00000000-0005-0000-0000-0000D10A0000}"/>
    <cellStyle name="똿뗦먛귟_laroux" xfId="2776" xr:uid="{00000000-0005-0000-0000-0000D20A0000}"/>
    <cellStyle name="마이너스키" xfId="2777" xr:uid="{00000000-0005-0000-0000-0000D30A0000}"/>
    <cellStyle name="믅됞 [0.00]_laroux" xfId="2778" xr:uid="{00000000-0005-0000-0000-0000D40A0000}"/>
    <cellStyle name="믅됞_laroux" xfId="2779" xr:uid="{00000000-0005-0000-0000-0000D50A0000}"/>
    <cellStyle name="배분" xfId="2780" xr:uid="{00000000-0005-0000-0000-0000D60A0000}"/>
    <cellStyle name="백" xfId="2781" xr:uid="{00000000-0005-0000-0000-0000D70A0000}"/>
    <cellStyle name="백_22수량산출서(총괄)" xfId="2783" xr:uid="{00000000-0005-0000-0000-0000D90A0000}"/>
    <cellStyle name="백_22bl3lot수량산출" xfId="2782" xr:uid="{00000000-0005-0000-0000-0000D80A0000}"/>
    <cellStyle name="백분율 [△1]" xfId="2784" xr:uid="{00000000-0005-0000-0000-0000DA0A0000}"/>
    <cellStyle name="백분율 [△2]" xfId="2785" xr:uid="{00000000-0005-0000-0000-0000DB0A0000}"/>
    <cellStyle name="백분율 [0]" xfId="2786" xr:uid="{00000000-0005-0000-0000-0000DC0A0000}"/>
    <cellStyle name="백분율 [2]" xfId="2787" xr:uid="{00000000-0005-0000-0000-0000DD0A0000}"/>
    <cellStyle name="백분율［△1］" xfId="2788" xr:uid="{00000000-0005-0000-0000-0000DE0A0000}"/>
    <cellStyle name="백분율［△2］" xfId="2789" xr:uid="{00000000-0005-0000-0000-0000DF0A0000}"/>
    <cellStyle name="병합 후 가운데 맞춤" xfId="2790" xr:uid="{00000000-0005-0000-0000-0000E00A0000}"/>
    <cellStyle name="병합 후 가운데 정열" xfId="2791" xr:uid="{00000000-0005-0000-0000-0000E10A0000}"/>
    <cellStyle name="분수" xfId="2792" xr:uid="{00000000-0005-0000-0000-0000E20A0000}"/>
    <cellStyle name="뷭?" xfId="2793" xr:uid="{00000000-0005-0000-0000-0000E30A0000}"/>
    <cellStyle name="빨간색" xfId="2794" xr:uid="{00000000-0005-0000-0000-0000E40A0000}"/>
    <cellStyle name="선택영역의 가운데로" xfId="2795" xr:uid="{00000000-0005-0000-0000-0000E50A0000}"/>
    <cellStyle name="설계서" xfId="2796" xr:uid="{00000000-0005-0000-0000-0000E60A0000}"/>
    <cellStyle name="수량1" xfId="2797" xr:uid="{00000000-0005-0000-0000-0000E70A0000}"/>
    <cellStyle name="수목명" xfId="2798" xr:uid="{00000000-0005-0000-0000-0000E80A0000}"/>
    <cellStyle name="숫자(R)" xfId="2799" xr:uid="{00000000-0005-0000-0000-0000E90A0000}"/>
    <cellStyle name="쉼표 [0] 2" xfId="7" xr:uid="{00000000-0005-0000-0000-0000EA0A0000}"/>
    <cellStyle name="쉼표 [0] 2 2" xfId="2800" xr:uid="{00000000-0005-0000-0000-0000EB0A0000}"/>
    <cellStyle name="쉼표 [0] 2 3" xfId="2801" xr:uid="{00000000-0005-0000-0000-0000EC0A0000}"/>
    <cellStyle name="쉼표 [0] 3" xfId="2802" xr:uid="{00000000-0005-0000-0000-0000ED0A0000}"/>
    <cellStyle name="쉼표 [0] 3 2" xfId="2803" xr:uid="{00000000-0005-0000-0000-0000EE0A0000}"/>
    <cellStyle name="쉼표 [0] 3 3" xfId="2804" xr:uid="{00000000-0005-0000-0000-0000EF0A0000}"/>
    <cellStyle name="쉼표 [0] 4" xfId="2805" xr:uid="{00000000-0005-0000-0000-0000F00A0000}"/>
    <cellStyle name="쉼표 [0] 5" xfId="4" xr:uid="{00000000-0005-0000-0000-0000F10A0000}"/>
    <cellStyle name="스타일 1" xfId="2806" xr:uid="{00000000-0005-0000-0000-0000F20A0000}"/>
    <cellStyle name="스타일 1 2" xfId="2807" xr:uid="{00000000-0005-0000-0000-0000F30A0000}"/>
    <cellStyle name="스타일 10" xfId="2808" xr:uid="{00000000-0005-0000-0000-0000F40A0000}"/>
    <cellStyle name="스타일 100" xfId="2809" xr:uid="{00000000-0005-0000-0000-0000F50A0000}"/>
    <cellStyle name="스타일 101" xfId="2810" xr:uid="{00000000-0005-0000-0000-0000F60A0000}"/>
    <cellStyle name="스타일 102" xfId="2811" xr:uid="{00000000-0005-0000-0000-0000F70A0000}"/>
    <cellStyle name="스타일 103" xfId="2812" xr:uid="{00000000-0005-0000-0000-0000F80A0000}"/>
    <cellStyle name="스타일 104" xfId="2813" xr:uid="{00000000-0005-0000-0000-0000F90A0000}"/>
    <cellStyle name="스타일 105" xfId="2814" xr:uid="{00000000-0005-0000-0000-0000FA0A0000}"/>
    <cellStyle name="스타일 106" xfId="2815" xr:uid="{00000000-0005-0000-0000-0000FB0A0000}"/>
    <cellStyle name="스타일 107" xfId="2816" xr:uid="{00000000-0005-0000-0000-0000FC0A0000}"/>
    <cellStyle name="스타일 108" xfId="2817" xr:uid="{00000000-0005-0000-0000-0000FD0A0000}"/>
    <cellStyle name="스타일 109" xfId="2818" xr:uid="{00000000-0005-0000-0000-0000FE0A0000}"/>
    <cellStyle name="스타일 11" xfId="2819" xr:uid="{00000000-0005-0000-0000-0000FF0A0000}"/>
    <cellStyle name="스타일 110" xfId="2820" xr:uid="{00000000-0005-0000-0000-0000000B0000}"/>
    <cellStyle name="스타일 111" xfId="2821" xr:uid="{00000000-0005-0000-0000-0000010B0000}"/>
    <cellStyle name="스타일 112" xfId="2822" xr:uid="{00000000-0005-0000-0000-0000020B0000}"/>
    <cellStyle name="스타일 113" xfId="2823" xr:uid="{00000000-0005-0000-0000-0000030B0000}"/>
    <cellStyle name="스타일 114" xfId="2824" xr:uid="{00000000-0005-0000-0000-0000040B0000}"/>
    <cellStyle name="스타일 115" xfId="2825" xr:uid="{00000000-0005-0000-0000-0000050B0000}"/>
    <cellStyle name="스타일 116" xfId="2826" xr:uid="{00000000-0005-0000-0000-0000060B0000}"/>
    <cellStyle name="스타일 117" xfId="2827" xr:uid="{00000000-0005-0000-0000-0000070B0000}"/>
    <cellStyle name="스타일 118" xfId="2828" xr:uid="{00000000-0005-0000-0000-0000080B0000}"/>
    <cellStyle name="스타일 119" xfId="2829" xr:uid="{00000000-0005-0000-0000-0000090B0000}"/>
    <cellStyle name="스타일 12" xfId="2830" xr:uid="{00000000-0005-0000-0000-00000A0B0000}"/>
    <cellStyle name="스타일 120" xfId="2831" xr:uid="{00000000-0005-0000-0000-00000B0B0000}"/>
    <cellStyle name="스타일 121" xfId="2832" xr:uid="{00000000-0005-0000-0000-00000C0B0000}"/>
    <cellStyle name="스타일 122" xfId="2833" xr:uid="{00000000-0005-0000-0000-00000D0B0000}"/>
    <cellStyle name="스타일 123" xfId="2834" xr:uid="{00000000-0005-0000-0000-00000E0B0000}"/>
    <cellStyle name="스타일 124" xfId="2835" xr:uid="{00000000-0005-0000-0000-00000F0B0000}"/>
    <cellStyle name="스타일 125" xfId="2836" xr:uid="{00000000-0005-0000-0000-0000100B0000}"/>
    <cellStyle name="스타일 126" xfId="2837" xr:uid="{00000000-0005-0000-0000-0000110B0000}"/>
    <cellStyle name="스타일 127" xfId="2838" xr:uid="{00000000-0005-0000-0000-0000120B0000}"/>
    <cellStyle name="스타일 128" xfId="2839" xr:uid="{00000000-0005-0000-0000-0000130B0000}"/>
    <cellStyle name="스타일 129" xfId="2840" xr:uid="{00000000-0005-0000-0000-0000140B0000}"/>
    <cellStyle name="스타일 13" xfId="2841" xr:uid="{00000000-0005-0000-0000-0000150B0000}"/>
    <cellStyle name="스타일 130" xfId="2842" xr:uid="{00000000-0005-0000-0000-0000160B0000}"/>
    <cellStyle name="스타일 131" xfId="2843" xr:uid="{00000000-0005-0000-0000-0000170B0000}"/>
    <cellStyle name="스타일 132" xfId="2844" xr:uid="{00000000-0005-0000-0000-0000180B0000}"/>
    <cellStyle name="스타일 133" xfId="2845" xr:uid="{00000000-0005-0000-0000-0000190B0000}"/>
    <cellStyle name="스타일 134" xfId="2846" xr:uid="{00000000-0005-0000-0000-00001A0B0000}"/>
    <cellStyle name="스타일 135" xfId="2847" xr:uid="{00000000-0005-0000-0000-00001B0B0000}"/>
    <cellStyle name="스타일 136" xfId="2848" xr:uid="{00000000-0005-0000-0000-00001C0B0000}"/>
    <cellStyle name="스타일 137" xfId="2849" xr:uid="{00000000-0005-0000-0000-00001D0B0000}"/>
    <cellStyle name="스타일 138" xfId="2850" xr:uid="{00000000-0005-0000-0000-00001E0B0000}"/>
    <cellStyle name="스타일 139" xfId="2851" xr:uid="{00000000-0005-0000-0000-00001F0B0000}"/>
    <cellStyle name="스타일 14" xfId="2852" xr:uid="{00000000-0005-0000-0000-0000200B0000}"/>
    <cellStyle name="스타일 140" xfId="2853" xr:uid="{00000000-0005-0000-0000-0000210B0000}"/>
    <cellStyle name="스타일 141" xfId="2854" xr:uid="{00000000-0005-0000-0000-0000220B0000}"/>
    <cellStyle name="스타일 142" xfId="2855" xr:uid="{00000000-0005-0000-0000-0000230B0000}"/>
    <cellStyle name="스타일 143" xfId="2856" xr:uid="{00000000-0005-0000-0000-0000240B0000}"/>
    <cellStyle name="스타일 144" xfId="2857" xr:uid="{00000000-0005-0000-0000-0000250B0000}"/>
    <cellStyle name="스타일 145" xfId="2858" xr:uid="{00000000-0005-0000-0000-0000260B0000}"/>
    <cellStyle name="스타일 146" xfId="2859" xr:uid="{00000000-0005-0000-0000-0000270B0000}"/>
    <cellStyle name="스타일 147" xfId="2860" xr:uid="{00000000-0005-0000-0000-0000280B0000}"/>
    <cellStyle name="스타일 148" xfId="2861" xr:uid="{00000000-0005-0000-0000-0000290B0000}"/>
    <cellStyle name="스타일 149" xfId="2862" xr:uid="{00000000-0005-0000-0000-00002A0B0000}"/>
    <cellStyle name="스타일 15" xfId="2863" xr:uid="{00000000-0005-0000-0000-00002B0B0000}"/>
    <cellStyle name="스타일 150" xfId="2864" xr:uid="{00000000-0005-0000-0000-00002C0B0000}"/>
    <cellStyle name="스타일 151" xfId="2865" xr:uid="{00000000-0005-0000-0000-00002D0B0000}"/>
    <cellStyle name="스타일 152" xfId="2866" xr:uid="{00000000-0005-0000-0000-00002E0B0000}"/>
    <cellStyle name="스타일 153" xfId="2867" xr:uid="{00000000-0005-0000-0000-00002F0B0000}"/>
    <cellStyle name="스타일 154" xfId="2868" xr:uid="{00000000-0005-0000-0000-0000300B0000}"/>
    <cellStyle name="스타일 155" xfId="2869" xr:uid="{00000000-0005-0000-0000-0000310B0000}"/>
    <cellStyle name="스타일 156" xfId="2870" xr:uid="{00000000-0005-0000-0000-0000320B0000}"/>
    <cellStyle name="스타일 157" xfId="2871" xr:uid="{00000000-0005-0000-0000-0000330B0000}"/>
    <cellStyle name="스타일 158" xfId="2872" xr:uid="{00000000-0005-0000-0000-0000340B0000}"/>
    <cellStyle name="스타일 159" xfId="2873" xr:uid="{00000000-0005-0000-0000-0000350B0000}"/>
    <cellStyle name="스타일 16" xfId="2874" xr:uid="{00000000-0005-0000-0000-0000360B0000}"/>
    <cellStyle name="스타일 160" xfId="2875" xr:uid="{00000000-0005-0000-0000-0000370B0000}"/>
    <cellStyle name="스타일 161" xfId="2876" xr:uid="{00000000-0005-0000-0000-0000380B0000}"/>
    <cellStyle name="스타일 162" xfId="2877" xr:uid="{00000000-0005-0000-0000-0000390B0000}"/>
    <cellStyle name="스타일 163" xfId="2878" xr:uid="{00000000-0005-0000-0000-00003A0B0000}"/>
    <cellStyle name="스타일 164" xfId="2879" xr:uid="{00000000-0005-0000-0000-00003B0B0000}"/>
    <cellStyle name="스타일 165" xfId="2880" xr:uid="{00000000-0005-0000-0000-00003C0B0000}"/>
    <cellStyle name="스타일 166" xfId="2881" xr:uid="{00000000-0005-0000-0000-00003D0B0000}"/>
    <cellStyle name="스타일 167" xfId="2882" xr:uid="{00000000-0005-0000-0000-00003E0B0000}"/>
    <cellStyle name="스타일 168" xfId="2883" xr:uid="{00000000-0005-0000-0000-00003F0B0000}"/>
    <cellStyle name="스타일 169" xfId="2884" xr:uid="{00000000-0005-0000-0000-0000400B0000}"/>
    <cellStyle name="스타일 17" xfId="2885" xr:uid="{00000000-0005-0000-0000-0000410B0000}"/>
    <cellStyle name="스타일 170" xfId="2886" xr:uid="{00000000-0005-0000-0000-0000420B0000}"/>
    <cellStyle name="스타일 171" xfId="2887" xr:uid="{00000000-0005-0000-0000-0000430B0000}"/>
    <cellStyle name="스타일 172" xfId="2888" xr:uid="{00000000-0005-0000-0000-0000440B0000}"/>
    <cellStyle name="스타일 173" xfId="2889" xr:uid="{00000000-0005-0000-0000-0000450B0000}"/>
    <cellStyle name="스타일 174" xfId="2890" xr:uid="{00000000-0005-0000-0000-0000460B0000}"/>
    <cellStyle name="스타일 175" xfId="2891" xr:uid="{00000000-0005-0000-0000-0000470B0000}"/>
    <cellStyle name="스타일 176" xfId="2892" xr:uid="{00000000-0005-0000-0000-0000480B0000}"/>
    <cellStyle name="스타일 177" xfId="2893" xr:uid="{00000000-0005-0000-0000-0000490B0000}"/>
    <cellStyle name="스타일 178" xfId="2894" xr:uid="{00000000-0005-0000-0000-00004A0B0000}"/>
    <cellStyle name="스타일 179" xfId="2895" xr:uid="{00000000-0005-0000-0000-00004B0B0000}"/>
    <cellStyle name="스타일 18" xfId="2896" xr:uid="{00000000-0005-0000-0000-00004C0B0000}"/>
    <cellStyle name="스타일 180" xfId="2897" xr:uid="{00000000-0005-0000-0000-00004D0B0000}"/>
    <cellStyle name="스타일 181" xfId="2898" xr:uid="{00000000-0005-0000-0000-00004E0B0000}"/>
    <cellStyle name="스타일 182" xfId="2899" xr:uid="{00000000-0005-0000-0000-00004F0B0000}"/>
    <cellStyle name="스타일 183" xfId="2900" xr:uid="{00000000-0005-0000-0000-0000500B0000}"/>
    <cellStyle name="스타일 184" xfId="2901" xr:uid="{00000000-0005-0000-0000-0000510B0000}"/>
    <cellStyle name="스타일 185" xfId="2902" xr:uid="{00000000-0005-0000-0000-0000520B0000}"/>
    <cellStyle name="스타일 186" xfId="2903" xr:uid="{00000000-0005-0000-0000-0000530B0000}"/>
    <cellStyle name="스타일 187" xfId="2904" xr:uid="{00000000-0005-0000-0000-0000540B0000}"/>
    <cellStyle name="스타일 188" xfId="2905" xr:uid="{00000000-0005-0000-0000-0000550B0000}"/>
    <cellStyle name="스타일 189" xfId="2906" xr:uid="{00000000-0005-0000-0000-0000560B0000}"/>
    <cellStyle name="스타일 19" xfId="2907" xr:uid="{00000000-0005-0000-0000-0000570B0000}"/>
    <cellStyle name="스타일 190" xfId="2908" xr:uid="{00000000-0005-0000-0000-0000580B0000}"/>
    <cellStyle name="스타일 191" xfId="2909" xr:uid="{00000000-0005-0000-0000-0000590B0000}"/>
    <cellStyle name="스타일 192" xfId="2910" xr:uid="{00000000-0005-0000-0000-00005A0B0000}"/>
    <cellStyle name="스타일 193" xfId="2911" xr:uid="{00000000-0005-0000-0000-00005B0B0000}"/>
    <cellStyle name="스타일 194" xfId="2912" xr:uid="{00000000-0005-0000-0000-00005C0B0000}"/>
    <cellStyle name="스타일 195" xfId="2913" xr:uid="{00000000-0005-0000-0000-00005D0B0000}"/>
    <cellStyle name="스타일 196" xfId="2914" xr:uid="{00000000-0005-0000-0000-00005E0B0000}"/>
    <cellStyle name="스타일 197" xfId="2915" xr:uid="{00000000-0005-0000-0000-00005F0B0000}"/>
    <cellStyle name="스타일 198" xfId="2916" xr:uid="{00000000-0005-0000-0000-0000600B0000}"/>
    <cellStyle name="스타일 199" xfId="2917" xr:uid="{00000000-0005-0000-0000-0000610B0000}"/>
    <cellStyle name="스타일 2" xfId="2918" xr:uid="{00000000-0005-0000-0000-0000620B0000}"/>
    <cellStyle name="스타일 20" xfId="2919" xr:uid="{00000000-0005-0000-0000-0000630B0000}"/>
    <cellStyle name="스타일 200" xfId="2920" xr:uid="{00000000-0005-0000-0000-0000640B0000}"/>
    <cellStyle name="스타일 201" xfId="2921" xr:uid="{00000000-0005-0000-0000-0000650B0000}"/>
    <cellStyle name="스타일 202" xfId="2922" xr:uid="{00000000-0005-0000-0000-0000660B0000}"/>
    <cellStyle name="스타일 203" xfId="2923" xr:uid="{00000000-0005-0000-0000-0000670B0000}"/>
    <cellStyle name="스타일 204" xfId="2924" xr:uid="{00000000-0005-0000-0000-0000680B0000}"/>
    <cellStyle name="스타일 205" xfId="2925" xr:uid="{00000000-0005-0000-0000-0000690B0000}"/>
    <cellStyle name="스타일 206" xfId="2926" xr:uid="{00000000-0005-0000-0000-00006A0B0000}"/>
    <cellStyle name="스타일 207" xfId="2927" xr:uid="{00000000-0005-0000-0000-00006B0B0000}"/>
    <cellStyle name="스타일 208" xfId="2928" xr:uid="{00000000-0005-0000-0000-00006C0B0000}"/>
    <cellStyle name="스타일 209" xfId="2929" xr:uid="{00000000-0005-0000-0000-00006D0B0000}"/>
    <cellStyle name="스타일 21" xfId="2930" xr:uid="{00000000-0005-0000-0000-00006E0B0000}"/>
    <cellStyle name="스타일 210" xfId="2931" xr:uid="{00000000-0005-0000-0000-00006F0B0000}"/>
    <cellStyle name="스타일 211" xfId="2932" xr:uid="{00000000-0005-0000-0000-0000700B0000}"/>
    <cellStyle name="스타일 212" xfId="2933" xr:uid="{00000000-0005-0000-0000-0000710B0000}"/>
    <cellStyle name="스타일 213" xfId="2934" xr:uid="{00000000-0005-0000-0000-0000720B0000}"/>
    <cellStyle name="스타일 214" xfId="2935" xr:uid="{00000000-0005-0000-0000-0000730B0000}"/>
    <cellStyle name="스타일 215" xfId="2936" xr:uid="{00000000-0005-0000-0000-0000740B0000}"/>
    <cellStyle name="스타일 216" xfId="2937" xr:uid="{00000000-0005-0000-0000-0000750B0000}"/>
    <cellStyle name="스타일 217" xfId="2938" xr:uid="{00000000-0005-0000-0000-0000760B0000}"/>
    <cellStyle name="스타일 218" xfId="2939" xr:uid="{00000000-0005-0000-0000-0000770B0000}"/>
    <cellStyle name="스타일 219" xfId="2940" xr:uid="{00000000-0005-0000-0000-0000780B0000}"/>
    <cellStyle name="스타일 22" xfId="2941" xr:uid="{00000000-0005-0000-0000-0000790B0000}"/>
    <cellStyle name="스타일 220" xfId="2942" xr:uid="{00000000-0005-0000-0000-00007A0B0000}"/>
    <cellStyle name="스타일 221" xfId="2943" xr:uid="{00000000-0005-0000-0000-00007B0B0000}"/>
    <cellStyle name="스타일 222" xfId="2944" xr:uid="{00000000-0005-0000-0000-00007C0B0000}"/>
    <cellStyle name="스타일 223" xfId="2945" xr:uid="{00000000-0005-0000-0000-00007D0B0000}"/>
    <cellStyle name="스타일 224" xfId="2946" xr:uid="{00000000-0005-0000-0000-00007E0B0000}"/>
    <cellStyle name="스타일 225" xfId="2947" xr:uid="{00000000-0005-0000-0000-00007F0B0000}"/>
    <cellStyle name="스타일 226" xfId="2948" xr:uid="{00000000-0005-0000-0000-0000800B0000}"/>
    <cellStyle name="스타일 227" xfId="2949" xr:uid="{00000000-0005-0000-0000-0000810B0000}"/>
    <cellStyle name="스타일 228" xfId="2950" xr:uid="{00000000-0005-0000-0000-0000820B0000}"/>
    <cellStyle name="스타일 229" xfId="2951" xr:uid="{00000000-0005-0000-0000-0000830B0000}"/>
    <cellStyle name="스타일 23" xfId="2952" xr:uid="{00000000-0005-0000-0000-0000840B0000}"/>
    <cellStyle name="스타일 230" xfId="2953" xr:uid="{00000000-0005-0000-0000-0000850B0000}"/>
    <cellStyle name="스타일 231" xfId="2954" xr:uid="{00000000-0005-0000-0000-0000860B0000}"/>
    <cellStyle name="스타일 232" xfId="2955" xr:uid="{00000000-0005-0000-0000-0000870B0000}"/>
    <cellStyle name="스타일 233" xfId="2956" xr:uid="{00000000-0005-0000-0000-0000880B0000}"/>
    <cellStyle name="스타일 234" xfId="2957" xr:uid="{00000000-0005-0000-0000-0000890B0000}"/>
    <cellStyle name="스타일 235" xfId="2958" xr:uid="{00000000-0005-0000-0000-00008A0B0000}"/>
    <cellStyle name="스타일 236" xfId="2959" xr:uid="{00000000-0005-0000-0000-00008B0B0000}"/>
    <cellStyle name="스타일 237" xfId="2960" xr:uid="{00000000-0005-0000-0000-00008C0B0000}"/>
    <cellStyle name="스타일 238" xfId="2961" xr:uid="{00000000-0005-0000-0000-00008D0B0000}"/>
    <cellStyle name="스타일 239" xfId="2962" xr:uid="{00000000-0005-0000-0000-00008E0B0000}"/>
    <cellStyle name="스타일 24" xfId="2963" xr:uid="{00000000-0005-0000-0000-00008F0B0000}"/>
    <cellStyle name="스타일 240" xfId="2964" xr:uid="{00000000-0005-0000-0000-0000900B0000}"/>
    <cellStyle name="스타일 241" xfId="2965" xr:uid="{00000000-0005-0000-0000-0000910B0000}"/>
    <cellStyle name="스타일 242" xfId="2966" xr:uid="{00000000-0005-0000-0000-0000920B0000}"/>
    <cellStyle name="스타일 243" xfId="2967" xr:uid="{00000000-0005-0000-0000-0000930B0000}"/>
    <cellStyle name="스타일 244" xfId="2968" xr:uid="{00000000-0005-0000-0000-0000940B0000}"/>
    <cellStyle name="스타일 245" xfId="2969" xr:uid="{00000000-0005-0000-0000-0000950B0000}"/>
    <cellStyle name="스타일 246" xfId="2970" xr:uid="{00000000-0005-0000-0000-0000960B0000}"/>
    <cellStyle name="스타일 247" xfId="2971" xr:uid="{00000000-0005-0000-0000-0000970B0000}"/>
    <cellStyle name="스타일 248" xfId="2972" xr:uid="{00000000-0005-0000-0000-0000980B0000}"/>
    <cellStyle name="스타일 249" xfId="2973" xr:uid="{00000000-0005-0000-0000-0000990B0000}"/>
    <cellStyle name="스타일 25" xfId="2974" xr:uid="{00000000-0005-0000-0000-00009A0B0000}"/>
    <cellStyle name="스타일 250" xfId="2975" xr:uid="{00000000-0005-0000-0000-00009B0B0000}"/>
    <cellStyle name="스타일 251" xfId="2976" xr:uid="{00000000-0005-0000-0000-00009C0B0000}"/>
    <cellStyle name="스타일 252" xfId="2977" xr:uid="{00000000-0005-0000-0000-00009D0B0000}"/>
    <cellStyle name="스타일 253" xfId="2978" xr:uid="{00000000-0005-0000-0000-00009E0B0000}"/>
    <cellStyle name="스타일 254" xfId="2979" xr:uid="{00000000-0005-0000-0000-00009F0B0000}"/>
    <cellStyle name="스타일 255" xfId="2980" xr:uid="{00000000-0005-0000-0000-0000A00B0000}"/>
    <cellStyle name="스타일 26" xfId="2981" xr:uid="{00000000-0005-0000-0000-0000A10B0000}"/>
    <cellStyle name="스타일 27" xfId="2982" xr:uid="{00000000-0005-0000-0000-0000A20B0000}"/>
    <cellStyle name="스타일 28" xfId="2983" xr:uid="{00000000-0005-0000-0000-0000A30B0000}"/>
    <cellStyle name="스타일 29" xfId="2984" xr:uid="{00000000-0005-0000-0000-0000A40B0000}"/>
    <cellStyle name="스타일 3" xfId="2985" xr:uid="{00000000-0005-0000-0000-0000A50B0000}"/>
    <cellStyle name="스타일 30" xfId="2986" xr:uid="{00000000-0005-0000-0000-0000A60B0000}"/>
    <cellStyle name="스타일 31" xfId="2987" xr:uid="{00000000-0005-0000-0000-0000A70B0000}"/>
    <cellStyle name="스타일 32" xfId="2988" xr:uid="{00000000-0005-0000-0000-0000A80B0000}"/>
    <cellStyle name="스타일 33" xfId="2989" xr:uid="{00000000-0005-0000-0000-0000A90B0000}"/>
    <cellStyle name="스타일 34" xfId="2990" xr:uid="{00000000-0005-0000-0000-0000AA0B0000}"/>
    <cellStyle name="스타일 35" xfId="2991" xr:uid="{00000000-0005-0000-0000-0000AB0B0000}"/>
    <cellStyle name="스타일 36" xfId="2992" xr:uid="{00000000-0005-0000-0000-0000AC0B0000}"/>
    <cellStyle name="스타일 37" xfId="2993" xr:uid="{00000000-0005-0000-0000-0000AD0B0000}"/>
    <cellStyle name="스타일 38" xfId="2994" xr:uid="{00000000-0005-0000-0000-0000AE0B0000}"/>
    <cellStyle name="스타일 39" xfId="2995" xr:uid="{00000000-0005-0000-0000-0000AF0B0000}"/>
    <cellStyle name="스타일 4" xfId="2996" xr:uid="{00000000-0005-0000-0000-0000B00B0000}"/>
    <cellStyle name="스타일 40" xfId="2997" xr:uid="{00000000-0005-0000-0000-0000B10B0000}"/>
    <cellStyle name="스타일 41" xfId="2998" xr:uid="{00000000-0005-0000-0000-0000B20B0000}"/>
    <cellStyle name="스타일 42" xfId="2999" xr:uid="{00000000-0005-0000-0000-0000B30B0000}"/>
    <cellStyle name="스타일 43" xfId="3000" xr:uid="{00000000-0005-0000-0000-0000B40B0000}"/>
    <cellStyle name="스타일 44" xfId="3001" xr:uid="{00000000-0005-0000-0000-0000B50B0000}"/>
    <cellStyle name="스타일 45" xfId="3002" xr:uid="{00000000-0005-0000-0000-0000B60B0000}"/>
    <cellStyle name="스타일 46" xfId="3003" xr:uid="{00000000-0005-0000-0000-0000B70B0000}"/>
    <cellStyle name="스타일 47" xfId="3004" xr:uid="{00000000-0005-0000-0000-0000B80B0000}"/>
    <cellStyle name="스타일 48" xfId="3005" xr:uid="{00000000-0005-0000-0000-0000B90B0000}"/>
    <cellStyle name="스타일 49" xfId="3006" xr:uid="{00000000-0005-0000-0000-0000BA0B0000}"/>
    <cellStyle name="스타일 5" xfId="3007" xr:uid="{00000000-0005-0000-0000-0000BB0B0000}"/>
    <cellStyle name="스타일 50" xfId="3008" xr:uid="{00000000-0005-0000-0000-0000BC0B0000}"/>
    <cellStyle name="스타일 51" xfId="3009" xr:uid="{00000000-0005-0000-0000-0000BD0B0000}"/>
    <cellStyle name="스타일 52" xfId="3010" xr:uid="{00000000-0005-0000-0000-0000BE0B0000}"/>
    <cellStyle name="스타일 53" xfId="3011" xr:uid="{00000000-0005-0000-0000-0000BF0B0000}"/>
    <cellStyle name="스타일 54" xfId="3012" xr:uid="{00000000-0005-0000-0000-0000C00B0000}"/>
    <cellStyle name="스타일 55" xfId="3013" xr:uid="{00000000-0005-0000-0000-0000C10B0000}"/>
    <cellStyle name="스타일 56" xfId="3014" xr:uid="{00000000-0005-0000-0000-0000C20B0000}"/>
    <cellStyle name="스타일 57" xfId="3015" xr:uid="{00000000-0005-0000-0000-0000C30B0000}"/>
    <cellStyle name="스타일 58" xfId="3016" xr:uid="{00000000-0005-0000-0000-0000C40B0000}"/>
    <cellStyle name="스타일 59" xfId="3017" xr:uid="{00000000-0005-0000-0000-0000C50B0000}"/>
    <cellStyle name="스타일 6" xfId="3018" xr:uid="{00000000-0005-0000-0000-0000C60B0000}"/>
    <cellStyle name="스타일 60" xfId="3019" xr:uid="{00000000-0005-0000-0000-0000C70B0000}"/>
    <cellStyle name="스타일 61" xfId="3020" xr:uid="{00000000-0005-0000-0000-0000C80B0000}"/>
    <cellStyle name="스타일 62" xfId="3021" xr:uid="{00000000-0005-0000-0000-0000C90B0000}"/>
    <cellStyle name="스타일 63" xfId="3022" xr:uid="{00000000-0005-0000-0000-0000CA0B0000}"/>
    <cellStyle name="스타일 64" xfId="3023" xr:uid="{00000000-0005-0000-0000-0000CB0B0000}"/>
    <cellStyle name="스타일 65" xfId="3024" xr:uid="{00000000-0005-0000-0000-0000CC0B0000}"/>
    <cellStyle name="스타일 66" xfId="3025" xr:uid="{00000000-0005-0000-0000-0000CD0B0000}"/>
    <cellStyle name="스타일 67" xfId="3026" xr:uid="{00000000-0005-0000-0000-0000CE0B0000}"/>
    <cellStyle name="스타일 68" xfId="3027" xr:uid="{00000000-0005-0000-0000-0000CF0B0000}"/>
    <cellStyle name="스타일 69" xfId="3028" xr:uid="{00000000-0005-0000-0000-0000D00B0000}"/>
    <cellStyle name="스타일 7" xfId="3029" xr:uid="{00000000-0005-0000-0000-0000D10B0000}"/>
    <cellStyle name="스타일 70" xfId="3030" xr:uid="{00000000-0005-0000-0000-0000D20B0000}"/>
    <cellStyle name="스타일 71" xfId="3031" xr:uid="{00000000-0005-0000-0000-0000D30B0000}"/>
    <cellStyle name="스타일 72" xfId="3032" xr:uid="{00000000-0005-0000-0000-0000D40B0000}"/>
    <cellStyle name="스타일 73" xfId="3033" xr:uid="{00000000-0005-0000-0000-0000D50B0000}"/>
    <cellStyle name="스타일 74" xfId="3034" xr:uid="{00000000-0005-0000-0000-0000D60B0000}"/>
    <cellStyle name="스타일 75" xfId="3035" xr:uid="{00000000-0005-0000-0000-0000D70B0000}"/>
    <cellStyle name="스타일 76" xfId="3036" xr:uid="{00000000-0005-0000-0000-0000D80B0000}"/>
    <cellStyle name="스타일 77" xfId="3037" xr:uid="{00000000-0005-0000-0000-0000D90B0000}"/>
    <cellStyle name="스타일 78" xfId="3038" xr:uid="{00000000-0005-0000-0000-0000DA0B0000}"/>
    <cellStyle name="스타일 79" xfId="3039" xr:uid="{00000000-0005-0000-0000-0000DB0B0000}"/>
    <cellStyle name="스타일 8" xfId="3040" xr:uid="{00000000-0005-0000-0000-0000DC0B0000}"/>
    <cellStyle name="스타일 80" xfId="3041" xr:uid="{00000000-0005-0000-0000-0000DD0B0000}"/>
    <cellStyle name="스타일 81" xfId="3042" xr:uid="{00000000-0005-0000-0000-0000DE0B0000}"/>
    <cellStyle name="스타일 82" xfId="3043" xr:uid="{00000000-0005-0000-0000-0000DF0B0000}"/>
    <cellStyle name="스타일 83" xfId="3044" xr:uid="{00000000-0005-0000-0000-0000E00B0000}"/>
    <cellStyle name="스타일 84" xfId="3045" xr:uid="{00000000-0005-0000-0000-0000E10B0000}"/>
    <cellStyle name="스타일 85" xfId="3046" xr:uid="{00000000-0005-0000-0000-0000E20B0000}"/>
    <cellStyle name="스타일 86" xfId="3047" xr:uid="{00000000-0005-0000-0000-0000E30B0000}"/>
    <cellStyle name="스타일 87" xfId="3048" xr:uid="{00000000-0005-0000-0000-0000E40B0000}"/>
    <cellStyle name="스타일 88" xfId="3049" xr:uid="{00000000-0005-0000-0000-0000E50B0000}"/>
    <cellStyle name="스타일 89" xfId="3050" xr:uid="{00000000-0005-0000-0000-0000E60B0000}"/>
    <cellStyle name="스타일 9" xfId="3051" xr:uid="{00000000-0005-0000-0000-0000E70B0000}"/>
    <cellStyle name="스타일 90" xfId="3052" xr:uid="{00000000-0005-0000-0000-0000E80B0000}"/>
    <cellStyle name="스타일 91" xfId="3053" xr:uid="{00000000-0005-0000-0000-0000E90B0000}"/>
    <cellStyle name="스타일 92" xfId="3054" xr:uid="{00000000-0005-0000-0000-0000EA0B0000}"/>
    <cellStyle name="스타일 93" xfId="3055" xr:uid="{00000000-0005-0000-0000-0000EB0B0000}"/>
    <cellStyle name="스타일 94" xfId="3056" xr:uid="{00000000-0005-0000-0000-0000EC0B0000}"/>
    <cellStyle name="스타일 95" xfId="3057" xr:uid="{00000000-0005-0000-0000-0000ED0B0000}"/>
    <cellStyle name="스타일 96" xfId="3058" xr:uid="{00000000-0005-0000-0000-0000EE0B0000}"/>
    <cellStyle name="스타일 97" xfId="3059" xr:uid="{00000000-0005-0000-0000-0000EF0B0000}"/>
    <cellStyle name="스타일 98" xfId="3060" xr:uid="{00000000-0005-0000-0000-0000F00B0000}"/>
    <cellStyle name="스타일 99" xfId="3061" xr:uid="{00000000-0005-0000-0000-0000F10B0000}"/>
    <cellStyle name="안건회계법인" xfId="3062" xr:uid="{00000000-0005-0000-0000-0000F20B0000}"/>
    <cellStyle name="열어 본 하이퍼링크" xfId="3120" builtinId="9" hidden="1"/>
    <cellStyle name="왼쪽2" xfId="3063" xr:uid="{00000000-0005-0000-0000-0000F40B0000}"/>
    <cellStyle name="원" xfId="3064" xr:uid="{00000000-0005-0000-0000-0000F50B0000}"/>
    <cellStyle name="유1" xfId="3065" xr:uid="{00000000-0005-0000-0000-0000F60B0000}"/>
    <cellStyle name="유영" xfId="3066" xr:uid="{00000000-0005-0000-0000-0000F70B0000}"/>
    <cellStyle name="자리수" xfId="3067" xr:uid="{00000000-0005-0000-0000-0000F80B0000}"/>
    <cellStyle name="자리수 - 유형1" xfId="3068" xr:uid="{00000000-0005-0000-0000-0000F90B0000}"/>
    <cellStyle name="자리수_~MGaE" xfId="3069" xr:uid="{00000000-0005-0000-0000-0000FA0B0000}"/>
    <cellStyle name="자리수0" xfId="3070" xr:uid="{00000000-0005-0000-0000-0000FB0B0000}"/>
    <cellStyle name="정기수 - 유형1" xfId="3071" xr:uid="{00000000-0005-0000-0000-0000FC0B0000}"/>
    <cellStyle name="제목 1(左)" xfId="3072" xr:uid="{00000000-0005-0000-0000-0000FD0B0000}"/>
    <cellStyle name="제목 1(中)" xfId="3073" xr:uid="{00000000-0005-0000-0000-0000FE0B0000}"/>
    <cellStyle name="제목[1 줄]" xfId="3074" xr:uid="{00000000-0005-0000-0000-0000FF0B0000}"/>
    <cellStyle name="제목[2줄 아래]" xfId="3075" xr:uid="{00000000-0005-0000-0000-0000000C0000}"/>
    <cellStyle name="제목[2줄 위]" xfId="3076" xr:uid="{00000000-0005-0000-0000-0000010C0000}"/>
    <cellStyle name="제목1" xfId="3077" xr:uid="{00000000-0005-0000-0000-0000020C0000}"/>
    <cellStyle name="제목2" xfId="3078" xr:uid="{00000000-0005-0000-0000-0000030C0000}"/>
    <cellStyle name="좋음 2" xfId="3079" xr:uid="{00000000-0005-0000-0000-0000040C0000}"/>
    <cellStyle name="지정되지 않음" xfId="3080" xr:uid="{00000000-0005-0000-0000-0000050C0000}"/>
    <cellStyle name="콤" xfId="3081" xr:uid="{00000000-0005-0000-0000-0000060C0000}"/>
    <cellStyle name="콤마 [" xfId="3082" xr:uid="{00000000-0005-0000-0000-0000070C0000}"/>
    <cellStyle name="콤마 []" xfId="3084" xr:uid="{00000000-0005-0000-0000-0000090C0000}"/>
    <cellStyle name="콤마 [#]" xfId="3083" xr:uid="{00000000-0005-0000-0000-0000080C0000}"/>
    <cellStyle name="콤마 [0]" xfId="3085" xr:uid="{00000000-0005-0000-0000-00000A0C0000}"/>
    <cellStyle name="콤마 [1]" xfId="3086" xr:uid="{00000000-0005-0000-0000-00000B0C0000}"/>
    <cellStyle name="콤마 [2]" xfId="3087" xr:uid="{00000000-0005-0000-0000-00000C0C0000}"/>
    <cellStyle name="콤마 [금액]" xfId="3088" xr:uid="{00000000-0005-0000-0000-00000D0C0000}"/>
    <cellStyle name="콤마 [소수]" xfId="3089" xr:uid="{00000000-0005-0000-0000-00000E0C0000}"/>
    <cellStyle name="콤마 [수량]" xfId="3090" xr:uid="{00000000-0005-0000-0000-00000F0C0000}"/>
    <cellStyle name="콤마 1" xfId="3091" xr:uid="{00000000-0005-0000-0000-0000100C0000}"/>
    <cellStyle name="콤마_  종  합  " xfId="3097" xr:uid="{00000000-0005-0000-0000-0000160C0000}"/>
    <cellStyle name="콤마[ ]" xfId="3092" xr:uid="{00000000-0005-0000-0000-0000110C0000}"/>
    <cellStyle name="콤마[,]" xfId="3094" xr:uid="{00000000-0005-0000-0000-0000130C0000}"/>
    <cellStyle name="콤마[.]" xfId="3095" xr:uid="{00000000-0005-0000-0000-0000140C0000}"/>
    <cellStyle name="콤마[*]" xfId="3093" xr:uid="{00000000-0005-0000-0000-0000120C0000}"/>
    <cellStyle name="콤마[0]" xfId="3096" xr:uid="{00000000-0005-0000-0000-0000150C0000}"/>
    <cellStyle name="통" xfId="3098" xr:uid="{00000000-0005-0000-0000-0000170C0000}"/>
    <cellStyle name="통화 [" xfId="3099" xr:uid="{00000000-0005-0000-0000-0000180C0000}"/>
    <cellStyle name="통화 [0㉝〸" xfId="3100" xr:uid="{00000000-0005-0000-0000-0000190C0000}"/>
    <cellStyle name="퍼센트" xfId="3101" xr:uid="{00000000-0005-0000-0000-00001A0C0000}"/>
    <cellStyle name="표" xfId="3102" xr:uid="{00000000-0005-0000-0000-00001B0C0000}"/>
    <cellStyle name="표(가는선,가운데,중앙)" xfId="3103" xr:uid="{00000000-0005-0000-0000-00001C0C0000}"/>
    <cellStyle name="표(가는선,왼쪽,중앙)" xfId="3104" xr:uid="{00000000-0005-0000-0000-00001D0C0000}"/>
    <cellStyle name="표(세로쓰기)" xfId="3105" xr:uid="{00000000-0005-0000-0000-00001E0C0000}"/>
    <cellStyle name="표머릿글(上)" xfId="3106" xr:uid="{00000000-0005-0000-0000-00001F0C0000}"/>
    <cellStyle name="표머릿글(中)" xfId="3107" xr:uid="{00000000-0005-0000-0000-0000200C0000}"/>
    <cellStyle name="표머릿글(下)" xfId="3108" xr:uid="{00000000-0005-0000-0000-0000210C0000}"/>
    <cellStyle name="표준" xfId="0" builtinId="0"/>
    <cellStyle name="표준 2" xfId="6" xr:uid="{00000000-0005-0000-0000-0000230C0000}"/>
    <cellStyle name="표준 2 2" xfId="3109" xr:uid="{00000000-0005-0000-0000-0000240C0000}"/>
    <cellStyle name="표준 3" xfId="3110" xr:uid="{00000000-0005-0000-0000-0000250C0000}"/>
    <cellStyle name="표준 4" xfId="9" xr:uid="{00000000-0005-0000-0000-0000260C0000}"/>
    <cellStyle name="표준 5" xfId="3111" xr:uid="{00000000-0005-0000-0000-0000270C0000}"/>
    <cellStyle name="표준 6" xfId="5" xr:uid="{00000000-0005-0000-0000-0000280C0000}"/>
    <cellStyle name="標準_Akia(F）-8" xfId="3112" xr:uid="{00000000-0005-0000-0000-0000290C0000}"/>
    <cellStyle name="표준℘Sheet8 (3)" xfId="3115" xr:uid="{00000000-0005-0000-0000-00002C0C0000}"/>
    <cellStyle name="표준1" xfId="3113" xr:uid="{00000000-0005-0000-0000-00002A0C0000}"/>
    <cellStyle name="표준2" xfId="3114" xr:uid="{00000000-0005-0000-0000-00002B0C0000}"/>
    <cellStyle name="하이퍼링크" xfId="3119" builtinId="8" hidden="1"/>
    <cellStyle name="합산" xfId="3116" xr:uid="{00000000-0005-0000-0000-00002E0C0000}"/>
    <cellStyle name="화폐기호" xfId="3117" xr:uid="{00000000-0005-0000-0000-00002F0C0000}"/>
    <cellStyle name="화폐기호0" xfId="3118" xr:uid="{00000000-0005-0000-0000-0000300C0000}"/>
    <cellStyle name="A¨­￠￢￠O [0]_AO¨uRCN¡¾U " xfId="2647" xr:uid="{00000000-0005-0000-0000-00004E0A0000}"/>
    <cellStyle name="A¨­￠￢￠O_AO¨uRCN¡¾U " xfId="2648" xr:uid="{00000000-0005-0000-0000-00004F0A0000}"/>
    <cellStyle name="AeE­ [0]_ 2ÆAAþº° " xfId="2649" xr:uid="{00000000-0005-0000-0000-0000500A0000}"/>
    <cellStyle name="ÅëÈ­ [0]_¸ðÇü¸·" xfId="2650" xr:uid="{00000000-0005-0000-0000-0000510A0000}"/>
    <cellStyle name="AeE­ [0]_95³aAN°y¼o·R " xfId="2651" xr:uid="{00000000-0005-0000-0000-0000520A0000}"/>
    <cellStyle name="ÅëÈ­ [0]_Á¤»ê¼­°©Áö" xfId="2652" xr:uid="{00000000-0005-0000-0000-0000530A0000}"/>
    <cellStyle name="AeE­ [0]_A¾CO½A¼³ " xfId="2653" xr:uid="{00000000-0005-0000-0000-0000540A0000}"/>
    <cellStyle name="AeE­_ 2ÆAAþº° " xfId="2654" xr:uid="{00000000-0005-0000-0000-0000550A0000}"/>
    <cellStyle name="ÅëÈ­_¸ðÇü¸·" xfId="2655" xr:uid="{00000000-0005-0000-0000-0000560A0000}"/>
    <cellStyle name="AeE­_95³aAN°y¼o·R " xfId="2656" xr:uid="{00000000-0005-0000-0000-0000570A0000}"/>
    <cellStyle name="ÅëÈ­_Á¤»ê¼­°©Áö" xfId="2657" xr:uid="{00000000-0005-0000-0000-0000580A0000}"/>
    <cellStyle name="AeE­_A¾CO½A¼³ " xfId="2658" xr:uid="{00000000-0005-0000-0000-0000590A0000}"/>
    <cellStyle name="AeE¡ⓒ [0]_AO¨uRCN¡¾U " xfId="2659" xr:uid="{00000000-0005-0000-0000-00005A0A0000}"/>
    <cellStyle name="AeE¡ⓒ_AO¨uRCN¡¾U " xfId="2660" xr:uid="{00000000-0005-0000-0000-00005B0A0000}"/>
    <cellStyle name="ALIGNMENT" xfId="2661" xr:uid="{00000000-0005-0000-0000-00005C0A0000}"/>
    <cellStyle name="args.style" xfId="2662" xr:uid="{00000000-0005-0000-0000-00005D0A0000}"/>
    <cellStyle name="AÞ¸¶ [0]_ 2ÆAAþº° " xfId="2663" xr:uid="{00000000-0005-0000-0000-00005E0A0000}"/>
    <cellStyle name="ÄÞ¸¶ [0]_¸ðÇü¸·" xfId="2664" xr:uid="{00000000-0005-0000-0000-00005F0A0000}"/>
    <cellStyle name="AÞ¸¶ [0]_95³aAN°y¼o·R " xfId="2665" xr:uid="{00000000-0005-0000-0000-0000600A0000}"/>
    <cellStyle name="ÄÞ¸¶ [0]_Á¤»ê¼­°©Áö" xfId="2666" xr:uid="{00000000-0005-0000-0000-0000610A0000}"/>
    <cellStyle name="AÞ¸¶ [0]_A¾CO½A¼³ " xfId="2667" xr:uid="{00000000-0005-0000-0000-0000620A0000}"/>
    <cellStyle name="AÞ¸¶_ 2ÆAAþº° " xfId="2668" xr:uid="{00000000-0005-0000-0000-0000630A0000}"/>
    <cellStyle name="ÄÞ¸¶_¸ðÇü¸·" xfId="2669" xr:uid="{00000000-0005-0000-0000-0000640A0000}"/>
    <cellStyle name="AÞ¸¶_95³aAN°y¼o·R " xfId="2670" xr:uid="{00000000-0005-0000-0000-0000650A0000}"/>
    <cellStyle name="ÄÞ¸¶_Á¤»ê¼­°©Áö" xfId="2671" xr:uid="{00000000-0005-0000-0000-0000660A0000}"/>
    <cellStyle name="AÞ¸¶_A¾CO½A¼³ " xfId="2672" xr:uid="{00000000-0005-0000-0000-0000670A0000}"/>
    <cellStyle name="C¡IA¨ª_¡ic¨u¡A¨￢I¨￢¡Æ AN¡Æe " xfId="2673" xr:uid="{00000000-0005-0000-0000-0000680A0000}"/>
    <cellStyle name="C￥AØ_ °u¸R½CCa1" xfId="2674" xr:uid="{00000000-0005-0000-0000-0000690A0000}"/>
    <cellStyle name="Ç¥ÁØ_»óºÎ¼ö·®Áý°è " xfId="2675" xr:uid="{00000000-0005-0000-0000-00006A0A0000}"/>
    <cellStyle name="C￥AØ_°­´c (2)" xfId="2676" xr:uid="{00000000-0005-0000-0000-00006B0A0000}"/>
    <cellStyle name="Ç¥ÁØ_°­´ç (2)" xfId="2677" xr:uid="{00000000-0005-0000-0000-00006C0A0000}"/>
    <cellStyle name="C￥AØ_¼³°e¿e¿ª" xfId="2678" xr:uid="{00000000-0005-0000-0000-00006D0A0000}"/>
    <cellStyle name="Ç¥ÁØ_¼öÀÍ¼º " xfId="2679" xr:uid="{00000000-0005-0000-0000-00006E0A0000}"/>
    <cellStyle name="C￥AØ_95³aAN°y¼o·R " xfId="2680" xr:uid="{00000000-0005-0000-0000-00006F0A0000}"/>
    <cellStyle name="Calc Currency (0)" xfId="2681" xr:uid="{00000000-0005-0000-0000-0000700A0000}"/>
    <cellStyle name="category" xfId="2682" xr:uid="{00000000-0005-0000-0000-0000710A0000}"/>
    <cellStyle name="CIAIÆU¸μAⓒ" xfId="2683" xr:uid="{00000000-0005-0000-0000-0000720A0000}"/>
    <cellStyle name="Comma [0] 2" xfId="2" xr:uid="{00000000-0005-0000-0000-0000730A0000}"/>
    <cellStyle name="comma zerodec" xfId="2684" xr:uid="{00000000-0005-0000-0000-0000740A0000}"/>
    <cellStyle name="Comma0" xfId="2685" xr:uid="{00000000-0005-0000-0000-0000750A0000}"/>
    <cellStyle name="Copied" xfId="2686" xr:uid="{00000000-0005-0000-0000-0000760A0000}"/>
    <cellStyle name="COST1" xfId="2687" xr:uid="{00000000-0005-0000-0000-0000770A0000}"/>
    <cellStyle name="Curre~cy [0]_MATERAL2" xfId="2688" xr:uid="{00000000-0005-0000-0000-0000780A0000}"/>
    <cellStyle name="Curren?_x0012_퐀_x0017_?" xfId="2689" xr:uid="{00000000-0005-0000-0000-0000790A0000}"/>
    <cellStyle name="Currency [0] 2" xfId="3" xr:uid="{00000000-0005-0000-0000-00007A0A0000}"/>
    <cellStyle name="Currency [0]͢laroux_1" xfId="2690" xr:uid="{00000000-0005-0000-0000-00007B0A0000}"/>
    <cellStyle name="currency-$" xfId="2691" xr:uid="{00000000-0005-0000-0000-00007C0A0000}"/>
    <cellStyle name="Currency0" xfId="2692" xr:uid="{00000000-0005-0000-0000-00007D0A0000}"/>
    <cellStyle name="Currency1" xfId="2693" xr:uid="{00000000-0005-0000-0000-00007E0A0000}"/>
    <cellStyle name="Date" xfId="2694" xr:uid="{00000000-0005-0000-0000-00007F0A0000}"/>
    <cellStyle name="Dezimal [0]_laroux" xfId="2695" xr:uid="{00000000-0005-0000-0000-0000800A0000}"/>
    <cellStyle name="Dezimal_laroux" xfId="2696" xr:uid="{00000000-0005-0000-0000-0000810A0000}"/>
    <cellStyle name="Dollar (zero dec)" xfId="2697" xr:uid="{00000000-0005-0000-0000-0000820A0000}"/>
    <cellStyle name="EA" xfId="2698" xr:uid="{00000000-0005-0000-0000-0000830A0000}"/>
    <cellStyle name="Entered" xfId="2699" xr:uid="{00000000-0005-0000-0000-0000840A0000}"/>
    <cellStyle name="ÊÝ [0.00]_Region Orders (2)" xfId="1110" xr:uid="{00000000-0005-0000-0000-00004C040000}"/>
    <cellStyle name="ÊÝ_Region Orders (2)" xfId="1111" xr:uid="{00000000-0005-0000-0000-00004D040000}"/>
    <cellStyle name="F2" xfId="2700" xr:uid="{00000000-0005-0000-0000-0000850A0000}"/>
    <cellStyle name="F3" xfId="2701" xr:uid="{00000000-0005-0000-0000-0000860A0000}"/>
    <cellStyle name="F4" xfId="2702" xr:uid="{00000000-0005-0000-0000-0000870A0000}"/>
    <cellStyle name="F5" xfId="2703" xr:uid="{00000000-0005-0000-0000-0000880A0000}"/>
    <cellStyle name="F6" xfId="2704" xr:uid="{00000000-0005-0000-0000-0000890A0000}"/>
    <cellStyle name="F7" xfId="2705" xr:uid="{00000000-0005-0000-0000-00008A0A0000}"/>
    <cellStyle name="F8" xfId="2706" xr:uid="{00000000-0005-0000-0000-00008B0A0000}"/>
    <cellStyle name="Fixed" xfId="2707" xr:uid="{00000000-0005-0000-0000-00008C0A0000}"/>
    <cellStyle name="Grey" xfId="2708" xr:uid="{00000000-0005-0000-0000-00008D0A0000}"/>
    <cellStyle name="H1" xfId="2709" xr:uid="{00000000-0005-0000-0000-00008E0A0000}"/>
    <cellStyle name="H2" xfId="2710" xr:uid="{00000000-0005-0000-0000-00008F0A0000}"/>
    <cellStyle name="HEADER" xfId="2711" xr:uid="{00000000-0005-0000-0000-0000900A0000}"/>
    <cellStyle name="Header1" xfId="2712" xr:uid="{00000000-0005-0000-0000-0000910A0000}"/>
    <cellStyle name="Header2" xfId="2713" xr:uid="{00000000-0005-0000-0000-0000920A0000}"/>
    <cellStyle name="Heading 1" xfId="2714" xr:uid="{00000000-0005-0000-0000-0000930A0000}"/>
    <cellStyle name="Heading 2" xfId="2715" xr:uid="{00000000-0005-0000-0000-0000940A0000}"/>
    <cellStyle name="Heading1" xfId="2716" xr:uid="{00000000-0005-0000-0000-0000950A0000}"/>
    <cellStyle name="Heading2" xfId="2717" xr:uid="{00000000-0005-0000-0000-0000960A0000}"/>
    <cellStyle name="Input [yellow]" xfId="2718" xr:uid="{00000000-0005-0000-0000-0000970A0000}"/>
    <cellStyle name="Input Cells" xfId="2719" xr:uid="{00000000-0005-0000-0000-0000980A0000}"/>
    <cellStyle name="kg" xfId="2720" xr:uid="{00000000-0005-0000-0000-0000990A0000}"/>
    <cellStyle name="Linked Cells" xfId="2721" xr:uid="{00000000-0005-0000-0000-00009A0A0000}"/>
    <cellStyle name="M" xfId="2722" xr:uid="{00000000-0005-0000-0000-00009B0A0000}"/>
    <cellStyle name="M2" xfId="2723" xr:uid="{00000000-0005-0000-0000-00009C0A0000}"/>
    <cellStyle name="M3" xfId="2724" xr:uid="{00000000-0005-0000-0000-00009D0A0000}"/>
    <cellStyle name="Milliers [0]_Arabian Spec" xfId="2725" xr:uid="{00000000-0005-0000-0000-00009E0A0000}"/>
    <cellStyle name="Milliers_Arabian Spec" xfId="2726" xr:uid="{00000000-0005-0000-0000-00009F0A0000}"/>
    <cellStyle name="mma_CASH &amp; DSO" xfId="2727" xr:uid="{00000000-0005-0000-0000-0000A00A0000}"/>
    <cellStyle name="Model" xfId="2728" xr:uid="{00000000-0005-0000-0000-0000A10A0000}"/>
    <cellStyle name="Mon?aire [0]_Arabian Spec" xfId="2729" xr:uid="{00000000-0005-0000-0000-0000A20A0000}"/>
    <cellStyle name="Mon?aire_Arabian Spec" xfId="2730" xr:uid="{00000000-0005-0000-0000-0000A30A0000}"/>
    <cellStyle name="Monétaire [0]_CTC" xfId="2731" xr:uid="{00000000-0005-0000-0000-0000A40A0000}"/>
    <cellStyle name="Monétaire_CTC" xfId="2732" xr:uid="{00000000-0005-0000-0000-0000A50A0000}"/>
    <cellStyle name="no dec" xfId="2733" xr:uid="{00000000-0005-0000-0000-0000A60A0000}"/>
    <cellStyle name="Normal - 유형1" xfId="2735" xr:uid="{00000000-0005-0000-0000-0000A80A0000}"/>
    <cellStyle name="Normal - Style1" xfId="2734" xr:uid="{00000000-0005-0000-0000-0000A70A0000}"/>
    <cellStyle name="Normal 2" xfId="1" xr:uid="{00000000-0005-0000-0000-0000A90A0000}"/>
    <cellStyle name="Œ…?æ맖?e [0.00]_laroux" xfId="2736" xr:uid="{00000000-0005-0000-0000-0000AA0A0000}"/>
    <cellStyle name="Œ…?æ맖?e_laroux" xfId="2737" xr:uid="{00000000-0005-0000-0000-0000AB0A0000}"/>
    <cellStyle name="oft Excel]_x000d__x000a_Comment=The open=/f lines load custom functions into the Paste Function list._x000d__x000a_Maximized=3_x000d__x000a_AutoFormat=" xfId="2738" xr:uid="{00000000-0005-0000-0000-0000AC0A0000}"/>
    <cellStyle name="oh" xfId="2739" xr:uid="{00000000-0005-0000-0000-0000AD0A0000}"/>
    <cellStyle name="per.style" xfId="2740" xr:uid="{00000000-0005-0000-0000-0000AE0A0000}"/>
    <cellStyle name="Percent [2]" xfId="2741" xr:uid="{00000000-0005-0000-0000-0000AF0A0000}"/>
    <cellStyle name="pricing" xfId="2742" xr:uid="{00000000-0005-0000-0000-0000B00A0000}"/>
    <cellStyle name="PSChar" xfId="2743" xr:uid="{00000000-0005-0000-0000-0000B10A0000}"/>
    <cellStyle name="RevList" xfId="2744" xr:uid="{00000000-0005-0000-0000-0000B20A0000}"/>
    <cellStyle name="s]_x000d__x000a_run=c:\Hedgehog\app31.exe_x000d__x000a_spooler=yes_x000d__x000a_load=_x000d__x000a_run=_x000d__x000a_Beep=yes_x000d__x000a_NullPort=None_x000d__x000a_BorderWidth=3_x000d__x000a_CursorBlinkRate=530_x000d__x000a_D" xfId="2745" xr:uid="{00000000-0005-0000-0000-0000B30A0000}"/>
    <cellStyle name="sh" xfId="2746" xr:uid="{00000000-0005-0000-0000-0000B40A0000}"/>
    <cellStyle name="ssh" xfId="2747" xr:uid="{00000000-0005-0000-0000-0000B50A0000}"/>
    <cellStyle name="STANDARD" xfId="2748" xr:uid="{00000000-0005-0000-0000-0000B60A0000}"/>
    <cellStyle name="STD" xfId="2749" xr:uid="{00000000-0005-0000-0000-0000B70A0000}"/>
    <cellStyle name="subhead" xfId="2750" xr:uid="{00000000-0005-0000-0000-0000B80A0000}"/>
    <cellStyle name="Subtotal" xfId="2751" xr:uid="{00000000-0005-0000-0000-0000B90A0000}"/>
    <cellStyle name="Title" xfId="2752" xr:uid="{00000000-0005-0000-0000-0000BA0A0000}"/>
    <cellStyle name="title [1]" xfId="2753" xr:uid="{00000000-0005-0000-0000-0000BB0A0000}"/>
    <cellStyle name="title [2]" xfId="2754" xr:uid="{00000000-0005-0000-0000-0000BC0A0000}"/>
    <cellStyle name="Total" xfId="2755" xr:uid="{00000000-0005-0000-0000-0000BD0A0000}"/>
    <cellStyle name="UM" xfId="2756" xr:uid="{00000000-0005-0000-0000-0000BE0A0000}"/>
    <cellStyle name="W_Pacific Region P&amp;L" xfId="1112" xr:uid="{00000000-0005-0000-0000-00004E040000}"/>
    <cellStyle name="W?rung [0]_laroux" xfId="2757" xr:uid="{00000000-0005-0000-0000-0000BF0A0000}"/>
    <cellStyle name="W?rung_laroux" xfId="2758" xr:uid="{00000000-0005-0000-0000-0000C00A0000}"/>
    <cellStyle name="μU¿¡ ¿A´A CIAIÆU¸μAⓒ" xfId="2759" xr:uid="{00000000-0005-0000-0000-0000C1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136525</xdr:colOff>
      <xdr:row>43</xdr:row>
      <xdr:rowOff>76200</xdr:rowOff>
    </xdr:from>
    <xdr:to>
      <xdr:col>32</xdr:col>
      <xdr:colOff>78105</xdr:colOff>
      <xdr:row>45</xdr:row>
      <xdr:rowOff>137795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69755" y="9139555"/>
          <a:ext cx="817880" cy="76644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0" y="7289800"/>
          <a:ext cx="0" cy="0"/>
          <a:chOff x="0" y="72898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11</xdr:col>
      <xdr:colOff>349250</xdr:colOff>
      <xdr:row>27</xdr:row>
      <xdr:rowOff>200025</xdr:rowOff>
    </xdr:from>
    <xdr:to>
      <xdr:col>12</xdr:col>
      <xdr:colOff>431165</xdr:colOff>
      <xdr:row>30</xdr:row>
      <xdr:rowOff>224155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63380" y="7752715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27</xdr:row>
      <xdr:rowOff>0</xdr:rowOff>
    </xdr:from>
    <xdr:to>
      <xdr:col>7</xdr:col>
      <xdr:colOff>508000</xdr:colOff>
      <xdr:row>30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888355" y="755269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25400</xdr:colOff>
      <xdr:row>22</xdr:row>
      <xdr:rowOff>38100</xdr:rowOff>
    </xdr:from>
    <xdr:to>
      <xdr:col>14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34430" y="8121650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BI117"/>
  <sheetViews>
    <sheetView view="pageBreakPreview" topLeftCell="D3" zoomScaleNormal="100" zoomScaleSheetLayoutView="100" workbookViewId="0">
      <selection activeCell="P30" sqref="P30"/>
    </sheetView>
  </sheetViews>
  <sheetFormatPr baseColWidth="10" defaultColWidth="11.5" defaultRowHeight="14"/>
  <cols>
    <col min="1" max="6" width="11.5" style="76" customWidth="1"/>
    <col min="7" max="8" width="3.33203125" style="76" customWidth="1"/>
    <col min="9" max="9" width="3.33203125" style="77" customWidth="1"/>
    <col min="10" max="15" width="3.33203125" style="78" customWidth="1"/>
    <col min="16" max="34" width="3.33203125" style="76" customWidth="1"/>
    <col min="35" max="35" width="3" style="76" customWidth="1"/>
    <col min="36" max="262" width="8.83203125" style="76" customWidth="1"/>
    <col min="263" max="263" width="11.5" style="76" customWidth="1"/>
    <col min="264" max="16384" width="11.5" style="76"/>
  </cols>
  <sheetData>
    <row r="1" spans="7:35" s="79" customFormat="1" ht="42" customHeight="1">
      <c r="G1" s="169" t="s">
        <v>0</v>
      </c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85"/>
    </row>
    <row r="2" spans="7:35" s="79" customFormat="1" ht="12" customHeight="1"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94"/>
      <c r="AF2" s="94"/>
      <c r="AG2" s="94"/>
      <c r="AH2" s="94"/>
      <c r="AI2" s="85"/>
    </row>
    <row r="3" spans="7:35" s="79" customFormat="1" ht="18" customHeight="1">
      <c r="G3" s="170" t="s">
        <v>94</v>
      </c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  <c r="AG3" s="170"/>
      <c r="AH3" s="170"/>
      <c r="AI3" s="85"/>
    </row>
    <row r="4" spans="7:35" s="79" customFormat="1" ht="7.5" customHeight="1"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6"/>
      <c r="AF4" s="96"/>
      <c r="AG4" s="96"/>
      <c r="AH4" s="96"/>
      <c r="AI4" s="85"/>
    </row>
    <row r="5" spans="7:35" s="79" customFormat="1" ht="15" customHeight="1"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94"/>
      <c r="AF5" s="94"/>
      <c r="AG5" s="94"/>
      <c r="AH5" s="94"/>
      <c r="AI5" s="85"/>
    </row>
    <row r="6" spans="7:35" s="79" customFormat="1" ht="23.25" customHeight="1">
      <c r="G6" s="171" t="s">
        <v>1</v>
      </c>
      <c r="H6" s="171"/>
      <c r="I6" s="171"/>
      <c r="J6" s="171"/>
      <c r="K6" s="172" t="s">
        <v>9</v>
      </c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82"/>
      <c r="X6" s="82"/>
      <c r="Y6" s="82"/>
      <c r="Z6" s="82"/>
      <c r="AA6" s="82"/>
      <c r="AB6" s="82"/>
      <c r="AC6" s="82"/>
      <c r="AD6" s="82"/>
      <c r="AE6" s="82"/>
      <c r="AF6" s="82"/>
      <c r="AG6" s="82"/>
      <c r="AH6" s="82"/>
      <c r="AI6" s="85"/>
    </row>
    <row r="7" spans="7:35" s="79" customFormat="1" ht="23.25" customHeight="1">
      <c r="G7" s="171" t="s">
        <v>2</v>
      </c>
      <c r="H7" s="171"/>
      <c r="I7" s="171"/>
      <c r="J7" s="171"/>
      <c r="K7" s="173" t="s">
        <v>8</v>
      </c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5"/>
    </row>
    <row r="8" spans="7:35" s="79" customFormat="1" ht="23.25" customHeight="1">
      <c r="G8" s="171" t="s">
        <v>3</v>
      </c>
      <c r="H8" s="171"/>
      <c r="I8" s="171"/>
      <c r="J8" s="171"/>
      <c r="K8" s="172" t="s">
        <v>65</v>
      </c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85"/>
    </row>
    <row r="9" spans="7:35" s="79" customFormat="1" ht="23.25" customHeight="1">
      <c r="G9" s="171" t="s">
        <v>4</v>
      </c>
      <c r="H9" s="171"/>
      <c r="I9" s="171"/>
      <c r="J9" s="171"/>
      <c r="K9" s="172" t="s">
        <v>5</v>
      </c>
      <c r="L9" s="172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  <c r="AA9" s="172"/>
      <c r="AB9" s="172"/>
      <c r="AC9" s="172"/>
      <c r="AD9" s="172"/>
      <c r="AE9" s="172"/>
      <c r="AF9" s="172"/>
      <c r="AG9" s="172"/>
      <c r="AH9" s="172"/>
      <c r="AI9" s="85"/>
    </row>
    <row r="10" spans="7:35" s="79" customFormat="1" ht="23.25" customHeight="1">
      <c r="G10" s="171" t="s">
        <v>6</v>
      </c>
      <c r="H10" s="171"/>
      <c r="I10" s="171"/>
      <c r="J10" s="171"/>
      <c r="K10" s="172" t="s">
        <v>175</v>
      </c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85"/>
    </row>
    <row r="11" spans="7:35" s="79" customFormat="1" ht="7.5" customHeight="1"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6"/>
      <c r="AF11" s="96"/>
      <c r="AG11" s="96"/>
      <c r="AH11" s="96"/>
      <c r="AI11" s="85"/>
    </row>
    <row r="12" spans="7:35" s="79" customFormat="1" ht="13.5" customHeight="1"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94"/>
      <c r="AF12" s="94"/>
      <c r="AG12" s="94"/>
      <c r="AH12" s="94"/>
      <c r="AI12" s="85"/>
    </row>
    <row r="13" spans="7:35" s="79" customFormat="1" ht="19.5" customHeight="1">
      <c r="G13" s="172" t="s">
        <v>168</v>
      </c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2"/>
      <c r="AD13" s="172"/>
      <c r="AE13" s="172"/>
      <c r="AF13" s="172"/>
      <c r="AG13" s="172"/>
      <c r="AH13" s="172"/>
      <c r="AI13" s="85"/>
    </row>
    <row r="14" spans="7:35" s="79" customFormat="1" ht="16" customHeight="1"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5"/>
    </row>
    <row r="15" spans="7:35" s="79" customFormat="1" ht="16" customHeight="1">
      <c r="G15" s="172" t="s">
        <v>169</v>
      </c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2"/>
      <c r="AD15" s="172"/>
      <c r="AE15" s="172"/>
      <c r="AF15" s="172"/>
      <c r="AG15" s="172"/>
      <c r="AH15" s="172"/>
      <c r="AI15" s="85"/>
    </row>
    <row r="16" spans="7:35" s="79" customFormat="1" ht="16" customHeight="1">
      <c r="G16" s="172" t="s">
        <v>155</v>
      </c>
      <c r="H16" s="172"/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  <c r="Z16" s="172"/>
      <c r="AA16" s="172"/>
      <c r="AB16" s="172"/>
      <c r="AC16" s="172"/>
      <c r="AD16" s="172"/>
      <c r="AE16" s="172"/>
      <c r="AF16" s="172"/>
      <c r="AG16" s="172"/>
      <c r="AH16" s="172"/>
      <c r="AI16" s="85"/>
    </row>
    <row r="17" spans="6:61" s="79" customFormat="1" ht="16" customHeight="1">
      <c r="G17" s="172" t="s">
        <v>154</v>
      </c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85"/>
    </row>
    <row r="18" spans="6:61" s="79" customFormat="1" ht="16" customHeight="1">
      <c r="G18" s="174" t="s">
        <v>144</v>
      </c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  <c r="AA18" s="174"/>
      <c r="AB18" s="174"/>
      <c r="AC18" s="174"/>
      <c r="AD18" s="174"/>
      <c r="AE18" s="174"/>
      <c r="AF18" s="174"/>
      <c r="AG18" s="174"/>
      <c r="AH18" s="174"/>
      <c r="AI18" s="90"/>
      <c r="AJ18" s="90"/>
      <c r="AK18" s="90"/>
      <c r="AL18" s="90"/>
      <c r="AM18" s="90"/>
      <c r="AN18" s="85"/>
    </row>
    <row r="19" spans="6:61" s="79" customFormat="1" ht="16" customHeight="1"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5"/>
    </row>
    <row r="20" spans="6:61" ht="16" customHeight="1">
      <c r="F20" s="79"/>
      <c r="G20" s="172" t="s">
        <v>170</v>
      </c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2"/>
      <c r="AD20" s="172"/>
      <c r="AE20" s="172"/>
      <c r="AF20" s="172"/>
      <c r="AG20" s="172"/>
      <c r="AH20" s="172"/>
      <c r="AI20" s="85"/>
      <c r="AJ20" s="79"/>
      <c r="AK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X20" s="79"/>
      <c r="AY20" s="79"/>
      <c r="AZ20" s="79"/>
      <c r="BA20" s="79"/>
      <c r="BB20" s="79"/>
      <c r="BC20" s="79"/>
      <c r="BD20" s="79"/>
      <c r="BE20" s="79"/>
      <c r="BF20" s="79"/>
      <c r="BG20" s="79"/>
      <c r="BH20" s="79"/>
      <c r="BI20" s="79"/>
    </row>
    <row r="21" spans="6:61" ht="16" customHeight="1">
      <c r="F21" s="79"/>
      <c r="G21" s="172" t="s">
        <v>145</v>
      </c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85"/>
      <c r="AJ21" s="79"/>
      <c r="AK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X21" s="79"/>
      <c r="AY21" s="79"/>
      <c r="AZ21" s="79"/>
      <c r="BA21" s="79"/>
      <c r="BB21" s="79"/>
      <c r="BC21" s="79"/>
      <c r="BD21" s="79"/>
      <c r="BE21" s="79"/>
      <c r="BF21" s="79"/>
      <c r="BG21" s="79"/>
      <c r="BH21" s="79"/>
      <c r="BI21" s="79"/>
    </row>
    <row r="22" spans="6:61" s="80" customFormat="1" ht="16" customHeight="1">
      <c r="G22" s="176" t="s">
        <v>146</v>
      </c>
      <c r="H22" s="176"/>
      <c r="I22" s="176"/>
      <c r="J22" s="176"/>
      <c r="K22" s="176"/>
      <c r="L22" s="176"/>
      <c r="M22" s="176"/>
      <c r="N22" s="176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86"/>
    </row>
    <row r="23" spans="6:61" s="79" customFormat="1" ht="16" customHeight="1"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5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</row>
    <row r="24" spans="6:61" s="79" customFormat="1" ht="19.5" customHeight="1">
      <c r="F24" s="82"/>
      <c r="G24" s="172" t="s">
        <v>171</v>
      </c>
      <c r="H24" s="172"/>
      <c r="I24" s="172"/>
      <c r="J24" s="172"/>
      <c r="K24" s="172"/>
      <c r="L24" s="172"/>
      <c r="M24" s="172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2"/>
      <c r="Z24" s="172"/>
      <c r="AA24" s="172"/>
      <c r="AB24" s="172"/>
      <c r="AC24" s="172"/>
      <c r="AD24" s="172"/>
      <c r="AE24" s="172"/>
      <c r="AF24" s="172"/>
      <c r="AG24" s="172"/>
      <c r="AH24" s="172"/>
      <c r="AM24" s="178"/>
      <c r="AN24" s="178"/>
      <c r="AO24" s="178"/>
      <c r="AP24" s="178"/>
      <c r="AQ24" s="178"/>
      <c r="AR24" s="178"/>
      <c r="AS24" s="178"/>
      <c r="AT24" s="178"/>
      <c r="AU24" s="178"/>
      <c r="AV24" s="178"/>
      <c r="AW24" s="178"/>
      <c r="AX24" s="178"/>
      <c r="AY24" s="178"/>
      <c r="AZ24" s="178"/>
      <c r="BA24" s="178"/>
      <c r="BB24" s="178"/>
      <c r="BC24" s="178"/>
      <c r="BD24" s="178"/>
      <c r="BE24" s="178"/>
      <c r="BF24" s="178"/>
      <c r="BG24" s="178"/>
      <c r="BH24" s="178"/>
    </row>
    <row r="25" spans="6:61" s="81" customFormat="1" ht="16.5" customHeight="1">
      <c r="F25" s="83"/>
      <c r="G25" s="82"/>
      <c r="H25" s="82"/>
      <c r="I25" s="82"/>
      <c r="J25" s="82"/>
      <c r="K25" s="179" t="s">
        <v>160</v>
      </c>
      <c r="L25" s="179"/>
      <c r="M25" s="179"/>
      <c r="N25" s="179"/>
      <c r="O25" s="179"/>
      <c r="P25" s="179"/>
      <c r="Q25" s="179" t="str">
        <f>K10</f>
        <v>마곡엠밸리4단지아파트</v>
      </c>
      <c r="R25" s="179"/>
      <c r="S25" s="179"/>
      <c r="T25" s="179"/>
      <c r="U25" s="179"/>
      <c r="V25" s="179"/>
      <c r="W25" s="179"/>
      <c r="X25" s="179"/>
      <c r="Y25" s="179"/>
      <c r="Z25" s="179"/>
      <c r="AA25" s="179"/>
      <c r="AB25" s="179"/>
      <c r="AC25" s="179"/>
      <c r="AD25" s="179"/>
      <c r="AE25" s="179"/>
      <c r="AF25" s="179"/>
      <c r="AG25" s="179"/>
      <c r="AH25" s="82"/>
      <c r="AM25" s="175"/>
      <c r="AN25" s="175"/>
      <c r="AO25" s="175"/>
      <c r="AP25" s="175"/>
      <c r="AQ25" s="175"/>
      <c r="AR25" s="175"/>
      <c r="AS25" s="175"/>
      <c r="AT25" s="175"/>
      <c r="AU25" s="175"/>
      <c r="AV25" s="175"/>
      <c r="AW25" s="175"/>
      <c r="AX25" s="175"/>
      <c r="AY25" s="175"/>
      <c r="AZ25" s="175"/>
      <c r="BA25" s="175"/>
      <c r="BB25" s="175"/>
      <c r="BC25" s="175"/>
      <c r="BD25" s="175"/>
      <c r="BE25" s="175"/>
      <c r="BF25" s="175"/>
      <c r="BG25" s="175"/>
      <c r="BH25" s="175"/>
    </row>
    <row r="26" spans="6:61" s="81" customFormat="1" ht="16.5" customHeight="1">
      <c r="F26" s="83"/>
      <c r="G26" s="82"/>
      <c r="H26" s="82"/>
      <c r="I26" s="82"/>
      <c r="J26" s="82"/>
      <c r="K26" s="179" t="s">
        <v>161</v>
      </c>
      <c r="L26" s="179"/>
      <c r="M26" s="179"/>
      <c r="N26" s="179"/>
      <c r="O26" s="179"/>
      <c r="P26" s="179"/>
      <c r="Q26" s="179" t="s">
        <v>156</v>
      </c>
      <c r="R26" s="179"/>
      <c r="S26" s="179"/>
      <c r="T26" s="179"/>
      <c r="U26" s="179"/>
      <c r="V26" s="179"/>
      <c r="W26" s="179"/>
      <c r="X26" s="179"/>
      <c r="Y26" s="179"/>
      <c r="Z26" s="179"/>
      <c r="AA26" s="179"/>
      <c r="AB26" s="179"/>
      <c r="AC26" s="179"/>
      <c r="AD26" s="179"/>
      <c r="AE26" s="179"/>
      <c r="AF26" s="179"/>
      <c r="AG26" s="179"/>
      <c r="AH26" s="82"/>
    </row>
    <row r="27" spans="6:61" s="81" customFormat="1" ht="16.5" customHeight="1">
      <c r="F27" s="83"/>
      <c r="G27" s="82"/>
      <c r="H27" s="82"/>
      <c r="I27" s="82"/>
      <c r="J27" s="82"/>
      <c r="K27" s="179" t="s">
        <v>162</v>
      </c>
      <c r="L27" s="179"/>
      <c r="M27" s="179"/>
      <c r="N27" s="179"/>
      <c r="O27" s="179"/>
      <c r="P27" s="179"/>
      <c r="Q27" s="179" t="s">
        <v>157</v>
      </c>
      <c r="R27" s="179"/>
      <c r="S27" s="179"/>
      <c r="T27" s="179"/>
      <c r="U27" s="179"/>
      <c r="V27" s="179"/>
      <c r="W27" s="179"/>
      <c r="X27" s="179"/>
      <c r="Y27" s="179"/>
      <c r="Z27" s="179"/>
      <c r="AA27" s="179"/>
      <c r="AB27" s="179"/>
      <c r="AC27" s="179"/>
      <c r="AD27" s="179"/>
      <c r="AE27" s="179"/>
      <c r="AF27" s="179"/>
      <c r="AG27" s="179"/>
      <c r="AH27" s="82"/>
    </row>
    <row r="28" spans="6:61" s="81" customFormat="1" ht="16.5" customHeight="1">
      <c r="F28" s="83"/>
      <c r="G28" s="82"/>
      <c r="H28" s="82"/>
      <c r="I28" s="82"/>
      <c r="J28" s="82"/>
      <c r="K28" s="179" t="s">
        <v>163</v>
      </c>
      <c r="L28" s="179"/>
      <c r="M28" s="179"/>
      <c r="N28" s="179"/>
      <c r="O28" s="179"/>
      <c r="P28" s="179"/>
      <c r="Q28" s="179" t="s">
        <v>158</v>
      </c>
      <c r="R28" s="179"/>
      <c r="S28" s="179"/>
      <c r="T28" s="179"/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179"/>
      <c r="AF28" s="179"/>
      <c r="AG28" s="179"/>
      <c r="AH28" s="82"/>
    </row>
    <row r="29" spans="6:61" s="81" customFormat="1" ht="16.5" customHeight="1">
      <c r="F29" s="83"/>
      <c r="G29" s="82"/>
      <c r="H29" s="82"/>
      <c r="I29" s="82"/>
      <c r="J29" s="82"/>
      <c r="K29" s="179" t="s">
        <v>164</v>
      </c>
      <c r="L29" s="179"/>
      <c r="M29" s="179"/>
      <c r="N29" s="179"/>
      <c r="O29" s="179"/>
      <c r="P29" s="179"/>
      <c r="Q29" s="179" t="s">
        <v>159</v>
      </c>
      <c r="R29" s="179"/>
      <c r="S29" s="179"/>
      <c r="T29" s="179"/>
      <c r="U29" s="179"/>
      <c r="V29" s="179"/>
      <c r="W29" s="179"/>
      <c r="X29" s="179"/>
      <c r="Y29" s="179"/>
      <c r="Z29" s="179"/>
      <c r="AA29" s="179"/>
      <c r="AB29" s="97"/>
      <c r="AC29" s="97"/>
      <c r="AD29" s="97"/>
      <c r="AE29" s="97"/>
      <c r="AF29" s="97"/>
      <c r="AG29" s="97"/>
      <c r="AH29" s="98"/>
    </row>
    <row r="30" spans="6:61" s="79" customFormat="1" ht="5" customHeight="1"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</row>
    <row r="31" spans="6:61" s="79" customFormat="1" ht="19.5" customHeight="1">
      <c r="F31" s="82"/>
      <c r="G31" s="172" t="s">
        <v>172</v>
      </c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82"/>
      <c r="S31" s="97"/>
      <c r="T31" s="97"/>
      <c r="U31" s="97"/>
      <c r="V31" s="99"/>
      <c r="W31" s="99"/>
      <c r="X31" s="99"/>
      <c r="Y31" s="99"/>
      <c r="Z31" s="99"/>
      <c r="AA31" s="99"/>
      <c r="AB31" s="99"/>
      <c r="AC31" s="99"/>
      <c r="AD31" s="99"/>
      <c r="AE31" s="99"/>
      <c r="AF31" s="99"/>
      <c r="AG31" s="99"/>
      <c r="AH31" s="82"/>
    </row>
    <row r="32" spans="6:61" s="81" customFormat="1" ht="16.5" customHeight="1">
      <c r="F32" s="83"/>
      <c r="G32" s="82"/>
      <c r="H32" s="82"/>
      <c r="I32" s="82"/>
      <c r="J32" s="99"/>
      <c r="K32" s="176" t="s">
        <v>152</v>
      </c>
      <c r="L32" s="176"/>
      <c r="M32" s="176"/>
      <c r="N32" s="176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  <c r="AA32" s="176"/>
      <c r="AB32" s="176"/>
      <c r="AC32" s="176"/>
      <c r="AD32" s="176"/>
      <c r="AE32" s="176"/>
      <c r="AF32" s="176"/>
      <c r="AG32" s="176"/>
      <c r="AH32" s="176"/>
    </row>
    <row r="33" spans="6:37" s="81" customFormat="1" ht="16.5" customHeight="1">
      <c r="F33" s="83"/>
      <c r="G33" s="82"/>
      <c r="H33" s="82"/>
      <c r="I33" s="82"/>
      <c r="J33" s="99"/>
      <c r="K33" s="176" t="s">
        <v>153</v>
      </c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</row>
    <row r="34" spans="6:37" s="79" customFormat="1" ht="5" customHeight="1"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</row>
    <row r="35" spans="6:37" s="106" customFormat="1" ht="19" customHeight="1">
      <c r="F35" s="105"/>
      <c r="G35" s="181" t="s">
        <v>174</v>
      </c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 t="str">
        <f>대가산출!I3</f>
        <v>일금오십만원정 (₩500,000) - VAT별도</v>
      </c>
      <c r="S35" s="181"/>
      <c r="T35" s="181"/>
      <c r="U35" s="181"/>
      <c r="V35" s="181"/>
      <c r="W35" s="181"/>
      <c r="X35" s="181"/>
      <c r="Y35" s="181"/>
      <c r="Z35" s="181"/>
      <c r="AA35" s="181"/>
      <c r="AB35" s="181"/>
      <c r="AC35" s="181"/>
      <c r="AD35" s="181"/>
      <c r="AE35" s="181"/>
      <c r="AF35" s="181"/>
      <c r="AG35" s="182"/>
      <c r="AH35" s="182"/>
    </row>
    <row r="36" spans="6:37" s="79" customFormat="1" ht="5" customHeight="1"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</row>
    <row r="37" spans="6:37" s="79" customFormat="1" ht="19.5" customHeight="1">
      <c r="F37" s="82" t="s">
        <v>11</v>
      </c>
      <c r="G37" s="172" t="s">
        <v>173</v>
      </c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82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82"/>
    </row>
    <row r="38" spans="6:37" s="79" customFormat="1" ht="16.5" customHeight="1">
      <c r="F38" s="82"/>
      <c r="G38" s="82"/>
      <c r="H38" s="82"/>
      <c r="I38" s="82"/>
      <c r="J38" s="82"/>
      <c r="K38" s="183" t="s">
        <v>133</v>
      </c>
      <c r="L38" s="183"/>
      <c r="M38" s="183"/>
      <c r="N38" s="183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  <c r="AA38" s="183"/>
      <c r="AB38" s="183"/>
      <c r="AC38" s="183"/>
      <c r="AD38" s="183"/>
      <c r="AE38" s="183"/>
      <c r="AF38" s="183"/>
      <c r="AG38" s="183"/>
      <c r="AH38" s="101"/>
      <c r="AI38" s="91"/>
      <c r="AJ38" s="91"/>
      <c r="AK38" s="91"/>
    </row>
    <row r="39" spans="6:37" s="79" customFormat="1" ht="16.5" customHeight="1">
      <c r="F39" s="82"/>
      <c r="G39" s="82"/>
      <c r="H39" s="82"/>
      <c r="I39" s="82"/>
      <c r="J39" s="82"/>
      <c r="K39" s="184" t="s">
        <v>84</v>
      </c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  <c r="AB39" s="184"/>
      <c r="AC39" s="184"/>
      <c r="AD39" s="184"/>
      <c r="AE39" s="184"/>
      <c r="AF39" s="184"/>
      <c r="AG39" s="184"/>
      <c r="AH39" s="82"/>
    </row>
    <row r="40" spans="6:37" s="79" customFormat="1" ht="15">
      <c r="F40" s="84"/>
      <c r="G40" s="82"/>
      <c r="H40" s="82"/>
      <c r="I40" s="82"/>
      <c r="J40" s="82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82"/>
    </row>
    <row r="41" spans="6:37" s="79" customFormat="1" ht="15">
      <c r="F41" s="84"/>
      <c r="G41" s="82"/>
      <c r="H41" s="82"/>
      <c r="I41" s="82"/>
      <c r="J41" s="82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82"/>
    </row>
    <row r="42" spans="6:37" s="79" customFormat="1" ht="15.75" customHeight="1">
      <c r="G42" s="10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  <c r="AI42" s="85"/>
    </row>
    <row r="43" spans="6:37" s="79" customFormat="1" ht="19.5" customHeight="1">
      <c r="G43" s="172" t="s">
        <v>90</v>
      </c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  <c r="AE43" s="172"/>
      <c r="AF43" s="172"/>
      <c r="AG43" s="172"/>
      <c r="AH43" s="172"/>
      <c r="AI43" s="85"/>
    </row>
    <row r="44" spans="6:37" s="79" customFormat="1" ht="15.75" customHeight="1">
      <c r="G44" s="10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  <c r="AI44" s="85"/>
    </row>
    <row r="45" spans="6:37" s="79" customFormat="1" ht="39.75" customHeight="1">
      <c r="G45" s="180" t="s">
        <v>7</v>
      </c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  <c r="Y45" s="180"/>
      <c r="Z45" s="180"/>
      <c r="AA45" s="180"/>
      <c r="AB45" s="180"/>
      <c r="AC45" s="180"/>
      <c r="AD45" s="180"/>
      <c r="AE45" s="180"/>
      <c r="AF45" s="180"/>
      <c r="AG45" s="180"/>
      <c r="AH45" s="180"/>
      <c r="AI45" s="92"/>
    </row>
    <row r="46" spans="6:37">
      <c r="G46" s="103"/>
      <c r="H46" s="103"/>
      <c r="I46" s="104"/>
      <c r="J46" s="104"/>
      <c r="K46" s="104"/>
      <c r="L46" s="104"/>
      <c r="M46" s="104"/>
      <c r="N46" s="104"/>
      <c r="O46" s="104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</row>
    <row r="47" spans="6:37">
      <c r="G47" s="87"/>
      <c r="H47" s="87"/>
      <c r="I47" s="88"/>
      <c r="J47" s="88"/>
      <c r="K47" s="88"/>
      <c r="L47" s="88"/>
      <c r="M47" s="88"/>
      <c r="N47" s="88"/>
      <c r="O47" s="88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  <c r="AA47" s="87"/>
      <c r="AB47" s="87"/>
      <c r="AC47" s="87"/>
      <c r="AD47" s="87"/>
      <c r="AE47" s="87"/>
      <c r="AF47" s="87"/>
      <c r="AG47" s="87"/>
    </row>
    <row r="48" spans="6:37">
      <c r="G48" s="87"/>
      <c r="H48" s="87"/>
      <c r="I48" s="88"/>
      <c r="J48" s="88"/>
      <c r="K48" s="88"/>
      <c r="L48" s="88"/>
      <c r="M48" s="88"/>
      <c r="N48" s="88"/>
      <c r="O48" s="88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  <c r="AA48" s="87"/>
      <c r="AB48" s="87"/>
      <c r="AC48" s="87"/>
      <c r="AD48" s="87"/>
      <c r="AE48" s="87"/>
      <c r="AF48" s="87"/>
      <c r="AG48" s="87"/>
    </row>
    <row r="49" spans="9:15">
      <c r="I49" s="89"/>
      <c r="J49" s="89"/>
      <c r="K49" s="89"/>
      <c r="L49" s="89"/>
      <c r="M49" s="89"/>
      <c r="N49" s="89"/>
      <c r="O49" s="89"/>
    </row>
    <row r="50" spans="9:15">
      <c r="I50" s="89"/>
      <c r="J50" s="89"/>
      <c r="K50" s="89"/>
      <c r="L50" s="89"/>
      <c r="M50" s="89"/>
      <c r="N50" s="89"/>
      <c r="O50" s="89"/>
    </row>
    <row r="51" spans="9:15">
      <c r="I51" s="89"/>
      <c r="J51" s="89"/>
      <c r="K51" s="89"/>
      <c r="L51" s="89"/>
      <c r="M51" s="89"/>
      <c r="N51" s="89"/>
      <c r="O51" s="89"/>
    </row>
    <row r="52" spans="9:15">
      <c r="I52" s="89"/>
      <c r="J52" s="89"/>
      <c r="K52" s="89"/>
      <c r="L52" s="89"/>
      <c r="M52" s="89"/>
      <c r="N52" s="89"/>
      <c r="O52" s="89"/>
    </row>
    <row r="53" spans="9:15">
      <c r="I53" s="89"/>
      <c r="J53" s="89"/>
      <c r="K53" s="89"/>
      <c r="L53" s="89"/>
      <c r="M53" s="89"/>
      <c r="N53" s="89"/>
      <c r="O53" s="89"/>
    </row>
    <row r="54" spans="9:15">
      <c r="I54" s="89"/>
      <c r="J54" s="89"/>
      <c r="K54" s="89"/>
      <c r="L54" s="89"/>
      <c r="M54" s="89"/>
      <c r="N54" s="89"/>
      <c r="O54" s="89"/>
    </row>
    <row r="55" spans="9:15">
      <c r="I55" s="89"/>
      <c r="J55" s="89"/>
      <c r="K55" s="89"/>
      <c r="L55" s="89"/>
      <c r="M55" s="89"/>
      <c r="N55" s="89"/>
      <c r="O55" s="89"/>
    </row>
    <row r="56" spans="9:15">
      <c r="I56" s="89"/>
      <c r="J56" s="89"/>
      <c r="K56" s="89"/>
      <c r="L56" s="89"/>
      <c r="M56" s="89"/>
      <c r="N56" s="89"/>
      <c r="O56" s="89"/>
    </row>
    <row r="57" spans="9:15">
      <c r="I57" s="89"/>
      <c r="J57" s="89"/>
      <c r="K57" s="89"/>
      <c r="L57" s="89"/>
      <c r="M57" s="89"/>
      <c r="N57" s="89"/>
      <c r="O57" s="89"/>
    </row>
    <row r="58" spans="9:15">
      <c r="I58" s="89"/>
      <c r="J58" s="89"/>
      <c r="K58" s="89"/>
      <c r="L58" s="89"/>
      <c r="M58" s="89"/>
      <c r="N58" s="89"/>
      <c r="O58" s="89"/>
    </row>
    <row r="59" spans="9:15">
      <c r="I59" s="89"/>
      <c r="J59" s="89"/>
      <c r="K59" s="89"/>
      <c r="L59" s="89"/>
      <c r="M59" s="89"/>
      <c r="N59" s="89"/>
      <c r="O59" s="89"/>
    </row>
    <row r="60" spans="9:15">
      <c r="I60" s="89"/>
      <c r="J60" s="89"/>
      <c r="K60" s="89"/>
      <c r="L60" s="89"/>
      <c r="M60" s="89"/>
      <c r="N60" s="89"/>
      <c r="O60" s="89"/>
    </row>
    <row r="61" spans="9:15">
      <c r="I61" s="89"/>
      <c r="J61" s="89"/>
      <c r="K61" s="89"/>
      <c r="L61" s="89"/>
      <c r="M61" s="89"/>
      <c r="N61" s="89"/>
      <c r="O61" s="89"/>
    </row>
    <row r="62" spans="9:15">
      <c r="I62" s="89"/>
      <c r="J62" s="89"/>
      <c r="K62" s="89"/>
      <c r="L62" s="89"/>
      <c r="M62" s="89"/>
      <c r="N62" s="89"/>
      <c r="O62" s="89"/>
    </row>
    <row r="63" spans="9:15">
      <c r="I63" s="89"/>
      <c r="J63" s="89"/>
      <c r="K63" s="89"/>
      <c r="L63" s="89"/>
      <c r="M63" s="89"/>
      <c r="N63" s="89"/>
      <c r="O63" s="89"/>
    </row>
    <row r="64" spans="9:15">
      <c r="I64" s="89"/>
      <c r="J64" s="89"/>
      <c r="K64" s="89"/>
      <c r="L64" s="89"/>
      <c r="M64" s="89"/>
      <c r="N64" s="89"/>
      <c r="O64" s="89"/>
    </row>
    <row r="65" spans="9:15">
      <c r="I65" s="89"/>
      <c r="J65" s="89"/>
      <c r="K65" s="89"/>
      <c r="L65" s="89"/>
      <c r="M65" s="89"/>
      <c r="N65" s="89"/>
      <c r="O65" s="89"/>
    </row>
    <row r="66" spans="9:15">
      <c r="I66" s="89"/>
      <c r="J66" s="89"/>
      <c r="K66" s="89"/>
      <c r="L66" s="89"/>
      <c r="M66" s="89"/>
      <c r="N66" s="89"/>
      <c r="O66" s="89"/>
    </row>
    <row r="67" spans="9:15">
      <c r="I67" s="89"/>
      <c r="J67" s="89"/>
      <c r="K67" s="89"/>
      <c r="L67" s="89"/>
      <c r="M67" s="89"/>
      <c r="N67" s="89"/>
      <c r="O67" s="89"/>
    </row>
    <row r="68" spans="9:15">
      <c r="I68" s="89"/>
      <c r="J68" s="89"/>
      <c r="K68" s="89"/>
      <c r="L68" s="89"/>
      <c r="M68" s="89"/>
      <c r="N68" s="89"/>
      <c r="O68" s="89"/>
    </row>
    <row r="69" spans="9:15">
      <c r="I69" s="89"/>
      <c r="J69" s="89"/>
      <c r="K69" s="89"/>
      <c r="L69" s="89"/>
      <c r="M69" s="89"/>
      <c r="N69" s="89"/>
      <c r="O69" s="89"/>
    </row>
    <row r="70" spans="9:15">
      <c r="I70" s="89"/>
      <c r="J70" s="89"/>
      <c r="K70" s="89"/>
      <c r="L70" s="89"/>
      <c r="M70" s="89"/>
      <c r="N70" s="89"/>
      <c r="O70" s="89"/>
    </row>
    <row r="71" spans="9:15">
      <c r="I71" s="89"/>
      <c r="J71" s="89"/>
      <c r="K71" s="89"/>
      <c r="L71" s="89"/>
      <c r="M71" s="89"/>
      <c r="N71" s="89"/>
      <c r="O71" s="89"/>
    </row>
    <row r="72" spans="9:15">
      <c r="I72" s="89"/>
      <c r="J72" s="89"/>
      <c r="K72" s="89"/>
      <c r="L72" s="89"/>
      <c r="M72" s="89"/>
      <c r="N72" s="89"/>
      <c r="O72" s="89"/>
    </row>
    <row r="73" spans="9:15">
      <c r="I73" s="89"/>
      <c r="J73" s="89"/>
      <c r="K73" s="89"/>
      <c r="L73" s="89"/>
      <c r="M73" s="89"/>
      <c r="N73" s="89"/>
      <c r="O73" s="89"/>
    </row>
    <row r="74" spans="9:15">
      <c r="I74" s="89"/>
      <c r="J74" s="89"/>
      <c r="K74" s="89"/>
      <c r="L74" s="89"/>
      <c r="M74" s="89"/>
      <c r="N74" s="89"/>
      <c r="O74" s="89"/>
    </row>
    <row r="75" spans="9:15">
      <c r="I75" s="89"/>
      <c r="J75" s="89"/>
      <c r="K75" s="89"/>
      <c r="L75" s="89"/>
      <c r="M75" s="89"/>
      <c r="N75" s="89"/>
      <c r="O75" s="89"/>
    </row>
    <row r="76" spans="9:15">
      <c r="I76" s="89"/>
      <c r="J76" s="89"/>
      <c r="K76" s="89"/>
      <c r="L76" s="89"/>
      <c r="M76" s="89"/>
      <c r="N76" s="89"/>
      <c r="O76" s="89"/>
    </row>
    <row r="77" spans="9:15">
      <c r="I77" s="89"/>
      <c r="J77" s="89"/>
      <c r="K77" s="89"/>
      <c r="L77" s="89"/>
      <c r="M77" s="89"/>
      <c r="N77" s="89"/>
      <c r="O77" s="89"/>
    </row>
    <row r="78" spans="9:15">
      <c r="I78" s="89"/>
      <c r="J78" s="89"/>
      <c r="K78" s="89"/>
      <c r="L78" s="89"/>
      <c r="M78" s="89"/>
      <c r="N78" s="89"/>
      <c r="O78" s="89"/>
    </row>
    <row r="79" spans="9:15">
      <c r="I79" s="89"/>
      <c r="J79" s="89"/>
      <c r="K79" s="89"/>
      <c r="L79" s="89"/>
      <c r="M79" s="89"/>
      <c r="N79" s="89"/>
      <c r="O79" s="89"/>
    </row>
    <row r="80" spans="9:15">
      <c r="I80" s="89"/>
      <c r="J80" s="89"/>
      <c r="K80" s="89"/>
      <c r="L80" s="89"/>
      <c r="M80" s="89"/>
      <c r="N80" s="89"/>
      <c r="O80" s="89"/>
    </row>
    <row r="81" spans="9:15">
      <c r="I81" s="89"/>
      <c r="J81" s="89"/>
      <c r="K81" s="89"/>
      <c r="L81" s="89"/>
      <c r="M81" s="89"/>
      <c r="N81" s="89"/>
      <c r="O81" s="89"/>
    </row>
    <row r="82" spans="9:15">
      <c r="I82" s="89"/>
      <c r="J82" s="89"/>
      <c r="K82" s="89"/>
      <c r="L82" s="89"/>
      <c r="M82" s="89"/>
      <c r="N82" s="89"/>
      <c r="O82" s="89"/>
    </row>
    <row r="83" spans="9:15">
      <c r="I83" s="89"/>
      <c r="J83" s="89"/>
      <c r="K83" s="89"/>
      <c r="L83" s="89"/>
      <c r="M83" s="89"/>
      <c r="N83" s="89"/>
      <c r="O83" s="89"/>
    </row>
    <row r="84" spans="9:15">
      <c r="I84" s="89"/>
      <c r="J84" s="89"/>
      <c r="K84" s="89"/>
      <c r="L84" s="89"/>
      <c r="M84" s="89"/>
      <c r="N84" s="89"/>
      <c r="O84" s="89"/>
    </row>
    <row r="85" spans="9:15">
      <c r="I85" s="89"/>
      <c r="J85" s="89"/>
      <c r="K85" s="89"/>
      <c r="L85" s="89"/>
      <c r="M85" s="89"/>
      <c r="N85" s="89"/>
      <c r="O85" s="89"/>
    </row>
    <row r="86" spans="9:15">
      <c r="I86" s="89"/>
      <c r="J86" s="89"/>
      <c r="K86" s="89"/>
      <c r="L86" s="89"/>
      <c r="M86" s="89"/>
      <c r="N86" s="89"/>
      <c r="O86" s="89"/>
    </row>
    <row r="87" spans="9:15">
      <c r="I87" s="89"/>
      <c r="J87" s="89"/>
      <c r="K87" s="89"/>
      <c r="L87" s="89"/>
      <c r="M87" s="89"/>
      <c r="N87" s="89"/>
      <c r="O87" s="89"/>
    </row>
    <row r="88" spans="9:15">
      <c r="I88" s="89"/>
      <c r="J88" s="89"/>
      <c r="K88" s="89"/>
      <c r="L88" s="89"/>
      <c r="M88" s="89"/>
      <c r="N88" s="89"/>
      <c r="O88" s="89"/>
    </row>
    <row r="89" spans="9:15">
      <c r="I89" s="89"/>
      <c r="J89" s="89"/>
      <c r="K89" s="89"/>
      <c r="L89" s="89"/>
      <c r="M89" s="89"/>
      <c r="N89" s="89"/>
      <c r="O89" s="89"/>
    </row>
    <row r="90" spans="9:15">
      <c r="I90" s="89"/>
      <c r="J90" s="89"/>
      <c r="K90" s="89"/>
      <c r="L90" s="89"/>
      <c r="M90" s="89"/>
      <c r="N90" s="89"/>
      <c r="O90" s="89"/>
    </row>
    <row r="91" spans="9:15">
      <c r="I91" s="89"/>
      <c r="J91" s="89"/>
      <c r="K91" s="89"/>
      <c r="L91" s="89"/>
      <c r="M91" s="89"/>
      <c r="N91" s="89"/>
      <c r="O91" s="89"/>
    </row>
    <row r="92" spans="9:15">
      <c r="I92" s="89"/>
      <c r="J92" s="89"/>
      <c r="K92" s="89"/>
      <c r="L92" s="89"/>
      <c r="M92" s="89"/>
      <c r="N92" s="89"/>
      <c r="O92" s="89"/>
    </row>
    <row r="93" spans="9:15">
      <c r="I93" s="89"/>
      <c r="J93" s="89"/>
      <c r="K93" s="89"/>
      <c r="L93" s="89"/>
      <c r="M93" s="89"/>
      <c r="N93" s="89"/>
      <c r="O93" s="89"/>
    </row>
    <row r="94" spans="9:15">
      <c r="I94" s="89"/>
      <c r="J94" s="89"/>
      <c r="K94" s="89"/>
      <c r="L94" s="89"/>
      <c r="M94" s="89"/>
      <c r="N94" s="89"/>
      <c r="O94" s="89"/>
    </row>
    <row r="95" spans="9:15">
      <c r="I95" s="89"/>
      <c r="J95" s="89"/>
      <c r="K95" s="89"/>
      <c r="L95" s="89"/>
      <c r="M95" s="89"/>
      <c r="N95" s="89"/>
      <c r="O95" s="89"/>
    </row>
    <row r="96" spans="9:15">
      <c r="I96" s="89"/>
      <c r="J96" s="89"/>
      <c r="K96" s="89"/>
      <c r="L96" s="89"/>
      <c r="M96" s="89"/>
      <c r="N96" s="89"/>
      <c r="O96" s="89"/>
    </row>
    <row r="97" spans="9:15">
      <c r="I97" s="89"/>
      <c r="J97" s="89"/>
      <c r="K97" s="89"/>
      <c r="L97" s="89"/>
      <c r="M97" s="89"/>
      <c r="N97" s="89"/>
      <c r="O97" s="89"/>
    </row>
    <row r="98" spans="9:15">
      <c r="I98" s="89"/>
      <c r="J98" s="89"/>
      <c r="K98" s="89"/>
      <c r="L98" s="89"/>
      <c r="M98" s="89"/>
      <c r="N98" s="89"/>
      <c r="O98" s="89"/>
    </row>
    <row r="99" spans="9:15">
      <c r="I99" s="89"/>
      <c r="J99" s="89"/>
      <c r="K99" s="89"/>
      <c r="L99" s="89"/>
      <c r="M99" s="89"/>
      <c r="N99" s="89"/>
      <c r="O99" s="89"/>
    </row>
    <row r="100" spans="9:15">
      <c r="I100" s="89"/>
      <c r="J100" s="89"/>
      <c r="K100" s="89"/>
      <c r="L100" s="89"/>
      <c r="M100" s="89"/>
      <c r="N100" s="89"/>
      <c r="O100" s="89"/>
    </row>
    <row r="101" spans="9:15">
      <c r="I101" s="89"/>
      <c r="J101" s="89"/>
      <c r="K101" s="89"/>
      <c r="L101" s="89"/>
      <c r="M101" s="89"/>
      <c r="N101" s="89"/>
      <c r="O101" s="89"/>
    </row>
    <row r="102" spans="9:15">
      <c r="I102" s="89"/>
      <c r="J102" s="89"/>
      <c r="K102" s="89"/>
      <c r="L102" s="89"/>
      <c r="M102" s="89"/>
      <c r="N102" s="89"/>
      <c r="O102" s="89"/>
    </row>
    <row r="103" spans="9:15">
      <c r="I103" s="89"/>
      <c r="J103" s="89"/>
      <c r="K103" s="89"/>
      <c r="L103" s="89"/>
      <c r="M103" s="89"/>
      <c r="N103" s="89"/>
      <c r="O103" s="89"/>
    </row>
    <row r="104" spans="9:15">
      <c r="I104" s="89"/>
      <c r="J104" s="89"/>
      <c r="K104" s="89"/>
      <c r="L104" s="89"/>
      <c r="M104" s="89"/>
      <c r="N104" s="89"/>
      <c r="O104" s="89"/>
    </row>
    <row r="105" spans="9:15">
      <c r="I105" s="89"/>
      <c r="J105" s="89"/>
      <c r="K105" s="89"/>
      <c r="L105" s="89"/>
      <c r="M105" s="89"/>
      <c r="N105" s="89"/>
      <c r="O105" s="89"/>
    </row>
    <row r="106" spans="9:15">
      <c r="I106" s="89"/>
      <c r="J106" s="89"/>
      <c r="K106" s="89"/>
      <c r="L106" s="89"/>
      <c r="M106" s="89"/>
      <c r="N106" s="89"/>
      <c r="O106" s="89"/>
    </row>
    <row r="107" spans="9:15">
      <c r="I107" s="89"/>
      <c r="J107" s="89"/>
      <c r="K107" s="89"/>
      <c r="L107" s="89"/>
      <c r="M107" s="89"/>
      <c r="N107" s="89"/>
      <c r="O107" s="89"/>
    </row>
    <row r="108" spans="9:15">
      <c r="I108" s="89"/>
      <c r="J108" s="89"/>
      <c r="K108" s="89"/>
      <c r="L108" s="89"/>
      <c r="M108" s="89"/>
      <c r="N108" s="89"/>
      <c r="O108" s="89"/>
    </row>
    <row r="109" spans="9:15">
      <c r="I109" s="89"/>
      <c r="J109" s="89"/>
      <c r="K109" s="89"/>
      <c r="L109" s="89"/>
      <c r="M109" s="89"/>
      <c r="N109" s="89"/>
      <c r="O109" s="89"/>
    </row>
    <row r="110" spans="9:15">
      <c r="I110" s="89"/>
      <c r="J110" s="89"/>
      <c r="K110" s="89"/>
      <c r="L110" s="89"/>
      <c r="M110" s="89"/>
      <c r="N110" s="89"/>
      <c r="O110" s="89"/>
    </row>
    <row r="111" spans="9:15">
      <c r="I111" s="89"/>
      <c r="J111" s="89"/>
      <c r="K111" s="89"/>
      <c r="L111" s="89"/>
      <c r="M111" s="89"/>
      <c r="N111" s="89"/>
      <c r="O111" s="89"/>
    </row>
    <row r="112" spans="9:15">
      <c r="I112" s="89"/>
      <c r="J112" s="89"/>
      <c r="K112" s="89"/>
      <c r="L112" s="89"/>
      <c r="M112" s="89"/>
      <c r="N112" s="89"/>
      <c r="O112" s="89"/>
    </row>
    <row r="113" spans="9:15">
      <c r="I113" s="89"/>
      <c r="J113" s="89"/>
      <c r="K113" s="89"/>
      <c r="L113" s="89"/>
      <c r="M113" s="89"/>
      <c r="N113" s="89"/>
      <c r="O113" s="89"/>
    </row>
    <row r="114" spans="9:15">
      <c r="I114" s="89"/>
      <c r="J114" s="89"/>
      <c r="K114" s="89"/>
      <c r="L114" s="89"/>
      <c r="M114" s="89"/>
      <c r="N114" s="89"/>
      <c r="O114" s="89"/>
    </row>
    <row r="115" spans="9:15">
      <c r="I115" s="89"/>
      <c r="J115" s="89"/>
      <c r="K115" s="89"/>
      <c r="L115" s="89"/>
      <c r="M115" s="89"/>
      <c r="N115" s="89"/>
      <c r="O115" s="89"/>
    </row>
    <row r="116" spans="9:15">
      <c r="I116" s="89"/>
      <c r="J116" s="89"/>
      <c r="K116" s="89"/>
      <c r="L116" s="89"/>
      <c r="M116" s="89"/>
      <c r="N116" s="89"/>
      <c r="O116" s="89"/>
    </row>
    <row r="117" spans="9:15">
      <c r="I117" s="89"/>
      <c r="J117" s="89"/>
      <c r="K117" s="89"/>
      <c r="L117" s="89"/>
      <c r="M117" s="89"/>
      <c r="N117" s="89"/>
      <c r="O117" s="89"/>
    </row>
  </sheetData>
  <mergeCells count="45">
    <mergeCell ref="Q26:AG26"/>
    <mergeCell ref="Q27:AG27"/>
    <mergeCell ref="Q28:AG28"/>
    <mergeCell ref="Q29:AA29"/>
    <mergeCell ref="K25:P25"/>
    <mergeCell ref="K26:P26"/>
    <mergeCell ref="K27:P27"/>
    <mergeCell ref="K28:P28"/>
    <mergeCell ref="K29:P29"/>
    <mergeCell ref="G45:AH45"/>
    <mergeCell ref="R35:AF35"/>
    <mergeCell ref="AG35:AH35"/>
    <mergeCell ref="G37:Q37"/>
    <mergeCell ref="G31:Q31"/>
    <mergeCell ref="G35:Q35"/>
    <mergeCell ref="K32:AH32"/>
    <mergeCell ref="K33:AH33"/>
    <mergeCell ref="K38:AG38"/>
    <mergeCell ref="K39:AG39"/>
    <mergeCell ref="G43:AH43"/>
    <mergeCell ref="AM25:BH25"/>
    <mergeCell ref="G20:AH20"/>
    <mergeCell ref="G21:AH21"/>
    <mergeCell ref="G22:AH22"/>
    <mergeCell ref="AN23:BI23"/>
    <mergeCell ref="G24:AH24"/>
    <mergeCell ref="AM24:BH24"/>
    <mergeCell ref="Q25:AG25"/>
    <mergeCell ref="G13:AH13"/>
    <mergeCell ref="G15:AH15"/>
    <mergeCell ref="G16:AH16"/>
    <mergeCell ref="G17:AH17"/>
    <mergeCell ref="G18:AH18"/>
    <mergeCell ref="G8:J8"/>
    <mergeCell ref="K8:AH8"/>
    <mergeCell ref="G9:J9"/>
    <mergeCell ref="K9:AH9"/>
    <mergeCell ref="G10:J10"/>
    <mergeCell ref="K10:AH10"/>
    <mergeCell ref="G1:AH1"/>
    <mergeCell ref="G3:AH3"/>
    <mergeCell ref="G6:J6"/>
    <mergeCell ref="K6:V6"/>
    <mergeCell ref="G7:J7"/>
    <mergeCell ref="K7:V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1" manualBreakCount="1">
    <brk id="46" min="6" max="3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G1:N36"/>
  <sheetViews>
    <sheetView view="pageBreakPreview" topLeftCell="F1" zoomScaleNormal="100" zoomScaleSheetLayoutView="100" workbookViewId="0">
      <selection activeCell="H14" sqref="H14"/>
    </sheetView>
  </sheetViews>
  <sheetFormatPr baseColWidth="10" defaultColWidth="14.83203125" defaultRowHeight="14"/>
  <cols>
    <col min="1" max="5" width="14.83203125" style="1" customWidth="1"/>
    <col min="6" max="6" width="11.33203125" style="1" customWidth="1"/>
    <col min="7" max="7" width="13.83203125" style="1" customWidth="1"/>
    <col min="8" max="8" width="8.33203125" style="1" customWidth="1"/>
    <col min="9" max="9" width="12.5" style="1" customWidth="1"/>
    <col min="10" max="11" width="7.1640625" style="30" customWidth="1"/>
    <col min="12" max="13" width="11.1640625" style="1" customWidth="1"/>
    <col min="14" max="14" width="15.83203125" style="1" customWidth="1"/>
    <col min="15" max="261" width="11.33203125" style="1" customWidth="1"/>
    <col min="262" max="262" width="14.83203125" style="1" customWidth="1"/>
    <col min="263" max="16384" width="14.83203125" style="1"/>
  </cols>
  <sheetData>
    <row r="1" spans="7:14" s="48" customFormat="1" ht="39" customHeight="1">
      <c r="G1" s="185" t="s">
        <v>83</v>
      </c>
      <c r="H1" s="185"/>
      <c r="I1" s="185"/>
      <c r="J1" s="185"/>
      <c r="K1" s="185"/>
      <c r="L1" s="185"/>
      <c r="M1" s="185"/>
      <c r="N1" s="185"/>
    </row>
    <row r="2" spans="7:14" s="48" customFormat="1" ht="18" customHeight="1" thickBot="1">
      <c r="G2" s="24"/>
      <c r="H2" s="24"/>
      <c r="I2" s="24"/>
      <c r="J2" s="24"/>
      <c r="K2" s="24"/>
      <c r="L2" s="24"/>
      <c r="M2" s="186"/>
      <c r="N2" s="186"/>
    </row>
    <row r="3" spans="7:14" s="49" customFormat="1" ht="34.5" customHeight="1" thickBot="1">
      <c r="G3" s="187" t="s">
        <v>46</v>
      </c>
      <c r="H3" s="188"/>
      <c r="I3" s="189" t="str">
        <f>"일금"&amp;NUMBERSTRING(M24,1)&amp;"원정 (₩"&amp;TEXT(M24,"#,##0")&amp;") - VAT별도"</f>
        <v>일금오십만원정 (₩500,000) - VAT별도</v>
      </c>
      <c r="J3" s="190"/>
      <c r="K3" s="190"/>
      <c r="L3" s="190"/>
      <c r="M3" s="190"/>
      <c r="N3" s="191"/>
    </row>
    <row r="4" spans="7:14" s="49" customFormat="1" ht="38.25" hidden="1" customHeight="1">
      <c r="G4" s="192" t="s">
        <v>45</v>
      </c>
      <c r="H4" s="193"/>
      <c r="I4" s="194" t="str">
        <f>"일금 "&amp;NUMBERSTRING(M24,1)&amp;"원정"&amp;TEXT(M24,"(￦ #,##0)")&amp;" "</f>
        <v xml:space="preserve">일금 오십만원정(₩ 500,000) </v>
      </c>
      <c r="J4" s="195"/>
      <c r="K4" s="195"/>
      <c r="L4" s="195"/>
      <c r="M4" s="195"/>
      <c r="N4" s="196"/>
    </row>
    <row r="5" spans="7:14" s="49" customFormat="1" ht="38.25" hidden="1" customHeight="1">
      <c r="G5" s="197" t="s">
        <v>44</v>
      </c>
      <c r="H5" s="198"/>
      <c r="I5" s="199" t="e">
        <f>"일금 "&amp;NUMBERSTRING(M25,1)&amp;"원정"&amp;TEXT(M25,"(￦ #,##0)")&amp;" "</f>
        <v>#VALUE!</v>
      </c>
      <c r="J5" s="200"/>
      <c r="K5" s="200"/>
      <c r="L5" s="200"/>
      <c r="M5" s="200"/>
      <c r="N5" s="201"/>
    </row>
    <row r="6" spans="7:14" s="49" customFormat="1" ht="31.5" customHeight="1" thickBot="1">
      <c r="G6" s="202" t="s">
        <v>43</v>
      </c>
      <c r="H6" s="203"/>
      <c r="I6" s="203"/>
      <c r="J6" s="203"/>
      <c r="K6" s="203"/>
      <c r="L6" s="203"/>
      <c r="M6" s="203"/>
      <c r="N6" s="204"/>
    </row>
    <row r="7" spans="7:14" s="50" customFormat="1" ht="30" customHeight="1" thickBot="1">
      <c r="G7" s="205" t="s">
        <v>42</v>
      </c>
      <c r="H7" s="206"/>
      <c r="I7" s="58" t="s">
        <v>41</v>
      </c>
      <c r="J7" s="58" t="s">
        <v>39</v>
      </c>
      <c r="K7" s="58" t="s">
        <v>38</v>
      </c>
      <c r="L7" s="58" t="s">
        <v>40</v>
      </c>
      <c r="M7" s="58" t="s">
        <v>37</v>
      </c>
      <c r="N7" s="23" t="s">
        <v>36</v>
      </c>
    </row>
    <row r="8" spans="7:14" s="50" customFormat="1" ht="28" customHeight="1">
      <c r="G8" s="207" t="s">
        <v>128</v>
      </c>
      <c r="H8" s="208"/>
      <c r="I8" s="59"/>
      <c r="J8" s="59"/>
      <c r="K8" s="59"/>
      <c r="L8" s="59"/>
      <c r="M8" s="22">
        <f>INT(SUM(M9,M10,M11,M12,M13,M14,M15,M16))</f>
        <v>310884</v>
      </c>
      <c r="N8" s="21"/>
    </row>
    <row r="9" spans="7:14" s="50" customFormat="1" ht="18" customHeight="1">
      <c r="G9" s="52"/>
      <c r="H9" s="55" t="s">
        <v>165</v>
      </c>
      <c r="I9" s="60" t="s">
        <v>35</v>
      </c>
      <c r="J9" s="60" t="s">
        <v>31</v>
      </c>
      <c r="K9" s="60">
        <v>0</v>
      </c>
      <c r="L9" s="20">
        <v>373353</v>
      </c>
      <c r="M9" s="17">
        <f t="shared" ref="M9:M16" si="0">L9*K9</f>
        <v>0</v>
      </c>
      <c r="N9" s="13"/>
    </row>
    <row r="10" spans="7:14" s="50" customFormat="1" ht="18" customHeight="1">
      <c r="G10" s="53"/>
      <c r="H10" s="56"/>
      <c r="I10" s="61" t="s">
        <v>34</v>
      </c>
      <c r="J10" s="61" t="s">
        <v>31</v>
      </c>
      <c r="K10" s="68">
        <v>0</v>
      </c>
      <c r="L10" s="18">
        <v>310884</v>
      </c>
      <c r="M10" s="17">
        <f t="shared" si="0"/>
        <v>0</v>
      </c>
      <c r="N10" s="13"/>
    </row>
    <row r="11" spans="7:14" s="50" customFormat="1" ht="18" customHeight="1">
      <c r="G11" s="53"/>
      <c r="H11" s="56"/>
      <c r="I11" s="61" t="s">
        <v>33</v>
      </c>
      <c r="J11" s="61" t="s">
        <v>31</v>
      </c>
      <c r="K11" s="68">
        <v>0</v>
      </c>
      <c r="L11" s="18">
        <v>295138</v>
      </c>
      <c r="M11" s="17">
        <f t="shared" si="0"/>
        <v>0</v>
      </c>
      <c r="N11" s="13"/>
    </row>
    <row r="12" spans="7:14" s="50" customFormat="1" ht="18" customHeight="1">
      <c r="G12" s="53"/>
      <c r="H12" s="56"/>
      <c r="I12" s="61" t="s">
        <v>32</v>
      </c>
      <c r="J12" s="61" t="s">
        <v>31</v>
      </c>
      <c r="K12" s="68">
        <v>0</v>
      </c>
      <c r="L12" s="18">
        <v>235459</v>
      </c>
      <c r="M12" s="17">
        <f t="shared" si="0"/>
        <v>0</v>
      </c>
      <c r="N12" s="13"/>
    </row>
    <row r="13" spans="7:14" s="50" customFormat="1" ht="18" customHeight="1">
      <c r="G13" s="54"/>
      <c r="H13" s="57" t="s">
        <v>166</v>
      </c>
      <c r="I13" s="61" t="s">
        <v>35</v>
      </c>
      <c r="J13" s="61" t="s">
        <v>31</v>
      </c>
      <c r="K13" s="68">
        <v>0</v>
      </c>
      <c r="L13" s="19">
        <v>373353</v>
      </c>
      <c r="M13" s="17">
        <f t="shared" si="0"/>
        <v>0</v>
      </c>
      <c r="N13" s="13"/>
    </row>
    <row r="14" spans="7:14" s="50" customFormat="1" ht="18" customHeight="1">
      <c r="G14" s="53"/>
      <c r="H14" s="56"/>
      <c r="I14" s="61" t="s">
        <v>34</v>
      </c>
      <c r="J14" s="61" t="s">
        <v>31</v>
      </c>
      <c r="K14" s="68">
        <v>1</v>
      </c>
      <c r="L14" s="18">
        <v>310884</v>
      </c>
      <c r="M14" s="17">
        <f t="shared" si="0"/>
        <v>310884</v>
      </c>
      <c r="N14" s="13"/>
    </row>
    <row r="15" spans="7:14" s="50" customFormat="1" ht="18" customHeight="1">
      <c r="G15" s="53"/>
      <c r="H15" s="56"/>
      <c r="I15" s="61" t="s">
        <v>33</v>
      </c>
      <c r="J15" s="61" t="s">
        <v>31</v>
      </c>
      <c r="K15" s="68">
        <v>0</v>
      </c>
      <c r="L15" s="18">
        <v>295138</v>
      </c>
      <c r="M15" s="17">
        <f t="shared" si="0"/>
        <v>0</v>
      </c>
      <c r="N15" s="13"/>
    </row>
    <row r="16" spans="7:14" s="50" customFormat="1" ht="18" customHeight="1">
      <c r="G16" s="53"/>
      <c r="H16" s="56"/>
      <c r="I16" s="61" t="s">
        <v>32</v>
      </c>
      <c r="J16" s="61" t="s">
        <v>31</v>
      </c>
      <c r="K16" s="68">
        <v>0</v>
      </c>
      <c r="L16" s="18">
        <v>235459</v>
      </c>
      <c r="M16" s="17">
        <f t="shared" si="0"/>
        <v>0</v>
      </c>
      <c r="N16" s="13"/>
    </row>
    <row r="17" spans="7:14" s="50" customFormat="1" ht="28" customHeight="1">
      <c r="G17" s="209" t="s">
        <v>30</v>
      </c>
      <c r="H17" s="210"/>
      <c r="I17" s="62"/>
      <c r="J17" s="65" t="s">
        <v>28</v>
      </c>
      <c r="K17" s="65">
        <v>40</v>
      </c>
      <c r="L17" s="71"/>
      <c r="M17" s="16">
        <f>ROUND(M8*K17%,0)</f>
        <v>124354</v>
      </c>
      <c r="N17" s="14" t="s">
        <v>127</v>
      </c>
    </row>
    <row r="18" spans="7:14" s="50" customFormat="1" ht="28" customHeight="1">
      <c r="G18" s="209" t="s">
        <v>29</v>
      </c>
      <c r="H18" s="210"/>
      <c r="I18" s="62"/>
      <c r="J18" s="65" t="s">
        <v>28</v>
      </c>
      <c r="K18" s="65">
        <v>20</v>
      </c>
      <c r="L18" s="71"/>
      <c r="M18" s="15">
        <f>ROUND((M8+M17)*K18%,0)</f>
        <v>87048</v>
      </c>
      <c r="N18" s="14" t="s">
        <v>126</v>
      </c>
    </row>
    <row r="19" spans="7:14" s="50" customFormat="1" ht="28" customHeight="1">
      <c r="G19" s="209" t="s">
        <v>131</v>
      </c>
      <c r="H19" s="210"/>
      <c r="I19" s="63"/>
      <c r="J19" s="66"/>
      <c r="K19" s="66"/>
      <c r="L19" s="72"/>
      <c r="M19" s="15"/>
      <c r="N19" s="14"/>
    </row>
    <row r="20" spans="7:14" s="50" customFormat="1" ht="28" customHeight="1">
      <c r="G20" s="211" t="s">
        <v>129</v>
      </c>
      <c r="H20" s="212"/>
      <c r="I20" s="64"/>
      <c r="J20" s="67"/>
      <c r="K20" s="67"/>
      <c r="L20" s="73"/>
      <c r="M20" s="28">
        <v>30000</v>
      </c>
      <c r="N20" s="29"/>
    </row>
    <row r="21" spans="7:14" s="50" customFormat="1" ht="28" customHeight="1">
      <c r="G21" s="213" t="s">
        <v>132</v>
      </c>
      <c r="H21" s="214"/>
      <c r="I21" s="62"/>
      <c r="J21" s="65"/>
      <c r="K21" s="65"/>
      <c r="L21" s="74"/>
      <c r="M21" s="12"/>
      <c r="N21" s="11" t="s">
        <v>27</v>
      </c>
    </row>
    <row r="22" spans="7:14" s="50" customFormat="1" ht="28" customHeight="1">
      <c r="G22" s="215" t="s">
        <v>130</v>
      </c>
      <c r="H22" s="216"/>
      <c r="I22" s="217" t="s">
        <v>137</v>
      </c>
      <c r="J22" s="218"/>
      <c r="K22" s="219"/>
      <c r="L22" s="69"/>
      <c r="M22" s="8">
        <f>(SUM(M8,M17,M18,M19,M20,M21))</f>
        <v>552286</v>
      </c>
      <c r="N22" s="10"/>
    </row>
    <row r="23" spans="7:14" s="50" customFormat="1" ht="18" customHeight="1">
      <c r="G23" s="220" t="s">
        <v>26</v>
      </c>
      <c r="H23" s="221"/>
      <c r="I23" s="217"/>
      <c r="J23" s="218"/>
      <c r="K23" s="219"/>
      <c r="L23" s="69"/>
      <c r="M23" s="8">
        <v>52286</v>
      </c>
      <c r="N23" s="7"/>
    </row>
    <row r="24" spans="7:14" s="50" customFormat="1" ht="18" customHeight="1">
      <c r="G24" s="222" t="s">
        <v>25</v>
      </c>
      <c r="H24" s="223"/>
      <c r="I24" s="224"/>
      <c r="J24" s="225"/>
      <c r="K24" s="226"/>
      <c r="L24" s="70"/>
      <c r="M24" s="25">
        <f>M22-M23</f>
        <v>500000</v>
      </c>
      <c r="N24" s="9"/>
    </row>
    <row r="25" spans="7:14" s="50" customFormat="1" ht="18" customHeight="1">
      <c r="G25" s="220" t="s">
        <v>24</v>
      </c>
      <c r="H25" s="221"/>
      <c r="I25" s="217"/>
      <c r="J25" s="218"/>
      <c r="K25" s="219"/>
      <c r="L25" s="69"/>
      <c r="M25" s="8" t="s">
        <v>23</v>
      </c>
      <c r="N25" s="7"/>
    </row>
    <row r="26" spans="7:14" s="50" customFormat="1" ht="28" customHeight="1">
      <c r="G26" s="227" t="s">
        <v>22</v>
      </c>
      <c r="H26" s="228"/>
      <c r="I26" s="229"/>
      <c r="J26" s="230"/>
      <c r="K26" s="231"/>
      <c r="L26" s="75"/>
      <c r="M26" s="6">
        <f>M24</f>
        <v>500000</v>
      </c>
      <c r="N26" s="5" t="s">
        <v>21</v>
      </c>
    </row>
    <row r="27" spans="7:14" s="51" customFormat="1" ht="23" customHeight="1">
      <c r="G27" s="232"/>
      <c r="H27" s="233"/>
      <c r="I27" s="238" t="s">
        <v>20</v>
      </c>
      <c r="J27" s="238"/>
      <c r="K27" s="238"/>
      <c r="L27" s="238"/>
      <c r="M27" s="238"/>
      <c r="N27" s="4"/>
    </row>
    <row r="28" spans="7:14" s="51" customFormat="1" ht="23" customHeight="1">
      <c r="G28" s="234"/>
      <c r="H28" s="235"/>
      <c r="I28" s="239" t="s">
        <v>19</v>
      </c>
      <c r="J28" s="239"/>
      <c r="K28" s="239"/>
      <c r="L28" s="239"/>
      <c r="M28" s="239"/>
      <c r="N28" s="3" t="s">
        <v>18</v>
      </c>
    </row>
    <row r="29" spans="7:14" s="51" customFormat="1" ht="23" customHeight="1">
      <c r="G29" s="234"/>
      <c r="H29" s="235"/>
      <c r="I29" s="239" t="s">
        <v>17</v>
      </c>
      <c r="J29" s="239"/>
      <c r="K29" s="239"/>
      <c r="L29" s="239"/>
      <c r="M29" s="239"/>
      <c r="N29" s="3" t="s">
        <v>16</v>
      </c>
    </row>
    <row r="30" spans="7:14" s="51" customFormat="1" ht="23" customHeight="1">
      <c r="G30" s="234"/>
      <c r="H30" s="235"/>
      <c r="I30" s="239" t="s">
        <v>15</v>
      </c>
      <c r="J30" s="239"/>
      <c r="K30" s="239"/>
      <c r="L30" s="239"/>
      <c r="M30" s="239"/>
      <c r="N30" s="3" t="s">
        <v>14</v>
      </c>
    </row>
    <row r="31" spans="7:14" s="51" customFormat="1" ht="23" customHeight="1">
      <c r="G31" s="236"/>
      <c r="H31" s="237"/>
      <c r="I31" s="240" t="s">
        <v>13</v>
      </c>
      <c r="J31" s="240"/>
      <c r="K31" s="240"/>
      <c r="L31" s="240"/>
      <c r="M31" s="240"/>
      <c r="N31" s="2" t="s">
        <v>12</v>
      </c>
    </row>
    <row r="32" spans="7:14">
      <c r="G32" s="50"/>
      <c r="H32" s="50"/>
      <c r="I32" s="50"/>
      <c r="J32" s="50"/>
      <c r="K32" s="50"/>
      <c r="L32" s="50"/>
      <c r="M32" s="50"/>
      <c r="N32" s="50"/>
    </row>
    <row r="33" spans="7:14">
      <c r="G33" s="50"/>
      <c r="H33" s="50"/>
      <c r="I33" s="50"/>
      <c r="J33" s="50"/>
      <c r="K33" s="50"/>
      <c r="L33" s="50"/>
      <c r="M33" s="50"/>
      <c r="N33" s="50"/>
    </row>
    <row r="34" spans="7:14">
      <c r="G34" s="50"/>
      <c r="H34" s="50"/>
      <c r="I34" s="50"/>
      <c r="J34" s="50"/>
      <c r="K34" s="50"/>
      <c r="L34" s="50"/>
      <c r="M34" s="50"/>
      <c r="N34" s="50"/>
    </row>
    <row r="35" spans="7:14">
      <c r="G35" s="50"/>
      <c r="H35" s="50"/>
      <c r="I35" s="50"/>
      <c r="J35" s="50"/>
      <c r="K35" s="50"/>
      <c r="L35" s="50"/>
      <c r="M35" s="50"/>
      <c r="N35" s="50"/>
    </row>
    <row r="36" spans="7:14">
      <c r="G36" s="50"/>
      <c r="H36" s="50"/>
      <c r="I36" s="50"/>
      <c r="J36" s="50"/>
      <c r="K36" s="50"/>
      <c r="L36" s="50"/>
      <c r="M36" s="50"/>
      <c r="N36" s="50"/>
    </row>
  </sheetData>
  <mergeCells count="32"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  <mergeCell ref="G22:H22"/>
    <mergeCell ref="I22:K22"/>
    <mergeCell ref="G23:H23"/>
    <mergeCell ref="I23:K23"/>
    <mergeCell ref="G24:H24"/>
    <mergeCell ref="I24:K24"/>
    <mergeCell ref="G17:H17"/>
    <mergeCell ref="G18:H18"/>
    <mergeCell ref="G19:H19"/>
    <mergeCell ref="G20:H20"/>
    <mergeCell ref="G21:H21"/>
    <mergeCell ref="G5:H5"/>
    <mergeCell ref="I5:N5"/>
    <mergeCell ref="G6:N6"/>
    <mergeCell ref="G7:H7"/>
    <mergeCell ref="G8:H8"/>
    <mergeCell ref="G1:N1"/>
    <mergeCell ref="M2:N2"/>
    <mergeCell ref="G3:H3"/>
    <mergeCell ref="I3:N3"/>
    <mergeCell ref="G4:H4"/>
    <mergeCell ref="I4:N4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14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H1:AA116"/>
  <sheetViews>
    <sheetView tabSelected="1" view="pageBreakPreview" topLeftCell="G95" zoomScaleNormal="100" zoomScaleSheetLayoutView="100" workbookViewId="0">
      <selection activeCell="L53" sqref="L53:Q53"/>
    </sheetView>
  </sheetViews>
  <sheetFormatPr baseColWidth="10" defaultColWidth="11.33203125" defaultRowHeight="14"/>
  <cols>
    <col min="1" max="7" width="11.33203125" style="1" customWidth="1"/>
    <col min="8" max="12" width="4.5" style="1" customWidth="1"/>
    <col min="13" max="13" width="4.5" style="30" customWidth="1"/>
    <col min="14" max="15" width="4.5" style="31" customWidth="1"/>
    <col min="16" max="28" width="4.5" style="1" customWidth="1"/>
    <col min="29" max="29" width="11.33203125" style="1" customWidth="1"/>
    <col min="30" max="30" width="14.83203125" style="1" customWidth="1"/>
    <col min="31" max="263" width="11.33203125" style="1" customWidth="1"/>
    <col min="264" max="269" width="4.83203125" style="1" customWidth="1"/>
    <col min="270" max="270" width="9" style="1" customWidth="1"/>
    <col min="271" max="274" width="4.83203125" style="1" customWidth="1"/>
    <col min="275" max="275" width="5.6640625" style="1" customWidth="1"/>
    <col min="276" max="281" width="4.83203125" style="1" customWidth="1"/>
    <col min="282" max="282" width="2.1640625" style="1" customWidth="1"/>
    <col min="283" max="283" width="4.83203125" style="1" customWidth="1"/>
    <col min="284" max="519" width="11.33203125" style="1" customWidth="1"/>
    <col min="520" max="525" width="4.83203125" style="1" customWidth="1"/>
    <col min="526" max="526" width="9" style="1" customWidth="1"/>
    <col min="527" max="530" width="4.83203125" style="1" customWidth="1"/>
    <col min="531" max="531" width="5.6640625" style="1" customWidth="1"/>
    <col min="532" max="537" width="4.83203125" style="1" customWidth="1"/>
    <col min="538" max="538" width="2.1640625" style="1" customWidth="1"/>
    <col min="539" max="539" width="4.83203125" style="1" customWidth="1"/>
    <col min="540" max="775" width="11.33203125" style="1" customWidth="1"/>
    <col min="776" max="781" width="4.83203125" style="1" customWidth="1"/>
    <col min="782" max="782" width="9" style="1" customWidth="1"/>
    <col min="783" max="786" width="4.83203125" style="1" customWidth="1"/>
    <col min="787" max="787" width="5.6640625" style="1" customWidth="1"/>
    <col min="788" max="793" width="4.83203125" style="1" customWidth="1"/>
    <col min="794" max="794" width="2.1640625" style="1" customWidth="1"/>
    <col min="795" max="795" width="4.83203125" style="1" customWidth="1"/>
    <col min="796" max="1031" width="11.33203125" style="1" customWidth="1"/>
    <col min="1032" max="1037" width="4.83203125" style="1" customWidth="1"/>
    <col min="1038" max="1038" width="9" style="1" customWidth="1"/>
    <col min="1039" max="1042" width="4.83203125" style="1" customWidth="1"/>
    <col min="1043" max="1043" width="5.6640625" style="1" customWidth="1"/>
    <col min="1044" max="1049" width="4.83203125" style="1" customWidth="1"/>
    <col min="1050" max="1050" width="2.1640625" style="1" customWidth="1"/>
    <col min="1051" max="1051" width="4.83203125" style="1" customWidth="1"/>
    <col min="1052" max="1287" width="11.33203125" style="1" customWidth="1"/>
    <col min="1288" max="1293" width="4.83203125" style="1" customWidth="1"/>
    <col min="1294" max="1294" width="9" style="1" customWidth="1"/>
    <col min="1295" max="1298" width="4.83203125" style="1" customWidth="1"/>
    <col min="1299" max="1299" width="5.6640625" style="1" customWidth="1"/>
    <col min="1300" max="1305" width="4.83203125" style="1" customWidth="1"/>
    <col min="1306" max="1306" width="2.1640625" style="1" customWidth="1"/>
    <col min="1307" max="1307" width="4.83203125" style="1" customWidth="1"/>
    <col min="1308" max="1543" width="11.33203125" style="1" customWidth="1"/>
    <col min="1544" max="1549" width="4.83203125" style="1" customWidth="1"/>
    <col min="1550" max="1550" width="9" style="1" customWidth="1"/>
    <col min="1551" max="1554" width="4.83203125" style="1" customWidth="1"/>
    <col min="1555" max="1555" width="5.6640625" style="1" customWidth="1"/>
    <col min="1556" max="1561" width="4.83203125" style="1" customWidth="1"/>
    <col min="1562" max="1562" width="2.1640625" style="1" customWidth="1"/>
    <col min="1563" max="1563" width="4.83203125" style="1" customWidth="1"/>
    <col min="1564" max="1799" width="11.33203125" style="1" customWidth="1"/>
    <col min="1800" max="1805" width="4.83203125" style="1" customWidth="1"/>
    <col min="1806" max="1806" width="9" style="1" customWidth="1"/>
    <col min="1807" max="1810" width="4.83203125" style="1" customWidth="1"/>
    <col min="1811" max="1811" width="5.6640625" style="1" customWidth="1"/>
    <col min="1812" max="1817" width="4.83203125" style="1" customWidth="1"/>
    <col min="1818" max="1818" width="2.1640625" style="1" customWidth="1"/>
    <col min="1819" max="1819" width="4.83203125" style="1" customWidth="1"/>
    <col min="1820" max="2055" width="11.33203125" style="1" customWidth="1"/>
    <col min="2056" max="2061" width="4.83203125" style="1" customWidth="1"/>
    <col min="2062" max="2062" width="9" style="1" customWidth="1"/>
    <col min="2063" max="2066" width="4.83203125" style="1" customWidth="1"/>
    <col min="2067" max="2067" width="5.6640625" style="1" customWidth="1"/>
    <col min="2068" max="2073" width="4.83203125" style="1" customWidth="1"/>
    <col min="2074" max="2074" width="2.1640625" style="1" customWidth="1"/>
    <col min="2075" max="2075" width="4.83203125" style="1" customWidth="1"/>
    <col min="2076" max="2311" width="11.33203125" style="1" customWidth="1"/>
    <col min="2312" max="2317" width="4.83203125" style="1" customWidth="1"/>
    <col min="2318" max="2318" width="9" style="1" customWidth="1"/>
    <col min="2319" max="2322" width="4.83203125" style="1" customWidth="1"/>
    <col min="2323" max="2323" width="5.6640625" style="1" customWidth="1"/>
    <col min="2324" max="2329" width="4.83203125" style="1" customWidth="1"/>
    <col min="2330" max="2330" width="2.1640625" style="1" customWidth="1"/>
    <col min="2331" max="2331" width="4.83203125" style="1" customWidth="1"/>
    <col min="2332" max="2567" width="11.33203125" style="1" customWidth="1"/>
    <col min="2568" max="2573" width="4.83203125" style="1" customWidth="1"/>
    <col min="2574" max="2574" width="9" style="1" customWidth="1"/>
    <col min="2575" max="2578" width="4.83203125" style="1" customWidth="1"/>
    <col min="2579" max="2579" width="5.6640625" style="1" customWidth="1"/>
    <col min="2580" max="2585" width="4.83203125" style="1" customWidth="1"/>
    <col min="2586" max="2586" width="2.1640625" style="1" customWidth="1"/>
    <col min="2587" max="2587" width="4.83203125" style="1" customWidth="1"/>
    <col min="2588" max="2823" width="11.33203125" style="1" customWidth="1"/>
    <col min="2824" max="2829" width="4.83203125" style="1" customWidth="1"/>
    <col min="2830" max="2830" width="9" style="1" customWidth="1"/>
    <col min="2831" max="2834" width="4.83203125" style="1" customWidth="1"/>
    <col min="2835" max="2835" width="5.6640625" style="1" customWidth="1"/>
    <col min="2836" max="2841" width="4.83203125" style="1" customWidth="1"/>
    <col min="2842" max="2842" width="2.1640625" style="1" customWidth="1"/>
    <col min="2843" max="2843" width="4.83203125" style="1" customWidth="1"/>
    <col min="2844" max="3079" width="11.33203125" style="1" customWidth="1"/>
    <col min="3080" max="3085" width="4.83203125" style="1" customWidth="1"/>
    <col min="3086" max="3086" width="9" style="1" customWidth="1"/>
    <col min="3087" max="3090" width="4.83203125" style="1" customWidth="1"/>
    <col min="3091" max="3091" width="5.6640625" style="1" customWidth="1"/>
    <col min="3092" max="3097" width="4.83203125" style="1" customWidth="1"/>
    <col min="3098" max="3098" width="2.1640625" style="1" customWidth="1"/>
    <col min="3099" max="3099" width="4.83203125" style="1" customWidth="1"/>
    <col min="3100" max="3335" width="11.33203125" style="1" customWidth="1"/>
    <col min="3336" max="3341" width="4.83203125" style="1" customWidth="1"/>
    <col min="3342" max="3342" width="9" style="1" customWidth="1"/>
    <col min="3343" max="3346" width="4.83203125" style="1" customWidth="1"/>
    <col min="3347" max="3347" width="5.6640625" style="1" customWidth="1"/>
    <col min="3348" max="3353" width="4.83203125" style="1" customWidth="1"/>
    <col min="3354" max="3354" width="2.1640625" style="1" customWidth="1"/>
    <col min="3355" max="3355" width="4.83203125" style="1" customWidth="1"/>
    <col min="3356" max="3591" width="11.33203125" style="1" customWidth="1"/>
    <col min="3592" max="3597" width="4.83203125" style="1" customWidth="1"/>
    <col min="3598" max="3598" width="9" style="1" customWidth="1"/>
    <col min="3599" max="3602" width="4.83203125" style="1" customWidth="1"/>
    <col min="3603" max="3603" width="5.6640625" style="1" customWidth="1"/>
    <col min="3604" max="3609" width="4.83203125" style="1" customWidth="1"/>
    <col min="3610" max="3610" width="2.1640625" style="1" customWidth="1"/>
    <col min="3611" max="3611" width="4.83203125" style="1" customWidth="1"/>
    <col min="3612" max="3847" width="11.33203125" style="1" customWidth="1"/>
    <col min="3848" max="3853" width="4.83203125" style="1" customWidth="1"/>
    <col min="3854" max="3854" width="9" style="1" customWidth="1"/>
    <col min="3855" max="3858" width="4.83203125" style="1" customWidth="1"/>
    <col min="3859" max="3859" width="5.6640625" style="1" customWidth="1"/>
    <col min="3860" max="3865" width="4.83203125" style="1" customWidth="1"/>
    <col min="3866" max="3866" width="2.1640625" style="1" customWidth="1"/>
    <col min="3867" max="3867" width="4.83203125" style="1" customWidth="1"/>
    <col min="3868" max="4103" width="11.33203125" style="1" customWidth="1"/>
    <col min="4104" max="4109" width="4.83203125" style="1" customWidth="1"/>
    <col min="4110" max="4110" width="9" style="1" customWidth="1"/>
    <col min="4111" max="4114" width="4.83203125" style="1" customWidth="1"/>
    <col min="4115" max="4115" width="5.6640625" style="1" customWidth="1"/>
    <col min="4116" max="4121" width="4.83203125" style="1" customWidth="1"/>
    <col min="4122" max="4122" width="2.1640625" style="1" customWidth="1"/>
    <col min="4123" max="4123" width="4.83203125" style="1" customWidth="1"/>
    <col min="4124" max="4359" width="11.33203125" style="1" customWidth="1"/>
    <col min="4360" max="4365" width="4.83203125" style="1" customWidth="1"/>
    <col min="4366" max="4366" width="9" style="1" customWidth="1"/>
    <col min="4367" max="4370" width="4.83203125" style="1" customWidth="1"/>
    <col min="4371" max="4371" width="5.6640625" style="1" customWidth="1"/>
    <col min="4372" max="4377" width="4.83203125" style="1" customWidth="1"/>
    <col min="4378" max="4378" width="2.1640625" style="1" customWidth="1"/>
    <col min="4379" max="4379" width="4.83203125" style="1" customWidth="1"/>
    <col min="4380" max="4615" width="11.33203125" style="1" customWidth="1"/>
    <col min="4616" max="4621" width="4.83203125" style="1" customWidth="1"/>
    <col min="4622" max="4622" width="9" style="1" customWidth="1"/>
    <col min="4623" max="4626" width="4.83203125" style="1" customWidth="1"/>
    <col min="4627" max="4627" width="5.6640625" style="1" customWidth="1"/>
    <col min="4628" max="4633" width="4.83203125" style="1" customWidth="1"/>
    <col min="4634" max="4634" width="2.1640625" style="1" customWidth="1"/>
    <col min="4635" max="4635" width="4.83203125" style="1" customWidth="1"/>
    <col min="4636" max="4871" width="11.33203125" style="1" customWidth="1"/>
    <col min="4872" max="4877" width="4.83203125" style="1" customWidth="1"/>
    <col min="4878" max="4878" width="9" style="1" customWidth="1"/>
    <col min="4879" max="4882" width="4.83203125" style="1" customWidth="1"/>
    <col min="4883" max="4883" width="5.6640625" style="1" customWidth="1"/>
    <col min="4884" max="4889" width="4.83203125" style="1" customWidth="1"/>
    <col min="4890" max="4890" width="2.1640625" style="1" customWidth="1"/>
    <col min="4891" max="4891" width="4.83203125" style="1" customWidth="1"/>
    <col min="4892" max="5127" width="11.33203125" style="1" customWidth="1"/>
    <col min="5128" max="5133" width="4.83203125" style="1" customWidth="1"/>
    <col min="5134" max="5134" width="9" style="1" customWidth="1"/>
    <col min="5135" max="5138" width="4.83203125" style="1" customWidth="1"/>
    <col min="5139" max="5139" width="5.6640625" style="1" customWidth="1"/>
    <col min="5140" max="5145" width="4.83203125" style="1" customWidth="1"/>
    <col min="5146" max="5146" width="2.1640625" style="1" customWidth="1"/>
    <col min="5147" max="5147" width="4.83203125" style="1" customWidth="1"/>
    <col min="5148" max="5383" width="11.33203125" style="1" customWidth="1"/>
    <col min="5384" max="5389" width="4.83203125" style="1" customWidth="1"/>
    <col min="5390" max="5390" width="9" style="1" customWidth="1"/>
    <col min="5391" max="5394" width="4.83203125" style="1" customWidth="1"/>
    <col min="5395" max="5395" width="5.6640625" style="1" customWidth="1"/>
    <col min="5396" max="5401" width="4.83203125" style="1" customWidth="1"/>
    <col min="5402" max="5402" width="2.1640625" style="1" customWidth="1"/>
    <col min="5403" max="5403" width="4.83203125" style="1" customWidth="1"/>
    <col min="5404" max="5639" width="11.33203125" style="1" customWidth="1"/>
    <col min="5640" max="5645" width="4.83203125" style="1" customWidth="1"/>
    <col min="5646" max="5646" width="9" style="1" customWidth="1"/>
    <col min="5647" max="5650" width="4.83203125" style="1" customWidth="1"/>
    <col min="5651" max="5651" width="5.6640625" style="1" customWidth="1"/>
    <col min="5652" max="5657" width="4.83203125" style="1" customWidth="1"/>
    <col min="5658" max="5658" width="2.1640625" style="1" customWidth="1"/>
    <col min="5659" max="5659" width="4.83203125" style="1" customWidth="1"/>
    <col min="5660" max="5895" width="11.33203125" style="1" customWidth="1"/>
    <col min="5896" max="5901" width="4.83203125" style="1" customWidth="1"/>
    <col min="5902" max="5902" width="9" style="1" customWidth="1"/>
    <col min="5903" max="5906" width="4.83203125" style="1" customWidth="1"/>
    <col min="5907" max="5907" width="5.6640625" style="1" customWidth="1"/>
    <col min="5908" max="5913" width="4.83203125" style="1" customWidth="1"/>
    <col min="5914" max="5914" width="2.1640625" style="1" customWidth="1"/>
    <col min="5915" max="5915" width="4.83203125" style="1" customWidth="1"/>
    <col min="5916" max="6151" width="11.33203125" style="1" customWidth="1"/>
    <col min="6152" max="6157" width="4.83203125" style="1" customWidth="1"/>
    <col min="6158" max="6158" width="9" style="1" customWidth="1"/>
    <col min="6159" max="6162" width="4.83203125" style="1" customWidth="1"/>
    <col min="6163" max="6163" width="5.6640625" style="1" customWidth="1"/>
    <col min="6164" max="6169" width="4.83203125" style="1" customWidth="1"/>
    <col min="6170" max="6170" width="2.1640625" style="1" customWidth="1"/>
    <col min="6171" max="6171" width="4.83203125" style="1" customWidth="1"/>
    <col min="6172" max="6407" width="11.33203125" style="1" customWidth="1"/>
    <col min="6408" max="6413" width="4.83203125" style="1" customWidth="1"/>
    <col min="6414" max="6414" width="9" style="1" customWidth="1"/>
    <col min="6415" max="6418" width="4.83203125" style="1" customWidth="1"/>
    <col min="6419" max="6419" width="5.6640625" style="1" customWidth="1"/>
    <col min="6420" max="6425" width="4.83203125" style="1" customWidth="1"/>
    <col min="6426" max="6426" width="2.1640625" style="1" customWidth="1"/>
    <col min="6427" max="6427" width="4.83203125" style="1" customWidth="1"/>
    <col min="6428" max="6663" width="11.33203125" style="1" customWidth="1"/>
    <col min="6664" max="6669" width="4.83203125" style="1" customWidth="1"/>
    <col min="6670" max="6670" width="9" style="1" customWidth="1"/>
    <col min="6671" max="6674" width="4.83203125" style="1" customWidth="1"/>
    <col min="6675" max="6675" width="5.6640625" style="1" customWidth="1"/>
    <col min="6676" max="6681" width="4.83203125" style="1" customWidth="1"/>
    <col min="6682" max="6682" width="2.1640625" style="1" customWidth="1"/>
    <col min="6683" max="6683" width="4.83203125" style="1" customWidth="1"/>
    <col min="6684" max="6919" width="11.33203125" style="1" customWidth="1"/>
    <col min="6920" max="6925" width="4.83203125" style="1" customWidth="1"/>
    <col min="6926" max="6926" width="9" style="1" customWidth="1"/>
    <col min="6927" max="6930" width="4.83203125" style="1" customWidth="1"/>
    <col min="6931" max="6931" width="5.6640625" style="1" customWidth="1"/>
    <col min="6932" max="6937" width="4.83203125" style="1" customWidth="1"/>
    <col min="6938" max="6938" width="2.1640625" style="1" customWidth="1"/>
    <col min="6939" max="6939" width="4.83203125" style="1" customWidth="1"/>
    <col min="6940" max="7175" width="11.33203125" style="1" customWidth="1"/>
    <col min="7176" max="7181" width="4.83203125" style="1" customWidth="1"/>
    <col min="7182" max="7182" width="9" style="1" customWidth="1"/>
    <col min="7183" max="7186" width="4.83203125" style="1" customWidth="1"/>
    <col min="7187" max="7187" width="5.6640625" style="1" customWidth="1"/>
    <col min="7188" max="7193" width="4.83203125" style="1" customWidth="1"/>
    <col min="7194" max="7194" width="2.1640625" style="1" customWidth="1"/>
    <col min="7195" max="7195" width="4.83203125" style="1" customWidth="1"/>
    <col min="7196" max="7431" width="11.33203125" style="1" customWidth="1"/>
    <col min="7432" max="7437" width="4.83203125" style="1" customWidth="1"/>
    <col min="7438" max="7438" width="9" style="1" customWidth="1"/>
    <col min="7439" max="7442" width="4.83203125" style="1" customWidth="1"/>
    <col min="7443" max="7443" width="5.6640625" style="1" customWidth="1"/>
    <col min="7444" max="7449" width="4.83203125" style="1" customWidth="1"/>
    <col min="7450" max="7450" width="2.1640625" style="1" customWidth="1"/>
    <col min="7451" max="7451" width="4.83203125" style="1" customWidth="1"/>
    <col min="7452" max="7687" width="11.33203125" style="1" customWidth="1"/>
    <col min="7688" max="7693" width="4.83203125" style="1" customWidth="1"/>
    <col min="7694" max="7694" width="9" style="1" customWidth="1"/>
    <col min="7695" max="7698" width="4.83203125" style="1" customWidth="1"/>
    <col min="7699" max="7699" width="5.6640625" style="1" customWidth="1"/>
    <col min="7700" max="7705" width="4.83203125" style="1" customWidth="1"/>
    <col min="7706" max="7706" width="2.1640625" style="1" customWidth="1"/>
    <col min="7707" max="7707" width="4.83203125" style="1" customWidth="1"/>
    <col min="7708" max="7943" width="11.33203125" style="1" customWidth="1"/>
    <col min="7944" max="7949" width="4.83203125" style="1" customWidth="1"/>
    <col min="7950" max="7950" width="9" style="1" customWidth="1"/>
    <col min="7951" max="7954" width="4.83203125" style="1" customWidth="1"/>
    <col min="7955" max="7955" width="5.6640625" style="1" customWidth="1"/>
    <col min="7956" max="7961" width="4.83203125" style="1" customWidth="1"/>
    <col min="7962" max="7962" width="2.1640625" style="1" customWidth="1"/>
    <col min="7963" max="7963" width="4.83203125" style="1" customWidth="1"/>
    <col min="7964" max="8199" width="11.33203125" style="1" customWidth="1"/>
    <col min="8200" max="8205" width="4.83203125" style="1" customWidth="1"/>
    <col min="8206" max="8206" width="9" style="1" customWidth="1"/>
    <col min="8207" max="8210" width="4.83203125" style="1" customWidth="1"/>
    <col min="8211" max="8211" width="5.6640625" style="1" customWidth="1"/>
    <col min="8212" max="8217" width="4.83203125" style="1" customWidth="1"/>
    <col min="8218" max="8218" width="2.1640625" style="1" customWidth="1"/>
    <col min="8219" max="8219" width="4.83203125" style="1" customWidth="1"/>
    <col min="8220" max="8455" width="11.33203125" style="1" customWidth="1"/>
    <col min="8456" max="8461" width="4.83203125" style="1" customWidth="1"/>
    <col min="8462" max="8462" width="9" style="1" customWidth="1"/>
    <col min="8463" max="8466" width="4.83203125" style="1" customWidth="1"/>
    <col min="8467" max="8467" width="5.6640625" style="1" customWidth="1"/>
    <col min="8468" max="8473" width="4.83203125" style="1" customWidth="1"/>
    <col min="8474" max="8474" width="2.1640625" style="1" customWidth="1"/>
    <col min="8475" max="8475" width="4.83203125" style="1" customWidth="1"/>
    <col min="8476" max="8711" width="11.33203125" style="1" customWidth="1"/>
    <col min="8712" max="8717" width="4.83203125" style="1" customWidth="1"/>
    <col min="8718" max="8718" width="9" style="1" customWidth="1"/>
    <col min="8719" max="8722" width="4.83203125" style="1" customWidth="1"/>
    <col min="8723" max="8723" width="5.6640625" style="1" customWidth="1"/>
    <col min="8724" max="8729" width="4.83203125" style="1" customWidth="1"/>
    <col min="8730" max="8730" width="2.1640625" style="1" customWidth="1"/>
    <col min="8731" max="8731" width="4.83203125" style="1" customWidth="1"/>
    <col min="8732" max="8967" width="11.33203125" style="1" customWidth="1"/>
    <col min="8968" max="8973" width="4.83203125" style="1" customWidth="1"/>
    <col min="8974" max="8974" width="9" style="1" customWidth="1"/>
    <col min="8975" max="8978" width="4.83203125" style="1" customWidth="1"/>
    <col min="8979" max="8979" width="5.6640625" style="1" customWidth="1"/>
    <col min="8980" max="8985" width="4.83203125" style="1" customWidth="1"/>
    <col min="8986" max="8986" width="2.1640625" style="1" customWidth="1"/>
    <col min="8987" max="8987" width="4.83203125" style="1" customWidth="1"/>
    <col min="8988" max="9223" width="11.33203125" style="1" customWidth="1"/>
    <col min="9224" max="9229" width="4.83203125" style="1" customWidth="1"/>
    <col min="9230" max="9230" width="9" style="1" customWidth="1"/>
    <col min="9231" max="9234" width="4.83203125" style="1" customWidth="1"/>
    <col min="9235" max="9235" width="5.6640625" style="1" customWidth="1"/>
    <col min="9236" max="9241" width="4.83203125" style="1" customWidth="1"/>
    <col min="9242" max="9242" width="2.1640625" style="1" customWidth="1"/>
    <col min="9243" max="9243" width="4.83203125" style="1" customWidth="1"/>
    <col min="9244" max="9479" width="11.33203125" style="1" customWidth="1"/>
    <col min="9480" max="9485" width="4.83203125" style="1" customWidth="1"/>
    <col min="9486" max="9486" width="9" style="1" customWidth="1"/>
    <col min="9487" max="9490" width="4.83203125" style="1" customWidth="1"/>
    <col min="9491" max="9491" width="5.6640625" style="1" customWidth="1"/>
    <col min="9492" max="9497" width="4.83203125" style="1" customWidth="1"/>
    <col min="9498" max="9498" width="2.1640625" style="1" customWidth="1"/>
    <col min="9499" max="9499" width="4.83203125" style="1" customWidth="1"/>
    <col min="9500" max="9735" width="11.33203125" style="1" customWidth="1"/>
    <col min="9736" max="9741" width="4.83203125" style="1" customWidth="1"/>
    <col min="9742" max="9742" width="9" style="1" customWidth="1"/>
    <col min="9743" max="9746" width="4.83203125" style="1" customWidth="1"/>
    <col min="9747" max="9747" width="5.6640625" style="1" customWidth="1"/>
    <col min="9748" max="9753" width="4.83203125" style="1" customWidth="1"/>
    <col min="9754" max="9754" width="2.1640625" style="1" customWidth="1"/>
    <col min="9755" max="9755" width="4.83203125" style="1" customWidth="1"/>
    <col min="9756" max="9991" width="11.33203125" style="1" customWidth="1"/>
    <col min="9992" max="9997" width="4.83203125" style="1" customWidth="1"/>
    <col min="9998" max="9998" width="9" style="1" customWidth="1"/>
    <col min="9999" max="10002" width="4.83203125" style="1" customWidth="1"/>
    <col min="10003" max="10003" width="5.6640625" style="1" customWidth="1"/>
    <col min="10004" max="10009" width="4.83203125" style="1" customWidth="1"/>
    <col min="10010" max="10010" width="2.1640625" style="1" customWidth="1"/>
    <col min="10011" max="10011" width="4.83203125" style="1" customWidth="1"/>
    <col min="10012" max="10247" width="11.33203125" style="1" customWidth="1"/>
    <col min="10248" max="10253" width="4.83203125" style="1" customWidth="1"/>
    <col min="10254" max="10254" width="9" style="1" customWidth="1"/>
    <col min="10255" max="10258" width="4.83203125" style="1" customWidth="1"/>
    <col min="10259" max="10259" width="5.6640625" style="1" customWidth="1"/>
    <col min="10260" max="10265" width="4.83203125" style="1" customWidth="1"/>
    <col min="10266" max="10266" width="2.1640625" style="1" customWidth="1"/>
    <col min="10267" max="10267" width="4.83203125" style="1" customWidth="1"/>
    <col min="10268" max="10503" width="11.33203125" style="1" customWidth="1"/>
    <col min="10504" max="10509" width="4.83203125" style="1" customWidth="1"/>
    <col min="10510" max="10510" width="9" style="1" customWidth="1"/>
    <col min="10511" max="10514" width="4.83203125" style="1" customWidth="1"/>
    <col min="10515" max="10515" width="5.6640625" style="1" customWidth="1"/>
    <col min="10516" max="10521" width="4.83203125" style="1" customWidth="1"/>
    <col min="10522" max="10522" width="2.1640625" style="1" customWidth="1"/>
    <col min="10523" max="10523" width="4.83203125" style="1" customWidth="1"/>
    <col min="10524" max="10759" width="11.33203125" style="1" customWidth="1"/>
    <col min="10760" max="10765" width="4.83203125" style="1" customWidth="1"/>
    <col min="10766" max="10766" width="9" style="1" customWidth="1"/>
    <col min="10767" max="10770" width="4.83203125" style="1" customWidth="1"/>
    <col min="10771" max="10771" width="5.6640625" style="1" customWidth="1"/>
    <col min="10772" max="10777" width="4.83203125" style="1" customWidth="1"/>
    <col min="10778" max="10778" width="2.1640625" style="1" customWidth="1"/>
    <col min="10779" max="10779" width="4.83203125" style="1" customWidth="1"/>
    <col min="10780" max="11015" width="11.33203125" style="1" customWidth="1"/>
    <col min="11016" max="11021" width="4.83203125" style="1" customWidth="1"/>
    <col min="11022" max="11022" width="9" style="1" customWidth="1"/>
    <col min="11023" max="11026" width="4.83203125" style="1" customWidth="1"/>
    <col min="11027" max="11027" width="5.6640625" style="1" customWidth="1"/>
    <col min="11028" max="11033" width="4.83203125" style="1" customWidth="1"/>
    <col min="11034" max="11034" width="2.1640625" style="1" customWidth="1"/>
    <col min="11035" max="11035" width="4.83203125" style="1" customWidth="1"/>
    <col min="11036" max="11271" width="11.33203125" style="1" customWidth="1"/>
    <col min="11272" max="11277" width="4.83203125" style="1" customWidth="1"/>
    <col min="11278" max="11278" width="9" style="1" customWidth="1"/>
    <col min="11279" max="11282" width="4.83203125" style="1" customWidth="1"/>
    <col min="11283" max="11283" width="5.6640625" style="1" customWidth="1"/>
    <col min="11284" max="11289" width="4.83203125" style="1" customWidth="1"/>
    <col min="11290" max="11290" width="2.1640625" style="1" customWidth="1"/>
    <col min="11291" max="11291" width="4.83203125" style="1" customWidth="1"/>
    <col min="11292" max="11527" width="11.33203125" style="1" customWidth="1"/>
    <col min="11528" max="11533" width="4.83203125" style="1" customWidth="1"/>
    <col min="11534" max="11534" width="9" style="1" customWidth="1"/>
    <col min="11535" max="11538" width="4.83203125" style="1" customWidth="1"/>
    <col min="11539" max="11539" width="5.6640625" style="1" customWidth="1"/>
    <col min="11540" max="11545" width="4.83203125" style="1" customWidth="1"/>
    <col min="11546" max="11546" width="2.1640625" style="1" customWidth="1"/>
    <col min="11547" max="11547" width="4.83203125" style="1" customWidth="1"/>
    <col min="11548" max="11783" width="11.33203125" style="1" customWidth="1"/>
    <col min="11784" max="11789" width="4.83203125" style="1" customWidth="1"/>
    <col min="11790" max="11790" width="9" style="1" customWidth="1"/>
    <col min="11791" max="11794" width="4.83203125" style="1" customWidth="1"/>
    <col min="11795" max="11795" width="5.6640625" style="1" customWidth="1"/>
    <col min="11796" max="11801" width="4.83203125" style="1" customWidth="1"/>
    <col min="11802" max="11802" width="2.1640625" style="1" customWidth="1"/>
    <col min="11803" max="11803" width="4.83203125" style="1" customWidth="1"/>
    <col min="11804" max="12039" width="11.33203125" style="1" customWidth="1"/>
    <col min="12040" max="12045" width="4.83203125" style="1" customWidth="1"/>
    <col min="12046" max="12046" width="9" style="1" customWidth="1"/>
    <col min="12047" max="12050" width="4.83203125" style="1" customWidth="1"/>
    <col min="12051" max="12051" width="5.6640625" style="1" customWidth="1"/>
    <col min="12052" max="12057" width="4.83203125" style="1" customWidth="1"/>
    <col min="12058" max="12058" width="2.1640625" style="1" customWidth="1"/>
    <col min="12059" max="12059" width="4.83203125" style="1" customWidth="1"/>
    <col min="12060" max="12295" width="11.33203125" style="1" customWidth="1"/>
    <col min="12296" max="12301" width="4.83203125" style="1" customWidth="1"/>
    <col min="12302" max="12302" width="9" style="1" customWidth="1"/>
    <col min="12303" max="12306" width="4.83203125" style="1" customWidth="1"/>
    <col min="12307" max="12307" width="5.6640625" style="1" customWidth="1"/>
    <col min="12308" max="12313" width="4.83203125" style="1" customWidth="1"/>
    <col min="12314" max="12314" width="2.1640625" style="1" customWidth="1"/>
    <col min="12315" max="12315" width="4.83203125" style="1" customWidth="1"/>
    <col min="12316" max="12551" width="11.33203125" style="1" customWidth="1"/>
    <col min="12552" max="12557" width="4.83203125" style="1" customWidth="1"/>
    <col min="12558" max="12558" width="9" style="1" customWidth="1"/>
    <col min="12559" max="12562" width="4.83203125" style="1" customWidth="1"/>
    <col min="12563" max="12563" width="5.6640625" style="1" customWidth="1"/>
    <col min="12564" max="12569" width="4.83203125" style="1" customWidth="1"/>
    <col min="12570" max="12570" width="2.1640625" style="1" customWidth="1"/>
    <col min="12571" max="12571" width="4.83203125" style="1" customWidth="1"/>
    <col min="12572" max="12807" width="11.33203125" style="1" customWidth="1"/>
    <col min="12808" max="12813" width="4.83203125" style="1" customWidth="1"/>
    <col min="12814" max="12814" width="9" style="1" customWidth="1"/>
    <col min="12815" max="12818" width="4.83203125" style="1" customWidth="1"/>
    <col min="12819" max="12819" width="5.6640625" style="1" customWidth="1"/>
    <col min="12820" max="12825" width="4.83203125" style="1" customWidth="1"/>
    <col min="12826" max="12826" width="2.1640625" style="1" customWidth="1"/>
    <col min="12827" max="12827" width="4.83203125" style="1" customWidth="1"/>
    <col min="12828" max="13063" width="11.33203125" style="1" customWidth="1"/>
    <col min="13064" max="13069" width="4.83203125" style="1" customWidth="1"/>
    <col min="13070" max="13070" width="9" style="1" customWidth="1"/>
    <col min="13071" max="13074" width="4.83203125" style="1" customWidth="1"/>
    <col min="13075" max="13075" width="5.6640625" style="1" customWidth="1"/>
    <col min="13076" max="13081" width="4.83203125" style="1" customWidth="1"/>
    <col min="13082" max="13082" width="2.1640625" style="1" customWidth="1"/>
    <col min="13083" max="13083" width="4.83203125" style="1" customWidth="1"/>
    <col min="13084" max="13319" width="11.33203125" style="1" customWidth="1"/>
    <col min="13320" max="13325" width="4.83203125" style="1" customWidth="1"/>
    <col min="13326" max="13326" width="9" style="1" customWidth="1"/>
    <col min="13327" max="13330" width="4.83203125" style="1" customWidth="1"/>
    <col min="13331" max="13331" width="5.6640625" style="1" customWidth="1"/>
    <col min="13332" max="13337" width="4.83203125" style="1" customWidth="1"/>
    <col min="13338" max="13338" width="2.1640625" style="1" customWidth="1"/>
    <col min="13339" max="13339" width="4.83203125" style="1" customWidth="1"/>
    <col min="13340" max="13575" width="11.33203125" style="1" customWidth="1"/>
    <col min="13576" max="13581" width="4.83203125" style="1" customWidth="1"/>
    <col min="13582" max="13582" width="9" style="1" customWidth="1"/>
    <col min="13583" max="13586" width="4.83203125" style="1" customWidth="1"/>
    <col min="13587" max="13587" width="5.6640625" style="1" customWidth="1"/>
    <col min="13588" max="13593" width="4.83203125" style="1" customWidth="1"/>
    <col min="13594" max="13594" width="2.1640625" style="1" customWidth="1"/>
    <col min="13595" max="13595" width="4.83203125" style="1" customWidth="1"/>
    <col min="13596" max="13831" width="11.33203125" style="1" customWidth="1"/>
    <col min="13832" max="13837" width="4.83203125" style="1" customWidth="1"/>
    <col min="13838" max="13838" width="9" style="1" customWidth="1"/>
    <col min="13839" max="13842" width="4.83203125" style="1" customWidth="1"/>
    <col min="13843" max="13843" width="5.6640625" style="1" customWidth="1"/>
    <col min="13844" max="13849" width="4.83203125" style="1" customWidth="1"/>
    <col min="13850" max="13850" width="2.1640625" style="1" customWidth="1"/>
    <col min="13851" max="13851" width="4.83203125" style="1" customWidth="1"/>
    <col min="13852" max="14087" width="11.33203125" style="1" customWidth="1"/>
    <col min="14088" max="14093" width="4.83203125" style="1" customWidth="1"/>
    <col min="14094" max="14094" width="9" style="1" customWidth="1"/>
    <col min="14095" max="14098" width="4.83203125" style="1" customWidth="1"/>
    <col min="14099" max="14099" width="5.6640625" style="1" customWidth="1"/>
    <col min="14100" max="14105" width="4.83203125" style="1" customWidth="1"/>
    <col min="14106" max="14106" width="2.1640625" style="1" customWidth="1"/>
    <col min="14107" max="14107" width="4.83203125" style="1" customWidth="1"/>
    <col min="14108" max="14343" width="11.33203125" style="1" customWidth="1"/>
    <col min="14344" max="14349" width="4.83203125" style="1" customWidth="1"/>
    <col min="14350" max="14350" width="9" style="1" customWidth="1"/>
    <col min="14351" max="14354" width="4.83203125" style="1" customWidth="1"/>
    <col min="14355" max="14355" width="5.6640625" style="1" customWidth="1"/>
    <col min="14356" max="14361" width="4.83203125" style="1" customWidth="1"/>
    <col min="14362" max="14362" width="2.1640625" style="1" customWidth="1"/>
    <col min="14363" max="14363" width="4.83203125" style="1" customWidth="1"/>
    <col min="14364" max="14599" width="11.33203125" style="1" customWidth="1"/>
    <col min="14600" max="14605" width="4.83203125" style="1" customWidth="1"/>
    <col min="14606" max="14606" width="9" style="1" customWidth="1"/>
    <col min="14607" max="14610" width="4.83203125" style="1" customWidth="1"/>
    <col min="14611" max="14611" width="5.6640625" style="1" customWidth="1"/>
    <col min="14612" max="14617" width="4.83203125" style="1" customWidth="1"/>
    <col min="14618" max="14618" width="2.1640625" style="1" customWidth="1"/>
    <col min="14619" max="14619" width="4.83203125" style="1" customWidth="1"/>
    <col min="14620" max="14855" width="11.33203125" style="1" customWidth="1"/>
    <col min="14856" max="14861" width="4.83203125" style="1" customWidth="1"/>
    <col min="14862" max="14862" width="9" style="1" customWidth="1"/>
    <col min="14863" max="14866" width="4.83203125" style="1" customWidth="1"/>
    <col min="14867" max="14867" width="5.6640625" style="1" customWidth="1"/>
    <col min="14868" max="14873" width="4.83203125" style="1" customWidth="1"/>
    <col min="14874" max="14874" width="2.1640625" style="1" customWidth="1"/>
    <col min="14875" max="14875" width="4.83203125" style="1" customWidth="1"/>
    <col min="14876" max="15111" width="11.33203125" style="1" customWidth="1"/>
    <col min="15112" max="15117" width="4.83203125" style="1" customWidth="1"/>
    <col min="15118" max="15118" width="9" style="1" customWidth="1"/>
    <col min="15119" max="15122" width="4.83203125" style="1" customWidth="1"/>
    <col min="15123" max="15123" width="5.6640625" style="1" customWidth="1"/>
    <col min="15124" max="15129" width="4.83203125" style="1" customWidth="1"/>
    <col min="15130" max="15130" width="2.1640625" style="1" customWidth="1"/>
    <col min="15131" max="15131" width="4.83203125" style="1" customWidth="1"/>
    <col min="15132" max="15367" width="11.33203125" style="1" customWidth="1"/>
    <col min="15368" max="15373" width="4.83203125" style="1" customWidth="1"/>
    <col min="15374" max="15374" width="9" style="1" customWidth="1"/>
    <col min="15375" max="15378" width="4.83203125" style="1" customWidth="1"/>
    <col min="15379" max="15379" width="5.6640625" style="1" customWidth="1"/>
    <col min="15380" max="15385" width="4.83203125" style="1" customWidth="1"/>
    <col min="15386" max="15386" width="2.1640625" style="1" customWidth="1"/>
    <col min="15387" max="15387" width="4.83203125" style="1" customWidth="1"/>
    <col min="15388" max="15623" width="11.33203125" style="1" customWidth="1"/>
    <col min="15624" max="15629" width="4.83203125" style="1" customWidth="1"/>
    <col min="15630" max="15630" width="9" style="1" customWidth="1"/>
    <col min="15631" max="15634" width="4.83203125" style="1" customWidth="1"/>
    <col min="15635" max="15635" width="5.6640625" style="1" customWidth="1"/>
    <col min="15636" max="15641" width="4.83203125" style="1" customWidth="1"/>
    <col min="15642" max="15642" width="2.1640625" style="1" customWidth="1"/>
    <col min="15643" max="15643" width="4.83203125" style="1" customWidth="1"/>
    <col min="15644" max="15879" width="11.33203125" style="1" customWidth="1"/>
    <col min="15880" max="15885" width="4.83203125" style="1" customWidth="1"/>
    <col min="15886" max="15886" width="9" style="1" customWidth="1"/>
    <col min="15887" max="15890" width="4.83203125" style="1" customWidth="1"/>
    <col min="15891" max="15891" width="5.6640625" style="1" customWidth="1"/>
    <col min="15892" max="15897" width="4.83203125" style="1" customWidth="1"/>
    <col min="15898" max="15898" width="2.1640625" style="1" customWidth="1"/>
    <col min="15899" max="15899" width="4.83203125" style="1" customWidth="1"/>
    <col min="15900" max="16135" width="11.33203125" style="1" customWidth="1"/>
    <col min="16136" max="16141" width="4.83203125" style="1" customWidth="1"/>
    <col min="16142" max="16142" width="9" style="1" customWidth="1"/>
    <col min="16143" max="16146" width="4.83203125" style="1" customWidth="1"/>
    <col min="16147" max="16147" width="5.6640625" style="1" customWidth="1"/>
    <col min="16148" max="16153" width="4.83203125" style="1" customWidth="1"/>
    <col min="16154" max="16154" width="2.1640625" style="1" customWidth="1"/>
    <col min="16155" max="16155" width="4.83203125" style="1" customWidth="1"/>
    <col min="16156" max="16384" width="11.33203125" style="1" customWidth="1"/>
  </cols>
  <sheetData>
    <row r="1" spans="8:27">
      <c r="H1" s="33"/>
      <c r="I1" s="33"/>
    </row>
    <row r="2" spans="8:27">
      <c r="H2" s="33"/>
      <c r="I2" s="33"/>
    </row>
    <row r="3" spans="8:27">
      <c r="H3" s="33"/>
      <c r="I3" s="33"/>
    </row>
    <row r="4" spans="8:27">
      <c r="H4" s="33"/>
      <c r="I4" s="33"/>
    </row>
    <row r="5" spans="8:27">
      <c r="H5" s="33"/>
      <c r="I5" s="33"/>
    </row>
    <row r="6" spans="8:27">
      <c r="H6" s="33"/>
      <c r="I6" s="33"/>
    </row>
    <row r="7" spans="8:27" ht="4" customHeight="1">
      <c r="H7" s="107" t="s">
        <v>47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</row>
    <row r="8" spans="8:27" ht="66" customHeight="1">
      <c r="H8" s="109" t="s">
        <v>91</v>
      </c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</row>
    <row r="9" spans="8:27" ht="44" customHeight="1">
      <c r="H9" s="110" t="str">
        <f>갑지!Q25</f>
        <v>마곡엠밸리4단지아파트</v>
      </c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</row>
    <row r="10" spans="8:27" ht="4" customHeight="1">
      <c r="H10" s="111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</row>
    <row r="11" spans="8:27" ht="40" customHeight="1">
      <c r="H11" s="34"/>
      <c r="I11" s="34"/>
    </row>
    <row r="12" spans="8:27" ht="40" customHeight="1">
      <c r="H12" s="34"/>
      <c r="I12" s="34"/>
    </row>
    <row r="13" spans="8:27" ht="40" customHeight="1">
      <c r="H13" s="34"/>
      <c r="I13" s="34"/>
    </row>
    <row r="14" spans="8:27" ht="40" customHeight="1">
      <c r="H14" s="34"/>
      <c r="I14" s="34"/>
    </row>
    <row r="15" spans="8:27" ht="40" customHeight="1">
      <c r="H15" s="34"/>
      <c r="I15" s="34"/>
    </row>
    <row r="16" spans="8:27" ht="24">
      <c r="H16" s="113" t="s">
        <v>89</v>
      </c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spans="8:27" ht="40" customHeight="1">
      <c r="H17" s="34"/>
      <c r="I17" s="34"/>
    </row>
    <row r="18" spans="8:27" ht="40" customHeight="1">
      <c r="H18" s="34"/>
      <c r="I18" s="34"/>
    </row>
    <row r="19" spans="8:27" ht="40" customHeight="1">
      <c r="H19" s="34"/>
      <c r="I19" s="34"/>
    </row>
    <row r="20" spans="8:27" ht="40" customHeight="1">
      <c r="H20" s="34"/>
      <c r="I20" s="34"/>
    </row>
    <row r="21" spans="8:27" ht="40" customHeight="1">
      <c r="H21" s="34"/>
      <c r="I21" s="34"/>
    </row>
    <row r="22" spans="8:27" ht="4" customHeight="1">
      <c r="H22" s="114"/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4"/>
    </row>
    <row r="23" spans="8:27" ht="53.25" customHeight="1">
      <c r="J23" s="44"/>
      <c r="K23" s="44"/>
      <c r="O23" s="115" t="s">
        <v>48</v>
      </c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46"/>
      <c r="AA23" s="46"/>
    </row>
    <row r="24" spans="8:27" ht="24" customHeight="1">
      <c r="J24" s="26"/>
      <c r="K24" s="26"/>
      <c r="L24" s="26"/>
      <c r="O24" s="116" t="s">
        <v>49</v>
      </c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26"/>
    </row>
    <row r="25" spans="8:27" ht="24" customHeight="1">
      <c r="J25" s="26"/>
      <c r="K25" s="26"/>
      <c r="L25" s="26"/>
      <c r="O25" s="116" t="s">
        <v>50</v>
      </c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26"/>
    </row>
    <row r="26" spans="8:27" ht="24" customHeight="1">
      <c r="J26" s="26"/>
      <c r="K26" s="26"/>
      <c r="L26" s="26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 spans="8:27" ht="24" customHeight="1">
      <c r="J27" s="26"/>
      <c r="K27" s="26"/>
      <c r="L27" s="26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 spans="8:27" ht="43.5" customHeight="1">
      <c r="H28" s="117" t="s">
        <v>91</v>
      </c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9"/>
    </row>
    <row r="29" spans="8:27" ht="25" customHeight="1">
      <c r="H29" s="120" t="s">
        <v>51</v>
      </c>
      <c r="I29" s="121"/>
      <c r="J29" s="124" t="s">
        <v>52</v>
      </c>
      <c r="K29" s="124"/>
      <c r="L29" s="124"/>
      <c r="M29" s="125" t="str">
        <f>H9</f>
        <v>마곡엠밸리4단지아파트</v>
      </c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6"/>
    </row>
    <row r="30" spans="8:27" ht="25" customHeight="1">
      <c r="H30" s="122"/>
      <c r="I30" s="123"/>
      <c r="J30" s="127" t="s">
        <v>53</v>
      </c>
      <c r="K30" s="127"/>
      <c r="L30" s="127"/>
      <c r="M30" s="128" t="s">
        <v>147</v>
      </c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9"/>
    </row>
    <row r="31" spans="8:27" ht="25" customHeight="1">
      <c r="H31" s="122"/>
      <c r="I31" s="123"/>
      <c r="J31" s="127"/>
      <c r="K31" s="127"/>
      <c r="L31" s="127"/>
      <c r="M31" s="128" t="s">
        <v>148</v>
      </c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9"/>
    </row>
    <row r="32" spans="8:27" ht="25" customHeight="1">
      <c r="H32" s="122"/>
      <c r="I32" s="123"/>
      <c r="J32" s="127"/>
      <c r="K32" s="127"/>
      <c r="L32" s="127"/>
      <c r="M32" s="128" t="s">
        <v>167</v>
      </c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9"/>
    </row>
    <row r="33" spans="8:27" ht="25" customHeight="1">
      <c r="H33" s="122"/>
      <c r="I33" s="123"/>
      <c r="J33" s="127"/>
      <c r="K33" s="127"/>
      <c r="L33" s="127"/>
      <c r="M33" s="128" t="s">
        <v>149</v>
      </c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9"/>
    </row>
    <row r="34" spans="8:27" ht="25" customHeight="1">
      <c r="H34" s="122"/>
      <c r="I34" s="123"/>
      <c r="J34" s="127"/>
      <c r="K34" s="127"/>
      <c r="L34" s="127"/>
      <c r="M34" s="130" t="s">
        <v>150</v>
      </c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1"/>
    </row>
    <row r="35" spans="8:27" ht="25" customHeight="1">
      <c r="H35" s="122" t="s">
        <v>54</v>
      </c>
      <c r="I35" s="123"/>
      <c r="J35" s="127" t="s">
        <v>55</v>
      </c>
      <c r="K35" s="127"/>
      <c r="L35" s="127"/>
      <c r="M35" s="136" t="str">
        <f>M29&amp;" 장기수선계획 검토조정 대행"</f>
        <v>마곡엠밸리4단지아파트 장기수선계획 검토조정 대행</v>
      </c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47"/>
    </row>
    <row r="36" spans="8:27" ht="25" customHeight="1">
      <c r="H36" s="122"/>
      <c r="I36" s="123"/>
      <c r="J36" s="127" t="s">
        <v>56</v>
      </c>
      <c r="K36" s="127"/>
      <c r="L36" s="127"/>
      <c r="M36" s="241" t="str">
        <f>대가산출!I3</f>
        <v>일금오십만원정 (₩500,000) - VAT별도</v>
      </c>
      <c r="N36" s="241"/>
      <c r="O36" s="241"/>
      <c r="P36" s="241"/>
      <c r="Q36" s="241"/>
      <c r="R36" s="241"/>
      <c r="S36" s="241"/>
      <c r="T36" s="241"/>
      <c r="U36" s="241"/>
      <c r="V36" s="241"/>
      <c r="W36" s="241"/>
      <c r="X36" s="241"/>
      <c r="Y36" s="241"/>
      <c r="Z36" s="241"/>
      <c r="AA36" s="242"/>
    </row>
    <row r="37" spans="8:27" ht="25" customHeight="1">
      <c r="H37" s="122"/>
      <c r="I37" s="123"/>
      <c r="J37" s="127" t="s">
        <v>57</v>
      </c>
      <c r="K37" s="127"/>
      <c r="L37" s="127"/>
      <c r="M37" s="243" t="str">
        <f>대가산출!I3</f>
        <v>일금오십만원정 (₩500,000) - VAT별도</v>
      </c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4"/>
    </row>
    <row r="38" spans="8:27" ht="25" customHeight="1">
      <c r="H38" s="122"/>
      <c r="I38" s="123"/>
      <c r="J38" s="127" t="s">
        <v>58</v>
      </c>
      <c r="K38" s="127"/>
      <c r="L38" s="127"/>
      <c r="M38" s="139" t="s">
        <v>59</v>
      </c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40"/>
    </row>
    <row r="39" spans="8:27" ht="25" customHeight="1">
      <c r="H39" s="122"/>
      <c r="I39" s="123"/>
      <c r="J39" s="127" t="s">
        <v>85</v>
      </c>
      <c r="K39" s="127"/>
      <c r="L39" s="127"/>
      <c r="M39" s="139" t="s">
        <v>60</v>
      </c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  <c r="AA39" s="140"/>
    </row>
    <row r="40" spans="8:27" ht="25" customHeight="1">
      <c r="H40" s="122"/>
      <c r="I40" s="123"/>
      <c r="J40" s="127" t="s">
        <v>86</v>
      </c>
      <c r="K40" s="127"/>
      <c r="L40" s="127"/>
      <c r="M40" s="139" t="str">
        <f>갑지!Q26</f>
        <v>서울 성북구 길음로9길 50 (길음동)</v>
      </c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40"/>
    </row>
    <row r="41" spans="8:27" ht="25" customHeight="1">
      <c r="H41" s="122"/>
      <c r="I41" s="123"/>
      <c r="J41" s="127"/>
      <c r="K41" s="127"/>
      <c r="L41" s="127"/>
      <c r="M41" s="141" t="s">
        <v>142</v>
      </c>
      <c r="N41" s="142"/>
      <c r="O41" s="142" t="s">
        <v>139</v>
      </c>
      <c r="P41" s="142"/>
      <c r="Q41" s="142"/>
      <c r="R41" s="142"/>
      <c r="S41" s="142"/>
      <c r="T41" s="93" t="s">
        <v>10</v>
      </c>
      <c r="U41" s="142" t="s">
        <v>140</v>
      </c>
      <c r="V41" s="142"/>
      <c r="W41" s="142" t="s">
        <v>141</v>
      </c>
      <c r="X41" s="142"/>
      <c r="Y41" s="142"/>
      <c r="Z41" s="142"/>
      <c r="AA41" s="143"/>
    </row>
    <row r="42" spans="8:27" ht="25" customHeight="1">
      <c r="H42" s="132"/>
      <c r="I42" s="133"/>
      <c r="J42" s="144" t="s">
        <v>61</v>
      </c>
      <c r="K42" s="145"/>
      <c r="L42" s="146"/>
      <c r="M42" s="136" t="s">
        <v>67</v>
      </c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47"/>
    </row>
    <row r="43" spans="8:27" ht="25" customHeight="1">
      <c r="H43" s="134"/>
      <c r="I43" s="135"/>
      <c r="J43" s="148" t="s">
        <v>62</v>
      </c>
      <c r="K43" s="148"/>
      <c r="L43" s="148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  <c r="AA43" s="150"/>
    </row>
    <row r="44" spans="8:27">
      <c r="H44" s="151"/>
      <c r="I44" s="152"/>
      <c r="J44" s="152"/>
      <c r="K44" s="152"/>
      <c r="AA44" s="47"/>
    </row>
    <row r="45" spans="8:27" ht="67.5" customHeight="1">
      <c r="H45" s="153" t="s">
        <v>136</v>
      </c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  <c r="AA45" s="155"/>
    </row>
    <row r="46" spans="8:27" ht="15">
      <c r="H46" s="35"/>
      <c r="I46" s="26"/>
      <c r="J46" s="26"/>
      <c r="K46" s="26"/>
      <c r="L46" s="245"/>
      <c r="M46" s="246"/>
      <c r="N46" s="247"/>
      <c r="O46" s="247"/>
      <c r="P46" s="245"/>
      <c r="Q46" s="245"/>
      <c r="R46" s="245"/>
      <c r="S46" s="245"/>
      <c r="T46" s="245"/>
      <c r="U46" s="245"/>
      <c r="V46" s="245"/>
      <c r="W46" s="245"/>
      <c r="X46" s="245"/>
      <c r="Y46" s="245"/>
      <c r="Z46" s="245"/>
      <c r="AA46" s="248"/>
    </row>
    <row r="47" spans="8:27" ht="25" customHeight="1">
      <c r="H47" s="156" t="s">
        <v>179</v>
      </c>
      <c r="I47" s="157"/>
      <c r="J47" s="157"/>
      <c r="K47" s="157"/>
      <c r="L47" s="157"/>
      <c r="M47" s="128" t="s">
        <v>92</v>
      </c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9"/>
    </row>
    <row r="48" spans="8:27" ht="25" customHeight="1">
      <c r="H48" s="35"/>
      <c r="I48" s="26"/>
      <c r="J48" s="26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9"/>
    </row>
    <row r="49" spans="8:27" ht="25" customHeight="1">
      <c r="H49" s="35"/>
      <c r="I49" s="26"/>
      <c r="J49" s="26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9"/>
    </row>
    <row r="50" spans="8:27" ht="15">
      <c r="H50" s="249"/>
      <c r="I50" s="250"/>
      <c r="J50" s="250"/>
      <c r="K50" s="250"/>
      <c r="L50" s="245"/>
      <c r="M50" s="246"/>
      <c r="N50" s="247"/>
      <c r="O50" s="247"/>
      <c r="P50" s="245"/>
      <c r="Q50" s="245"/>
      <c r="R50" s="245"/>
      <c r="S50" s="245"/>
      <c r="T50" s="245"/>
      <c r="U50" s="245"/>
      <c r="V50" s="245"/>
      <c r="W50" s="245"/>
      <c r="X50" s="245"/>
      <c r="Y50" s="245"/>
      <c r="Z50" s="245"/>
      <c r="AA50" s="248"/>
    </row>
    <row r="51" spans="8:27" ht="25" customHeight="1">
      <c r="H51" s="158" t="s">
        <v>180</v>
      </c>
      <c r="I51" s="159"/>
      <c r="J51" s="159"/>
      <c r="K51" s="159"/>
      <c r="L51" s="159"/>
      <c r="M51" s="160" t="s">
        <v>66</v>
      </c>
      <c r="N51" s="160"/>
      <c r="O51" s="160"/>
      <c r="P51" s="160"/>
      <c r="Q51" s="160"/>
      <c r="R51" s="160"/>
      <c r="S51" s="160"/>
      <c r="T51" s="160"/>
      <c r="U51" s="160"/>
      <c r="V51" s="160"/>
      <c r="W51" s="160"/>
      <c r="X51" s="160"/>
      <c r="Y51" s="160"/>
      <c r="Z51" s="160"/>
      <c r="AA51" s="161"/>
    </row>
    <row r="52" spans="8:27" ht="40.5" customHeight="1">
      <c r="H52" s="251" t="s">
        <v>95</v>
      </c>
      <c r="I52" s="252"/>
      <c r="J52" s="252"/>
      <c r="K52" s="252"/>
      <c r="L52" s="252"/>
      <c r="M52" s="252"/>
      <c r="N52" s="252"/>
      <c r="O52" s="252"/>
      <c r="P52" s="252"/>
      <c r="Q52" s="252"/>
      <c r="R52" s="252" t="s">
        <v>96</v>
      </c>
      <c r="S52" s="252"/>
      <c r="T52" s="252"/>
      <c r="U52" s="252"/>
      <c r="V52" s="252"/>
      <c r="W52" s="252"/>
      <c r="X52" s="252"/>
      <c r="Y52" s="252"/>
      <c r="Z52" s="252"/>
      <c r="AA52" s="253"/>
    </row>
    <row r="53" spans="8:27" ht="40.5" customHeight="1">
      <c r="H53" s="251" t="s">
        <v>97</v>
      </c>
      <c r="I53" s="252"/>
      <c r="J53" s="252"/>
      <c r="K53" s="252"/>
      <c r="L53" s="254" t="str">
        <f>M29</f>
        <v>마곡엠밸리4단지아파트</v>
      </c>
      <c r="M53" s="138"/>
      <c r="N53" s="138"/>
      <c r="O53" s="138"/>
      <c r="P53" s="138"/>
      <c r="Q53" s="255"/>
      <c r="R53" s="252" t="s">
        <v>98</v>
      </c>
      <c r="S53" s="252"/>
      <c r="T53" s="252"/>
      <c r="U53" s="252"/>
      <c r="V53" s="139" t="s">
        <v>99</v>
      </c>
      <c r="W53" s="139"/>
      <c r="X53" s="139"/>
      <c r="Y53" s="139"/>
      <c r="Z53" s="139"/>
      <c r="AA53" s="140"/>
    </row>
    <row r="54" spans="8:27" ht="40.5" customHeight="1">
      <c r="H54" s="251" t="s">
        <v>100</v>
      </c>
      <c r="I54" s="252"/>
      <c r="J54" s="252"/>
      <c r="K54" s="252"/>
      <c r="L54" s="139" t="str">
        <f>M40</f>
        <v>서울 성북구 길음로9길 50 (길음동)</v>
      </c>
      <c r="M54" s="139"/>
      <c r="N54" s="139"/>
      <c r="O54" s="139"/>
      <c r="P54" s="139"/>
      <c r="Q54" s="139"/>
      <c r="R54" s="252" t="s">
        <v>101</v>
      </c>
      <c r="S54" s="252"/>
      <c r="T54" s="252"/>
      <c r="U54" s="252"/>
      <c r="V54" s="139" t="s">
        <v>63</v>
      </c>
      <c r="W54" s="139"/>
      <c r="X54" s="139"/>
      <c r="Y54" s="139"/>
      <c r="Z54" s="139"/>
      <c r="AA54" s="140"/>
    </row>
    <row r="55" spans="8:27" ht="40.5" customHeight="1">
      <c r="H55" s="256" t="s">
        <v>68</v>
      </c>
      <c r="I55" s="257"/>
      <c r="J55" s="257"/>
      <c r="K55" s="258"/>
      <c r="L55" s="259"/>
      <c r="M55" s="257"/>
      <c r="N55" s="257"/>
      <c r="O55" s="257"/>
      <c r="P55" s="258"/>
      <c r="Q55" s="260" t="s">
        <v>69</v>
      </c>
      <c r="R55" s="257" t="s">
        <v>102</v>
      </c>
      <c r="S55" s="257"/>
      <c r="T55" s="257"/>
      <c r="U55" s="257"/>
      <c r="V55" s="257" t="s">
        <v>70</v>
      </c>
      <c r="W55" s="257"/>
      <c r="X55" s="257"/>
      <c r="Y55" s="257"/>
      <c r="Z55" s="258"/>
      <c r="AA55" s="261" t="s">
        <v>69</v>
      </c>
    </row>
    <row r="56" spans="8:27" ht="16">
      <c r="H56" s="162" t="s">
        <v>64</v>
      </c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</row>
    <row r="57" spans="8:27" ht="26">
      <c r="H57" s="163" t="s">
        <v>93</v>
      </c>
      <c r="I57" s="163"/>
      <c r="J57" s="163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  <c r="Y57" s="163"/>
      <c r="Z57" s="163"/>
      <c r="AA57" s="163"/>
    </row>
    <row r="58" spans="8:27" ht="15">
      <c r="H58" s="27"/>
      <c r="L58" s="30"/>
      <c r="M58" s="31"/>
      <c r="O58" s="1"/>
    </row>
    <row r="59" spans="8:27" ht="16.5" customHeight="1">
      <c r="I59" s="128" t="s">
        <v>176</v>
      </c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</row>
    <row r="60" spans="8:27" ht="16.5" customHeight="1">
      <c r="I60" s="128" t="s">
        <v>177</v>
      </c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</row>
    <row r="61" spans="8:27" ht="16.5" customHeight="1">
      <c r="I61" s="164" t="str">
        <f>L53&amp;" (이하 ""발주자""라 한다)와 장기수선계획 수립 대행자인 "</f>
        <v xml:space="preserve">마곡엠밸리4단지아파트 (이하 "발주자"라 한다)와 장기수선계획 수립 대행자인 </v>
      </c>
      <c r="J61" s="164"/>
      <c r="K61" s="164"/>
      <c r="L61" s="164"/>
      <c r="M61" s="164"/>
      <c r="N61" s="164"/>
      <c r="O61" s="164"/>
      <c r="P61" s="164"/>
      <c r="Q61" s="164"/>
      <c r="R61" s="164"/>
      <c r="S61" s="164"/>
      <c r="T61" s="164"/>
      <c r="U61" s="164"/>
      <c r="V61" s="164"/>
      <c r="W61" s="164"/>
      <c r="X61" s="164"/>
      <c r="Y61" s="164"/>
      <c r="Z61" s="164"/>
      <c r="AA61" s="164"/>
    </row>
    <row r="62" spans="8:27" ht="16.5" customHeight="1">
      <c r="I62" s="164" t="s">
        <v>178</v>
      </c>
      <c r="J62" s="164"/>
      <c r="K62" s="164"/>
      <c r="L62" s="164"/>
      <c r="M62" s="164"/>
      <c r="N62" s="164"/>
      <c r="O62" s="164"/>
      <c r="P62" s="164"/>
      <c r="Q62" s="164"/>
      <c r="R62" s="164"/>
      <c r="S62" s="164"/>
      <c r="T62" s="164"/>
      <c r="U62" s="164"/>
      <c r="V62" s="164"/>
      <c r="W62" s="164"/>
      <c r="X62" s="164"/>
      <c r="Y62" s="164"/>
      <c r="Z62" s="164"/>
      <c r="AA62" s="164"/>
    </row>
    <row r="63" spans="8:27" ht="20" customHeight="1">
      <c r="H63" s="36"/>
      <c r="I63" s="36"/>
      <c r="J63" s="36"/>
      <c r="K63" s="36"/>
      <c r="L63" s="36"/>
      <c r="M63" s="36"/>
      <c r="N63" s="36"/>
      <c r="O63" s="36"/>
      <c r="P63" s="36"/>
    </row>
    <row r="64" spans="8:27" ht="20" customHeight="1">
      <c r="H64" s="165" t="s">
        <v>151</v>
      </c>
      <c r="I64" s="165"/>
      <c r="J64" s="165"/>
      <c r="K64" s="165"/>
      <c r="L64" s="165"/>
      <c r="M64" s="165"/>
      <c r="N64" s="165"/>
      <c r="O64" s="165"/>
      <c r="P64" s="165"/>
    </row>
    <row r="65" spans="8:27" ht="75.75" customHeight="1">
      <c r="I65" s="128" t="s">
        <v>87</v>
      </c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</row>
    <row r="66" spans="8:27" ht="20" customHeight="1">
      <c r="H66" s="38"/>
      <c r="L66" s="30"/>
      <c r="M66" s="31"/>
      <c r="O66" s="1"/>
    </row>
    <row r="67" spans="8:27" ht="20" customHeight="1">
      <c r="H67" s="165" t="s">
        <v>71</v>
      </c>
      <c r="I67" s="165"/>
      <c r="J67" s="165"/>
      <c r="K67" s="165"/>
      <c r="L67" s="165"/>
      <c r="M67" s="165"/>
      <c r="N67" s="165"/>
      <c r="O67" s="165"/>
      <c r="P67" s="165"/>
      <c r="Q67" s="165"/>
      <c r="R67" s="165"/>
      <c r="S67" s="165"/>
      <c r="T67" s="165"/>
      <c r="U67" s="165"/>
      <c r="V67" s="165"/>
      <c r="W67" s="165"/>
      <c r="X67" s="165"/>
      <c r="Y67" s="165"/>
      <c r="Z67" s="165"/>
      <c r="AA67" s="165"/>
    </row>
    <row r="68" spans="8:27" ht="19.5" customHeight="1">
      <c r="I68" s="164" t="s">
        <v>103</v>
      </c>
      <c r="J68" s="164"/>
      <c r="K68" s="164"/>
      <c r="L68" s="164"/>
      <c r="M68" s="164"/>
      <c r="N68" s="164"/>
      <c r="O68" s="164"/>
      <c r="P68" s="164"/>
      <c r="Q68" s="164"/>
      <c r="R68" s="164"/>
      <c r="S68" s="164"/>
      <c r="T68" s="164"/>
      <c r="U68" s="164"/>
      <c r="V68" s="164"/>
      <c r="W68" s="164"/>
      <c r="X68" s="164"/>
      <c r="Y68" s="164"/>
      <c r="Z68" s="164"/>
      <c r="AA68" s="164"/>
    </row>
    <row r="69" spans="8:27" ht="39" customHeight="1">
      <c r="I69" s="37"/>
      <c r="J69" s="128" t="s">
        <v>72</v>
      </c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</row>
    <row r="70" spans="8:27" ht="39" customHeight="1">
      <c r="I70" s="37"/>
      <c r="J70" s="128" t="s">
        <v>105</v>
      </c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</row>
    <row r="71" spans="8:27" ht="20" customHeight="1">
      <c r="I71" s="164" t="s">
        <v>104</v>
      </c>
      <c r="J71" s="164"/>
      <c r="K71" s="164"/>
      <c r="L71" s="166"/>
      <c r="M71" s="166"/>
      <c r="N71" s="166"/>
      <c r="O71" s="166"/>
      <c r="P71" s="166"/>
      <c r="Q71" s="167"/>
      <c r="R71" s="167"/>
      <c r="S71" s="167"/>
      <c r="T71" s="167"/>
      <c r="U71" s="167"/>
      <c r="V71" s="167"/>
      <c r="W71" s="167"/>
      <c r="X71" s="167"/>
      <c r="Y71" s="167"/>
      <c r="Z71" s="167"/>
      <c r="AA71" s="167"/>
    </row>
    <row r="72" spans="8:27" ht="20" customHeight="1">
      <c r="I72" s="43"/>
      <c r="J72" s="164" t="s">
        <v>88</v>
      </c>
      <c r="K72" s="164"/>
      <c r="L72" s="164"/>
      <c r="M72" s="164"/>
      <c r="N72" s="164"/>
      <c r="O72" s="164"/>
      <c r="P72" s="164"/>
      <c r="Q72" s="164"/>
      <c r="R72" s="164"/>
      <c r="S72" s="164"/>
      <c r="T72" s="164"/>
      <c r="U72" s="164"/>
      <c r="V72" s="164"/>
      <c r="W72" s="164"/>
      <c r="X72" s="164"/>
      <c r="Y72" s="164"/>
      <c r="Z72" s="164"/>
      <c r="AA72" s="164"/>
    </row>
    <row r="73" spans="8:27" ht="33" customHeight="1">
      <c r="I73" s="43"/>
      <c r="J73" s="128" t="s">
        <v>134</v>
      </c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</row>
    <row r="74" spans="8:27" ht="20" customHeight="1">
      <c r="H74" s="38"/>
      <c r="L74" s="30"/>
      <c r="M74" s="31"/>
      <c r="O74" s="1"/>
    </row>
    <row r="75" spans="8:27" ht="20" customHeight="1">
      <c r="H75" s="165" t="s">
        <v>73</v>
      </c>
      <c r="I75" s="165"/>
      <c r="J75" s="165"/>
      <c r="K75" s="165"/>
      <c r="L75" s="165"/>
      <c r="M75" s="165"/>
      <c r="N75" s="165"/>
      <c r="O75" s="165"/>
      <c r="P75" s="165"/>
      <c r="Q75" s="165"/>
      <c r="R75" s="165"/>
      <c r="S75" s="165"/>
      <c r="T75" s="165"/>
      <c r="U75" s="165"/>
      <c r="V75" s="165"/>
      <c r="W75" s="165"/>
      <c r="X75" s="165"/>
      <c r="Y75" s="165"/>
      <c r="Z75" s="165"/>
      <c r="AA75" s="165"/>
    </row>
    <row r="76" spans="8:27" ht="20" customHeight="1">
      <c r="I76" s="164" t="s">
        <v>74</v>
      </c>
      <c r="J76" s="164"/>
      <c r="K76" s="164"/>
      <c r="L76" s="164"/>
      <c r="M76" s="164"/>
      <c r="N76" s="164"/>
      <c r="O76" s="164"/>
      <c r="P76" s="164"/>
      <c r="Q76" s="164"/>
      <c r="R76" s="164"/>
      <c r="S76" s="164"/>
      <c r="T76" s="164"/>
      <c r="U76" s="164"/>
      <c r="V76" s="164"/>
      <c r="W76" s="164"/>
      <c r="X76" s="164"/>
      <c r="Y76" s="164"/>
      <c r="Z76" s="164"/>
      <c r="AA76" s="164"/>
    </row>
    <row r="77" spans="8:27" ht="20" customHeight="1">
      <c r="H77" s="38"/>
      <c r="L77" s="30"/>
      <c r="M77" s="31"/>
      <c r="O77" s="1"/>
    </row>
    <row r="78" spans="8:27" ht="20" customHeight="1">
      <c r="H78" s="165" t="s">
        <v>75</v>
      </c>
      <c r="I78" s="165"/>
      <c r="J78" s="165"/>
      <c r="K78" s="165"/>
      <c r="L78" s="165"/>
      <c r="M78" s="165"/>
      <c r="N78" s="165"/>
      <c r="O78" s="165"/>
      <c r="P78" s="165"/>
    </row>
    <row r="79" spans="8:27" ht="16.5" customHeight="1">
      <c r="I79" s="128" t="s">
        <v>109</v>
      </c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</row>
    <row r="80" spans="8:27" ht="16.5" customHeight="1">
      <c r="H80" s="39"/>
      <c r="I80" s="128" t="s">
        <v>108</v>
      </c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</row>
    <row r="81" spans="8:27" ht="31.5" customHeight="1">
      <c r="H81" s="40"/>
      <c r="I81" s="128" t="s">
        <v>106</v>
      </c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</row>
    <row r="82" spans="8:27" ht="31.5" customHeight="1">
      <c r="H82" s="40"/>
      <c r="I82" s="128" t="s">
        <v>107</v>
      </c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</row>
    <row r="83" spans="8:27" ht="20" customHeight="1">
      <c r="I83" s="43"/>
      <c r="J83" s="43"/>
      <c r="K83" s="43"/>
      <c r="L83" s="43"/>
      <c r="M83" s="43"/>
      <c r="N83" s="43"/>
      <c r="O83" s="43"/>
      <c r="P83" s="43"/>
    </row>
    <row r="84" spans="8:27" ht="20" customHeight="1">
      <c r="H84" s="165" t="s">
        <v>76</v>
      </c>
      <c r="I84" s="165"/>
      <c r="J84" s="165"/>
      <c r="K84" s="165"/>
      <c r="L84" s="165"/>
      <c r="M84" s="165"/>
      <c r="N84" s="165"/>
      <c r="O84" s="165"/>
      <c r="P84" s="165"/>
    </row>
    <row r="85" spans="8:27" ht="52.5" customHeight="1">
      <c r="I85" s="128" t="s">
        <v>77</v>
      </c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</row>
    <row r="86" spans="8:27" ht="24" customHeight="1"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</row>
    <row r="87" spans="8:27" ht="20" customHeight="1">
      <c r="H87" s="165" t="s">
        <v>78</v>
      </c>
      <c r="I87" s="165"/>
      <c r="J87" s="165"/>
      <c r="K87" s="165"/>
      <c r="L87" s="165"/>
      <c r="M87" s="165"/>
      <c r="N87" s="165"/>
      <c r="O87" s="165"/>
      <c r="P87" s="165"/>
      <c r="Q87" s="165"/>
      <c r="R87" s="165"/>
      <c r="S87" s="165"/>
      <c r="T87" s="165"/>
      <c r="U87" s="165"/>
      <c r="V87" s="165"/>
      <c r="W87" s="165"/>
      <c r="X87" s="165"/>
      <c r="Y87" s="165"/>
      <c r="Z87" s="165"/>
      <c r="AA87" s="165"/>
    </row>
    <row r="88" spans="8:27" ht="63" customHeight="1">
      <c r="I88" s="128" t="s">
        <v>110</v>
      </c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</row>
    <row r="89" spans="8:27" ht="17" customHeight="1">
      <c r="I89" s="128" t="s">
        <v>111</v>
      </c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</row>
    <row r="90" spans="8:27" ht="17" customHeight="1">
      <c r="I90" s="36"/>
      <c r="J90" s="128" t="s">
        <v>112</v>
      </c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</row>
    <row r="91" spans="8:27" ht="17" customHeight="1">
      <c r="I91" s="36"/>
      <c r="J91" s="128" t="s">
        <v>113</v>
      </c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</row>
    <row r="92" spans="8:27" ht="17" customHeight="1">
      <c r="I92" s="36"/>
      <c r="J92" s="128" t="s">
        <v>114</v>
      </c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</row>
    <row r="93" spans="8:27" ht="17" customHeight="1">
      <c r="I93" s="36"/>
      <c r="J93" s="128" t="s">
        <v>115</v>
      </c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</row>
    <row r="94" spans="8:27" ht="17" customHeight="1">
      <c r="I94" s="36"/>
      <c r="J94" s="128" t="s">
        <v>116</v>
      </c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</row>
    <row r="95" spans="8:27" ht="17" customHeight="1">
      <c r="I95" s="36"/>
      <c r="J95" s="128" t="s">
        <v>117</v>
      </c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</row>
    <row r="96" spans="8:27" ht="17" customHeight="1">
      <c r="I96" s="36"/>
      <c r="J96" s="128" t="s">
        <v>118</v>
      </c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</row>
    <row r="97" spans="8:27" ht="20" customHeight="1">
      <c r="H97" s="38"/>
      <c r="L97" s="30"/>
      <c r="M97" s="31"/>
      <c r="O97" s="1"/>
    </row>
    <row r="98" spans="8:27" ht="20" customHeight="1">
      <c r="H98" s="165" t="s">
        <v>80</v>
      </c>
      <c r="I98" s="165"/>
      <c r="J98" s="165"/>
      <c r="K98" s="165"/>
      <c r="L98" s="165"/>
      <c r="M98" s="165"/>
      <c r="N98" s="165"/>
      <c r="O98" s="165"/>
      <c r="P98" s="165"/>
    </row>
    <row r="99" spans="8:27" ht="37.5" customHeight="1">
      <c r="I99" s="128" t="s">
        <v>79</v>
      </c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</row>
    <row r="100" spans="8:27" ht="20" customHeight="1">
      <c r="H100" s="38"/>
      <c r="L100" s="30"/>
      <c r="M100" s="31"/>
      <c r="O100" s="1"/>
    </row>
    <row r="101" spans="8:27" ht="20" customHeight="1">
      <c r="H101" s="165" t="s">
        <v>81</v>
      </c>
      <c r="I101" s="165"/>
      <c r="J101" s="165"/>
      <c r="K101" s="165"/>
      <c r="L101" s="165"/>
      <c r="M101" s="165"/>
      <c r="N101" s="165"/>
      <c r="O101" s="165"/>
      <c r="P101" s="165"/>
    </row>
    <row r="102" spans="8:27" s="32" customFormat="1" ht="37" customHeight="1">
      <c r="H102" s="41"/>
      <c r="I102" s="128" t="s">
        <v>143</v>
      </c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</row>
    <row r="103" spans="8:27" ht="37" customHeight="1">
      <c r="I103" s="128" t="s">
        <v>119</v>
      </c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</row>
    <row r="104" spans="8:27" ht="37" customHeight="1">
      <c r="I104" s="128" t="s">
        <v>120</v>
      </c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</row>
    <row r="105" spans="8:27" ht="20" customHeight="1">
      <c r="H105" s="38"/>
      <c r="L105" s="30"/>
      <c r="M105" s="31"/>
      <c r="O105" s="1"/>
    </row>
    <row r="106" spans="8:27" ht="20" customHeight="1">
      <c r="H106" s="165" t="s">
        <v>82</v>
      </c>
      <c r="I106" s="165"/>
      <c r="J106" s="165"/>
      <c r="K106" s="165"/>
      <c r="L106" s="165"/>
      <c r="M106" s="165"/>
      <c r="N106" s="165"/>
      <c r="O106" s="165"/>
      <c r="P106" s="165"/>
    </row>
    <row r="107" spans="8:27" ht="27.75" customHeight="1">
      <c r="H107" s="40"/>
      <c r="I107" s="128" t="s">
        <v>121</v>
      </c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</row>
    <row r="108" spans="8:27" ht="52.5" customHeight="1">
      <c r="H108" s="40"/>
      <c r="I108" s="128" t="s">
        <v>122</v>
      </c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</row>
    <row r="109" spans="8:27" ht="21" customHeight="1">
      <c r="H109" s="40"/>
      <c r="I109" s="128" t="s">
        <v>123</v>
      </c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</row>
    <row r="110" spans="8:27" s="32" customFormat="1" ht="37" customHeight="1">
      <c r="H110" s="42"/>
      <c r="I110" s="128" t="s">
        <v>124</v>
      </c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</row>
    <row r="111" spans="8:27" ht="52.5" customHeight="1">
      <c r="I111" s="168" t="s">
        <v>135</v>
      </c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  <c r="AA111" s="168"/>
    </row>
    <row r="112" spans="8:27" ht="39" customHeight="1">
      <c r="I112" s="128" t="s">
        <v>125</v>
      </c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</row>
    <row r="113" spans="9:27" ht="41.25" customHeight="1">
      <c r="I113" s="168" t="s">
        <v>138</v>
      </c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  <c r="AA113" s="168"/>
    </row>
    <row r="114" spans="9:27" ht="57" customHeight="1"/>
    <row r="115" spans="9:27" ht="25" customHeight="1"/>
    <row r="116" spans="9:27" ht="25" customHeight="1"/>
  </sheetData>
  <mergeCells count="111">
    <mergeCell ref="I107:AA107"/>
    <mergeCell ref="I108:AA108"/>
    <mergeCell ref="I109:AA109"/>
    <mergeCell ref="I110:AA110"/>
    <mergeCell ref="I111:AA111"/>
    <mergeCell ref="I112:AA112"/>
    <mergeCell ref="I113:AA113"/>
    <mergeCell ref="J95:AA95"/>
    <mergeCell ref="J96:AA96"/>
    <mergeCell ref="H98:P98"/>
    <mergeCell ref="I99:AA99"/>
    <mergeCell ref="H101:P101"/>
    <mergeCell ref="I102:AA102"/>
    <mergeCell ref="I103:AA103"/>
    <mergeCell ref="I104:AA104"/>
    <mergeCell ref="H106:P106"/>
    <mergeCell ref="I85:AA85"/>
    <mergeCell ref="H87:AA87"/>
    <mergeCell ref="I88:AA88"/>
    <mergeCell ref="I89:AA89"/>
    <mergeCell ref="J90:AA90"/>
    <mergeCell ref="J91:AA91"/>
    <mergeCell ref="J92:AA92"/>
    <mergeCell ref="J93:AA93"/>
    <mergeCell ref="J94:AA94"/>
    <mergeCell ref="J73:AA73"/>
    <mergeCell ref="H75:AA75"/>
    <mergeCell ref="I76:AA76"/>
    <mergeCell ref="H78:P78"/>
    <mergeCell ref="I79:AA79"/>
    <mergeCell ref="I80:AA80"/>
    <mergeCell ref="I81:AA81"/>
    <mergeCell ref="I82:AA82"/>
    <mergeCell ref="H84:P84"/>
    <mergeCell ref="H64:P64"/>
    <mergeCell ref="I65:AA65"/>
    <mergeCell ref="H67:AA67"/>
    <mergeCell ref="I68:AA68"/>
    <mergeCell ref="J69:AA69"/>
    <mergeCell ref="J70:AA70"/>
    <mergeCell ref="I71:AA71"/>
    <mergeCell ref="J72:AA72"/>
    <mergeCell ref="I62:AA62"/>
    <mergeCell ref="H55:K55"/>
    <mergeCell ref="L55:P55"/>
    <mergeCell ref="R55:U55"/>
    <mergeCell ref="V55:Z55"/>
    <mergeCell ref="H56:AA56"/>
    <mergeCell ref="H57:AA57"/>
    <mergeCell ref="I59:AA59"/>
    <mergeCell ref="I60:AA60"/>
    <mergeCell ref="I61:AA61"/>
    <mergeCell ref="H52:Q52"/>
    <mergeCell ref="R52:AA52"/>
    <mergeCell ref="H53:K53"/>
    <mergeCell ref="L53:Q53"/>
    <mergeCell ref="R53:U53"/>
    <mergeCell ref="V53:AA53"/>
    <mergeCell ref="H54:K54"/>
    <mergeCell ref="L54:Q54"/>
    <mergeCell ref="R54:U54"/>
    <mergeCell ref="V54:AA54"/>
    <mergeCell ref="H44:K44"/>
    <mergeCell ref="H45:AA45"/>
    <mergeCell ref="H47:L47"/>
    <mergeCell ref="M47:AA47"/>
    <mergeCell ref="K48:AA48"/>
    <mergeCell ref="K49:AA49"/>
    <mergeCell ref="H50:K50"/>
    <mergeCell ref="H51:L51"/>
    <mergeCell ref="M51:AA51"/>
    <mergeCell ref="H35:I43"/>
    <mergeCell ref="J35:L35"/>
    <mergeCell ref="J36:L36"/>
    <mergeCell ref="M36:AA36"/>
    <mergeCell ref="J37:L37"/>
    <mergeCell ref="M37:AA37"/>
    <mergeCell ref="J38:L38"/>
    <mergeCell ref="M38:AA38"/>
    <mergeCell ref="J39:L39"/>
    <mergeCell ref="M39:AA39"/>
    <mergeCell ref="J40:L41"/>
    <mergeCell ref="M40:AA40"/>
    <mergeCell ref="M41:N41"/>
    <mergeCell ref="O41:S41"/>
    <mergeCell ref="U41:V41"/>
    <mergeCell ref="W41:AA41"/>
    <mergeCell ref="J42:L42"/>
    <mergeCell ref="M42:AA42"/>
    <mergeCell ref="J43:L43"/>
    <mergeCell ref="M43:AA43"/>
    <mergeCell ref="M35:AA35"/>
    <mergeCell ref="H28:AA28"/>
    <mergeCell ref="H29:I34"/>
    <mergeCell ref="J29:L29"/>
    <mergeCell ref="M29:AA29"/>
    <mergeCell ref="J30:L34"/>
    <mergeCell ref="M30:AA30"/>
    <mergeCell ref="M31:AA31"/>
    <mergeCell ref="M32:AA32"/>
    <mergeCell ref="M33:AA33"/>
    <mergeCell ref="M34:AA34"/>
    <mergeCell ref="H7:AA7"/>
    <mergeCell ref="H8:AA8"/>
    <mergeCell ref="H9:AA9"/>
    <mergeCell ref="H10:AA10"/>
    <mergeCell ref="H16:AA16"/>
    <mergeCell ref="H22:AA22"/>
    <mergeCell ref="O23:Y23"/>
    <mergeCell ref="O24:Z24"/>
    <mergeCell ref="O25:Z25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3" manualBreakCount="3">
    <brk id="27" min="7" max="26" man="1"/>
    <brk id="55" max="16383" man="1"/>
    <brk id="86" min="7" max="26" man="1"/>
  </rowBreaks>
  <colBreaks count="1" manualBreakCount="1">
    <brk id="27" max="112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2026-04-29T01:07:57Z</cp:lastPrinted>
  <dcterms:created xsi:type="dcterms:W3CDTF">2026-04-09T08:54:17Z</dcterms:created>
  <dcterms:modified xsi:type="dcterms:W3CDTF">2026-04-29T02:11:52Z</dcterms:modified>
</cp:coreProperties>
</file>