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2"/>
  </bookViews>
  <sheets>
    <sheet name="갑지" sheetId="1" r:id="rId1"/>
    <sheet name="대가산출" sheetId="3" r:id="rId2"/>
    <sheet name="계약서1" sheetId="4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갑지!$G$1:$AH$46</definedName>
    <definedName name="_xlnm.Print_Area" localSheetId="2">계약서1!$H$1:$AA$114</definedName>
    <definedName name="_xlnm.Print_Area" localSheetId="1">대가산출!$G$1:$N$31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<sst xmlns="http://schemas.openxmlformats.org/spreadsheetml/2006/main" count="192" uniqueCount="192">
  <si>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</si>
  <si>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</si>
  <si>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</si>
  <si>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</si>
  <si>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</si>
  <si>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</si>
  <si>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</si>
  <si>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㈜에이앤비 대표이사</t>
  </si>
  <si>
    <t>2026년 01월 05일</t>
  </si>
  <si>
    <t>ANB-20260105-13</t>
  </si>
  <si>
    <t>/</t>
  </si>
  <si>
    <t xml:space="preserve">          </t>
  </si>
  <si>
    <t>30일입니다.</t>
  </si>
  <si>
    <t>전화번호 : 031-283-3328  담당자 : 이 현 희 실장</t>
  </si>
  <si>
    <t>발행일로부터</t>
  </si>
  <si>
    <t>대 표 이 사    서  응  원  (인)</t>
  </si>
  <si>
    <t>견적서 유효기간</t>
  </si>
  <si>
    <t>경기도 용인시 기흥구 마북로 159 (한성프라자 207호)</t>
  </si>
  <si>
    <t xml:space="preserve">※ 특이사항 </t>
  </si>
  <si>
    <t>사업자등록번호 : 863-87-00907</t>
  </si>
  <si>
    <t>㈜ 에    이    앤    비</t>
  </si>
  <si>
    <t>부가세 별도</t>
  </si>
  <si>
    <t>견  적  금  액</t>
  </si>
  <si>
    <t>별도</t>
  </si>
  <si>
    <t>부가가치세</t>
  </si>
  <si>
    <t>공 급 가 액</t>
  </si>
  <si>
    <t>절 삭 금 액</t>
  </si>
  <si>
    <t>구조형식,용도,경과년수</t>
  </si>
  <si>
    <t>%</t>
  </si>
  <si>
    <t xml:space="preserve"> 3. 기   술   료</t>
  </si>
  <si>
    <t xml:space="preserve"> 2. 제   경   비</t>
  </si>
  <si>
    <t>인·일</t>
  </si>
  <si>
    <t>초급기술자</t>
  </si>
  <si>
    <t>중급기술자</t>
  </si>
  <si>
    <t>고급기술자</t>
  </si>
  <si>
    <t>특급기술자</t>
  </si>
  <si>
    <t>비       고</t>
  </si>
  <si>
    <t>금      액</t>
  </si>
  <si>
    <t>인  원</t>
  </si>
  <si>
    <t>단  위</t>
  </si>
  <si>
    <t>단   가</t>
  </si>
  <si>
    <t>기술자등급</t>
  </si>
  <si>
    <t>구        분</t>
  </si>
  <si>
    <t>산  출  내  역  서</t>
  </si>
  <si>
    <t>부가가치세</t>
  </si>
  <si>
    <t>공급가액</t>
  </si>
  <si>
    <t>총  용  역  비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</si>
  <si>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</si>
  <si>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</si>
  <si>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</si>
  <si>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r>
      <t xml:space="preserve">전화 </t>
    </r>
    <r>
      <rPr>
        <sz val="12"/>
        <color rgb="FF000000"/>
        <rFont val="돋움"/>
      </rPr>
      <t>: 031-283-3328        팩스 :031-284-3328</t>
    </r>
  </si>
  <si>
    <t>계  약  자</t>
  </si>
  <si>
    <t>관 리 주 체</t>
  </si>
  <si>
    <t>계약상대자</t>
  </si>
  <si>
    <t>계  약  내  용</t>
  </si>
  <si>
    <t>계 약 건 명</t>
  </si>
  <si>
    <t>계 약 금 액</t>
  </si>
  <si>
    <t>공 급 가 액</t>
  </si>
  <si>
    <t>부가 가치세</t>
  </si>
  <si>
    <t>10% 별도</t>
  </si>
  <si>
    <t xml:space="preserve">2026   .     .     .   ~   2026 .     .     . </t>
  </si>
  <si>
    <t>보고서 납품</t>
  </si>
  <si>
    <t>기 타 사 항</t>
  </si>
  <si>
    <r>
      <t>&lt;</t>
    </r>
    <r>
      <rPr>
        <sz val="13"/>
        <color rgb="FF000000"/>
        <rFont val="돋움"/>
      </rPr>
      <t>붙임 1&gt;</t>
    </r>
  </si>
  <si>
    <t>마곡엠밸리4단지아파트</t>
  </si>
  <si>
    <t>2026년    월     일</t>
  </si>
  <si>
    <t>계약일로 부터 60일 이내이며 보고서 1부</t>
  </si>
  <si>
    <t>(인)</t>
  </si>
  <si>
    <t xml:space="preserve"> 서        응       원 </t>
  </si>
  <si>
    <t xml:space="preserve">제2조(용역의 범위) </t>
  </si>
  <si>
    <t>"발주자"는 "수주자"에게 공동주택관리법과 동법 시행규칙 제7조의 별표1에 표시된 항목으로 한정한다.</t>
  </si>
  <si>
    <t>제3조(용역의 종료 및 프로그램 계약기간)</t>
  </si>
  <si>
    <t>프로그램 계약기간은 서류접수한 날로 계약하여 6개월이 경과한 때에 종료한다.</t>
  </si>
  <si>
    <t>제4조(비용의 부담)</t>
  </si>
  <si>
    <t>제5조(통지·통보 방법)</t>
  </si>
  <si>
    <t>"수주자"는 장기수선계획업무와 관련한 사항을 통지·통보하고자 하는 때에는 서면으로 하는 것을 원칙으로 하고, "수주자"의 통지·통보 후 10일 이내에 "발주자"의 회신이 없는 경우 "발주자"가 통지·통보내용을 승낙한 것으로 본다.</t>
  </si>
  <si>
    <t>제6조(당사자의 의무 및 자료의 제공 및 보관 책임)</t>
  </si>
  <si>
    <t>"발주자"와 "수주자"사이에 분쟁이 발생한 경우 "발주자"에게 이익이 되는 법원을 관할법원으로 정한다.</t>
  </si>
  <si>
    <t>제7조(관할의 합의)</t>
  </si>
  <si>
    <t>제8조(계약의 승계 및 해지)</t>
  </si>
  <si>
    <t>제9조(특약사항)</t>
  </si>
  <si>
    <t>장기수선계획서 작성 대행 용역</t>
  </si>
  <si>
    <t>나. 이 견적서의 유효기간은 30일 입니다.</t>
  </si>
  <si>
    <t>계약  기간</t>
  </si>
  <si>
    <t>위        치</t>
  </si>
  <si>
    <t>본 계약은 "발주자"가 관리하고 있는 시설물에 대하여 "발주자"는 시설물에 대한 공동주택관리법 제29조(장기수선계획)의 규정에 따라 장기적으로 주요시설을 보수하거나 교체하는데 필요한 계획의 재수립(수량 및 물량 적산)에 관한 장기수선 계획서 업무를 "수주자"에게 위임하고 "수주자"는 아파트의 장기수선계획서의 작성 수립 대행을 성실히 수행하는 것을 원칙으로 한다.</t>
  </si>
  <si>
    <t>"발주자"는 수주자"에게 제공한 기존 장기수선 계획서를 바탕으로 작성하는 업무</t>
  </si>
  <si>
    <t>2026년</t>
  </si>
  <si>
    <t>※ 첨    부 :  1. 장기수선계획서 수립 견적서 1부. 끝.</t>
  </si>
  <si>
    <t>장기수선계획서 검토조정 대행 계약서</t>
  </si>
  <si>
    <t>1. 장기수선계획서 검토조정 대행 계약서 1부.</t>
  </si>
  <si>
    <t>장기수선계획 검토조정 대행 계약조건</t>
  </si>
  <si>
    <t>(우)16910  경기도 용인시 기흥구 마북로 159 한성프라자 207호 (마북동)   전화 : 031-283-3328    팩스 : 031-284-3328</t>
  </si>
  <si>
    <t>관 리 주 체(발 주 자)</t>
  </si>
  <si>
    <t>계 약 상 대 자(수 주 자)</t>
  </si>
  <si>
    <t>상      호  :</t>
  </si>
  <si>
    <t>상      호 :</t>
  </si>
  <si>
    <t xml:space="preserve"> ㈜  에  이  앤  비</t>
  </si>
  <si>
    <t>주      소  :</t>
  </si>
  <si>
    <t>주      소 :</t>
  </si>
  <si>
    <t xml:space="preserve">대표이사 : </t>
  </si>
  <si>
    <t>① 재수립</t>
  </si>
  <si>
    <t xml:space="preserve">② 조정 </t>
  </si>
  <si>
    <t>"발주자"는 "수주자"에게 공동주택관리법과 동법 시행규칙 제7조의 별표1에 표시된 항목 이외의 항목을 요구할 수 있으며, 이러한 경우 서면으로 통지하여야 한다.</t>
  </si>
  <si>
    <t>③ 보고서 납품 완료 후 추가적인 조정은 계약기간 이내에는 "수주자"는 "발주자"의 요구가 있을 시 언제든지 응하여야 하며, 수정본에 대한 보고서 출력은 "발주자"가 직접 출력한다.</t>
  </si>
  <si>
    <t>④ 계약기간인 6개월이 경과 후 재조정시(수시조정 포함)에는 재계약을 진행하여야 하며 추가비용이 발생한다.</t>
  </si>
  <si>
    <t>② 지급시기는 계약일로 부터 60일 이내에 지급하여야 한다.</t>
  </si>
  <si>
    <t>① 장기수선계획서 검토조정 대행 계약서에 명기한 계약금액으로 한다.</t>
  </si>
  <si>
    <t>① "수주자"는 모든 지식과 기술을 활용하여 신의성실의 원칙에 따라 선량한 관리자로서 본 계약서에 정한 위임업무를 처리해야 하고, "발주자"는 "수주자"의 위임업무 처리에 필요하다고 인정되는 경우는 성실히 협조를 해야 한다. 또한 위임업무 처리를 위하여 "발주자"가 "수주자"에게 제공한 서류와 자료는 위임업무가 종료될 때 반환한다.</t>
  </si>
  <si>
    <t xml:space="preserve">② 위임업무 처리시 필요한 자료 통보 </t>
  </si>
  <si>
    <t>1. 도면 (건축, 토목, 조경, 기계설비, 전기, 소방, 정보통신 등)</t>
  </si>
  <si>
    <t>2. 장기수선 충당금 보조부원장 (출력 가능한 년도까지)</t>
  </si>
  <si>
    <t>3. 어린이 놀이터 검사 필증(합격증)</t>
  </si>
  <si>
    <t>4. 기존 장기수선계획서 (이전 작성한 장기수선 계획서)</t>
  </si>
  <si>
    <t>5. 단지개요, 적립요율부분, 최근 관리부과내역서, 사업자등록증 사본</t>
  </si>
  <si>
    <t>6. 장기수선계획을 위한 사전 예비조사서 (수주자 제공 양식 작성)</t>
  </si>
  <si>
    <t>7. 아파트에서 결정해야 할 사항 (1∽4번 모두 작성)</t>
  </si>
  <si>
    <t>② 본 계약은 당사자 사이의 합의 또는 천재지변, 전쟁, 기타 불가항력의 사유로 인하여 위임업무가 불가능할 때 해지 할 수 있다.</t>
  </si>
  <si>
    <t>③  계약이 해지된 때에는 "발주자"와 "수주자"는 지체없이 그때까지 발생한 비용 등을 정산하여야 한다.</t>
  </si>
  <si>
    <t>① 장기수선계획 작성은 "수주자"의 책임하에 소속 기술력을 발휘하여 작성한다.</t>
  </si>
  <si>
    <t>② 장기수선계획 조정시에는 검토보고서가 포함되지 않는다. 단, 검토보고서를 요청할 때에는 "발주자"가 작성하여 제공하는 것을 원칙으로 하되 "발주자"가 제공하지 않을시 "수주자"의 양식으로 진행함에 이의를 제기하지 않는다.</t>
  </si>
  <si>
    <t>③ 장기수선계획서 완성본은 3회(검수, 수정, 회수)까지만 수정한 후 완료하는 것으로 한다.</t>
  </si>
  <si>
    <t>④ 장기수선계획 관련 "발주자"가 "수주자"에게 제출한 모든 서류의 보관 기간은 3년으로 한다.</t>
  </si>
  <si>
    <t>⑥ 장기수선계획 용역 계약기간 내에는 보고서 바인더는 1권만 제공하고 추가 요청시는 1권당 3만원(부가세 별도)을 지급한다.</t>
  </si>
  <si>
    <t>(직접인건비+제경비)*20%</t>
  </si>
  <si>
    <t>직접인건비*40%</t>
  </si>
  <si>
    <r>
      <rPr>
        <sz val="11"/>
        <color rgb="FF000000"/>
        <rFont val="한컴 솔잎 B"/>
      </rPr>
      <t xml:space="preserve"> 1. 직 접 인 건 비</t>
    </r>
  </si>
  <si>
    <r>
      <rPr>
        <sz val="11"/>
        <color rgb="FF000000"/>
        <rFont val="한컴 솔잎 B"/>
      </rPr>
      <t xml:space="preserve"> 5. 인   쇄   비</t>
    </r>
  </si>
  <si>
    <t xml:space="preserve"> 7. 합 계 금 액</t>
  </si>
  <si>
    <r>
      <t xml:space="preserve"> 4. 직 접</t>
    </r>
    <r>
      <rPr>
        <sz val="7"/>
        <color rgb="FF000000"/>
        <rFont val="한컴 솔잎 B"/>
      </rPr>
      <t xml:space="preserve">  </t>
    </r>
    <r>
      <rPr>
        <sz val="11"/>
        <color rgb="FF000000"/>
        <rFont val="한컴 솔잎 B"/>
      </rPr>
      <t>경 비</t>
    </r>
  </si>
  <si>
    <r>
      <t xml:space="preserve"> </t>
    </r>
    <r>
      <rPr>
        <sz val="11"/>
        <color rgb="FF000000"/>
        <rFont val="한컴 솔잎 B"/>
      </rPr>
      <t>6. 추 가</t>
    </r>
    <r>
      <rPr>
        <sz val="7"/>
        <color rgb="FF000000"/>
        <rFont val="한컴 솔잎 B"/>
      </rPr>
      <t xml:space="preserve">  </t>
    </r>
    <r>
      <rPr>
        <sz val="11"/>
        <color rgb="FF000000"/>
        <rFont val="한컴 솔잎 B"/>
      </rPr>
      <t>경 비</t>
    </r>
  </si>
  <si>
    <t>가. 장기수선계획 용역기간 : 6개월   (계약일자로부터)</t>
  </si>
  <si>
    <t>"수주자"는 "발주자"가 제공한 자료가 부실한 경우 반드시 "발주자"에게 서면으로 통보한다.</t>
  </si>
  <si>
    <t>⑤ 장기수선계획 계약서 작성 및 제출 후 조정작업 진행하는 것을 원칙으로 한다. 다만, 부득이 계약서 작성 전에 급히 조정을 원하는 경우는 선 진행을 하되 중간에 "발주자"에 의해 계약 파기 요청을 하는 경우에는 계약금의 70%를 지급하기로 한다.</t>
  </si>
  <si>
    <t xml:space="preserve">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</si>
  <si>
    <t>( 1 + 2 + 3 + 4 + 5 + 6 )</t>
  </si>
  <si>
    <t>⑦ 장기수선계획 보고서 바인더 제공 후 수정부분 출력은 "발주자" 자체적으로 출력하되 "수주자"에게 요청시에는 출력 및 우편 발송 비용(3만원 부가세 별도)등 별도로 발생한다.</t>
  </si>
  <si>
    <t>031-657-6579</t>
  </si>
  <si>
    <t xml:space="preserve">팩스 : </t>
  </si>
  <si>
    <t>031-656-6579</t>
  </si>
  <si>
    <t xml:space="preserve">전화 : </t>
  </si>
  <si>
    <t xml:space="preserve">① "발주자"의 구성원 및 회장(단장 포함)이 변경이 있을 경우에도 본 계약은 자동적으로 후임 구성원 및 회장(단장 포함)에게 승계된 것으로 본다. </t>
  </si>
  <si>
    <t>무로 하는 ㈜에이앤비입니다.</t>
  </si>
  <si>
    <t>귀 아파트에서 수립하고자 하는 장기수선계획서 작성에 관한 견적서를 아래와 같이 제출하오니</t>
  </si>
  <si>
    <t>검토하시어 수립 대행업무 위임하여 주시기 바랍니다.</t>
  </si>
  <si>
    <t>●   상호또는법인명 : (주)에이앤비</t>
  </si>
  <si>
    <t>●   사업자등록번호 : 863-87-00907</t>
  </si>
  <si>
    <t>●   전화번호 : 031-283-3328     팩스번호 : 031-284-3328</t>
  </si>
  <si>
    <t>●   대 표 자 : 서 응 원</t>
  </si>
  <si>
    <t>제1조(목적)</t>
  </si>
  <si>
    <t>가. 공동주택관리법 제29조에 의거한 장기수선계획 검토·조정</t>
  </si>
  <si>
    <t>나. 장기수선계획 보고서(1부) 및 엑셀파일 출력물 제공</t>
  </si>
  <si>
    <t>계획 조정(검토 포함) , 시설물 유지보수(도장, 방수공사 등), 기술자문 및 감리 등을 주 업</t>
  </si>
  <si>
    <t>시설물 안전진단(구조 안전진단), 안전점검(정밀, 정기), 건축물 하자 조사(점검), 장기수선</t>
  </si>
  <si>
    <t>서울 성북구 길음로9길 50 (길음동)</t>
  </si>
  <si>
    <t>아파트 15개동 1012세대</t>
  </si>
  <si>
    <t>2010년 09월</t>
  </si>
  <si>
    <t>02-912-5002 / 02-912-5002</t>
  </si>
  <si>
    <t>가. 단   지   명  :</t>
  </si>
  <si>
    <t xml:space="preserve">나. 소   재   지  : </t>
  </si>
  <si>
    <t>다. 단 지  규 모  :</t>
  </si>
  <si>
    <t>라. 준   공   일  :</t>
  </si>
  <si>
    <t>마. 전 화 / 팩 스 :</t>
  </si>
  <si>
    <t>가. 외업</t>
  </si>
  <si>
    <t>나. 내업</t>
  </si>
  <si>
    <t>●   주 소 : 경기도 용인시 기흥구 마북로 159 한성프라자 207호</t>
  </si>
  <si>
    <t>마곡엠밸리4단지아파트</t>
  </si>
  <si>
    <t>「공동주택관리법」(이하 “공주법”이라 한다) 제29조(장기수선계획), 시행령 제30조</t>
  </si>
  <si>
    <t>(장기수선계획의 수립), 시행규칙 제7조(장기수선계획의 수립기준 등)의 규정에 따라</t>
  </si>
  <si>
    <t>붙 임 서 류 :</t>
  </si>
  <si>
    <t xml:space="preserve">계 약 일 자 : </t>
  </si>
  <si>
    <t>해당사항없음</t>
  </si>
  <si>
    <t>(이하 "발주자"라 한다)와 장기수선계획 수립 대행자인</t>
  </si>
  <si>
    <r>
      <rPr>
        <b/>
        <sz val="12"/>
        <color rgb="FF000000"/>
        <rFont val="돋움"/>
      </rPr>
      <t>㈜에이앤비</t>
    </r>
    <r>
      <rPr>
        <sz val="12"/>
        <color rgb="FF000000"/>
        <rFont val="돋움"/>
      </rPr>
      <t>(이하 "수주자"라 한다)는 다음과 같이 계약을 체결한다.</t>
    </r>
  </si>
  <si>
    <t>회       장 :</t>
  </si>
  <si>
    <t>경기도 용인시 기흥구 마북로 159,
한성프라자 207호(마북동)</t>
  </si>
  <si>
    <r>
      <t xml:space="preserve"> </t>
    </r>
    <r>
      <rPr>
        <b/>
        <sz val="12"/>
        <color rgb="FF000000"/>
        <rFont val="바탕체"/>
      </rPr>
      <t xml:space="preserve">         </t>
    </r>
    <r>
      <rPr>
        <b/>
        <sz val="10"/>
        <color rgb="FF000000"/>
        <rFont val="바탕체"/>
      </rPr>
      <t xml:space="preserve"> </t>
    </r>
    <r>
      <rPr>
        <b/>
        <sz val="14"/>
        <color rgb="FF000000"/>
        <rFont val="바탕체"/>
      </rPr>
      <t>6. 용    역    비  :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</si>
  <si>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>1. 귀 사의 무궁한 발전을 기원합니다.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</si>
  <si>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>2. 당 사는 경기도 용인시 기흥구 마북로 159, 한성프라자 207호에 위치한 업체로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</si>
  <si>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>3. 그 동안 귀사에서 물심양면으로 도와주신 부분에 대하여 무궁한 감사 드리며,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</si>
  <si>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>4. 시설물 개요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</si>
  <si>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 xml:space="preserve">5. 용  역   범  위 </t>
    </r>
  </si>
  <si>
    <r>
      <t xml:space="preserve">    </t>
    </r>
    <r>
      <rPr>
        <sz val="10"/>
        <color rgb="FF000000"/>
        <rFont val="바탕체"/>
      </rPr>
      <t xml:space="preserve">         </t>
    </r>
    <r>
      <rPr>
        <sz val="12"/>
        <color rgb="FF000000"/>
        <rFont val="바탕체"/>
      </rPr>
      <t>7. 참  고  사  항</t>
    </r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</si>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</sst>
</file>

<file path=xl/styles.xml><?xml version="1.0" encoding="utf-8"?>
<styleSheet xmlns="http://schemas.openxmlformats.org/spreadsheetml/2006/main">
  <numFmts count="70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yyyy&quot;년&quot;\ m&quot;월&quot;\ d&quot;일&quot;;@"/>
    <numFmt numFmtId="180" formatCode="#,##0_ "/>
    <numFmt numFmtId="181" formatCode="&quot;₩&quot;#,##0"/>
    <numFmt numFmtId="182" formatCode="&quot;일금&quot;\ [$-412]General&quot;원&quot;&quot;정&quot;"/>
    <numFmt numFmtId="183" formatCode="@\ &quot;정&quot;&quot;기&quot;&quot;안&quot;&quot;전&quot;&quot;점&quot;&quot;검&quot;&quot;(상반기)&quot;\ &quot;용&quot;&quot;역&quot;"/>
    <numFmt numFmtId="184" formatCode="\ "/>
    <numFmt numFmtId="185" formatCode="0.0"/>
    <numFmt numFmtId="186" formatCode="mm&quot;월&quot;\ dd&quot;일&quot;"/>
    <numFmt numFmtId="187" formatCode="_-* #,##0.0_-;\-* #,##0.0_-;_-* &quot;-&quot;??_-;_-@_-"/>
    <numFmt numFmtId="188" formatCode="_-* #,##0_-;\-* #,##0_-;_-* &quot;-&quot;??_-;_-@_-"/>
    <numFmt numFmtId="189" formatCode="_-&quot;$&quot;* #,##0.00_-;\-&quot;$&quot;* #,##0.00_-;_-&quot;$&quot;* &quot;-&quot;??_-;_-@_-"/>
    <numFmt numFmtId="190" formatCode="_-&quot;$&quot;* #,##0_-;\-&quot;$&quot;* #,##0_-;_-&quot;$&quot;* &quot;-&quot;_-;_-@_-"/>
    <numFmt numFmtId="191" formatCode="_ * #,##0_ ;_ * \-#,##0_ ;_ * &quot;-&quot;_ ;_ @_ "/>
    <numFmt numFmtId="192" formatCode="#,##0;&quot;-&quot;#,##0"/>
    <numFmt numFmtId="193" formatCode="#,##0.0;[Red]#,##0.0;&quot; &quot;"/>
    <numFmt numFmtId="194" formatCode="0.0000%"/>
    <numFmt numFmtId="195" formatCode="#,##0.0000"/>
    <numFmt numFmtId="196" formatCode="0.0000"/>
    <numFmt numFmtId="197" formatCode="#,##0,"/>
    <numFmt numFmtId="198" formatCode="0.000"/>
    <numFmt numFmtId="199" formatCode="#,##0.00;[Red]#,##0.00;&quot; 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\$#,##0;\(\$#,##0\)"/>
    <numFmt numFmtId="204" formatCode="0.00&quot;  &quot;"/>
    <numFmt numFmtId="205" formatCode="0,###,###"/>
    <numFmt numFmtId="206" formatCode="0.##"/>
    <numFmt numFmtId="207" formatCode="#,##0\ &quot;Esc.&quot;;[Red]\-#,##0\ &quot;Esc.&quot;"/>
    <numFmt numFmtId="208" formatCode="#,##0.00&quot; F&quot;_);\(#,##0.00&quot; F&quot;\)"/>
    <numFmt numFmtId="209" formatCode="#,##0.000\ &quot;EA &quot;"/>
    <numFmt numFmtId="210" formatCode="###"/>
    <numFmt numFmtId="211" formatCode="##"/>
    <numFmt numFmtId="212" formatCode="#,##0.0_);\(#,##0.0\)"/>
    <numFmt numFmtId="213" formatCode="#,##0.000\ &quot;㎏ &quot;"/>
    <numFmt numFmtId="214" formatCode="#,##0.000\ &quot;m  &quot;"/>
    <numFmt numFmtId="215" formatCode="#,##0.000\ &quot;㎡ &quot;"/>
    <numFmt numFmtId="216" formatCode="#,##0.000\ &quot;㎥ &quot;"/>
    <numFmt numFmtId="217" formatCode="&quot;$&quot;#,##0.0_);\(&quot;$&quot;#,##0.0\)"/>
    <numFmt numFmtId="218" formatCode="&quot;$&quot;#,##0;\-&quot;$&quot;#,##0"/>
    <numFmt numFmtId="219" formatCode="0.00_);[Red]\(0.00\)"/>
    <numFmt numFmtId="220" formatCode="_-* #,##0\ &quot;DM&quot;_-;\-* #,##0\ &quot;DM&quot;_-;_-* &quot;-&quot;\ &quot;DM&quot;_-;_-@_-"/>
    <numFmt numFmtId="221" formatCode="_-* #,##0.00\ &quot;DM&quot;_-;\-* #,##0.00\ &quot;DM&quot;_-;_-* &quot;-&quot;??\ &quot;DM&quot;_-;_-@_-"/>
    <numFmt numFmtId="222" formatCode="&quot;₩&quot;#,##0;&quot;₩&quot;&quot;₩&quot;&quot;₩&quot;&quot;₩&quot;\-#,##0"/>
    <numFmt numFmtId="223" formatCode="#,##0;[Red]&quot;△&quot;#,##0"/>
    <numFmt numFmtId="224" formatCode="#."/>
    <numFmt numFmtId="225" formatCode="_(&quot;RM&quot;* #,##0.00_);_(&quot;RM&quot;* \(#,##0.00\);_(&quot;RM&quot;* &quot;-&quot;??_);_(@_)"/>
    <numFmt numFmtId="226" formatCode="&quot;US$&quot;#,##0_);\(&quot;US$&quot;#,##0\)"/>
    <numFmt numFmtId="227" formatCode="0_);\(0\)"/>
    <numFmt numFmtId="228" formatCode="0.0%"/>
    <numFmt numFmtId="229" formatCode="?/?#"/>
    <numFmt numFmtId="230" formatCode="_-* #,##0;\-* #,##0;_-* &quot;-&quot;;_-@"/>
    <numFmt numFmtId="231" formatCode="#,##0;[Red]&quot;-&quot;#,##0"/>
    <numFmt numFmtId="232" formatCode="&quot;  &quot;@"/>
    <numFmt numFmtId="233" formatCode="&quot;₩&quot;#,##0;[Red]&quot;₩&quot;&quot;₩&quot;&quot;₩&quot;&quot;₩&quot;\-#,##0"/>
    <numFmt numFmtId="234" formatCode="&quot;US$&quot;#,##0_);[Red]\(&quot;US$&quot;#,##0\)"/>
    <numFmt numFmtId="235" formatCode="_-* #,##0_-;&quot;₩&quot;\!\-* #,##0_-;_-* &quot;-&quot;_-;_-@_-"/>
    <numFmt numFmtId="236" formatCode="&quot;₩&quot;#\!\,##0;[Red]&quot;₩&quot;&quot;₩&quot;\!\-#\!\,##0"/>
    <numFmt numFmtId="237" formatCode="#,##0&quot; &quot;;[Red]&quot;△&quot;#,##0&quot; &quot;"/>
    <numFmt numFmtId="238" formatCode="* #,##0&quot; &quot;;[Red]* &quot;△&quot;#,##0&quot; &quot;;* @"/>
    <numFmt numFmtId="239" formatCode="_-* #,##0.000_-;\-* #,##0.000_-;_-* &quot;-&quot;_-;_-@_-"/>
    <numFmt numFmtId="240" formatCode="#,##0.####;[Red]&quot;△&quot;#,##0.####"/>
    <numFmt numFmtId="241" formatCode="#,##0.00##;[Red]&quot;△&quot;#,##0.00##"/>
    <numFmt numFmtId="242" formatCode="_-* #,##0.00_-;&quot;₩&quot;&quot;₩&quot;\-* #,##0.00_-;_-* &quot;-&quot;??_-;_-@_-"/>
    <numFmt numFmtId="243" formatCode="_-&quot;₩&quot;* #,##0.00_-;&quot;₩&quot;&quot;₩&quot;\-&quot;₩&quot;* #,##0.00_-;_-&quot;₩&quot;* &quot;-&quot;??_-;_-@_-"/>
    <numFmt numFmtId="244" formatCode="&quot;₩&quot;#,##0.00;&quot;₩&quot;&quot;₩&quot;&quot;₩&quot;&quot;₩&quot;\-#,##0.00"/>
  </numFmts>
  <fonts count="147">
    <font>
      <sz val="10.0"/>
      <name val="바탕"/>
      <color rgb="FF000000"/>
    </font>
    <font>
      <sz val="12.0"/>
      <name val="함초롬바탕"/>
      <color rgb="FF000000"/>
    </font>
    <font>
      <sz val="12.0"/>
      <name val="돋움"/>
      <color rgb="FF000000"/>
    </font>
    <font>
      <b/>
      <sz val="28.0"/>
      <name val="함초롬바탕"/>
      <color rgb="FF000000"/>
    </font>
    <font>
      <sz val="10.0"/>
      <name val="NanumGothic"/>
      <color rgb="FF000000"/>
    </font>
    <font>
      <sz val="11.0"/>
      <name val="함초롬바탕"/>
      <color rgb="FF000000"/>
    </font>
    <font>
      <sz val="11.0"/>
      <name val="돋움"/>
      <color rgb="FF000000"/>
    </font>
    <font>
      <sz val="12.0"/>
      <name val="바탕체"/>
      <color rgb="FF000000"/>
    </font>
    <font>
      <sz val="8.0"/>
      <name val="바탕"/>
      <color rgb="FF000000"/>
    </font>
    <font>
      <sz val="11.0"/>
      <name val="바탕체"/>
      <color rgb="FF000000"/>
    </font>
    <font>
      <sz val="12.0"/>
      <name val="돋움"/>
      <color theme="1"/>
    </font>
    <font>
      <sz val="13.0"/>
      <name val="굴림"/>
      <color rgb="FF000000"/>
    </font>
    <font>
      <sz val="13.0"/>
      <name val="한컴 솔잎 B"/>
      <color rgb="FF000000"/>
    </font>
    <font>
      <sz val="11.0"/>
      <name val="한컴 솔잎 B"/>
      <color rgb="FF000000"/>
    </font>
    <font>
      <sz val="16.0"/>
      <name val="한컴 솔잎 B"/>
      <color rgb="FF000000"/>
    </font>
    <font>
      <sz val="10.0"/>
      <name val="굴림"/>
      <color rgb="FF000000"/>
    </font>
    <font>
      <sz val="14.0"/>
      <name val="한컴 솔잎 B"/>
      <color rgb="FF000000"/>
    </font>
    <font>
      <sz val="10.0"/>
      <name val="한컴 솔잎 B"/>
      <color rgb="FF000000"/>
    </font>
    <font>
      <sz val="12.0"/>
      <name val="한컴 솔잎 B"/>
      <color rgb="FF000000"/>
    </font>
    <font>
      <sz val="8.0"/>
      <name val="한컴 솔잎 B"/>
      <color rgb="FF000000"/>
    </font>
    <font>
      <b/>
      <sz val="11.0"/>
      <name val="한컴 솔잎 B"/>
      <color rgb="FF000000"/>
    </font>
    <font>
      <sz val="9.0"/>
      <name val="한컴 솔잎 B"/>
      <color rgb="FF000000"/>
    </font>
    <font>
      <sz val="11.0"/>
      <name val="맑은 고딕"/>
      <scheme val="minor"/>
      <color theme="1"/>
    </font>
    <font>
      <sz val="11.0"/>
      <name val="굴림"/>
      <color rgb="FF000000"/>
    </font>
    <font>
      <sz val="20.0"/>
      <name val="한컴 솔잎 B"/>
      <color rgb="FF000000"/>
    </font>
    <font>
      <sz val="11.0"/>
      <name val="굴림체"/>
      <color rgb="FF000000"/>
    </font>
    <font>
      <sz val="10.0"/>
      <name val="굴림체"/>
      <color rgb="FF000000"/>
    </font>
    <font>
      <sz val="22.0"/>
      <name val="한컴 솔잎 B"/>
      <color rgb="FF000000"/>
    </font>
    <font>
      <sz val="26.0"/>
      <name val="한컴 솔잎 B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0.0"/>
      <name val="Courier New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C0C0C0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FFFF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sz val="11.0"/>
      <name val="맑은 고딕"/>
      <scheme val="minor"/>
      <color rgb="FF006100"/>
    </font>
    <font>
      <sz val="2.0"/>
      <name val="돋움"/>
      <color rgb="FF000000"/>
    </font>
    <font>
      <b/>
      <sz val="20.0"/>
      <name val="돋움"/>
      <color rgb="FF000000"/>
    </font>
    <font>
      <b/>
      <sz val="36.0"/>
      <name val="돋움"/>
      <color rgb="FF000000"/>
    </font>
    <font>
      <b/>
      <sz val="17.0"/>
      <name val="돋움"/>
      <color rgb="FF000000"/>
    </font>
    <font>
      <b/>
      <sz val="14.0"/>
      <name val="돋움"/>
      <color rgb="FF000000"/>
    </font>
    <font>
      <b/>
      <sz val="12.0"/>
      <name val="돋움"/>
      <color rgb="FF000000"/>
    </font>
    <font>
      <sz val="12.0"/>
      <name val="돋움"/>
      <color rgb="FFFF0000"/>
    </font>
    <font>
      <sz val="11.5"/>
      <name val="돋움"/>
      <color rgb="FF000000"/>
    </font>
    <font>
      <sz val="13.0"/>
      <name val="돋움"/>
      <color rgb="FF000000"/>
    </font>
    <font>
      <b/>
      <u/>
      <sz val="20.0"/>
      <name val="돋움"/>
      <color rgb="FF000000"/>
    </font>
    <font>
      <u/>
      <sz val="11.0"/>
      <name val="바탕"/>
      <color theme="10"/>
    </font>
    <font>
      <u/>
      <sz val="11.0"/>
      <name val="바탕"/>
      <color theme="11"/>
    </font>
    <font>
      <sz val="7.0"/>
      <name val="한컴 솔잎 B"/>
      <color rgb="FF000000"/>
    </font>
    <font>
      <b/>
      <sz val="18.0"/>
      <name val="돋움"/>
      <color rgb="FF000000"/>
    </font>
    <font>
      <b/>
      <sz val="36.0"/>
      <name val="바탕체"/>
      <color rgb="FF000000"/>
    </font>
    <font>
      <sz val="9.0"/>
      <name val="바탕체"/>
      <color rgb="FF000000"/>
    </font>
    <font>
      <b/>
      <sz val="12.0"/>
      <name val="바탕체"/>
      <color rgb="FF000000"/>
    </font>
    <font>
      <b/>
      <u/>
      <sz val="12.0"/>
      <name val="바탕체"/>
      <color rgb="FFFF0000"/>
    </font>
    <font>
      <b/>
      <u/>
      <sz val="12.0"/>
      <name val="바탕체"/>
      <color theme="1"/>
    </font>
    <font>
      <sz val="12.0"/>
      <name val="바탕체"/>
      <color theme="1"/>
    </font>
    <font>
      <b/>
      <u/>
      <sz val="12.0"/>
      <name val="바탕체"/>
      <color rgb="FF000000"/>
    </font>
    <font>
      <b/>
      <sz val="32.0"/>
      <name val="바탕체"/>
      <color rgb="FF000000"/>
    </font>
    <font>
      <sz val="14.0"/>
      <name val="바탕체"/>
      <color rgb="FF000000"/>
    </font>
    <font>
      <b/>
      <sz val="14.0"/>
      <name val="바탕체"/>
      <color rgb="FF000000"/>
    </font>
    <font>
      <sz val="14.0"/>
      <name val="돋움"/>
      <color rgb="FF000000"/>
    </font>
    <font>
      <b/>
      <sz val="28.0"/>
      <name val="돋움"/>
      <color rgb="FF000000"/>
    </font>
    <font>
      <b/>
      <sz val="10.0"/>
      <name val="한컴 솔잎 B"/>
      <color rgb="FF000000"/>
    </font>
    <font>
      <b/>
      <sz val="10.0"/>
      <name val="바탕체"/>
      <color rgb="FF000000"/>
    </font>
    <font>
      <sz val="11.0"/>
      <name val="바탕"/>
      <color rgb="FFFF0000"/>
    </font>
    <font>
      <sz val="18.0"/>
      <name val="바탕"/>
      <color theme="3"/>
    </font>
    <font>
      <b/>
      <sz val="15.0"/>
      <name val="바탕"/>
      <color theme="3"/>
    </font>
    <font>
      <b/>
      <sz val="13.0"/>
      <name val="바탕"/>
      <color theme="3"/>
    </font>
    <font>
      <b/>
      <sz val="11.0"/>
      <name val="바탕"/>
      <color theme="3"/>
    </font>
    <font>
      <sz val="11.0"/>
      <name val="바탕"/>
      <color rgb="FF3F3F76"/>
    </font>
    <font>
      <b/>
      <sz val="11.0"/>
      <name val="바탕"/>
      <color rgb="FF3F3F3F"/>
    </font>
    <font>
      <b/>
      <sz val="11.0"/>
      <name val="바탕"/>
      <color rgb="FFFA7D00"/>
    </font>
    <font>
      <b/>
      <sz val="11.0"/>
      <name val="바탕"/>
      <color rgb="FFFFFFFF"/>
    </font>
    <font>
      <sz val="11.0"/>
      <name val="바탕"/>
      <color rgb="FFFA7D00"/>
    </font>
    <font>
      <b/>
      <sz val="11.0"/>
      <name val="바탕"/>
      <color theme="1"/>
    </font>
    <font>
      <sz val="11.0"/>
      <name val="바탕"/>
      <color rgb="FF006100"/>
    </font>
    <font>
      <sz val="11.0"/>
      <name val="바탕"/>
      <color rgb="FF9C0006"/>
    </font>
    <font>
      <sz val="11.0"/>
      <name val="바탕"/>
      <color rgb="FF9C6500"/>
    </font>
    <font>
      <sz val="11.0"/>
      <name val="바탕"/>
      <color theme="0"/>
    </font>
    <font>
      <sz val="11.0"/>
      <name val="바탕"/>
      <color theme="1"/>
    </font>
    <font>
      <i/>
      <sz val="11.0"/>
      <name val="바탕"/>
      <color rgb="FF7F7F7F"/>
    </font>
    <font>
      <b/>
      <sz val="12.0"/>
      <name val="맑은 고딕"/>
      <color rgb="FF000000"/>
    </font>
    <font>
      <sz val="12.0"/>
      <name val="맑은 고딕"/>
      <color rgb="FF000000"/>
    </font>
    <font>
      <sz val="16.0"/>
      <name val="돋움"/>
      <color rgb="FF000000"/>
    </font>
    <font>
      <b/>
      <sz val="14.0"/>
      <name val="맑은 고딕"/>
      <color rgb="FF000000"/>
    </font>
    <font>
      <b/>
      <u/>
      <sz val="12.0"/>
      <name val="맑은 고딕"/>
      <color theme="1"/>
    </font>
    <font>
      <b/>
      <u/>
      <sz val="12.0"/>
      <name val="맑은 고딕"/>
      <color rgb="FF000000"/>
    </font>
    <font>
      <b/>
      <sz val="32.0"/>
      <name val="맑은 고딕"/>
      <color rgb="FF000000"/>
    </font>
    <font>
      <sz val="11.0"/>
      <name val="맑은 고딕"/>
      <color rgb="FF000000"/>
    </font>
    <font>
      <sz val="13.0"/>
      <name val="맑은 고딕"/>
      <color rgb="FF000000"/>
    </font>
    <font>
      <b/>
      <u/>
      <sz val="20.0"/>
      <name val="맑은 고딕"/>
      <color rgb="FF000000"/>
    </font>
    <font>
      <sz val="16.0"/>
      <name val="돋움"/>
      <color rgb="FF000000"/>
    </font>
    <font>
      <sz val="10.0"/>
      <name val="돋움"/>
      <color rgb="FF000000"/>
    </font>
    <font>
      <sz val="11.0"/>
      <name val="돋움"/>
      <color rgb="FF000000"/>
    </font>
  </fonts>
  <fills count="42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4" tint="0.79995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89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medium">
        <color rgb="FF000000"/>
      </bottom>
    </border>
  </borders>
  <cellStyleXfs count="3167">
    <xf numFmtId="0" fontId="0" fillId="0" borderId="0" applyFill="0" applyProtection="0">
      <alignment vertical="center"/>
    </xf>
    <xf numFmtId="0" fontId="6" fillId="0" borderId="0">
      <alignment vertical="center"/>
    </xf>
    <xf numFmtId="177" fontId="6" fillId="0" borderId="0" applyAlignment="0" applyBorder="0" applyFill="0" applyFont="0" applyProtection="0">
      <alignment vertical="center"/>
    </xf>
    <xf numFmtId="176" fontId="6" fillId="0" borderId="0" applyAlignment="0" applyBorder="0" applyFill="0" applyFont="0" applyProtection="0">
      <alignment vertical="center"/>
    </xf>
    <xf numFmtId="177" fontId="6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177" fontId="6" fillId="0" borderId="0" applyAlignment="0" applyBorder="0" applyFill="0" applyFont="0" applyProtection="0">
      <alignment vertical="center"/>
    </xf>
    <xf numFmtId="0" fontId="22" fillId="4" borderId="0" applyAlignment="0" applyBorder="0" applyNumberFormat="0" applyProtection="0">
      <alignment vertical="center"/>
    </xf>
    <xf numFmtId="0" fontId="25" fillId="0" borderId="0">
      <alignment vertical="center"/>
    </xf>
    <xf numFmtId="0" fontId="7" fillId="0" borderId="0">
      <alignment vertical="center"/>
      <protection locked="0"/>
    </xf>
    <xf numFmtId="184" fontId="7" fillId="0" borderId="0" applyBorder="0" applyFill="0" applyProtection="0">
      <alignment vertical="center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29" fillId="0" borderId="32">
      <alignment horizontal="center" vertical="center"/>
    </xf>
    <xf numFmtId="3" fontId="30" fillId="0" borderId="1">
      <alignment vertical="center"/>
    </xf>
    <xf numFmtId="185" fontId="6" fillId="0" borderId="0" applyAlignment="0" applyBorder="0" applyFill="0" applyFo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 applyAlignment="0" applyBorder="0" applyFill="0" applyNumberForma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 applyAlignment="0" applyBorder="0" applyFill="0" applyFo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29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33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6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6" fillId="0" borderId="0">
      <alignment vertical="center"/>
    </xf>
    <xf numFmtId="186" fontId="6" fillId="0" borderId="0" applyBorder="0" applyFill="0" applyFont="0" applyProtection="0">
      <alignment vertical="center"/>
    </xf>
    <xf numFmtId="187" fontId="6" fillId="0" borderId="0">
      <alignment vertical="center"/>
    </xf>
    <xf numFmtId="188" fontId="6" fillId="0" borderId="0" applyAlignment="0" applyBorder="0" applyFill="0" applyFo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89" fontId="33" fillId="0" borderId="0" applyAlignment="0" applyBorder="0" applyFill="0" applyFont="0" applyProtection="0">
      <alignment vertical="center"/>
    </xf>
    <xf numFmtId="190" fontId="33" fillId="0" borderId="0" applyAlignment="0" applyBorder="0" applyFill="0" applyFont="0" applyProtection="0">
      <alignment vertical="center"/>
    </xf>
    <xf numFmtId="0" fontId="29" fillId="0" borderId="0">
      <alignment vertical="center"/>
    </xf>
    <xf numFmtId="191" fontId="9" fillId="0" borderId="1">
      <alignment vertical="center"/>
    </xf>
    <xf numFmtId="3" fontId="30" fillId="0" borderId="1">
      <alignment vertical="center"/>
    </xf>
    <xf numFmtId="3" fontId="30" fillId="0" borderId="1">
      <alignment vertical="center"/>
    </xf>
    <xf numFmtId="192" fontId="7" fillId="0" borderId="0">
      <alignment vertical="center"/>
    </xf>
    <xf numFmtId="193" fontId="2" fillId="0" borderId="0">
      <alignment vertical="center"/>
    </xf>
    <xf numFmtId="3" fontId="37" fillId="0" borderId="38">
      <alignment horizontal="right" vertical="center"/>
    </xf>
    <xf numFmtId="193" fontId="2" fillId="0" borderId="0">
      <alignment vertical="center"/>
    </xf>
    <xf numFmtId="3" fontId="37" fillId="0" borderId="38">
      <alignment horizontal="right" vertical="center"/>
    </xf>
    <xf numFmtId="193" fontId="2" fillId="0" borderId="0">
      <alignment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4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5" fontId="6" fillId="0" borderId="0">
      <alignment vertical="center"/>
    </xf>
    <xf numFmtId="193" fontId="2" fillId="0" borderId="0">
      <alignment vertical="center"/>
    </xf>
    <xf numFmtId="0" fontId="25" fillId="0" borderId="0">
      <alignment horizontal="center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7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6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8" fontId="38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8" fontId="38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7" fontId="6" fillId="0" borderId="0">
      <alignment horizontal="center" vertical="center"/>
    </xf>
    <xf numFmtId="193" fontId="2" fillId="0" borderId="0">
      <alignment vertical="center"/>
    </xf>
    <xf numFmtId="0" fontId="25" fillId="0" borderId="0">
      <alignment horizontal="center" vertical="center"/>
    </xf>
    <xf numFmtId="3" fontId="37" fillId="0" borderId="38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3" fontId="37" fillId="0" borderId="38">
      <alignment horizontal="right" vertical="center"/>
    </xf>
    <xf numFmtId="3" fontId="37" fillId="0" borderId="38">
      <alignment horizontal="right" vertical="center"/>
    </xf>
    <xf numFmtId="199" fontId="39" fillId="0" borderId="0">
      <alignment vertical="center"/>
    </xf>
    <xf numFmtId="0" fontId="6" fillId="0" borderId="0">
      <alignment vertical="center"/>
    </xf>
    <xf numFmtId="2" fontId="37" fillId="0" borderId="38">
      <alignment horizontal="right" vertical="center"/>
    </xf>
    <xf numFmtId="0" fontId="7" fillId="0" borderId="39">
      <alignment horizontal="center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2" fontId="37" fillId="0" borderId="38">
      <alignment horizontal="right" vertical="center"/>
    </xf>
    <xf numFmtId="199" fontId="39" fillId="0" borderId="0">
      <alignment vertical="center"/>
    </xf>
    <xf numFmtId="0" fontId="40" fillId="0" borderId="0" applyAlignment="0" applyBorder="0" applyFill="0" applyFont="0" applyProtection="0">
      <alignment vertical="center"/>
    </xf>
    <xf numFmtId="0" fontId="40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200" fontId="42" fillId="0" borderId="0" applyAlignment="0" applyBorder="0" applyFill="0" applyFont="0" applyProtection="0">
      <alignment vertical="center"/>
    </xf>
    <xf numFmtId="0" fontId="43" fillId="0" borderId="0" applyAlignment="0" applyBorder="0" applyFill="0" applyFont="0" applyProtection="0">
      <alignment vertical="center"/>
    </xf>
    <xf numFmtId="200" fontId="42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201" fontId="42" fillId="0" borderId="0" applyAlignment="0" applyBorder="0" applyFill="0" applyFont="0" applyProtection="0">
      <alignment vertical="center"/>
    </xf>
    <xf numFmtId="0" fontId="43" fillId="0" borderId="0" applyAlignment="0" applyBorder="0" applyFill="0" applyFont="0" applyProtection="0">
      <alignment vertical="center"/>
    </xf>
    <xf numFmtId="201" fontId="42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0" fontId="40" fillId="0" borderId="0" applyAlignment="0" applyBorder="0" applyFill="0" applyFont="0" applyProtection="0">
      <alignment vertical="center"/>
    </xf>
    <xf numFmtId="0" fontId="40" fillId="0" borderId="0" applyAlignment="0" applyBorder="0" applyFill="0" applyFont="0" applyProtection="0">
      <alignment vertical="center"/>
    </xf>
    <xf numFmtId="0" fontId="29" fillId="0" borderId="0">
      <alignment vertical="center"/>
    </xf>
    <xf numFmtId="0" fontId="44" fillId="0" borderId="0">
      <alignment horizontal="center" vertical="center" wrapText="1"/>
      <protection locked="0"/>
    </xf>
    <xf numFmtId="0" fontId="45" fillId="0" borderId="0" applyAlignment="0" applyBorder="0" applyFill="0" applyFont="0" applyProtection="0">
      <alignment vertical="center"/>
    </xf>
    <xf numFmtId="191" fontId="42" fillId="0" borderId="0" applyAlignment="0" applyBorder="0" applyFill="0" applyFont="0" applyProtection="0">
      <alignment vertical="center"/>
    </xf>
    <xf numFmtId="0" fontId="43" fillId="0" borderId="0" applyAlignment="0" applyBorder="0" applyFill="0" applyFont="0" applyProtection="0">
      <alignment vertical="center"/>
    </xf>
    <xf numFmtId="191" fontId="42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202" fontId="42" fillId="0" borderId="0" applyAlignment="0" applyBorder="0" applyFill="0" applyFont="0" applyProtection="0">
      <alignment vertical="center"/>
    </xf>
    <xf numFmtId="0" fontId="43" fillId="0" borderId="0" applyAlignment="0" applyBorder="0" applyFill="0" applyFont="0" applyProtection="0">
      <alignment vertical="center"/>
    </xf>
    <xf numFmtId="202" fontId="42" fillId="0" borderId="0" applyAlignment="0" applyBorder="0" applyFill="0" applyFont="0" applyProtection="0">
      <alignment vertical="center"/>
    </xf>
    <xf numFmtId="0" fontId="41" fillId="0" borderId="0" applyAlignment="0" applyBorder="0" applyFill="0" applyFont="0" applyProtection="0">
      <alignment vertical="center"/>
    </xf>
    <xf numFmtId="0" fontId="46" fillId="0" borderId="0">
      <alignment vertical="center"/>
    </xf>
    <xf numFmtId="37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49" fontId="42" fillId="0" borderId="0" applyBorder="0">
      <alignment vertical="center"/>
    </xf>
    <xf numFmtId="0" fontId="43" fillId="0" borderId="0">
      <alignment vertical="center"/>
    </xf>
    <xf numFmtId="203" fontId="9" fillId="0" borderId="0" applyAlignment="0" applyBorder="0" applyFill="0">
      <alignment vertical="center"/>
    </xf>
    <xf numFmtId="0" fontId="47" fillId="0" borderId="0">
      <alignment vertical="center"/>
    </xf>
    <xf numFmtId="0" fontId="48" fillId="0" borderId="0" applyAlignment="0" applyBorder="0" applyFill="0" applyNumberFormat="0" applyProtection="0">
      <alignment vertical="top"/>
      <protection locked="0"/>
    </xf>
    <xf numFmtId="204" fontId="6" fillId="0" borderId="0">
      <alignment vertical="center"/>
    </xf>
    <xf numFmtId="205" fontId="7" fillId="0" borderId="0">
      <alignment vertical="center"/>
      <protection locked="0"/>
    </xf>
    <xf numFmtId="0" fontId="49" fillId="0" borderId="0" applyAlignment="0" applyNumberFormat="0">
      <alignment horizontal="left" vertical="center"/>
    </xf>
    <xf numFmtId="0" fontId="50" fillId="0" borderId="0" applyAlignment="0" applyNumberFormat="0">
      <alignment vertical="center"/>
    </xf>
    <xf numFmtId="0" fontId="26" fillId="0" borderId="0" applyAlignment="0" applyBorder="0" applyFill="0" applyFont="0" applyProtection="0">
      <alignment vertical="center"/>
    </xf>
    <xf numFmtId="0" fontId="26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188" fontId="6" fillId="0" borderId="1" applyAlignment="0" applyBorder="0" applyFill="0">
      <alignment vertical="center"/>
    </xf>
    <xf numFmtId="206" fontId="7" fillId="0" borderId="0">
      <alignment vertical="center"/>
      <protection locked="0"/>
    </xf>
    <xf numFmtId="0" fontId="34" fillId="0" borderId="0">
      <alignment vertical="center"/>
    </xf>
    <xf numFmtId="0" fontId="51" fillId="0" borderId="0">
      <alignment vertical="center"/>
      <protection locked="0"/>
    </xf>
    <xf numFmtId="57" fontId="6" fillId="0" borderId="0" applyAlignment="0" applyBorder="0" applyFill="0" applyFont="0" applyProtection="0">
      <alignment vertical="center"/>
    </xf>
    <xf numFmtId="207" fontId="6" fillId="0" borderId="0" applyAlignment="0" applyBorder="0" applyFill="0" applyFont="0" applyProtection="0">
      <alignment vertical="center"/>
    </xf>
    <xf numFmtId="208" fontId="6" fillId="0" borderId="0">
      <alignment vertical="center"/>
    </xf>
    <xf numFmtId="209" fontId="52" fillId="0" borderId="1">
      <alignment vertical="center"/>
    </xf>
    <xf numFmtId="0" fontId="53" fillId="0" borderId="0" applyAlignment="0" applyNumberFormat="0">
      <alignment horizontal="left" vertical="center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4" fillId="0" borderId="0">
      <alignment vertical="center"/>
      <protection locked="0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4" fillId="0" borderId="0">
      <alignment vertical="center"/>
      <protection locked="0"/>
    </xf>
    <xf numFmtId="210" fontId="7" fillId="0" borderId="0">
      <alignment vertical="center"/>
      <protection locked="0"/>
    </xf>
    <xf numFmtId="38" fontId="55" fillId="5" borderId="0" applyAlignment="0" applyBorder="0" applyNumberFormat="0" applyProtection="0">
      <alignment vertical="center"/>
    </xf>
    <xf numFmtId="3" fontId="52" fillId="0" borderId="40">
      <alignment horizontal="right" vertical="center"/>
    </xf>
    <xf numFmtId="4" fontId="52" fillId="0" borderId="40">
      <alignment horizontal="right" vertical="center"/>
    </xf>
    <xf numFmtId="0" fontId="56" fillId="0" borderId="0">
      <alignment horizontal="left" vertical="center"/>
    </xf>
    <xf numFmtId="0" fontId="57" fillId="0" borderId="36" applyAlignment="0" applyNumberFormat="0" applyProtection="0">
      <alignment horizontal="left" vertical="center"/>
    </xf>
    <xf numFmtId="0" fontId="57" fillId="0" borderId="41">
      <alignment horizontal="left" vertical="center"/>
    </xf>
    <xf numFmtId="0" fontId="58" fillId="0" borderId="0">
      <alignment vertical="center"/>
      <protection locked="0"/>
    </xf>
    <xf numFmtId="0" fontId="58" fillId="0" borderId="0">
      <alignment vertical="center"/>
      <protection locked="0"/>
    </xf>
    <xf numFmtId="211" fontId="33" fillId="0" borderId="0">
      <alignment vertical="center"/>
      <protection locked="0"/>
    </xf>
    <xf numFmtId="211" fontId="33" fillId="0" borderId="0">
      <alignment vertical="center"/>
      <protection locked="0"/>
    </xf>
    <xf numFmtId="10" fontId="55" fillId="8" borderId="1" applyAlignment="0" applyBorder="0" applyNumberFormat="0" applyProtection="0">
      <alignment vertical="center"/>
    </xf>
    <xf numFmtId="212" fontId="59" fillId="9" borderId="0">
      <alignment vertical="center"/>
    </xf>
    <xf numFmtId="213" fontId="52" fillId="0" borderId="1">
      <alignment vertical="center"/>
    </xf>
    <xf numFmtId="212" fontId="60" fillId="10" borderId="0">
      <alignment vertical="center"/>
    </xf>
    <xf numFmtId="214" fontId="52" fillId="0" borderId="1">
      <alignment horizontal="right" vertical="center"/>
    </xf>
    <xf numFmtId="215" fontId="52" fillId="0" borderId="1">
      <alignment vertical="center"/>
    </xf>
    <xf numFmtId="216" fontId="52" fillId="0" borderId="1">
      <alignment vertical="center"/>
    </xf>
    <xf numFmtId="177" fontId="33" fillId="0" borderId="0" applyAlignment="0" applyBorder="0" applyFill="0" applyFont="0" applyProtection="0">
      <alignment vertical="center"/>
    </xf>
    <xf numFmtId="178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61" fillId="0" borderId="4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62" fillId="0" borderId="0" applyAlignment="0" applyBorder="0" applyFill="0" applyFont="0" applyProtection="0">
      <alignment vertical="center"/>
    </xf>
    <xf numFmtId="37" fontId="63" fillId="0" borderId="0">
      <alignment vertical="center"/>
    </xf>
    <xf numFmtId="217" fontId="9" fillId="0" borderId="0">
      <alignment vertical="center"/>
    </xf>
    <xf numFmtId="0" fontId="7" fillId="0" borderId="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>
      <alignment vertical="center"/>
    </xf>
    <xf numFmtId="202" fontId="39" fillId="0" borderId="0">
      <alignment vertical="center"/>
    </xf>
    <xf numFmtId="14" fontId="44" fillId="0" borderId="0">
      <alignment horizontal="center" vertical="center" wrapText="1"/>
      <protection locked="0"/>
    </xf>
    <xf numFmtId="10" fontId="33" fillId="0" borderId="0" applyAlignment="0" applyBorder="0" applyFill="0" applyFont="0" applyProtection="0">
      <alignment vertical="center"/>
    </xf>
    <xf numFmtId="218" fontId="64" fillId="0" borderId="0">
      <alignment vertical="center"/>
    </xf>
    <xf numFmtId="0" fontId="29" fillId="0" borderId="0" applyAlignment="0" applyBorder="0" applyFill="0" applyFont="0" applyNumberFormat="0" applyProtection="0">
      <alignment horizontal="left" vertical="center"/>
    </xf>
    <xf numFmtId="14" fontId="65" fillId="0" borderId="0" applyAlignment="0" applyBorder="0" applyFill="0" applyNumberFormat="0" applyProtection="0">
      <alignment horizontal="left" vertical="center"/>
    </xf>
    <xf numFmtId="0" fontId="7" fillId="0" borderId="0">
      <alignment vertical="center"/>
    </xf>
    <xf numFmtId="219" fontId="39" fillId="0" borderId="0">
      <alignment vertical="center"/>
    </xf>
    <xf numFmtId="219" fontId="39" fillId="0" borderId="0">
      <alignment vertical="distributed"/>
    </xf>
    <xf numFmtId="0" fontId="29" fillId="0" borderId="0">
      <alignment vertical="center"/>
    </xf>
    <xf numFmtId="0" fontId="66" fillId="0" borderId="0">
      <alignment horizontal="center" vertical="center"/>
    </xf>
    <xf numFmtId="0" fontId="61" fillId="0" borderId="0">
      <alignment vertical="center"/>
    </xf>
    <xf numFmtId="40" fontId="67" fillId="0" borderId="0" applyBorder="0">
      <alignment horizontal="right" vertical="center"/>
    </xf>
    <xf numFmtId="49" fontId="68" fillId="0" borderId="0" applyBorder="0" applyFill="0" applyProtection="0">
      <alignment horizontal="centerContinuous" vertical="center"/>
    </xf>
    <xf numFmtId="0" fontId="69" fillId="0" borderId="0" applyBorder="0" applyFill="0" applyProtection="0">
      <alignment horizontal="centerContinuous" vertical="center"/>
    </xf>
    <xf numFmtId="0" fontId="31" fillId="5" borderId="0" applyBorder="0" applyFill="0" applyProtection="0">
      <alignment horizontal="center" vertical="center"/>
    </xf>
    <xf numFmtId="0" fontId="51" fillId="0" borderId="42">
      <alignment vertical="center"/>
      <protection locked="0"/>
    </xf>
    <xf numFmtId="0" fontId="70" fillId="0" borderId="39">
      <alignment horizontal="left" vertical="center"/>
    </xf>
    <xf numFmtId="220" fontId="33" fillId="0" borderId="0" applyAlignment="0" applyBorder="0" applyFill="0" applyFont="0" applyProtection="0">
      <alignment vertical="center"/>
    </xf>
    <xf numFmtId="221" fontId="33" fillId="0" borderId="0" applyAlignment="0" applyBorder="0" applyFill="0" applyFont="0" applyProtection="0">
      <alignment vertical="center"/>
    </xf>
    <xf numFmtId="0" fontId="71" fillId="0" borderId="0" applyAlignment="0" applyBorder="0" applyFill="0" applyNumberFormat="0" applyProtection="0">
      <alignment vertical="top"/>
      <protection locked="0"/>
    </xf>
    <xf numFmtId="49" fontId="52" fillId="0" borderId="1">
      <alignment horizontal="center" vertical="center"/>
    </xf>
    <xf numFmtId="222" fontId="7" fillId="0" borderId="0">
      <alignment vertical="center"/>
      <protection locked="0"/>
    </xf>
    <xf numFmtId="0" fontId="58" fillId="0" borderId="0">
      <alignment vertical="center"/>
      <protection locked="0"/>
    </xf>
    <xf numFmtId="0" fontId="58" fillId="0" borderId="0">
      <alignment vertical="center"/>
      <protection locked="0"/>
    </xf>
    <xf numFmtId="0" fontId="72" fillId="0" borderId="0">
      <alignment vertical="center"/>
    </xf>
    <xf numFmtId="0" fontId="39" fillId="0" borderId="0">
      <alignment vertical="center"/>
    </xf>
    <xf numFmtId="37" fontId="30" fillId="0" borderId="43">
      <alignment horizontal="center" vertical="center"/>
    </xf>
    <xf numFmtId="37" fontId="30" fillId="0" borderId="38" applyAlignment="0">
      <alignment vertical="center"/>
    </xf>
    <xf numFmtId="0" fontId="6" fillId="0" borderId="0">
      <alignment vertical="center"/>
    </xf>
    <xf numFmtId="223" fontId="26" fillId="0" borderId="19" applyAlignment="0" applyBorder="0" applyFill="0" applyFont="0">
      <alignment horizontal="left" vertical="center"/>
    </xf>
    <xf numFmtId="0" fontId="51" fillId="0" borderId="0">
      <alignment vertical="center"/>
      <protection locked="0"/>
    </xf>
    <xf numFmtId="3" fontId="29" fillId="0" borderId="44">
      <alignment horizontal="center" vertical="center"/>
    </xf>
    <xf numFmtId="0" fontId="73" fillId="0" borderId="45">
      <alignment vertical="center"/>
    </xf>
    <xf numFmtId="0" fontId="51" fillId="0" borderId="0">
      <alignment vertical="center"/>
      <protection locked="0"/>
    </xf>
    <xf numFmtId="0" fontId="74" fillId="0" borderId="0" applyAlignment="0" applyBorder="0" applyFill="0" applyNumberForma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191" fontId="26" fillId="0" borderId="40">
      <alignment vertical="center"/>
    </xf>
    <xf numFmtId="0" fontId="33" fillId="0" borderId="0" applyAlignment="0" applyBorder="0" applyFill="0" applyFont="0" applyProtection="0">
      <alignment vertical="center"/>
    </xf>
    <xf numFmtId="0" fontId="33" fillId="0" borderId="0" applyAlignment="0" applyBorder="0" applyFill="0" applyFont="0" applyProtection="0">
      <alignment vertical="center"/>
    </xf>
    <xf numFmtId="0" fontId="39" fillId="0" borderId="0" applyBorder="0" applyFill="0" applyFont="0" applyNumberFormat="0" applyProtection="0">
      <alignment horizontal="distributed" vertical="center"/>
    </xf>
    <xf numFmtId="10" fontId="75" fillId="0" borderId="0">
      <alignment vertical="center"/>
    </xf>
    <xf numFmtId="10" fontId="75" fillId="0" borderId="0">
      <alignment vertical="center"/>
    </xf>
    <xf numFmtId="224" fontId="51" fillId="0" borderId="0">
      <alignment vertical="center"/>
      <protection locked="0"/>
    </xf>
    <xf numFmtId="225" fontId="7" fillId="0" borderId="0" applyBorder="0" applyFill="0" applyFont="0" applyProtection="0">
      <alignment horizontal="center" vertical="center"/>
    </xf>
    <xf numFmtId="226" fontId="7" fillId="0" borderId="0" applyBorder="0" applyFill="0" applyFont="0" applyProtection="0">
      <alignment horizontal="center" vertical="center"/>
    </xf>
    <xf numFmtId="9" fontId="25" fillId="5" borderId="0" applyBorder="0" applyFill="0" applyProtection="0">
      <alignment horizontal="right" vertical="center"/>
    </xf>
    <xf numFmtId="10" fontId="25" fillId="0" borderId="0" applyBorder="0" applyFill="0" applyProtection="0">
      <alignment horizontal="right" vertical="center"/>
    </xf>
    <xf numFmtId="227" fontId="6" fillId="0" borderId="0" applyAlignment="0" applyBorder="0" applyFill="0" applyFont="0" applyProtection="0">
      <alignment vertical="center"/>
    </xf>
    <xf numFmtId="228" fontId="39" fillId="0" borderId="0" applyAlignment="0" applyBorder="0" applyFill="0" applyFont="0" applyProtection="0">
      <alignment vertical="center"/>
    </xf>
    <xf numFmtId="0" fontId="76" fillId="0" borderId="0" applyBorder="0" applyFill="0" applyFont="0" applyProtection="0">
      <alignment horizontal="center" vertical="center"/>
    </xf>
    <xf numFmtId="0" fontId="76" fillId="0" borderId="0" applyBorder="0" applyFill="0" applyFont="0" applyProtection="0">
      <alignment horizontal="center" vertical="center"/>
    </xf>
    <xf numFmtId="229" fontId="77" fillId="0" borderId="46" applyAlignment="0" applyFill="0" applyFont="0" applyProtection="0">
      <alignment horizontal="center" vertical="center"/>
    </xf>
    <xf numFmtId="0" fontId="78" fillId="0" borderId="0">
      <alignment vertical="center"/>
    </xf>
    <xf numFmtId="191" fontId="79" fillId="0" borderId="19">
      <alignment vertical="center"/>
    </xf>
    <xf numFmtId="0" fontId="39" fillId="0" borderId="0" applyBorder="0" applyFill="0" applyFont="0" applyNumberFormat="0" applyProtection="0">
      <alignment horizontal="centerContinuous" vertical="center"/>
    </xf>
    <xf numFmtId="180" fontId="0" fillId="0" borderId="47">
      <alignment vertical="center"/>
    </xf>
    <xf numFmtId="230" fontId="75" fillId="0" borderId="0">
      <alignment vertical="center"/>
    </xf>
    <xf numFmtId="191" fontId="80" fillId="0" borderId="19">
      <alignment vertical="center"/>
    </xf>
    <xf numFmtId="231" fontId="81" fillId="0" borderId="0">
      <alignment vertical="center"/>
    </xf>
    <xf numFmtId="177" fontId="6" fillId="0" borderId="0" applyAlignment="0" applyBorder="0" applyFill="0" applyFont="0" applyProtection="0">
      <alignment vertical="center"/>
    </xf>
    <xf numFmtId="177" fontId="6" fillId="0" borderId="0" applyAlignment="0" applyBorder="0" applyFill="0" applyFont="0" applyProtection="0">
      <alignment vertical="center"/>
    </xf>
    <xf numFmtId="177" fontId="6" fillId="0" borderId="0" applyAlignment="0" applyBorder="0" applyFill="0" applyFont="0" applyProtection="0">
      <alignment vertical="center"/>
    </xf>
    <xf numFmtId="177" fontId="6" fillId="0" borderId="0" applyAlignment="0" applyBorder="0" applyFill="0" applyFont="0" applyProtection="0">
      <alignment vertical="center"/>
    </xf>
    <xf numFmtId="177" fontId="6" fillId="0" borderId="0" applyAlignment="0" applyBorder="0" applyFill="0" applyFont="0" applyProtection="0">
      <alignment vertical="center"/>
    </xf>
    <xf numFmtId="3" fontId="0" fillId="0" borderId="1" applyAlignment="0" applyFill="0" applyFont="0" applyProtection="0">
      <alignment vertical="center"/>
    </xf>
    <xf numFmtId="0" fontId="29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2" fillId="0" borderId="48">
      <alignment vertical="center"/>
    </xf>
    <xf numFmtId="232" fontId="52" fillId="0" borderId="1" applyBorder="0">
      <alignment vertical="center"/>
    </xf>
    <xf numFmtId="0" fontId="83" fillId="0" borderId="0" applyAlignment="0" applyBorder="0" applyFill="0" applyFont="0" applyProtection="0">
      <alignment vertical="center"/>
    </xf>
    <xf numFmtId="0" fontId="84" fillId="0" borderId="0">
      <alignment vertical="center"/>
    </xf>
    <xf numFmtId="0" fontId="85" fillId="0" borderId="0">
      <alignment horizontal="center" vertical="center"/>
    </xf>
    <xf numFmtId="4" fontId="51" fillId="0" borderId="0">
      <alignment vertical="center"/>
      <protection locked="0"/>
    </xf>
    <xf numFmtId="0" fontId="72" fillId="0" borderId="0">
      <alignment vertical="center"/>
    </xf>
    <xf numFmtId="4" fontId="51" fillId="0" borderId="0">
      <alignment vertical="center"/>
      <protection locked="0"/>
    </xf>
    <xf numFmtId="233" fontId="7" fillId="0" borderId="0">
      <alignment vertical="center"/>
      <protection locked="0"/>
    </xf>
    <xf numFmtId="0" fontId="72" fillId="9" borderId="0">
      <alignment vertical="center"/>
    </xf>
    <xf numFmtId="0" fontId="7" fillId="0" borderId="0">
      <alignment vertical="center"/>
    </xf>
    <xf numFmtId="0" fontId="86" fillId="0" borderId="0">
      <alignment horizontal="centerContinuous" vertical="center"/>
    </xf>
    <xf numFmtId="0" fontId="7" fillId="0" borderId="1">
      <alignment horizontal="distributed" vertical="center"/>
    </xf>
    <xf numFmtId="0" fontId="7" fillId="0" borderId="34">
      <alignment horizontal="distributed" vertical="top"/>
    </xf>
    <xf numFmtId="0" fontId="7" fillId="0" borderId="49">
      <alignment horizontal="distributed" vertical="center"/>
    </xf>
    <xf numFmtId="0" fontId="7" fillId="0" borderId="0">
      <alignment vertical="center"/>
    </xf>
    <xf numFmtId="0" fontId="87" fillId="0" borderId="0">
      <alignment vertical="center"/>
    </xf>
    <xf numFmtId="0" fontId="88" fillId="3" borderId="0" applyAlignment="0" applyBorder="0" applyNumberFormat="0" applyProtection="0">
      <alignment vertical="center"/>
    </xf>
    <xf numFmtId="0" fontId="7" fillId="0" borderId="0">
      <alignment vertical="center"/>
    </xf>
    <xf numFmtId="224" fontId="51" fillId="0" borderId="0">
      <alignment vertical="center"/>
      <protection locked="0"/>
    </xf>
    <xf numFmtId="224" fontId="51" fillId="0" borderId="0">
      <alignment vertical="center"/>
      <protection locked="0"/>
    </xf>
    <xf numFmtId="234" fontId="7" fillId="0" borderId="0" applyBorder="0" applyFill="0" applyFont="0" applyProtection="0">
      <alignment vertical="center"/>
    </xf>
    <xf numFmtId="38" fontId="39" fillId="0" borderId="0" applyBorder="0" applyFill="0" applyFont="0" applyProtection="0">
      <alignment vertical="center"/>
    </xf>
    <xf numFmtId="235" fontId="6" fillId="0" borderId="0" applyAlignment="0" applyBorder="0" applyFill="0" applyFont="0" applyProtection="0">
      <alignment vertical="center"/>
    </xf>
    <xf numFmtId="0" fontId="33" fillId="0" borderId="1">
      <alignment vertical="center"/>
    </xf>
    <xf numFmtId="236" fontId="6" fillId="5" borderId="0" applyBorder="0" applyFill="0" applyProtection="0">
      <alignment horizontal="right" vertical="center"/>
    </xf>
    <xf numFmtId="38" fontId="39" fillId="0" borderId="0" applyAlignment="0" applyBorder="0" applyFill="0" applyFont="0" applyProtection="0">
      <alignment vertical="center"/>
    </xf>
    <xf numFmtId="180" fontId="39" fillId="0" borderId="0" applyAlignment="0" applyBorder="0" applyFill="0" applyFont="0" applyProtection="0">
      <alignment vertical="center"/>
    </xf>
    <xf numFmtId="38" fontId="39" fillId="0" borderId="0" applyAlignment="0" applyBorder="0" applyFill="0" applyProtection="0">
      <alignment vertical="center"/>
    </xf>
    <xf numFmtId="230" fontId="76" fillId="0" borderId="0" applyAlignment="0" applyBorder="0" applyFill="0" applyFont="0" applyProtection="0">
      <alignment vertical="center"/>
    </xf>
    <xf numFmtId="237" fontId="29" fillId="0" borderId="0" applyAlignment="0" applyBorder="0" applyFill="0" applyFont="0" applyProtection="0">
      <alignment vertical="center"/>
    </xf>
    <xf numFmtId="238" fontId="29" fillId="0" borderId="0" applyAlignment="0" applyBorder="0" applyFill="0" applyFont="0" applyProtection="0">
      <alignment vertical="center"/>
    </xf>
    <xf numFmtId="239" fontId="76" fillId="0" borderId="1">
      <alignment vertical="center"/>
    </xf>
    <xf numFmtId="240" fontId="29" fillId="0" borderId="0" applyAlignment="0" applyBorder="0" applyFill="0" applyFont="0" applyProtection="0">
      <alignment vertical="center"/>
    </xf>
    <xf numFmtId="241" fontId="29" fillId="0" borderId="0" applyAlignment="0" applyBorder="0" applyFill="0" applyFont="0" applyProtection="0">
      <alignment vertical="center"/>
    </xf>
    <xf numFmtId="0" fontId="7" fillId="0" borderId="0" applyAlignment="0" applyBorder="0" applyFill="0" applyFont="0" applyProtection="0">
      <alignment vertical="center"/>
    </xf>
    <xf numFmtId="224" fontId="51" fillId="0" borderId="0">
      <alignment vertical="center"/>
      <protection locked="0"/>
    </xf>
    <xf numFmtId="224" fontId="51" fillId="0" borderId="0">
      <alignment vertical="center"/>
      <protection locked="0"/>
    </xf>
    <xf numFmtId="0" fontId="7" fillId="0" borderId="0" applyAlignment="0" applyBorder="0" applyFill="0" applyFont="0" applyProtection="0">
      <alignment vertical="center"/>
    </xf>
    <xf numFmtId="242" fontId="7" fillId="0" borderId="0">
      <alignment vertical="center"/>
      <protection locked="0"/>
    </xf>
    <xf numFmtId="224" fontId="51" fillId="0" borderId="0">
      <alignment vertical="center"/>
      <protection locked="0"/>
    </xf>
    <xf numFmtId="0" fontId="80" fillId="0" borderId="47">
      <alignment horizontal="center" vertical="center"/>
    </xf>
    <xf numFmtId="0" fontId="80" fillId="0" borderId="47">
      <alignment horizontal="left" vertical="center"/>
    </xf>
    <xf numFmtId="0" fontId="80" fillId="0" borderId="47">
      <alignment vertical="center" textRotation="255"/>
    </xf>
    <xf numFmtId="0" fontId="30" fillId="0" borderId="49">
      <alignment horizontal="distributed" vertical="center"/>
    </xf>
    <xf numFmtId="0" fontId="30" fillId="0" borderId="50">
      <alignment horizontal="distributed" vertical="center"/>
    </xf>
    <xf numFmtId="0" fontId="30" fillId="0" borderId="51">
      <alignment horizontal="distributed" vertical="top"/>
    </xf>
    <xf numFmtId="0" fontId="6" fillId="0" borderId="0">
      <alignment vertical="center"/>
    </xf>
    <xf numFmtId="0" fontId="6" fillId="0" borderId="0">
      <alignment vertical="center"/>
    </xf>
    <xf numFmtId="0" fontId="0" fillId="0" borderId="0" applyFill="0" applyProtection="0">
      <alignment vertical="center"/>
    </xf>
    <xf numFmtId="0" fontId="6" fillId="0" borderId="0">
      <alignment vertical="center"/>
    </xf>
    <xf numFmtId="1" fontId="30" fillId="0" borderId="48">
      <alignment horizontal="centerContinuous" vertical="center"/>
    </xf>
    <xf numFmtId="0" fontId="6" fillId="0" borderId="1" applyFill="0" applyNumberFormat="0" applyProtection="0">
      <alignment vertical="center"/>
    </xf>
    <xf numFmtId="0" fontId="7" fillId="0" borderId="0">
      <alignment vertical="center"/>
    </xf>
    <xf numFmtId="0" fontId="51" fillId="0" borderId="42">
      <alignment vertical="center"/>
      <protection locked="0"/>
    </xf>
    <xf numFmtId="243" fontId="7" fillId="0" borderId="0">
      <alignment vertical="center"/>
      <protection locked="0"/>
    </xf>
    <xf numFmtId="244" fontId="7" fillId="0" borderId="0">
      <alignment vertical="center"/>
      <protection locked="0"/>
    </xf>
    <xf numFmtId="0" fontId="99" fillId="0" borderId="0" applyAlignment="0" applyBorder="0" applyFill="0" applyNumberFormat="0" applyProtection="0">
      <alignment vertical="center"/>
    </xf>
    <xf numFmtId="0" fontId="100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8" borderId="77" applyAlignment="0" applyFont="0" applyNumberFormat="0" applyProtection="0">
      <alignment vertical="center"/>
    </xf>
    <xf numFmtId="0" fontId="117" fillId="0" borderId="0" applyAlignment="0" applyBorder="0" applyFill="0" applyNumberFormat="0" applyProtection="0">
      <alignment vertical="center"/>
    </xf>
    <xf numFmtId="0" fontId="118" fillId="0" borderId="0" applyAlignment="0" applyBorder="0" applyFill="0" applyNumberFormat="0" applyProtection="0">
      <alignment vertical="center"/>
    </xf>
    <xf numFmtId="0" fontId="119" fillId="0" borderId="78" applyAlignment="0" applyFill="0" applyNumberFormat="0" applyProtection="0">
      <alignment vertical="center"/>
    </xf>
    <xf numFmtId="0" fontId="120" fillId="0" borderId="79" applyAlignment="0" applyFill="0" applyNumberFormat="0" applyProtection="0">
      <alignment vertical="center"/>
    </xf>
    <xf numFmtId="0" fontId="121" fillId="0" borderId="80" applyAlignment="0" applyFill="0" applyNumberFormat="0" applyProtection="0">
      <alignment vertical="center"/>
    </xf>
    <xf numFmtId="0" fontId="121" fillId="0" borderId="0" applyAlignment="0" applyBorder="0" applyFill="0" applyNumberFormat="0" applyProtection="0">
      <alignment vertical="center"/>
    </xf>
    <xf numFmtId="0" fontId="122" fillId="13" borderId="81" applyAlignment="0" applyNumberFormat="0" applyProtection="0">
      <alignment vertical="center"/>
    </xf>
    <xf numFmtId="0" fontId="123" fillId="14" borderId="82" applyAlignment="0" applyNumberFormat="0" applyProtection="0">
      <alignment vertical="center"/>
    </xf>
    <xf numFmtId="0" fontId="124" fillId="14" borderId="81" applyAlignment="0" applyNumberFormat="0" applyProtection="0">
      <alignment vertical="center"/>
    </xf>
    <xf numFmtId="0" fontId="125" fillId="15" borderId="83" applyAlignment="0" applyNumberFormat="0" applyProtection="0">
      <alignment vertical="center"/>
    </xf>
    <xf numFmtId="0" fontId="126" fillId="0" borderId="84" applyAlignment="0" applyFill="0" applyNumberFormat="0" applyProtection="0">
      <alignment vertical="center"/>
    </xf>
    <xf numFmtId="0" fontId="127" fillId="0" borderId="85" applyAlignment="0" applyFill="0" applyNumberFormat="0" applyProtection="0">
      <alignment vertical="center"/>
    </xf>
    <xf numFmtId="0" fontId="128" fillId="3" borderId="0" applyAlignment="0" applyBorder="0" applyNumberFormat="0" applyProtection="0">
      <alignment vertical="center"/>
    </xf>
    <xf numFmtId="0" fontId="129" fillId="16" borderId="0" applyAlignment="0" applyBorder="0" applyNumberFormat="0" applyProtection="0">
      <alignment vertical="center"/>
    </xf>
    <xf numFmtId="0" fontId="130" fillId="17" borderId="0" applyAlignment="0" applyBorder="0" applyNumberFormat="0" applyProtection="0">
      <alignment vertical="center"/>
    </xf>
    <xf numFmtId="0" fontId="131" fillId="18" borderId="0" applyAlignment="0" applyBorder="0" applyNumberFormat="0" applyProtection="0">
      <alignment vertical="center"/>
    </xf>
    <xf numFmtId="0" fontId="132" fillId="19" borderId="0" applyAlignment="0" applyBorder="0" applyNumberFormat="0" applyProtection="0">
      <alignment vertical="center"/>
    </xf>
    <xf numFmtId="0" fontId="132" fillId="20" borderId="0" applyAlignment="0" applyBorder="0" applyNumberFormat="0" applyProtection="0">
      <alignment vertical="center"/>
    </xf>
    <xf numFmtId="0" fontId="131" fillId="21" borderId="0" applyAlignment="0" applyBorder="0" applyNumberFormat="0" applyProtection="0">
      <alignment vertical="center"/>
    </xf>
    <xf numFmtId="0" fontId="131" fillId="22" borderId="0" applyAlignment="0" applyBorder="0" applyNumberFormat="0" applyProtection="0">
      <alignment vertical="center"/>
    </xf>
    <xf numFmtId="0" fontId="132" fillId="23" borderId="0" applyAlignment="0" applyBorder="0" applyNumberFormat="0" applyProtection="0">
      <alignment vertical="center"/>
    </xf>
    <xf numFmtId="0" fontId="132" fillId="24" borderId="0" applyAlignment="0" applyBorder="0" applyNumberFormat="0" applyProtection="0">
      <alignment vertical="center"/>
    </xf>
    <xf numFmtId="0" fontId="131" fillId="25" borderId="0" applyAlignment="0" applyBorder="0" applyNumberFormat="0" applyProtection="0">
      <alignment vertical="center"/>
    </xf>
    <xf numFmtId="0" fontId="131" fillId="26" borderId="0" applyAlignment="0" applyBorder="0" applyNumberFormat="0" applyProtection="0">
      <alignment vertical="center"/>
    </xf>
    <xf numFmtId="0" fontId="132" fillId="27" borderId="0" applyAlignment="0" applyBorder="0" applyNumberFormat="0" applyProtection="0">
      <alignment vertical="center"/>
    </xf>
    <xf numFmtId="0" fontId="132" fillId="28" borderId="0" applyAlignment="0" applyBorder="0" applyNumberFormat="0" applyProtection="0">
      <alignment vertical="center"/>
    </xf>
    <xf numFmtId="0" fontId="131" fillId="29" borderId="0" applyAlignment="0" applyBorder="0" applyNumberFormat="0" applyProtection="0">
      <alignment vertical="center"/>
    </xf>
    <xf numFmtId="0" fontId="131" fillId="30" borderId="0" applyAlignment="0" applyBorder="0" applyNumberFormat="0" applyProtection="0">
      <alignment vertical="center"/>
    </xf>
    <xf numFmtId="0" fontId="132" fillId="31" borderId="0" applyAlignment="0" applyBorder="0" applyNumberFormat="0" applyProtection="0">
      <alignment vertical="center"/>
    </xf>
    <xf numFmtId="0" fontId="132" fillId="32" borderId="0" applyAlignment="0" applyBorder="0" applyNumberFormat="0" applyProtection="0">
      <alignment vertical="center"/>
    </xf>
    <xf numFmtId="0" fontId="131" fillId="33" borderId="0" applyAlignment="0" applyBorder="0" applyNumberFormat="0" applyProtection="0">
      <alignment vertical="center"/>
    </xf>
    <xf numFmtId="0" fontId="131" fillId="34" borderId="0" applyAlignment="0" applyBorder="0" applyNumberFormat="0" applyProtection="0">
      <alignment vertical="center"/>
    </xf>
    <xf numFmtId="0" fontId="132" fillId="35" borderId="0" applyAlignment="0" applyBorder="0" applyNumberFormat="0" applyProtection="0">
      <alignment vertical="center"/>
    </xf>
    <xf numFmtId="0" fontId="132" fillId="36" borderId="0" applyAlignment="0" applyBorder="0" applyNumberFormat="0" applyProtection="0">
      <alignment vertical="center"/>
    </xf>
    <xf numFmtId="0" fontId="131" fillId="37" borderId="0" applyAlignment="0" applyBorder="0" applyNumberFormat="0" applyProtection="0">
      <alignment vertical="center"/>
    </xf>
    <xf numFmtId="0" fontId="131" fillId="38" borderId="0" applyAlignment="0" applyBorder="0" applyNumberFormat="0" applyProtection="0">
      <alignment vertical="center"/>
    </xf>
    <xf numFmtId="0" fontId="132" fillId="39" borderId="0" applyAlignment="0" applyBorder="0" applyNumberFormat="0" applyProtection="0">
      <alignment vertical="center"/>
    </xf>
    <xf numFmtId="0" fontId="132" fillId="40" borderId="0" applyAlignment="0" applyBorder="0" applyNumberFormat="0" applyProtection="0">
      <alignment vertical="center"/>
    </xf>
    <xf numFmtId="0" fontId="131" fillId="41" borderId="0" applyAlignment="0" applyBorder="0" applyNumberFormat="0" applyProtection="0">
      <alignment vertical="center"/>
    </xf>
    <xf numFmtId="0" fontId="133" fillId="0" borderId="0" applyAlignment="0" applyBorder="0" applyFill="0" applyNumberFormat="0" applyProtection="0">
      <alignment vertical="center"/>
    </xf>
  </cellStyleXfs>
  <cellXfs count="267">
    <xf numFmtId="0" fontId="0" fillId="0" borderId="0" xfId="0" applyFill="1" applyProtection="1">
      <alignment vertical="center"/>
    </xf>
    <xf numFmtId="0" fontId="6" fillId="0" borderId="0" xfId="6" applyAlignment="1">
      <alignment shrinkToFit="1"/>
    </xf>
    <xf numFmtId="0" fontId="12" fillId="5" borderId="3" xfId="6" applyFill="1" applyBorder="1" applyAlignment="1">
      <alignment vertical="center" shrinkToFit="1"/>
    </xf>
    <xf numFmtId="0" fontId="12" fillId="5" borderId="6" xfId="6" applyFill="1" applyBorder="1" applyAlignment="1">
      <alignment vertical="center" shrinkToFit="1"/>
    </xf>
    <xf numFmtId="0" fontId="12" fillId="5" borderId="8" xfId="6" applyFill="1" applyBorder="1" applyAlignment="1">
      <alignment vertical="center" shrinkToFit="1"/>
    </xf>
    <xf numFmtId="0" fontId="16" fillId="6" borderId="11" xfId="6" applyFill="1" applyBorder="1" applyAlignment="1">
      <alignment horizontal="center" vertical="center" shrinkToFit="1"/>
    </xf>
    <xf numFmtId="177" fontId="16" fillId="6" borderId="4" xfId="6" applyNumberFormat="1" applyFill="1" applyBorder="1" applyAlignment="1">
      <alignment vertical="center" shrinkToFit="1"/>
    </xf>
    <xf numFmtId="0" fontId="17" fillId="0" borderId="12" xfId="6" applyBorder="1" applyAlignment="1">
      <alignment horizontal="center" vertical="center" shrinkToFit="1"/>
    </xf>
    <xf numFmtId="177" fontId="13" fillId="0" borderId="1" xfId="6" applyNumberFormat="1" applyBorder="1" applyAlignment="1">
      <alignment horizontal="right" vertical="center" shrinkToFit="1"/>
    </xf>
    <xf numFmtId="0" fontId="17" fillId="6" borderId="12" xfId="6" applyFill="1" applyBorder="1" applyAlignment="1">
      <alignment horizontal="center" vertical="center" shrinkToFit="1"/>
    </xf>
    <xf numFmtId="0" fontId="19" fillId="0" borderId="12" xfId="6" applyBorder="1" applyAlignment="1">
      <alignment horizontal="center" vertical="center" wrapText="1" shrinkToFit="1"/>
    </xf>
    <xf numFmtId="0" fontId="17" fillId="5" borderId="12" xfId="6" applyFill="1" applyBorder="1" applyAlignment="1">
      <alignment horizontal="center" vertical="center" shrinkToFit="1"/>
    </xf>
    <xf numFmtId="177" fontId="20" fillId="5" borderId="1" xfId="6" applyNumberFormat="1" applyFill="1" applyBorder="1" applyAlignment="1">
      <alignment horizontal="right" vertical="center" shrinkToFit="1"/>
    </xf>
    <xf numFmtId="0" fontId="17" fillId="0" borderId="14" xfId="6" applyBorder="1" applyAlignment="1">
      <alignment horizontal="center" vertical="center" shrinkToFit="1"/>
    </xf>
    <xf numFmtId="0" fontId="21" fillId="5" borderId="12" xfId="6" applyFill="1" applyBorder="1" applyAlignment="1">
      <alignment horizontal="center" vertical="center" shrinkToFit="1"/>
    </xf>
    <xf numFmtId="38" fontId="20" fillId="5" borderId="1" xfId="7" applyNumberFormat="1" applyFill="1" applyBorder="1" applyAlignment="1">
      <alignment horizontal="right" vertical="center" shrinkToFit="1"/>
    </xf>
    <xf numFmtId="177" fontId="20" fillId="5" borderId="1" xfId="7" applyFill="1" applyBorder="1" applyAlignment="1">
      <alignment horizontal="right" vertical="center" shrinkToFit="1"/>
    </xf>
    <xf numFmtId="177" fontId="17" fillId="0" borderId="18" xfId="7" applyFill="1" applyBorder="1" applyAlignment="1">
      <alignment horizontal="right" vertical="center" shrinkToFit="1"/>
    </xf>
    <xf numFmtId="177" fontId="17" fillId="0" borderId="15" xfId="7" applyBorder="1" applyAlignment="1">
      <alignment horizontal="right" vertical="center" shrinkToFit="1"/>
    </xf>
    <xf numFmtId="177" fontId="17" fillId="0" borderId="16" xfId="7" applyBorder="1" applyAlignment="1">
      <alignment horizontal="right" vertical="center" shrinkToFit="1"/>
    </xf>
    <xf numFmtId="177" fontId="17" fillId="0" borderId="18" xfId="7" applyBorder="1" applyAlignment="1">
      <alignment horizontal="right" vertical="center" shrinkToFit="1"/>
    </xf>
    <xf numFmtId="177" fontId="13" fillId="5" borderId="26" xfId="6" applyNumberFormat="1" applyFill="1" applyBorder="1" applyAlignment="1">
      <alignment horizontal="right" vertical="center" shrinkToFit="1"/>
    </xf>
    <xf numFmtId="0" fontId="13" fillId="0" borderId="29" xfId="8" applyFill="1" applyBorder="1" applyAlignment="1">
      <alignment horizontal="center" vertical="center" shrinkToFit="1"/>
    </xf>
    <xf numFmtId="183" fontId="27" fillId="0" borderId="4" xfId="6" applyNumberFormat="1" applyBorder="1" applyAlignment="1">
      <alignment horizontal="center" vertical="center" shrinkToFit="1"/>
    </xf>
    <xf numFmtId="177" fontId="13" fillId="6" borderId="1" xfId="6" applyNumberFormat="1" applyFill="1" applyBorder="1" applyAlignment="1">
      <alignment horizontal="right" vertical="center" shrinkToFit="1"/>
    </xf>
    <xf numFmtId="0" fontId="2" fillId="0" borderId="0" xfId="6" applyAlignment="1">
      <alignment vertical="center" wrapText="1" shrinkToFit="1"/>
    </xf>
    <xf numFmtId="0" fontId="2" fillId="0" borderId="0" xfId="6" applyAlignment="1">
      <alignment horizontal="center" vertical="center" shrinkToFit="1"/>
    </xf>
    <xf numFmtId="38" fontId="20" fillId="12" borderId="21" xfId="7" applyNumberFormat="1" applyFill="1" applyBorder="1" applyAlignment="1">
      <alignment horizontal="right" vertical="center" shrinkToFit="1"/>
    </xf>
    <xf numFmtId="0" fontId="17" fillId="12" borderId="20" xfId="6" applyFill="1" applyBorder="1" applyAlignment="1">
      <alignment horizontal="center" vertical="center" shrinkToFit="1"/>
    </xf>
    <xf numFmtId="0" fontId="6" fillId="0" borderId="0" xfId="6" applyAlignment="1">
      <alignment horizontal="center" shrinkToFit="1"/>
    </xf>
    <xf numFmtId="0" fontId="6" fillId="0" borderId="0" xfId="6" applyAlignment="1">
      <alignment horizontal="right" shrinkToFit="1"/>
    </xf>
    <xf numFmtId="0" fontId="6" fillId="0" borderId="0" xfId="6" applyAlignment="1">
      <alignment wrapText="1" shrinkToFit="1"/>
    </xf>
    <xf numFmtId="0" fontId="80" fillId="0" borderId="0" xfId="6" applyAlignment="1">
      <alignment horizontal="center" vertical="center" shrinkToFit="1"/>
    </xf>
    <xf numFmtId="0" fontId="80" fillId="0" borderId="0" xfId="6" applyAlignment="1">
      <alignment horizontal="justify" vertical="center" shrinkToFit="1"/>
    </xf>
    <xf numFmtId="0" fontId="2" fillId="0" borderId="7" xfId="6" applyBorder="1" applyAlignment="1">
      <alignment vertical="center" wrapText="1" shrinkToFit="1"/>
    </xf>
    <xf numFmtId="0" fontId="2" fillId="0" borderId="0" xfId="6" applyAlignment="1">
      <alignment horizontal="left" vertical="center" wrapText="1" shrinkToFit="1"/>
    </xf>
    <xf numFmtId="0" fontId="2" fillId="0" borderId="0" xfId="6" applyAlignment="1">
      <alignment horizontal="left" vertical="center" shrinkToFit="1"/>
    </xf>
    <xf numFmtId="0" fontId="96" fillId="0" borderId="0" xfId="6" applyAlignment="1">
      <alignment horizontal="justify" vertical="center" shrinkToFit="1"/>
    </xf>
    <xf numFmtId="0" fontId="96" fillId="0" borderId="0" xfId="6" applyAlignment="1">
      <alignment horizontal="left" vertical="center" wrapText="1" shrinkToFit="1"/>
    </xf>
    <xf numFmtId="0" fontId="6" fillId="0" borderId="0" xfId="6" applyAlignment="1">
      <alignment horizontal="left" wrapText="1" shrinkToFit="1"/>
    </xf>
    <xf numFmtId="0" fontId="94" fillId="0" borderId="0" xfId="6" applyAlignment="1">
      <alignment horizontal="left" vertical="center" wrapText="1" shrinkToFit="1"/>
    </xf>
    <xf numFmtId="0" fontId="96" fillId="0" borderId="0" xfId="6" applyAlignment="1">
      <alignment horizontal="justify" vertical="center" wrapText="1" shrinkToFit="1"/>
    </xf>
    <xf numFmtId="0" fontId="2" fillId="0" borderId="0" xfId="6" applyAlignment="1">
      <alignment vertical="center" shrinkToFit="1"/>
    </xf>
    <xf numFmtId="0" fontId="90" fillId="0" borderId="0" xfId="6" applyAlignment="1">
      <alignment vertical="center" wrapText="1" shrinkToFit="1"/>
    </xf>
    <xf numFmtId="0" fontId="2" fillId="0" borderId="0" xfId="6" applyAlignment="1">
      <alignment horizontal="center" vertical="center" wrapText="1" shrinkToFit="1"/>
    </xf>
    <xf numFmtId="0" fontId="91" fillId="0" borderId="0" xfId="6" applyAlignment="1">
      <alignment vertical="center" wrapText="1" shrinkToFit="1"/>
    </xf>
    <xf numFmtId="0" fontId="6" fillId="0" borderId="6" xfId="6" applyBorder="1" applyAlignment="1">
      <alignment shrinkToFit="1"/>
    </xf>
    <xf numFmtId="0" fontId="26" fillId="0" borderId="0" xfId="9" applyAlignment="1">
      <alignment vertical="center" shrinkToFit="1"/>
    </xf>
    <xf numFmtId="0" fontId="23" fillId="0" borderId="0" xfId="6" applyAlignment="1">
      <alignment vertical="center" shrinkToFit="1"/>
    </xf>
    <xf numFmtId="0" fontId="15" fillId="0" borderId="0" xfId="6" applyAlignment="1">
      <alignment vertical="center" shrinkToFit="1"/>
    </xf>
    <xf numFmtId="0" fontId="11" fillId="0" borderId="0" xfId="6" applyAlignment="1">
      <alignment vertical="center" shrinkToFit="1"/>
    </xf>
    <xf numFmtId="49" fontId="13" fillId="0" borderId="24" xfId="6" quotePrefix="1" applyNumberFormat="1" applyBorder="1" applyAlignment="1">
      <alignment vertical="center" shrinkToFit="1"/>
    </xf>
    <xf numFmtId="49" fontId="13" fillId="0" borderId="22" xfId="6" quotePrefix="1" applyNumberFormat="1" applyBorder="1" applyAlignment="1">
      <alignment vertical="center" shrinkToFit="1"/>
    </xf>
    <xf numFmtId="49" fontId="16" fillId="0" borderId="22" xfId="6" quotePrefix="1" applyNumberFormat="1" applyBorder="1" applyAlignment="1">
      <alignment vertical="center" textRotation="255" shrinkToFit="1"/>
    </xf>
    <xf numFmtId="181" fontId="17" fillId="0" borderId="23" xfId="6" applyNumberFormat="1" applyBorder="1" applyAlignment="1">
      <alignment horizontal="center" vertical="center" shrinkToFit="1"/>
    </xf>
    <xf numFmtId="181" fontId="17" fillId="0" borderId="17" xfId="6" applyNumberFormat="1" applyBorder="1" applyAlignment="1">
      <alignment horizontal="center" vertical="center" shrinkToFit="1"/>
    </xf>
    <xf numFmtId="0" fontId="17" fillId="0" borderId="17" xfId="6" quotePrefix="1" applyBorder="1" applyAlignment="1">
      <alignment horizontal="center" vertical="center" shrinkToFit="1"/>
    </xf>
    <xf numFmtId="0" fontId="13" fillId="0" borderId="30" xfId="8" applyFill="1" applyBorder="1" applyAlignment="1">
      <alignment horizontal="center" vertical="center" shrinkToFit="1"/>
    </xf>
    <xf numFmtId="0" fontId="13" fillId="5" borderId="26" xfId="8" applyFill="1" applyBorder="1" applyAlignment="1">
      <alignment horizontal="center" vertical="center" shrinkToFit="1"/>
    </xf>
    <xf numFmtId="0" fontId="17" fillId="0" borderId="18" xfId="6" applyBorder="1" applyAlignment="1">
      <alignment horizontal="center" vertical="center" shrinkToFit="1"/>
    </xf>
    <xf numFmtId="0" fontId="17" fillId="0" borderId="16" xfId="6" applyBorder="1" applyAlignment="1">
      <alignment horizontal="center" vertical="center" shrinkToFit="1"/>
    </xf>
    <xf numFmtId="0" fontId="13" fillId="5" borderId="1" xfId="6" applyFill="1" applyBorder="1" applyAlignment="1">
      <alignment vertical="center" shrinkToFit="1"/>
    </xf>
    <xf numFmtId="0" fontId="13" fillId="5" borderId="19" xfId="6" applyFill="1" applyBorder="1" applyAlignment="1">
      <alignment vertical="center" shrinkToFit="1"/>
    </xf>
    <xf numFmtId="0" fontId="17" fillId="12" borderId="21" xfId="6" applyFill="1" applyBorder="1" applyAlignment="1">
      <alignment vertical="center" shrinkToFit="1"/>
    </xf>
    <xf numFmtId="0" fontId="13" fillId="5" borderId="1" xfId="6" applyFill="1" applyBorder="1" applyAlignment="1">
      <alignment horizontal="center" vertical="center" shrinkToFit="1"/>
    </xf>
    <xf numFmtId="0" fontId="13" fillId="5" borderId="19" xfId="6" applyFill="1" applyBorder="1" applyAlignment="1">
      <alignment horizontal="center" vertical="center" shrinkToFit="1"/>
    </xf>
    <xf numFmtId="0" fontId="17" fillId="12" borderId="21" xfId="6" applyFill="1" applyBorder="1" applyAlignment="1">
      <alignment horizontal="center" vertical="center" shrinkToFit="1"/>
    </xf>
    <xf numFmtId="0" fontId="17" fillId="0" borderId="15" xfId="6" applyBorder="1" applyAlignment="1">
      <alignment horizontal="center" vertical="center" shrinkToFit="1"/>
    </xf>
    <xf numFmtId="0" fontId="13" fillId="0" borderId="2" xfId="6" applyBorder="1" applyAlignment="1">
      <alignment horizontal="center" vertical="center" shrinkToFit="1"/>
    </xf>
    <xf numFmtId="0" fontId="13" fillId="6" borderId="2" xfId="6" applyFill="1" applyBorder="1" applyAlignment="1">
      <alignment horizontal="center" vertical="center" shrinkToFit="1"/>
    </xf>
    <xf numFmtId="0" fontId="13" fillId="5" borderId="1" xfId="6" applyFill="1" applyBorder="1" applyAlignment="1">
      <alignment horizontal="right" vertical="center" shrinkToFit="1"/>
    </xf>
    <xf numFmtId="0" fontId="13" fillId="5" borderId="19" xfId="6" applyFill="1" applyBorder="1" applyAlignment="1">
      <alignment horizontal="right" vertical="center" shrinkToFit="1"/>
    </xf>
    <xf numFmtId="0" fontId="17" fillId="12" borderId="21" xfId="6" applyFill="1" applyBorder="1" applyAlignment="1">
      <alignment horizontal="right" vertical="center" shrinkToFit="1"/>
    </xf>
    <xf numFmtId="0" fontId="17" fillId="5" borderId="1" xfId="6" applyFill="1" applyBorder="1" applyAlignment="1">
      <alignment horizontal="right" vertical="center" shrinkToFit="1"/>
    </xf>
    <xf numFmtId="0" fontId="13" fillId="6" borderId="4" xfId="6" applyFill="1" applyBorder="1" applyAlignment="1">
      <alignment horizontal="center" vertical="center" shrinkToFit="1"/>
    </xf>
    <xf numFmtId="0" fontId="0" fillId="0" borderId="0" xfId="0" applyFill="1" applyAlignment="1" applyProtection="1">
      <alignment vertical="center" shrinkToFit="1"/>
    </xf>
    <xf numFmtId="3" fontId="0" fillId="0" borderId="2" xfId="0" applyNumberFormat="1" applyFill="1" applyBorder="1" applyAlignment="1" applyProtection="1">
      <alignment vertical="center" shrinkToFit="1"/>
    </xf>
    <xf numFmtId="3" fontId="0" fillId="0" borderId="1" xfId="0" applyNumberFormat="1" applyFill="1" applyBorder="1" applyAlignment="1" applyProtection="1">
      <alignment vertical="center" shrinkToFit="1"/>
    </xf>
    <xf numFmtId="0" fontId="2" fillId="0" borderId="0" xfId="0" applyFill="1" applyAlignment="1" applyProtection="1">
      <alignment vertical="center" shrinkToFit="1"/>
    </xf>
    <xf numFmtId="0" fontId="2" fillId="0" borderId="0" xfId="0" applyFill="1" applyAlignment="1" applyProtection="1">
      <alignment horizontal="left" vertical="center" wrapText="1" shrinkToFit="1"/>
    </xf>
    <xf numFmtId="0" fontId="6" fillId="0" borderId="0" xfId="0" applyFill="1" applyAlignment="1" applyProtection="1">
      <alignment vertical="center" shrinkToFit="1"/>
    </xf>
    <xf numFmtId="0" fontId="7" fillId="0" borderId="0" xfId="0" applyFill="1" applyAlignment="1" applyProtection="1">
      <alignment vertical="center" shrinkToFit="1"/>
    </xf>
    <xf numFmtId="0" fontId="9" fillId="0" borderId="0" xfId="0" applyFill="1" applyAlignment="1" applyProtection="1">
      <alignment vertical="center" shrinkToFit="1"/>
    </xf>
    <xf numFmtId="0" fontId="8" fillId="0" borderId="0" xfId="0" applyFill="1" applyAlignment="1" applyProtection="1">
      <alignment vertical="center" shrinkToFit="1"/>
    </xf>
    <xf numFmtId="0" fontId="1" fillId="0" borderId="0" xfId="0" applyFill="1" applyAlignment="1" applyProtection="1">
      <alignment vertical="center" shrinkToFit="1"/>
    </xf>
    <xf numFmtId="0" fontId="1" fillId="0" borderId="0" xfId="0" applyFill="1" applyAlignment="1" applyProtection="1">
      <alignment horizontal="left" vertical="center" wrapText="1" shrinkToFit="1"/>
    </xf>
    <xf numFmtId="0" fontId="4" fillId="0" borderId="0" xfId="0" applyFill="1" applyAlignment="1" applyProtection="1">
      <alignment vertical="center" shrinkToFit="1"/>
    </xf>
    <xf numFmtId="3" fontId="4" fillId="0" borderId="0" xfId="0" applyNumberFormat="1" applyFill="1" applyAlignment="1" applyProtection="1">
      <alignment vertical="center" shrinkToFit="1"/>
    </xf>
    <xf numFmtId="3" fontId="0" fillId="0" borderId="0" xfId="0" applyNumberFormat="1" applyFill="1" applyAlignment="1" applyProtection="1">
      <alignment vertical="center" shrinkToFit="1"/>
    </xf>
    <xf numFmtId="0" fontId="7" fillId="0" borderId="0" xfId="5" applyAlignment="1">
      <alignment vertical="center" wrapText="1" shrinkToFit="1"/>
    </xf>
    <xf numFmtId="0" fontId="10" fillId="0" borderId="0" xfId="0" applyFill="1" applyAlignment="1" applyProtection="1">
      <alignment vertical="center" shrinkToFit="1"/>
    </xf>
    <xf numFmtId="0" fontId="3" fillId="0" borderId="0" xfId="0" applyFill="1" applyAlignment="1" applyProtection="1">
      <alignment horizontal="center" vertical="center" shrinkToFit="1"/>
    </xf>
    <xf numFmtId="0" fontId="2" fillId="0" borderId="41" xfId="6" applyBorder="1" applyAlignment="1">
      <alignment horizontal="center" vertical="center" wrapText="1" shrinkToFit="1"/>
    </xf>
    <xf numFmtId="0" fontId="104" fillId="0" borderId="0" xfId="0" applyFill="1" applyAlignment="1" applyProtection="1">
      <alignment vertical="center" shrinkToFit="1"/>
    </xf>
    <xf numFmtId="0" fontId="7" fillId="2" borderId="0" xfId="0" applyFill="1" applyAlignment="1" applyProtection="1">
      <alignment vertical="center" shrinkToFit="1"/>
    </xf>
    <xf numFmtId="0" fontId="104" fillId="2" borderId="0" xfId="0" applyFill="1" applyAlignment="1" applyProtection="1">
      <alignment vertical="center" shrinkToFit="1"/>
    </xf>
    <xf numFmtId="0" fontId="7" fillId="0" borderId="0" xfId="0" applyFill="1" applyAlignment="1" applyProtection="1">
      <alignment horizontal="left" vertical="center" shrinkToFit="1"/>
    </xf>
    <xf numFmtId="0" fontId="7" fillId="0" borderId="0" xfId="0" applyFill="1" applyAlignment="1" applyProtection="1">
      <alignment vertical="center" wrapText="1" shrinkToFit="1"/>
    </xf>
    <xf numFmtId="0" fontId="7" fillId="0" borderId="0" xfId="0" applyFill="1" applyAlignment="1" applyProtection="1">
      <alignment horizontal="left" shrinkToFit="1"/>
    </xf>
    <xf numFmtId="0" fontId="106" fillId="0" borderId="0" xfId="0" applyFill="1" applyAlignment="1" applyProtection="1">
      <alignment vertical="center" shrinkToFit="1"/>
    </xf>
    <xf numFmtId="0" fontId="108" fillId="0" borderId="0" xfId="0" applyFill="1" applyAlignment="1" applyProtection="1">
      <alignment vertical="center" shrinkToFit="1"/>
    </xf>
    <xf numFmtId="0" fontId="105" fillId="0" borderId="0" xfId="0" applyFill="1" applyAlignment="1" applyProtection="1">
      <alignment vertical="center" shrinkToFit="1"/>
    </xf>
    <xf numFmtId="0" fontId="52" fillId="0" borderId="0" xfId="0" applyFill="1" applyAlignment="1" applyProtection="1">
      <alignment vertical="center" shrinkToFit="1"/>
    </xf>
    <xf numFmtId="3" fontId="52" fillId="0" borderId="0" xfId="0" applyNumberFormat="1" applyFill="1" applyAlignment="1" applyProtection="1">
      <alignment vertical="center" shrinkToFit="1"/>
    </xf>
    <xf numFmtId="0" fontId="111" fillId="0" borderId="0" xfId="0" applyFill="1" applyAlignment="1" applyProtection="1">
      <alignment vertical="center" shrinkToFit="1"/>
    </xf>
    <xf numFmtId="0" fontId="113" fillId="0" borderId="0" xfId="0" applyFill="1" applyAlignment="1" applyProtection="1">
      <alignment vertical="center" shrinkToFit="1"/>
    </xf>
    <xf numFmtId="0" fontId="2" fillId="0" borderId="0" xfId="6" applyAlignment="1">
      <alignment shrinkToFit="1"/>
    </xf>
    <xf numFmtId="0" fontId="2" fillId="0" borderId="0" xfId="6" applyAlignment="1">
      <alignment horizontal="center" shrinkToFit="1"/>
    </xf>
    <xf numFmtId="0" fontId="2" fillId="0" borderId="0" xfId="6" applyAlignment="1">
      <alignment horizontal="right" shrinkToFit="1"/>
    </xf>
    <xf numFmtId="0" fontId="2" fillId="0" borderId="6" xfId="6" applyBorder="1" applyAlignment="1">
      <alignment shrinkToFit="1"/>
    </xf>
    <xf numFmtId="0" fontId="13" fillId="12" borderId="25" xfId="8" applyFill="1" applyBorder="1" applyAlignment="1">
      <alignment horizontal="center" vertical="center" shrinkToFit="1"/>
    </xf>
    <xf numFmtId="0" fontId="2" fillId="0" borderId="4" xfId="6" applyBorder="1" applyAlignment="1">
      <alignment vertical="center" shrinkToFit="1"/>
    </xf>
    <xf numFmtId="0" fontId="2" fillId="0" borderId="3" xfId="6" applyBorder="1" applyAlignment="1">
      <alignment vertical="center" shrinkToFit="1"/>
    </xf>
    <xf numFmtId="0" fontId="2" fillId="0" borderId="0" xfId="6" applyAlignment="1">
      <alignment horizontal="left" vertical="center" wrapText="1"/>
    </xf>
    <xf numFmtId="0" fontId="93" fillId="0" borderId="0" xfId="6" applyAlignment="1">
      <alignment horizontal="left" vertical="center" shrinkToFit="1"/>
    </xf>
    <xf numFmtId="0" fontId="95" fillId="0" borderId="0" xfId="6" applyAlignment="1">
      <alignment horizontal="left" vertical="center" shrinkToFit="1"/>
    </xf>
    <xf numFmtId="0" fontId="95" fillId="0" borderId="0" xfId="6" applyAlignment="1">
      <alignment horizontal="left" shrinkToFit="1"/>
    </xf>
    <xf numFmtId="0" fontId="98" fillId="0" borderId="0" xfId="6" applyAlignment="1">
      <alignment horizontal="center" vertical="center" shrinkToFit="1"/>
    </xf>
    <xf numFmtId="0" fontId="94" fillId="0" borderId="0" xfId="6" applyAlignment="1">
      <alignment horizontal="center" vertical="center" shrinkToFit="1"/>
    </xf>
    <xf numFmtId="0" fontId="2" fillId="0" borderId="7" xfId="6" applyBorder="1" applyAlignment="1">
      <alignment horizontal="justify" vertical="center" wrapText="1" shrinkToFit="1"/>
    </xf>
    <xf numFmtId="0" fontId="2" fillId="0" borderId="0" xfId="6" applyAlignment="1">
      <alignment horizontal="justify" vertical="center" wrapText="1" shrinkToFit="1"/>
    </xf>
    <xf numFmtId="0" fontId="2" fillId="0" borderId="69" xfId="6" applyBorder="1" applyAlignment="1">
      <alignment horizontal="center" vertical="center" wrapText="1" shrinkToFit="1"/>
    </xf>
    <xf numFmtId="0" fontId="2" fillId="0" borderId="45" xfId="6" applyBorder="1" applyAlignment="1">
      <alignment horizontal="center" vertical="center" wrapText="1" shrinkToFit="1"/>
    </xf>
    <xf numFmtId="14" fontId="2" fillId="0" borderId="45" xfId="6" applyNumberFormat="1" applyBorder="1" applyAlignment="1">
      <alignment horizontal="left" vertical="center" wrapText="1" shrinkToFit="1"/>
    </xf>
    <xf numFmtId="14" fontId="2" fillId="0" borderId="66" xfId="6" applyNumberFormat="1" applyBorder="1" applyAlignment="1">
      <alignment horizontal="left" vertical="center" wrapText="1" shrinkToFit="1"/>
    </xf>
    <xf numFmtId="0" fontId="2" fillId="0" borderId="74" xfId="6" applyBorder="1" applyAlignment="1">
      <alignment horizontal="center" vertical="center" wrapText="1" shrinkToFit="1"/>
    </xf>
    <xf numFmtId="0" fontId="2" fillId="0" borderId="75" xfId="6" applyBorder="1" applyAlignment="1">
      <alignment horizontal="center" vertical="center" wrapText="1" shrinkToFit="1"/>
    </xf>
    <xf numFmtId="0" fontId="2" fillId="0" borderId="76" xfId="6" applyBorder="1" applyAlignment="1">
      <alignment horizontal="center" vertical="center" wrapText="1" shrinkToFit="1"/>
    </xf>
    <xf numFmtId="0" fontId="97" fillId="0" borderId="0" xfId="6" applyAlignment="1">
      <alignment horizontal="left" vertical="center" shrinkToFit="1"/>
    </xf>
    <xf numFmtId="0" fontId="94" fillId="0" borderId="1" xfId="6" applyBorder="1" applyAlignment="1">
      <alignment horizontal="center" vertical="center" wrapText="1" shrinkToFit="1"/>
    </xf>
    <xf numFmtId="182" fontId="94" fillId="0" borderId="1" xfId="6" applyNumberFormat="1" applyBorder="1" applyAlignment="1">
      <alignment horizontal="left" vertical="center" shrinkToFit="1"/>
    </xf>
    <xf numFmtId="182" fontId="94" fillId="0" borderId="12" xfId="6" applyNumberFormat="1" applyBorder="1" applyAlignment="1">
      <alignment horizontal="left" vertical="center" shrinkToFit="1"/>
    </xf>
    <xf numFmtId="0" fontId="2" fillId="0" borderId="1" xfId="6" applyBorder="1" applyAlignment="1">
      <alignment horizontal="left" vertical="center" wrapText="1" shrinkToFit="1"/>
    </xf>
    <xf numFmtId="0" fontId="2" fillId="0" borderId="12" xfId="6" applyBorder="1" applyAlignment="1">
      <alignment horizontal="left" vertical="center" wrapText="1" shrinkToFit="1"/>
    </xf>
    <xf numFmtId="0" fontId="2" fillId="0" borderId="56" xfId="6" applyBorder="1" applyAlignment="1">
      <alignment horizontal="center" vertical="center" wrapText="1" shrinkToFit="1"/>
    </xf>
    <xf numFmtId="0" fontId="2" fillId="0" borderId="67" xfId="6" applyBorder="1" applyAlignment="1">
      <alignment horizontal="center" vertical="center" wrapText="1" shrinkToFit="1"/>
    </xf>
    <xf numFmtId="0" fontId="2" fillId="0" borderId="6" xfId="6" applyBorder="1" applyAlignment="1">
      <alignment horizontal="center" vertical="center" wrapText="1" shrinkToFit="1"/>
    </xf>
    <xf numFmtId="0" fontId="6" fillId="0" borderId="0" xfId="6" applyAlignment="1">
      <alignment horizontal="left" vertical="center" wrapText="1" shrinkToFit="1"/>
    </xf>
    <xf numFmtId="0" fontId="6" fillId="0" borderId="6" xfId="6" applyBorder="1" applyAlignment="1">
      <alignment horizontal="left" vertical="center" wrapText="1" shrinkToFit="1"/>
    </xf>
    <xf numFmtId="0" fontId="2" fillId="0" borderId="4" xfId="6" applyBorder="1" applyAlignment="1">
      <alignment horizontal="center" vertical="center" wrapText="1" shrinkToFit="1"/>
    </xf>
    <xf numFmtId="0" fontId="89" fillId="11" borderId="64" xfId="6" applyFill="1" applyBorder="1" applyAlignment="1">
      <alignment horizontal="center" vertical="center" wrapText="1" shrinkToFit="1"/>
    </xf>
    <xf numFmtId="0" fontId="89" fillId="11" borderId="0" xfId="6" applyFill="1" applyAlignment="1">
      <alignment horizontal="center" vertical="center" wrapText="1" shrinkToFit="1"/>
    </xf>
    <xf numFmtId="0" fontId="114" fillId="0" borderId="0" xfId="6" applyAlignment="1">
      <alignment horizontal="center" vertical="center" shrinkToFit="1"/>
    </xf>
    <xf numFmtId="0" fontId="102" fillId="0" borderId="0" xfId="6" applyAlignment="1">
      <alignment horizontal="center" vertical="center" wrapText="1" shrinkToFit="1"/>
    </xf>
    <xf numFmtId="0" fontId="80" fillId="11" borderId="64" xfId="6" applyFill="1" applyBorder="1" applyAlignment="1">
      <alignment horizontal="center" vertical="center" wrapText="1" shrinkToFit="1"/>
    </xf>
    <xf numFmtId="0" fontId="80" fillId="11" borderId="0" xfId="6" applyFill="1" applyAlignment="1">
      <alignment horizontal="center" vertical="center" wrapText="1" shrinkToFit="1"/>
    </xf>
    <xf numFmtId="14" fontId="102" fillId="0" borderId="0" xfId="6" applyNumberFormat="1" applyAlignment="1">
      <alignment horizontal="center" vertical="center" shrinkToFit="1"/>
    </xf>
    <xf numFmtId="0" fontId="89" fillId="0" borderId="0" xfId="6" applyAlignment="1">
      <alignment horizontal="center" vertical="center" wrapText="1" shrinkToFit="1"/>
    </xf>
    <xf numFmtId="0" fontId="91" fillId="0" borderId="0" xfId="6" applyAlignment="1">
      <alignment horizontal="left" vertical="center" wrapText="1" shrinkToFit="1"/>
    </xf>
    <xf numFmtId="0" fontId="92" fillId="0" borderId="10" xfId="6" applyBorder="1" applyAlignment="1">
      <alignment horizontal="center" vertical="center" wrapText="1" shrinkToFit="1"/>
    </xf>
    <xf numFmtId="0" fontId="92" fillId="0" borderId="9" xfId="6" applyBorder="1" applyAlignment="1">
      <alignment horizontal="center" vertical="center" wrapText="1" shrinkToFit="1"/>
    </xf>
    <xf numFmtId="0" fontId="92" fillId="0" borderId="8" xfId="6" applyBorder="1" applyAlignment="1">
      <alignment horizontal="center" vertical="center" wrapText="1" shrinkToFit="1"/>
    </xf>
    <xf numFmtId="0" fontId="93" fillId="0" borderId="65" xfId="6" applyBorder="1" applyAlignment="1">
      <alignment horizontal="center" vertical="center" textRotation="255" wrapText="1" shrinkToFit="1"/>
    </xf>
    <xf numFmtId="0" fontId="93" fillId="0" borderId="26" xfId="6" applyBorder="1" applyAlignment="1">
      <alignment horizontal="center" vertical="center" textRotation="255" wrapText="1" shrinkToFit="1"/>
    </xf>
    <xf numFmtId="0" fontId="93" fillId="0" borderId="13" xfId="6" applyBorder="1" applyAlignment="1">
      <alignment horizontal="center" vertical="center" textRotation="255" wrapText="1" shrinkToFit="1"/>
    </xf>
    <xf numFmtId="0" fontId="93" fillId="0" borderId="1" xfId="6" applyBorder="1" applyAlignment="1">
      <alignment horizontal="center" vertical="center" textRotation="255" wrapText="1" shrinkToFit="1"/>
    </xf>
    <xf numFmtId="0" fontId="94" fillId="0" borderId="26" xfId="6" applyBorder="1" applyAlignment="1">
      <alignment horizontal="center" vertical="center" wrapText="1" shrinkToFit="1"/>
    </xf>
    <xf numFmtId="0" fontId="94" fillId="0" borderId="26" xfId="6" applyBorder="1" applyAlignment="1">
      <alignment horizontal="left" vertical="center" wrapText="1" shrinkToFit="1"/>
    </xf>
    <xf numFmtId="0" fontId="94" fillId="0" borderId="25" xfId="6" applyBorder="1" applyAlignment="1">
      <alignment horizontal="left" vertical="center" wrapText="1" shrinkToFit="1"/>
    </xf>
    <xf numFmtId="0" fontId="2" fillId="0" borderId="6" xfId="6" applyBorder="1" applyAlignment="1">
      <alignment horizontal="left" vertical="center" wrapText="1" shrinkToFit="1"/>
    </xf>
    <xf numFmtId="0" fontId="2" fillId="0" borderId="45" xfId="6" applyBorder="1" applyAlignment="1">
      <alignment horizontal="left" vertical="center" wrapText="1" shrinkToFit="1"/>
    </xf>
    <xf numFmtId="0" fontId="2" fillId="0" borderId="66" xfId="6" applyBorder="1" applyAlignment="1">
      <alignment horizontal="left" vertical="center" wrapText="1" shrinkToFit="1"/>
    </xf>
    <xf numFmtId="0" fontId="2" fillId="0" borderId="7" xfId="6" applyBorder="1" applyAlignment="1">
      <alignment horizontal="center" vertical="center" wrapText="1" shrinkToFit="1"/>
    </xf>
    <xf numFmtId="0" fontId="2" fillId="0" borderId="5" xfId="6" applyBorder="1" applyAlignment="1">
      <alignment horizontal="center" vertical="center" wrapText="1" shrinkToFit="1"/>
    </xf>
    <xf numFmtId="0" fontId="94" fillId="0" borderId="56" xfId="6" applyBorder="1" applyAlignment="1">
      <alignment horizontal="center" vertical="center" wrapText="1" shrinkToFit="1"/>
    </xf>
    <xf numFmtId="0" fontId="94" fillId="0" borderId="41" xfId="6" applyBorder="1" applyAlignment="1">
      <alignment horizontal="center" vertical="center" wrapText="1" shrinkToFit="1"/>
    </xf>
    <xf numFmtId="0" fontId="94" fillId="0" borderId="2" xfId="6" applyBorder="1" applyAlignment="1">
      <alignment horizontal="center" vertical="center" wrapText="1" shrinkToFit="1"/>
    </xf>
    <xf numFmtId="0" fontId="2" fillId="0" borderId="56" xfId="6" applyBorder="1" applyAlignment="1">
      <alignment horizontal="left" vertical="center" wrapText="1" shrinkToFit="1"/>
    </xf>
    <xf numFmtId="0" fontId="2" fillId="0" borderId="41" xfId="6" applyBorder="1" applyAlignment="1">
      <alignment horizontal="left" vertical="center" wrapText="1" shrinkToFit="1"/>
    </xf>
    <xf numFmtId="0" fontId="2" fillId="0" borderId="67" xfId="6" applyBorder="1" applyAlignment="1">
      <alignment horizontal="left" vertical="center" wrapText="1" shrinkToFit="1"/>
    </xf>
    <xf numFmtId="0" fontId="94" fillId="0" borderId="32" xfId="6" applyBorder="1" applyAlignment="1">
      <alignment horizontal="center" vertical="center" wrapText="1" shrinkToFit="1"/>
    </xf>
    <xf numFmtId="0" fontId="2" fillId="0" borderId="32" xfId="6" applyBorder="1" applyAlignment="1">
      <alignment horizontal="left" vertical="center" wrapText="1" shrinkToFit="1"/>
    </xf>
    <xf numFmtId="0" fontId="2" fillId="0" borderId="31" xfId="6" applyBorder="1" applyAlignment="1">
      <alignment horizontal="left" vertical="center" wrapText="1" shrinkToFit="1"/>
    </xf>
    <xf numFmtId="0" fontId="94" fillId="0" borderId="56" xfId="6" applyBorder="1" applyAlignment="1">
      <alignment horizontal="left" vertical="center" wrapText="1" shrinkToFit="1"/>
    </xf>
    <xf numFmtId="0" fontId="94" fillId="0" borderId="41" xfId="6" applyBorder="1" applyAlignment="1">
      <alignment horizontal="left" vertical="center" wrapText="1" shrinkToFit="1"/>
    </xf>
    <xf numFmtId="0" fontId="94" fillId="0" borderId="67" xfId="6" applyBorder="1" applyAlignment="1">
      <alignment horizontal="left" vertical="center" wrapText="1" shrinkToFit="1"/>
    </xf>
    <xf numFmtId="0" fontId="80" fillId="0" borderId="7" xfId="6" applyBorder="1" applyAlignment="1">
      <alignment horizontal="justify" vertical="center" wrapText="1" shrinkToFit="1"/>
    </xf>
    <xf numFmtId="0" fontId="80" fillId="0" borderId="0" xfId="6" applyAlignment="1">
      <alignment horizontal="justify" vertical="center" wrapText="1" shrinkToFit="1"/>
    </xf>
    <xf numFmtId="0" fontId="2" fillId="0" borderId="7" xfId="6" applyBorder="1" applyAlignment="1">
      <alignment horizontal="left" vertical="center" wrapText="1"/>
    </xf>
    <xf numFmtId="0" fontId="2" fillId="0" borderId="6" xfId="6" applyBorder="1" applyAlignment="1">
      <alignment horizontal="left" vertical="center" wrapText="1"/>
    </xf>
    <xf numFmtId="0" fontId="2" fillId="0" borderId="7" xfId="6" applyBorder="1" applyAlignment="1">
      <alignment horizontal="center" vertical="center" shrinkToFit="1"/>
    </xf>
    <xf numFmtId="0" fontId="94" fillId="0" borderId="1" xfId="6" applyBorder="1" applyAlignment="1">
      <alignment horizontal="left" vertical="center" wrapText="1" shrinkToFit="1"/>
    </xf>
    <xf numFmtId="0" fontId="94" fillId="0" borderId="12" xfId="6" applyBorder="1" applyAlignment="1">
      <alignment horizontal="left" vertical="center" wrapText="1" shrinkToFit="1"/>
    </xf>
    <xf numFmtId="0" fontId="93" fillId="0" borderId="68" xfId="6" applyBorder="1" applyAlignment="1">
      <alignment horizontal="center" vertical="center" textRotation="255" wrapText="1" shrinkToFit="1"/>
    </xf>
    <xf numFmtId="0" fontId="93" fillId="0" borderId="49" xfId="6" applyBorder="1" applyAlignment="1">
      <alignment horizontal="center" vertical="center" textRotation="255" wrapText="1" shrinkToFit="1"/>
    </xf>
    <xf numFmtId="0" fontId="93" fillId="0" borderId="33" xfId="6" applyBorder="1" applyAlignment="1">
      <alignment horizontal="center" vertical="center" textRotation="255" wrapText="1" shrinkToFit="1"/>
    </xf>
    <xf numFmtId="0" fontId="93" fillId="0" borderId="32" xfId="6" applyBorder="1" applyAlignment="1">
      <alignment horizontal="center" vertical="center" textRotation="255" wrapText="1" shrinkToFit="1"/>
    </xf>
    <xf numFmtId="0" fontId="7" fillId="0" borderId="0" xfId="0" applyFill="1" applyAlignment="1" applyProtection="1">
      <alignment horizontal="left" vertical="center"/>
    </xf>
    <xf numFmtId="0" fontId="110" fillId="0" borderId="0" xfId="0" applyFill="1" applyAlignment="1" applyProtection="1">
      <alignment horizontal="center" vertical="center" shrinkToFit="1"/>
    </xf>
    <xf numFmtId="0" fontId="112" fillId="0" borderId="0" xfId="0" applyFill="1" applyAlignment="1" applyProtection="1">
      <alignment horizontal="left" vertical="center"/>
    </xf>
    <xf numFmtId="0" fontId="112" fillId="0" borderId="0" xfId="0" applyFill="1" applyAlignment="1" applyProtection="1">
      <alignment horizontal="center" vertical="center" wrapText="1"/>
    </xf>
    <xf numFmtId="0" fontId="7" fillId="0" borderId="0" xfId="0" applyFill="1" applyAlignment="1" applyProtection="1">
      <alignment horizontal="left" vertical="center" wrapText="1" shrinkToFit="1"/>
    </xf>
    <xf numFmtId="0" fontId="107" fillId="0" borderId="0" xfId="0" applyFill="1" applyAlignment="1" applyProtection="1">
      <alignment vertical="center" shrinkToFit="1"/>
    </xf>
    <xf numFmtId="0" fontId="109" fillId="0" borderId="0" xfId="0" applyFill="1" applyAlignment="1" applyProtection="1">
      <alignment vertical="center" shrinkToFit="1"/>
    </xf>
    <xf numFmtId="0" fontId="5" fillId="0" borderId="0" xfId="0" applyFill="1" applyAlignment="1" applyProtection="1">
      <alignment horizontal="left" shrinkToFit="1"/>
    </xf>
    <xf numFmtId="0" fontId="1" fillId="0" borderId="0" xfId="0" applyFill="1" applyAlignment="1" applyProtection="1">
      <alignment horizontal="left" shrinkToFit="1"/>
    </xf>
    <xf numFmtId="0" fontId="1" fillId="0" borderId="0" xfId="0" applyFill="1" applyAlignment="1" applyProtection="1">
      <alignment horizontal="left" wrapText="1" shrinkToFit="1"/>
    </xf>
    <xf numFmtId="0" fontId="7" fillId="0" borderId="0" xfId="5" applyAlignment="1">
      <alignment horizontal="left" vertical="center" wrapText="1" shrinkToFit="1"/>
    </xf>
    <xf numFmtId="0" fontId="105" fillId="0" borderId="0" xfId="0" applyFill="1" applyAlignment="1" applyProtection="1">
      <alignment horizontal="center" vertical="center" shrinkToFit="1"/>
    </xf>
    <xf numFmtId="0" fontId="103" fillId="0" borderId="0" xfId="0" applyFill="1" applyAlignment="1" applyProtection="1">
      <alignment horizontal="center" vertical="center" shrinkToFit="1"/>
    </xf>
    <xf numFmtId="0" fontId="52" fillId="0" borderId="0" xfId="5" applyAlignment="1">
      <alignment horizontal="center" vertical="center" shrinkToFit="1"/>
    </xf>
    <xf numFmtId="179" fontId="7" fillId="0" borderId="0" xfId="0" applyNumberFormat="1" applyFill="1" applyAlignment="1" applyProtection="1">
      <alignment horizontal="left" vertical="center" shrinkToFit="1"/>
    </xf>
    <xf numFmtId="0" fontId="18" fillId="0" borderId="57" xfId="6" applyBorder="1" applyAlignment="1">
      <alignment horizontal="center" vertical="center" shrinkToFit="1"/>
    </xf>
    <xf numFmtId="0" fontId="18" fillId="0" borderId="2" xfId="6" applyBorder="1" applyAlignment="1">
      <alignment horizontal="center" vertical="center" shrinkToFit="1"/>
    </xf>
    <xf numFmtId="0" fontId="13" fillId="0" borderId="56" xfId="6" applyBorder="1" applyAlignment="1">
      <alignment horizontal="center" vertical="center" shrinkToFit="1"/>
    </xf>
    <xf numFmtId="0" fontId="13" fillId="0" borderId="41" xfId="6" applyBorder="1" applyAlignment="1">
      <alignment horizontal="center" vertical="center" shrinkToFit="1"/>
    </xf>
    <xf numFmtId="0" fontId="16" fillId="6" borderId="55" xfId="6" applyFill="1" applyBorder="1" applyAlignment="1">
      <alignment horizontal="center" vertical="center" shrinkToFit="1"/>
    </xf>
    <xf numFmtId="0" fontId="16" fillId="6" borderId="54" xfId="6" applyFill="1" applyBorder="1" applyAlignment="1">
      <alignment horizontal="center" vertical="center" shrinkToFit="1"/>
    </xf>
    <xf numFmtId="0" fontId="13" fillId="6" borderId="52" xfId="6" applyFill="1" applyBorder="1" applyAlignment="1">
      <alignment horizontal="center" vertical="center" shrinkToFit="1"/>
    </xf>
    <xf numFmtId="0" fontId="13" fillId="6" borderId="53" xfId="6" applyFill="1" applyBorder="1" applyAlignment="1">
      <alignment horizontal="center" vertical="center" shrinkToFit="1"/>
    </xf>
    <xf numFmtId="0" fontId="13" fillId="6" borderId="54" xfId="6" applyFill="1" applyBorder="1" applyAlignment="1">
      <alignment horizontal="center" vertical="center" shrinkToFit="1"/>
    </xf>
    <xf numFmtId="0" fontId="12" fillId="5" borderId="10" xfId="6" applyFill="1" applyBorder="1" applyAlignment="1">
      <alignment horizontal="center" vertical="center" shrinkToFit="1"/>
    </xf>
    <xf numFmtId="0" fontId="12" fillId="5" borderId="9" xfId="6" applyFill="1" applyBorder="1" applyAlignment="1">
      <alignment horizontal="center" vertical="center" shrinkToFit="1"/>
    </xf>
    <xf numFmtId="0" fontId="12" fillId="5" borderId="7" xfId="6" applyFill="1" applyBorder="1" applyAlignment="1">
      <alignment horizontal="center" vertical="center" shrinkToFit="1"/>
    </xf>
    <xf numFmtId="0" fontId="12" fillId="5" borderId="0" xfId="6" applyFill="1" applyAlignment="1">
      <alignment horizontal="center" vertical="center" shrinkToFit="1"/>
    </xf>
    <xf numFmtId="0" fontId="12" fillId="5" borderId="5" xfId="6" applyFill="1" applyBorder="1" applyAlignment="1">
      <alignment horizontal="center" vertical="center" shrinkToFit="1"/>
    </xf>
    <xf numFmtId="0" fontId="12" fillId="5" borderId="4" xfId="6" applyFill="1" applyBorder="1" applyAlignment="1">
      <alignment horizontal="center" vertical="center" shrinkToFit="1"/>
    </xf>
    <xf numFmtId="0" fontId="14" fillId="0" borderId="9" xfId="6" applyBorder="1" applyAlignment="1">
      <alignment horizontal="center" vertical="center" wrapText="1" shrinkToFit="1"/>
    </xf>
    <xf numFmtId="0" fontId="17" fillId="0" borderId="0" xfId="6" applyAlignment="1">
      <alignment horizontal="center" vertical="center" wrapText="1" shrinkToFit="1"/>
    </xf>
    <xf numFmtId="0" fontId="13" fillId="0" borderId="4" xfId="6" applyBorder="1" applyAlignment="1">
      <alignment horizontal="center" vertical="center" shrinkToFit="1"/>
    </xf>
    <xf numFmtId="0" fontId="18" fillId="0" borderId="57" xfId="6" applyBorder="1" applyAlignment="1">
      <alignment horizontal="left" vertical="center" shrinkToFit="1"/>
    </xf>
    <xf numFmtId="0" fontId="18" fillId="0" borderId="2" xfId="6" applyBorder="1" applyAlignment="1">
      <alignment horizontal="left" vertical="center" shrinkToFit="1"/>
    </xf>
    <xf numFmtId="0" fontId="18" fillId="6" borderId="57" xfId="6" applyFill="1" applyBorder="1" applyAlignment="1">
      <alignment horizontal="center" vertical="center" shrinkToFit="1"/>
    </xf>
    <xf numFmtId="0" fontId="18" fillId="6" borderId="2" xfId="6" applyFill="1" applyBorder="1" applyAlignment="1">
      <alignment horizontal="center" vertical="center" shrinkToFit="1"/>
    </xf>
    <xf numFmtId="0" fontId="13" fillId="6" borderId="56" xfId="6" applyFill="1" applyBorder="1" applyAlignment="1">
      <alignment horizontal="center" vertical="center" shrinkToFit="1"/>
    </xf>
    <xf numFmtId="0" fontId="13" fillId="6" borderId="41" xfId="6" applyFill="1" applyBorder="1" applyAlignment="1">
      <alignment horizontal="center" vertical="center" shrinkToFit="1"/>
    </xf>
    <xf numFmtId="0" fontId="13" fillId="5" borderId="57" xfId="6" applyFill="1" applyBorder="1" applyAlignment="1">
      <alignment horizontal="left" vertical="center" shrinkToFit="1"/>
    </xf>
    <xf numFmtId="0" fontId="13" fillId="5" borderId="2" xfId="6" applyFill="1" applyBorder="1" applyAlignment="1">
      <alignment horizontal="left" vertical="center" shrinkToFit="1"/>
    </xf>
    <xf numFmtId="0" fontId="13" fillId="12" borderId="70" xfId="6" applyFill="1" applyBorder="1" applyAlignment="1">
      <alignment horizontal="left" vertical="center" shrinkToFit="1"/>
    </xf>
    <xf numFmtId="0" fontId="17" fillId="12" borderId="71" xfId="6" applyFill="1" applyBorder="1" applyAlignment="1">
      <alignment horizontal="left" vertical="center" shrinkToFit="1"/>
    </xf>
    <xf numFmtId="0" fontId="18" fillId="5" borderId="57" xfId="6" applyFill="1" applyBorder="1" applyAlignment="1">
      <alignment horizontal="left" vertical="center" shrinkToFit="1"/>
    </xf>
    <xf numFmtId="0" fontId="18" fillId="5" borderId="2" xfId="6" applyFill="1" applyBorder="1" applyAlignment="1">
      <alignment horizontal="left" vertical="center" shrinkToFit="1"/>
    </xf>
    <xf numFmtId="0" fontId="115" fillId="0" borderId="20" xfId="6" applyBorder="1" applyAlignment="1">
      <alignment horizontal="center" vertical="center" shrinkToFit="1"/>
    </xf>
    <xf numFmtId="0" fontId="115" fillId="0" borderId="72" xfId="6" applyBorder="1" applyAlignment="1">
      <alignment horizontal="center" vertical="center" shrinkToFit="1"/>
    </xf>
    <xf numFmtId="0" fontId="115" fillId="0" borderId="73" xfId="6" applyBorder="1" applyAlignment="1">
      <alignment horizontal="center" vertical="center" shrinkToFit="1"/>
    </xf>
    <xf numFmtId="0" fontId="28" fillId="6" borderId="0" xfId="6" quotePrefix="1" applyFill="1" applyAlignment="1">
      <alignment horizontal="center" vertical="center" shrinkToFit="1"/>
    </xf>
    <xf numFmtId="0" fontId="13" fillId="0" borderId="4" xfId="6" applyBorder="1" applyAlignment="1">
      <alignment horizontal="right" vertical="center" shrinkToFit="1"/>
    </xf>
    <xf numFmtId="0" fontId="16" fillId="6" borderId="58" xfId="6" applyFill="1" applyBorder="1" applyAlignment="1">
      <alignment horizontal="center" vertical="center" shrinkToFit="1"/>
    </xf>
    <xf numFmtId="0" fontId="16" fillId="6" borderId="59" xfId="6" applyFill="1" applyBorder="1" applyAlignment="1">
      <alignment horizontal="center" vertical="center" shrinkToFit="1"/>
    </xf>
    <xf numFmtId="177" fontId="16" fillId="6" borderId="37" xfId="6" applyNumberFormat="1" applyFill="1" applyBorder="1" applyAlignment="1">
      <alignment horizontal="left" vertical="center" shrinkToFit="1"/>
    </xf>
    <xf numFmtId="182" fontId="16" fillId="6" borderId="36" xfId="6" applyNumberFormat="1" applyFill="1" applyBorder="1" applyAlignment="1">
      <alignment horizontal="left" vertical="center" shrinkToFit="1"/>
    </xf>
    <xf numFmtId="182" fontId="16" fillId="6" borderId="35" xfId="6" applyNumberFormat="1" applyFill="1" applyBorder="1" applyAlignment="1">
      <alignment horizontal="left" vertical="center" shrinkToFit="1"/>
    </xf>
    <xf numFmtId="0" fontId="16" fillId="7" borderId="28" xfId="6" applyFill="1" applyBorder="1" applyAlignment="1">
      <alignment horizontal="center" vertical="center" shrinkToFit="1"/>
    </xf>
    <xf numFmtId="0" fontId="16" fillId="7" borderId="27" xfId="6" applyFill="1" applyBorder="1" applyAlignment="1">
      <alignment horizontal="center" vertical="center" shrinkToFit="1"/>
    </xf>
    <xf numFmtId="182" fontId="16" fillId="7" borderId="61" xfId="6" applyNumberFormat="1" applyFill="1" applyBorder="1" applyAlignment="1">
      <alignment horizontal="left" vertical="center" shrinkToFit="1"/>
    </xf>
    <xf numFmtId="182" fontId="16" fillId="7" borderId="62" xfId="6" applyNumberFormat="1" applyFill="1" applyBorder="1" applyAlignment="1">
      <alignment horizontal="left" vertical="center" shrinkToFit="1"/>
    </xf>
    <xf numFmtId="182" fontId="16" fillId="7" borderId="63" xfId="6" applyNumberFormat="1" applyFill="1" applyBorder="1" applyAlignment="1">
      <alignment horizontal="left" vertical="center" shrinkToFit="1"/>
    </xf>
    <xf numFmtId="0" fontId="16" fillId="7" borderId="55" xfId="6" applyFill="1" applyBorder="1" applyAlignment="1">
      <alignment horizontal="center" vertical="center" shrinkToFit="1"/>
    </xf>
    <xf numFmtId="0" fontId="16" fillId="7" borderId="54" xfId="6" applyFill="1" applyBorder="1" applyAlignment="1">
      <alignment horizontal="center" vertical="center" shrinkToFit="1"/>
    </xf>
    <xf numFmtId="182" fontId="16" fillId="7" borderId="52" xfId="6" applyNumberFormat="1" applyFill="1" applyBorder="1" applyAlignment="1">
      <alignment horizontal="left" vertical="center" shrinkToFit="1"/>
    </xf>
    <xf numFmtId="182" fontId="16" fillId="7" borderId="53" xfId="6" applyNumberFormat="1" applyFill="1" applyBorder="1" applyAlignment="1">
      <alignment horizontal="left" vertical="center" shrinkToFit="1"/>
    </xf>
    <xf numFmtId="182" fontId="16" fillId="7" borderId="60" xfId="6" applyNumberFormat="1" applyFill="1" applyBorder="1" applyAlignment="1">
      <alignment horizontal="left" vertical="center" shrinkToFit="1"/>
    </xf>
    <xf numFmtId="0" fontId="24" fillId="0" borderId="58" xfId="6" applyBorder="1" applyAlignment="1">
      <alignment horizontal="center" vertical="center" shrinkToFit="1"/>
    </xf>
    <xf numFmtId="0" fontId="24" fillId="0" borderId="36" xfId="6" applyBorder="1" applyAlignment="1">
      <alignment horizontal="center" vertical="center" shrinkToFit="1"/>
    </xf>
    <xf numFmtId="0" fontId="24" fillId="0" borderId="35" xfId="6" applyBorder="1" applyAlignment="1">
      <alignment horizontal="center" vertical="center" shrinkToFit="1"/>
    </xf>
    <xf numFmtId="0" fontId="13" fillId="0" borderId="58" xfId="8" applyFill="1" applyBorder="1" applyAlignment="1">
      <alignment horizontal="center" vertical="center" shrinkToFit="1"/>
    </xf>
    <xf numFmtId="0" fontId="13" fillId="0" borderId="59" xfId="8" applyFill="1" applyBorder="1" applyAlignment="1">
      <alignment horizontal="center" vertical="center" shrinkToFit="1"/>
    </xf>
    <xf numFmtId="0" fontId="13" fillId="5" borderId="28" xfId="8" applyFill="1" applyBorder="1" applyAlignment="1">
      <alignment horizontal="left" vertical="center" shrinkToFit="1"/>
    </xf>
    <xf numFmtId="0" fontId="13" fillId="5" borderId="27" xfId="8" applyFill="1" applyBorder="1" applyAlignment="1">
      <alignment horizontal="left" vertical="center" shrinkToFit="1"/>
    </xf>
    <xf numFmtId="0" fontId="2" fillId="0" borderId="0" xfId="6" applyBorder="1" applyAlignment="1">
      <alignment horizontal="center" vertical="center" wrapText="1" shrinkToFit="1"/>
    </xf>
    <xf numFmtId="0" fontId="2" fillId="0" borderId="0" xfId="6" applyBorder="1" applyAlignment="1">
      <alignment horizontal="center" vertical="center" shrinkToFit="1"/>
    </xf>
    <xf numFmtId="0" fontId="2" fillId="0" borderId="6" xfId="6" applyBorder="1" applyAlignment="1">
      <alignment horizontal="center" vertical="center" shrinkToFit="1"/>
    </xf>
    <xf numFmtId="0" fontId="2" fillId="0" borderId="0" xfId="6" applyBorder="1" applyAlignment="1">
      <alignment horizontal="left" vertical="center" wrapText="1" shrinkToFit="1"/>
    </xf>
    <xf numFmtId="0" fontId="2" fillId="0" borderId="86" xfId="6" applyBorder="1" applyAlignment="1">
      <alignment horizontal="center" vertical="center" wrapText="1" shrinkToFit="1"/>
    </xf>
    <xf numFmtId="0" fontId="2" fillId="0" borderId="87" xfId="6" applyBorder="1" applyAlignment="1">
      <alignment horizontal="center" vertical="center" shrinkToFit="1"/>
    </xf>
    <xf numFmtId="0" fontId="2" fillId="0" borderId="87" xfId="6" applyBorder="1" applyAlignment="1">
      <alignment horizontal="left" vertical="center" wrapText="1" shrinkToFit="1"/>
    </xf>
    <xf numFmtId="0" fontId="2" fillId="0" borderId="88" xfId="6" applyBorder="1" applyAlignment="1">
      <alignment vertical="center" shrinkToFit="1"/>
    </xf>
  </cellXfs>
  <cellStyles count="3167">
    <cellStyle name="20% - 강조색1" xfId="3143" builtinId="30"/>
    <cellStyle name="20% - 강조색2" xfId="3147" builtinId="34"/>
    <cellStyle name="20% - 강조색3" xfId="3151" builtinId="38"/>
    <cellStyle name="20% - 강조색4" xfId="3155" builtinId="42"/>
    <cellStyle name="20% - 강조색5" xfId="3159" builtinId="46"/>
    <cellStyle name="20% - 강조색6" xfId="3163" builtinId="50"/>
    <cellStyle name="40% - 강조색1" xfId="3144" builtinId="31"/>
    <cellStyle name="40% - 강조색2" xfId="3148" builtinId="35"/>
    <cellStyle name="40% - 강조색3" xfId="3152" builtinId="39"/>
    <cellStyle name="40% - 강조색4" xfId="3156" builtinId="43"/>
    <cellStyle name="40% - 강조색5" xfId="3160" builtinId="47"/>
    <cellStyle name="40% - 강조색6" xfId="3164" builtinId="51"/>
    <cellStyle name="60% - 강조색1" xfId="3145" builtinId="32"/>
    <cellStyle name="60% - 강조색2" xfId="3149" builtinId="36"/>
    <cellStyle name="60% - 강조색3" xfId="3153" builtinId="40"/>
    <cellStyle name="60% - 강조색4" xfId="3157" builtinId="44"/>
    <cellStyle name="60% - 강조색5" xfId="3161" builtinId="48"/>
    <cellStyle name="60% - 강조색6" xfId="3165" builtinId="52"/>
    <cellStyle name="강조색1" xfId="3142" builtinId="29"/>
    <cellStyle name="강조색2" xfId="3146" builtinId="33"/>
    <cellStyle name="강조색3" xfId="3150" builtinId="37"/>
    <cellStyle name="강조색4" xfId="3154" builtinId="41"/>
    <cellStyle name="강조색5" xfId="3158" builtinId="45"/>
    <cellStyle name="강조색6" xfId="3162" builtinId="49"/>
    <cellStyle name="경고문" xfId="3127" builtinId="11"/>
    <cellStyle name="계산" xfId="3135" builtinId="22"/>
    <cellStyle name="나쁨" xfId="3140" builtinId="27"/>
    <cellStyle name="메모" xfId="3126" builtinId="10"/>
    <cellStyle name="백분율" xfId="3123" builtinId="5"/>
    <cellStyle name="보통" xfId="3141" builtinId="28"/>
    <cellStyle name="설명텍스트" xfId="3166" builtinId="53"/>
    <cellStyle name="셀 확인" xfId="3136" builtinId="23"/>
    <cellStyle name="쉼표" xfId="3121" builtinId="3"/>
    <cellStyle name="쉼표[0]" xfId="3124" builtinId="6"/>
    <cellStyle name="연결된 셀" xfId="3137" builtinId="24"/>
    <cellStyle name="열어 본 하이퍼링크" xfId="3120" builtinId="9" hidden="1"/>
    <cellStyle name="요약" xfId="3138" builtinId="25"/>
    <cellStyle name="입력" xfId="3133" builtinId="20"/>
    <cellStyle name="제목" xfId="3128" builtinId="15"/>
    <cellStyle name="제목1" xfId="3129" builtinId="16"/>
    <cellStyle name="제목2" xfId="3130" builtinId="17"/>
    <cellStyle name="제목3" xfId="3131" builtinId="18"/>
    <cellStyle name="제목4" xfId="3132" builtinId="19"/>
    <cellStyle name="좋음" xfId="3139" builtinId="26"/>
    <cellStyle name="출력" xfId="3134" builtinId="21"/>
    <cellStyle name="통화" xfId="3122" builtinId="4"/>
    <cellStyle name="통화[0]" xfId="3125" builtinId="7"/>
    <cellStyle name="표준" xfId="0" builtinId="0"/>
    <cellStyle name="하이퍼링크" xfId="3119" builtinId="8" hidden="1"/>
    <cellStyle name=" " xfId="10"/>
    <cellStyle name=" _97연말" xfId="12"/>
    <cellStyle name=" _97연말1" xfId="13"/>
    <cellStyle name=" _Book1" xfId="14"/>
    <cellStyle name="&quot;" xfId="15"/>
    <cellStyle name="#,##0" xfId="16"/>
    <cellStyle name="' '" xfId="11"/>
    <cellStyle name="(##.00)" xfId="17"/>
    <cellStyle name="(△콤마)" xfId="18"/>
    <cellStyle name="(백분율)" xfId="19"/>
    <cellStyle name="(콤마)" xfId="20"/>
    <cellStyle name="+,-,0" xfId="1105"/>
    <cellStyle name="0" xfId="1113"/>
    <cellStyle name="0.0" xfId="1114"/>
    <cellStyle name="0.00" xfId="1115"/>
    <cellStyle name="00" xfId="1116"/>
    <cellStyle name="1" xfId="1117"/>
    <cellStyle name="11" xfId="2604"/>
    <cellStyle name="111" xfId="2605"/>
    <cellStyle name="1_00-수량산출서" xfId="1118"/>
    <cellStyle name="1_00-예산서양식100" xfId="1119"/>
    <cellStyle name="1_01-내역서(071118)" xfId="1120"/>
    <cellStyle name="1_22bl3lot수량산출" xfId="1121"/>
    <cellStyle name="1_22수량산출서(총괄)" xfId="1122"/>
    <cellStyle name="1_laroux" xfId="1123"/>
    <cellStyle name="1_laroux_ATC-YOON1" xfId="1124"/>
    <cellStyle name="1_total" xfId="1125"/>
    <cellStyle name="1_total_00-설계서,원가계산,내역서" xfId="1126"/>
    <cellStyle name="1_total_00-수량산출서" xfId="1127"/>
    <cellStyle name="1_total_00-수량산출서_00-설계서,원가계산,내역서" xfId="1128"/>
    <cellStyle name="1_total_01-내역서(071118)" xfId="1129"/>
    <cellStyle name="1_total_01-내역서(071118)_00-설계서,원가계산,내역서" xfId="1130"/>
    <cellStyle name="1_total_구로리총괄내역" xfId="1131"/>
    <cellStyle name="1_total_구로리총괄내역_00-설계서,원가계산,내역서" xfId="1132"/>
    <cellStyle name="1_total_구로리총괄내역_구로리설계예산서1029" xfId="1133"/>
    <cellStyle name="1_total_구로리총괄내역_구로리설계예산서1029_00-설계서,원가계산,내역서" xfId="1134"/>
    <cellStyle name="1_total_구로리총괄내역_구로리설계예산서1029_설계서-1" xfId="1135"/>
    <cellStyle name="1_total_구로리총괄내역_구로리설계예산서1029_설계서-1_00-설계서,원가계산,내역서" xfId="1136"/>
    <cellStyle name="1_total_구로리총괄내역_구로리설계예산서1029_진해자은수량산출서(단지내)" xfId="1137"/>
    <cellStyle name="1_total_구로리총괄내역_구로리설계예산서1029_진해자은수량산출서(단지내)_00-설계서,원가계산,내역서" xfId="1138"/>
    <cellStyle name="1_total_구로리총괄내역_구로리설계예산서1029_진해자은수량산출서(단지내)_기초산출표-56-128-최종" xfId="1139"/>
    <cellStyle name="1_total_구로리총괄내역_구로리설계예산서1029_진해자은수량산출서(단지내)_기초산출표-56-128-최종_00-설계서,원가계산,내역서" xfId="1140"/>
    <cellStyle name="1_total_구로리총괄내역_구로리설계예산서1029_진해자은수량산출서(단지내)_기초산출표-56-128-최종_설계서-1" xfId="1141"/>
    <cellStyle name="1_total_구로리총괄내역_구로리설계예산서1029_진해자은수량산출서(단지내)_기초산출표-56-128-최종_설계서-1_00-설계서,원가계산,내역서" xfId="1142"/>
    <cellStyle name="1_total_구로리총괄내역_구로리설계예산서1029_진해자은수량산출서(단지내)_설계서-1" xfId="1143"/>
    <cellStyle name="1_total_구로리총괄내역_구로리설계예산서1029_진해자은수량산출서(단지내)_설계서-1_00-설계서,원가계산,내역서" xfId="1144"/>
    <cellStyle name="1_total_구로리총괄내역_구로리설계예산서1029_진해자은수량산출서(단지내)_취합" xfId="1145"/>
    <cellStyle name="1_total_구로리총괄내역_구로리설계예산서1029_진해자은수량산출서(단지내)_취합_00-설계서,원가계산,내역서" xfId="1146"/>
    <cellStyle name="1_total_구로리총괄내역_구로리설계예산서1029_진해자은수량산출서(단지내)_취합_설계서-1" xfId="1147"/>
    <cellStyle name="1_total_구로리총괄내역_구로리설계예산서1029_진해자은수량산출서(단지내)_취합_설계서-1_00-설계서,원가계산,내역서" xfId="1148"/>
    <cellStyle name="1_total_구로리총괄내역_구로리설계예산서1118준공" xfId="1149"/>
    <cellStyle name="1_total_구로리총괄내역_구로리설계예산서1118준공_00-설계서,원가계산,내역서" xfId="1150"/>
    <cellStyle name="1_total_구로리총괄내역_구로리설계예산서1118준공_설계서-1" xfId="1151"/>
    <cellStyle name="1_total_구로리총괄내역_구로리설계예산서1118준공_설계서-1_00-설계서,원가계산,내역서" xfId="1152"/>
    <cellStyle name="1_total_구로리총괄내역_구로리설계예산서1118준공_진해자은수량산출서(단지내)" xfId="1153"/>
    <cellStyle name="1_total_구로리총괄내역_구로리설계예산서1118준공_진해자은수량산출서(단지내)_00-설계서,원가계산,내역서" xfId="1154"/>
    <cellStyle name="1_total_구로리총괄내역_구로리설계예산서1118준공_진해자은수량산출서(단지내)_기초산출표-56-128-최종" xfId="1155"/>
    <cellStyle name="1_total_구로리총괄내역_구로리설계예산서1118준공_진해자은수량산출서(단지내)_기초산출표-56-128-최종_00-설계서,원가계산,내역서" xfId="1156"/>
    <cellStyle name="1_total_구로리총괄내역_구로리설계예산서1118준공_진해자은수량산출서(단지내)_기초산출표-56-128-최종_설계서-1" xfId="1157"/>
    <cellStyle name="1_total_구로리총괄내역_구로리설계예산서1118준공_진해자은수량산출서(단지내)_기초산출표-56-128-최종_설계서-1_00-설계서,원가계산,내역서" xfId="1158"/>
    <cellStyle name="1_total_구로리총괄내역_구로리설계예산서1118준공_진해자은수량산출서(단지내)_설계서-1" xfId="1159"/>
    <cellStyle name="1_total_구로리총괄내역_구로리설계예산서1118준공_진해자은수량산출서(단지내)_설계서-1_00-설계서,원가계산,내역서" xfId="1160"/>
    <cellStyle name="1_total_구로리총괄내역_구로리설계예산서1118준공_진해자은수량산출서(단지내)_취합" xfId="1161"/>
    <cellStyle name="1_total_구로리총괄내역_구로리설계예산서1118준공_진해자은수량산출서(단지내)_취합_00-설계서,원가계산,내역서" xfId="1162"/>
    <cellStyle name="1_total_구로리총괄내역_구로리설계예산서1118준공_진해자은수량산출서(단지내)_취합_설계서-1" xfId="1163"/>
    <cellStyle name="1_total_구로리총괄내역_구로리설계예산서1118준공_진해자은수량산출서(단지내)_취합_설계서-1_00-설계서,원가계산,내역서" xfId="1164"/>
    <cellStyle name="1_total_구로리총괄내역_구로리설계예산서조경" xfId="1165"/>
    <cellStyle name="1_total_구로리총괄내역_구로리설계예산서조경_00-설계서,원가계산,내역서" xfId="1166"/>
    <cellStyle name="1_total_구로리총괄내역_구로리설계예산서조경_설계서-1" xfId="1167"/>
    <cellStyle name="1_total_구로리총괄내역_구로리설계예산서조경_설계서-1_00-설계서,원가계산,내역서" xfId="1168"/>
    <cellStyle name="1_total_구로리총괄내역_구로리설계예산서조경_진해자은수량산출서(단지내)" xfId="1169"/>
    <cellStyle name="1_total_구로리총괄내역_구로리설계예산서조경_진해자은수량산출서(단지내)_00-설계서,원가계산,내역서" xfId="1170"/>
    <cellStyle name="1_total_구로리총괄내역_구로리설계예산서조경_진해자은수량산출서(단지내)_기초산출표-56-128-최종" xfId="1171"/>
    <cellStyle name="1_total_구로리총괄내역_구로리설계예산서조경_진해자은수량산출서(단지내)_기초산출표-56-128-최종_00-설계서,원가계산,내역서" xfId="1172"/>
    <cellStyle name="1_total_구로리총괄내역_구로리설계예산서조경_진해자은수량산출서(단지내)_기초산출표-56-128-최종_설계서-1" xfId="1173"/>
    <cellStyle name="1_total_구로리총괄내역_구로리설계예산서조경_진해자은수량산출서(단지내)_기초산출표-56-128-최종_설계서-1_00-설계서,원가계산,내역서" xfId="1174"/>
    <cellStyle name="1_total_구로리총괄내역_구로리설계예산서조경_진해자은수량산출서(단지내)_설계서-1" xfId="1175"/>
    <cellStyle name="1_total_구로리총괄내역_구로리설계예산서조경_진해자은수량산출서(단지내)_설계서-1_00-설계서,원가계산,내역서" xfId="1176"/>
    <cellStyle name="1_total_구로리총괄내역_구로리설계예산서조경_진해자은수량산출서(단지내)_취합" xfId="1177"/>
    <cellStyle name="1_total_구로리총괄내역_구로리설계예산서조경_진해자은수량산출서(단지내)_취합_00-설계서,원가계산,내역서" xfId="1178"/>
    <cellStyle name="1_total_구로리총괄내역_구로리설계예산서조경_진해자은수량산출서(단지내)_취합_설계서-1" xfId="1179"/>
    <cellStyle name="1_total_구로리총괄내역_구로리설계예산서조경_진해자은수량산출서(단지내)_취합_설계서-1_00-설계서,원가계산,내역서" xfId="1180"/>
    <cellStyle name="1_total_구로리총괄내역_구로리어린이공원예산서(조경)1125" xfId="1181"/>
    <cellStyle name="1_total_구로리총괄내역_구로리어린이공원예산서(조경)1125_00-설계서,원가계산,내역서" xfId="1182"/>
    <cellStyle name="1_total_구로리총괄내역_구로리어린이공원예산서(조경)1125_설계서-1" xfId="1183"/>
    <cellStyle name="1_total_구로리총괄내역_구로리어린이공원예산서(조경)1125_설계서-1_00-설계서,원가계산,내역서" xfId="1184"/>
    <cellStyle name="1_total_구로리총괄내역_구로리어린이공원예산서(조경)1125_진해자은수량산출서(단지내)" xfId="1185"/>
    <cellStyle name="1_total_구로리총괄내역_구로리어린이공원예산서(조경)1125_진해자은수량산출서(단지내)_00-설계서,원가계산,내역서" xfId="1186"/>
    <cellStyle name="1_total_구로리총괄내역_구로리어린이공원예산서(조경)1125_진해자은수량산출서(단지내)_기초산출표-56-128-최종" xfId="1187"/>
    <cellStyle name="1_total_구로리총괄내역_구로리어린이공원예산서(조경)1125_진해자은수량산출서(단지내)_기초산출표-56-128-최종_00-설계서,원가계산,내역서" xfId="1188"/>
    <cellStyle name="1_total_구로리총괄내역_구로리어린이공원예산서(조경)1125_진해자은수량산출서(단지내)_기초산출표-56-128-최종_설계서-1" xfId="1189"/>
    <cellStyle name="1_total_구로리총괄내역_구로리어린이공원예산서(조경)1125_진해자은수량산출서(단지내)_기초산출표-56-128-최종_설계서-1_00-설계서,원가계산,내역서" xfId="1190"/>
    <cellStyle name="1_total_구로리총괄내역_구로리어린이공원예산서(조경)1125_진해자은수량산출서(단지내)_설계서-1" xfId="1191"/>
    <cellStyle name="1_total_구로리총괄내역_구로리어린이공원예산서(조경)1125_진해자은수량산출서(단지내)_설계서-1_00-설계서,원가계산,내역서" xfId="1192"/>
    <cellStyle name="1_total_구로리총괄내역_구로리어린이공원예산서(조경)1125_진해자은수량산출서(단지내)_취합" xfId="1193"/>
    <cellStyle name="1_total_구로리총괄내역_구로리어린이공원예산서(조경)1125_진해자은수량산출서(단지내)_취합_00-설계서,원가계산,내역서" xfId="1194"/>
    <cellStyle name="1_total_구로리총괄내역_구로리어린이공원예산서(조경)1125_진해자은수량산출서(단지내)_취합_설계서-1" xfId="1195"/>
    <cellStyle name="1_total_구로리총괄내역_구로리어린이공원예산서(조경)1125_진해자은수량산출서(단지내)_취합_설계서-1_00-설계서,원가계산,내역서" xfId="1196"/>
    <cellStyle name="1_total_구로리총괄내역_내역서" xfId="1197"/>
    <cellStyle name="1_total_구로리총괄내역_내역서_00-설계서,원가계산,내역서" xfId="1198"/>
    <cellStyle name="1_total_구로리총괄내역_내역서_설계서-1" xfId="1199"/>
    <cellStyle name="1_total_구로리총괄내역_내역서_설계서-1_00-설계서,원가계산,내역서" xfId="1200"/>
    <cellStyle name="1_total_구로리총괄내역_내역서_진해자은수량산출서(단지내)" xfId="1201"/>
    <cellStyle name="1_total_구로리총괄내역_내역서_진해자은수량산출서(단지내)_00-설계서,원가계산,내역서" xfId="1202"/>
    <cellStyle name="1_total_구로리총괄내역_내역서_진해자은수량산출서(단지내)_기초산출표-56-128-최종" xfId="1203"/>
    <cellStyle name="1_total_구로리총괄내역_내역서_진해자은수량산출서(단지내)_기초산출표-56-128-최종_00-설계서,원가계산,내역서" xfId="1204"/>
    <cellStyle name="1_total_구로리총괄내역_내역서_진해자은수량산출서(단지내)_기초산출표-56-128-최종_설계서-1" xfId="1205"/>
    <cellStyle name="1_total_구로리총괄내역_내역서_진해자은수량산출서(단지내)_기초산출표-56-128-최종_설계서-1_00-설계서,원가계산,내역서" xfId="1206"/>
    <cellStyle name="1_total_구로리총괄내역_내역서_진해자은수량산출서(단지내)_설계서-1" xfId="1207"/>
    <cellStyle name="1_total_구로리총괄내역_내역서_진해자은수량산출서(단지내)_설계서-1_00-설계서,원가계산,내역서" xfId="1208"/>
    <cellStyle name="1_total_구로리총괄내역_내역서_진해자은수량산출서(단지내)_취합" xfId="1209"/>
    <cellStyle name="1_total_구로리총괄내역_내역서_진해자은수량산출서(단지내)_취합_00-설계서,원가계산,내역서" xfId="1210"/>
    <cellStyle name="1_total_구로리총괄내역_내역서_진해자은수량산출서(단지내)_취합_설계서-1" xfId="1211"/>
    <cellStyle name="1_total_구로리총괄내역_내역서_진해자은수량산출서(단지내)_취합_설계서-1_00-설계서,원가계산,내역서" xfId="1212"/>
    <cellStyle name="1_total_구로리총괄내역_노임단가표" xfId="1213"/>
    <cellStyle name="1_total_구로리총괄내역_노임단가표_00-설계서,원가계산,내역서" xfId="1214"/>
    <cellStyle name="1_total_구로리총괄내역_노임단가표_설계서-1" xfId="1215"/>
    <cellStyle name="1_total_구로리총괄내역_노임단가표_설계서-1_00-설계서,원가계산,내역서" xfId="1216"/>
    <cellStyle name="1_total_구로리총괄내역_노임단가표_진해자은수량산출서(단지내)" xfId="1217"/>
    <cellStyle name="1_total_구로리총괄내역_노임단가표_진해자은수량산출서(단지내)_00-설계서,원가계산,내역서" xfId="1218"/>
    <cellStyle name="1_total_구로리총괄내역_노임단가표_진해자은수량산출서(단지내)_기초산출표-56-128-최종" xfId="1219"/>
    <cellStyle name="1_total_구로리총괄내역_노임단가표_진해자은수량산출서(단지내)_기초산출표-56-128-최종_00-설계서,원가계산,내역서" xfId="1220"/>
    <cellStyle name="1_total_구로리총괄내역_노임단가표_진해자은수량산출서(단지내)_기초산출표-56-128-최종_설계서-1" xfId="1221"/>
    <cellStyle name="1_total_구로리총괄내역_노임단가표_진해자은수량산출서(단지내)_기초산출표-56-128-최종_설계서-1_00-설계서,원가계산,내역서" xfId="1222"/>
    <cellStyle name="1_total_구로리총괄내역_노임단가표_진해자은수량산출서(단지내)_설계서-1" xfId="1223"/>
    <cellStyle name="1_total_구로리총괄내역_노임단가표_진해자은수량산출서(단지내)_설계서-1_00-설계서,원가계산,내역서" xfId="1224"/>
    <cellStyle name="1_total_구로리총괄내역_노임단가표_진해자은수량산출서(단지내)_취합" xfId="1225"/>
    <cellStyle name="1_total_구로리총괄내역_노임단가표_진해자은수량산출서(단지내)_취합_00-설계서,원가계산,내역서" xfId="1226"/>
    <cellStyle name="1_total_구로리총괄내역_노임단가표_진해자은수량산출서(단지내)_취합_설계서-1" xfId="1227"/>
    <cellStyle name="1_total_구로리총괄내역_노임단가표_진해자은수량산출서(단지내)_취합_설계서-1_00-설계서,원가계산,내역서" xfId="1228"/>
    <cellStyle name="1_total_구로리총괄내역_설계서-1" xfId="1229"/>
    <cellStyle name="1_total_구로리총괄내역_설계서-1_00-설계서,원가계산,내역서" xfId="1230"/>
    <cellStyle name="1_total_구로리총괄내역_수도권매립지" xfId="1231"/>
    <cellStyle name="1_total_구로리총괄내역_수도권매립지1004(발주용)" xfId="1247"/>
    <cellStyle name="1_total_구로리총괄내역_수도권매립지1004(발주용)_00-설계서,원가계산,내역서" xfId="1248"/>
    <cellStyle name="1_total_구로리총괄내역_수도권매립지1004(발주용)_설계서-1" xfId="1249"/>
    <cellStyle name="1_total_구로리총괄내역_수도권매립지1004(발주용)_설계서-1_00-설계서,원가계산,내역서" xfId="1250"/>
    <cellStyle name="1_total_구로리총괄내역_수도권매립지1004(발주용)_진해자은수량산출서(단지내)" xfId="1251"/>
    <cellStyle name="1_total_구로리총괄내역_수도권매립지1004(발주용)_진해자은수량산출서(단지내)_00-설계서,원가계산,내역서" xfId="1252"/>
    <cellStyle name="1_total_구로리총괄내역_수도권매립지1004(발주용)_진해자은수량산출서(단지내)_기초산출표-56-128-최종" xfId="1253"/>
    <cellStyle name="1_total_구로리총괄내역_수도권매립지1004(발주용)_진해자은수량산출서(단지내)_기초산출표-56-128-최종_00-설계서,원가계산,내역서" xfId="1254"/>
    <cellStyle name="1_total_구로리총괄내역_수도권매립지1004(발주용)_진해자은수량산출서(단지내)_기초산출표-56-128-최종_설계서-1" xfId="1255"/>
    <cellStyle name="1_total_구로리총괄내역_수도권매립지1004(발주용)_진해자은수량산출서(단지내)_기초산출표-56-128-최종_설계서-1_00-설계서,원가계산,내역서" xfId="1256"/>
    <cellStyle name="1_total_구로리총괄내역_수도권매립지1004(발주용)_진해자은수량산출서(단지내)_설계서-1" xfId="1257"/>
    <cellStyle name="1_total_구로리총괄내역_수도권매립지1004(발주용)_진해자은수량산출서(단지내)_설계서-1_00-설계서,원가계산,내역서" xfId="1258"/>
    <cellStyle name="1_total_구로리총괄내역_수도권매립지1004(발주용)_진해자은수량산출서(단지내)_취합" xfId="1259"/>
    <cellStyle name="1_total_구로리총괄내역_수도권매립지1004(발주용)_진해자은수량산출서(단지내)_취합_00-설계서,원가계산,내역서" xfId="1260"/>
    <cellStyle name="1_total_구로리총괄내역_수도권매립지1004(발주용)_진해자은수량산출서(단지내)_취합_설계서-1" xfId="1261"/>
    <cellStyle name="1_total_구로리총괄내역_수도권매립지1004(발주용)_진해자은수량산출서(단지내)_취합_설계서-1_00-설계서,원가계산,내역서" xfId="1262"/>
    <cellStyle name="1_total_구로리총괄내역_수도권매립지_00-설계서,원가계산,내역서" xfId="1232"/>
    <cellStyle name="1_total_구로리총괄내역_수도권매립지_설계서-1" xfId="1233"/>
    <cellStyle name="1_total_구로리총괄내역_수도권매립지_설계서-1_00-설계서,원가계산,내역서" xfId="1234"/>
    <cellStyle name="1_total_구로리총괄내역_수도권매립지_진해자은수량산출서(단지내)" xfId="1235"/>
    <cellStyle name="1_total_구로리총괄내역_수도권매립지_진해자은수량산출서(단지내)_00-설계서,원가계산,내역서" xfId="1236"/>
    <cellStyle name="1_total_구로리총괄내역_수도권매립지_진해자은수량산출서(단지내)_기초산출표-56-128-최종" xfId="1237"/>
    <cellStyle name="1_total_구로리총괄내역_수도권매립지_진해자은수량산출서(단지내)_기초산출표-56-128-최종_00-설계서,원가계산,내역서" xfId="1238"/>
    <cellStyle name="1_total_구로리총괄내역_수도권매립지_진해자은수량산출서(단지내)_기초산출표-56-128-최종_설계서-1" xfId="1239"/>
    <cellStyle name="1_total_구로리총괄내역_수도권매립지_진해자은수량산출서(단지내)_기초산출표-56-128-최종_설계서-1_00-설계서,원가계산,내역서" xfId="1240"/>
    <cellStyle name="1_total_구로리총괄내역_수도권매립지_진해자은수량산출서(단지내)_설계서-1" xfId="1241"/>
    <cellStyle name="1_total_구로리총괄내역_수도권매립지_진해자은수량산출서(단지내)_설계서-1_00-설계서,원가계산,내역서" xfId="1242"/>
    <cellStyle name="1_total_구로리총괄내역_수도권매립지_진해자은수량산출서(단지내)_취합" xfId="1243"/>
    <cellStyle name="1_total_구로리총괄내역_수도권매립지_진해자은수량산출서(단지내)_취합_00-설계서,원가계산,내역서" xfId="1244"/>
    <cellStyle name="1_total_구로리총괄내역_수도권매립지_진해자은수량산출서(단지내)_취합_설계서-1" xfId="1245"/>
    <cellStyle name="1_total_구로리총괄내역_수도권매립지_진해자은수량산출서(단지내)_취합_설계서-1_00-설계서,원가계산,내역서" xfId="1246"/>
    <cellStyle name="1_total_구로리총괄내역_일신건영설계예산서(0211)" xfId="1263"/>
    <cellStyle name="1_total_구로리총괄내역_일신건영설계예산서(0211)_00-설계서,원가계산,내역서" xfId="1264"/>
    <cellStyle name="1_total_구로리총괄내역_일신건영설계예산서(0211)_설계서-1" xfId="1265"/>
    <cellStyle name="1_total_구로리총괄내역_일신건영설계예산서(0211)_설계서-1_00-설계서,원가계산,내역서" xfId="1266"/>
    <cellStyle name="1_total_구로리총괄내역_일신건영설계예산서(0211)_진해자은수량산출서(단지내)" xfId="1267"/>
    <cellStyle name="1_total_구로리총괄내역_일신건영설계예산서(0211)_진해자은수량산출서(단지내)_00-설계서,원가계산,내역서" xfId="1268"/>
    <cellStyle name="1_total_구로리총괄내역_일신건영설계예산서(0211)_진해자은수량산출서(단지내)_기초산출표-56-128-최종" xfId="1269"/>
    <cellStyle name="1_total_구로리총괄내역_일신건영설계예산서(0211)_진해자은수량산출서(단지내)_기초산출표-56-128-최종_00-설계서,원가계산,내역서" xfId="1270"/>
    <cellStyle name="1_total_구로리총괄내역_일신건영설계예산서(0211)_진해자은수량산출서(단지내)_기초산출표-56-128-최종_설계서-1" xfId="1271"/>
    <cellStyle name="1_total_구로리총괄내역_일신건영설계예산서(0211)_진해자은수량산출서(단지내)_기초산출표-56-128-최종_설계서-1_00-설계서,원가계산,내역서" xfId="1272"/>
    <cellStyle name="1_total_구로리총괄내역_일신건영설계예산서(0211)_진해자은수량산출서(단지내)_설계서-1" xfId="1273"/>
    <cellStyle name="1_total_구로리총괄내역_일신건영설계예산서(0211)_진해자은수량산출서(단지내)_설계서-1_00-설계서,원가계산,내역서" xfId="1274"/>
    <cellStyle name="1_total_구로리총괄내역_일신건영설계예산서(0211)_진해자은수량산출서(단지내)_취합" xfId="1275"/>
    <cellStyle name="1_total_구로리총괄내역_일신건영설계예산서(0211)_진해자은수량산출서(단지내)_취합_00-설계서,원가계산,내역서" xfId="1276"/>
    <cellStyle name="1_total_구로리총괄내역_일신건영설계예산서(0211)_진해자은수량산출서(단지내)_취합_설계서-1" xfId="1277"/>
    <cellStyle name="1_total_구로리총괄내역_일신건영설계예산서(0211)_진해자은수량산출서(단지내)_취합_설계서-1_00-설계서,원가계산,내역서" xfId="1278"/>
    <cellStyle name="1_total_구로리총괄내역_일위대가" xfId="1279"/>
    <cellStyle name="1_total_구로리총괄내역_일위대가_00-설계서,원가계산,내역서" xfId="1280"/>
    <cellStyle name="1_total_구로리총괄내역_일위대가_설계서-1" xfId="1281"/>
    <cellStyle name="1_total_구로리총괄내역_일위대가_설계서-1_00-설계서,원가계산,내역서" xfId="1282"/>
    <cellStyle name="1_total_구로리총괄내역_일위대가_진해자은수량산출서(단지내)" xfId="1283"/>
    <cellStyle name="1_total_구로리총괄내역_일위대가_진해자은수량산출서(단지내)_00-설계서,원가계산,내역서" xfId="1284"/>
    <cellStyle name="1_total_구로리총괄내역_일위대가_진해자은수량산출서(단지내)_기초산출표-56-128-최종" xfId="1285"/>
    <cellStyle name="1_total_구로리총괄내역_일위대가_진해자은수량산출서(단지내)_기초산출표-56-128-최종_00-설계서,원가계산,내역서" xfId="1286"/>
    <cellStyle name="1_total_구로리총괄내역_일위대가_진해자은수량산출서(단지내)_기초산출표-56-128-최종_설계서-1" xfId="1287"/>
    <cellStyle name="1_total_구로리총괄내역_일위대가_진해자은수량산출서(단지내)_기초산출표-56-128-최종_설계서-1_00-설계서,원가계산,내역서" xfId="1288"/>
    <cellStyle name="1_total_구로리총괄내역_일위대가_진해자은수량산출서(단지내)_설계서-1" xfId="1289"/>
    <cellStyle name="1_total_구로리총괄내역_일위대가_진해자은수량산출서(단지내)_설계서-1_00-설계서,원가계산,내역서" xfId="1290"/>
    <cellStyle name="1_total_구로리총괄내역_일위대가_진해자은수량산출서(단지내)_취합" xfId="1291"/>
    <cellStyle name="1_total_구로리총괄내역_일위대가_진해자은수량산출서(단지내)_취합_00-설계서,원가계산,내역서" xfId="1292"/>
    <cellStyle name="1_total_구로리총괄내역_일위대가_진해자은수량산출서(단지내)_취합_설계서-1" xfId="1293"/>
    <cellStyle name="1_total_구로리총괄내역_일위대가_진해자은수량산출서(단지내)_취합_설계서-1_00-설계서,원가계산,내역서" xfId="1294"/>
    <cellStyle name="1_total_구로리총괄내역_자재단가표" xfId="1295"/>
    <cellStyle name="1_total_구로리총괄내역_자재단가표_00-설계서,원가계산,내역서" xfId="1296"/>
    <cellStyle name="1_total_구로리총괄내역_자재단가표_설계서-1" xfId="1297"/>
    <cellStyle name="1_total_구로리총괄내역_자재단가표_설계서-1_00-설계서,원가계산,내역서" xfId="1298"/>
    <cellStyle name="1_total_구로리총괄내역_자재단가표_진해자은수량산출서(단지내)" xfId="1299"/>
    <cellStyle name="1_total_구로리총괄내역_자재단가표_진해자은수량산출서(단지내)_00-설계서,원가계산,내역서" xfId="1300"/>
    <cellStyle name="1_total_구로리총괄내역_자재단가표_진해자은수량산출서(단지내)_기초산출표-56-128-최종" xfId="1301"/>
    <cellStyle name="1_total_구로리총괄내역_자재단가표_진해자은수량산출서(단지내)_기초산출표-56-128-최종_00-설계서,원가계산,내역서" xfId="1302"/>
    <cellStyle name="1_total_구로리총괄내역_자재단가표_진해자은수량산출서(단지내)_기초산출표-56-128-최종_설계서-1" xfId="1303"/>
    <cellStyle name="1_total_구로리총괄내역_자재단가표_진해자은수량산출서(단지내)_기초산출표-56-128-최종_설계서-1_00-설계서,원가계산,내역서" xfId="1304"/>
    <cellStyle name="1_total_구로리총괄내역_자재단가표_진해자은수량산출서(단지내)_설계서-1" xfId="1305"/>
    <cellStyle name="1_total_구로리총괄내역_자재단가표_진해자은수량산출서(단지내)_설계서-1_00-설계서,원가계산,내역서" xfId="1306"/>
    <cellStyle name="1_total_구로리총괄내역_자재단가표_진해자은수량산출서(단지내)_취합" xfId="1307"/>
    <cellStyle name="1_total_구로리총괄내역_자재단가표_진해자은수량산출서(단지내)_취합_00-설계서,원가계산,내역서" xfId="1308"/>
    <cellStyle name="1_total_구로리총괄내역_자재단가표_진해자은수량산출서(단지내)_취합_설계서-1" xfId="1309"/>
    <cellStyle name="1_total_구로리총괄내역_자재단가표_진해자은수량산출서(단지내)_취합_설계서-1_00-설계서,원가계산,내역서" xfId="1310"/>
    <cellStyle name="1_total_구로리총괄내역_장안초등학교내역0814" xfId="1311"/>
    <cellStyle name="1_total_구로리총괄내역_장안초등학교내역0814_00-설계서,원가계산,내역서" xfId="1312"/>
    <cellStyle name="1_total_구로리총괄내역_장안초등학교내역0814_설계서-1" xfId="1313"/>
    <cellStyle name="1_total_구로리총괄내역_장안초등학교내역0814_설계서-1_00-설계서,원가계산,내역서" xfId="1314"/>
    <cellStyle name="1_total_구로리총괄내역_장안초등학교내역0814_진해자은수량산출서(단지내)" xfId="1315"/>
    <cellStyle name="1_total_구로리총괄내역_장안초등학교내역0814_진해자은수량산출서(단지내)_00-설계서,원가계산,내역서" xfId="1316"/>
    <cellStyle name="1_total_구로리총괄내역_장안초등학교내역0814_진해자은수량산출서(단지내)_기초산출표-56-128-최종" xfId="1317"/>
    <cellStyle name="1_total_구로리총괄내역_장안초등학교내역0814_진해자은수량산출서(단지내)_기초산출표-56-128-최종_00-설계서,원가계산,내역서" xfId="1318"/>
    <cellStyle name="1_total_구로리총괄내역_장안초등학교내역0814_진해자은수량산출서(단지내)_기초산출표-56-128-최종_설계서-1" xfId="1319"/>
    <cellStyle name="1_total_구로리총괄내역_장안초등학교내역0814_진해자은수량산출서(단지내)_기초산출표-56-128-최종_설계서-1_00-설계서,원가계산,내역서" xfId="1320"/>
    <cellStyle name="1_total_구로리총괄내역_장안초등학교내역0814_진해자은수량산출서(단지내)_설계서-1" xfId="1321"/>
    <cellStyle name="1_total_구로리총괄내역_장안초등학교내역0814_진해자은수량산출서(단지내)_설계서-1_00-설계서,원가계산,내역서" xfId="1322"/>
    <cellStyle name="1_total_구로리총괄내역_장안초등학교내역0814_진해자은수량산출서(단지내)_취합" xfId="1323"/>
    <cellStyle name="1_total_구로리총괄내역_장안초등학교내역0814_진해자은수량산출서(단지내)_취합_00-설계서,원가계산,내역서" xfId="1324"/>
    <cellStyle name="1_total_구로리총괄내역_장안초등학교내역0814_진해자은수량산출서(단지내)_취합_설계서-1" xfId="1325"/>
    <cellStyle name="1_total_구로리총괄내역_장안초등학교내역0814_진해자은수량산출서(단지내)_취합_설계서-1_00-설계서,원가계산,내역서" xfId="1326"/>
    <cellStyle name="1_total_구로리총괄내역_진해자은수량산출서(단지내)" xfId="1327"/>
    <cellStyle name="1_total_구로리총괄내역_진해자은수량산출서(단지내)_00-설계서,원가계산,내역서" xfId="1328"/>
    <cellStyle name="1_total_구로리총괄내역_진해자은수량산출서(단지내)_기초산출표-56-128-최종" xfId="1329"/>
    <cellStyle name="1_total_구로리총괄내역_진해자은수량산출서(단지내)_기초산출표-56-128-최종_00-설계서,원가계산,내역서" xfId="1330"/>
    <cellStyle name="1_total_구로리총괄내역_진해자은수량산출서(단지내)_기초산출표-56-128-최종_설계서-1" xfId="1331"/>
    <cellStyle name="1_total_구로리총괄내역_진해자은수량산출서(단지내)_기초산출표-56-128-최종_설계서-1_00-설계서,원가계산,내역서" xfId="1332"/>
    <cellStyle name="1_total_구로리총괄내역_진해자은수량산출서(단지내)_설계서-1" xfId="1333"/>
    <cellStyle name="1_total_구로리총괄내역_진해자은수량산출서(단지내)_설계서-1_00-설계서,원가계산,내역서" xfId="1334"/>
    <cellStyle name="1_total_구로리총괄내역_진해자은수량산출서(단지내)_취합" xfId="1335"/>
    <cellStyle name="1_total_구로리총괄내역_진해자은수량산출서(단지내)_취합_00-설계서,원가계산,내역서" xfId="1336"/>
    <cellStyle name="1_total_구로리총괄내역_진해자은수량산출서(단지내)_취합_설계서-1" xfId="1337"/>
    <cellStyle name="1_total_구로리총괄내역_진해자은수량산출서(단지내)_취합_설계서-1_00-설계서,원가계산,내역서" xfId="1338"/>
    <cellStyle name="1_total_목동내역" xfId="1339"/>
    <cellStyle name="1_total_목동내역_00-설계서,원가계산,내역서" xfId="1340"/>
    <cellStyle name="1_total_목동내역_폐기물집계" xfId="1341"/>
    <cellStyle name="1_total_목동내역_폐기물집계_00-설계서,원가계산,내역서" xfId="1342"/>
    <cellStyle name="1_total_설계서-1" xfId="1343"/>
    <cellStyle name="1_total_설계서-1_00-설계서,원가계산,내역서" xfId="1344"/>
    <cellStyle name="1_total_이문동구간중랑천변녹화사업(수량산출서, 071127)-최종" xfId="1345"/>
    <cellStyle name="1_total_이문동구간중랑천변녹화사업(수량산출서, 071127)-최종_00-설계서,원가계산,내역서" xfId="1346"/>
    <cellStyle name="1_total_진해자은수량산출서(단지내)" xfId="1347"/>
    <cellStyle name="1_total_진해자은수량산출서(단지내)_00-설계서,원가계산,내역서" xfId="1348"/>
    <cellStyle name="1_total_진해자은수량산출서(단지내)_기초산출표-56-128-최종" xfId="1349"/>
    <cellStyle name="1_total_진해자은수량산출서(단지내)_기초산출표-56-128-최종_00-설계서,원가계산,내역서" xfId="1350"/>
    <cellStyle name="1_total_진해자은수량산출서(단지내)_기초산출표-56-128-최종_설계서-1" xfId="1351"/>
    <cellStyle name="1_total_진해자은수량산출서(단지내)_기초산출표-56-128-최종_설계서-1_00-설계서,원가계산,내역서" xfId="1352"/>
    <cellStyle name="1_total_진해자은수량산출서(단지내)_설계서-1" xfId="1353"/>
    <cellStyle name="1_total_진해자은수량산출서(단지내)_설계서-1_00-설계서,원가계산,내역서" xfId="1354"/>
    <cellStyle name="1_total_진해자은수량산출서(단지내)_취합" xfId="1355"/>
    <cellStyle name="1_total_진해자은수량산출서(단지내)_취합_00-설계서,원가계산,내역서" xfId="1356"/>
    <cellStyle name="1_total_진해자은수량산출서(단지내)_취합_설계서-1" xfId="1357"/>
    <cellStyle name="1_total_진해자은수량산출서(단지내)_취합_설계서-1_00-설계서,원가계산,내역서" xfId="1358"/>
    <cellStyle name="1_total_총괄내역0518" xfId="1359"/>
    <cellStyle name="1_total_총괄내역0518_00-설계서,원가계산,내역서" xfId="1360"/>
    <cellStyle name="1_total_총괄내역0518_구로리설계예산서1029" xfId="1361"/>
    <cellStyle name="1_total_총괄내역0518_구로리설계예산서1029_00-설계서,원가계산,내역서" xfId="1362"/>
    <cellStyle name="1_total_총괄내역0518_구로리설계예산서1029_설계서-1" xfId="1363"/>
    <cellStyle name="1_total_총괄내역0518_구로리설계예산서1029_설계서-1_00-설계서,원가계산,내역서" xfId="1364"/>
    <cellStyle name="1_total_총괄내역0518_구로리설계예산서1029_진해자은수량산출서(단지내)" xfId="1365"/>
    <cellStyle name="1_total_총괄내역0518_구로리설계예산서1029_진해자은수량산출서(단지내)_00-설계서,원가계산,내역서" xfId="1366"/>
    <cellStyle name="1_total_총괄내역0518_구로리설계예산서1029_진해자은수량산출서(단지내)_기초산출표-56-128-최종" xfId="1367"/>
    <cellStyle name="1_total_총괄내역0518_구로리설계예산서1029_진해자은수량산출서(단지내)_기초산출표-56-128-최종_00-설계서,원가계산,내역서" xfId="1368"/>
    <cellStyle name="1_total_총괄내역0518_구로리설계예산서1029_진해자은수량산출서(단지내)_기초산출표-56-128-최종_설계서-1" xfId="1369"/>
    <cellStyle name="1_total_총괄내역0518_구로리설계예산서1029_진해자은수량산출서(단지내)_기초산출표-56-128-최종_설계서-1_00-설계서,원가계산,내역서" xfId="1370"/>
    <cellStyle name="1_total_총괄내역0518_구로리설계예산서1029_진해자은수량산출서(단지내)_설계서-1" xfId="1371"/>
    <cellStyle name="1_total_총괄내역0518_구로리설계예산서1029_진해자은수량산출서(단지내)_설계서-1_00-설계서,원가계산,내역서" xfId="1372"/>
    <cellStyle name="1_total_총괄내역0518_구로리설계예산서1029_진해자은수량산출서(단지내)_취합" xfId="1373"/>
    <cellStyle name="1_total_총괄내역0518_구로리설계예산서1029_진해자은수량산출서(단지내)_취합_00-설계서,원가계산,내역서" xfId="1374"/>
    <cellStyle name="1_total_총괄내역0518_구로리설계예산서1029_진해자은수량산출서(단지내)_취합_설계서-1" xfId="1375"/>
    <cellStyle name="1_total_총괄내역0518_구로리설계예산서1029_진해자은수량산출서(단지내)_취합_설계서-1_00-설계서,원가계산,내역서" xfId="1376"/>
    <cellStyle name="1_total_총괄내역0518_구로리설계예산서1118준공" xfId="1377"/>
    <cellStyle name="1_total_총괄내역0518_구로리설계예산서1118준공_00-설계서,원가계산,내역서" xfId="1378"/>
    <cellStyle name="1_total_총괄내역0518_구로리설계예산서1118준공_설계서-1" xfId="1379"/>
    <cellStyle name="1_total_총괄내역0518_구로리설계예산서1118준공_설계서-1_00-설계서,원가계산,내역서" xfId="1380"/>
    <cellStyle name="1_total_총괄내역0518_구로리설계예산서1118준공_진해자은수량산출서(단지내)" xfId="1381"/>
    <cellStyle name="1_total_총괄내역0518_구로리설계예산서1118준공_진해자은수량산출서(단지내)_00-설계서,원가계산,내역서" xfId="1382"/>
    <cellStyle name="1_total_총괄내역0518_구로리설계예산서1118준공_진해자은수량산출서(단지내)_기초산출표-56-128-최종" xfId="1383"/>
    <cellStyle name="1_total_총괄내역0518_구로리설계예산서1118준공_진해자은수량산출서(단지내)_기초산출표-56-128-최종_00-설계서,원가계산,내역서" xfId="1384"/>
    <cellStyle name="1_total_총괄내역0518_구로리설계예산서1118준공_진해자은수량산출서(단지내)_기초산출표-56-128-최종_설계서-1" xfId="1385"/>
    <cellStyle name="1_total_총괄내역0518_구로리설계예산서1118준공_진해자은수량산출서(단지내)_기초산출표-56-128-최종_설계서-1_00-설계서,원가계산,내역서" xfId="1386"/>
    <cellStyle name="1_total_총괄내역0518_구로리설계예산서1118준공_진해자은수량산출서(단지내)_설계서-1" xfId="1387"/>
    <cellStyle name="1_total_총괄내역0518_구로리설계예산서1118준공_진해자은수량산출서(단지내)_설계서-1_00-설계서,원가계산,내역서" xfId="1388"/>
    <cellStyle name="1_total_총괄내역0518_구로리설계예산서1118준공_진해자은수량산출서(단지내)_취합" xfId="1389"/>
    <cellStyle name="1_total_총괄내역0518_구로리설계예산서1118준공_진해자은수량산출서(단지내)_취합_00-설계서,원가계산,내역서" xfId="1390"/>
    <cellStyle name="1_total_총괄내역0518_구로리설계예산서1118준공_진해자은수량산출서(단지내)_취합_설계서-1" xfId="1391"/>
    <cellStyle name="1_total_총괄내역0518_구로리설계예산서1118준공_진해자은수량산출서(단지내)_취합_설계서-1_00-설계서,원가계산,내역서" xfId="1392"/>
    <cellStyle name="1_total_총괄내역0518_구로리설계예산서조경" xfId="1393"/>
    <cellStyle name="1_total_총괄내역0518_구로리설계예산서조경_00-설계서,원가계산,내역서" xfId="1394"/>
    <cellStyle name="1_total_총괄내역0518_구로리설계예산서조경_설계서-1" xfId="1395"/>
    <cellStyle name="1_total_총괄내역0518_구로리설계예산서조경_설계서-1_00-설계서,원가계산,내역서" xfId="1396"/>
    <cellStyle name="1_total_총괄내역0518_구로리설계예산서조경_진해자은수량산출서(단지내)" xfId="1397"/>
    <cellStyle name="1_total_총괄내역0518_구로리설계예산서조경_진해자은수량산출서(단지내)_00-설계서,원가계산,내역서" xfId="1398"/>
    <cellStyle name="1_total_총괄내역0518_구로리설계예산서조경_진해자은수량산출서(단지내)_기초산출표-56-128-최종" xfId="1399"/>
    <cellStyle name="1_total_총괄내역0518_구로리설계예산서조경_진해자은수량산출서(단지내)_기초산출표-56-128-최종_00-설계서,원가계산,내역서" xfId="1400"/>
    <cellStyle name="1_total_총괄내역0518_구로리설계예산서조경_진해자은수량산출서(단지내)_기초산출표-56-128-최종_설계서-1" xfId="1401"/>
    <cellStyle name="1_total_총괄내역0518_구로리설계예산서조경_진해자은수량산출서(단지내)_기초산출표-56-128-최종_설계서-1_00-설계서,원가계산,내역서" xfId="1402"/>
    <cellStyle name="1_total_총괄내역0518_구로리설계예산서조경_진해자은수량산출서(단지내)_설계서-1" xfId="1403"/>
    <cellStyle name="1_total_총괄내역0518_구로리설계예산서조경_진해자은수량산출서(단지내)_설계서-1_00-설계서,원가계산,내역서" xfId="1404"/>
    <cellStyle name="1_total_총괄내역0518_구로리설계예산서조경_진해자은수량산출서(단지내)_취합" xfId="1405"/>
    <cellStyle name="1_total_총괄내역0518_구로리설계예산서조경_진해자은수량산출서(단지내)_취합_00-설계서,원가계산,내역서" xfId="1406"/>
    <cellStyle name="1_total_총괄내역0518_구로리설계예산서조경_진해자은수량산출서(단지내)_취합_설계서-1" xfId="1407"/>
    <cellStyle name="1_total_총괄내역0518_구로리설계예산서조경_진해자은수량산출서(단지내)_취합_설계서-1_00-설계서,원가계산,내역서" xfId="1408"/>
    <cellStyle name="1_total_총괄내역0518_구로리어린이공원예산서(조경)1125" xfId="1409"/>
    <cellStyle name="1_total_총괄내역0518_구로리어린이공원예산서(조경)1125_00-설계서,원가계산,내역서" xfId="1410"/>
    <cellStyle name="1_total_총괄내역0518_구로리어린이공원예산서(조경)1125_설계서-1" xfId="1411"/>
    <cellStyle name="1_total_총괄내역0518_구로리어린이공원예산서(조경)1125_설계서-1_00-설계서,원가계산,내역서" xfId="1412"/>
    <cellStyle name="1_total_총괄내역0518_구로리어린이공원예산서(조경)1125_진해자은수량산출서(단지내)" xfId="1413"/>
    <cellStyle name="1_total_총괄내역0518_구로리어린이공원예산서(조경)1125_진해자은수량산출서(단지내)_00-설계서,원가계산,내역서" xfId="1414"/>
    <cellStyle name="1_total_총괄내역0518_구로리어린이공원예산서(조경)1125_진해자은수량산출서(단지내)_기초산출표-56-128-최종" xfId="1415"/>
    <cellStyle name="1_total_총괄내역0518_구로리어린이공원예산서(조경)1125_진해자은수량산출서(단지내)_기초산출표-56-128-최종_00-설계서,원가계산,내역서" xfId="1416"/>
    <cellStyle name="1_total_총괄내역0518_구로리어린이공원예산서(조경)1125_진해자은수량산출서(단지내)_기초산출표-56-128-최종_설계서-1" xfId="1417"/>
    <cellStyle name="1_total_총괄내역0518_구로리어린이공원예산서(조경)1125_진해자은수량산출서(단지내)_기초산출표-56-128-최종_설계서-1_00-설계서,원가계산,내역서" xfId="1418"/>
    <cellStyle name="1_total_총괄내역0518_구로리어린이공원예산서(조경)1125_진해자은수량산출서(단지내)_설계서-1" xfId="1419"/>
    <cellStyle name="1_total_총괄내역0518_구로리어린이공원예산서(조경)1125_진해자은수량산출서(단지내)_설계서-1_00-설계서,원가계산,내역서" xfId="1420"/>
    <cellStyle name="1_total_총괄내역0518_구로리어린이공원예산서(조경)1125_진해자은수량산출서(단지내)_취합" xfId="1421"/>
    <cellStyle name="1_total_총괄내역0518_구로리어린이공원예산서(조경)1125_진해자은수량산출서(단지내)_취합_00-설계서,원가계산,내역서" xfId="1422"/>
    <cellStyle name="1_total_총괄내역0518_구로리어린이공원예산서(조경)1125_진해자은수량산출서(단지내)_취합_설계서-1" xfId="1423"/>
    <cellStyle name="1_total_총괄내역0518_구로리어린이공원예산서(조경)1125_진해자은수량산출서(단지내)_취합_설계서-1_00-설계서,원가계산,내역서" xfId="1424"/>
    <cellStyle name="1_total_총괄내역0518_내역서" xfId="1425"/>
    <cellStyle name="1_total_총괄내역0518_내역서_00-설계서,원가계산,내역서" xfId="1426"/>
    <cellStyle name="1_total_총괄내역0518_내역서_설계서-1" xfId="1427"/>
    <cellStyle name="1_total_총괄내역0518_내역서_설계서-1_00-설계서,원가계산,내역서" xfId="1428"/>
    <cellStyle name="1_total_총괄내역0518_내역서_진해자은수량산출서(단지내)" xfId="1429"/>
    <cellStyle name="1_total_총괄내역0518_내역서_진해자은수량산출서(단지내)_00-설계서,원가계산,내역서" xfId="1430"/>
    <cellStyle name="1_total_총괄내역0518_내역서_진해자은수량산출서(단지내)_기초산출표-56-128-최종" xfId="1431"/>
    <cellStyle name="1_total_총괄내역0518_내역서_진해자은수량산출서(단지내)_기초산출표-56-128-최종_00-설계서,원가계산,내역서" xfId="1432"/>
    <cellStyle name="1_total_총괄내역0518_내역서_진해자은수량산출서(단지내)_기초산출표-56-128-최종_설계서-1" xfId="1433"/>
    <cellStyle name="1_total_총괄내역0518_내역서_진해자은수량산출서(단지내)_기초산출표-56-128-최종_설계서-1_00-설계서,원가계산,내역서" xfId="1434"/>
    <cellStyle name="1_total_총괄내역0518_내역서_진해자은수량산출서(단지내)_설계서-1" xfId="1435"/>
    <cellStyle name="1_total_총괄내역0518_내역서_진해자은수량산출서(단지내)_설계서-1_00-설계서,원가계산,내역서" xfId="1436"/>
    <cellStyle name="1_total_총괄내역0518_내역서_진해자은수량산출서(단지내)_취합" xfId="1437"/>
    <cellStyle name="1_total_총괄내역0518_내역서_진해자은수량산출서(단지내)_취합_00-설계서,원가계산,내역서" xfId="1438"/>
    <cellStyle name="1_total_총괄내역0518_내역서_진해자은수량산출서(단지내)_취합_설계서-1" xfId="1439"/>
    <cellStyle name="1_total_총괄내역0518_내역서_진해자은수량산출서(단지내)_취합_설계서-1_00-설계서,원가계산,내역서" xfId="1440"/>
    <cellStyle name="1_total_총괄내역0518_노임단가표" xfId="1441"/>
    <cellStyle name="1_total_총괄내역0518_노임단가표_00-설계서,원가계산,내역서" xfId="1442"/>
    <cellStyle name="1_total_총괄내역0518_노임단가표_설계서-1" xfId="1443"/>
    <cellStyle name="1_total_총괄내역0518_노임단가표_설계서-1_00-설계서,원가계산,내역서" xfId="1444"/>
    <cellStyle name="1_total_총괄내역0518_노임단가표_진해자은수량산출서(단지내)" xfId="1445"/>
    <cellStyle name="1_total_총괄내역0518_노임단가표_진해자은수량산출서(단지내)_00-설계서,원가계산,내역서" xfId="1446"/>
    <cellStyle name="1_total_총괄내역0518_노임단가표_진해자은수량산출서(단지내)_기초산출표-56-128-최종" xfId="1447"/>
    <cellStyle name="1_total_총괄내역0518_노임단가표_진해자은수량산출서(단지내)_기초산출표-56-128-최종_00-설계서,원가계산,내역서" xfId="1448"/>
    <cellStyle name="1_total_총괄내역0518_노임단가표_진해자은수량산출서(단지내)_기초산출표-56-128-최종_설계서-1" xfId="1449"/>
    <cellStyle name="1_total_총괄내역0518_노임단가표_진해자은수량산출서(단지내)_기초산출표-56-128-최종_설계서-1_00-설계서,원가계산,내역서" xfId="1450"/>
    <cellStyle name="1_total_총괄내역0518_노임단가표_진해자은수량산출서(단지내)_설계서-1" xfId="1451"/>
    <cellStyle name="1_total_총괄내역0518_노임단가표_진해자은수량산출서(단지내)_설계서-1_00-설계서,원가계산,내역서" xfId="1452"/>
    <cellStyle name="1_total_총괄내역0518_노임단가표_진해자은수량산출서(단지내)_취합" xfId="1453"/>
    <cellStyle name="1_total_총괄내역0518_노임단가표_진해자은수량산출서(단지내)_취합_00-설계서,원가계산,내역서" xfId="1454"/>
    <cellStyle name="1_total_총괄내역0518_노임단가표_진해자은수량산출서(단지내)_취합_설계서-1" xfId="1455"/>
    <cellStyle name="1_total_총괄내역0518_노임단가표_진해자은수량산출서(단지내)_취합_설계서-1_00-설계서,원가계산,내역서" xfId="1456"/>
    <cellStyle name="1_total_총괄내역0518_설계서-1" xfId="1457"/>
    <cellStyle name="1_total_총괄내역0518_설계서-1_00-설계서,원가계산,내역서" xfId="1458"/>
    <cellStyle name="1_total_총괄내역0518_수도권매립지" xfId="1459"/>
    <cellStyle name="1_total_총괄내역0518_수도권매립지1004(발주용)" xfId="1475"/>
    <cellStyle name="1_total_총괄내역0518_수도권매립지1004(발주용)_00-설계서,원가계산,내역서" xfId="1476"/>
    <cellStyle name="1_total_총괄내역0518_수도권매립지1004(발주용)_설계서-1" xfId="1477"/>
    <cellStyle name="1_total_총괄내역0518_수도권매립지1004(발주용)_설계서-1_00-설계서,원가계산,내역서" xfId="1478"/>
    <cellStyle name="1_total_총괄내역0518_수도권매립지1004(발주용)_진해자은수량산출서(단지내)" xfId="1479"/>
    <cellStyle name="1_total_총괄내역0518_수도권매립지1004(발주용)_진해자은수량산출서(단지내)_00-설계서,원가계산,내역서" xfId="1480"/>
    <cellStyle name="1_total_총괄내역0518_수도권매립지1004(발주용)_진해자은수량산출서(단지내)_기초산출표-56-128-최종" xfId="1481"/>
    <cellStyle name="1_total_총괄내역0518_수도권매립지1004(발주용)_진해자은수량산출서(단지내)_기초산출표-56-128-최종_00-설계서,원가계산,내역서" xfId="1482"/>
    <cellStyle name="1_total_총괄내역0518_수도권매립지1004(발주용)_진해자은수량산출서(단지내)_기초산출표-56-128-최종_설계서-1" xfId="1483"/>
    <cellStyle name="1_total_총괄내역0518_수도권매립지1004(발주용)_진해자은수량산출서(단지내)_기초산출표-56-128-최종_설계서-1_00-설계서,원가계산,내역서" xfId="1484"/>
    <cellStyle name="1_total_총괄내역0518_수도권매립지1004(발주용)_진해자은수량산출서(단지내)_설계서-1" xfId="1485"/>
    <cellStyle name="1_total_총괄내역0518_수도권매립지1004(발주용)_진해자은수량산출서(단지내)_설계서-1_00-설계서,원가계산,내역서" xfId="1486"/>
    <cellStyle name="1_total_총괄내역0518_수도권매립지1004(발주용)_진해자은수량산출서(단지내)_취합" xfId="1487"/>
    <cellStyle name="1_total_총괄내역0518_수도권매립지1004(발주용)_진해자은수량산출서(단지내)_취합_00-설계서,원가계산,내역서" xfId="1488"/>
    <cellStyle name="1_total_총괄내역0518_수도권매립지1004(발주용)_진해자은수량산출서(단지내)_취합_설계서-1" xfId="1489"/>
    <cellStyle name="1_total_총괄내역0518_수도권매립지1004(발주용)_진해자은수량산출서(단지내)_취합_설계서-1_00-설계서,원가계산,내역서" xfId="1490"/>
    <cellStyle name="1_total_총괄내역0518_수도권매립지_00-설계서,원가계산,내역서" xfId="1460"/>
    <cellStyle name="1_total_총괄내역0518_수도권매립지_설계서-1" xfId="1461"/>
    <cellStyle name="1_total_총괄내역0518_수도권매립지_설계서-1_00-설계서,원가계산,내역서" xfId="1462"/>
    <cellStyle name="1_total_총괄내역0518_수도권매립지_진해자은수량산출서(단지내)" xfId="1463"/>
    <cellStyle name="1_total_총괄내역0518_수도권매립지_진해자은수량산출서(단지내)_00-설계서,원가계산,내역서" xfId="1464"/>
    <cellStyle name="1_total_총괄내역0518_수도권매립지_진해자은수량산출서(단지내)_기초산출표-56-128-최종" xfId="1465"/>
    <cellStyle name="1_total_총괄내역0518_수도권매립지_진해자은수량산출서(단지내)_기초산출표-56-128-최종_00-설계서,원가계산,내역서" xfId="1466"/>
    <cellStyle name="1_total_총괄내역0518_수도권매립지_진해자은수량산출서(단지내)_기초산출표-56-128-최종_설계서-1" xfId="1467"/>
    <cellStyle name="1_total_총괄내역0518_수도권매립지_진해자은수량산출서(단지내)_기초산출표-56-128-최종_설계서-1_00-설계서,원가계산,내역서" xfId="1468"/>
    <cellStyle name="1_total_총괄내역0518_수도권매립지_진해자은수량산출서(단지내)_설계서-1" xfId="1469"/>
    <cellStyle name="1_total_총괄내역0518_수도권매립지_진해자은수량산출서(단지내)_설계서-1_00-설계서,원가계산,내역서" xfId="1470"/>
    <cellStyle name="1_total_총괄내역0518_수도권매립지_진해자은수량산출서(단지내)_취합" xfId="1471"/>
    <cellStyle name="1_total_총괄내역0518_수도권매립지_진해자은수량산출서(단지내)_취합_00-설계서,원가계산,내역서" xfId="1472"/>
    <cellStyle name="1_total_총괄내역0518_수도권매립지_진해자은수량산출서(단지내)_취합_설계서-1" xfId="1473"/>
    <cellStyle name="1_total_총괄내역0518_수도권매립지_진해자은수량산출서(단지내)_취합_설계서-1_00-설계서,원가계산,내역서" xfId="1474"/>
    <cellStyle name="1_total_총괄내역0518_일신건영설계예산서(0211)" xfId="1491"/>
    <cellStyle name="1_total_총괄내역0518_일신건영설계예산서(0211)_00-설계서,원가계산,내역서" xfId="1492"/>
    <cellStyle name="1_total_총괄내역0518_일신건영설계예산서(0211)_설계서-1" xfId="1493"/>
    <cellStyle name="1_total_총괄내역0518_일신건영설계예산서(0211)_설계서-1_00-설계서,원가계산,내역서" xfId="1494"/>
    <cellStyle name="1_total_총괄내역0518_일신건영설계예산서(0211)_진해자은수량산출서(단지내)" xfId="1495"/>
    <cellStyle name="1_total_총괄내역0518_일신건영설계예산서(0211)_진해자은수량산출서(단지내)_00-설계서,원가계산,내역서" xfId="1496"/>
    <cellStyle name="1_total_총괄내역0518_일신건영설계예산서(0211)_진해자은수량산출서(단지내)_기초산출표-56-128-최종" xfId="1497"/>
    <cellStyle name="1_total_총괄내역0518_일신건영설계예산서(0211)_진해자은수량산출서(단지내)_기초산출표-56-128-최종_00-설계서,원가계산,내역서" xfId="1498"/>
    <cellStyle name="1_total_총괄내역0518_일신건영설계예산서(0211)_진해자은수량산출서(단지내)_기초산출표-56-128-최종_설계서-1" xfId="1499"/>
    <cellStyle name="1_total_총괄내역0518_일신건영설계예산서(0211)_진해자은수량산출서(단지내)_기초산출표-56-128-최종_설계서-1_00-설계서,원가계산,내역서" xfId="1500"/>
    <cellStyle name="1_total_총괄내역0518_일신건영설계예산서(0211)_진해자은수량산출서(단지내)_설계서-1" xfId="1501"/>
    <cellStyle name="1_total_총괄내역0518_일신건영설계예산서(0211)_진해자은수량산출서(단지내)_설계서-1_00-설계서,원가계산,내역서" xfId="1502"/>
    <cellStyle name="1_total_총괄내역0518_일신건영설계예산서(0211)_진해자은수량산출서(단지내)_취합" xfId="1503"/>
    <cellStyle name="1_total_총괄내역0518_일신건영설계예산서(0211)_진해자은수량산출서(단지내)_취합_00-설계서,원가계산,내역서" xfId="1504"/>
    <cellStyle name="1_total_총괄내역0518_일신건영설계예산서(0211)_진해자은수량산출서(단지내)_취합_설계서-1" xfId="1505"/>
    <cellStyle name="1_total_총괄내역0518_일신건영설계예산서(0211)_진해자은수량산출서(단지내)_취합_설계서-1_00-설계서,원가계산,내역서" xfId="1506"/>
    <cellStyle name="1_total_총괄내역0518_일위대가" xfId="1507"/>
    <cellStyle name="1_total_총괄내역0518_일위대가_00-설계서,원가계산,내역서" xfId="1508"/>
    <cellStyle name="1_total_총괄내역0518_일위대가_설계서-1" xfId="1509"/>
    <cellStyle name="1_total_총괄내역0518_일위대가_설계서-1_00-설계서,원가계산,내역서" xfId="1510"/>
    <cellStyle name="1_total_총괄내역0518_일위대가_진해자은수량산출서(단지내)" xfId="1511"/>
    <cellStyle name="1_total_총괄내역0518_일위대가_진해자은수량산출서(단지내)_00-설계서,원가계산,내역서" xfId="1512"/>
    <cellStyle name="1_total_총괄내역0518_일위대가_진해자은수량산출서(단지내)_기초산출표-56-128-최종" xfId="1513"/>
    <cellStyle name="1_total_총괄내역0518_일위대가_진해자은수량산출서(단지내)_기초산출표-56-128-최종_00-설계서,원가계산,내역서" xfId="1514"/>
    <cellStyle name="1_total_총괄내역0518_일위대가_진해자은수량산출서(단지내)_기초산출표-56-128-최종_설계서-1" xfId="1515"/>
    <cellStyle name="1_total_총괄내역0518_일위대가_진해자은수량산출서(단지내)_기초산출표-56-128-최종_설계서-1_00-설계서,원가계산,내역서" xfId="1516"/>
    <cellStyle name="1_total_총괄내역0518_일위대가_진해자은수량산출서(단지내)_설계서-1" xfId="1517"/>
    <cellStyle name="1_total_총괄내역0518_일위대가_진해자은수량산출서(단지내)_설계서-1_00-설계서,원가계산,내역서" xfId="1518"/>
    <cellStyle name="1_total_총괄내역0518_일위대가_진해자은수량산출서(단지내)_취합" xfId="1519"/>
    <cellStyle name="1_total_총괄내역0518_일위대가_진해자은수량산출서(단지내)_취합_00-설계서,원가계산,내역서" xfId="1520"/>
    <cellStyle name="1_total_총괄내역0518_일위대가_진해자은수량산출서(단지내)_취합_설계서-1" xfId="1521"/>
    <cellStyle name="1_total_총괄내역0518_일위대가_진해자은수량산출서(단지내)_취합_설계서-1_00-설계서,원가계산,내역서" xfId="1522"/>
    <cellStyle name="1_total_총괄내역0518_자재단가표" xfId="1523"/>
    <cellStyle name="1_total_총괄내역0518_자재단가표_00-설계서,원가계산,내역서" xfId="1524"/>
    <cellStyle name="1_total_총괄내역0518_자재단가표_설계서-1" xfId="1525"/>
    <cellStyle name="1_total_총괄내역0518_자재단가표_설계서-1_00-설계서,원가계산,내역서" xfId="1526"/>
    <cellStyle name="1_total_총괄내역0518_자재단가표_진해자은수량산출서(단지내)" xfId="1527"/>
    <cellStyle name="1_total_총괄내역0518_자재단가표_진해자은수량산출서(단지내)_00-설계서,원가계산,내역서" xfId="1528"/>
    <cellStyle name="1_total_총괄내역0518_자재단가표_진해자은수량산출서(단지내)_기초산출표-56-128-최종" xfId="1529"/>
    <cellStyle name="1_total_총괄내역0518_자재단가표_진해자은수량산출서(단지내)_기초산출표-56-128-최종_00-설계서,원가계산,내역서" xfId="1530"/>
    <cellStyle name="1_total_총괄내역0518_자재단가표_진해자은수량산출서(단지내)_기초산출표-56-128-최종_설계서-1" xfId="1531"/>
    <cellStyle name="1_total_총괄내역0518_자재단가표_진해자은수량산출서(단지내)_기초산출표-56-128-최종_설계서-1_00-설계서,원가계산,내역서" xfId="1532"/>
    <cellStyle name="1_total_총괄내역0518_자재단가표_진해자은수량산출서(단지내)_설계서-1" xfId="1533"/>
    <cellStyle name="1_total_총괄내역0518_자재단가표_진해자은수량산출서(단지내)_설계서-1_00-설계서,원가계산,내역서" xfId="1534"/>
    <cellStyle name="1_total_총괄내역0518_자재단가표_진해자은수량산출서(단지내)_취합" xfId="1535"/>
    <cellStyle name="1_total_총괄내역0518_자재단가표_진해자은수량산출서(단지내)_취합_00-설계서,원가계산,내역서" xfId="1536"/>
    <cellStyle name="1_total_총괄내역0518_자재단가표_진해자은수량산출서(단지내)_취합_설계서-1" xfId="1537"/>
    <cellStyle name="1_total_총괄내역0518_자재단가표_진해자은수량산출서(단지내)_취합_설계서-1_00-설계서,원가계산,내역서" xfId="1538"/>
    <cellStyle name="1_total_총괄내역0518_장안초등학교내역0814" xfId="1539"/>
    <cellStyle name="1_total_총괄내역0518_장안초등학교내역0814_00-설계서,원가계산,내역서" xfId="1540"/>
    <cellStyle name="1_total_총괄내역0518_장안초등학교내역0814_설계서-1" xfId="1541"/>
    <cellStyle name="1_total_총괄내역0518_장안초등학교내역0814_설계서-1_00-설계서,원가계산,내역서" xfId="1542"/>
    <cellStyle name="1_total_총괄내역0518_장안초등학교내역0814_진해자은수량산출서(단지내)" xfId="1543"/>
    <cellStyle name="1_total_총괄내역0518_장안초등학교내역0814_진해자은수량산출서(단지내)_00-설계서,원가계산,내역서" xfId="1544"/>
    <cellStyle name="1_total_총괄내역0518_장안초등학교내역0814_진해자은수량산출서(단지내)_기초산출표-56-128-최종" xfId="1545"/>
    <cellStyle name="1_total_총괄내역0518_장안초등학교내역0814_진해자은수량산출서(단지내)_기초산출표-56-128-최종_00-설계서,원가계산,내역서" xfId="1546"/>
    <cellStyle name="1_total_총괄내역0518_장안초등학교내역0814_진해자은수량산출서(단지내)_기초산출표-56-128-최종_설계서-1" xfId="1547"/>
    <cellStyle name="1_total_총괄내역0518_장안초등학교내역0814_진해자은수량산출서(단지내)_기초산출표-56-128-최종_설계서-1_00-설계서,원가계산,내역서" xfId="1548"/>
    <cellStyle name="1_total_총괄내역0518_장안초등학교내역0814_진해자은수량산출서(단지내)_설계서-1" xfId="1549"/>
    <cellStyle name="1_total_총괄내역0518_장안초등학교내역0814_진해자은수량산출서(단지내)_설계서-1_00-설계서,원가계산,내역서" xfId="1550"/>
    <cellStyle name="1_total_총괄내역0518_장안초등학교내역0814_진해자은수량산출서(단지내)_취합" xfId="1551"/>
    <cellStyle name="1_total_총괄내역0518_장안초등학교내역0814_진해자은수량산출서(단지내)_취합_00-설계서,원가계산,내역서" xfId="1552"/>
    <cellStyle name="1_total_총괄내역0518_장안초등학교내역0814_진해자은수량산출서(단지내)_취합_설계서-1" xfId="1553"/>
    <cellStyle name="1_total_총괄내역0518_장안초등학교내역0814_진해자은수량산출서(단지내)_취합_설계서-1_00-설계서,원가계산,내역서" xfId="1554"/>
    <cellStyle name="1_total_총괄내역0518_진해자은수량산출서(단지내)" xfId="1555"/>
    <cellStyle name="1_total_총괄내역0518_진해자은수량산출서(단지내)_00-설계서,원가계산,내역서" xfId="1556"/>
    <cellStyle name="1_total_총괄내역0518_진해자은수량산출서(단지내)_기초산출표-56-128-최종" xfId="1557"/>
    <cellStyle name="1_total_총괄내역0518_진해자은수량산출서(단지내)_기초산출표-56-128-최종_00-설계서,원가계산,내역서" xfId="1558"/>
    <cellStyle name="1_total_총괄내역0518_진해자은수량산출서(단지내)_기초산출표-56-128-최종_설계서-1" xfId="1559"/>
    <cellStyle name="1_total_총괄내역0518_진해자은수량산출서(단지내)_기초산출표-56-128-최종_설계서-1_00-설계서,원가계산,내역서" xfId="1560"/>
    <cellStyle name="1_total_총괄내역0518_진해자은수량산출서(단지내)_설계서-1" xfId="1561"/>
    <cellStyle name="1_total_총괄내역0518_진해자은수량산출서(단지내)_설계서-1_00-설계서,원가계산,내역서" xfId="1562"/>
    <cellStyle name="1_total_총괄내역0518_진해자은수량산출서(단지내)_취합" xfId="1563"/>
    <cellStyle name="1_total_총괄내역0518_진해자은수량산출서(단지내)_취합_00-설계서,원가계산,내역서" xfId="1564"/>
    <cellStyle name="1_total_총괄내역0518_진해자은수량산출서(단지내)_취합_설계서-1" xfId="1565"/>
    <cellStyle name="1_total_총괄내역0518_진해자은수량산출서(단지내)_취합_설계서-1_00-설계서,원가계산,내역서" xfId="1566"/>
    <cellStyle name="1_total_현충묘지-예산서(조경)" xfId="1567"/>
    <cellStyle name="1_total_현충묘지-예산서(조경)_00-설계서,원가계산,내역서" xfId="1568"/>
    <cellStyle name="1_total_현충묘지-예산서(조경)_목동내역" xfId="1569"/>
    <cellStyle name="1_total_현충묘지-예산서(조경)_목동내역_00-설계서,원가계산,내역서" xfId="1570"/>
    <cellStyle name="1_total_현충묘지-예산서(조경)_목동내역_폐기물집계" xfId="1571"/>
    <cellStyle name="1_total_현충묘지-예산서(조경)_목동내역_폐기물집계_00-설계서,원가계산,내역서" xfId="1572"/>
    <cellStyle name="1_total_현충묘지-예산서(조경)_예산서-엑셀변환양식100" xfId="1573"/>
    <cellStyle name="1_total_현충묘지-예산서(조경)_예산서-엑셀변환양식100_00-설계서,원가계산,내역서" xfId="1574"/>
    <cellStyle name="1_total_현충묘지-예산서(조경)_예산서-엑셀변환양식100_목동내역" xfId="1575"/>
    <cellStyle name="1_total_현충묘지-예산서(조경)_예산서-엑셀변환양식100_목동내역_00-설계서,원가계산,내역서" xfId="1576"/>
    <cellStyle name="1_total_현충묘지-예산서(조경)_예산서-엑셀변환양식100_목동내역_폐기물집계" xfId="1577"/>
    <cellStyle name="1_total_현충묘지-예산서(조경)_예산서-엑셀변환양식100_목동내역_폐기물집계_00-설계서,원가계산,내역서" xfId="1578"/>
    <cellStyle name="1_tree" xfId="1579"/>
    <cellStyle name="1_tree_00-설계서,원가계산,내역서" xfId="1580"/>
    <cellStyle name="1_tree_00-수량산출서" xfId="1581"/>
    <cellStyle name="1_tree_00-수량산출서_00-설계서,원가계산,내역서" xfId="1582"/>
    <cellStyle name="1_tree_01-내역서(071118)" xfId="1583"/>
    <cellStyle name="1_tree_01-내역서(071118)_00-설계서,원가계산,내역서" xfId="1584"/>
    <cellStyle name="1_tree_구로리총괄내역" xfId="1585"/>
    <cellStyle name="1_tree_구로리총괄내역_00-설계서,원가계산,내역서" xfId="1586"/>
    <cellStyle name="1_tree_구로리총괄내역_구로리설계예산서1029" xfId="1587"/>
    <cellStyle name="1_tree_구로리총괄내역_구로리설계예산서1029_00-설계서,원가계산,내역서" xfId="1588"/>
    <cellStyle name="1_tree_구로리총괄내역_구로리설계예산서1029_설계서-1" xfId="1589"/>
    <cellStyle name="1_tree_구로리총괄내역_구로리설계예산서1029_설계서-1_00-설계서,원가계산,내역서" xfId="1590"/>
    <cellStyle name="1_tree_구로리총괄내역_구로리설계예산서1029_진해자은수량산출서(단지내)" xfId="1591"/>
    <cellStyle name="1_tree_구로리총괄내역_구로리설계예산서1029_진해자은수량산출서(단지내)_00-설계서,원가계산,내역서" xfId="1592"/>
    <cellStyle name="1_tree_구로리총괄내역_구로리설계예산서1029_진해자은수량산출서(단지내)_기초산출표-56-128-최종" xfId="1593"/>
    <cellStyle name="1_tree_구로리총괄내역_구로리설계예산서1029_진해자은수량산출서(단지내)_기초산출표-56-128-최종_00-설계서,원가계산,내역서" xfId="1594"/>
    <cellStyle name="1_tree_구로리총괄내역_구로리설계예산서1029_진해자은수량산출서(단지내)_기초산출표-56-128-최종_설계서-1" xfId="1595"/>
    <cellStyle name="1_tree_구로리총괄내역_구로리설계예산서1029_진해자은수량산출서(단지내)_기초산출표-56-128-최종_설계서-1_00-설계서,원가계산,내역서" xfId="1596"/>
    <cellStyle name="1_tree_구로리총괄내역_구로리설계예산서1029_진해자은수량산출서(단지내)_설계서-1" xfId="1597"/>
    <cellStyle name="1_tree_구로리총괄내역_구로리설계예산서1029_진해자은수량산출서(단지내)_설계서-1_00-설계서,원가계산,내역서" xfId="1598"/>
    <cellStyle name="1_tree_구로리총괄내역_구로리설계예산서1029_진해자은수량산출서(단지내)_취합" xfId="1599"/>
    <cellStyle name="1_tree_구로리총괄내역_구로리설계예산서1029_진해자은수량산출서(단지내)_취합_00-설계서,원가계산,내역서" xfId="1600"/>
    <cellStyle name="1_tree_구로리총괄내역_구로리설계예산서1029_진해자은수량산출서(단지내)_취합_설계서-1" xfId="1601"/>
    <cellStyle name="1_tree_구로리총괄내역_구로리설계예산서1029_진해자은수량산출서(단지내)_취합_설계서-1_00-설계서,원가계산,내역서" xfId="1602"/>
    <cellStyle name="1_tree_구로리총괄내역_구로리설계예산서1118준공" xfId="1603"/>
    <cellStyle name="1_tree_구로리총괄내역_구로리설계예산서1118준공_00-설계서,원가계산,내역서" xfId="1604"/>
    <cellStyle name="1_tree_구로리총괄내역_구로리설계예산서1118준공_설계서-1" xfId="1605"/>
    <cellStyle name="1_tree_구로리총괄내역_구로리설계예산서1118준공_설계서-1_00-설계서,원가계산,내역서" xfId="1606"/>
    <cellStyle name="1_tree_구로리총괄내역_구로리설계예산서1118준공_진해자은수량산출서(단지내)" xfId="1607"/>
    <cellStyle name="1_tree_구로리총괄내역_구로리설계예산서1118준공_진해자은수량산출서(단지내)_00-설계서,원가계산,내역서" xfId="1608"/>
    <cellStyle name="1_tree_구로리총괄내역_구로리설계예산서1118준공_진해자은수량산출서(단지내)_기초산출표-56-128-최종" xfId="1609"/>
    <cellStyle name="1_tree_구로리총괄내역_구로리설계예산서1118준공_진해자은수량산출서(단지내)_기초산출표-56-128-최종_00-설계서,원가계산,내역서" xfId="1610"/>
    <cellStyle name="1_tree_구로리총괄내역_구로리설계예산서1118준공_진해자은수량산출서(단지내)_기초산출표-56-128-최종_설계서-1" xfId="1611"/>
    <cellStyle name="1_tree_구로리총괄내역_구로리설계예산서1118준공_진해자은수량산출서(단지내)_기초산출표-56-128-최종_설계서-1_00-설계서,원가계산,내역서" xfId="1612"/>
    <cellStyle name="1_tree_구로리총괄내역_구로리설계예산서1118준공_진해자은수량산출서(단지내)_설계서-1" xfId="1613"/>
    <cellStyle name="1_tree_구로리총괄내역_구로리설계예산서1118준공_진해자은수량산출서(단지내)_설계서-1_00-설계서,원가계산,내역서" xfId="1614"/>
    <cellStyle name="1_tree_구로리총괄내역_구로리설계예산서1118준공_진해자은수량산출서(단지내)_취합" xfId="1615"/>
    <cellStyle name="1_tree_구로리총괄내역_구로리설계예산서1118준공_진해자은수량산출서(단지내)_취합_00-설계서,원가계산,내역서" xfId="1616"/>
    <cellStyle name="1_tree_구로리총괄내역_구로리설계예산서1118준공_진해자은수량산출서(단지내)_취합_설계서-1" xfId="1617"/>
    <cellStyle name="1_tree_구로리총괄내역_구로리설계예산서1118준공_진해자은수량산출서(단지내)_취합_설계서-1_00-설계서,원가계산,내역서" xfId="1618"/>
    <cellStyle name="1_tree_구로리총괄내역_구로리설계예산서조경" xfId="1619"/>
    <cellStyle name="1_tree_구로리총괄내역_구로리설계예산서조경_00-설계서,원가계산,내역서" xfId="1620"/>
    <cellStyle name="1_tree_구로리총괄내역_구로리설계예산서조경_설계서-1" xfId="1621"/>
    <cellStyle name="1_tree_구로리총괄내역_구로리설계예산서조경_설계서-1_00-설계서,원가계산,내역서" xfId="1622"/>
    <cellStyle name="1_tree_구로리총괄내역_구로리설계예산서조경_진해자은수량산출서(단지내)" xfId="1623"/>
    <cellStyle name="1_tree_구로리총괄내역_구로리설계예산서조경_진해자은수량산출서(단지내)_00-설계서,원가계산,내역서" xfId="1624"/>
    <cellStyle name="1_tree_구로리총괄내역_구로리설계예산서조경_진해자은수량산출서(단지내)_기초산출표-56-128-최종" xfId="1625"/>
    <cellStyle name="1_tree_구로리총괄내역_구로리설계예산서조경_진해자은수량산출서(단지내)_기초산출표-56-128-최종_00-설계서,원가계산,내역서" xfId="1626"/>
    <cellStyle name="1_tree_구로리총괄내역_구로리설계예산서조경_진해자은수량산출서(단지내)_기초산출표-56-128-최종_설계서-1" xfId="1627"/>
    <cellStyle name="1_tree_구로리총괄내역_구로리설계예산서조경_진해자은수량산출서(단지내)_기초산출표-56-128-최종_설계서-1_00-설계서,원가계산,내역서" xfId="1628"/>
    <cellStyle name="1_tree_구로리총괄내역_구로리설계예산서조경_진해자은수량산출서(단지내)_설계서-1" xfId="1629"/>
    <cellStyle name="1_tree_구로리총괄내역_구로리설계예산서조경_진해자은수량산출서(단지내)_설계서-1_00-설계서,원가계산,내역서" xfId="1630"/>
    <cellStyle name="1_tree_구로리총괄내역_구로리설계예산서조경_진해자은수량산출서(단지내)_취합" xfId="1631"/>
    <cellStyle name="1_tree_구로리총괄내역_구로리설계예산서조경_진해자은수량산출서(단지내)_취합_00-설계서,원가계산,내역서" xfId="1632"/>
    <cellStyle name="1_tree_구로리총괄내역_구로리설계예산서조경_진해자은수량산출서(단지내)_취합_설계서-1" xfId="1633"/>
    <cellStyle name="1_tree_구로리총괄내역_구로리설계예산서조경_진해자은수량산출서(단지내)_취합_설계서-1_00-설계서,원가계산,내역서" xfId="1634"/>
    <cellStyle name="1_tree_구로리총괄내역_구로리어린이공원예산서(조경)1125" xfId="1635"/>
    <cellStyle name="1_tree_구로리총괄내역_구로리어린이공원예산서(조경)1125_00-설계서,원가계산,내역서" xfId="1636"/>
    <cellStyle name="1_tree_구로리총괄내역_구로리어린이공원예산서(조경)1125_설계서-1" xfId="1637"/>
    <cellStyle name="1_tree_구로리총괄내역_구로리어린이공원예산서(조경)1125_설계서-1_00-설계서,원가계산,내역서" xfId="1638"/>
    <cellStyle name="1_tree_구로리총괄내역_구로리어린이공원예산서(조경)1125_진해자은수량산출서(단지내)" xfId="1639"/>
    <cellStyle name="1_tree_구로리총괄내역_구로리어린이공원예산서(조경)1125_진해자은수량산출서(단지내)_00-설계서,원가계산,내역서" xfId="1640"/>
    <cellStyle name="1_tree_구로리총괄내역_구로리어린이공원예산서(조경)1125_진해자은수량산출서(단지내)_기초산출표-56-128-최종" xfId="1641"/>
    <cellStyle name="1_tree_구로리총괄내역_구로리어린이공원예산서(조경)1125_진해자은수량산출서(단지내)_기초산출표-56-128-최종_00-설계서,원가계산,내역서" xfId="1642"/>
    <cellStyle name="1_tree_구로리총괄내역_구로리어린이공원예산서(조경)1125_진해자은수량산출서(단지내)_기초산출표-56-128-최종_설계서-1" xfId="1643"/>
    <cellStyle name="1_tree_구로리총괄내역_구로리어린이공원예산서(조경)1125_진해자은수량산출서(단지내)_기초산출표-56-128-최종_설계서-1_00-설계서,원가계산,내역서" xfId="1644"/>
    <cellStyle name="1_tree_구로리총괄내역_구로리어린이공원예산서(조경)1125_진해자은수량산출서(단지내)_설계서-1" xfId="1645"/>
    <cellStyle name="1_tree_구로리총괄내역_구로리어린이공원예산서(조경)1125_진해자은수량산출서(단지내)_설계서-1_00-설계서,원가계산,내역서" xfId="1646"/>
    <cellStyle name="1_tree_구로리총괄내역_구로리어린이공원예산서(조경)1125_진해자은수량산출서(단지내)_취합" xfId="1647"/>
    <cellStyle name="1_tree_구로리총괄내역_구로리어린이공원예산서(조경)1125_진해자은수량산출서(단지내)_취합_00-설계서,원가계산,내역서" xfId="1648"/>
    <cellStyle name="1_tree_구로리총괄내역_구로리어린이공원예산서(조경)1125_진해자은수량산출서(단지내)_취합_설계서-1" xfId="1649"/>
    <cellStyle name="1_tree_구로리총괄내역_구로리어린이공원예산서(조경)1125_진해자은수량산출서(단지내)_취합_설계서-1_00-설계서,원가계산,내역서" xfId="1650"/>
    <cellStyle name="1_tree_구로리총괄내역_내역서" xfId="1651"/>
    <cellStyle name="1_tree_구로리총괄내역_내역서_00-설계서,원가계산,내역서" xfId="1652"/>
    <cellStyle name="1_tree_구로리총괄내역_내역서_설계서-1" xfId="1653"/>
    <cellStyle name="1_tree_구로리총괄내역_내역서_설계서-1_00-설계서,원가계산,내역서" xfId="1654"/>
    <cellStyle name="1_tree_구로리총괄내역_내역서_진해자은수량산출서(단지내)" xfId="1655"/>
    <cellStyle name="1_tree_구로리총괄내역_내역서_진해자은수량산출서(단지내)_00-설계서,원가계산,내역서" xfId="1656"/>
    <cellStyle name="1_tree_구로리총괄내역_내역서_진해자은수량산출서(단지내)_기초산출표-56-128-최종" xfId="1657"/>
    <cellStyle name="1_tree_구로리총괄내역_내역서_진해자은수량산출서(단지내)_기초산출표-56-128-최종_00-설계서,원가계산,내역서" xfId="1658"/>
    <cellStyle name="1_tree_구로리총괄내역_내역서_진해자은수량산출서(단지내)_기초산출표-56-128-최종_설계서-1" xfId="1659"/>
    <cellStyle name="1_tree_구로리총괄내역_내역서_진해자은수량산출서(단지내)_기초산출표-56-128-최종_설계서-1_00-설계서,원가계산,내역서" xfId="1660"/>
    <cellStyle name="1_tree_구로리총괄내역_내역서_진해자은수량산출서(단지내)_설계서-1" xfId="1661"/>
    <cellStyle name="1_tree_구로리총괄내역_내역서_진해자은수량산출서(단지내)_설계서-1_00-설계서,원가계산,내역서" xfId="1662"/>
    <cellStyle name="1_tree_구로리총괄내역_내역서_진해자은수량산출서(단지내)_취합" xfId="1663"/>
    <cellStyle name="1_tree_구로리총괄내역_내역서_진해자은수량산출서(단지내)_취합_00-설계서,원가계산,내역서" xfId="1664"/>
    <cellStyle name="1_tree_구로리총괄내역_내역서_진해자은수량산출서(단지내)_취합_설계서-1" xfId="1665"/>
    <cellStyle name="1_tree_구로리총괄내역_내역서_진해자은수량산출서(단지내)_취합_설계서-1_00-설계서,원가계산,내역서" xfId="1666"/>
    <cellStyle name="1_tree_구로리총괄내역_노임단가표" xfId="1667"/>
    <cellStyle name="1_tree_구로리총괄내역_노임단가표_00-설계서,원가계산,내역서" xfId="1668"/>
    <cellStyle name="1_tree_구로리총괄내역_노임단가표_설계서-1" xfId="1669"/>
    <cellStyle name="1_tree_구로리총괄내역_노임단가표_설계서-1_00-설계서,원가계산,내역서" xfId="1670"/>
    <cellStyle name="1_tree_구로리총괄내역_노임단가표_진해자은수량산출서(단지내)" xfId="1671"/>
    <cellStyle name="1_tree_구로리총괄내역_노임단가표_진해자은수량산출서(단지내)_00-설계서,원가계산,내역서" xfId="1672"/>
    <cellStyle name="1_tree_구로리총괄내역_노임단가표_진해자은수량산출서(단지내)_기초산출표-56-128-최종" xfId="1673"/>
    <cellStyle name="1_tree_구로리총괄내역_노임단가표_진해자은수량산출서(단지내)_기초산출표-56-128-최종_00-설계서,원가계산,내역서" xfId="1674"/>
    <cellStyle name="1_tree_구로리총괄내역_노임단가표_진해자은수량산출서(단지내)_기초산출표-56-128-최종_설계서-1" xfId="1675"/>
    <cellStyle name="1_tree_구로리총괄내역_노임단가표_진해자은수량산출서(단지내)_기초산출표-56-128-최종_설계서-1_00-설계서,원가계산,내역서" xfId="1676"/>
    <cellStyle name="1_tree_구로리총괄내역_노임단가표_진해자은수량산출서(단지내)_설계서-1" xfId="1677"/>
    <cellStyle name="1_tree_구로리총괄내역_노임단가표_진해자은수량산출서(단지내)_설계서-1_00-설계서,원가계산,내역서" xfId="1678"/>
    <cellStyle name="1_tree_구로리총괄내역_노임단가표_진해자은수량산출서(단지내)_취합" xfId="1679"/>
    <cellStyle name="1_tree_구로리총괄내역_노임단가표_진해자은수량산출서(단지내)_취합_00-설계서,원가계산,내역서" xfId="1680"/>
    <cellStyle name="1_tree_구로리총괄내역_노임단가표_진해자은수량산출서(단지내)_취합_설계서-1" xfId="1681"/>
    <cellStyle name="1_tree_구로리총괄내역_노임단가표_진해자은수량산출서(단지내)_취합_설계서-1_00-설계서,원가계산,내역서" xfId="1682"/>
    <cellStyle name="1_tree_구로리총괄내역_설계서-1" xfId="1683"/>
    <cellStyle name="1_tree_구로리총괄내역_설계서-1_00-설계서,원가계산,내역서" xfId="1684"/>
    <cellStyle name="1_tree_구로리총괄내역_수도권매립지" xfId="1685"/>
    <cellStyle name="1_tree_구로리총괄내역_수도권매립지1004(발주용)" xfId="1701"/>
    <cellStyle name="1_tree_구로리총괄내역_수도권매립지1004(발주용)_00-설계서,원가계산,내역서" xfId="1702"/>
    <cellStyle name="1_tree_구로리총괄내역_수도권매립지1004(발주용)_설계서-1" xfId="1703"/>
    <cellStyle name="1_tree_구로리총괄내역_수도권매립지1004(발주용)_설계서-1_00-설계서,원가계산,내역서" xfId="1704"/>
    <cellStyle name="1_tree_구로리총괄내역_수도권매립지1004(발주용)_진해자은수량산출서(단지내)" xfId="1705"/>
    <cellStyle name="1_tree_구로리총괄내역_수도권매립지1004(발주용)_진해자은수량산출서(단지내)_00-설계서,원가계산,내역서" xfId="1706"/>
    <cellStyle name="1_tree_구로리총괄내역_수도권매립지1004(발주용)_진해자은수량산출서(단지내)_기초산출표-56-128-최종" xfId="1707"/>
    <cellStyle name="1_tree_구로리총괄내역_수도권매립지1004(발주용)_진해자은수량산출서(단지내)_기초산출표-56-128-최종_00-설계서,원가계산,내역서" xfId="1708"/>
    <cellStyle name="1_tree_구로리총괄내역_수도권매립지1004(발주용)_진해자은수량산출서(단지내)_기초산출표-56-128-최종_설계서-1" xfId="1709"/>
    <cellStyle name="1_tree_구로리총괄내역_수도권매립지1004(발주용)_진해자은수량산출서(단지내)_기초산출표-56-128-최종_설계서-1_00-설계서,원가계산,내역서" xfId="1710"/>
    <cellStyle name="1_tree_구로리총괄내역_수도권매립지1004(발주용)_진해자은수량산출서(단지내)_설계서-1" xfId="1711"/>
    <cellStyle name="1_tree_구로리총괄내역_수도권매립지1004(발주용)_진해자은수량산출서(단지내)_설계서-1_00-설계서,원가계산,내역서" xfId="1712"/>
    <cellStyle name="1_tree_구로리총괄내역_수도권매립지1004(발주용)_진해자은수량산출서(단지내)_취합" xfId="1713"/>
    <cellStyle name="1_tree_구로리총괄내역_수도권매립지1004(발주용)_진해자은수량산출서(단지내)_취합_00-설계서,원가계산,내역서" xfId="1714"/>
    <cellStyle name="1_tree_구로리총괄내역_수도권매립지1004(발주용)_진해자은수량산출서(단지내)_취합_설계서-1" xfId="1715"/>
    <cellStyle name="1_tree_구로리총괄내역_수도권매립지1004(발주용)_진해자은수량산출서(단지내)_취합_설계서-1_00-설계서,원가계산,내역서" xfId="1716"/>
    <cellStyle name="1_tree_구로리총괄내역_수도권매립지_00-설계서,원가계산,내역서" xfId="1686"/>
    <cellStyle name="1_tree_구로리총괄내역_수도권매립지_설계서-1" xfId="1687"/>
    <cellStyle name="1_tree_구로리총괄내역_수도권매립지_설계서-1_00-설계서,원가계산,내역서" xfId="1688"/>
    <cellStyle name="1_tree_구로리총괄내역_수도권매립지_진해자은수량산출서(단지내)" xfId="1689"/>
    <cellStyle name="1_tree_구로리총괄내역_수도권매립지_진해자은수량산출서(단지내)_00-설계서,원가계산,내역서" xfId="1690"/>
    <cellStyle name="1_tree_구로리총괄내역_수도권매립지_진해자은수량산출서(단지내)_기초산출표-56-128-최종" xfId="1691"/>
    <cellStyle name="1_tree_구로리총괄내역_수도권매립지_진해자은수량산출서(단지내)_기초산출표-56-128-최종_00-설계서,원가계산,내역서" xfId="1692"/>
    <cellStyle name="1_tree_구로리총괄내역_수도권매립지_진해자은수량산출서(단지내)_기초산출표-56-128-최종_설계서-1" xfId="1693"/>
    <cellStyle name="1_tree_구로리총괄내역_수도권매립지_진해자은수량산출서(단지내)_기초산출표-56-128-최종_설계서-1_00-설계서,원가계산,내역서" xfId="1694"/>
    <cellStyle name="1_tree_구로리총괄내역_수도권매립지_진해자은수량산출서(단지내)_설계서-1" xfId="1695"/>
    <cellStyle name="1_tree_구로리총괄내역_수도권매립지_진해자은수량산출서(단지내)_설계서-1_00-설계서,원가계산,내역서" xfId="1696"/>
    <cellStyle name="1_tree_구로리총괄내역_수도권매립지_진해자은수량산출서(단지내)_취합" xfId="1697"/>
    <cellStyle name="1_tree_구로리총괄내역_수도권매립지_진해자은수량산출서(단지내)_취합_00-설계서,원가계산,내역서" xfId="1698"/>
    <cellStyle name="1_tree_구로리총괄내역_수도권매립지_진해자은수량산출서(단지내)_취합_설계서-1" xfId="1699"/>
    <cellStyle name="1_tree_구로리총괄내역_수도권매립지_진해자은수량산출서(단지내)_취합_설계서-1_00-설계서,원가계산,내역서" xfId="1700"/>
    <cellStyle name="1_tree_구로리총괄내역_일신건영설계예산서(0211)" xfId="1717"/>
    <cellStyle name="1_tree_구로리총괄내역_일신건영설계예산서(0211)_00-설계서,원가계산,내역서" xfId="1718"/>
    <cellStyle name="1_tree_구로리총괄내역_일신건영설계예산서(0211)_설계서-1" xfId="1719"/>
    <cellStyle name="1_tree_구로리총괄내역_일신건영설계예산서(0211)_설계서-1_00-설계서,원가계산,내역서" xfId="1720"/>
    <cellStyle name="1_tree_구로리총괄내역_일신건영설계예산서(0211)_진해자은수량산출서(단지내)" xfId="1721"/>
    <cellStyle name="1_tree_구로리총괄내역_일신건영설계예산서(0211)_진해자은수량산출서(단지내)_00-설계서,원가계산,내역서" xfId="1722"/>
    <cellStyle name="1_tree_구로리총괄내역_일신건영설계예산서(0211)_진해자은수량산출서(단지내)_기초산출표-56-128-최종" xfId="1723"/>
    <cellStyle name="1_tree_구로리총괄내역_일신건영설계예산서(0211)_진해자은수량산출서(단지내)_기초산출표-56-128-최종_00-설계서,원가계산,내역서" xfId="1724"/>
    <cellStyle name="1_tree_구로리총괄내역_일신건영설계예산서(0211)_진해자은수량산출서(단지내)_기초산출표-56-128-최종_설계서-1" xfId="1725"/>
    <cellStyle name="1_tree_구로리총괄내역_일신건영설계예산서(0211)_진해자은수량산출서(단지내)_기초산출표-56-128-최종_설계서-1_00-설계서,원가계산,내역서" xfId="1726"/>
    <cellStyle name="1_tree_구로리총괄내역_일신건영설계예산서(0211)_진해자은수량산출서(단지내)_설계서-1" xfId="1727"/>
    <cellStyle name="1_tree_구로리총괄내역_일신건영설계예산서(0211)_진해자은수량산출서(단지내)_설계서-1_00-설계서,원가계산,내역서" xfId="1728"/>
    <cellStyle name="1_tree_구로리총괄내역_일신건영설계예산서(0211)_진해자은수량산출서(단지내)_취합" xfId="1729"/>
    <cellStyle name="1_tree_구로리총괄내역_일신건영설계예산서(0211)_진해자은수량산출서(단지내)_취합_00-설계서,원가계산,내역서" xfId="1730"/>
    <cellStyle name="1_tree_구로리총괄내역_일신건영설계예산서(0211)_진해자은수량산출서(단지내)_취합_설계서-1" xfId="1731"/>
    <cellStyle name="1_tree_구로리총괄내역_일신건영설계예산서(0211)_진해자은수량산출서(단지내)_취합_설계서-1_00-설계서,원가계산,내역서" xfId="1732"/>
    <cellStyle name="1_tree_구로리총괄내역_일위대가" xfId="1733"/>
    <cellStyle name="1_tree_구로리총괄내역_일위대가_00-설계서,원가계산,내역서" xfId="1734"/>
    <cellStyle name="1_tree_구로리총괄내역_일위대가_설계서-1" xfId="1735"/>
    <cellStyle name="1_tree_구로리총괄내역_일위대가_설계서-1_00-설계서,원가계산,내역서" xfId="1736"/>
    <cellStyle name="1_tree_구로리총괄내역_일위대가_진해자은수량산출서(단지내)" xfId="1737"/>
    <cellStyle name="1_tree_구로리총괄내역_일위대가_진해자은수량산출서(단지내)_00-설계서,원가계산,내역서" xfId="1738"/>
    <cellStyle name="1_tree_구로리총괄내역_일위대가_진해자은수량산출서(단지내)_기초산출표-56-128-최종" xfId="1739"/>
    <cellStyle name="1_tree_구로리총괄내역_일위대가_진해자은수량산출서(단지내)_기초산출표-56-128-최종_00-설계서,원가계산,내역서" xfId="1740"/>
    <cellStyle name="1_tree_구로리총괄내역_일위대가_진해자은수량산출서(단지내)_기초산출표-56-128-최종_설계서-1" xfId="1741"/>
    <cellStyle name="1_tree_구로리총괄내역_일위대가_진해자은수량산출서(단지내)_기초산출표-56-128-최종_설계서-1_00-설계서,원가계산,내역서" xfId="1742"/>
    <cellStyle name="1_tree_구로리총괄내역_일위대가_진해자은수량산출서(단지내)_설계서-1" xfId="1743"/>
    <cellStyle name="1_tree_구로리총괄내역_일위대가_진해자은수량산출서(단지내)_설계서-1_00-설계서,원가계산,내역서" xfId="1744"/>
    <cellStyle name="1_tree_구로리총괄내역_일위대가_진해자은수량산출서(단지내)_취합" xfId="1745"/>
    <cellStyle name="1_tree_구로리총괄내역_일위대가_진해자은수량산출서(단지내)_취합_00-설계서,원가계산,내역서" xfId="1746"/>
    <cellStyle name="1_tree_구로리총괄내역_일위대가_진해자은수량산출서(단지내)_취합_설계서-1" xfId="1747"/>
    <cellStyle name="1_tree_구로리총괄내역_일위대가_진해자은수량산출서(단지내)_취합_설계서-1_00-설계서,원가계산,내역서" xfId="1748"/>
    <cellStyle name="1_tree_구로리총괄내역_자재단가표" xfId="1749"/>
    <cellStyle name="1_tree_구로리총괄내역_자재단가표_00-설계서,원가계산,내역서" xfId="1750"/>
    <cellStyle name="1_tree_구로리총괄내역_자재단가표_설계서-1" xfId="1751"/>
    <cellStyle name="1_tree_구로리총괄내역_자재단가표_설계서-1_00-설계서,원가계산,내역서" xfId="1752"/>
    <cellStyle name="1_tree_구로리총괄내역_자재단가표_진해자은수량산출서(단지내)" xfId="1753"/>
    <cellStyle name="1_tree_구로리총괄내역_자재단가표_진해자은수량산출서(단지내)_00-설계서,원가계산,내역서" xfId="1754"/>
    <cellStyle name="1_tree_구로리총괄내역_자재단가표_진해자은수량산출서(단지내)_기초산출표-56-128-최종" xfId="1755"/>
    <cellStyle name="1_tree_구로리총괄내역_자재단가표_진해자은수량산출서(단지내)_기초산출표-56-128-최종_00-설계서,원가계산,내역서" xfId="1756"/>
    <cellStyle name="1_tree_구로리총괄내역_자재단가표_진해자은수량산출서(단지내)_기초산출표-56-128-최종_설계서-1" xfId="1757"/>
    <cellStyle name="1_tree_구로리총괄내역_자재단가표_진해자은수량산출서(단지내)_기초산출표-56-128-최종_설계서-1_00-설계서,원가계산,내역서" xfId="1758"/>
    <cellStyle name="1_tree_구로리총괄내역_자재단가표_진해자은수량산출서(단지내)_설계서-1" xfId="1759"/>
    <cellStyle name="1_tree_구로리총괄내역_자재단가표_진해자은수량산출서(단지내)_설계서-1_00-설계서,원가계산,내역서" xfId="1760"/>
    <cellStyle name="1_tree_구로리총괄내역_자재단가표_진해자은수량산출서(단지내)_취합" xfId="1761"/>
    <cellStyle name="1_tree_구로리총괄내역_자재단가표_진해자은수량산출서(단지내)_취합_00-설계서,원가계산,내역서" xfId="1762"/>
    <cellStyle name="1_tree_구로리총괄내역_자재단가표_진해자은수량산출서(단지내)_취합_설계서-1" xfId="1763"/>
    <cellStyle name="1_tree_구로리총괄내역_자재단가표_진해자은수량산출서(단지내)_취합_설계서-1_00-설계서,원가계산,내역서" xfId="1764"/>
    <cellStyle name="1_tree_구로리총괄내역_장안초등학교내역0814" xfId="1765"/>
    <cellStyle name="1_tree_구로리총괄내역_장안초등학교내역0814_00-설계서,원가계산,내역서" xfId="1766"/>
    <cellStyle name="1_tree_구로리총괄내역_장안초등학교내역0814_설계서-1" xfId="1767"/>
    <cellStyle name="1_tree_구로리총괄내역_장안초등학교내역0814_설계서-1_00-설계서,원가계산,내역서" xfId="1768"/>
    <cellStyle name="1_tree_구로리총괄내역_장안초등학교내역0814_진해자은수량산출서(단지내)" xfId="1769"/>
    <cellStyle name="1_tree_구로리총괄내역_장안초등학교내역0814_진해자은수량산출서(단지내)_00-설계서,원가계산,내역서" xfId="1770"/>
    <cellStyle name="1_tree_구로리총괄내역_장안초등학교내역0814_진해자은수량산출서(단지내)_기초산출표-56-128-최종" xfId="1771"/>
    <cellStyle name="1_tree_구로리총괄내역_장안초등학교내역0814_진해자은수량산출서(단지내)_기초산출표-56-128-최종_00-설계서,원가계산,내역서" xfId="1772"/>
    <cellStyle name="1_tree_구로리총괄내역_장안초등학교내역0814_진해자은수량산출서(단지내)_기초산출표-56-128-최종_설계서-1" xfId="1773"/>
    <cellStyle name="1_tree_구로리총괄내역_장안초등학교내역0814_진해자은수량산출서(단지내)_기초산출표-56-128-최종_설계서-1_00-설계서,원가계산,내역서" xfId="1774"/>
    <cellStyle name="1_tree_구로리총괄내역_장안초등학교내역0814_진해자은수량산출서(단지내)_설계서-1" xfId="1775"/>
    <cellStyle name="1_tree_구로리총괄내역_장안초등학교내역0814_진해자은수량산출서(단지내)_설계서-1_00-설계서,원가계산,내역서" xfId="1776"/>
    <cellStyle name="1_tree_구로리총괄내역_장안초등학교내역0814_진해자은수량산출서(단지내)_취합" xfId="1777"/>
    <cellStyle name="1_tree_구로리총괄내역_장안초등학교내역0814_진해자은수량산출서(단지내)_취합_00-설계서,원가계산,내역서" xfId="1778"/>
    <cellStyle name="1_tree_구로리총괄내역_장안초등학교내역0814_진해자은수량산출서(단지내)_취합_설계서-1" xfId="1779"/>
    <cellStyle name="1_tree_구로리총괄내역_장안초등학교내역0814_진해자은수량산출서(단지내)_취합_설계서-1_00-설계서,원가계산,내역서" xfId="1780"/>
    <cellStyle name="1_tree_구로리총괄내역_진해자은수량산출서(단지내)" xfId="1781"/>
    <cellStyle name="1_tree_구로리총괄내역_진해자은수량산출서(단지내)_00-설계서,원가계산,내역서" xfId="1782"/>
    <cellStyle name="1_tree_구로리총괄내역_진해자은수량산출서(단지내)_기초산출표-56-128-최종" xfId="1783"/>
    <cellStyle name="1_tree_구로리총괄내역_진해자은수량산출서(단지내)_기초산출표-56-128-최종_00-설계서,원가계산,내역서" xfId="1784"/>
    <cellStyle name="1_tree_구로리총괄내역_진해자은수량산출서(단지내)_기초산출표-56-128-최종_설계서-1" xfId="1785"/>
    <cellStyle name="1_tree_구로리총괄내역_진해자은수량산출서(단지내)_기초산출표-56-128-최종_설계서-1_00-설계서,원가계산,내역서" xfId="1786"/>
    <cellStyle name="1_tree_구로리총괄내역_진해자은수량산출서(단지내)_설계서-1" xfId="1787"/>
    <cellStyle name="1_tree_구로리총괄내역_진해자은수량산출서(단지내)_설계서-1_00-설계서,원가계산,내역서" xfId="1788"/>
    <cellStyle name="1_tree_구로리총괄내역_진해자은수량산출서(단지내)_취합" xfId="1789"/>
    <cellStyle name="1_tree_구로리총괄내역_진해자은수량산출서(단지내)_취합_00-설계서,원가계산,내역서" xfId="1790"/>
    <cellStyle name="1_tree_구로리총괄내역_진해자은수량산출서(단지내)_취합_설계서-1" xfId="1791"/>
    <cellStyle name="1_tree_구로리총괄내역_진해자은수량산출서(단지내)_취합_설계서-1_00-설계서,원가계산,내역서" xfId="1792"/>
    <cellStyle name="1_tree_목동내역" xfId="1793"/>
    <cellStyle name="1_tree_목동내역_00-설계서,원가계산,내역서" xfId="1794"/>
    <cellStyle name="1_tree_목동내역_폐기물집계" xfId="1795"/>
    <cellStyle name="1_tree_목동내역_폐기물집계_00-설계서,원가계산,내역서" xfId="1796"/>
    <cellStyle name="1_tree_설계서-1" xfId="1797"/>
    <cellStyle name="1_tree_설계서-1_00-설계서,원가계산,내역서" xfId="1798"/>
    <cellStyle name="1_tree_수량산출" xfId="1799"/>
    <cellStyle name="1_tree_수량산출_00-설계서,원가계산,내역서" xfId="1800"/>
    <cellStyle name="1_tree_수량산출_00-수량산출서" xfId="1801"/>
    <cellStyle name="1_tree_수량산출_00-수량산출서_00-설계서,원가계산,내역서" xfId="1802"/>
    <cellStyle name="1_tree_수량산출_01-내역서(071118)" xfId="1803"/>
    <cellStyle name="1_tree_수량산출_01-내역서(071118)_00-설계서,원가계산,내역서" xfId="1804"/>
    <cellStyle name="1_tree_수량산출_구로리총괄내역" xfId="1805"/>
    <cellStyle name="1_tree_수량산출_구로리총괄내역_00-설계서,원가계산,내역서" xfId="1806"/>
    <cellStyle name="1_tree_수량산출_구로리총괄내역_구로리설계예산서1029" xfId="1807"/>
    <cellStyle name="1_tree_수량산출_구로리총괄내역_구로리설계예산서1029_00-설계서,원가계산,내역서" xfId="1808"/>
    <cellStyle name="1_tree_수량산출_구로리총괄내역_구로리설계예산서1029_설계서-1" xfId="1809"/>
    <cellStyle name="1_tree_수량산출_구로리총괄내역_구로리설계예산서1029_설계서-1_00-설계서,원가계산,내역서" xfId="1810"/>
    <cellStyle name="1_tree_수량산출_구로리총괄내역_구로리설계예산서1029_진해자은수량산출서(단지내)" xfId="1811"/>
    <cellStyle name="1_tree_수량산출_구로리총괄내역_구로리설계예산서1029_진해자은수량산출서(단지내)_00-설계서,원가계산,내역서" xfId="1812"/>
    <cellStyle name="1_tree_수량산출_구로리총괄내역_구로리설계예산서1029_진해자은수량산출서(단지내)_기초산출표-56-128-최종" xfId="1813"/>
    <cellStyle name="1_tree_수량산출_구로리총괄내역_구로리설계예산서1029_진해자은수량산출서(단지내)_기초산출표-56-128-최종_00-설계서,원가계산,내역서" xfId="1814"/>
    <cellStyle name="1_tree_수량산출_구로리총괄내역_구로리설계예산서1029_진해자은수량산출서(단지내)_기초산출표-56-128-최종_설계서-1" xfId="1815"/>
    <cellStyle name="1_tree_수량산출_구로리총괄내역_구로리설계예산서1029_진해자은수량산출서(단지내)_기초산출표-56-128-최종_설계서-1_00-설계서,원가계산,내역서" xfId="1816"/>
    <cellStyle name="1_tree_수량산출_구로리총괄내역_구로리설계예산서1029_진해자은수량산출서(단지내)_설계서-1" xfId="1817"/>
    <cellStyle name="1_tree_수량산출_구로리총괄내역_구로리설계예산서1029_진해자은수량산출서(단지내)_설계서-1_00-설계서,원가계산,내역서" xfId="1818"/>
    <cellStyle name="1_tree_수량산출_구로리총괄내역_구로리설계예산서1029_진해자은수량산출서(단지내)_취합" xfId="1819"/>
    <cellStyle name="1_tree_수량산출_구로리총괄내역_구로리설계예산서1029_진해자은수량산출서(단지내)_취합_00-설계서,원가계산,내역서" xfId="1820"/>
    <cellStyle name="1_tree_수량산출_구로리총괄내역_구로리설계예산서1029_진해자은수량산출서(단지내)_취합_설계서-1" xfId="1821"/>
    <cellStyle name="1_tree_수량산출_구로리총괄내역_구로리설계예산서1029_진해자은수량산출서(단지내)_취합_설계서-1_00-설계서,원가계산,내역서" xfId="1822"/>
    <cellStyle name="1_tree_수량산출_구로리총괄내역_구로리설계예산서1118준공" xfId="1823"/>
    <cellStyle name="1_tree_수량산출_구로리총괄내역_구로리설계예산서1118준공_00-설계서,원가계산,내역서" xfId="1824"/>
    <cellStyle name="1_tree_수량산출_구로리총괄내역_구로리설계예산서1118준공_설계서-1" xfId="1825"/>
    <cellStyle name="1_tree_수량산출_구로리총괄내역_구로리설계예산서1118준공_설계서-1_00-설계서,원가계산,내역서" xfId="1826"/>
    <cellStyle name="1_tree_수량산출_구로리총괄내역_구로리설계예산서1118준공_진해자은수량산출서(단지내)" xfId="1827"/>
    <cellStyle name="1_tree_수량산출_구로리총괄내역_구로리설계예산서1118준공_진해자은수량산출서(단지내)_00-설계서,원가계산,내역서" xfId="1828"/>
    <cellStyle name="1_tree_수량산출_구로리총괄내역_구로리설계예산서1118준공_진해자은수량산출서(단지내)_기초산출표-56-128-최종" xfId="1829"/>
    <cellStyle name="1_tree_수량산출_구로리총괄내역_구로리설계예산서1118준공_진해자은수량산출서(단지내)_기초산출표-56-128-최종_00-설계서,원가계산,내역서" xfId="1830"/>
    <cellStyle name="1_tree_수량산출_구로리총괄내역_구로리설계예산서1118준공_진해자은수량산출서(단지내)_기초산출표-56-128-최종_설계서-1" xfId="1831"/>
    <cellStyle name="1_tree_수량산출_구로리총괄내역_구로리설계예산서1118준공_진해자은수량산출서(단지내)_기초산출표-56-128-최종_설계서-1_00-설계서,원가계산,내역서" xfId="1832"/>
    <cellStyle name="1_tree_수량산출_구로리총괄내역_구로리설계예산서1118준공_진해자은수량산출서(단지내)_설계서-1" xfId="1833"/>
    <cellStyle name="1_tree_수량산출_구로리총괄내역_구로리설계예산서1118준공_진해자은수량산출서(단지내)_설계서-1_00-설계서,원가계산,내역서" xfId="1834"/>
    <cellStyle name="1_tree_수량산출_구로리총괄내역_구로리설계예산서1118준공_진해자은수량산출서(단지내)_취합" xfId="1835"/>
    <cellStyle name="1_tree_수량산출_구로리총괄내역_구로리설계예산서1118준공_진해자은수량산출서(단지내)_취합_00-설계서,원가계산,내역서" xfId="1836"/>
    <cellStyle name="1_tree_수량산출_구로리총괄내역_구로리설계예산서1118준공_진해자은수량산출서(단지내)_취합_설계서-1" xfId="1837"/>
    <cellStyle name="1_tree_수량산출_구로리총괄내역_구로리설계예산서1118준공_진해자은수량산출서(단지내)_취합_설계서-1_00-설계서,원가계산,내역서" xfId="1838"/>
    <cellStyle name="1_tree_수량산출_구로리총괄내역_구로리설계예산서조경" xfId="1839"/>
    <cellStyle name="1_tree_수량산출_구로리총괄내역_구로리설계예산서조경_00-설계서,원가계산,내역서" xfId="1840"/>
    <cellStyle name="1_tree_수량산출_구로리총괄내역_구로리설계예산서조경_설계서-1" xfId="1841"/>
    <cellStyle name="1_tree_수량산출_구로리총괄내역_구로리설계예산서조경_설계서-1_00-설계서,원가계산,내역서" xfId="1842"/>
    <cellStyle name="1_tree_수량산출_구로리총괄내역_구로리설계예산서조경_진해자은수량산출서(단지내)" xfId="1843"/>
    <cellStyle name="1_tree_수량산출_구로리총괄내역_구로리설계예산서조경_진해자은수량산출서(단지내)_00-설계서,원가계산,내역서" xfId="1844"/>
    <cellStyle name="1_tree_수량산출_구로리총괄내역_구로리설계예산서조경_진해자은수량산출서(단지내)_기초산출표-56-128-최종" xfId="1845"/>
    <cellStyle name="1_tree_수량산출_구로리총괄내역_구로리설계예산서조경_진해자은수량산출서(단지내)_기초산출표-56-128-최종_00-설계서,원가계산,내역서" xfId="1846"/>
    <cellStyle name="1_tree_수량산출_구로리총괄내역_구로리설계예산서조경_진해자은수량산출서(단지내)_기초산출표-56-128-최종_설계서-1" xfId="1847"/>
    <cellStyle name="1_tree_수량산출_구로리총괄내역_구로리설계예산서조경_진해자은수량산출서(단지내)_기초산출표-56-128-최종_설계서-1_00-설계서,원가계산,내역서" xfId="1848"/>
    <cellStyle name="1_tree_수량산출_구로리총괄내역_구로리설계예산서조경_진해자은수량산출서(단지내)_설계서-1" xfId="1849"/>
    <cellStyle name="1_tree_수량산출_구로리총괄내역_구로리설계예산서조경_진해자은수량산출서(단지내)_설계서-1_00-설계서,원가계산,내역서" xfId="1850"/>
    <cellStyle name="1_tree_수량산출_구로리총괄내역_구로리설계예산서조경_진해자은수량산출서(단지내)_취합" xfId="1851"/>
    <cellStyle name="1_tree_수량산출_구로리총괄내역_구로리설계예산서조경_진해자은수량산출서(단지내)_취합_00-설계서,원가계산,내역서" xfId="1852"/>
    <cellStyle name="1_tree_수량산출_구로리총괄내역_구로리설계예산서조경_진해자은수량산출서(단지내)_취합_설계서-1" xfId="1853"/>
    <cellStyle name="1_tree_수량산출_구로리총괄내역_구로리설계예산서조경_진해자은수량산출서(단지내)_취합_설계서-1_00-설계서,원가계산,내역서" xfId="1854"/>
    <cellStyle name="1_tree_수량산출_구로리총괄내역_구로리어린이공원예산서(조경)1125" xfId="1855"/>
    <cellStyle name="1_tree_수량산출_구로리총괄내역_구로리어린이공원예산서(조경)1125_00-설계서,원가계산,내역서" xfId="1856"/>
    <cellStyle name="1_tree_수량산출_구로리총괄내역_구로리어린이공원예산서(조경)1125_설계서-1" xfId="1857"/>
    <cellStyle name="1_tree_수량산출_구로리총괄내역_구로리어린이공원예산서(조경)1125_설계서-1_00-설계서,원가계산,내역서" xfId="1858"/>
    <cellStyle name="1_tree_수량산출_구로리총괄내역_구로리어린이공원예산서(조경)1125_진해자은수량산출서(단지내)" xfId="1859"/>
    <cellStyle name="1_tree_수량산출_구로리총괄내역_구로리어린이공원예산서(조경)1125_진해자은수량산출서(단지내)_00-설계서,원가계산,내역서" xfId="1860"/>
    <cellStyle name="1_tree_수량산출_구로리총괄내역_구로리어린이공원예산서(조경)1125_진해자은수량산출서(단지내)_기초산출표-56-128-최종" xfId="1861"/>
    <cellStyle name="1_tree_수량산출_구로리총괄내역_구로리어린이공원예산서(조경)1125_진해자은수량산출서(단지내)_기초산출표-56-128-최종_00-설계서,원가계산,내역서" xfId="1862"/>
    <cellStyle name="1_tree_수량산출_구로리총괄내역_구로리어린이공원예산서(조경)1125_진해자은수량산출서(단지내)_기초산출표-56-128-최종_설계서-1" xfId="1863"/>
    <cellStyle name="1_tree_수량산출_구로리총괄내역_구로리어린이공원예산서(조경)1125_진해자은수량산출서(단지내)_기초산출표-56-128-최종_설계서-1_00-설계서,원가계산,내역서" xfId="1864"/>
    <cellStyle name="1_tree_수량산출_구로리총괄내역_구로리어린이공원예산서(조경)1125_진해자은수량산출서(단지내)_설계서-1" xfId="1865"/>
    <cellStyle name="1_tree_수량산출_구로리총괄내역_구로리어린이공원예산서(조경)1125_진해자은수량산출서(단지내)_설계서-1_00-설계서,원가계산,내역서" xfId="1866"/>
    <cellStyle name="1_tree_수량산출_구로리총괄내역_구로리어린이공원예산서(조경)1125_진해자은수량산출서(단지내)_취합" xfId="1867"/>
    <cellStyle name="1_tree_수량산출_구로리총괄내역_구로리어린이공원예산서(조경)1125_진해자은수량산출서(단지내)_취합_00-설계서,원가계산,내역서" xfId="1868"/>
    <cellStyle name="1_tree_수량산출_구로리총괄내역_구로리어린이공원예산서(조경)1125_진해자은수량산출서(단지내)_취합_설계서-1" xfId="1869"/>
    <cellStyle name="1_tree_수량산출_구로리총괄내역_구로리어린이공원예산서(조경)1125_진해자은수량산출서(단지내)_취합_설계서-1_00-설계서,원가계산,내역서" xfId="1870"/>
    <cellStyle name="1_tree_수량산출_구로리총괄내역_내역서" xfId="1871"/>
    <cellStyle name="1_tree_수량산출_구로리총괄내역_내역서_00-설계서,원가계산,내역서" xfId="1872"/>
    <cellStyle name="1_tree_수량산출_구로리총괄내역_내역서_설계서-1" xfId="1873"/>
    <cellStyle name="1_tree_수량산출_구로리총괄내역_내역서_설계서-1_00-설계서,원가계산,내역서" xfId="1874"/>
    <cellStyle name="1_tree_수량산출_구로리총괄내역_내역서_진해자은수량산출서(단지내)" xfId="1875"/>
    <cellStyle name="1_tree_수량산출_구로리총괄내역_내역서_진해자은수량산출서(단지내)_00-설계서,원가계산,내역서" xfId="1876"/>
    <cellStyle name="1_tree_수량산출_구로리총괄내역_내역서_진해자은수량산출서(단지내)_기초산출표-56-128-최종" xfId="1877"/>
    <cellStyle name="1_tree_수량산출_구로리총괄내역_내역서_진해자은수량산출서(단지내)_기초산출표-56-128-최종_00-설계서,원가계산,내역서" xfId="1878"/>
    <cellStyle name="1_tree_수량산출_구로리총괄내역_내역서_진해자은수량산출서(단지내)_기초산출표-56-128-최종_설계서-1" xfId="1879"/>
    <cellStyle name="1_tree_수량산출_구로리총괄내역_내역서_진해자은수량산출서(단지내)_기초산출표-56-128-최종_설계서-1_00-설계서,원가계산,내역서" xfId="1880"/>
    <cellStyle name="1_tree_수량산출_구로리총괄내역_내역서_진해자은수량산출서(단지내)_설계서-1" xfId="1881"/>
    <cellStyle name="1_tree_수량산출_구로리총괄내역_내역서_진해자은수량산출서(단지내)_설계서-1_00-설계서,원가계산,내역서" xfId="1882"/>
    <cellStyle name="1_tree_수량산출_구로리총괄내역_내역서_진해자은수량산출서(단지내)_취합" xfId="1883"/>
    <cellStyle name="1_tree_수량산출_구로리총괄내역_내역서_진해자은수량산출서(단지내)_취합_00-설계서,원가계산,내역서" xfId="1884"/>
    <cellStyle name="1_tree_수량산출_구로리총괄내역_내역서_진해자은수량산출서(단지내)_취합_설계서-1" xfId="1885"/>
    <cellStyle name="1_tree_수량산출_구로리총괄내역_내역서_진해자은수량산출서(단지내)_취합_설계서-1_00-설계서,원가계산,내역서" xfId="1886"/>
    <cellStyle name="1_tree_수량산출_구로리총괄내역_노임단가표" xfId="1887"/>
    <cellStyle name="1_tree_수량산출_구로리총괄내역_노임단가표_00-설계서,원가계산,내역서" xfId="1888"/>
    <cellStyle name="1_tree_수량산출_구로리총괄내역_노임단가표_설계서-1" xfId="1889"/>
    <cellStyle name="1_tree_수량산출_구로리총괄내역_노임단가표_설계서-1_00-설계서,원가계산,내역서" xfId="1890"/>
    <cellStyle name="1_tree_수량산출_구로리총괄내역_노임단가표_진해자은수량산출서(단지내)" xfId="1891"/>
    <cellStyle name="1_tree_수량산출_구로리총괄내역_노임단가표_진해자은수량산출서(단지내)_00-설계서,원가계산,내역서" xfId="1892"/>
    <cellStyle name="1_tree_수량산출_구로리총괄내역_노임단가표_진해자은수량산출서(단지내)_기초산출표-56-128-최종" xfId="1893"/>
    <cellStyle name="1_tree_수량산출_구로리총괄내역_노임단가표_진해자은수량산출서(단지내)_기초산출표-56-128-최종_00-설계서,원가계산,내역서" xfId="1894"/>
    <cellStyle name="1_tree_수량산출_구로리총괄내역_노임단가표_진해자은수량산출서(단지내)_기초산출표-56-128-최종_설계서-1" xfId="1895"/>
    <cellStyle name="1_tree_수량산출_구로리총괄내역_노임단가표_진해자은수량산출서(단지내)_기초산출표-56-128-최종_설계서-1_00-설계서,원가계산,내역서" xfId="1896"/>
    <cellStyle name="1_tree_수량산출_구로리총괄내역_노임단가표_진해자은수량산출서(단지내)_설계서-1" xfId="1897"/>
    <cellStyle name="1_tree_수량산출_구로리총괄내역_노임단가표_진해자은수량산출서(단지내)_설계서-1_00-설계서,원가계산,내역서" xfId="1898"/>
    <cellStyle name="1_tree_수량산출_구로리총괄내역_노임단가표_진해자은수량산출서(단지내)_취합" xfId="1899"/>
    <cellStyle name="1_tree_수량산출_구로리총괄내역_노임단가표_진해자은수량산출서(단지내)_취합_00-설계서,원가계산,내역서" xfId="1900"/>
    <cellStyle name="1_tree_수량산출_구로리총괄내역_노임단가표_진해자은수량산출서(단지내)_취합_설계서-1" xfId="1901"/>
    <cellStyle name="1_tree_수량산출_구로리총괄내역_노임단가표_진해자은수량산출서(단지내)_취합_설계서-1_00-설계서,원가계산,내역서" xfId="1902"/>
    <cellStyle name="1_tree_수량산출_구로리총괄내역_설계서-1" xfId="1903"/>
    <cellStyle name="1_tree_수량산출_구로리총괄내역_설계서-1_00-설계서,원가계산,내역서" xfId="1904"/>
    <cellStyle name="1_tree_수량산출_구로리총괄내역_수도권매립지" xfId="1905"/>
    <cellStyle name="1_tree_수량산출_구로리총괄내역_수도권매립지1004(발주용)" xfId="1921"/>
    <cellStyle name="1_tree_수량산출_구로리총괄내역_수도권매립지1004(발주용)_00-설계서,원가계산,내역서" xfId="1922"/>
    <cellStyle name="1_tree_수량산출_구로리총괄내역_수도권매립지1004(발주용)_설계서-1" xfId="1923"/>
    <cellStyle name="1_tree_수량산출_구로리총괄내역_수도권매립지1004(발주용)_설계서-1_00-설계서,원가계산,내역서" xfId="1924"/>
    <cellStyle name="1_tree_수량산출_구로리총괄내역_수도권매립지1004(발주용)_진해자은수량산출서(단지내)" xfId="1925"/>
    <cellStyle name="1_tree_수량산출_구로리총괄내역_수도권매립지1004(발주용)_진해자은수량산출서(단지내)_00-설계서,원가계산,내역서" xfId="1926"/>
    <cellStyle name="1_tree_수량산출_구로리총괄내역_수도권매립지1004(발주용)_진해자은수량산출서(단지내)_기초산출표-56-128-최종" xfId="1927"/>
    <cellStyle name="1_tree_수량산출_구로리총괄내역_수도권매립지1004(발주용)_진해자은수량산출서(단지내)_기초산출표-56-128-최종_00-설계서,원가계산,내역서" xfId="1928"/>
    <cellStyle name="1_tree_수량산출_구로리총괄내역_수도권매립지1004(발주용)_진해자은수량산출서(단지내)_기초산출표-56-128-최종_설계서-1" xfId="1929"/>
    <cellStyle name="1_tree_수량산출_구로리총괄내역_수도권매립지1004(발주용)_진해자은수량산출서(단지내)_기초산출표-56-128-최종_설계서-1_00-설계서,원가계산,내역서" xfId="1930"/>
    <cellStyle name="1_tree_수량산출_구로리총괄내역_수도권매립지1004(발주용)_진해자은수량산출서(단지내)_설계서-1" xfId="1931"/>
    <cellStyle name="1_tree_수량산출_구로리총괄내역_수도권매립지1004(발주용)_진해자은수량산출서(단지내)_설계서-1_00-설계서,원가계산,내역서" xfId="1932"/>
    <cellStyle name="1_tree_수량산출_구로리총괄내역_수도권매립지1004(발주용)_진해자은수량산출서(단지내)_취합" xfId="1933"/>
    <cellStyle name="1_tree_수량산출_구로리총괄내역_수도권매립지1004(발주용)_진해자은수량산출서(단지내)_취합_00-설계서,원가계산,내역서" xfId="1934"/>
    <cellStyle name="1_tree_수량산출_구로리총괄내역_수도권매립지1004(발주용)_진해자은수량산출서(단지내)_취합_설계서-1" xfId="1935"/>
    <cellStyle name="1_tree_수량산출_구로리총괄내역_수도권매립지1004(발주용)_진해자은수량산출서(단지내)_취합_설계서-1_00-설계서,원가계산,내역서" xfId="1936"/>
    <cellStyle name="1_tree_수량산출_구로리총괄내역_수도권매립지_00-설계서,원가계산,내역서" xfId="1906"/>
    <cellStyle name="1_tree_수량산출_구로리총괄내역_수도권매립지_설계서-1" xfId="1907"/>
    <cellStyle name="1_tree_수량산출_구로리총괄내역_수도권매립지_설계서-1_00-설계서,원가계산,내역서" xfId="1908"/>
    <cellStyle name="1_tree_수량산출_구로리총괄내역_수도권매립지_진해자은수량산출서(단지내)" xfId="1909"/>
    <cellStyle name="1_tree_수량산출_구로리총괄내역_수도권매립지_진해자은수량산출서(단지내)_00-설계서,원가계산,내역서" xfId="1910"/>
    <cellStyle name="1_tree_수량산출_구로리총괄내역_수도권매립지_진해자은수량산출서(단지내)_기초산출표-56-128-최종" xfId="1911"/>
    <cellStyle name="1_tree_수량산출_구로리총괄내역_수도권매립지_진해자은수량산출서(단지내)_기초산출표-56-128-최종_00-설계서,원가계산,내역서" xfId="1912"/>
    <cellStyle name="1_tree_수량산출_구로리총괄내역_수도권매립지_진해자은수량산출서(단지내)_기초산출표-56-128-최종_설계서-1" xfId="1913"/>
    <cellStyle name="1_tree_수량산출_구로리총괄내역_수도권매립지_진해자은수량산출서(단지내)_기초산출표-56-128-최종_설계서-1_00-설계서,원가계산,내역서" xfId="1914"/>
    <cellStyle name="1_tree_수량산출_구로리총괄내역_수도권매립지_진해자은수량산출서(단지내)_설계서-1" xfId="1915"/>
    <cellStyle name="1_tree_수량산출_구로리총괄내역_수도권매립지_진해자은수량산출서(단지내)_설계서-1_00-설계서,원가계산,내역서" xfId="1916"/>
    <cellStyle name="1_tree_수량산출_구로리총괄내역_수도권매립지_진해자은수량산출서(단지내)_취합" xfId="1917"/>
    <cellStyle name="1_tree_수량산출_구로리총괄내역_수도권매립지_진해자은수량산출서(단지내)_취합_00-설계서,원가계산,내역서" xfId="1918"/>
    <cellStyle name="1_tree_수량산출_구로리총괄내역_수도권매립지_진해자은수량산출서(단지내)_취합_설계서-1" xfId="1919"/>
    <cellStyle name="1_tree_수량산출_구로리총괄내역_수도권매립지_진해자은수량산출서(단지내)_취합_설계서-1_00-설계서,원가계산,내역서" xfId="1920"/>
    <cellStyle name="1_tree_수량산출_구로리총괄내역_일신건영설계예산서(0211)" xfId="1937"/>
    <cellStyle name="1_tree_수량산출_구로리총괄내역_일신건영설계예산서(0211)_00-설계서,원가계산,내역서" xfId="1938"/>
    <cellStyle name="1_tree_수량산출_구로리총괄내역_일신건영설계예산서(0211)_설계서-1" xfId="1939"/>
    <cellStyle name="1_tree_수량산출_구로리총괄내역_일신건영설계예산서(0211)_설계서-1_00-설계서,원가계산,내역서" xfId="1940"/>
    <cellStyle name="1_tree_수량산출_구로리총괄내역_일신건영설계예산서(0211)_진해자은수량산출서(단지내)" xfId="1941"/>
    <cellStyle name="1_tree_수량산출_구로리총괄내역_일신건영설계예산서(0211)_진해자은수량산출서(단지내)_00-설계서,원가계산,내역서" xfId="1942"/>
    <cellStyle name="1_tree_수량산출_구로리총괄내역_일신건영설계예산서(0211)_진해자은수량산출서(단지내)_기초산출표-56-128-최종" xfId="1943"/>
    <cellStyle name="1_tree_수량산출_구로리총괄내역_일신건영설계예산서(0211)_진해자은수량산출서(단지내)_기초산출표-56-128-최종_00-설계서,원가계산,내역서" xfId="1944"/>
    <cellStyle name="1_tree_수량산출_구로리총괄내역_일신건영설계예산서(0211)_진해자은수량산출서(단지내)_기초산출표-56-128-최종_설계서-1" xfId="1945"/>
    <cellStyle name="1_tree_수량산출_구로리총괄내역_일신건영설계예산서(0211)_진해자은수량산출서(단지내)_기초산출표-56-128-최종_설계서-1_00-설계서,원가계산,내역서" xfId="1946"/>
    <cellStyle name="1_tree_수량산출_구로리총괄내역_일신건영설계예산서(0211)_진해자은수량산출서(단지내)_설계서-1" xfId="1947"/>
    <cellStyle name="1_tree_수량산출_구로리총괄내역_일신건영설계예산서(0211)_진해자은수량산출서(단지내)_설계서-1_00-설계서,원가계산,내역서" xfId="1948"/>
    <cellStyle name="1_tree_수량산출_구로리총괄내역_일신건영설계예산서(0211)_진해자은수량산출서(단지내)_취합" xfId="1949"/>
    <cellStyle name="1_tree_수량산출_구로리총괄내역_일신건영설계예산서(0211)_진해자은수량산출서(단지내)_취합_00-설계서,원가계산,내역서" xfId="1950"/>
    <cellStyle name="1_tree_수량산출_구로리총괄내역_일신건영설계예산서(0211)_진해자은수량산출서(단지내)_취합_설계서-1" xfId="1951"/>
    <cellStyle name="1_tree_수량산출_구로리총괄내역_일신건영설계예산서(0211)_진해자은수량산출서(단지내)_취합_설계서-1_00-설계서,원가계산,내역서" xfId="1952"/>
    <cellStyle name="1_tree_수량산출_구로리총괄내역_일위대가" xfId="1953"/>
    <cellStyle name="1_tree_수량산출_구로리총괄내역_일위대가_00-설계서,원가계산,내역서" xfId="1954"/>
    <cellStyle name="1_tree_수량산출_구로리총괄내역_일위대가_설계서-1" xfId="1955"/>
    <cellStyle name="1_tree_수량산출_구로리총괄내역_일위대가_설계서-1_00-설계서,원가계산,내역서" xfId="1956"/>
    <cellStyle name="1_tree_수량산출_구로리총괄내역_일위대가_진해자은수량산출서(단지내)" xfId="1957"/>
    <cellStyle name="1_tree_수량산출_구로리총괄내역_일위대가_진해자은수량산출서(단지내)_00-설계서,원가계산,내역서" xfId="1958"/>
    <cellStyle name="1_tree_수량산출_구로리총괄내역_일위대가_진해자은수량산출서(단지내)_기초산출표-56-128-최종" xfId="1959"/>
    <cellStyle name="1_tree_수량산출_구로리총괄내역_일위대가_진해자은수량산출서(단지내)_기초산출표-56-128-최종_00-설계서,원가계산,내역서" xfId="1960"/>
    <cellStyle name="1_tree_수량산출_구로리총괄내역_일위대가_진해자은수량산출서(단지내)_기초산출표-56-128-최종_설계서-1" xfId="1961"/>
    <cellStyle name="1_tree_수량산출_구로리총괄내역_일위대가_진해자은수량산출서(단지내)_기초산출표-56-128-최종_설계서-1_00-설계서,원가계산,내역서" xfId="1962"/>
    <cellStyle name="1_tree_수량산출_구로리총괄내역_일위대가_진해자은수량산출서(단지내)_설계서-1" xfId="1963"/>
    <cellStyle name="1_tree_수량산출_구로리총괄내역_일위대가_진해자은수량산출서(단지내)_설계서-1_00-설계서,원가계산,내역서" xfId="1964"/>
    <cellStyle name="1_tree_수량산출_구로리총괄내역_일위대가_진해자은수량산출서(단지내)_취합" xfId="1965"/>
    <cellStyle name="1_tree_수량산출_구로리총괄내역_일위대가_진해자은수량산출서(단지내)_취합_00-설계서,원가계산,내역서" xfId="1966"/>
    <cellStyle name="1_tree_수량산출_구로리총괄내역_일위대가_진해자은수량산출서(단지내)_취합_설계서-1" xfId="1967"/>
    <cellStyle name="1_tree_수량산출_구로리총괄내역_일위대가_진해자은수량산출서(단지내)_취합_설계서-1_00-설계서,원가계산,내역서" xfId="1968"/>
    <cellStyle name="1_tree_수량산출_구로리총괄내역_자재단가표" xfId="1969"/>
    <cellStyle name="1_tree_수량산출_구로리총괄내역_자재단가표_00-설계서,원가계산,내역서" xfId="1970"/>
    <cellStyle name="1_tree_수량산출_구로리총괄내역_자재단가표_설계서-1" xfId="1971"/>
    <cellStyle name="1_tree_수량산출_구로리총괄내역_자재단가표_설계서-1_00-설계서,원가계산,내역서" xfId="1972"/>
    <cellStyle name="1_tree_수량산출_구로리총괄내역_자재단가표_진해자은수량산출서(단지내)" xfId="1973"/>
    <cellStyle name="1_tree_수량산출_구로리총괄내역_자재단가표_진해자은수량산출서(단지내)_00-설계서,원가계산,내역서" xfId="1974"/>
    <cellStyle name="1_tree_수량산출_구로리총괄내역_자재단가표_진해자은수량산출서(단지내)_기초산출표-56-128-최종" xfId="1975"/>
    <cellStyle name="1_tree_수량산출_구로리총괄내역_자재단가표_진해자은수량산출서(단지내)_기초산출표-56-128-최종_00-설계서,원가계산,내역서" xfId="1976"/>
    <cellStyle name="1_tree_수량산출_구로리총괄내역_자재단가표_진해자은수량산출서(단지내)_기초산출표-56-128-최종_설계서-1" xfId="1977"/>
    <cellStyle name="1_tree_수량산출_구로리총괄내역_자재단가표_진해자은수량산출서(단지내)_기초산출표-56-128-최종_설계서-1_00-설계서,원가계산,내역서" xfId="1978"/>
    <cellStyle name="1_tree_수량산출_구로리총괄내역_자재단가표_진해자은수량산출서(단지내)_설계서-1" xfId="1979"/>
    <cellStyle name="1_tree_수량산출_구로리총괄내역_자재단가표_진해자은수량산출서(단지내)_설계서-1_00-설계서,원가계산,내역서" xfId="1980"/>
    <cellStyle name="1_tree_수량산출_구로리총괄내역_자재단가표_진해자은수량산출서(단지내)_취합" xfId="1981"/>
    <cellStyle name="1_tree_수량산출_구로리총괄내역_자재단가표_진해자은수량산출서(단지내)_취합_00-설계서,원가계산,내역서" xfId="1982"/>
    <cellStyle name="1_tree_수량산출_구로리총괄내역_자재단가표_진해자은수량산출서(단지내)_취합_설계서-1" xfId="1983"/>
    <cellStyle name="1_tree_수량산출_구로리총괄내역_자재단가표_진해자은수량산출서(단지내)_취합_설계서-1_00-설계서,원가계산,내역서" xfId="1984"/>
    <cellStyle name="1_tree_수량산출_구로리총괄내역_장안초등학교내역0814" xfId="1985"/>
    <cellStyle name="1_tree_수량산출_구로리총괄내역_장안초등학교내역0814_00-설계서,원가계산,내역서" xfId="1986"/>
    <cellStyle name="1_tree_수량산출_구로리총괄내역_장안초등학교내역0814_설계서-1" xfId="1987"/>
    <cellStyle name="1_tree_수량산출_구로리총괄내역_장안초등학교내역0814_설계서-1_00-설계서,원가계산,내역서" xfId="1988"/>
    <cellStyle name="1_tree_수량산출_구로리총괄내역_장안초등학교내역0814_진해자은수량산출서(단지내)" xfId="1989"/>
    <cellStyle name="1_tree_수량산출_구로리총괄내역_장안초등학교내역0814_진해자은수량산출서(단지내)_00-설계서,원가계산,내역서" xfId="1990"/>
    <cellStyle name="1_tree_수량산출_구로리총괄내역_장안초등학교내역0814_진해자은수량산출서(단지내)_기초산출표-56-128-최종" xfId="1991"/>
    <cellStyle name="1_tree_수량산출_구로리총괄내역_장안초등학교내역0814_진해자은수량산출서(단지내)_기초산출표-56-128-최종_00-설계서,원가계산,내역서" xfId="1992"/>
    <cellStyle name="1_tree_수량산출_구로리총괄내역_장안초등학교내역0814_진해자은수량산출서(단지내)_기초산출표-56-128-최종_설계서-1" xfId="1993"/>
    <cellStyle name="1_tree_수량산출_구로리총괄내역_장안초등학교내역0814_진해자은수량산출서(단지내)_기초산출표-56-128-최종_설계서-1_00-설계서,원가계산,내역서" xfId="1994"/>
    <cellStyle name="1_tree_수량산출_구로리총괄내역_장안초등학교내역0814_진해자은수량산출서(단지내)_설계서-1" xfId="1995"/>
    <cellStyle name="1_tree_수량산출_구로리총괄내역_장안초등학교내역0814_진해자은수량산출서(단지내)_설계서-1_00-설계서,원가계산,내역서" xfId="1996"/>
    <cellStyle name="1_tree_수량산출_구로리총괄내역_장안초등학교내역0814_진해자은수량산출서(단지내)_취합" xfId="1997"/>
    <cellStyle name="1_tree_수량산출_구로리총괄내역_장안초등학교내역0814_진해자은수량산출서(단지내)_취합_00-설계서,원가계산,내역서" xfId="1998"/>
    <cellStyle name="1_tree_수량산출_구로리총괄내역_장안초등학교내역0814_진해자은수량산출서(단지내)_취합_설계서-1" xfId="1999"/>
    <cellStyle name="1_tree_수량산출_구로리총괄내역_장안초등학교내역0814_진해자은수량산출서(단지내)_취합_설계서-1_00-설계서,원가계산,내역서" xfId="2000"/>
    <cellStyle name="1_tree_수량산출_구로리총괄내역_진해자은수량산출서(단지내)" xfId="2001"/>
    <cellStyle name="1_tree_수량산출_구로리총괄내역_진해자은수량산출서(단지내)_00-설계서,원가계산,내역서" xfId="2002"/>
    <cellStyle name="1_tree_수량산출_구로리총괄내역_진해자은수량산출서(단지내)_기초산출표-56-128-최종" xfId="2003"/>
    <cellStyle name="1_tree_수량산출_구로리총괄내역_진해자은수량산출서(단지내)_기초산출표-56-128-최종_00-설계서,원가계산,내역서" xfId="2004"/>
    <cellStyle name="1_tree_수량산출_구로리총괄내역_진해자은수량산출서(단지내)_기초산출표-56-128-최종_설계서-1" xfId="2005"/>
    <cellStyle name="1_tree_수량산출_구로리총괄내역_진해자은수량산출서(단지내)_기초산출표-56-128-최종_설계서-1_00-설계서,원가계산,내역서" xfId="2006"/>
    <cellStyle name="1_tree_수량산출_구로리총괄내역_진해자은수량산출서(단지내)_설계서-1" xfId="2007"/>
    <cellStyle name="1_tree_수량산출_구로리총괄내역_진해자은수량산출서(단지내)_설계서-1_00-설계서,원가계산,내역서" xfId="2008"/>
    <cellStyle name="1_tree_수량산출_구로리총괄내역_진해자은수량산출서(단지내)_취합" xfId="2009"/>
    <cellStyle name="1_tree_수량산출_구로리총괄내역_진해자은수량산출서(단지내)_취합_00-설계서,원가계산,내역서" xfId="2010"/>
    <cellStyle name="1_tree_수량산출_구로리총괄내역_진해자은수량산출서(단지내)_취합_설계서-1" xfId="2011"/>
    <cellStyle name="1_tree_수량산출_구로리총괄내역_진해자은수량산출서(단지내)_취합_설계서-1_00-설계서,원가계산,내역서" xfId="2012"/>
    <cellStyle name="1_tree_수량산출_목동내역" xfId="2013"/>
    <cellStyle name="1_tree_수량산출_목동내역_00-설계서,원가계산,내역서" xfId="2014"/>
    <cellStyle name="1_tree_수량산출_목동내역_폐기물집계" xfId="2015"/>
    <cellStyle name="1_tree_수량산출_목동내역_폐기물집계_00-설계서,원가계산,내역서" xfId="2016"/>
    <cellStyle name="1_tree_수량산출_설계서-1" xfId="2017"/>
    <cellStyle name="1_tree_수량산출_설계서-1_00-설계서,원가계산,내역서" xfId="2018"/>
    <cellStyle name="1_tree_수량산출_이문동구간중랑천변녹화사업(수량산출서, 071127)-최종" xfId="2019"/>
    <cellStyle name="1_tree_수량산출_이문동구간중랑천변녹화사업(수량산출서, 071127)-최종_00-설계서,원가계산,내역서" xfId="2020"/>
    <cellStyle name="1_tree_수량산출_진해자은수량산출서(단지내)" xfId="2021"/>
    <cellStyle name="1_tree_수량산출_진해자은수량산출서(단지내)_00-설계서,원가계산,내역서" xfId="2022"/>
    <cellStyle name="1_tree_수량산출_진해자은수량산출서(단지내)_기초산출표-56-128-최종" xfId="2023"/>
    <cellStyle name="1_tree_수량산출_진해자은수량산출서(단지내)_기초산출표-56-128-최종_00-설계서,원가계산,내역서" xfId="2024"/>
    <cellStyle name="1_tree_수량산출_진해자은수량산출서(단지내)_기초산출표-56-128-최종_설계서-1" xfId="2025"/>
    <cellStyle name="1_tree_수량산출_진해자은수량산출서(단지내)_기초산출표-56-128-최종_설계서-1_00-설계서,원가계산,내역서" xfId="2026"/>
    <cellStyle name="1_tree_수량산출_진해자은수량산출서(단지내)_설계서-1" xfId="2027"/>
    <cellStyle name="1_tree_수량산출_진해자은수량산출서(단지내)_설계서-1_00-설계서,원가계산,내역서" xfId="2028"/>
    <cellStyle name="1_tree_수량산출_진해자은수량산출서(단지내)_취합" xfId="2029"/>
    <cellStyle name="1_tree_수량산출_진해자은수량산출서(단지내)_취합_00-설계서,원가계산,내역서" xfId="2030"/>
    <cellStyle name="1_tree_수량산출_진해자은수량산출서(단지내)_취합_설계서-1" xfId="2031"/>
    <cellStyle name="1_tree_수량산출_진해자은수량산출서(단지내)_취합_설계서-1_00-설계서,원가계산,내역서" xfId="2032"/>
    <cellStyle name="1_tree_수량산출_총괄내역0518" xfId="2033"/>
    <cellStyle name="1_tree_수량산출_총괄내역0518_00-설계서,원가계산,내역서" xfId="2034"/>
    <cellStyle name="1_tree_수량산출_총괄내역0518_구로리설계예산서1029" xfId="2035"/>
    <cellStyle name="1_tree_수량산출_총괄내역0518_구로리설계예산서1029_00-설계서,원가계산,내역서" xfId="2036"/>
    <cellStyle name="1_tree_수량산출_총괄내역0518_구로리설계예산서1029_설계서-1" xfId="2037"/>
    <cellStyle name="1_tree_수량산출_총괄내역0518_구로리설계예산서1029_설계서-1_00-설계서,원가계산,내역서" xfId="2038"/>
    <cellStyle name="1_tree_수량산출_총괄내역0518_구로리설계예산서1029_진해자은수량산출서(단지내)" xfId="2039"/>
    <cellStyle name="1_tree_수량산출_총괄내역0518_구로리설계예산서1029_진해자은수량산출서(단지내)_00-설계서,원가계산,내역서" xfId="2040"/>
    <cellStyle name="1_tree_수량산출_총괄내역0518_구로리설계예산서1029_진해자은수량산출서(단지내)_기초산출표-56-128-최종" xfId="2041"/>
    <cellStyle name="1_tree_수량산출_총괄내역0518_구로리설계예산서1029_진해자은수량산출서(단지내)_기초산출표-56-128-최종_00-설계서,원가계산,내역서" xfId="2042"/>
    <cellStyle name="1_tree_수량산출_총괄내역0518_구로리설계예산서1029_진해자은수량산출서(단지내)_기초산출표-56-128-최종_설계서-1" xfId="2043"/>
    <cellStyle name="1_tree_수량산출_총괄내역0518_구로리설계예산서1029_진해자은수량산출서(단지내)_기초산출표-56-128-최종_설계서-1_00-설계서,원가계산,내역서" xfId="2044"/>
    <cellStyle name="1_tree_수량산출_총괄내역0518_구로리설계예산서1029_진해자은수량산출서(단지내)_설계서-1" xfId="2045"/>
    <cellStyle name="1_tree_수량산출_총괄내역0518_구로리설계예산서1029_진해자은수량산출서(단지내)_설계서-1_00-설계서,원가계산,내역서" xfId="2046"/>
    <cellStyle name="1_tree_수량산출_총괄내역0518_구로리설계예산서1029_진해자은수량산출서(단지내)_취합" xfId="2047"/>
    <cellStyle name="1_tree_수량산출_총괄내역0518_구로리설계예산서1029_진해자은수량산출서(단지내)_취합_00-설계서,원가계산,내역서" xfId="2048"/>
    <cellStyle name="1_tree_수량산출_총괄내역0518_구로리설계예산서1029_진해자은수량산출서(단지내)_취합_설계서-1" xfId="2049"/>
    <cellStyle name="1_tree_수량산출_총괄내역0518_구로리설계예산서1029_진해자은수량산출서(단지내)_취합_설계서-1_00-설계서,원가계산,내역서" xfId="2050"/>
    <cellStyle name="1_tree_수량산출_총괄내역0518_구로리설계예산서1118준공" xfId="2051"/>
    <cellStyle name="1_tree_수량산출_총괄내역0518_구로리설계예산서1118준공_00-설계서,원가계산,내역서" xfId="2052"/>
    <cellStyle name="1_tree_수량산출_총괄내역0518_구로리설계예산서1118준공_설계서-1" xfId="2053"/>
    <cellStyle name="1_tree_수량산출_총괄내역0518_구로리설계예산서1118준공_설계서-1_00-설계서,원가계산,내역서" xfId="2054"/>
    <cellStyle name="1_tree_수량산출_총괄내역0518_구로리설계예산서1118준공_진해자은수량산출서(단지내)" xfId="2055"/>
    <cellStyle name="1_tree_수량산출_총괄내역0518_구로리설계예산서1118준공_진해자은수량산출서(단지내)_00-설계서,원가계산,내역서" xfId="2056"/>
    <cellStyle name="1_tree_수량산출_총괄내역0518_구로리설계예산서1118준공_진해자은수량산출서(단지내)_기초산출표-56-128-최종" xfId="2057"/>
    <cellStyle name="1_tree_수량산출_총괄내역0518_구로리설계예산서1118준공_진해자은수량산출서(단지내)_기초산출표-56-128-최종_00-설계서,원가계산,내역서" xfId="2058"/>
    <cellStyle name="1_tree_수량산출_총괄내역0518_구로리설계예산서1118준공_진해자은수량산출서(단지내)_기초산출표-56-128-최종_설계서-1" xfId="2059"/>
    <cellStyle name="1_tree_수량산출_총괄내역0518_구로리설계예산서1118준공_진해자은수량산출서(단지내)_기초산출표-56-128-최종_설계서-1_00-설계서,원가계산,내역서" xfId="2060"/>
    <cellStyle name="1_tree_수량산출_총괄내역0518_구로리설계예산서1118준공_진해자은수량산출서(단지내)_설계서-1" xfId="2061"/>
    <cellStyle name="1_tree_수량산출_총괄내역0518_구로리설계예산서1118준공_진해자은수량산출서(단지내)_설계서-1_00-설계서,원가계산,내역서" xfId="2062"/>
    <cellStyle name="1_tree_수량산출_총괄내역0518_구로리설계예산서1118준공_진해자은수량산출서(단지내)_취합" xfId="2063"/>
    <cellStyle name="1_tree_수량산출_총괄내역0518_구로리설계예산서1118준공_진해자은수량산출서(단지내)_취합_00-설계서,원가계산,내역서" xfId="2064"/>
    <cellStyle name="1_tree_수량산출_총괄내역0518_구로리설계예산서1118준공_진해자은수량산출서(단지내)_취합_설계서-1" xfId="2065"/>
    <cellStyle name="1_tree_수량산출_총괄내역0518_구로리설계예산서1118준공_진해자은수량산출서(단지내)_취합_설계서-1_00-설계서,원가계산,내역서" xfId="2066"/>
    <cellStyle name="1_tree_수량산출_총괄내역0518_구로리설계예산서조경" xfId="2067"/>
    <cellStyle name="1_tree_수량산출_총괄내역0518_구로리설계예산서조경_00-설계서,원가계산,내역서" xfId="2068"/>
    <cellStyle name="1_tree_수량산출_총괄내역0518_구로리설계예산서조경_설계서-1" xfId="2069"/>
    <cellStyle name="1_tree_수량산출_총괄내역0518_구로리설계예산서조경_설계서-1_00-설계서,원가계산,내역서" xfId="2070"/>
    <cellStyle name="1_tree_수량산출_총괄내역0518_구로리설계예산서조경_진해자은수량산출서(단지내)" xfId="2071"/>
    <cellStyle name="1_tree_수량산출_총괄내역0518_구로리설계예산서조경_진해자은수량산출서(단지내)_00-설계서,원가계산,내역서" xfId="2072"/>
    <cellStyle name="1_tree_수량산출_총괄내역0518_구로리설계예산서조경_진해자은수량산출서(단지내)_기초산출표-56-128-최종" xfId="2073"/>
    <cellStyle name="1_tree_수량산출_총괄내역0518_구로리설계예산서조경_진해자은수량산출서(단지내)_기초산출표-56-128-최종_00-설계서,원가계산,내역서" xfId="2074"/>
    <cellStyle name="1_tree_수량산출_총괄내역0518_구로리설계예산서조경_진해자은수량산출서(단지내)_기초산출표-56-128-최종_설계서-1" xfId="2075"/>
    <cellStyle name="1_tree_수량산출_총괄내역0518_구로리설계예산서조경_진해자은수량산출서(단지내)_기초산출표-56-128-최종_설계서-1_00-설계서,원가계산,내역서" xfId="2076"/>
    <cellStyle name="1_tree_수량산출_총괄내역0518_구로리설계예산서조경_진해자은수량산출서(단지내)_설계서-1" xfId="2077"/>
    <cellStyle name="1_tree_수량산출_총괄내역0518_구로리설계예산서조경_진해자은수량산출서(단지내)_설계서-1_00-설계서,원가계산,내역서" xfId="2078"/>
    <cellStyle name="1_tree_수량산출_총괄내역0518_구로리설계예산서조경_진해자은수량산출서(단지내)_취합" xfId="2079"/>
    <cellStyle name="1_tree_수량산출_총괄내역0518_구로리설계예산서조경_진해자은수량산출서(단지내)_취합_00-설계서,원가계산,내역서" xfId="2080"/>
    <cellStyle name="1_tree_수량산출_총괄내역0518_구로리설계예산서조경_진해자은수량산출서(단지내)_취합_설계서-1" xfId="2081"/>
    <cellStyle name="1_tree_수량산출_총괄내역0518_구로리설계예산서조경_진해자은수량산출서(단지내)_취합_설계서-1_00-설계서,원가계산,내역서" xfId="2082"/>
    <cellStyle name="1_tree_수량산출_총괄내역0518_구로리어린이공원예산서(조경)1125" xfId="2083"/>
    <cellStyle name="1_tree_수량산출_총괄내역0518_구로리어린이공원예산서(조경)1125_00-설계서,원가계산,내역서" xfId="2084"/>
    <cellStyle name="1_tree_수량산출_총괄내역0518_구로리어린이공원예산서(조경)1125_설계서-1" xfId="2085"/>
    <cellStyle name="1_tree_수량산출_총괄내역0518_구로리어린이공원예산서(조경)1125_설계서-1_00-설계서,원가계산,내역서" xfId="2086"/>
    <cellStyle name="1_tree_수량산출_총괄내역0518_구로리어린이공원예산서(조경)1125_진해자은수량산출서(단지내)" xfId="2087"/>
    <cellStyle name="1_tree_수량산출_총괄내역0518_구로리어린이공원예산서(조경)1125_진해자은수량산출서(단지내)_00-설계서,원가계산,내역서" xfId="2088"/>
    <cellStyle name="1_tree_수량산출_총괄내역0518_구로리어린이공원예산서(조경)1125_진해자은수량산출서(단지내)_기초산출표-56-128-최종" xfId="2089"/>
    <cellStyle name="1_tree_수량산출_총괄내역0518_구로리어린이공원예산서(조경)1125_진해자은수량산출서(단지내)_기초산출표-56-128-최종_00-설계서,원가계산,내역서" xfId="2090"/>
    <cellStyle name="1_tree_수량산출_총괄내역0518_구로리어린이공원예산서(조경)1125_진해자은수량산출서(단지내)_기초산출표-56-128-최종_설계서-1" xfId="2091"/>
    <cellStyle name="1_tree_수량산출_총괄내역0518_구로리어린이공원예산서(조경)1125_진해자은수량산출서(단지내)_기초산출표-56-128-최종_설계서-1_00-설계서,원가계산,내역서" xfId="2092"/>
    <cellStyle name="1_tree_수량산출_총괄내역0518_구로리어린이공원예산서(조경)1125_진해자은수량산출서(단지내)_설계서-1" xfId="2093"/>
    <cellStyle name="1_tree_수량산출_총괄내역0518_구로리어린이공원예산서(조경)1125_진해자은수량산출서(단지내)_설계서-1_00-설계서,원가계산,내역서" xfId="2094"/>
    <cellStyle name="1_tree_수량산출_총괄내역0518_구로리어린이공원예산서(조경)1125_진해자은수량산출서(단지내)_취합" xfId="2095"/>
    <cellStyle name="1_tree_수량산출_총괄내역0518_구로리어린이공원예산서(조경)1125_진해자은수량산출서(단지내)_취합_00-설계서,원가계산,내역서" xfId="2096"/>
    <cellStyle name="1_tree_수량산출_총괄내역0518_구로리어린이공원예산서(조경)1125_진해자은수량산출서(단지내)_취합_설계서-1" xfId="2097"/>
    <cellStyle name="1_tree_수량산출_총괄내역0518_구로리어린이공원예산서(조경)1125_진해자은수량산출서(단지내)_취합_설계서-1_00-설계서,원가계산,내역서" xfId="2098"/>
    <cellStyle name="1_tree_수량산출_총괄내역0518_내역서" xfId="2099"/>
    <cellStyle name="1_tree_수량산출_총괄내역0518_내역서_00-설계서,원가계산,내역서" xfId="2100"/>
    <cellStyle name="1_tree_수량산출_총괄내역0518_내역서_설계서-1" xfId="2101"/>
    <cellStyle name="1_tree_수량산출_총괄내역0518_내역서_설계서-1_00-설계서,원가계산,내역서" xfId="2102"/>
    <cellStyle name="1_tree_수량산출_총괄내역0518_내역서_진해자은수량산출서(단지내)" xfId="2103"/>
    <cellStyle name="1_tree_수량산출_총괄내역0518_내역서_진해자은수량산출서(단지내)_00-설계서,원가계산,내역서" xfId="2104"/>
    <cellStyle name="1_tree_수량산출_총괄내역0518_내역서_진해자은수량산출서(단지내)_기초산출표-56-128-최종" xfId="2105"/>
    <cellStyle name="1_tree_수량산출_총괄내역0518_내역서_진해자은수량산출서(단지내)_기초산출표-56-128-최종_00-설계서,원가계산,내역서" xfId="2106"/>
    <cellStyle name="1_tree_수량산출_총괄내역0518_내역서_진해자은수량산출서(단지내)_기초산출표-56-128-최종_설계서-1" xfId="2107"/>
    <cellStyle name="1_tree_수량산출_총괄내역0518_내역서_진해자은수량산출서(단지내)_기초산출표-56-128-최종_설계서-1_00-설계서,원가계산,내역서" xfId="2108"/>
    <cellStyle name="1_tree_수량산출_총괄내역0518_내역서_진해자은수량산출서(단지내)_설계서-1" xfId="2109"/>
    <cellStyle name="1_tree_수량산출_총괄내역0518_내역서_진해자은수량산출서(단지내)_설계서-1_00-설계서,원가계산,내역서" xfId="2110"/>
    <cellStyle name="1_tree_수량산출_총괄내역0518_내역서_진해자은수량산출서(단지내)_취합" xfId="2111"/>
    <cellStyle name="1_tree_수량산출_총괄내역0518_내역서_진해자은수량산출서(단지내)_취합_00-설계서,원가계산,내역서" xfId="2112"/>
    <cellStyle name="1_tree_수량산출_총괄내역0518_내역서_진해자은수량산출서(단지내)_취합_설계서-1" xfId="2113"/>
    <cellStyle name="1_tree_수량산출_총괄내역0518_내역서_진해자은수량산출서(단지내)_취합_설계서-1_00-설계서,원가계산,내역서" xfId="2114"/>
    <cellStyle name="1_tree_수량산출_총괄내역0518_노임단가표" xfId="2115"/>
    <cellStyle name="1_tree_수량산출_총괄내역0518_노임단가표_00-설계서,원가계산,내역서" xfId="2116"/>
    <cellStyle name="1_tree_수량산출_총괄내역0518_노임단가표_설계서-1" xfId="2117"/>
    <cellStyle name="1_tree_수량산출_총괄내역0518_노임단가표_설계서-1_00-설계서,원가계산,내역서" xfId="2118"/>
    <cellStyle name="1_tree_수량산출_총괄내역0518_노임단가표_진해자은수량산출서(단지내)" xfId="2119"/>
    <cellStyle name="1_tree_수량산출_총괄내역0518_노임단가표_진해자은수량산출서(단지내)_00-설계서,원가계산,내역서" xfId="2120"/>
    <cellStyle name="1_tree_수량산출_총괄내역0518_노임단가표_진해자은수량산출서(단지내)_기초산출표-56-128-최종" xfId="2121"/>
    <cellStyle name="1_tree_수량산출_총괄내역0518_노임단가표_진해자은수량산출서(단지내)_기초산출표-56-128-최종_00-설계서,원가계산,내역서" xfId="2122"/>
    <cellStyle name="1_tree_수량산출_총괄내역0518_노임단가표_진해자은수량산출서(단지내)_기초산출표-56-128-최종_설계서-1" xfId="2123"/>
    <cellStyle name="1_tree_수량산출_총괄내역0518_노임단가표_진해자은수량산출서(단지내)_기초산출표-56-128-최종_설계서-1_00-설계서,원가계산,내역서" xfId="2124"/>
    <cellStyle name="1_tree_수량산출_총괄내역0518_노임단가표_진해자은수량산출서(단지내)_설계서-1" xfId="2125"/>
    <cellStyle name="1_tree_수량산출_총괄내역0518_노임단가표_진해자은수량산출서(단지내)_설계서-1_00-설계서,원가계산,내역서" xfId="2126"/>
    <cellStyle name="1_tree_수량산출_총괄내역0518_노임단가표_진해자은수량산출서(단지내)_취합" xfId="2127"/>
    <cellStyle name="1_tree_수량산출_총괄내역0518_노임단가표_진해자은수량산출서(단지내)_취합_00-설계서,원가계산,내역서" xfId="2128"/>
    <cellStyle name="1_tree_수량산출_총괄내역0518_노임단가표_진해자은수량산출서(단지내)_취합_설계서-1" xfId="2129"/>
    <cellStyle name="1_tree_수량산출_총괄내역0518_노임단가표_진해자은수량산출서(단지내)_취합_설계서-1_00-설계서,원가계산,내역서" xfId="2130"/>
    <cellStyle name="1_tree_수량산출_총괄내역0518_설계서-1" xfId="2131"/>
    <cellStyle name="1_tree_수량산출_총괄내역0518_설계서-1_00-설계서,원가계산,내역서" xfId="2132"/>
    <cellStyle name="1_tree_수량산출_총괄내역0518_수도권매립지" xfId="2133"/>
    <cellStyle name="1_tree_수량산출_총괄내역0518_수도권매립지1004(발주용)" xfId="2149"/>
    <cellStyle name="1_tree_수량산출_총괄내역0518_수도권매립지1004(발주용)_00-설계서,원가계산,내역서" xfId="2150"/>
    <cellStyle name="1_tree_수량산출_총괄내역0518_수도권매립지1004(발주용)_설계서-1" xfId="2151"/>
    <cellStyle name="1_tree_수량산출_총괄내역0518_수도권매립지1004(발주용)_설계서-1_00-설계서,원가계산,내역서" xfId="2152"/>
    <cellStyle name="1_tree_수량산출_총괄내역0518_수도권매립지1004(발주용)_진해자은수량산출서(단지내)" xfId="2153"/>
    <cellStyle name="1_tree_수량산출_총괄내역0518_수도권매립지1004(발주용)_진해자은수량산출서(단지내)_00-설계서,원가계산,내역서" xfId="2154"/>
    <cellStyle name="1_tree_수량산출_총괄내역0518_수도권매립지1004(발주용)_진해자은수량산출서(단지내)_기초산출표-56-128-최종" xfId="2155"/>
    <cellStyle name="1_tree_수량산출_총괄내역0518_수도권매립지1004(발주용)_진해자은수량산출서(단지내)_기초산출표-56-128-최종_00-설계서,원가계산,내역서" xfId="2156"/>
    <cellStyle name="1_tree_수량산출_총괄내역0518_수도권매립지1004(발주용)_진해자은수량산출서(단지내)_기초산출표-56-128-최종_설계서-1" xfId="2157"/>
    <cellStyle name="1_tree_수량산출_총괄내역0518_수도권매립지1004(발주용)_진해자은수량산출서(단지내)_기초산출표-56-128-최종_설계서-1_00-설계서,원가계산,내역서" xfId="2158"/>
    <cellStyle name="1_tree_수량산출_총괄내역0518_수도권매립지1004(발주용)_진해자은수량산출서(단지내)_설계서-1" xfId="2159"/>
    <cellStyle name="1_tree_수량산출_총괄내역0518_수도권매립지1004(발주용)_진해자은수량산출서(단지내)_설계서-1_00-설계서,원가계산,내역서" xfId="2160"/>
    <cellStyle name="1_tree_수량산출_총괄내역0518_수도권매립지1004(발주용)_진해자은수량산출서(단지내)_취합" xfId="2161"/>
    <cellStyle name="1_tree_수량산출_총괄내역0518_수도권매립지1004(발주용)_진해자은수량산출서(단지내)_취합_00-설계서,원가계산,내역서" xfId="2162"/>
    <cellStyle name="1_tree_수량산출_총괄내역0518_수도권매립지1004(발주용)_진해자은수량산출서(단지내)_취합_설계서-1" xfId="2163"/>
    <cellStyle name="1_tree_수량산출_총괄내역0518_수도권매립지1004(발주용)_진해자은수량산출서(단지내)_취합_설계서-1_00-설계서,원가계산,내역서" xfId="2164"/>
    <cellStyle name="1_tree_수량산출_총괄내역0518_수도권매립지_00-설계서,원가계산,내역서" xfId="2134"/>
    <cellStyle name="1_tree_수량산출_총괄내역0518_수도권매립지_설계서-1" xfId="2135"/>
    <cellStyle name="1_tree_수량산출_총괄내역0518_수도권매립지_설계서-1_00-설계서,원가계산,내역서" xfId="2136"/>
    <cellStyle name="1_tree_수량산출_총괄내역0518_수도권매립지_진해자은수량산출서(단지내)" xfId="2137"/>
    <cellStyle name="1_tree_수량산출_총괄내역0518_수도권매립지_진해자은수량산출서(단지내)_00-설계서,원가계산,내역서" xfId="2138"/>
    <cellStyle name="1_tree_수량산출_총괄내역0518_수도권매립지_진해자은수량산출서(단지내)_기초산출표-56-128-최종" xfId="2139"/>
    <cellStyle name="1_tree_수량산출_총괄내역0518_수도권매립지_진해자은수량산출서(단지내)_기초산출표-56-128-최종_00-설계서,원가계산,내역서" xfId="2140"/>
    <cellStyle name="1_tree_수량산출_총괄내역0518_수도권매립지_진해자은수량산출서(단지내)_기초산출표-56-128-최종_설계서-1" xfId="2141"/>
    <cellStyle name="1_tree_수량산출_총괄내역0518_수도권매립지_진해자은수량산출서(단지내)_기초산출표-56-128-최종_설계서-1_00-설계서,원가계산,내역서" xfId="2142"/>
    <cellStyle name="1_tree_수량산출_총괄내역0518_수도권매립지_진해자은수량산출서(단지내)_설계서-1" xfId="2143"/>
    <cellStyle name="1_tree_수량산출_총괄내역0518_수도권매립지_진해자은수량산출서(단지내)_설계서-1_00-설계서,원가계산,내역서" xfId="2144"/>
    <cellStyle name="1_tree_수량산출_총괄내역0518_수도권매립지_진해자은수량산출서(단지내)_취합" xfId="2145"/>
    <cellStyle name="1_tree_수량산출_총괄내역0518_수도권매립지_진해자은수량산출서(단지내)_취합_00-설계서,원가계산,내역서" xfId="2146"/>
    <cellStyle name="1_tree_수량산출_총괄내역0518_수도권매립지_진해자은수량산출서(단지내)_취합_설계서-1" xfId="2147"/>
    <cellStyle name="1_tree_수량산출_총괄내역0518_수도권매립지_진해자은수량산출서(단지내)_취합_설계서-1_00-설계서,원가계산,내역서" xfId="2148"/>
    <cellStyle name="1_tree_수량산출_총괄내역0518_일신건영설계예산서(0211)" xfId="2165"/>
    <cellStyle name="1_tree_수량산출_총괄내역0518_일신건영설계예산서(0211)_00-설계서,원가계산,내역서" xfId="2166"/>
    <cellStyle name="1_tree_수량산출_총괄내역0518_일신건영설계예산서(0211)_설계서-1" xfId="2167"/>
    <cellStyle name="1_tree_수량산출_총괄내역0518_일신건영설계예산서(0211)_설계서-1_00-설계서,원가계산,내역서" xfId="2168"/>
    <cellStyle name="1_tree_수량산출_총괄내역0518_일신건영설계예산서(0211)_진해자은수량산출서(단지내)" xfId="2169"/>
    <cellStyle name="1_tree_수량산출_총괄내역0518_일신건영설계예산서(0211)_진해자은수량산출서(단지내)_00-설계서,원가계산,내역서" xfId="2170"/>
    <cellStyle name="1_tree_수량산출_총괄내역0518_일신건영설계예산서(0211)_진해자은수량산출서(단지내)_기초산출표-56-128-최종" xfId="2171"/>
    <cellStyle name="1_tree_수량산출_총괄내역0518_일신건영설계예산서(0211)_진해자은수량산출서(단지내)_기초산출표-56-128-최종_00-설계서,원가계산,내역서" xfId="2172"/>
    <cellStyle name="1_tree_수량산출_총괄내역0518_일신건영설계예산서(0211)_진해자은수량산출서(단지내)_기초산출표-56-128-최종_설계서-1" xfId="2173"/>
    <cellStyle name="1_tree_수량산출_총괄내역0518_일신건영설계예산서(0211)_진해자은수량산출서(단지내)_기초산출표-56-128-최종_설계서-1_00-설계서,원가계산,내역서" xfId="2174"/>
    <cellStyle name="1_tree_수량산출_총괄내역0518_일신건영설계예산서(0211)_진해자은수량산출서(단지내)_설계서-1" xfId="2175"/>
    <cellStyle name="1_tree_수량산출_총괄내역0518_일신건영설계예산서(0211)_진해자은수량산출서(단지내)_설계서-1_00-설계서,원가계산,내역서" xfId="2176"/>
    <cellStyle name="1_tree_수량산출_총괄내역0518_일신건영설계예산서(0211)_진해자은수량산출서(단지내)_취합" xfId="2177"/>
    <cellStyle name="1_tree_수량산출_총괄내역0518_일신건영설계예산서(0211)_진해자은수량산출서(단지내)_취합_00-설계서,원가계산,내역서" xfId="2178"/>
    <cellStyle name="1_tree_수량산출_총괄내역0518_일신건영설계예산서(0211)_진해자은수량산출서(단지내)_취합_설계서-1" xfId="2179"/>
    <cellStyle name="1_tree_수량산출_총괄내역0518_일신건영설계예산서(0211)_진해자은수량산출서(단지내)_취합_설계서-1_00-설계서,원가계산,내역서" xfId="2180"/>
    <cellStyle name="1_tree_수량산출_총괄내역0518_일위대가" xfId="2181"/>
    <cellStyle name="1_tree_수량산출_총괄내역0518_일위대가_00-설계서,원가계산,내역서" xfId="2182"/>
    <cellStyle name="1_tree_수량산출_총괄내역0518_일위대가_설계서-1" xfId="2183"/>
    <cellStyle name="1_tree_수량산출_총괄내역0518_일위대가_설계서-1_00-설계서,원가계산,내역서" xfId="2184"/>
    <cellStyle name="1_tree_수량산출_총괄내역0518_일위대가_진해자은수량산출서(단지내)" xfId="2185"/>
    <cellStyle name="1_tree_수량산출_총괄내역0518_일위대가_진해자은수량산출서(단지내)_00-설계서,원가계산,내역서" xfId="2186"/>
    <cellStyle name="1_tree_수량산출_총괄내역0518_일위대가_진해자은수량산출서(단지내)_기초산출표-56-128-최종" xfId="2187"/>
    <cellStyle name="1_tree_수량산출_총괄내역0518_일위대가_진해자은수량산출서(단지내)_기초산출표-56-128-최종_00-설계서,원가계산,내역서" xfId="2188"/>
    <cellStyle name="1_tree_수량산출_총괄내역0518_일위대가_진해자은수량산출서(단지내)_기초산출표-56-128-최종_설계서-1" xfId="2189"/>
    <cellStyle name="1_tree_수량산출_총괄내역0518_일위대가_진해자은수량산출서(단지내)_기초산출표-56-128-최종_설계서-1_00-설계서,원가계산,내역서" xfId="2190"/>
    <cellStyle name="1_tree_수량산출_총괄내역0518_일위대가_진해자은수량산출서(단지내)_설계서-1" xfId="2191"/>
    <cellStyle name="1_tree_수량산출_총괄내역0518_일위대가_진해자은수량산출서(단지내)_설계서-1_00-설계서,원가계산,내역서" xfId="2192"/>
    <cellStyle name="1_tree_수량산출_총괄내역0518_일위대가_진해자은수량산출서(단지내)_취합" xfId="2193"/>
    <cellStyle name="1_tree_수량산출_총괄내역0518_일위대가_진해자은수량산출서(단지내)_취합_00-설계서,원가계산,내역서" xfId="2194"/>
    <cellStyle name="1_tree_수량산출_총괄내역0518_일위대가_진해자은수량산출서(단지내)_취합_설계서-1" xfId="2195"/>
    <cellStyle name="1_tree_수량산출_총괄내역0518_일위대가_진해자은수량산출서(단지내)_취합_설계서-1_00-설계서,원가계산,내역서" xfId="2196"/>
    <cellStyle name="1_tree_수량산출_총괄내역0518_자재단가표" xfId="2197"/>
    <cellStyle name="1_tree_수량산출_총괄내역0518_자재단가표_00-설계서,원가계산,내역서" xfId="2198"/>
    <cellStyle name="1_tree_수량산출_총괄내역0518_자재단가표_설계서-1" xfId="2199"/>
    <cellStyle name="1_tree_수량산출_총괄내역0518_자재단가표_설계서-1_00-설계서,원가계산,내역서" xfId="2200"/>
    <cellStyle name="1_tree_수량산출_총괄내역0518_자재단가표_진해자은수량산출서(단지내)" xfId="2201"/>
    <cellStyle name="1_tree_수량산출_총괄내역0518_자재단가표_진해자은수량산출서(단지내)_00-설계서,원가계산,내역서" xfId="2202"/>
    <cellStyle name="1_tree_수량산출_총괄내역0518_자재단가표_진해자은수량산출서(단지내)_기초산출표-56-128-최종" xfId="2203"/>
    <cellStyle name="1_tree_수량산출_총괄내역0518_자재단가표_진해자은수량산출서(단지내)_기초산출표-56-128-최종_00-설계서,원가계산,내역서" xfId="2204"/>
    <cellStyle name="1_tree_수량산출_총괄내역0518_자재단가표_진해자은수량산출서(단지내)_기초산출표-56-128-최종_설계서-1" xfId="2205"/>
    <cellStyle name="1_tree_수량산출_총괄내역0518_자재단가표_진해자은수량산출서(단지내)_기초산출표-56-128-최종_설계서-1_00-설계서,원가계산,내역서" xfId="2206"/>
    <cellStyle name="1_tree_수량산출_총괄내역0518_자재단가표_진해자은수량산출서(단지내)_설계서-1" xfId="2207"/>
    <cellStyle name="1_tree_수량산출_총괄내역0518_자재단가표_진해자은수량산출서(단지내)_설계서-1_00-설계서,원가계산,내역서" xfId="2208"/>
    <cellStyle name="1_tree_수량산출_총괄내역0518_자재단가표_진해자은수량산출서(단지내)_취합" xfId="2209"/>
    <cellStyle name="1_tree_수량산출_총괄내역0518_자재단가표_진해자은수량산출서(단지내)_취합_00-설계서,원가계산,내역서" xfId="2210"/>
    <cellStyle name="1_tree_수량산출_총괄내역0518_자재단가표_진해자은수량산출서(단지내)_취합_설계서-1" xfId="2211"/>
    <cellStyle name="1_tree_수량산출_총괄내역0518_자재단가표_진해자은수량산출서(단지내)_취합_설계서-1_00-설계서,원가계산,내역서" xfId="2212"/>
    <cellStyle name="1_tree_수량산출_총괄내역0518_장안초등학교내역0814" xfId="2213"/>
    <cellStyle name="1_tree_수량산출_총괄내역0518_장안초등학교내역0814_00-설계서,원가계산,내역서" xfId="2214"/>
    <cellStyle name="1_tree_수량산출_총괄내역0518_장안초등학교내역0814_설계서-1" xfId="2215"/>
    <cellStyle name="1_tree_수량산출_총괄내역0518_장안초등학교내역0814_설계서-1_00-설계서,원가계산,내역서" xfId="2216"/>
    <cellStyle name="1_tree_수량산출_총괄내역0518_장안초등학교내역0814_진해자은수량산출서(단지내)" xfId="2217"/>
    <cellStyle name="1_tree_수량산출_총괄내역0518_장안초등학교내역0814_진해자은수량산출서(단지내)_00-설계서,원가계산,내역서" xfId="2218"/>
    <cellStyle name="1_tree_수량산출_총괄내역0518_장안초등학교내역0814_진해자은수량산출서(단지내)_기초산출표-56-128-최종" xfId="2219"/>
    <cellStyle name="1_tree_수량산출_총괄내역0518_장안초등학교내역0814_진해자은수량산출서(단지내)_기초산출표-56-128-최종_00-설계서,원가계산,내역서" xfId="2220"/>
    <cellStyle name="1_tree_수량산출_총괄내역0518_장안초등학교내역0814_진해자은수량산출서(단지내)_기초산출표-56-128-최종_설계서-1" xfId="2221"/>
    <cellStyle name="1_tree_수량산출_총괄내역0518_장안초등학교내역0814_진해자은수량산출서(단지내)_기초산출표-56-128-최종_설계서-1_00-설계서,원가계산,내역서" xfId="2222"/>
    <cellStyle name="1_tree_수량산출_총괄내역0518_장안초등학교내역0814_진해자은수량산출서(단지내)_설계서-1" xfId="2223"/>
    <cellStyle name="1_tree_수량산출_총괄내역0518_장안초등학교내역0814_진해자은수량산출서(단지내)_설계서-1_00-설계서,원가계산,내역서" xfId="2224"/>
    <cellStyle name="1_tree_수량산출_총괄내역0518_장안초등학교내역0814_진해자은수량산출서(단지내)_취합" xfId="2225"/>
    <cellStyle name="1_tree_수량산출_총괄내역0518_장안초등학교내역0814_진해자은수량산출서(단지내)_취합_00-설계서,원가계산,내역서" xfId="2226"/>
    <cellStyle name="1_tree_수량산출_총괄내역0518_장안초등학교내역0814_진해자은수량산출서(단지내)_취합_설계서-1" xfId="2227"/>
    <cellStyle name="1_tree_수량산출_총괄내역0518_장안초등학교내역0814_진해자은수량산출서(단지내)_취합_설계서-1_00-설계서,원가계산,내역서" xfId="2228"/>
    <cellStyle name="1_tree_수량산출_총괄내역0518_진해자은수량산출서(단지내)" xfId="2229"/>
    <cellStyle name="1_tree_수량산출_총괄내역0518_진해자은수량산출서(단지내)_00-설계서,원가계산,내역서" xfId="2230"/>
    <cellStyle name="1_tree_수량산출_총괄내역0518_진해자은수량산출서(단지내)_기초산출표-56-128-최종" xfId="2231"/>
    <cellStyle name="1_tree_수량산출_총괄내역0518_진해자은수량산출서(단지내)_기초산출표-56-128-최종_00-설계서,원가계산,내역서" xfId="2232"/>
    <cellStyle name="1_tree_수량산출_총괄내역0518_진해자은수량산출서(단지내)_기초산출표-56-128-최종_설계서-1" xfId="2233"/>
    <cellStyle name="1_tree_수량산출_총괄내역0518_진해자은수량산출서(단지내)_기초산출표-56-128-최종_설계서-1_00-설계서,원가계산,내역서" xfId="2234"/>
    <cellStyle name="1_tree_수량산출_총괄내역0518_진해자은수량산출서(단지내)_설계서-1" xfId="2235"/>
    <cellStyle name="1_tree_수량산출_총괄내역0518_진해자은수량산출서(단지내)_설계서-1_00-설계서,원가계산,내역서" xfId="2236"/>
    <cellStyle name="1_tree_수량산출_총괄내역0518_진해자은수량산출서(단지내)_취합" xfId="2237"/>
    <cellStyle name="1_tree_수량산출_총괄내역0518_진해자은수량산출서(단지내)_취합_00-설계서,원가계산,내역서" xfId="2238"/>
    <cellStyle name="1_tree_수량산출_총괄내역0518_진해자은수량산출서(단지내)_취합_설계서-1" xfId="2239"/>
    <cellStyle name="1_tree_수량산출_총괄내역0518_진해자은수량산출서(단지내)_취합_설계서-1_00-설계서,원가계산,내역서" xfId="2240"/>
    <cellStyle name="1_tree_수량산출_현충묘지-예산서(조경)" xfId="2241"/>
    <cellStyle name="1_tree_수량산출_현충묘지-예산서(조경)_00-설계서,원가계산,내역서" xfId="2242"/>
    <cellStyle name="1_tree_수량산출_현충묘지-예산서(조경)_목동내역" xfId="2243"/>
    <cellStyle name="1_tree_수량산출_현충묘지-예산서(조경)_목동내역_00-설계서,원가계산,내역서" xfId="2244"/>
    <cellStyle name="1_tree_수량산출_현충묘지-예산서(조경)_목동내역_폐기물집계" xfId="2245"/>
    <cellStyle name="1_tree_수량산출_현충묘지-예산서(조경)_목동내역_폐기물집계_00-설계서,원가계산,내역서" xfId="2246"/>
    <cellStyle name="1_tree_수량산출_현충묘지-예산서(조경)_예산서-엑셀변환양식100" xfId="2247"/>
    <cellStyle name="1_tree_수량산출_현충묘지-예산서(조경)_예산서-엑셀변환양식100_00-설계서,원가계산,내역서" xfId="2248"/>
    <cellStyle name="1_tree_수량산출_현충묘지-예산서(조경)_예산서-엑셀변환양식100_목동내역" xfId="2249"/>
    <cellStyle name="1_tree_수량산출_현충묘지-예산서(조경)_예산서-엑셀변환양식100_목동내역_00-설계서,원가계산,내역서" xfId="2250"/>
    <cellStyle name="1_tree_수량산출_현충묘지-예산서(조경)_예산서-엑셀변환양식100_목동내역_폐기물집계" xfId="2251"/>
    <cellStyle name="1_tree_수량산출_현충묘지-예산서(조경)_예산서-엑셀변환양식100_목동내역_폐기물집계_00-설계서,원가계산,내역서" xfId="2252"/>
    <cellStyle name="1_tree_이문동구간중랑천변녹화사업(수량산출서, 071127)-최종" xfId="2253"/>
    <cellStyle name="1_tree_이문동구간중랑천변녹화사업(수량산출서, 071127)-최종_00-설계서,원가계산,내역서" xfId="2254"/>
    <cellStyle name="1_tree_진해자은수량산출서(단지내)" xfId="2255"/>
    <cellStyle name="1_tree_진해자은수량산출서(단지내)_00-설계서,원가계산,내역서" xfId="2256"/>
    <cellStyle name="1_tree_진해자은수량산출서(단지내)_기초산출표-56-128-최종" xfId="2257"/>
    <cellStyle name="1_tree_진해자은수량산출서(단지내)_기초산출표-56-128-최종_00-설계서,원가계산,내역서" xfId="2258"/>
    <cellStyle name="1_tree_진해자은수량산출서(단지내)_기초산출표-56-128-최종_설계서-1" xfId="2259"/>
    <cellStyle name="1_tree_진해자은수량산출서(단지내)_기초산출표-56-128-최종_설계서-1_00-설계서,원가계산,내역서" xfId="2260"/>
    <cellStyle name="1_tree_진해자은수량산출서(단지내)_설계서-1" xfId="2261"/>
    <cellStyle name="1_tree_진해자은수량산출서(단지내)_설계서-1_00-설계서,원가계산,내역서" xfId="2262"/>
    <cellStyle name="1_tree_진해자은수량산출서(단지내)_취합" xfId="2263"/>
    <cellStyle name="1_tree_진해자은수량산출서(단지내)_취합_00-설계서,원가계산,내역서" xfId="2264"/>
    <cellStyle name="1_tree_진해자은수량산출서(단지내)_취합_설계서-1" xfId="2265"/>
    <cellStyle name="1_tree_진해자은수량산출서(단지내)_취합_설계서-1_00-설계서,원가계산,내역서" xfId="2266"/>
    <cellStyle name="1_tree_총괄내역0518" xfId="2267"/>
    <cellStyle name="1_tree_총괄내역0518_00-설계서,원가계산,내역서" xfId="2268"/>
    <cellStyle name="1_tree_총괄내역0518_구로리설계예산서1029" xfId="2269"/>
    <cellStyle name="1_tree_총괄내역0518_구로리설계예산서1029_00-설계서,원가계산,내역서" xfId="2270"/>
    <cellStyle name="1_tree_총괄내역0518_구로리설계예산서1029_설계서-1" xfId="2271"/>
    <cellStyle name="1_tree_총괄내역0518_구로리설계예산서1029_설계서-1_00-설계서,원가계산,내역서" xfId="2272"/>
    <cellStyle name="1_tree_총괄내역0518_구로리설계예산서1029_진해자은수량산출서(단지내)" xfId="2273"/>
    <cellStyle name="1_tree_총괄내역0518_구로리설계예산서1029_진해자은수량산출서(단지내)_00-설계서,원가계산,내역서" xfId="2274"/>
    <cellStyle name="1_tree_총괄내역0518_구로리설계예산서1029_진해자은수량산출서(단지내)_기초산출표-56-128-최종" xfId="2275"/>
    <cellStyle name="1_tree_총괄내역0518_구로리설계예산서1029_진해자은수량산출서(단지내)_기초산출표-56-128-최종_00-설계서,원가계산,내역서" xfId="2276"/>
    <cellStyle name="1_tree_총괄내역0518_구로리설계예산서1029_진해자은수량산출서(단지내)_기초산출표-56-128-최종_설계서-1" xfId="2277"/>
    <cellStyle name="1_tree_총괄내역0518_구로리설계예산서1029_진해자은수량산출서(단지내)_기초산출표-56-128-최종_설계서-1_00-설계서,원가계산,내역서" xfId="2278"/>
    <cellStyle name="1_tree_총괄내역0518_구로리설계예산서1029_진해자은수량산출서(단지내)_설계서-1" xfId="2279"/>
    <cellStyle name="1_tree_총괄내역0518_구로리설계예산서1029_진해자은수량산출서(단지내)_설계서-1_00-설계서,원가계산,내역서" xfId="2280"/>
    <cellStyle name="1_tree_총괄내역0518_구로리설계예산서1029_진해자은수량산출서(단지내)_취합" xfId="2281"/>
    <cellStyle name="1_tree_총괄내역0518_구로리설계예산서1029_진해자은수량산출서(단지내)_취합_00-설계서,원가계산,내역서" xfId="2282"/>
    <cellStyle name="1_tree_총괄내역0518_구로리설계예산서1029_진해자은수량산출서(단지내)_취합_설계서-1" xfId="2283"/>
    <cellStyle name="1_tree_총괄내역0518_구로리설계예산서1029_진해자은수량산출서(단지내)_취합_설계서-1_00-설계서,원가계산,내역서" xfId="2284"/>
    <cellStyle name="1_tree_총괄내역0518_구로리설계예산서1118준공" xfId="2285"/>
    <cellStyle name="1_tree_총괄내역0518_구로리설계예산서1118준공_00-설계서,원가계산,내역서" xfId="2286"/>
    <cellStyle name="1_tree_총괄내역0518_구로리설계예산서1118준공_설계서-1" xfId="2287"/>
    <cellStyle name="1_tree_총괄내역0518_구로리설계예산서1118준공_설계서-1_00-설계서,원가계산,내역서" xfId="2288"/>
    <cellStyle name="1_tree_총괄내역0518_구로리설계예산서1118준공_진해자은수량산출서(단지내)" xfId="2289"/>
    <cellStyle name="1_tree_총괄내역0518_구로리설계예산서1118준공_진해자은수량산출서(단지내)_00-설계서,원가계산,내역서" xfId="2290"/>
    <cellStyle name="1_tree_총괄내역0518_구로리설계예산서1118준공_진해자은수량산출서(단지내)_기초산출표-56-128-최종" xfId="2291"/>
    <cellStyle name="1_tree_총괄내역0518_구로리설계예산서1118준공_진해자은수량산출서(단지내)_기초산출표-56-128-최종_00-설계서,원가계산,내역서" xfId="2292"/>
    <cellStyle name="1_tree_총괄내역0518_구로리설계예산서1118준공_진해자은수량산출서(단지내)_기초산출표-56-128-최종_설계서-1" xfId="2293"/>
    <cellStyle name="1_tree_총괄내역0518_구로리설계예산서1118준공_진해자은수량산출서(단지내)_기초산출표-56-128-최종_설계서-1_00-설계서,원가계산,내역서" xfId="2294"/>
    <cellStyle name="1_tree_총괄내역0518_구로리설계예산서1118준공_진해자은수량산출서(단지내)_설계서-1" xfId="2295"/>
    <cellStyle name="1_tree_총괄내역0518_구로리설계예산서1118준공_진해자은수량산출서(단지내)_설계서-1_00-설계서,원가계산,내역서" xfId="2296"/>
    <cellStyle name="1_tree_총괄내역0518_구로리설계예산서1118준공_진해자은수량산출서(단지내)_취합" xfId="2297"/>
    <cellStyle name="1_tree_총괄내역0518_구로리설계예산서1118준공_진해자은수량산출서(단지내)_취합_00-설계서,원가계산,내역서" xfId="2298"/>
    <cellStyle name="1_tree_총괄내역0518_구로리설계예산서1118준공_진해자은수량산출서(단지내)_취합_설계서-1" xfId="2299"/>
    <cellStyle name="1_tree_총괄내역0518_구로리설계예산서1118준공_진해자은수량산출서(단지내)_취합_설계서-1_00-설계서,원가계산,내역서" xfId="2300"/>
    <cellStyle name="1_tree_총괄내역0518_구로리설계예산서조경" xfId="2301"/>
    <cellStyle name="1_tree_총괄내역0518_구로리설계예산서조경_00-설계서,원가계산,내역서" xfId="2302"/>
    <cellStyle name="1_tree_총괄내역0518_구로리설계예산서조경_설계서-1" xfId="2303"/>
    <cellStyle name="1_tree_총괄내역0518_구로리설계예산서조경_설계서-1_00-설계서,원가계산,내역서" xfId="2304"/>
    <cellStyle name="1_tree_총괄내역0518_구로리설계예산서조경_진해자은수량산출서(단지내)" xfId="2305"/>
    <cellStyle name="1_tree_총괄내역0518_구로리설계예산서조경_진해자은수량산출서(단지내)_00-설계서,원가계산,내역서" xfId="2306"/>
    <cellStyle name="1_tree_총괄내역0518_구로리설계예산서조경_진해자은수량산출서(단지내)_기초산출표-56-128-최종" xfId="2307"/>
    <cellStyle name="1_tree_총괄내역0518_구로리설계예산서조경_진해자은수량산출서(단지내)_기초산출표-56-128-최종_00-설계서,원가계산,내역서" xfId="2308"/>
    <cellStyle name="1_tree_총괄내역0518_구로리설계예산서조경_진해자은수량산출서(단지내)_기초산출표-56-128-최종_설계서-1" xfId="2309"/>
    <cellStyle name="1_tree_총괄내역0518_구로리설계예산서조경_진해자은수량산출서(단지내)_기초산출표-56-128-최종_설계서-1_00-설계서,원가계산,내역서" xfId="2310"/>
    <cellStyle name="1_tree_총괄내역0518_구로리설계예산서조경_진해자은수량산출서(단지내)_설계서-1" xfId="2311"/>
    <cellStyle name="1_tree_총괄내역0518_구로리설계예산서조경_진해자은수량산출서(단지내)_설계서-1_00-설계서,원가계산,내역서" xfId="2312"/>
    <cellStyle name="1_tree_총괄내역0518_구로리설계예산서조경_진해자은수량산출서(단지내)_취합" xfId="2313"/>
    <cellStyle name="1_tree_총괄내역0518_구로리설계예산서조경_진해자은수량산출서(단지내)_취합_00-설계서,원가계산,내역서" xfId="2314"/>
    <cellStyle name="1_tree_총괄내역0518_구로리설계예산서조경_진해자은수량산출서(단지내)_취합_설계서-1" xfId="2315"/>
    <cellStyle name="1_tree_총괄내역0518_구로리설계예산서조경_진해자은수량산출서(단지내)_취합_설계서-1_00-설계서,원가계산,내역서" xfId="2316"/>
    <cellStyle name="1_tree_총괄내역0518_구로리어린이공원예산서(조경)1125" xfId="2317"/>
    <cellStyle name="1_tree_총괄내역0518_구로리어린이공원예산서(조경)1125_00-설계서,원가계산,내역서" xfId="2318"/>
    <cellStyle name="1_tree_총괄내역0518_구로리어린이공원예산서(조경)1125_설계서-1" xfId="2319"/>
    <cellStyle name="1_tree_총괄내역0518_구로리어린이공원예산서(조경)1125_설계서-1_00-설계서,원가계산,내역서" xfId="2320"/>
    <cellStyle name="1_tree_총괄내역0518_구로리어린이공원예산서(조경)1125_진해자은수량산출서(단지내)" xfId="2321"/>
    <cellStyle name="1_tree_총괄내역0518_구로리어린이공원예산서(조경)1125_진해자은수량산출서(단지내)_00-설계서,원가계산,내역서" xfId="2322"/>
    <cellStyle name="1_tree_총괄내역0518_구로리어린이공원예산서(조경)1125_진해자은수량산출서(단지내)_기초산출표-56-128-최종" xfId="2323"/>
    <cellStyle name="1_tree_총괄내역0518_구로리어린이공원예산서(조경)1125_진해자은수량산출서(단지내)_기초산출표-56-128-최종_00-설계서,원가계산,내역서" xfId="2324"/>
    <cellStyle name="1_tree_총괄내역0518_구로리어린이공원예산서(조경)1125_진해자은수량산출서(단지내)_기초산출표-56-128-최종_설계서-1" xfId="2325"/>
    <cellStyle name="1_tree_총괄내역0518_구로리어린이공원예산서(조경)1125_진해자은수량산출서(단지내)_기초산출표-56-128-최종_설계서-1_00-설계서,원가계산,내역서" xfId="2326"/>
    <cellStyle name="1_tree_총괄내역0518_구로리어린이공원예산서(조경)1125_진해자은수량산출서(단지내)_설계서-1" xfId="2327"/>
    <cellStyle name="1_tree_총괄내역0518_구로리어린이공원예산서(조경)1125_진해자은수량산출서(단지내)_설계서-1_00-설계서,원가계산,내역서" xfId="2328"/>
    <cellStyle name="1_tree_총괄내역0518_구로리어린이공원예산서(조경)1125_진해자은수량산출서(단지내)_취합" xfId="2329"/>
    <cellStyle name="1_tree_총괄내역0518_구로리어린이공원예산서(조경)1125_진해자은수량산출서(단지내)_취합_00-설계서,원가계산,내역서" xfId="2330"/>
    <cellStyle name="1_tree_총괄내역0518_구로리어린이공원예산서(조경)1125_진해자은수량산출서(단지내)_취합_설계서-1" xfId="2331"/>
    <cellStyle name="1_tree_총괄내역0518_구로리어린이공원예산서(조경)1125_진해자은수량산출서(단지내)_취합_설계서-1_00-설계서,원가계산,내역서" xfId="2332"/>
    <cellStyle name="1_tree_총괄내역0518_내역서" xfId="2333"/>
    <cellStyle name="1_tree_총괄내역0518_내역서_00-설계서,원가계산,내역서" xfId="2334"/>
    <cellStyle name="1_tree_총괄내역0518_내역서_설계서-1" xfId="2335"/>
    <cellStyle name="1_tree_총괄내역0518_내역서_설계서-1_00-설계서,원가계산,내역서" xfId="2336"/>
    <cellStyle name="1_tree_총괄내역0518_내역서_진해자은수량산출서(단지내)" xfId="2337"/>
    <cellStyle name="1_tree_총괄내역0518_내역서_진해자은수량산출서(단지내)_00-설계서,원가계산,내역서" xfId="2338"/>
    <cellStyle name="1_tree_총괄내역0518_내역서_진해자은수량산출서(단지내)_기초산출표-56-128-최종" xfId="2339"/>
    <cellStyle name="1_tree_총괄내역0518_내역서_진해자은수량산출서(단지내)_기초산출표-56-128-최종_00-설계서,원가계산,내역서" xfId="2340"/>
    <cellStyle name="1_tree_총괄내역0518_내역서_진해자은수량산출서(단지내)_기초산출표-56-128-최종_설계서-1" xfId="2341"/>
    <cellStyle name="1_tree_총괄내역0518_내역서_진해자은수량산출서(단지내)_기초산출표-56-128-최종_설계서-1_00-설계서,원가계산,내역서" xfId="2342"/>
    <cellStyle name="1_tree_총괄내역0518_내역서_진해자은수량산출서(단지내)_설계서-1" xfId="2343"/>
    <cellStyle name="1_tree_총괄내역0518_내역서_진해자은수량산출서(단지내)_설계서-1_00-설계서,원가계산,내역서" xfId="2344"/>
    <cellStyle name="1_tree_총괄내역0518_내역서_진해자은수량산출서(단지내)_취합" xfId="2345"/>
    <cellStyle name="1_tree_총괄내역0518_내역서_진해자은수량산출서(단지내)_취합_00-설계서,원가계산,내역서" xfId="2346"/>
    <cellStyle name="1_tree_총괄내역0518_내역서_진해자은수량산출서(단지내)_취합_설계서-1" xfId="2347"/>
    <cellStyle name="1_tree_총괄내역0518_내역서_진해자은수량산출서(단지내)_취합_설계서-1_00-설계서,원가계산,내역서" xfId="2348"/>
    <cellStyle name="1_tree_총괄내역0518_노임단가표" xfId="2349"/>
    <cellStyle name="1_tree_총괄내역0518_노임단가표_00-설계서,원가계산,내역서" xfId="2350"/>
    <cellStyle name="1_tree_총괄내역0518_노임단가표_설계서-1" xfId="2351"/>
    <cellStyle name="1_tree_총괄내역0518_노임단가표_설계서-1_00-설계서,원가계산,내역서" xfId="2352"/>
    <cellStyle name="1_tree_총괄내역0518_노임단가표_진해자은수량산출서(단지내)" xfId="2353"/>
    <cellStyle name="1_tree_총괄내역0518_노임단가표_진해자은수량산출서(단지내)_00-설계서,원가계산,내역서" xfId="2354"/>
    <cellStyle name="1_tree_총괄내역0518_노임단가표_진해자은수량산출서(단지내)_기초산출표-56-128-최종" xfId="2355"/>
    <cellStyle name="1_tree_총괄내역0518_노임단가표_진해자은수량산출서(단지내)_기초산출표-56-128-최종_00-설계서,원가계산,내역서" xfId="2356"/>
    <cellStyle name="1_tree_총괄내역0518_노임단가표_진해자은수량산출서(단지내)_기초산출표-56-128-최종_설계서-1" xfId="2357"/>
    <cellStyle name="1_tree_총괄내역0518_노임단가표_진해자은수량산출서(단지내)_기초산출표-56-128-최종_설계서-1_00-설계서,원가계산,내역서" xfId="2358"/>
    <cellStyle name="1_tree_총괄내역0518_노임단가표_진해자은수량산출서(단지내)_설계서-1" xfId="2359"/>
    <cellStyle name="1_tree_총괄내역0518_노임단가표_진해자은수량산출서(단지내)_설계서-1_00-설계서,원가계산,내역서" xfId="2360"/>
    <cellStyle name="1_tree_총괄내역0518_노임단가표_진해자은수량산출서(단지내)_취합" xfId="2361"/>
    <cellStyle name="1_tree_총괄내역0518_노임단가표_진해자은수량산출서(단지내)_취합_00-설계서,원가계산,내역서" xfId="2362"/>
    <cellStyle name="1_tree_총괄내역0518_노임단가표_진해자은수량산출서(단지내)_취합_설계서-1" xfId="2363"/>
    <cellStyle name="1_tree_총괄내역0518_노임단가표_진해자은수량산출서(단지내)_취합_설계서-1_00-설계서,원가계산,내역서" xfId="2364"/>
    <cellStyle name="1_tree_총괄내역0518_설계서-1" xfId="2365"/>
    <cellStyle name="1_tree_총괄내역0518_설계서-1_00-설계서,원가계산,내역서" xfId="2366"/>
    <cellStyle name="1_tree_총괄내역0518_수도권매립지" xfId="2367"/>
    <cellStyle name="1_tree_총괄내역0518_수도권매립지1004(발주용)" xfId="2383"/>
    <cellStyle name="1_tree_총괄내역0518_수도권매립지1004(발주용)_00-설계서,원가계산,내역서" xfId="2384"/>
    <cellStyle name="1_tree_총괄내역0518_수도권매립지1004(발주용)_설계서-1" xfId="2385"/>
    <cellStyle name="1_tree_총괄내역0518_수도권매립지1004(발주용)_설계서-1_00-설계서,원가계산,내역서" xfId="2386"/>
    <cellStyle name="1_tree_총괄내역0518_수도권매립지1004(발주용)_진해자은수량산출서(단지내)" xfId="2387"/>
    <cellStyle name="1_tree_총괄내역0518_수도권매립지1004(발주용)_진해자은수량산출서(단지내)_00-설계서,원가계산,내역서" xfId="2388"/>
    <cellStyle name="1_tree_총괄내역0518_수도권매립지1004(발주용)_진해자은수량산출서(단지내)_기초산출표-56-128-최종" xfId="2389"/>
    <cellStyle name="1_tree_총괄내역0518_수도권매립지1004(발주용)_진해자은수량산출서(단지내)_기초산출표-56-128-최종_00-설계서,원가계산,내역서" xfId="2390"/>
    <cellStyle name="1_tree_총괄내역0518_수도권매립지1004(발주용)_진해자은수량산출서(단지내)_기초산출표-56-128-최종_설계서-1" xfId="2391"/>
    <cellStyle name="1_tree_총괄내역0518_수도권매립지1004(발주용)_진해자은수량산출서(단지내)_기초산출표-56-128-최종_설계서-1_00-설계서,원가계산,내역서" xfId="2392"/>
    <cellStyle name="1_tree_총괄내역0518_수도권매립지1004(발주용)_진해자은수량산출서(단지내)_설계서-1" xfId="2393"/>
    <cellStyle name="1_tree_총괄내역0518_수도권매립지1004(발주용)_진해자은수량산출서(단지내)_설계서-1_00-설계서,원가계산,내역서" xfId="2394"/>
    <cellStyle name="1_tree_총괄내역0518_수도권매립지1004(발주용)_진해자은수량산출서(단지내)_취합" xfId="2395"/>
    <cellStyle name="1_tree_총괄내역0518_수도권매립지1004(발주용)_진해자은수량산출서(단지내)_취합_00-설계서,원가계산,내역서" xfId="2396"/>
    <cellStyle name="1_tree_총괄내역0518_수도권매립지1004(발주용)_진해자은수량산출서(단지내)_취합_설계서-1" xfId="2397"/>
    <cellStyle name="1_tree_총괄내역0518_수도권매립지1004(발주용)_진해자은수량산출서(단지내)_취합_설계서-1_00-설계서,원가계산,내역서" xfId="2398"/>
    <cellStyle name="1_tree_총괄내역0518_수도권매립지_00-설계서,원가계산,내역서" xfId="2368"/>
    <cellStyle name="1_tree_총괄내역0518_수도권매립지_설계서-1" xfId="2369"/>
    <cellStyle name="1_tree_총괄내역0518_수도권매립지_설계서-1_00-설계서,원가계산,내역서" xfId="2370"/>
    <cellStyle name="1_tree_총괄내역0518_수도권매립지_진해자은수량산출서(단지내)" xfId="2371"/>
    <cellStyle name="1_tree_총괄내역0518_수도권매립지_진해자은수량산출서(단지내)_00-설계서,원가계산,내역서" xfId="2372"/>
    <cellStyle name="1_tree_총괄내역0518_수도권매립지_진해자은수량산출서(단지내)_기초산출표-56-128-최종" xfId="2373"/>
    <cellStyle name="1_tree_총괄내역0518_수도권매립지_진해자은수량산출서(단지내)_기초산출표-56-128-최종_00-설계서,원가계산,내역서" xfId="2374"/>
    <cellStyle name="1_tree_총괄내역0518_수도권매립지_진해자은수량산출서(단지내)_기초산출표-56-128-최종_설계서-1" xfId="2375"/>
    <cellStyle name="1_tree_총괄내역0518_수도권매립지_진해자은수량산출서(단지내)_기초산출표-56-128-최종_설계서-1_00-설계서,원가계산,내역서" xfId="2376"/>
    <cellStyle name="1_tree_총괄내역0518_수도권매립지_진해자은수량산출서(단지내)_설계서-1" xfId="2377"/>
    <cellStyle name="1_tree_총괄내역0518_수도권매립지_진해자은수량산출서(단지내)_설계서-1_00-설계서,원가계산,내역서" xfId="2378"/>
    <cellStyle name="1_tree_총괄내역0518_수도권매립지_진해자은수량산출서(단지내)_취합" xfId="2379"/>
    <cellStyle name="1_tree_총괄내역0518_수도권매립지_진해자은수량산출서(단지내)_취합_00-설계서,원가계산,내역서" xfId="2380"/>
    <cellStyle name="1_tree_총괄내역0518_수도권매립지_진해자은수량산출서(단지내)_취합_설계서-1" xfId="2381"/>
    <cellStyle name="1_tree_총괄내역0518_수도권매립지_진해자은수량산출서(단지내)_취합_설계서-1_00-설계서,원가계산,내역서" xfId="2382"/>
    <cellStyle name="1_tree_총괄내역0518_일신건영설계예산서(0211)" xfId="2399"/>
    <cellStyle name="1_tree_총괄내역0518_일신건영설계예산서(0211)_00-설계서,원가계산,내역서" xfId="2400"/>
    <cellStyle name="1_tree_총괄내역0518_일신건영설계예산서(0211)_설계서-1" xfId="2401"/>
    <cellStyle name="1_tree_총괄내역0518_일신건영설계예산서(0211)_설계서-1_00-설계서,원가계산,내역서" xfId="2402"/>
    <cellStyle name="1_tree_총괄내역0518_일신건영설계예산서(0211)_진해자은수량산출서(단지내)" xfId="2403"/>
    <cellStyle name="1_tree_총괄내역0518_일신건영설계예산서(0211)_진해자은수량산출서(단지내)_00-설계서,원가계산,내역서" xfId="2404"/>
    <cellStyle name="1_tree_총괄내역0518_일신건영설계예산서(0211)_진해자은수량산출서(단지내)_기초산출표-56-128-최종" xfId="2405"/>
    <cellStyle name="1_tree_총괄내역0518_일신건영설계예산서(0211)_진해자은수량산출서(단지내)_기초산출표-56-128-최종_00-설계서,원가계산,내역서" xfId="2406"/>
    <cellStyle name="1_tree_총괄내역0518_일신건영설계예산서(0211)_진해자은수량산출서(단지내)_기초산출표-56-128-최종_설계서-1" xfId="2407"/>
    <cellStyle name="1_tree_총괄내역0518_일신건영설계예산서(0211)_진해자은수량산출서(단지내)_기초산출표-56-128-최종_설계서-1_00-설계서,원가계산,내역서" xfId="2408"/>
    <cellStyle name="1_tree_총괄내역0518_일신건영설계예산서(0211)_진해자은수량산출서(단지내)_설계서-1" xfId="2409"/>
    <cellStyle name="1_tree_총괄내역0518_일신건영설계예산서(0211)_진해자은수량산출서(단지내)_설계서-1_00-설계서,원가계산,내역서" xfId="2410"/>
    <cellStyle name="1_tree_총괄내역0518_일신건영설계예산서(0211)_진해자은수량산출서(단지내)_취합" xfId="2411"/>
    <cellStyle name="1_tree_총괄내역0518_일신건영설계예산서(0211)_진해자은수량산출서(단지내)_취합_00-설계서,원가계산,내역서" xfId="2412"/>
    <cellStyle name="1_tree_총괄내역0518_일신건영설계예산서(0211)_진해자은수량산출서(단지내)_취합_설계서-1" xfId="2413"/>
    <cellStyle name="1_tree_총괄내역0518_일신건영설계예산서(0211)_진해자은수량산출서(단지내)_취합_설계서-1_00-설계서,원가계산,내역서" xfId="2414"/>
    <cellStyle name="1_tree_총괄내역0518_일위대가" xfId="2415"/>
    <cellStyle name="1_tree_총괄내역0518_일위대가_00-설계서,원가계산,내역서" xfId="2416"/>
    <cellStyle name="1_tree_총괄내역0518_일위대가_설계서-1" xfId="2417"/>
    <cellStyle name="1_tree_총괄내역0518_일위대가_설계서-1_00-설계서,원가계산,내역서" xfId="2418"/>
    <cellStyle name="1_tree_총괄내역0518_일위대가_진해자은수량산출서(단지내)" xfId="2419"/>
    <cellStyle name="1_tree_총괄내역0518_일위대가_진해자은수량산출서(단지내)_00-설계서,원가계산,내역서" xfId="2420"/>
    <cellStyle name="1_tree_총괄내역0518_일위대가_진해자은수량산출서(단지내)_기초산출표-56-128-최종" xfId="2421"/>
    <cellStyle name="1_tree_총괄내역0518_일위대가_진해자은수량산출서(단지내)_기초산출표-56-128-최종_00-설계서,원가계산,내역서" xfId="2422"/>
    <cellStyle name="1_tree_총괄내역0518_일위대가_진해자은수량산출서(단지내)_기초산출표-56-128-최종_설계서-1" xfId="2423"/>
    <cellStyle name="1_tree_총괄내역0518_일위대가_진해자은수량산출서(단지내)_기초산출표-56-128-최종_설계서-1_00-설계서,원가계산,내역서" xfId="2424"/>
    <cellStyle name="1_tree_총괄내역0518_일위대가_진해자은수량산출서(단지내)_설계서-1" xfId="2425"/>
    <cellStyle name="1_tree_총괄내역0518_일위대가_진해자은수량산출서(단지내)_설계서-1_00-설계서,원가계산,내역서" xfId="2426"/>
    <cellStyle name="1_tree_총괄내역0518_일위대가_진해자은수량산출서(단지내)_취합" xfId="2427"/>
    <cellStyle name="1_tree_총괄내역0518_일위대가_진해자은수량산출서(단지내)_취합_00-설계서,원가계산,내역서" xfId="2428"/>
    <cellStyle name="1_tree_총괄내역0518_일위대가_진해자은수량산출서(단지내)_취합_설계서-1" xfId="2429"/>
    <cellStyle name="1_tree_총괄내역0518_일위대가_진해자은수량산출서(단지내)_취합_설계서-1_00-설계서,원가계산,내역서" xfId="2430"/>
    <cellStyle name="1_tree_총괄내역0518_자재단가표" xfId="2431"/>
    <cellStyle name="1_tree_총괄내역0518_자재단가표_00-설계서,원가계산,내역서" xfId="2432"/>
    <cellStyle name="1_tree_총괄내역0518_자재단가표_설계서-1" xfId="2433"/>
    <cellStyle name="1_tree_총괄내역0518_자재단가표_설계서-1_00-설계서,원가계산,내역서" xfId="2434"/>
    <cellStyle name="1_tree_총괄내역0518_자재단가표_진해자은수량산출서(단지내)" xfId="2435"/>
    <cellStyle name="1_tree_총괄내역0518_자재단가표_진해자은수량산출서(단지내)_00-설계서,원가계산,내역서" xfId="2436"/>
    <cellStyle name="1_tree_총괄내역0518_자재단가표_진해자은수량산출서(단지내)_기초산출표-56-128-최종" xfId="2437"/>
    <cellStyle name="1_tree_총괄내역0518_자재단가표_진해자은수량산출서(단지내)_기초산출표-56-128-최종_00-설계서,원가계산,내역서" xfId="2438"/>
    <cellStyle name="1_tree_총괄내역0518_자재단가표_진해자은수량산출서(단지내)_기초산출표-56-128-최종_설계서-1" xfId="2439"/>
    <cellStyle name="1_tree_총괄내역0518_자재단가표_진해자은수량산출서(단지내)_기초산출표-56-128-최종_설계서-1_00-설계서,원가계산,내역서" xfId="2440"/>
    <cellStyle name="1_tree_총괄내역0518_자재단가표_진해자은수량산출서(단지내)_설계서-1" xfId="2441"/>
    <cellStyle name="1_tree_총괄내역0518_자재단가표_진해자은수량산출서(단지내)_설계서-1_00-설계서,원가계산,내역서" xfId="2442"/>
    <cellStyle name="1_tree_총괄내역0518_자재단가표_진해자은수량산출서(단지내)_취합" xfId="2443"/>
    <cellStyle name="1_tree_총괄내역0518_자재단가표_진해자은수량산출서(단지내)_취합_00-설계서,원가계산,내역서" xfId="2444"/>
    <cellStyle name="1_tree_총괄내역0518_자재단가표_진해자은수량산출서(단지내)_취합_설계서-1" xfId="2445"/>
    <cellStyle name="1_tree_총괄내역0518_자재단가표_진해자은수량산출서(단지내)_취합_설계서-1_00-설계서,원가계산,내역서" xfId="2446"/>
    <cellStyle name="1_tree_총괄내역0518_장안초등학교내역0814" xfId="2447"/>
    <cellStyle name="1_tree_총괄내역0518_장안초등학교내역0814_00-설계서,원가계산,내역서" xfId="2448"/>
    <cellStyle name="1_tree_총괄내역0518_장안초등학교내역0814_설계서-1" xfId="2449"/>
    <cellStyle name="1_tree_총괄내역0518_장안초등학교내역0814_설계서-1_00-설계서,원가계산,내역서" xfId="2450"/>
    <cellStyle name="1_tree_총괄내역0518_장안초등학교내역0814_진해자은수량산출서(단지내)" xfId="2451"/>
    <cellStyle name="1_tree_총괄내역0518_장안초등학교내역0814_진해자은수량산출서(단지내)_00-설계서,원가계산,내역서" xfId="2452"/>
    <cellStyle name="1_tree_총괄내역0518_장안초등학교내역0814_진해자은수량산출서(단지내)_기초산출표-56-128-최종" xfId="2453"/>
    <cellStyle name="1_tree_총괄내역0518_장안초등학교내역0814_진해자은수량산출서(단지내)_기초산출표-56-128-최종_00-설계서,원가계산,내역서" xfId="2454"/>
    <cellStyle name="1_tree_총괄내역0518_장안초등학교내역0814_진해자은수량산출서(단지내)_기초산출표-56-128-최종_설계서-1" xfId="2455"/>
    <cellStyle name="1_tree_총괄내역0518_장안초등학교내역0814_진해자은수량산출서(단지내)_기초산출표-56-128-최종_설계서-1_00-설계서,원가계산,내역서" xfId="2456"/>
    <cellStyle name="1_tree_총괄내역0518_장안초등학교내역0814_진해자은수량산출서(단지내)_설계서-1" xfId="2457"/>
    <cellStyle name="1_tree_총괄내역0518_장안초등학교내역0814_진해자은수량산출서(단지내)_설계서-1_00-설계서,원가계산,내역서" xfId="2458"/>
    <cellStyle name="1_tree_총괄내역0518_장안초등학교내역0814_진해자은수량산출서(단지내)_취합" xfId="2459"/>
    <cellStyle name="1_tree_총괄내역0518_장안초등학교내역0814_진해자은수량산출서(단지내)_취합_00-설계서,원가계산,내역서" xfId="2460"/>
    <cellStyle name="1_tree_총괄내역0518_장안초등학교내역0814_진해자은수량산출서(단지내)_취합_설계서-1" xfId="2461"/>
    <cellStyle name="1_tree_총괄내역0518_장안초등학교내역0814_진해자은수량산출서(단지내)_취합_설계서-1_00-설계서,원가계산,내역서" xfId="2462"/>
    <cellStyle name="1_tree_총괄내역0518_진해자은수량산출서(단지내)" xfId="2463"/>
    <cellStyle name="1_tree_총괄내역0518_진해자은수량산출서(단지내)_00-설계서,원가계산,내역서" xfId="2464"/>
    <cellStyle name="1_tree_총괄내역0518_진해자은수량산출서(단지내)_기초산출표-56-128-최종" xfId="2465"/>
    <cellStyle name="1_tree_총괄내역0518_진해자은수량산출서(단지내)_기초산출표-56-128-최종_00-설계서,원가계산,내역서" xfId="2466"/>
    <cellStyle name="1_tree_총괄내역0518_진해자은수량산출서(단지내)_기초산출표-56-128-최종_설계서-1" xfId="2467"/>
    <cellStyle name="1_tree_총괄내역0518_진해자은수량산출서(단지내)_기초산출표-56-128-최종_설계서-1_00-설계서,원가계산,내역서" xfId="2468"/>
    <cellStyle name="1_tree_총괄내역0518_진해자은수량산출서(단지내)_설계서-1" xfId="2469"/>
    <cellStyle name="1_tree_총괄내역0518_진해자은수량산출서(단지내)_설계서-1_00-설계서,원가계산,내역서" xfId="2470"/>
    <cellStyle name="1_tree_총괄내역0518_진해자은수량산출서(단지내)_취합" xfId="2471"/>
    <cellStyle name="1_tree_총괄내역0518_진해자은수량산출서(단지내)_취합_00-설계서,원가계산,내역서" xfId="2472"/>
    <cellStyle name="1_tree_총괄내역0518_진해자은수량산출서(단지내)_취합_설계서-1" xfId="2473"/>
    <cellStyle name="1_tree_총괄내역0518_진해자은수량산출서(단지내)_취합_설계서-1_00-설계서,원가계산,내역서" xfId="2474"/>
    <cellStyle name="1_tree_현충묘지-예산서(조경)" xfId="2475"/>
    <cellStyle name="1_tree_현충묘지-예산서(조경)_00-설계서,원가계산,내역서" xfId="2476"/>
    <cellStyle name="1_tree_현충묘지-예산서(조경)_목동내역" xfId="2477"/>
    <cellStyle name="1_tree_현충묘지-예산서(조경)_목동내역_00-설계서,원가계산,내역서" xfId="2478"/>
    <cellStyle name="1_tree_현충묘지-예산서(조경)_목동내역_폐기물집계" xfId="2479"/>
    <cellStyle name="1_tree_현충묘지-예산서(조경)_목동내역_폐기물집계_00-설계서,원가계산,내역서" xfId="2480"/>
    <cellStyle name="1_tree_현충묘지-예산서(조경)_예산서-엑셀변환양식100" xfId="2481"/>
    <cellStyle name="1_tree_현충묘지-예산서(조경)_예산서-엑셀변환양식100_00-설계서,원가계산,내역서" xfId="2482"/>
    <cellStyle name="1_tree_현충묘지-예산서(조경)_예산서-엑셀변환양식100_목동내역" xfId="2483"/>
    <cellStyle name="1_tree_현충묘지-예산서(조경)_예산서-엑셀변환양식100_목동내역_00-설계서,원가계산,내역서" xfId="2484"/>
    <cellStyle name="1_tree_현충묘지-예산서(조경)_예산서-엑셀변환양식100_목동내역_폐기물집계" xfId="2485"/>
    <cellStyle name="1_tree_현충묘지-예산서(조경)_예산서-엑셀변환양식100_목동내역_폐기물집계_00-설계서,원가계산,내역서" xfId="2486"/>
    <cellStyle name="1_강남폐기물내역" xfId="2487"/>
    <cellStyle name="1_공양식(레인보우스케이프)" xfId="2488"/>
    <cellStyle name="1_단가조사표" xfId="2489"/>
    <cellStyle name="1_단가조사표_1011소각" xfId="2490"/>
    <cellStyle name="1_단가조사표_1113교~1" xfId="2491"/>
    <cellStyle name="1_단가조사표_121내역" xfId="2492"/>
    <cellStyle name="1_단가조사표_객토량" xfId="2493"/>
    <cellStyle name="1_단가조사표_교통센~1" xfId="2494"/>
    <cellStyle name="1_단가조사표_교통센터412" xfId="2495"/>
    <cellStyle name="1_단가조사표_교통수" xfId="2496"/>
    <cellStyle name="1_단가조사표_교통수량산출서" xfId="2497"/>
    <cellStyle name="1_단가조사표_구조물대가 (2)" xfId="2498"/>
    <cellStyle name="1_단가조사표_내역서 (2)" xfId="2499"/>
    <cellStyle name="1_단가조사표_대전관저지구" xfId="2500"/>
    <cellStyle name="1_단가조사표_동측지~1" xfId="2501"/>
    <cellStyle name="1_단가조사표_동측지원422" xfId="2502"/>
    <cellStyle name="1_단가조사표_동측지원512" xfId="2503"/>
    <cellStyle name="1_단가조사표_동측지원524" xfId="2504"/>
    <cellStyle name="1_단가조사표_부대422" xfId="2505"/>
    <cellStyle name="1_단가조사표_부대시설" xfId="2506"/>
    <cellStyle name="1_단가조사표_소각수~1" xfId="2507"/>
    <cellStyle name="1_단가조사표_소각수내역서" xfId="2508"/>
    <cellStyle name="1_단가조사표_소각수목2" xfId="2509"/>
    <cellStyle name="1_단가조사표_수량산출서 (2)" xfId="2510"/>
    <cellStyle name="1_단가조사표_엑스포~1" xfId="2511"/>
    <cellStyle name="1_단가조사표_엑스포한빛1" xfId="2512"/>
    <cellStyle name="1_단가조사표_여객터미널331" xfId="2513"/>
    <cellStyle name="1_단가조사표_여객터미널513" xfId="2514"/>
    <cellStyle name="1_단가조사표_여객터미널629" xfId="2515"/>
    <cellStyle name="1_단가조사표_외곽도로616" xfId="2516"/>
    <cellStyle name="1_단가조사표_원가계~1" xfId="2517"/>
    <cellStyle name="1_단가조사표_유기질" xfId="2518"/>
    <cellStyle name="1_단가조사표_자재조서 (2)" xfId="2519"/>
    <cellStyle name="1_단가조사표_총괄내역" xfId="2520"/>
    <cellStyle name="1_단가조사표_총괄내역 (2)" xfId="2521"/>
    <cellStyle name="1_단가조사표_터미널도로403" xfId="2522"/>
    <cellStyle name="1_단가조사표_터미널도로429" xfId="2523"/>
    <cellStyle name="1_단가조사표_포장일위" xfId="2524"/>
    <cellStyle name="1_목동내역" xfId="2525"/>
    <cellStyle name="1_시민계략공사" xfId="2526"/>
    <cellStyle name="1_시민계략공사 2" xfId="2527"/>
    <cellStyle name="1_시민계략공사 3" xfId="2528"/>
    <cellStyle name="1_시민계략공사_2002년도각종계산서너릿제터널등7개소" xfId="2529"/>
    <cellStyle name="1_시민계략공사_2003년 각종계산서(읽기전용)" xfId="2530"/>
    <cellStyle name="1_시민계략공사_2003년 각종계산서(읽기전용)_00-설계서,원가계산,내역서" xfId="2531"/>
    <cellStyle name="1_시민계략공사_2003년 각종계산서(읽기전용)_내역서(전기)" xfId="2532"/>
    <cellStyle name="1_시민계략공사_2003년 각종계산서(읽기전용)_내역서(전기)_00-설계서,원가계산,내역서" xfId="2533"/>
    <cellStyle name="1_시민계략공사_Book2" xfId="2534"/>
    <cellStyle name="1_시민계략공사_Book2 2" xfId="2535"/>
    <cellStyle name="1_시민계략공사_Book2 3" xfId="2536"/>
    <cellStyle name="1_시민계략공사_각종계산서" xfId="2537"/>
    <cellStyle name="1_시민계략공사_각종계산서_00-설계서,원가계산,내역서" xfId="2538"/>
    <cellStyle name="1_시민계략공사_계산서및내역서5월9일변경" xfId="2539"/>
    <cellStyle name="1_시민계략공사_관급-(수배전반)" xfId="2540"/>
    <cellStyle name="1_시민계략공사_관급-(수배전반) 2" xfId="2541"/>
    <cellStyle name="1_시민계략공사_관급-(수배전반) 3" xfId="2542"/>
    <cellStyle name="1_시민계략공사_관급-등기구" xfId="2543"/>
    <cellStyle name="1_시민계략공사_관급-등기구 2" xfId="2544"/>
    <cellStyle name="1_시민계략공사_관급-등기구 3" xfId="2545"/>
    <cellStyle name="1_시민계략공사_관급-태양광등기구" xfId="2546"/>
    <cellStyle name="1_시민계략공사_관급-태양광등기구 2" xfId="2547"/>
    <cellStyle name="1_시민계략공사_관급-태양광등기구 3" xfId="2548"/>
    <cellStyle name="1_시민계략공사_광양중동중학교실증축공사(전기)-4월10일한번더" xfId="2549"/>
    <cellStyle name="1_시민계략공사_광양중동중학교실증축공사(전기)-4월10일한번더 2" xfId="2550"/>
    <cellStyle name="1_시민계략공사_광양중동중학교실증축공사(전기)-4월10일한번더 3" xfId="2551"/>
    <cellStyle name="1_시민계략공사_무안연꽃방죽(4월9일)한번더" xfId="2552"/>
    <cellStyle name="1_시민계략공사_무안연꽃방죽(4월9일)한번더 2" xfId="2553"/>
    <cellStyle name="1_시민계략공사_무안연꽃방죽(4월9일)한번더 3" xfId="2554"/>
    <cellStyle name="1_시민계략공사_백운초 신축 전기공사-납품-" xfId="2555"/>
    <cellStyle name="1_시민계략공사_백운초 신축 전기공사-납품- 2" xfId="2556"/>
    <cellStyle name="1_시민계략공사_백운초 신축 전기공사-납품- 3" xfId="2557"/>
    <cellStyle name="1_시민계략공사_보일약국~순국비간 도로개설 가로등설치공사" xfId="2558"/>
    <cellStyle name="1_시민계략공사_보일약국~순국비간 도로개설 가로등설치공사 2" xfId="2559"/>
    <cellStyle name="1_시민계략공사_보일약국~순국비간 도로개설 가로등설치공사 3" xfId="2560"/>
    <cellStyle name="1_시민계략공사_복지관 부하계산서" xfId="2561"/>
    <cellStyle name="1_시민계략공사_복지관 부하계산서_00-설계서,원가계산,내역서" xfId="2562"/>
    <cellStyle name="1_시민계략공사_복지관 부하계산서_내역서(전기)" xfId="2563"/>
    <cellStyle name="1_시민계략공사_복지관 부하계산서_내역서(전기)_00-설계서,원가계산,내역서" xfId="2564"/>
    <cellStyle name="1_시민계략공사_봉산면보건지소신축공사(전기)11월30일변경" xfId="2565"/>
    <cellStyle name="1_시민계략공사_봉산면보건지소신축공사(전기)11월30일변경 2" xfId="2566"/>
    <cellStyle name="1_시민계략공사_봉산면보건지소신축공사(전기)11월30일변경 3" xfId="2567"/>
    <cellStyle name="1_시민계략공사_북문로(팔마로)가로등설치공사(변경)3월11일" xfId="2568"/>
    <cellStyle name="1_시민계략공사_북문로(팔마로)가로등설치공사(변경)3월11일 2" xfId="2569"/>
    <cellStyle name="1_시민계략공사_북문로(팔마로)가로등설치공사(변경)3월11일 3" xfId="2570"/>
    <cellStyle name="1_시민계략공사_북문로(팔마로)가로등설치공사NO34번까지시행분" xfId="2571"/>
    <cellStyle name="1_시민계략공사_북문로(팔마로)가로등설치공사NO34번까지시행분 2" xfId="2572"/>
    <cellStyle name="1_시민계략공사_북문로(팔마로)가로등설치공사NO34번까지시행분 3" xfId="2573"/>
    <cellStyle name="1_시민계략공사_북문로(팔마로)교통신호등설치공사NO34번까지" xfId="2574"/>
    <cellStyle name="1_시민계략공사_북문로(팔마로)교통신호등설치공사NO34번까지 2" xfId="2575"/>
    <cellStyle name="1_시민계략공사_북문로(팔마로)교통신호등설치공사NO34번까지 3" xfId="2576"/>
    <cellStyle name="1_시민계략공사_북문팔마로확포장공사가로등" xfId="2577"/>
    <cellStyle name="1_시민계략공사_북문팔마로확포장공사가로등 2" xfId="2578"/>
    <cellStyle name="1_시민계략공사_북문팔마로확포장공사가로등 3" xfId="2579"/>
    <cellStyle name="1_시민계략공사_비상부하,발전기용량 계산서" xfId="2580"/>
    <cellStyle name="1_시민계략공사_비상부하,발전기용량 계산서_00-설계서,원가계산,내역서" xfId="2581"/>
    <cellStyle name="1_시민계략공사_비상부하,발전기용량 계산서_내역서(전기)" xfId="2582"/>
    <cellStyle name="1_시민계략공사_비상부하,발전기용량 계산서_내역서(전기)_00-설계서,원가계산,내역서" xfId="2583"/>
    <cellStyle name="1_시민계략공사_여수오동도분수(사급)R2" xfId="2584"/>
    <cellStyle name="1_시민계략공사_여수오동도분수(사급)R2 2" xfId="2585"/>
    <cellStyle name="1_시민계략공사_여수오동도분수(사급)R2 3" xfId="2586"/>
    <cellStyle name="1_시민계략공사_오동도음악분수수전설비공사(1차전기)" xfId="2587"/>
    <cellStyle name="1_시민계략공사_율촌중학교심야전기" xfId="2588"/>
    <cellStyle name="1_시민계략공사_율촌중학교심야전기 2" xfId="2589"/>
    <cellStyle name="1_시민계략공사_율촌중학교심야전기 3" xfId="2590"/>
    <cellStyle name="1_시민계략공사_전기-한남" xfId="2591"/>
    <cellStyle name="1_시민계략공사_조도계산서" xfId="2592"/>
    <cellStyle name="1_시민계략공사_조도계산서_00-설계서,원가계산,내역서" xfId="2593"/>
    <cellStyle name="1_시민계략공사_조도계산서_내역서(전기)" xfId="2594"/>
    <cellStyle name="1_시민계략공사_조도계산서_내역서(전기)_00-설계서,원가계산,내역서" xfId="2595"/>
    <cellStyle name="1_연안권역특화거리조성을위한음악분수대설치R6(제출EBS)-설비,전기,관리실" xfId="2596"/>
    <cellStyle name="1_이문동(철거수량산출서)-1" xfId="2597"/>
    <cellStyle name="1_이문동구간중랑천변녹화사업(수량산출서, 071127)-최종" xfId="2598"/>
    <cellStyle name="1_일위대가공식2004" xfId="2599"/>
    <cellStyle name="1_일위대가공식2005" xfId="2600"/>
    <cellStyle name="1_폐기물" xfId="2601"/>
    <cellStyle name="1_폐기물집계" xfId="2602"/>
    <cellStyle name="1_현충묘지-수량산출서" xfId="2603"/>
    <cellStyle name="2" xfId="2606"/>
    <cellStyle name="2)" xfId="2607"/>
    <cellStyle name="20% - 강조색1 2" xfId="8"/>
    <cellStyle name="2_laroux" xfId="2608"/>
    <cellStyle name="2_laroux_ATC-YOON1" xfId="2609"/>
    <cellStyle name="2_단가조사표" xfId="2610"/>
    <cellStyle name="2_단가조사표_1011소각" xfId="2611"/>
    <cellStyle name="2_단가조사표_1113교~1" xfId="2612"/>
    <cellStyle name="2_단가조사표_121내역" xfId="2613"/>
    <cellStyle name="2_단가조사표_객토량" xfId="2614"/>
    <cellStyle name="2_단가조사표_교통센~1" xfId="2615"/>
    <cellStyle name="2_단가조사표_교통센터412" xfId="2616"/>
    <cellStyle name="2_단가조사표_교통수" xfId="2617"/>
    <cellStyle name="2_단가조사표_교통수량산출서" xfId="2618"/>
    <cellStyle name="2_단가조사표_구조물대가 (2)" xfId="2619"/>
    <cellStyle name="2_단가조사표_내역서 (2)" xfId="2620"/>
    <cellStyle name="2_단가조사표_대전관저지구" xfId="2621"/>
    <cellStyle name="2_단가조사표_동측지~1" xfId="2622"/>
    <cellStyle name="2_단가조사표_동측지원422" xfId="2623"/>
    <cellStyle name="2_단가조사표_동측지원512" xfId="2624"/>
    <cellStyle name="2_단가조사표_동측지원524" xfId="2625"/>
    <cellStyle name="2_단가조사표_부대422" xfId="2626"/>
    <cellStyle name="2_단가조사표_부대시설" xfId="2627"/>
    <cellStyle name="2_단가조사표_소각수~1" xfId="2628"/>
    <cellStyle name="2_단가조사표_소각수내역서" xfId="2629"/>
    <cellStyle name="2_단가조사표_소각수목2" xfId="2630"/>
    <cellStyle name="2_단가조사표_수량산출서 (2)" xfId="2631"/>
    <cellStyle name="2_단가조사표_엑스포~1" xfId="2632"/>
    <cellStyle name="2_단가조사표_엑스포한빛1" xfId="2633"/>
    <cellStyle name="2_단가조사표_여객터미널331" xfId="2634"/>
    <cellStyle name="2_단가조사표_여객터미널513" xfId="2635"/>
    <cellStyle name="2_단가조사표_여객터미널629" xfId="2636"/>
    <cellStyle name="2_단가조사표_외곽도로616" xfId="2637"/>
    <cellStyle name="2_단가조사표_원가계~1" xfId="2638"/>
    <cellStyle name="2_단가조사표_유기질" xfId="2639"/>
    <cellStyle name="2_단가조사표_자재조서 (2)" xfId="2640"/>
    <cellStyle name="2_단가조사표_총괄내역" xfId="2641"/>
    <cellStyle name="2_단가조사표_총괄내역 (2)" xfId="2642"/>
    <cellStyle name="2_단가조사표_터미널도로403" xfId="2643"/>
    <cellStyle name="2_단가조사표_터미널도로429" xfId="2644"/>
    <cellStyle name="2_단가조사표_포장일위" xfId="2645"/>
    <cellStyle name="2자리" xfId="2646"/>
    <cellStyle name="??&amp;O?&amp;H?_x0008_??_x0007__x0001__x0001_" xfId="22"/>
    <cellStyle name="??&amp;O?&amp;H?_x0008__x000f__x0007_?_x0007__x0001__x0001_" xfId="21"/>
    <cellStyle name="?W?_laroux" xfId="23"/>
    <cellStyle name="?曹%U?&amp;H?_x0008_?s_x000a__x0007__x0001__x0001_" xfId="24"/>
    <cellStyle name="ALIGNMENT" xfId="2661"/>
    <cellStyle name="AeE¡ⓒ [0]_AO¨uRCN¡¾U " xfId="2659"/>
    <cellStyle name="AeE¡ⓒ_AO¨uRCN¡¾U " xfId="2660"/>
    <cellStyle name="AeE­ [0]_ 2ÆAAþº° " xfId="2649"/>
    <cellStyle name="AeE­ [0]_95³aAN°y¼o·R " xfId="2651"/>
    <cellStyle name="AeE­ [0]_A¾CO½A¼³ " xfId="2653"/>
    <cellStyle name="AeE­_ 2ÆAAþº° " xfId="2654"/>
    <cellStyle name="AeE­_95³aAN°y¼o·R " xfId="2656"/>
    <cellStyle name="AeE­_A¾CO½A¼³ " xfId="2658"/>
    <cellStyle name="A¨­￠￢￠O [0]_AO¨uRCN¡¾U " xfId="2647"/>
    <cellStyle name="A¨­￠￢￠O_AO¨uRCN¡¾U " xfId="2648"/>
    <cellStyle name="AÞ¸¶ [0]_ 2ÆAAþº° " xfId="2663"/>
    <cellStyle name="AÞ¸¶ [0]_95³aAN°y¼o·R " xfId="2665"/>
    <cellStyle name="AÞ¸¶ [0]_A¾CO½A¼³ " xfId="2667"/>
    <cellStyle name="AÞ¸¶_ 2ÆAAþº° " xfId="2668"/>
    <cellStyle name="AÞ¸¶_95³aAN°y¼o·R " xfId="2670"/>
    <cellStyle name="AÞ¸¶_A¾CO½A¼³ " xfId="2672"/>
    <cellStyle name="CIAIÆU¸μAⓒ" xfId="2683"/>
    <cellStyle name="COST1" xfId="2687"/>
    <cellStyle name="Calc Currency (0)" xfId="2681"/>
    <cellStyle name="Comma [0] 2" xfId="2"/>
    <cellStyle name="Comma0" xfId="2685"/>
    <cellStyle name="Copied" xfId="2686"/>
    <cellStyle name="Curren?_x0012_퐀_x0017_?" xfId="2689"/>
    <cellStyle name="Currency [0] 2" xfId="3"/>
    <cellStyle name="Currency [0]͢laroux_1" xfId="2690"/>
    <cellStyle name="Currency0" xfId="2692"/>
    <cellStyle name="Currency1" xfId="2693"/>
    <cellStyle name="Curre~cy [0]_MATERAL2" xfId="2688"/>
    <cellStyle name="C¡IA¨ª_¡ic¨u¡A¨￢I¨￢¡Æ AN¡Æe " xfId="2673"/>
    <cellStyle name="C￥AØ_ °u¸R½CCa1" xfId="2674"/>
    <cellStyle name="C￥AØ_95³aAN°y¼o·R " xfId="2680"/>
    <cellStyle name="C￥AØ_°­´c (2)" xfId="2676"/>
    <cellStyle name="C￥AØ_¼³°e¿e¿ª" xfId="2678"/>
    <cellStyle name="Date" xfId="2694"/>
    <cellStyle name="Dezimal [0]_laroux" xfId="2695"/>
    <cellStyle name="Dezimal_laroux" xfId="2696"/>
    <cellStyle name="Dollar (zero dec)" xfId="2697"/>
    <cellStyle name="EA" xfId="2698"/>
    <cellStyle name="Entered" xfId="2699"/>
    <cellStyle name="F2" xfId="2700"/>
    <cellStyle name="F3" xfId="2701"/>
    <cellStyle name="F4" xfId="2702"/>
    <cellStyle name="F5" xfId="2703"/>
    <cellStyle name="F6" xfId="2704"/>
    <cellStyle name="F7" xfId="2705"/>
    <cellStyle name="F8" xfId="2706"/>
    <cellStyle name="Fixed" xfId="2707"/>
    <cellStyle name="Grey" xfId="2708"/>
    <cellStyle name="H1" xfId="2709"/>
    <cellStyle name="H2" xfId="2710"/>
    <cellStyle name="HEADER" xfId="2711"/>
    <cellStyle name="Header1" xfId="2712"/>
    <cellStyle name="Header2" xfId="2713"/>
    <cellStyle name="Heading 1" xfId="2714"/>
    <cellStyle name="Heading 2" xfId="2715"/>
    <cellStyle name="Heading1" xfId="2716"/>
    <cellStyle name="Heading2" xfId="2717"/>
    <cellStyle name="Input Cells" xfId="2719"/>
    <cellStyle name="Input [yellow]" xfId="2718"/>
    <cellStyle name="Linked Cells" xfId="2721"/>
    <cellStyle name="M" xfId="2722"/>
    <cellStyle name="M2" xfId="2723"/>
    <cellStyle name="M3" xfId="2724"/>
    <cellStyle name="Milliers [0]_Arabian Spec" xfId="2725"/>
    <cellStyle name="Milliers_Arabian Spec" xfId="2726"/>
    <cellStyle name="Model" xfId="2728"/>
    <cellStyle name="Mon?aire [0]_Arabian Spec" xfId="2729"/>
    <cellStyle name="Mon?aire_Arabian Spec" xfId="2730"/>
    <cellStyle name="Monétaire [0]_CTC" xfId="2731"/>
    <cellStyle name="Monétaire_CTC" xfId="2732"/>
    <cellStyle name="Normal - Style1" xfId="2734"/>
    <cellStyle name="Normal - 유형1" xfId="2735"/>
    <cellStyle name="Normal 2" xfId="1"/>
    <cellStyle name="PSChar" xfId="2743"/>
    <cellStyle name="Percent [2]" xfId="2741"/>
    <cellStyle name="RevList" xfId="2744"/>
    <cellStyle name="STANDARD" xfId="2748"/>
    <cellStyle name="STD" xfId="2749"/>
    <cellStyle name="Subtotal" xfId="2751"/>
    <cellStyle name="Title" xfId="2752"/>
    <cellStyle name="Total" xfId="2755"/>
    <cellStyle name="UM" xfId="2756"/>
    <cellStyle name="W?rung [0]_laroux" xfId="2757"/>
    <cellStyle name="W?rung_laroux" xfId="2758"/>
    <cellStyle name="_01토공" xfId="25"/>
    <cellStyle name="_01토공_00-설계서,원가계산,내역서" xfId="26"/>
    <cellStyle name="_01토공_라멘교 토공" xfId="27"/>
    <cellStyle name="_01토공_라멘교 토공_00-설계서,원가계산,내역서" xfId="28"/>
    <cellStyle name="_01토공_철거" xfId="29"/>
    <cellStyle name="_01토공_철거_00-설계서,원가계산,내역서" xfId="30"/>
    <cellStyle name="_01토공_철거_라멘교 토공" xfId="31"/>
    <cellStyle name="_01토공_철거_라멘교 토공_00-설계서,원가계산,내역서" xfId="32"/>
    <cellStyle name="_Book1" xfId="33"/>
    <cellStyle name="_CM공문양식(품의,협조,대외공문)" xfId="34"/>
    <cellStyle name="_CM양식(대외공문,협조전,품의서)" xfId="35"/>
    <cellStyle name="_FCST (2)" xfId="36"/>
    <cellStyle name="_RE" xfId="37"/>
    <cellStyle name="_갑지(0127)" xfId="38"/>
    <cellStyle name="_공사요율표-031008" xfId="39"/>
    <cellStyle name="_공양식(레인보우스케이프)" xfId="40"/>
    <cellStyle name="_관급-(수배전반)" xfId="41"/>
    <cellStyle name="_내역서" xfId="42"/>
    <cellStyle name="_능말폐기물내역(2단계-총괄)" xfId="43"/>
    <cellStyle name="_대구역사약전내역(자재부제출)" xfId="44"/>
    <cellStyle name="_대원공원설계서" xfId="45"/>
    <cellStyle name="_대원공원설계서_00-설계서,원가계산,내역서" xfId="46"/>
    <cellStyle name="_대원공원설계서_내역서-최종0223" xfId="47"/>
    <cellStyle name="_대원공원설계서_내역서-최종0223_00-설계서,원가계산,내역서" xfId="48"/>
    <cellStyle name="_대원공원설계서_내역서-최종0223_설계서-1" xfId="49"/>
    <cellStyle name="_대원공원설계서_내역서-최종0223_설계서-1_00-설계서,원가계산,내역서" xfId="50"/>
    <cellStyle name="_대원공원설계서_내역서-최종0223_진해자은수량산출서(단지내)" xfId="51"/>
    <cellStyle name="_대원공원설계서_내역서-최종0223_진해자은수량산출서(단지내)_00-설계서,원가계산,내역서" xfId="52"/>
    <cellStyle name="_대원공원설계서_내역서-최종0223_진해자은수량산출서(단지내)_기초산출표-56-128-최종" xfId="53"/>
    <cellStyle name="_대원공원설계서_내역서-최종0223_진해자은수량산출서(단지내)_기초산출표-56-128-최종_00-설계서,원가계산,내역서" xfId="54"/>
    <cellStyle name="_대원공원설계서_내역서-최종0223_진해자은수량산출서(단지내)_기초산출표-56-128-최종_설계서-1" xfId="55"/>
    <cellStyle name="_대원공원설계서_내역서-최종0223_진해자은수량산출서(단지내)_기초산출표-56-128-최종_설계서-1_00-설계서,원가계산,내역서" xfId="56"/>
    <cellStyle name="_대원공원설계서_내역서-최종0223_진해자은수량산출서(단지내)_설계서-1" xfId="57"/>
    <cellStyle name="_대원공원설계서_내역서-최종0223_진해자은수량산출서(단지내)_설계서-1_00-설계서,원가계산,내역서" xfId="58"/>
    <cellStyle name="_대원공원설계서_내역서-최종0223_진해자은수량산출서(단지내)_취합" xfId="59"/>
    <cellStyle name="_대원공원설계서_내역서-최종0223_진해자은수량산출서(단지내)_취합_00-설계서,원가계산,내역서" xfId="60"/>
    <cellStyle name="_대원공원설계서_내역서-최종0223_진해자은수량산출서(단지내)_취합_설계서-1" xfId="61"/>
    <cellStyle name="_대원공원설계서_내역서-최종0223_진해자은수량산출서(단지내)_취합_설계서-1_00-설계서,원가계산,내역서" xfId="62"/>
    <cellStyle name="_대원공원설계서_설계서-1" xfId="63"/>
    <cellStyle name="_대원공원설계서_설계서-1_00-설계서,원가계산,내역서" xfId="64"/>
    <cellStyle name="_대원공원설계서_율동자연공원내 화장실 보수 및 도색공사" xfId="65"/>
    <cellStyle name="_대원공원설계서_율동자연공원내 화장실 보수 및 도색공사_00-설계서,원가계산,내역서" xfId="66"/>
    <cellStyle name="_대원공원설계서_율동자연공원내 화장실 보수 및 도색공사_내역서-최종0223" xfId="67"/>
    <cellStyle name="_대원공원설계서_율동자연공원내 화장실 보수 및 도색공사_내역서-최종0223_00-설계서,원가계산,내역서" xfId="68"/>
    <cellStyle name="_대원공원설계서_율동자연공원내 화장실 보수 및 도색공사_내역서-최종0223_설계서-1" xfId="69"/>
    <cellStyle name="_대원공원설계서_율동자연공원내 화장실 보수 및 도색공사_내역서-최종0223_설계서-1_00-설계서,원가계산,내역서" xfId="70"/>
    <cellStyle name="_대원공원설계서_율동자연공원내 화장실 보수 및 도색공사_내역서-최종0223_진해자은수량산출서(단지내)" xfId="71"/>
    <cellStyle name="_대원공원설계서_율동자연공원내 화장실 보수 및 도색공사_내역서-최종0223_진해자은수량산출서(단지내)_00-설계서,원가계산,내역서" xfId="72"/>
    <cellStyle name="_대원공원설계서_율동자연공원내 화장실 보수 및 도색공사_내역서-최종0223_진해자은수량산출서(단지내)_기초산출표-56-128-최종" xfId="73"/>
    <cellStyle name="_대원공원설계서_율동자연공원내 화장실 보수 및 도색공사_내역서-최종0223_진해자은수량산출서(단지내)_기초산출표-56-128-최종_00-설계서,원가계산,내역서" xfId="74"/>
    <cellStyle name="_대원공원설계서_율동자연공원내 화장실 보수 및 도색공사_내역서-최종0223_진해자은수량산출서(단지내)_기초산출표-56-128-최종_설계서-1" xfId="75"/>
    <cellStyle name="_대원공원설계서_율동자연공원내 화장실 보수 및 도색공사_내역서-최종0223_진해자은수량산출서(단지내)_기초산출표-56-128-최종_설계서-1_00-설계서,원가계산,내역서" xfId="76"/>
    <cellStyle name="_대원공원설계서_율동자연공원내 화장실 보수 및 도색공사_내역서-최종0223_진해자은수량산출서(단지내)_설계서-1" xfId="77"/>
    <cellStyle name="_대원공원설계서_율동자연공원내 화장실 보수 및 도색공사_내역서-최종0223_진해자은수량산출서(단지내)_설계서-1_00-설계서,원가계산,내역서" xfId="78"/>
    <cellStyle name="_대원공원설계서_율동자연공원내 화장실 보수 및 도색공사_내역서-최종0223_진해자은수량산출서(단지내)_취합" xfId="79"/>
    <cellStyle name="_대원공원설계서_율동자연공원내 화장실 보수 및 도색공사_내역서-최종0223_진해자은수량산출서(단지내)_취합_00-설계서,원가계산,내역서" xfId="80"/>
    <cellStyle name="_대원공원설계서_율동자연공원내 화장실 보수 및 도색공사_내역서-최종0223_진해자은수량산출서(단지내)_취합_설계서-1" xfId="81"/>
    <cellStyle name="_대원공원설계서_율동자연공원내 화장실 보수 및 도색공사_내역서-최종0223_진해자은수량산출서(단지내)_취합_설계서-1_00-설계서,원가계산,내역서" xfId="82"/>
    <cellStyle name="_대원공원설계서_율동자연공원내 화장실 보수 및 도색공사_설계서-1" xfId="83"/>
    <cellStyle name="_대원공원설계서_율동자연공원내 화장실 보수 및 도색공사_설계서-1_00-설계서,원가계산,내역서" xfId="84"/>
    <cellStyle name="_대원공원설계서_율동자연공원내 화장실 보수 및 도색공사_진해자은수량산출서(단지내)" xfId="85"/>
    <cellStyle name="_대원공원설계서_율동자연공원내 화장실 보수 및 도색공사_진해자은수량산출서(단지내)_00-설계서,원가계산,내역서" xfId="86"/>
    <cellStyle name="_대원공원설계서_율동자연공원내 화장실 보수 및 도색공사_진해자은수량산출서(단지내)_기초산출표-56-128-최종" xfId="87"/>
    <cellStyle name="_대원공원설계서_율동자연공원내 화장실 보수 및 도색공사_진해자은수량산출서(단지내)_기초산출표-56-128-최종_00-설계서,원가계산,내역서" xfId="88"/>
    <cellStyle name="_대원공원설계서_율동자연공원내 화장실 보수 및 도색공사_진해자은수량산출서(단지내)_기초산출표-56-128-최종_설계서-1" xfId="89"/>
    <cellStyle name="_대원공원설계서_율동자연공원내 화장실 보수 및 도색공사_진해자은수량산출서(단지내)_기초산출표-56-128-최종_설계서-1_00-설계서,원가계산,내역서" xfId="90"/>
    <cellStyle name="_대원공원설계서_율동자연공원내 화장실 보수 및 도색공사_진해자은수량산출서(단지내)_설계서-1" xfId="91"/>
    <cellStyle name="_대원공원설계서_율동자연공원내 화장실 보수 및 도색공사_진해자은수량산출서(단지내)_설계서-1_00-설계서,원가계산,내역서" xfId="92"/>
    <cellStyle name="_대원공원설계서_율동자연공원내 화장실 보수 및 도색공사_진해자은수량산출서(단지내)_취합" xfId="93"/>
    <cellStyle name="_대원공원설계서_율동자연공원내 화장실 보수 및 도색공사_진해자은수량산출서(단지내)_취합_00-설계서,원가계산,내역서" xfId="94"/>
    <cellStyle name="_대원공원설계서_율동자연공원내 화장실 보수 및 도색공사_진해자은수량산출서(단지내)_취합_설계서-1" xfId="95"/>
    <cellStyle name="_대원공원설계서_율동자연공원내 화장실 보수 및 도색공사_진해자은수량산출서(단지내)_취합_설계서-1_00-설계서,원가계산,내역서" xfId="96"/>
    <cellStyle name="_대원공원설계서_율동자연공원내 휴게편의점 도색작업-할증-천정면적추가" xfId="97"/>
    <cellStyle name="_대원공원설계서_율동자연공원내 휴게편의점 도색작업-할증-천정면적추가_00-설계서,원가계산,내역서" xfId="98"/>
    <cellStyle name="_대원공원설계서_율동자연공원내 휴게편의점 도색작업-할증-천정면적추가_내역서-최종0223" xfId="99"/>
    <cellStyle name="_대원공원설계서_율동자연공원내 휴게편의점 도색작업-할증-천정면적추가_내역서-최종0223_00-설계서,원가계산,내역서" xfId="100"/>
    <cellStyle name="_대원공원설계서_율동자연공원내 휴게편의점 도색작업-할증-천정면적추가_내역서-최종0223_설계서-1" xfId="101"/>
    <cellStyle name="_대원공원설계서_율동자연공원내 휴게편의점 도색작업-할증-천정면적추가_내역서-최종0223_설계서-1_00-설계서,원가계산,내역서" xfId="102"/>
    <cellStyle name="_대원공원설계서_율동자연공원내 휴게편의점 도색작업-할증-천정면적추가_내역서-최종0223_진해자은수량산출서(단지내)" xfId="103"/>
    <cellStyle name="_대원공원설계서_율동자연공원내 휴게편의점 도색작업-할증-천정면적추가_내역서-최종0223_진해자은수량산출서(단지내)_00-설계서,원가계산,내역서" xfId="104"/>
    <cellStyle name="_대원공원설계서_율동자연공원내 휴게편의점 도색작업-할증-천정면적추가_내역서-최종0223_진해자은수량산출서(단지내)_기초산출표-56-128-최종" xfId="105"/>
    <cellStyle name="_대원공원설계서_율동자연공원내 휴게편의점 도색작업-할증-천정면적추가_내역서-최종0223_진해자은수량산출서(단지내)_기초산출표-56-128-최종_00-설계서,원가계산,내역서" xfId="106"/>
    <cellStyle name="_대원공원설계서_율동자연공원내 휴게편의점 도색작업-할증-천정면적추가_내역서-최종0223_진해자은수량산출서(단지내)_기초산출표-56-128-최종_설계서-1" xfId="107"/>
    <cellStyle name="_대원공원설계서_율동자연공원내 휴게편의점 도색작업-할증-천정면적추가_내역서-최종0223_진해자은수량산출서(단지내)_기초산출표-56-128-최종_설계서-1_00-설계서,원가계산,내역서" xfId="108"/>
    <cellStyle name="_대원공원설계서_율동자연공원내 휴게편의점 도색작업-할증-천정면적추가_내역서-최종0223_진해자은수량산출서(단지내)_설계서-1" xfId="109"/>
    <cellStyle name="_대원공원설계서_율동자연공원내 휴게편의점 도색작업-할증-천정면적추가_내역서-최종0223_진해자은수량산출서(단지내)_설계서-1_00-설계서,원가계산,내역서" xfId="110"/>
    <cellStyle name="_대원공원설계서_율동자연공원내 휴게편의점 도색작업-할증-천정면적추가_내역서-최종0223_진해자은수량산출서(단지내)_취합" xfId="111"/>
    <cellStyle name="_대원공원설계서_율동자연공원내 휴게편의점 도색작업-할증-천정면적추가_내역서-최종0223_진해자은수량산출서(단지내)_취합_00-설계서,원가계산,내역서" xfId="112"/>
    <cellStyle name="_대원공원설계서_율동자연공원내 휴게편의점 도색작업-할증-천정면적추가_내역서-최종0223_진해자은수량산출서(단지내)_취합_설계서-1" xfId="113"/>
    <cellStyle name="_대원공원설계서_율동자연공원내 휴게편의점 도색작업-할증-천정면적추가_내역서-최종0223_진해자은수량산출서(단지내)_취합_설계서-1_00-설계서,원가계산,내역서" xfId="114"/>
    <cellStyle name="_대원공원설계서_율동자연공원내 휴게편의점 도색작업-할증-천정면적추가_설계서-1" xfId="115"/>
    <cellStyle name="_대원공원설계서_율동자연공원내 휴게편의점 도색작업-할증-천정면적추가_설계서-1_00-설계서,원가계산,내역서" xfId="116"/>
    <cellStyle name="_대원공원설계서_율동자연공원내 휴게편의점 도색작업-할증-천정면적추가_진해자은수량산출서(단지내)" xfId="117"/>
    <cellStyle name="_대원공원설계서_율동자연공원내 휴게편의점 도색작업-할증-천정면적추가_진해자은수량산출서(단지내)_00-설계서,원가계산,내역서" xfId="118"/>
    <cellStyle name="_대원공원설계서_율동자연공원내 휴게편의점 도색작업-할증-천정면적추가_진해자은수량산출서(단지내)_기초산출표-56-128-최종" xfId="119"/>
    <cellStyle name="_대원공원설계서_율동자연공원내 휴게편의점 도색작업-할증-천정면적추가_진해자은수량산출서(단지내)_기초산출표-56-128-최종_00-설계서,원가계산,내역서" xfId="120"/>
    <cellStyle name="_대원공원설계서_율동자연공원내 휴게편의점 도색작업-할증-천정면적추가_진해자은수량산출서(단지내)_기초산출표-56-128-최종_설계서-1" xfId="121"/>
    <cellStyle name="_대원공원설계서_율동자연공원내 휴게편의점 도색작업-할증-천정면적추가_진해자은수량산출서(단지내)_기초산출표-56-128-최종_설계서-1_00-설계서,원가계산,내역서" xfId="122"/>
    <cellStyle name="_대원공원설계서_율동자연공원내 휴게편의점 도색작업-할증-천정면적추가_진해자은수량산출서(단지내)_설계서-1" xfId="123"/>
    <cellStyle name="_대원공원설계서_율동자연공원내 휴게편의점 도색작업-할증-천정면적추가_진해자은수량산출서(단지내)_설계서-1_00-설계서,원가계산,내역서" xfId="124"/>
    <cellStyle name="_대원공원설계서_율동자연공원내 휴게편의점 도색작업-할증-천정면적추가_진해자은수량산출서(단지내)_취합" xfId="125"/>
    <cellStyle name="_대원공원설계서_율동자연공원내 휴게편의점 도색작업-할증-천정면적추가_진해자은수량산출서(단지내)_취합_00-설계서,원가계산,내역서" xfId="126"/>
    <cellStyle name="_대원공원설계서_율동자연공원내 휴게편의점 도색작업-할증-천정면적추가_진해자은수량산출서(단지내)_취합_설계서-1" xfId="127"/>
    <cellStyle name="_대원공원설계서_율동자연공원내 휴게편의점 도색작업-할증-천정면적추가_진해자은수량산출서(단지내)_취합_설계서-1_00-설계서,원가계산,내역서" xfId="128"/>
    <cellStyle name="_대원공원설계서_진해자은수량산출서(단지내)" xfId="129"/>
    <cellStyle name="_대원공원설계서_진해자은수량산출서(단지내)_00-설계서,원가계산,내역서" xfId="130"/>
    <cellStyle name="_대원공원설계서_진해자은수량산출서(단지내)_기초산출표-56-128-최종" xfId="131"/>
    <cellStyle name="_대원공원설계서_진해자은수량산출서(단지내)_기초산출표-56-128-최종_00-설계서,원가계산,내역서" xfId="132"/>
    <cellStyle name="_대원공원설계서_진해자은수량산출서(단지내)_기초산출표-56-128-최종_설계서-1" xfId="133"/>
    <cellStyle name="_대원공원설계서_진해자은수량산출서(단지내)_기초산출표-56-128-최종_설계서-1_00-설계서,원가계산,내역서" xfId="134"/>
    <cellStyle name="_대원공원설계서_진해자은수량산출서(단지내)_설계서-1" xfId="135"/>
    <cellStyle name="_대원공원설계서_진해자은수량산출서(단지내)_설계서-1_00-설계서,원가계산,내역서" xfId="136"/>
    <cellStyle name="_대원공원설계서_진해자은수량산출서(단지내)_취합" xfId="137"/>
    <cellStyle name="_대원공원설계서_진해자은수량산출서(단지내)_취합_00-설계서,원가계산,내역서" xfId="138"/>
    <cellStyle name="_대원공원설계서_진해자은수량산출서(단지내)_취합_설계서-1" xfId="139"/>
    <cellStyle name="_대원공원설계서_진해자은수량산출서(단지내)_취합_설계서-1_00-설계서,원가계산,내역서" xfId="140"/>
    <cellStyle name="_동래점 토공사 가시설발주2-김대리님" xfId="141"/>
    <cellStyle name="_라멘교 토공" xfId="142"/>
    <cellStyle name="_라멘교 토공_00-설계서,원가계산,내역서" xfId="143"/>
    <cellStyle name="_롯데본점 신관지하1층" xfId="144"/>
    <cellStyle name="_명품가약전" xfId="145"/>
    <cellStyle name="_명품가조명제어" xfId="146"/>
    <cellStyle name="_방동" xfId="147"/>
    <cellStyle name="_방동_00-설계서,원가계산,내역서" xfId="148"/>
    <cellStyle name="_방동_03구조~1" xfId="149"/>
    <cellStyle name="_방동_03구조~1_00-설계서,원가계산,내역서" xfId="150"/>
    <cellStyle name="_방동_03구조~1_라멘교 토공" xfId="151"/>
    <cellStyle name="_방동_03구조~1_라멘교 토공_00-설계서,원가계산,내역서" xfId="152"/>
    <cellStyle name="_방동_03구조~1_포장" xfId="153"/>
    <cellStyle name="_방동_03구조~1_포장_00-설계서,원가계산,내역서" xfId="154"/>
    <cellStyle name="_방동_03구조~1_포장_라멘교 토공" xfId="155"/>
    <cellStyle name="_방동_03구조~1_포장_라멘교 토공_00-설계서,원가계산,내역서" xfId="156"/>
    <cellStyle name="_방동_03구조물공" xfId="157"/>
    <cellStyle name="_방동_03구조물공_00-설계서,원가계산,내역서" xfId="158"/>
    <cellStyle name="_방동_03구조물공_라멘교 토공" xfId="159"/>
    <cellStyle name="_방동_03구조물공_라멘교 토공_00-설계서,원가계산,내역서" xfId="160"/>
    <cellStyle name="_방동_03구조물공_포장" xfId="161"/>
    <cellStyle name="_방동_03구조물공_포장_00-설계서,원가계산,내역서" xfId="162"/>
    <cellStyle name="_방동_03구조물공_포장_라멘교 토공" xfId="163"/>
    <cellStyle name="_방동_03구조물공_포장_라멘교 토공_00-설계서,원가계산,내역서" xfId="164"/>
    <cellStyle name="_방동_내역서-최종0223" xfId="165"/>
    <cellStyle name="_방동_내역서-최종0223_00-설계서,원가계산,내역서" xfId="166"/>
    <cellStyle name="_방동_내역서-최종0223_설계서-1" xfId="167"/>
    <cellStyle name="_방동_내역서-최종0223_설계서-1_00-설계서,원가계산,내역서" xfId="168"/>
    <cellStyle name="_방동_내역서-최종0223_진해자은수량산출서(단지내)" xfId="169"/>
    <cellStyle name="_방동_내역서-최종0223_진해자은수량산출서(단지내)_00-설계서,원가계산,내역서" xfId="170"/>
    <cellStyle name="_방동_내역서-최종0223_진해자은수량산출서(단지내)_기초산출표-56-128-최종" xfId="171"/>
    <cellStyle name="_방동_내역서-최종0223_진해자은수량산출서(단지내)_기초산출표-56-128-최종_00-설계서,원가계산,내역서" xfId="172"/>
    <cellStyle name="_방동_내역서-최종0223_진해자은수량산출서(단지내)_기초산출표-56-128-최종_설계서-1" xfId="173"/>
    <cellStyle name="_방동_내역서-최종0223_진해자은수량산출서(단지내)_기초산출표-56-128-최종_설계서-1_00-설계서,원가계산,내역서" xfId="174"/>
    <cellStyle name="_방동_내역서-최종0223_진해자은수량산출서(단지내)_설계서-1" xfId="175"/>
    <cellStyle name="_방동_내역서-최종0223_진해자은수량산출서(단지내)_설계서-1_00-설계서,원가계산,내역서" xfId="176"/>
    <cellStyle name="_방동_내역서-최종0223_진해자은수량산출서(단지내)_취합" xfId="177"/>
    <cellStyle name="_방동_내역서-최종0223_진해자은수량산출서(단지내)_취합_00-설계서,원가계산,내역서" xfId="178"/>
    <cellStyle name="_방동_내역서-최종0223_진해자은수량산출서(단지내)_취합_설계서-1" xfId="179"/>
    <cellStyle name="_방동_내역서-최종0223_진해자은수량산출서(단지내)_취합_설계서-1_00-설계서,원가계산,내역서" xfId="180"/>
    <cellStyle name="_방동_동막리소교량" xfId="181"/>
    <cellStyle name="_방동_동막리소교량_00-설계서,원가계산,내역서" xfId="182"/>
    <cellStyle name="_방동_동막리소교량_라멘교 토공" xfId="183"/>
    <cellStyle name="_방동_동막리소교량_라멘교 토공_00-설계서,원가계산,내역서" xfId="184"/>
    <cellStyle name="_방동_동막리소교량_포장" xfId="185"/>
    <cellStyle name="_방동_동막리소교량_포장_00-설계서,원가계산,내역서" xfId="186"/>
    <cellStyle name="_방동_동막리소교량_포장_라멘교 토공" xfId="187"/>
    <cellStyle name="_방동_동막리소교량_포장_라멘교 토공_00-설계서,원가계산,내역서" xfId="188"/>
    <cellStyle name="_방동_라멘교 토공" xfId="189"/>
    <cellStyle name="_방동_라멘교 토공_00-설계서,원가계산,내역서" xfId="190"/>
    <cellStyle name="_방동_마현12~1" xfId="191"/>
    <cellStyle name="_방동_마현12~1_00-설계서,원가계산,내역서" xfId="192"/>
    <cellStyle name="_방동_마현12~1_라멘교 토공" xfId="193"/>
    <cellStyle name="_방동_마현12~1_라멘교 토공_00-설계서,원가계산,내역서" xfId="194"/>
    <cellStyle name="_방동_마현12~1_포장" xfId="195"/>
    <cellStyle name="_방동_마현12~1_포장_00-설계서,원가계산,내역서" xfId="196"/>
    <cellStyle name="_방동_마현12~1_포장_라멘교 토공" xfId="197"/>
    <cellStyle name="_방동_마현12~1_포장_라멘교 토공_00-설계서,원가계산,내역서" xfId="198"/>
    <cellStyle name="_방동_문혜3리" xfId="199"/>
    <cellStyle name="_방동_문혜3리_00-설계서,원가계산,내역서" xfId="200"/>
    <cellStyle name="_방동_문혜3리_라멘교 토공" xfId="201"/>
    <cellStyle name="_방동_문혜3리_라멘교 토공_00-설계서,원가계산,내역서" xfId="202"/>
    <cellStyle name="_방동_문혜3리_포장" xfId="203"/>
    <cellStyle name="_방동_문혜3리_포장_00-설계서,원가계산,내역서" xfId="204"/>
    <cellStyle name="_방동_문혜3리_포장_라멘교 토공" xfId="205"/>
    <cellStyle name="_방동_문혜3리_포장_라멘교 토공_00-설계서,원가계산,내역서" xfId="206"/>
    <cellStyle name="_방동_방동" xfId="207"/>
    <cellStyle name="_방동_방동_00-설계서,원가계산,내역서" xfId="208"/>
    <cellStyle name="_방동_방동_내역서-최종0223" xfId="209"/>
    <cellStyle name="_방동_방동_내역서-최종0223_00-설계서,원가계산,내역서" xfId="210"/>
    <cellStyle name="_방동_방동_내역서-최종0223_설계서-1" xfId="211"/>
    <cellStyle name="_방동_방동_내역서-최종0223_설계서-1_00-설계서,원가계산,내역서" xfId="212"/>
    <cellStyle name="_방동_방동_내역서-최종0223_진해자은수량산출서(단지내)" xfId="213"/>
    <cellStyle name="_방동_방동_내역서-최종0223_진해자은수량산출서(단지내)_00-설계서,원가계산,내역서" xfId="214"/>
    <cellStyle name="_방동_방동_내역서-최종0223_진해자은수량산출서(단지내)_기초산출표-56-128-최종" xfId="215"/>
    <cellStyle name="_방동_방동_내역서-최종0223_진해자은수량산출서(단지내)_기초산출표-56-128-최종_00-설계서,원가계산,내역서" xfId="216"/>
    <cellStyle name="_방동_방동_내역서-최종0223_진해자은수량산출서(단지내)_기초산출표-56-128-최종_설계서-1" xfId="217"/>
    <cellStyle name="_방동_방동_내역서-최종0223_진해자은수량산출서(단지내)_기초산출표-56-128-최종_설계서-1_00-설계서,원가계산,내역서" xfId="218"/>
    <cellStyle name="_방동_방동_내역서-최종0223_진해자은수량산출서(단지내)_설계서-1" xfId="219"/>
    <cellStyle name="_방동_방동_내역서-최종0223_진해자은수량산출서(단지내)_설계서-1_00-설계서,원가계산,내역서" xfId="220"/>
    <cellStyle name="_방동_방동_내역서-최종0223_진해자은수량산출서(단지내)_취합" xfId="221"/>
    <cellStyle name="_방동_방동_내역서-최종0223_진해자은수량산출서(단지내)_취합_00-설계서,원가계산,내역서" xfId="222"/>
    <cellStyle name="_방동_방동_내역서-최종0223_진해자은수량산출서(단지내)_취합_설계서-1" xfId="223"/>
    <cellStyle name="_방동_방동_내역서-최종0223_진해자은수량산출서(단지내)_취합_설계서-1_00-설계서,원가계산,내역서" xfId="224"/>
    <cellStyle name="_방동_방동_라멘교 토공" xfId="225"/>
    <cellStyle name="_방동_방동_라멘교 토공_00-설계서,원가계산,내역서" xfId="226"/>
    <cellStyle name="_방동_방동_설계서-1" xfId="227"/>
    <cellStyle name="_방동_방동_설계서-1_00-설계서,원가계산,내역서" xfId="228"/>
    <cellStyle name="_방동_방동_율동자연공원내 화장실 보수 및 도색공사" xfId="229"/>
    <cellStyle name="_방동_방동_율동자연공원내 화장실 보수 및 도색공사_00-설계서,원가계산,내역서" xfId="230"/>
    <cellStyle name="_방동_방동_율동자연공원내 화장실 보수 및 도색공사_내역서-최종0223" xfId="231"/>
    <cellStyle name="_방동_방동_율동자연공원내 화장실 보수 및 도색공사_내역서-최종0223_00-설계서,원가계산,내역서" xfId="232"/>
    <cellStyle name="_방동_방동_율동자연공원내 화장실 보수 및 도색공사_내역서-최종0223_설계서-1" xfId="233"/>
    <cellStyle name="_방동_방동_율동자연공원내 화장실 보수 및 도색공사_내역서-최종0223_설계서-1_00-설계서,원가계산,내역서" xfId="234"/>
    <cellStyle name="_방동_방동_율동자연공원내 화장실 보수 및 도색공사_내역서-최종0223_진해자은수량산출서(단지내)" xfId="235"/>
    <cellStyle name="_방동_방동_율동자연공원내 화장실 보수 및 도색공사_내역서-최종0223_진해자은수량산출서(단지내)_00-설계서,원가계산,내역서" xfId="236"/>
    <cellStyle name="_방동_방동_율동자연공원내 화장실 보수 및 도색공사_내역서-최종0223_진해자은수량산출서(단지내)_기초산출표-56-128-최종" xfId="237"/>
    <cellStyle name="_방동_방동_율동자연공원내 화장실 보수 및 도색공사_내역서-최종0223_진해자은수량산출서(단지내)_기초산출표-56-128-최종_00-설계서,원가계산,내역서" xfId="238"/>
    <cellStyle name="_방동_방동_율동자연공원내 화장실 보수 및 도색공사_내역서-최종0223_진해자은수량산출서(단지내)_기초산출표-56-128-최종_설계서-1" xfId="239"/>
    <cellStyle name="_방동_방동_율동자연공원내 화장실 보수 및 도색공사_내역서-최종0223_진해자은수량산출서(단지내)_기초산출표-56-128-최종_설계서-1_00-설계서,원가계산,내역서" xfId="240"/>
    <cellStyle name="_방동_방동_율동자연공원내 화장실 보수 및 도색공사_내역서-최종0223_진해자은수량산출서(단지내)_설계서-1" xfId="241"/>
    <cellStyle name="_방동_방동_율동자연공원내 화장실 보수 및 도색공사_내역서-최종0223_진해자은수량산출서(단지내)_설계서-1_00-설계서,원가계산,내역서" xfId="242"/>
    <cellStyle name="_방동_방동_율동자연공원내 화장실 보수 및 도색공사_내역서-최종0223_진해자은수량산출서(단지내)_취합" xfId="243"/>
    <cellStyle name="_방동_방동_율동자연공원내 화장실 보수 및 도색공사_내역서-최종0223_진해자은수량산출서(단지내)_취합_00-설계서,원가계산,내역서" xfId="244"/>
    <cellStyle name="_방동_방동_율동자연공원내 화장실 보수 및 도색공사_내역서-최종0223_진해자은수량산출서(단지내)_취합_설계서-1" xfId="245"/>
    <cellStyle name="_방동_방동_율동자연공원내 화장실 보수 및 도색공사_내역서-최종0223_진해자은수량산출서(단지내)_취합_설계서-1_00-설계서,원가계산,내역서" xfId="246"/>
    <cellStyle name="_방동_방동_율동자연공원내 화장실 보수 및 도색공사_설계서-1" xfId="247"/>
    <cellStyle name="_방동_방동_율동자연공원내 화장실 보수 및 도색공사_설계서-1_00-설계서,원가계산,내역서" xfId="248"/>
    <cellStyle name="_방동_방동_율동자연공원내 화장실 보수 및 도색공사_진해자은수량산출서(단지내)" xfId="249"/>
    <cellStyle name="_방동_방동_율동자연공원내 화장실 보수 및 도색공사_진해자은수량산출서(단지내)_00-설계서,원가계산,내역서" xfId="250"/>
    <cellStyle name="_방동_방동_율동자연공원내 화장실 보수 및 도색공사_진해자은수량산출서(단지내)_기초산출표-56-128-최종" xfId="251"/>
    <cellStyle name="_방동_방동_율동자연공원내 화장실 보수 및 도색공사_진해자은수량산출서(단지내)_기초산출표-56-128-최종_00-설계서,원가계산,내역서" xfId="252"/>
    <cellStyle name="_방동_방동_율동자연공원내 화장실 보수 및 도색공사_진해자은수량산출서(단지내)_기초산출표-56-128-최종_설계서-1" xfId="253"/>
    <cellStyle name="_방동_방동_율동자연공원내 화장실 보수 및 도색공사_진해자은수량산출서(단지내)_기초산출표-56-128-최종_설계서-1_00-설계서,원가계산,내역서" xfId="254"/>
    <cellStyle name="_방동_방동_율동자연공원내 화장실 보수 및 도색공사_진해자은수량산출서(단지내)_설계서-1" xfId="255"/>
    <cellStyle name="_방동_방동_율동자연공원내 화장실 보수 및 도색공사_진해자은수량산출서(단지내)_설계서-1_00-설계서,원가계산,내역서" xfId="256"/>
    <cellStyle name="_방동_방동_율동자연공원내 화장실 보수 및 도색공사_진해자은수량산출서(단지내)_취합" xfId="257"/>
    <cellStyle name="_방동_방동_율동자연공원내 화장실 보수 및 도색공사_진해자은수량산출서(단지내)_취합_00-설계서,원가계산,내역서" xfId="258"/>
    <cellStyle name="_방동_방동_율동자연공원내 화장실 보수 및 도색공사_진해자은수량산출서(단지내)_취합_설계서-1" xfId="259"/>
    <cellStyle name="_방동_방동_율동자연공원내 화장실 보수 및 도색공사_진해자은수량산출서(단지내)_취합_설계서-1_00-설계서,원가계산,내역서" xfId="260"/>
    <cellStyle name="_방동_방동_율동자연공원내 휴게편의점 도색작업-할증-천정면적추가" xfId="261"/>
    <cellStyle name="_방동_방동_율동자연공원내 휴게편의점 도색작업-할증-천정면적추가_00-설계서,원가계산,내역서" xfId="262"/>
    <cellStyle name="_방동_방동_율동자연공원내 휴게편의점 도색작업-할증-천정면적추가_내역서-최종0223" xfId="263"/>
    <cellStyle name="_방동_방동_율동자연공원내 휴게편의점 도색작업-할증-천정면적추가_내역서-최종0223_00-설계서,원가계산,내역서" xfId="264"/>
    <cellStyle name="_방동_방동_율동자연공원내 휴게편의점 도색작업-할증-천정면적추가_내역서-최종0223_설계서-1" xfId="265"/>
    <cellStyle name="_방동_방동_율동자연공원내 휴게편의점 도색작업-할증-천정면적추가_내역서-최종0223_설계서-1_00-설계서,원가계산,내역서" xfId="266"/>
    <cellStyle name="_방동_방동_율동자연공원내 휴게편의점 도색작업-할증-천정면적추가_내역서-최종0223_진해자은수량산출서(단지내)" xfId="267"/>
    <cellStyle name="_방동_방동_율동자연공원내 휴게편의점 도색작업-할증-천정면적추가_내역서-최종0223_진해자은수량산출서(단지내)_00-설계서,원가계산,내역서" xfId="268"/>
    <cellStyle name="_방동_방동_율동자연공원내 휴게편의점 도색작업-할증-천정면적추가_내역서-최종0223_진해자은수량산출서(단지내)_기초산출표-56-128-최종" xfId="269"/>
    <cellStyle name="_방동_방동_율동자연공원내 휴게편의점 도색작업-할증-천정면적추가_내역서-최종0223_진해자은수량산출서(단지내)_기초산출표-56-128-최종_00-설계서,원가계산,내역서" xfId="270"/>
    <cellStyle name="_방동_방동_율동자연공원내 휴게편의점 도색작업-할증-천정면적추가_내역서-최종0223_진해자은수량산출서(단지내)_기초산출표-56-128-최종_설계서-1" xfId="271"/>
    <cellStyle name="_방동_방동_율동자연공원내 휴게편의점 도색작업-할증-천정면적추가_내역서-최종0223_진해자은수량산출서(단지내)_기초산출표-56-128-최종_설계서-1_00-설계서,원가계산,내역서" xfId="272"/>
    <cellStyle name="_방동_방동_율동자연공원내 휴게편의점 도색작업-할증-천정면적추가_내역서-최종0223_진해자은수량산출서(단지내)_설계서-1" xfId="273"/>
    <cellStyle name="_방동_방동_율동자연공원내 휴게편의점 도색작업-할증-천정면적추가_내역서-최종0223_진해자은수량산출서(단지내)_설계서-1_00-설계서,원가계산,내역서" xfId="274"/>
    <cellStyle name="_방동_방동_율동자연공원내 휴게편의점 도색작업-할증-천정면적추가_내역서-최종0223_진해자은수량산출서(단지내)_취합" xfId="275"/>
    <cellStyle name="_방동_방동_율동자연공원내 휴게편의점 도색작업-할증-천정면적추가_내역서-최종0223_진해자은수량산출서(단지내)_취합_00-설계서,원가계산,내역서" xfId="276"/>
    <cellStyle name="_방동_방동_율동자연공원내 휴게편의점 도색작업-할증-천정면적추가_내역서-최종0223_진해자은수량산출서(단지내)_취합_설계서-1" xfId="277"/>
    <cellStyle name="_방동_방동_율동자연공원내 휴게편의점 도색작업-할증-천정면적추가_내역서-최종0223_진해자은수량산출서(단지내)_취합_설계서-1_00-설계서,원가계산,내역서" xfId="278"/>
    <cellStyle name="_방동_방동_율동자연공원내 휴게편의점 도색작업-할증-천정면적추가_설계서-1" xfId="279"/>
    <cellStyle name="_방동_방동_율동자연공원내 휴게편의점 도색작업-할증-천정면적추가_설계서-1_00-설계서,원가계산,내역서" xfId="280"/>
    <cellStyle name="_방동_방동_율동자연공원내 휴게편의점 도색작업-할증-천정면적추가_진해자은수량산출서(단지내)" xfId="281"/>
    <cellStyle name="_방동_방동_율동자연공원내 휴게편의점 도색작업-할증-천정면적추가_진해자은수량산출서(단지내)_00-설계서,원가계산,내역서" xfId="282"/>
    <cellStyle name="_방동_방동_율동자연공원내 휴게편의점 도색작업-할증-천정면적추가_진해자은수량산출서(단지내)_기초산출표-56-128-최종" xfId="283"/>
    <cellStyle name="_방동_방동_율동자연공원내 휴게편의점 도색작업-할증-천정면적추가_진해자은수량산출서(단지내)_기초산출표-56-128-최종_00-설계서,원가계산,내역서" xfId="284"/>
    <cellStyle name="_방동_방동_율동자연공원내 휴게편의점 도색작업-할증-천정면적추가_진해자은수량산출서(단지내)_기초산출표-56-128-최종_설계서-1" xfId="285"/>
    <cellStyle name="_방동_방동_율동자연공원내 휴게편의점 도색작업-할증-천정면적추가_진해자은수량산출서(단지내)_기초산출표-56-128-최종_설계서-1_00-설계서,원가계산,내역서" xfId="286"/>
    <cellStyle name="_방동_방동_율동자연공원내 휴게편의점 도색작업-할증-천정면적추가_진해자은수량산출서(단지내)_설계서-1" xfId="287"/>
    <cellStyle name="_방동_방동_율동자연공원내 휴게편의점 도색작업-할증-천정면적추가_진해자은수량산출서(단지내)_설계서-1_00-설계서,원가계산,내역서" xfId="288"/>
    <cellStyle name="_방동_방동_율동자연공원내 휴게편의점 도색작업-할증-천정면적추가_진해자은수량산출서(단지내)_취합" xfId="289"/>
    <cellStyle name="_방동_방동_율동자연공원내 휴게편의점 도색작업-할증-천정면적추가_진해자은수량산출서(단지내)_취합_00-설계서,원가계산,내역서" xfId="290"/>
    <cellStyle name="_방동_방동_율동자연공원내 휴게편의점 도색작업-할증-천정면적추가_진해자은수량산출서(단지내)_취합_설계서-1" xfId="291"/>
    <cellStyle name="_방동_방동_율동자연공원내 휴게편의점 도색작업-할증-천정면적추가_진해자은수량산출서(단지내)_취합_설계서-1_00-설계서,원가계산,내역서" xfId="292"/>
    <cellStyle name="_방동_방동_이문동구간중랑천변녹화사업(수량산출서, 071127)-최종" xfId="293"/>
    <cellStyle name="_방동_방동_이문동구간중랑천변녹화사업(수량산출서, 071127)-최종_00-설계서,원가계산,내역서" xfId="294"/>
    <cellStyle name="_방동_방동_진해자은수량산출서(단지내)" xfId="295"/>
    <cellStyle name="_방동_방동_진해자은수량산출서(단지내)_00-설계서,원가계산,내역서" xfId="296"/>
    <cellStyle name="_방동_방동_진해자은수량산출서(단지내)_기초산출표-56-128-최종" xfId="297"/>
    <cellStyle name="_방동_방동_진해자은수량산출서(단지내)_기초산출표-56-128-최종_00-설계서,원가계산,내역서" xfId="298"/>
    <cellStyle name="_방동_방동_진해자은수량산출서(단지내)_기초산출표-56-128-최종_설계서-1" xfId="299"/>
    <cellStyle name="_방동_방동_진해자은수량산출서(단지내)_기초산출표-56-128-최종_설계서-1_00-설계서,원가계산,내역서" xfId="300"/>
    <cellStyle name="_방동_방동_진해자은수량산출서(단지내)_설계서-1" xfId="301"/>
    <cellStyle name="_방동_방동_진해자은수량산출서(단지내)_설계서-1_00-설계서,원가계산,내역서" xfId="302"/>
    <cellStyle name="_방동_방동_진해자은수량산출서(단지내)_취합" xfId="303"/>
    <cellStyle name="_방동_방동_진해자은수량산출서(단지내)_취합_00-설계서,원가계산,내역서" xfId="304"/>
    <cellStyle name="_방동_방동_진해자은수량산출서(단지내)_취합_설계서-1" xfId="305"/>
    <cellStyle name="_방동_방동_진해자은수량산출서(단지내)_취합_설계서-1_00-설계서,원가계산,내역서" xfId="306"/>
    <cellStyle name="_방동_방동_포장" xfId="307"/>
    <cellStyle name="_방동_방동_포장_00-설계서,원가계산,내역서" xfId="308"/>
    <cellStyle name="_방동_방동_포장_라멘교 토공" xfId="309"/>
    <cellStyle name="_방동_방동_포장_라멘교 토공_00-설계서,원가계산,내역서" xfId="310"/>
    <cellStyle name="_방동_산양2리지구" xfId="311"/>
    <cellStyle name="_방동_산양2리지구_00-설계서,원가계산,내역서" xfId="312"/>
    <cellStyle name="_방동_산양2리지구_라멘교 토공" xfId="313"/>
    <cellStyle name="_방동_산양2리지구_라멘교 토공_00-설계서,원가계산,내역서" xfId="314"/>
    <cellStyle name="_방동_산양2리지구_포장" xfId="315"/>
    <cellStyle name="_방동_산양2리지구_포장_00-설계서,원가계산,내역서" xfId="316"/>
    <cellStyle name="_방동_산양2리지구_포장_라멘교 토공" xfId="317"/>
    <cellStyle name="_방동_산양2리지구_포장_라멘교 토공_00-설계서,원가계산,내역서" xfId="318"/>
    <cellStyle name="_방동_산양리지구" xfId="319"/>
    <cellStyle name="_방동_산양리지구_00-설계서,원가계산,내역서" xfId="320"/>
    <cellStyle name="_방동_산양리지구_내역서-최종0223" xfId="321"/>
    <cellStyle name="_방동_산양리지구_내역서-최종0223_00-설계서,원가계산,내역서" xfId="322"/>
    <cellStyle name="_방동_산양리지구_내역서-최종0223_설계서-1" xfId="323"/>
    <cellStyle name="_방동_산양리지구_내역서-최종0223_설계서-1_00-설계서,원가계산,내역서" xfId="324"/>
    <cellStyle name="_방동_산양리지구_내역서-최종0223_진해자은수량산출서(단지내)" xfId="325"/>
    <cellStyle name="_방동_산양리지구_내역서-최종0223_진해자은수량산출서(단지내)_00-설계서,원가계산,내역서" xfId="326"/>
    <cellStyle name="_방동_산양리지구_내역서-최종0223_진해자은수량산출서(단지내)_기초산출표-56-128-최종" xfId="327"/>
    <cellStyle name="_방동_산양리지구_내역서-최종0223_진해자은수량산출서(단지내)_기초산출표-56-128-최종_00-설계서,원가계산,내역서" xfId="328"/>
    <cellStyle name="_방동_산양리지구_내역서-최종0223_진해자은수량산출서(단지내)_기초산출표-56-128-최종_설계서-1" xfId="329"/>
    <cellStyle name="_방동_산양리지구_내역서-최종0223_진해자은수량산출서(단지내)_기초산출표-56-128-최종_설계서-1_00-설계서,원가계산,내역서" xfId="330"/>
    <cellStyle name="_방동_산양리지구_내역서-최종0223_진해자은수량산출서(단지내)_설계서-1" xfId="331"/>
    <cellStyle name="_방동_산양리지구_내역서-최종0223_진해자은수량산출서(단지내)_설계서-1_00-설계서,원가계산,내역서" xfId="332"/>
    <cellStyle name="_방동_산양리지구_내역서-최종0223_진해자은수량산출서(단지내)_취합" xfId="333"/>
    <cellStyle name="_방동_산양리지구_내역서-최종0223_진해자은수량산출서(단지내)_취합_00-설계서,원가계산,내역서" xfId="334"/>
    <cellStyle name="_방동_산양리지구_내역서-최종0223_진해자은수량산출서(단지내)_취합_설계서-1" xfId="335"/>
    <cellStyle name="_방동_산양리지구_내역서-최종0223_진해자은수량산출서(단지내)_취합_설계서-1_00-설계서,원가계산,내역서" xfId="336"/>
    <cellStyle name="_방동_산양리지구_라멘교 토공" xfId="337"/>
    <cellStyle name="_방동_산양리지구_라멘교 토공_00-설계서,원가계산,내역서" xfId="338"/>
    <cellStyle name="_방동_산양리지구_설계서-1" xfId="339"/>
    <cellStyle name="_방동_산양리지구_설계서-1_00-설계서,원가계산,내역서" xfId="340"/>
    <cellStyle name="_방동_산양리지구_율동자연공원내 화장실 보수 및 도색공사" xfId="341"/>
    <cellStyle name="_방동_산양리지구_율동자연공원내 화장실 보수 및 도색공사_00-설계서,원가계산,내역서" xfId="342"/>
    <cellStyle name="_방동_산양리지구_율동자연공원내 화장실 보수 및 도색공사_내역서-최종0223" xfId="343"/>
    <cellStyle name="_방동_산양리지구_율동자연공원내 화장실 보수 및 도색공사_내역서-최종0223_00-설계서,원가계산,내역서" xfId="344"/>
    <cellStyle name="_방동_산양리지구_율동자연공원내 화장실 보수 및 도색공사_내역서-최종0223_설계서-1" xfId="345"/>
    <cellStyle name="_방동_산양리지구_율동자연공원내 화장실 보수 및 도색공사_내역서-최종0223_설계서-1_00-설계서,원가계산,내역서" xfId="346"/>
    <cellStyle name="_방동_산양리지구_율동자연공원내 화장실 보수 및 도색공사_내역서-최종0223_진해자은수량산출서(단지내)" xfId="347"/>
    <cellStyle name="_방동_산양리지구_율동자연공원내 화장실 보수 및 도색공사_내역서-최종0223_진해자은수량산출서(단지내)_00-설계서,원가계산,내역서" xfId="348"/>
    <cellStyle name="_방동_산양리지구_율동자연공원내 화장실 보수 및 도색공사_내역서-최종0223_진해자은수량산출서(단지내)_기초산출표-56-128-최종" xfId="349"/>
    <cellStyle name="_방동_산양리지구_율동자연공원내 화장실 보수 및 도색공사_내역서-최종0223_진해자은수량산출서(단지내)_기초산출표-56-128-최종_00-설계서,원가계산,내역서" xfId="350"/>
    <cellStyle name="_방동_산양리지구_율동자연공원내 화장실 보수 및 도색공사_내역서-최종0223_진해자은수량산출서(단지내)_기초산출표-56-128-최종_설계서-1" xfId="351"/>
    <cellStyle name="_방동_산양리지구_율동자연공원내 화장실 보수 및 도색공사_내역서-최종0223_진해자은수량산출서(단지내)_기초산출표-56-128-최종_설계서-1_00-설계서,원가계산,내역서" xfId="352"/>
    <cellStyle name="_방동_산양리지구_율동자연공원내 화장실 보수 및 도색공사_내역서-최종0223_진해자은수량산출서(단지내)_설계서-1" xfId="353"/>
    <cellStyle name="_방동_산양리지구_율동자연공원내 화장실 보수 및 도색공사_내역서-최종0223_진해자은수량산출서(단지내)_설계서-1_00-설계서,원가계산,내역서" xfId="354"/>
    <cellStyle name="_방동_산양리지구_율동자연공원내 화장실 보수 및 도색공사_내역서-최종0223_진해자은수량산출서(단지내)_취합" xfId="355"/>
    <cellStyle name="_방동_산양리지구_율동자연공원내 화장실 보수 및 도색공사_내역서-최종0223_진해자은수량산출서(단지내)_취합_00-설계서,원가계산,내역서" xfId="356"/>
    <cellStyle name="_방동_산양리지구_율동자연공원내 화장실 보수 및 도색공사_내역서-최종0223_진해자은수량산출서(단지내)_취합_설계서-1" xfId="357"/>
    <cellStyle name="_방동_산양리지구_율동자연공원내 화장실 보수 및 도색공사_내역서-최종0223_진해자은수량산출서(단지내)_취합_설계서-1_00-설계서,원가계산,내역서" xfId="358"/>
    <cellStyle name="_방동_산양리지구_율동자연공원내 화장실 보수 및 도색공사_설계서-1" xfId="359"/>
    <cellStyle name="_방동_산양리지구_율동자연공원내 화장실 보수 및 도색공사_설계서-1_00-설계서,원가계산,내역서" xfId="360"/>
    <cellStyle name="_방동_산양리지구_율동자연공원내 화장실 보수 및 도색공사_진해자은수량산출서(단지내)" xfId="361"/>
    <cellStyle name="_방동_산양리지구_율동자연공원내 화장실 보수 및 도색공사_진해자은수량산출서(단지내)_00-설계서,원가계산,내역서" xfId="362"/>
    <cellStyle name="_방동_산양리지구_율동자연공원내 화장실 보수 및 도색공사_진해자은수량산출서(단지내)_기초산출표-56-128-최종" xfId="363"/>
    <cellStyle name="_방동_산양리지구_율동자연공원내 화장실 보수 및 도색공사_진해자은수량산출서(단지내)_기초산출표-56-128-최종_00-설계서,원가계산,내역서" xfId="364"/>
    <cellStyle name="_방동_산양리지구_율동자연공원내 화장실 보수 및 도색공사_진해자은수량산출서(단지내)_기초산출표-56-128-최종_설계서-1" xfId="365"/>
    <cellStyle name="_방동_산양리지구_율동자연공원내 화장실 보수 및 도색공사_진해자은수량산출서(단지내)_기초산출표-56-128-최종_설계서-1_00-설계서,원가계산,내역서" xfId="366"/>
    <cellStyle name="_방동_산양리지구_율동자연공원내 화장실 보수 및 도색공사_진해자은수량산출서(단지내)_설계서-1" xfId="367"/>
    <cellStyle name="_방동_산양리지구_율동자연공원내 화장실 보수 및 도색공사_진해자은수량산출서(단지내)_설계서-1_00-설계서,원가계산,내역서" xfId="368"/>
    <cellStyle name="_방동_산양리지구_율동자연공원내 화장실 보수 및 도색공사_진해자은수량산출서(단지내)_취합" xfId="369"/>
    <cellStyle name="_방동_산양리지구_율동자연공원내 화장실 보수 및 도색공사_진해자은수량산출서(단지내)_취합_00-설계서,원가계산,내역서" xfId="370"/>
    <cellStyle name="_방동_산양리지구_율동자연공원내 화장실 보수 및 도색공사_진해자은수량산출서(단지내)_취합_설계서-1" xfId="371"/>
    <cellStyle name="_방동_산양리지구_율동자연공원내 화장실 보수 및 도색공사_진해자은수량산출서(단지내)_취합_설계서-1_00-설계서,원가계산,내역서" xfId="372"/>
    <cellStyle name="_방동_산양리지구_율동자연공원내 휴게편의점 도색작업-할증-천정면적추가" xfId="373"/>
    <cellStyle name="_방동_산양리지구_율동자연공원내 휴게편의점 도색작업-할증-천정면적추가_00-설계서,원가계산,내역서" xfId="374"/>
    <cellStyle name="_방동_산양리지구_율동자연공원내 휴게편의점 도색작업-할증-천정면적추가_내역서-최종0223" xfId="375"/>
    <cellStyle name="_방동_산양리지구_율동자연공원내 휴게편의점 도색작업-할증-천정면적추가_내역서-최종0223_00-설계서,원가계산,내역서" xfId="376"/>
    <cellStyle name="_방동_산양리지구_율동자연공원내 휴게편의점 도색작업-할증-천정면적추가_내역서-최종0223_설계서-1" xfId="377"/>
    <cellStyle name="_방동_산양리지구_율동자연공원내 휴게편의점 도색작업-할증-천정면적추가_내역서-최종0223_설계서-1_00-설계서,원가계산,내역서" xfId="378"/>
    <cellStyle name="_방동_산양리지구_율동자연공원내 휴게편의점 도색작업-할증-천정면적추가_내역서-최종0223_진해자은수량산출서(단지내)" xfId="379"/>
    <cellStyle name="_방동_산양리지구_율동자연공원내 휴게편의점 도색작업-할증-천정면적추가_내역서-최종0223_진해자은수량산출서(단지내)_00-설계서,원가계산,내역서" xfId="380"/>
    <cellStyle name="_방동_산양리지구_율동자연공원내 휴게편의점 도색작업-할증-천정면적추가_내역서-최종0223_진해자은수량산출서(단지내)_기초산출표-56-128-최종" xfId="381"/>
    <cellStyle name="_방동_산양리지구_율동자연공원내 휴게편의점 도색작업-할증-천정면적추가_내역서-최종0223_진해자은수량산출서(단지내)_기초산출표-56-128-최종_00-설계서,원가계산,내역서" xfId="382"/>
    <cellStyle name="_방동_산양리지구_율동자연공원내 휴게편의점 도색작업-할증-천정면적추가_내역서-최종0223_진해자은수량산출서(단지내)_기초산출표-56-128-최종_설계서-1" xfId="383"/>
    <cellStyle name="_방동_산양리지구_율동자연공원내 휴게편의점 도색작업-할증-천정면적추가_내역서-최종0223_진해자은수량산출서(단지내)_기초산출표-56-128-최종_설계서-1_00-설계서,원가계산,내역서" xfId="384"/>
    <cellStyle name="_방동_산양리지구_율동자연공원내 휴게편의점 도색작업-할증-천정면적추가_내역서-최종0223_진해자은수량산출서(단지내)_설계서-1" xfId="385"/>
    <cellStyle name="_방동_산양리지구_율동자연공원내 휴게편의점 도색작업-할증-천정면적추가_내역서-최종0223_진해자은수량산출서(단지내)_설계서-1_00-설계서,원가계산,내역서" xfId="386"/>
    <cellStyle name="_방동_산양리지구_율동자연공원내 휴게편의점 도색작업-할증-천정면적추가_내역서-최종0223_진해자은수량산출서(단지내)_취합" xfId="387"/>
    <cellStyle name="_방동_산양리지구_율동자연공원내 휴게편의점 도색작업-할증-천정면적추가_내역서-최종0223_진해자은수량산출서(단지내)_취합_00-설계서,원가계산,내역서" xfId="388"/>
    <cellStyle name="_방동_산양리지구_율동자연공원내 휴게편의점 도색작업-할증-천정면적추가_내역서-최종0223_진해자은수량산출서(단지내)_취합_설계서-1" xfId="389"/>
    <cellStyle name="_방동_산양리지구_율동자연공원내 휴게편의점 도색작업-할증-천정면적추가_내역서-최종0223_진해자은수량산출서(단지내)_취합_설계서-1_00-설계서,원가계산,내역서" xfId="390"/>
    <cellStyle name="_방동_산양리지구_율동자연공원내 휴게편의점 도색작업-할증-천정면적추가_설계서-1" xfId="391"/>
    <cellStyle name="_방동_산양리지구_율동자연공원내 휴게편의점 도색작업-할증-천정면적추가_설계서-1_00-설계서,원가계산,내역서" xfId="392"/>
    <cellStyle name="_방동_산양리지구_율동자연공원내 휴게편의점 도색작업-할증-천정면적추가_진해자은수량산출서(단지내)" xfId="393"/>
    <cellStyle name="_방동_산양리지구_율동자연공원내 휴게편의점 도색작업-할증-천정면적추가_진해자은수량산출서(단지내)_00-설계서,원가계산,내역서" xfId="394"/>
    <cellStyle name="_방동_산양리지구_율동자연공원내 휴게편의점 도색작업-할증-천정면적추가_진해자은수량산출서(단지내)_기초산출표-56-128-최종" xfId="395"/>
    <cellStyle name="_방동_산양리지구_율동자연공원내 휴게편의점 도색작업-할증-천정면적추가_진해자은수량산출서(단지내)_기초산출표-56-128-최종_00-설계서,원가계산,내역서" xfId="396"/>
    <cellStyle name="_방동_산양리지구_율동자연공원내 휴게편의점 도색작업-할증-천정면적추가_진해자은수량산출서(단지내)_기초산출표-56-128-최종_설계서-1" xfId="397"/>
    <cellStyle name="_방동_산양리지구_율동자연공원내 휴게편의점 도색작업-할증-천정면적추가_진해자은수량산출서(단지내)_기초산출표-56-128-최종_설계서-1_00-설계서,원가계산,내역서" xfId="398"/>
    <cellStyle name="_방동_산양리지구_율동자연공원내 휴게편의점 도색작업-할증-천정면적추가_진해자은수량산출서(단지내)_설계서-1" xfId="399"/>
    <cellStyle name="_방동_산양리지구_율동자연공원내 휴게편의점 도색작업-할증-천정면적추가_진해자은수량산출서(단지내)_설계서-1_00-설계서,원가계산,내역서" xfId="400"/>
    <cellStyle name="_방동_산양리지구_율동자연공원내 휴게편의점 도색작업-할증-천정면적추가_진해자은수량산출서(단지내)_취합" xfId="401"/>
    <cellStyle name="_방동_산양리지구_율동자연공원내 휴게편의점 도색작업-할증-천정면적추가_진해자은수량산출서(단지내)_취합_00-설계서,원가계산,내역서" xfId="402"/>
    <cellStyle name="_방동_산양리지구_율동자연공원내 휴게편의점 도색작업-할증-천정면적추가_진해자은수량산출서(단지내)_취합_설계서-1" xfId="403"/>
    <cellStyle name="_방동_산양리지구_율동자연공원내 휴게편의점 도색작업-할증-천정면적추가_진해자은수량산출서(단지내)_취합_설계서-1_00-설계서,원가계산,내역서" xfId="404"/>
    <cellStyle name="_방동_산양리지구_이문동구간중랑천변녹화사업(수량산출서, 071127)-최종" xfId="405"/>
    <cellStyle name="_방동_산양리지구_이문동구간중랑천변녹화사업(수량산출서, 071127)-최종_00-설계서,원가계산,내역서" xfId="406"/>
    <cellStyle name="_방동_산양리지구_진해자은수량산출서(단지내)" xfId="407"/>
    <cellStyle name="_방동_산양리지구_진해자은수량산출서(단지내)_00-설계서,원가계산,내역서" xfId="408"/>
    <cellStyle name="_방동_산양리지구_진해자은수량산출서(단지내)_기초산출표-56-128-최종" xfId="409"/>
    <cellStyle name="_방동_산양리지구_진해자은수량산출서(단지내)_기초산출표-56-128-최종_00-설계서,원가계산,내역서" xfId="410"/>
    <cellStyle name="_방동_산양리지구_진해자은수량산출서(단지내)_기초산출표-56-128-최종_설계서-1" xfId="411"/>
    <cellStyle name="_방동_산양리지구_진해자은수량산출서(단지내)_기초산출표-56-128-최종_설계서-1_00-설계서,원가계산,내역서" xfId="412"/>
    <cellStyle name="_방동_산양리지구_진해자은수량산출서(단지내)_설계서-1" xfId="413"/>
    <cellStyle name="_방동_산양리지구_진해자은수량산출서(단지내)_설계서-1_00-설계서,원가계산,내역서" xfId="414"/>
    <cellStyle name="_방동_산양리지구_진해자은수량산출서(단지내)_취합" xfId="415"/>
    <cellStyle name="_방동_산양리지구_진해자은수량산출서(단지내)_취합_00-설계서,원가계산,내역서" xfId="416"/>
    <cellStyle name="_방동_산양리지구_진해자은수량산출서(단지내)_취합_설계서-1" xfId="417"/>
    <cellStyle name="_방동_산양리지구_진해자은수량산출서(단지내)_취합_설계서-1_00-설계서,원가계산,내역서" xfId="418"/>
    <cellStyle name="_방동_산양리지구_포장" xfId="419"/>
    <cellStyle name="_방동_산양리지구_포장_00-설계서,원가계산,내역서" xfId="420"/>
    <cellStyle name="_방동_산양리지구_포장_라멘교 토공" xfId="421"/>
    <cellStyle name="_방동_산양리지구_포장_라멘교 토공_00-설계서,원가계산,내역서" xfId="422"/>
    <cellStyle name="_방동_서상2리" xfId="423"/>
    <cellStyle name="_방동_서상2리_00-설계서,원가계산,내역서" xfId="424"/>
    <cellStyle name="_방동_서상2리_내역서-최종0223" xfId="425"/>
    <cellStyle name="_방동_서상2리_내역서-최종0223_00-설계서,원가계산,내역서" xfId="426"/>
    <cellStyle name="_방동_서상2리_내역서-최종0223_설계서-1" xfId="427"/>
    <cellStyle name="_방동_서상2리_내역서-최종0223_설계서-1_00-설계서,원가계산,내역서" xfId="428"/>
    <cellStyle name="_방동_서상2리_내역서-최종0223_진해자은수량산출서(단지내)" xfId="429"/>
    <cellStyle name="_방동_서상2리_내역서-최종0223_진해자은수량산출서(단지내)_00-설계서,원가계산,내역서" xfId="430"/>
    <cellStyle name="_방동_서상2리_내역서-최종0223_진해자은수량산출서(단지내)_기초산출표-56-128-최종" xfId="431"/>
    <cellStyle name="_방동_서상2리_내역서-최종0223_진해자은수량산출서(단지내)_기초산출표-56-128-최종_00-설계서,원가계산,내역서" xfId="432"/>
    <cellStyle name="_방동_서상2리_내역서-최종0223_진해자은수량산출서(단지내)_기초산출표-56-128-최종_설계서-1" xfId="433"/>
    <cellStyle name="_방동_서상2리_내역서-최종0223_진해자은수량산출서(단지내)_기초산출표-56-128-최종_설계서-1_00-설계서,원가계산,내역서" xfId="434"/>
    <cellStyle name="_방동_서상2리_내역서-최종0223_진해자은수량산출서(단지내)_설계서-1" xfId="435"/>
    <cellStyle name="_방동_서상2리_내역서-최종0223_진해자은수량산출서(단지내)_설계서-1_00-설계서,원가계산,내역서" xfId="436"/>
    <cellStyle name="_방동_서상2리_내역서-최종0223_진해자은수량산출서(단지내)_취합" xfId="437"/>
    <cellStyle name="_방동_서상2리_내역서-최종0223_진해자은수량산출서(단지내)_취합_00-설계서,원가계산,내역서" xfId="438"/>
    <cellStyle name="_방동_서상2리_내역서-최종0223_진해자은수량산출서(단지내)_취합_설계서-1" xfId="439"/>
    <cellStyle name="_방동_서상2리_내역서-최종0223_진해자은수량산출서(단지내)_취합_설계서-1_00-설계서,원가계산,내역서" xfId="440"/>
    <cellStyle name="_방동_서상2리_라멘교 토공" xfId="441"/>
    <cellStyle name="_방동_서상2리_라멘교 토공_00-설계서,원가계산,내역서" xfId="442"/>
    <cellStyle name="_방동_서상2리_설계서-1" xfId="443"/>
    <cellStyle name="_방동_서상2리_설계서-1_00-설계서,원가계산,내역서" xfId="444"/>
    <cellStyle name="_방동_서상2리_율동자연공원내 화장실 보수 및 도색공사" xfId="445"/>
    <cellStyle name="_방동_서상2리_율동자연공원내 화장실 보수 및 도색공사_00-설계서,원가계산,내역서" xfId="446"/>
    <cellStyle name="_방동_서상2리_율동자연공원내 화장실 보수 및 도색공사_내역서-최종0223" xfId="447"/>
    <cellStyle name="_방동_서상2리_율동자연공원내 화장실 보수 및 도색공사_내역서-최종0223_00-설계서,원가계산,내역서" xfId="448"/>
    <cellStyle name="_방동_서상2리_율동자연공원내 화장실 보수 및 도색공사_내역서-최종0223_설계서-1" xfId="449"/>
    <cellStyle name="_방동_서상2리_율동자연공원내 화장실 보수 및 도색공사_내역서-최종0223_설계서-1_00-설계서,원가계산,내역서" xfId="450"/>
    <cellStyle name="_방동_서상2리_율동자연공원내 화장실 보수 및 도색공사_내역서-최종0223_진해자은수량산출서(단지내)" xfId="451"/>
    <cellStyle name="_방동_서상2리_율동자연공원내 화장실 보수 및 도색공사_내역서-최종0223_진해자은수량산출서(단지내)_00-설계서,원가계산,내역서" xfId="452"/>
    <cellStyle name="_방동_서상2리_율동자연공원내 화장실 보수 및 도색공사_내역서-최종0223_진해자은수량산출서(단지내)_기초산출표-56-128-최종" xfId="453"/>
    <cellStyle name="_방동_서상2리_율동자연공원내 화장실 보수 및 도색공사_내역서-최종0223_진해자은수량산출서(단지내)_기초산출표-56-128-최종_00-설계서,원가계산,내역서" xfId="454"/>
    <cellStyle name="_방동_서상2리_율동자연공원내 화장실 보수 및 도색공사_내역서-최종0223_진해자은수량산출서(단지내)_기초산출표-56-128-최종_설계서-1" xfId="455"/>
    <cellStyle name="_방동_서상2리_율동자연공원내 화장실 보수 및 도색공사_내역서-최종0223_진해자은수량산출서(단지내)_기초산출표-56-128-최종_설계서-1_00-설계서,원가계산,내역서" xfId="456"/>
    <cellStyle name="_방동_서상2리_율동자연공원내 화장실 보수 및 도색공사_내역서-최종0223_진해자은수량산출서(단지내)_설계서-1" xfId="457"/>
    <cellStyle name="_방동_서상2리_율동자연공원내 화장실 보수 및 도색공사_내역서-최종0223_진해자은수량산출서(단지내)_설계서-1_00-설계서,원가계산,내역서" xfId="458"/>
    <cellStyle name="_방동_서상2리_율동자연공원내 화장실 보수 및 도색공사_내역서-최종0223_진해자은수량산출서(단지내)_취합" xfId="459"/>
    <cellStyle name="_방동_서상2리_율동자연공원내 화장실 보수 및 도색공사_내역서-최종0223_진해자은수량산출서(단지내)_취합_00-설계서,원가계산,내역서" xfId="460"/>
    <cellStyle name="_방동_서상2리_율동자연공원내 화장실 보수 및 도색공사_내역서-최종0223_진해자은수량산출서(단지내)_취합_설계서-1" xfId="461"/>
    <cellStyle name="_방동_서상2리_율동자연공원내 화장실 보수 및 도색공사_내역서-최종0223_진해자은수량산출서(단지내)_취합_설계서-1_00-설계서,원가계산,내역서" xfId="462"/>
    <cellStyle name="_방동_서상2리_율동자연공원내 화장실 보수 및 도색공사_설계서-1" xfId="463"/>
    <cellStyle name="_방동_서상2리_율동자연공원내 화장실 보수 및 도색공사_설계서-1_00-설계서,원가계산,내역서" xfId="464"/>
    <cellStyle name="_방동_서상2리_율동자연공원내 화장실 보수 및 도색공사_진해자은수량산출서(단지내)" xfId="465"/>
    <cellStyle name="_방동_서상2리_율동자연공원내 화장실 보수 및 도색공사_진해자은수량산출서(단지내)_00-설계서,원가계산,내역서" xfId="466"/>
    <cellStyle name="_방동_서상2리_율동자연공원내 화장실 보수 및 도색공사_진해자은수량산출서(단지내)_기초산출표-56-128-최종" xfId="467"/>
    <cellStyle name="_방동_서상2리_율동자연공원내 화장실 보수 및 도색공사_진해자은수량산출서(단지내)_기초산출표-56-128-최종_00-설계서,원가계산,내역서" xfId="468"/>
    <cellStyle name="_방동_서상2리_율동자연공원내 화장실 보수 및 도색공사_진해자은수량산출서(단지내)_기초산출표-56-128-최종_설계서-1" xfId="469"/>
    <cellStyle name="_방동_서상2리_율동자연공원내 화장실 보수 및 도색공사_진해자은수량산출서(단지내)_기초산출표-56-128-최종_설계서-1_00-설계서,원가계산,내역서" xfId="470"/>
    <cellStyle name="_방동_서상2리_율동자연공원내 화장실 보수 및 도색공사_진해자은수량산출서(단지내)_설계서-1" xfId="471"/>
    <cellStyle name="_방동_서상2리_율동자연공원내 화장실 보수 및 도색공사_진해자은수량산출서(단지내)_설계서-1_00-설계서,원가계산,내역서" xfId="472"/>
    <cellStyle name="_방동_서상2리_율동자연공원내 화장실 보수 및 도색공사_진해자은수량산출서(단지내)_취합" xfId="473"/>
    <cellStyle name="_방동_서상2리_율동자연공원내 화장실 보수 및 도색공사_진해자은수량산출서(단지내)_취합_00-설계서,원가계산,내역서" xfId="474"/>
    <cellStyle name="_방동_서상2리_율동자연공원내 화장실 보수 및 도색공사_진해자은수량산출서(단지내)_취합_설계서-1" xfId="475"/>
    <cellStyle name="_방동_서상2리_율동자연공원내 화장실 보수 및 도색공사_진해자은수량산출서(단지내)_취합_설계서-1_00-설계서,원가계산,내역서" xfId="476"/>
    <cellStyle name="_방동_서상2리_율동자연공원내 휴게편의점 도색작업-할증-천정면적추가" xfId="477"/>
    <cellStyle name="_방동_서상2리_율동자연공원내 휴게편의점 도색작업-할증-천정면적추가_00-설계서,원가계산,내역서" xfId="478"/>
    <cellStyle name="_방동_서상2리_율동자연공원내 휴게편의점 도색작업-할증-천정면적추가_내역서-최종0223" xfId="479"/>
    <cellStyle name="_방동_서상2리_율동자연공원내 휴게편의점 도색작업-할증-천정면적추가_내역서-최종0223_00-설계서,원가계산,내역서" xfId="480"/>
    <cellStyle name="_방동_서상2리_율동자연공원내 휴게편의점 도색작업-할증-천정면적추가_내역서-최종0223_설계서-1" xfId="481"/>
    <cellStyle name="_방동_서상2리_율동자연공원내 휴게편의점 도색작업-할증-천정면적추가_내역서-최종0223_설계서-1_00-설계서,원가계산,내역서" xfId="482"/>
    <cellStyle name="_방동_서상2리_율동자연공원내 휴게편의점 도색작업-할증-천정면적추가_내역서-최종0223_진해자은수량산출서(단지내)" xfId="483"/>
    <cellStyle name="_방동_서상2리_율동자연공원내 휴게편의점 도색작업-할증-천정면적추가_내역서-최종0223_진해자은수량산출서(단지내)_00-설계서,원가계산,내역서" xfId="484"/>
    <cellStyle name="_방동_서상2리_율동자연공원내 휴게편의점 도색작업-할증-천정면적추가_내역서-최종0223_진해자은수량산출서(단지내)_기초산출표-56-128-최종" xfId="485"/>
    <cellStyle name="_방동_서상2리_율동자연공원내 휴게편의점 도색작업-할증-천정면적추가_내역서-최종0223_진해자은수량산출서(단지내)_기초산출표-56-128-최종_00-설계서,원가계산,내역서" xfId="486"/>
    <cellStyle name="_방동_서상2리_율동자연공원내 휴게편의점 도색작업-할증-천정면적추가_내역서-최종0223_진해자은수량산출서(단지내)_기초산출표-56-128-최종_설계서-1" xfId="487"/>
    <cellStyle name="_방동_서상2리_율동자연공원내 휴게편의점 도색작업-할증-천정면적추가_내역서-최종0223_진해자은수량산출서(단지내)_기초산출표-56-128-최종_설계서-1_00-설계서,원가계산,내역서" xfId="488"/>
    <cellStyle name="_방동_서상2리_율동자연공원내 휴게편의점 도색작업-할증-천정면적추가_내역서-최종0223_진해자은수량산출서(단지내)_설계서-1" xfId="489"/>
    <cellStyle name="_방동_서상2리_율동자연공원내 휴게편의점 도색작업-할증-천정면적추가_내역서-최종0223_진해자은수량산출서(단지내)_설계서-1_00-설계서,원가계산,내역서" xfId="490"/>
    <cellStyle name="_방동_서상2리_율동자연공원내 휴게편의점 도색작업-할증-천정면적추가_내역서-최종0223_진해자은수량산출서(단지내)_취합" xfId="491"/>
    <cellStyle name="_방동_서상2리_율동자연공원내 휴게편의점 도색작업-할증-천정면적추가_내역서-최종0223_진해자은수량산출서(단지내)_취합_00-설계서,원가계산,내역서" xfId="492"/>
    <cellStyle name="_방동_서상2리_율동자연공원내 휴게편의점 도색작업-할증-천정면적추가_내역서-최종0223_진해자은수량산출서(단지내)_취합_설계서-1" xfId="493"/>
    <cellStyle name="_방동_서상2리_율동자연공원내 휴게편의점 도색작업-할증-천정면적추가_내역서-최종0223_진해자은수량산출서(단지내)_취합_설계서-1_00-설계서,원가계산,내역서" xfId="494"/>
    <cellStyle name="_방동_서상2리_율동자연공원내 휴게편의점 도색작업-할증-천정면적추가_설계서-1" xfId="495"/>
    <cellStyle name="_방동_서상2리_율동자연공원내 휴게편의점 도색작업-할증-천정면적추가_설계서-1_00-설계서,원가계산,내역서" xfId="496"/>
    <cellStyle name="_방동_서상2리_율동자연공원내 휴게편의점 도색작업-할증-천정면적추가_진해자은수량산출서(단지내)" xfId="497"/>
    <cellStyle name="_방동_서상2리_율동자연공원내 휴게편의점 도색작업-할증-천정면적추가_진해자은수량산출서(단지내)_00-설계서,원가계산,내역서" xfId="498"/>
    <cellStyle name="_방동_서상2리_율동자연공원내 휴게편의점 도색작업-할증-천정면적추가_진해자은수량산출서(단지내)_기초산출표-56-128-최종" xfId="499"/>
    <cellStyle name="_방동_서상2리_율동자연공원내 휴게편의점 도색작업-할증-천정면적추가_진해자은수량산출서(단지내)_기초산출표-56-128-최종_00-설계서,원가계산,내역서" xfId="500"/>
    <cellStyle name="_방동_서상2리_율동자연공원내 휴게편의점 도색작업-할증-천정면적추가_진해자은수량산출서(단지내)_기초산출표-56-128-최종_설계서-1" xfId="501"/>
    <cellStyle name="_방동_서상2리_율동자연공원내 휴게편의점 도색작업-할증-천정면적추가_진해자은수량산출서(단지내)_기초산출표-56-128-최종_설계서-1_00-설계서,원가계산,내역서" xfId="502"/>
    <cellStyle name="_방동_서상2리_율동자연공원내 휴게편의점 도색작업-할증-천정면적추가_진해자은수량산출서(단지내)_설계서-1" xfId="503"/>
    <cellStyle name="_방동_서상2리_율동자연공원내 휴게편의점 도색작업-할증-천정면적추가_진해자은수량산출서(단지내)_설계서-1_00-설계서,원가계산,내역서" xfId="504"/>
    <cellStyle name="_방동_서상2리_율동자연공원내 휴게편의점 도색작업-할증-천정면적추가_진해자은수량산출서(단지내)_취합" xfId="505"/>
    <cellStyle name="_방동_서상2리_율동자연공원내 휴게편의점 도색작업-할증-천정면적추가_진해자은수량산출서(단지내)_취합_00-설계서,원가계산,내역서" xfId="506"/>
    <cellStyle name="_방동_서상2리_율동자연공원내 휴게편의점 도색작업-할증-천정면적추가_진해자은수량산출서(단지내)_취합_설계서-1" xfId="507"/>
    <cellStyle name="_방동_서상2리_율동자연공원내 휴게편의점 도색작업-할증-천정면적추가_진해자은수량산출서(단지내)_취합_설계서-1_00-설계서,원가계산,내역서" xfId="508"/>
    <cellStyle name="_방동_서상2리_이문동구간중랑천변녹화사업(수량산출서, 071127)-최종" xfId="509"/>
    <cellStyle name="_방동_서상2리_이문동구간중랑천변녹화사업(수량산출서, 071127)-최종_00-설계서,원가계산,내역서" xfId="510"/>
    <cellStyle name="_방동_서상2리_진해자은수량산출서(단지내)" xfId="511"/>
    <cellStyle name="_방동_서상2리_진해자은수량산출서(단지내)_00-설계서,원가계산,내역서" xfId="512"/>
    <cellStyle name="_방동_서상2리_진해자은수량산출서(단지내)_기초산출표-56-128-최종" xfId="513"/>
    <cellStyle name="_방동_서상2리_진해자은수량산출서(단지내)_기초산출표-56-128-최종_00-설계서,원가계산,내역서" xfId="514"/>
    <cellStyle name="_방동_서상2리_진해자은수량산출서(단지내)_기초산출표-56-128-최종_설계서-1" xfId="515"/>
    <cellStyle name="_방동_서상2리_진해자은수량산출서(단지내)_기초산출표-56-128-최종_설계서-1_00-설계서,원가계산,내역서" xfId="516"/>
    <cellStyle name="_방동_서상2리_진해자은수량산출서(단지내)_설계서-1" xfId="517"/>
    <cellStyle name="_방동_서상2리_진해자은수량산출서(단지내)_설계서-1_00-설계서,원가계산,내역서" xfId="518"/>
    <cellStyle name="_방동_서상2리_진해자은수량산출서(단지내)_취합" xfId="519"/>
    <cellStyle name="_방동_서상2리_진해자은수량산출서(단지내)_취합_00-설계서,원가계산,내역서" xfId="520"/>
    <cellStyle name="_방동_서상2리_진해자은수량산출서(단지내)_취합_설계서-1" xfId="521"/>
    <cellStyle name="_방동_서상2리_진해자은수량산출서(단지내)_취합_설계서-1_00-설계서,원가계산,내역서" xfId="522"/>
    <cellStyle name="_방동_서상2리_포장" xfId="523"/>
    <cellStyle name="_방동_서상2리_포장_00-설계서,원가계산,내역서" xfId="524"/>
    <cellStyle name="_방동_서상2리_포장_라멘교 토공" xfId="525"/>
    <cellStyle name="_방동_서상2리_포장_라멘교 토공_00-설계서,원가계산,내역서" xfId="526"/>
    <cellStyle name="_방동_설계서-1" xfId="527"/>
    <cellStyle name="_방동_설계서-1_00-설계서,원가계산,내역서" xfId="528"/>
    <cellStyle name="_방동_오항" xfId="529"/>
    <cellStyle name="_방동_오항_00-설계서,원가계산,내역서" xfId="530"/>
    <cellStyle name="_방동_오항_라멘교 토공" xfId="531"/>
    <cellStyle name="_방동_오항_라멘교 토공_00-설계서,원가계산,내역서" xfId="532"/>
    <cellStyle name="_방동_오항_포장" xfId="533"/>
    <cellStyle name="_방동_오항_포장_00-설계서,원가계산,내역서" xfId="534"/>
    <cellStyle name="_방동_오항_포장_라멘교 토공" xfId="535"/>
    <cellStyle name="_방동_오항_포장_라멘교 토공_00-설계서,원가계산,내역서" xfId="536"/>
    <cellStyle name="_방동_원평" xfId="537"/>
    <cellStyle name="_방동_원평_00-설계서,원가계산,내역서" xfId="538"/>
    <cellStyle name="_방동_원평_내역서-최종0223" xfId="539"/>
    <cellStyle name="_방동_원평_내역서-최종0223_00-설계서,원가계산,내역서" xfId="540"/>
    <cellStyle name="_방동_원평_내역서-최종0223_설계서-1" xfId="541"/>
    <cellStyle name="_방동_원평_내역서-최종0223_설계서-1_00-설계서,원가계산,내역서" xfId="542"/>
    <cellStyle name="_방동_원평_내역서-최종0223_진해자은수량산출서(단지내)" xfId="543"/>
    <cellStyle name="_방동_원평_내역서-최종0223_진해자은수량산출서(단지내)_00-설계서,원가계산,내역서" xfId="544"/>
    <cellStyle name="_방동_원평_내역서-최종0223_진해자은수량산출서(단지내)_기초산출표-56-128-최종" xfId="545"/>
    <cellStyle name="_방동_원평_내역서-최종0223_진해자은수량산출서(단지내)_기초산출표-56-128-최종_00-설계서,원가계산,내역서" xfId="546"/>
    <cellStyle name="_방동_원평_내역서-최종0223_진해자은수량산출서(단지내)_기초산출표-56-128-최종_설계서-1" xfId="547"/>
    <cellStyle name="_방동_원평_내역서-최종0223_진해자은수량산출서(단지내)_기초산출표-56-128-최종_설계서-1_00-설계서,원가계산,내역서" xfId="548"/>
    <cellStyle name="_방동_원평_내역서-최종0223_진해자은수량산출서(단지내)_설계서-1" xfId="549"/>
    <cellStyle name="_방동_원평_내역서-최종0223_진해자은수량산출서(단지내)_설계서-1_00-설계서,원가계산,내역서" xfId="550"/>
    <cellStyle name="_방동_원평_내역서-최종0223_진해자은수량산출서(단지내)_취합" xfId="551"/>
    <cellStyle name="_방동_원평_내역서-최종0223_진해자은수량산출서(단지내)_취합_00-설계서,원가계산,내역서" xfId="552"/>
    <cellStyle name="_방동_원평_내역서-최종0223_진해자은수량산출서(단지내)_취합_설계서-1" xfId="553"/>
    <cellStyle name="_방동_원평_내역서-최종0223_진해자은수량산출서(단지내)_취합_설계서-1_00-설계서,원가계산,내역서" xfId="554"/>
    <cellStyle name="_방동_원평_라멘교 토공" xfId="555"/>
    <cellStyle name="_방동_원평_라멘교 토공_00-설계서,원가계산,내역서" xfId="556"/>
    <cellStyle name="_방동_원평_설계서-1" xfId="557"/>
    <cellStyle name="_방동_원평_설계서-1_00-설계서,원가계산,내역서" xfId="558"/>
    <cellStyle name="_방동_원평_율동자연공원내 화장실 보수 및 도색공사" xfId="559"/>
    <cellStyle name="_방동_원평_율동자연공원내 화장실 보수 및 도색공사_00-설계서,원가계산,내역서" xfId="560"/>
    <cellStyle name="_방동_원평_율동자연공원내 화장실 보수 및 도색공사_내역서-최종0223" xfId="561"/>
    <cellStyle name="_방동_원평_율동자연공원내 화장실 보수 및 도색공사_내역서-최종0223_00-설계서,원가계산,내역서" xfId="562"/>
    <cellStyle name="_방동_원평_율동자연공원내 화장실 보수 및 도색공사_내역서-최종0223_설계서-1" xfId="563"/>
    <cellStyle name="_방동_원평_율동자연공원내 화장실 보수 및 도색공사_내역서-최종0223_설계서-1_00-설계서,원가계산,내역서" xfId="564"/>
    <cellStyle name="_방동_원평_율동자연공원내 화장실 보수 및 도색공사_내역서-최종0223_진해자은수량산출서(단지내)" xfId="565"/>
    <cellStyle name="_방동_원평_율동자연공원내 화장실 보수 및 도색공사_내역서-최종0223_진해자은수량산출서(단지내)_00-설계서,원가계산,내역서" xfId="566"/>
    <cellStyle name="_방동_원평_율동자연공원내 화장실 보수 및 도색공사_내역서-최종0223_진해자은수량산출서(단지내)_기초산출표-56-128-최종" xfId="567"/>
    <cellStyle name="_방동_원평_율동자연공원내 화장실 보수 및 도색공사_내역서-최종0223_진해자은수량산출서(단지내)_기초산출표-56-128-최종_00-설계서,원가계산,내역서" xfId="568"/>
    <cellStyle name="_방동_원평_율동자연공원내 화장실 보수 및 도색공사_내역서-최종0223_진해자은수량산출서(단지내)_기초산출표-56-128-최종_설계서-1" xfId="569"/>
    <cellStyle name="_방동_원평_율동자연공원내 화장실 보수 및 도색공사_내역서-최종0223_진해자은수량산출서(단지내)_기초산출표-56-128-최종_설계서-1_00-설계서,원가계산,내역서" xfId="570"/>
    <cellStyle name="_방동_원평_율동자연공원내 화장실 보수 및 도색공사_내역서-최종0223_진해자은수량산출서(단지내)_설계서-1" xfId="571"/>
    <cellStyle name="_방동_원평_율동자연공원내 화장실 보수 및 도색공사_내역서-최종0223_진해자은수량산출서(단지내)_설계서-1_00-설계서,원가계산,내역서" xfId="572"/>
    <cellStyle name="_방동_원평_율동자연공원내 화장실 보수 및 도색공사_내역서-최종0223_진해자은수량산출서(단지내)_취합" xfId="573"/>
    <cellStyle name="_방동_원평_율동자연공원내 화장실 보수 및 도색공사_내역서-최종0223_진해자은수량산출서(단지내)_취합_00-설계서,원가계산,내역서" xfId="574"/>
    <cellStyle name="_방동_원평_율동자연공원내 화장실 보수 및 도색공사_내역서-최종0223_진해자은수량산출서(단지내)_취합_설계서-1" xfId="575"/>
    <cellStyle name="_방동_원평_율동자연공원내 화장실 보수 및 도색공사_내역서-최종0223_진해자은수량산출서(단지내)_취합_설계서-1_00-설계서,원가계산,내역서" xfId="576"/>
    <cellStyle name="_방동_원평_율동자연공원내 화장실 보수 및 도색공사_설계서-1" xfId="577"/>
    <cellStyle name="_방동_원평_율동자연공원내 화장실 보수 및 도색공사_설계서-1_00-설계서,원가계산,내역서" xfId="578"/>
    <cellStyle name="_방동_원평_율동자연공원내 화장실 보수 및 도색공사_진해자은수량산출서(단지내)" xfId="579"/>
    <cellStyle name="_방동_원평_율동자연공원내 화장실 보수 및 도색공사_진해자은수량산출서(단지내)_00-설계서,원가계산,내역서" xfId="580"/>
    <cellStyle name="_방동_원평_율동자연공원내 화장실 보수 및 도색공사_진해자은수량산출서(단지내)_기초산출표-56-128-최종" xfId="581"/>
    <cellStyle name="_방동_원평_율동자연공원내 화장실 보수 및 도색공사_진해자은수량산출서(단지내)_기초산출표-56-128-최종_00-설계서,원가계산,내역서" xfId="582"/>
    <cellStyle name="_방동_원평_율동자연공원내 화장실 보수 및 도색공사_진해자은수량산출서(단지내)_기초산출표-56-128-최종_설계서-1" xfId="583"/>
    <cellStyle name="_방동_원평_율동자연공원내 화장실 보수 및 도색공사_진해자은수량산출서(단지내)_기초산출표-56-128-최종_설계서-1_00-설계서,원가계산,내역서" xfId="584"/>
    <cellStyle name="_방동_원평_율동자연공원내 화장실 보수 및 도색공사_진해자은수량산출서(단지내)_설계서-1" xfId="585"/>
    <cellStyle name="_방동_원평_율동자연공원내 화장실 보수 및 도색공사_진해자은수량산출서(단지내)_설계서-1_00-설계서,원가계산,내역서" xfId="586"/>
    <cellStyle name="_방동_원평_율동자연공원내 화장실 보수 및 도색공사_진해자은수량산출서(단지내)_취합" xfId="587"/>
    <cellStyle name="_방동_원평_율동자연공원내 화장실 보수 및 도색공사_진해자은수량산출서(단지내)_취합_00-설계서,원가계산,내역서" xfId="588"/>
    <cellStyle name="_방동_원평_율동자연공원내 화장실 보수 및 도색공사_진해자은수량산출서(단지내)_취합_설계서-1" xfId="589"/>
    <cellStyle name="_방동_원평_율동자연공원내 화장실 보수 및 도색공사_진해자은수량산출서(단지내)_취합_설계서-1_00-설계서,원가계산,내역서" xfId="590"/>
    <cellStyle name="_방동_원평_율동자연공원내 휴게편의점 도색작업-할증-천정면적추가" xfId="591"/>
    <cellStyle name="_방동_원평_율동자연공원내 휴게편의점 도색작업-할증-천정면적추가_00-설계서,원가계산,내역서" xfId="592"/>
    <cellStyle name="_방동_원평_율동자연공원내 휴게편의점 도색작업-할증-천정면적추가_내역서-최종0223" xfId="593"/>
    <cellStyle name="_방동_원평_율동자연공원내 휴게편의점 도색작업-할증-천정면적추가_내역서-최종0223_00-설계서,원가계산,내역서" xfId="594"/>
    <cellStyle name="_방동_원평_율동자연공원내 휴게편의점 도색작업-할증-천정면적추가_내역서-최종0223_설계서-1" xfId="595"/>
    <cellStyle name="_방동_원평_율동자연공원내 휴게편의점 도색작업-할증-천정면적추가_내역서-최종0223_설계서-1_00-설계서,원가계산,내역서" xfId="596"/>
    <cellStyle name="_방동_원평_율동자연공원내 휴게편의점 도색작업-할증-천정면적추가_내역서-최종0223_진해자은수량산출서(단지내)" xfId="597"/>
    <cellStyle name="_방동_원평_율동자연공원내 휴게편의점 도색작업-할증-천정면적추가_내역서-최종0223_진해자은수량산출서(단지내)_00-설계서,원가계산,내역서" xfId="598"/>
    <cellStyle name="_방동_원평_율동자연공원내 휴게편의점 도색작업-할증-천정면적추가_내역서-최종0223_진해자은수량산출서(단지내)_기초산출표-56-128-최종" xfId="599"/>
    <cellStyle name="_방동_원평_율동자연공원내 휴게편의점 도색작업-할증-천정면적추가_내역서-최종0223_진해자은수량산출서(단지내)_기초산출표-56-128-최종_00-설계서,원가계산,내역서" xfId="600"/>
    <cellStyle name="_방동_원평_율동자연공원내 휴게편의점 도색작업-할증-천정면적추가_내역서-최종0223_진해자은수량산출서(단지내)_기초산출표-56-128-최종_설계서-1" xfId="601"/>
    <cellStyle name="_방동_원평_율동자연공원내 휴게편의점 도색작업-할증-천정면적추가_내역서-최종0223_진해자은수량산출서(단지내)_기초산출표-56-128-최종_설계서-1_00-설계서,원가계산,내역서" xfId="602"/>
    <cellStyle name="_방동_원평_율동자연공원내 휴게편의점 도색작업-할증-천정면적추가_내역서-최종0223_진해자은수량산출서(단지내)_설계서-1" xfId="603"/>
    <cellStyle name="_방동_원평_율동자연공원내 휴게편의점 도색작업-할증-천정면적추가_내역서-최종0223_진해자은수량산출서(단지내)_설계서-1_00-설계서,원가계산,내역서" xfId="604"/>
    <cellStyle name="_방동_원평_율동자연공원내 휴게편의점 도색작업-할증-천정면적추가_내역서-최종0223_진해자은수량산출서(단지내)_취합" xfId="605"/>
    <cellStyle name="_방동_원평_율동자연공원내 휴게편의점 도색작업-할증-천정면적추가_내역서-최종0223_진해자은수량산출서(단지내)_취합_00-설계서,원가계산,내역서" xfId="606"/>
    <cellStyle name="_방동_원평_율동자연공원내 휴게편의점 도색작업-할증-천정면적추가_내역서-최종0223_진해자은수량산출서(단지내)_취합_설계서-1" xfId="607"/>
    <cellStyle name="_방동_원평_율동자연공원내 휴게편의점 도색작업-할증-천정면적추가_내역서-최종0223_진해자은수량산출서(단지내)_취합_설계서-1_00-설계서,원가계산,내역서" xfId="608"/>
    <cellStyle name="_방동_원평_율동자연공원내 휴게편의점 도색작업-할증-천정면적추가_설계서-1" xfId="609"/>
    <cellStyle name="_방동_원평_율동자연공원내 휴게편의점 도색작업-할증-천정면적추가_설계서-1_00-설계서,원가계산,내역서" xfId="610"/>
    <cellStyle name="_방동_원평_율동자연공원내 휴게편의점 도색작업-할증-천정면적추가_진해자은수량산출서(단지내)" xfId="611"/>
    <cellStyle name="_방동_원평_율동자연공원내 휴게편의점 도색작업-할증-천정면적추가_진해자은수량산출서(단지내)_00-설계서,원가계산,내역서" xfId="612"/>
    <cellStyle name="_방동_원평_율동자연공원내 휴게편의점 도색작업-할증-천정면적추가_진해자은수량산출서(단지내)_기초산출표-56-128-최종" xfId="613"/>
    <cellStyle name="_방동_원평_율동자연공원내 휴게편의점 도색작업-할증-천정면적추가_진해자은수량산출서(단지내)_기초산출표-56-128-최종_00-설계서,원가계산,내역서" xfId="614"/>
    <cellStyle name="_방동_원평_율동자연공원내 휴게편의점 도색작업-할증-천정면적추가_진해자은수량산출서(단지내)_기초산출표-56-128-최종_설계서-1" xfId="615"/>
    <cellStyle name="_방동_원평_율동자연공원내 휴게편의점 도색작업-할증-천정면적추가_진해자은수량산출서(단지내)_기초산출표-56-128-최종_설계서-1_00-설계서,원가계산,내역서" xfId="616"/>
    <cellStyle name="_방동_원평_율동자연공원내 휴게편의점 도색작업-할증-천정면적추가_진해자은수량산출서(단지내)_설계서-1" xfId="617"/>
    <cellStyle name="_방동_원평_율동자연공원내 휴게편의점 도색작업-할증-천정면적추가_진해자은수량산출서(단지내)_설계서-1_00-설계서,원가계산,내역서" xfId="618"/>
    <cellStyle name="_방동_원평_율동자연공원내 휴게편의점 도색작업-할증-천정면적추가_진해자은수량산출서(단지내)_취합" xfId="619"/>
    <cellStyle name="_방동_원평_율동자연공원내 휴게편의점 도색작업-할증-천정면적추가_진해자은수량산출서(단지내)_취합_00-설계서,원가계산,내역서" xfId="620"/>
    <cellStyle name="_방동_원평_율동자연공원내 휴게편의점 도색작업-할증-천정면적추가_진해자은수량산출서(단지내)_취합_설계서-1" xfId="621"/>
    <cellStyle name="_방동_원평_율동자연공원내 휴게편의점 도색작업-할증-천정면적추가_진해자은수량산출서(단지내)_취합_설계서-1_00-설계서,원가계산,내역서" xfId="622"/>
    <cellStyle name="_방동_원평_이문동구간중랑천변녹화사업(수량산출서, 071127)-최종" xfId="623"/>
    <cellStyle name="_방동_원평_이문동구간중랑천변녹화사업(수량산출서, 071127)-최종_00-설계서,원가계산,내역서" xfId="624"/>
    <cellStyle name="_방동_원평_진해자은수량산출서(단지내)" xfId="625"/>
    <cellStyle name="_방동_원평_진해자은수량산출서(단지내)_00-설계서,원가계산,내역서" xfId="626"/>
    <cellStyle name="_방동_원평_진해자은수량산출서(단지내)_기초산출표-56-128-최종" xfId="627"/>
    <cellStyle name="_방동_원평_진해자은수량산출서(단지내)_기초산출표-56-128-최종_00-설계서,원가계산,내역서" xfId="628"/>
    <cellStyle name="_방동_원평_진해자은수량산출서(단지내)_기초산출표-56-128-최종_설계서-1" xfId="629"/>
    <cellStyle name="_방동_원평_진해자은수량산출서(단지내)_기초산출표-56-128-최종_설계서-1_00-설계서,원가계산,내역서" xfId="630"/>
    <cellStyle name="_방동_원평_진해자은수량산출서(단지내)_설계서-1" xfId="631"/>
    <cellStyle name="_방동_원평_진해자은수량산출서(단지내)_설계서-1_00-설계서,원가계산,내역서" xfId="632"/>
    <cellStyle name="_방동_원평_진해자은수량산출서(단지내)_취합" xfId="633"/>
    <cellStyle name="_방동_원평_진해자은수량산출서(단지내)_취합_00-설계서,원가계산,내역서" xfId="634"/>
    <cellStyle name="_방동_원평_진해자은수량산출서(단지내)_취합_설계서-1" xfId="635"/>
    <cellStyle name="_방동_원평_진해자은수량산출서(단지내)_취합_설계서-1_00-설계서,원가계산,내역서" xfId="636"/>
    <cellStyle name="_방동_원평_포장" xfId="637"/>
    <cellStyle name="_방동_원평_포장_00-설계서,원가계산,내역서" xfId="638"/>
    <cellStyle name="_방동_원평_포장_라멘교 토공" xfId="639"/>
    <cellStyle name="_방동_원평_포장_라멘교 토공_00-설계서,원가계산,내역서" xfId="640"/>
    <cellStyle name="_방동_율동자연공원내 화장실 보수 및 도색공사" xfId="641"/>
    <cellStyle name="_방동_율동자연공원내 화장실 보수 및 도색공사_00-설계서,원가계산,내역서" xfId="642"/>
    <cellStyle name="_방동_율동자연공원내 화장실 보수 및 도색공사_내역서-최종0223" xfId="643"/>
    <cellStyle name="_방동_율동자연공원내 화장실 보수 및 도색공사_내역서-최종0223_00-설계서,원가계산,내역서" xfId="644"/>
    <cellStyle name="_방동_율동자연공원내 화장실 보수 및 도색공사_내역서-최종0223_설계서-1" xfId="645"/>
    <cellStyle name="_방동_율동자연공원내 화장실 보수 및 도색공사_내역서-최종0223_설계서-1_00-설계서,원가계산,내역서" xfId="646"/>
    <cellStyle name="_방동_율동자연공원내 화장실 보수 및 도색공사_내역서-최종0223_진해자은수량산출서(단지내)" xfId="647"/>
    <cellStyle name="_방동_율동자연공원내 화장실 보수 및 도색공사_내역서-최종0223_진해자은수량산출서(단지내)_00-설계서,원가계산,내역서" xfId="648"/>
    <cellStyle name="_방동_율동자연공원내 화장실 보수 및 도색공사_내역서-최종0223_진해자은수량산출서(단지내)_기초산출표-56-128-최종" xfId="649"/>
    <cellStyle name="_방동_율동자연공원내 화장실 보수 및 도색공사_내역서-최종0223_진해자은수량산출서(단지내)_기초산출표-56-128-최종_00-설계서,원가계산,내역서" xfId="650"/>
    <cellStyle name="_방동_율동자연공원내 화장실 보수 및 도색공사_내역서-최종0223_진해자은수량산출서(단지내)_기초산출표-56-128-최종_설계서-1" xfId="651"/>
    <cellStyle name="_방동_율동자연공원내 화장실 보수 및 도색공사_내역서-최종0223_진해자은수량산출서(단지내)_기초산출표-56-128-최종_설계서-1_00-설계서,원가계산,내역서" xfId="652"/>
    <cellStyle name="_방동_율동자연공원내 화장실 보수 및 도색공사_내역서-최종0223_진해자은수량산출서(단지내)_설계서-1" xfId="653"/>
    <cellStyle name="_방동_율동자연공원내 화장실 보수 및 도색공사_내역서-최종0223_진해자은수량산출서(단지내)_설계서-1_00-설계서,원가계산,내역서" xfId="654"/>
    <cellStyle name="_방동_율동자연공원내 화장실 보수 및 도색공사_내역서-최종0223_진해자은수량산출서(단지내)_취합" xfId="655"/>
    <cellStyle name="_방동_율동자연공원내 화장실 보수 및 도색공사_내역서-최종0223_진해자은수량산출서(단지내)_취합_00-설계서,원가계산,내역서" xfId="656"/>
    <cellStyle name="_방동_율동자연공원내 화장실 보수 및 도색공사_내역서-최종0223_진해자은수량산출서(단지내)_취합_설계서-1" xfId="657"/>
    <cellStyle name="_방동_율동자연공원내 화장실 보수 및 도색공사_내역서-최종0223_진해자은수량산출서(단지내)_취합_설계서-1_00-설계서,원가계산,내역서" xfId="658"/>
    <cellStyle name="_방동_율동자연공원내 화장실 보수 및 도색공사_설계서-1" xfId="659"/>
    <cellStyle name="_방동_율동자연공원내 화장실 보수 및 도색공사_설계서-1_00-설계서,원가계산,내역서" xfId="660"/>
    <cellStyle name="_방동_율동자연공원내 화장실 보수 및 도색공사_진해자은수량산출서(단지내)" xfId="661"/>
    <cellStyle name="_방동_율동자연공원내 화장실 보수 및 도색공사_진해자은수량산출서(단지내)_00-설계서,원가계산,내역서" xfId="662"/>
    <cellStyle name="_방동_율동자연공원내 화장실 보수 및 도색공사_진해자은수량산출서(단지내)_기초산출표-56-128-최종" xfId="663"/>
    <cellStyle name="_방동_율동자연공원내 화장실 보수 및 도색공사_진해자은수량산출서(단지내)_기초산출표-56-128-최종_00-설계서,원가계산,내역서" xfId="664"/>
    <cellStyle name="_방동_율동자연공원내 화장실 보수 및 도색공사_진해자은수량산출서(단지내)_기초산출표-56-128-최종_설계서-1" xfId="665"/>
    <cellStyle name="_방동_율동자연공원내 화장실 보수 및 도색공사_진해자은수량산출서(단지내)_기초산출표-56-128-최종_설계서-1_00-설계서,원가계산,내역서" xfId="666"/>
    <cellStyle name="_방동_율동자연공원내 화장실 보수 및 도색공사_진해자은수량산출서(단지내)_설계서-1" xfId="667"/>
    <cellStyle name="_방동_율동자연공원내 화장실 보수 및 도색공사_진해자은수량산출서(단지내)_설계서-1_00-설계서,원가계산,내역서" xfId="668"/>
    <cellStyle name="_방동_율동자연공원내 화장실 보수 및 도색공사_진해자은수량산출서(단지내)_취합" xfId="669"/>
    <cellStyle name="_방동_율동자연공원내 화장실 보수 및 도색공사_진해자은수량산출서(단지내)_취합_00-설계서,원가계산,내역서" xfId="670"/>
    <cellStyle name="_방동_율동자연공원내 화장실 보수 및 도색공사_진해자은수량산출서(단지내)_취합_설계서-1" xfId="671"/>
    <cellStyle name="_방동_율동자연공원내 화장실 보수 및 도색공사_진해자은수량산출서(단지내)_취합_설계서-1_00-설계서,원가계산,내역서" xfId="672"/>
    <cellStyle name="_방동_율동자연공원내 휴게편의점 도색작업-할증-천정면적추가" xfId="673"/>
    <cellStyle name="_방동_율동자연공원내 휴게편의점 도색작업-할증-천정면적추가_00-설계서,원가계산,내역서" xfId="674"/>
    <cellStyle name="_방동_율동자연공원내 휴게편의점 도색작업-할증-천정면적추가_내역서-최종0223" xfId="675"/>
    <cellStyle name="_방동_율동자연공원내 휴게편의점 도색작업-할증-천정면적추가_내역서-최종0223_00-설계서,원가계산,내역서" xfId="676"/>
    <cellStyle name="_방동_율동자연공원내 휴게편의점 도색작업-할증-천정면적추가_내역서-최종0223_설계서-1" xfId="677"/>
    <cellStyle name="_방동_율동자연공원내 휴게편의점 도색작업-할증-천정면적추가_내역서-최종0223_설계서-1_00-설계서,원가계산,내역서" xfId="678"/>
    <cellStyle name="_방동_율동자연공원내 휴게편의점 도색작업-할증-천정면적추가_내역서-최종0223_진해자은수량산출서(단지내)" xfId="679"/>
    <cellStyle name="_방동_율동자연공원내 휴게편의점 도색작업-할증-천정면적추가_내역서-최종0223_진해자은수량산출서(단지내)_00-설계서,원가계산,내역서" xfId="680"/>
    <cellStyle name="_방동_율동자연공원내 휴게편의점 도색작업-할증-천정면적추가_내역서-최종0223_진해자은수량산출서(단지내)_기초산출표-56-128-최종" xfId="681"/>
    <cellStyle name="_방동_율동자연공원내 휴게편의점 도색작업-할증-천정면적추가_내역서-최종0223_진해자은수량산출서(단지내)_기초산출표-56-128-최종_00-설계서,원가계산,내역서" xfId="682"/>
    <cellStyle name="_방동_율동자연공원내 휴게편의점 도색작업-할증-천정면적추가_내역서-최종0223_진해자은수량산출서(단지내)_기초산출표-56-128-최종_설계서-1" xfId="683"/>
    <cellStyle name="_방동_율동자연공원내 휴게편의점 도색작업-할증-천정면적추가_내역서-최종0223_진해자은수량산출서(단지내)_기초산출표-56-128-최종_설계서-1_00-설계서,원가계산,내역서" xfId="684"/>
    <cellStyle name="_방동_율동자연공원내 휴게편의점 도색작업-할증-천정면적추가_내역서-최종0223_진해자은수량산출서(단지내)_설계서-1" xfId="685"/>
    <cellStyle name="_방동_율동자연공원내 휴게편의점 도색작업-할증-천정면적추가_내역서-최종0223_진해자은수량산출서(단지내)_설계서-1_00-설계서,원가계산,내역서" xfId="686"/>
    <cellStyle name="_방동_율동자연공원내 휴게편의점 도색작업-할증-천정면적추가_내역서-최종0223_진해자은수량산출서(단지내)_취합" xfId="687"/>
    <cellStyle name="_방동_율동자연공원내 휴게편의점 도색작업-할증-천정면적추가_내역서-최종0223_진해자은수량산출서(단지내)_취합_00-설계서,원가계산,내역서" xfId="688"/>
    <cellStyle name="_방동_율동자연공원내 휴게편의점 도색작업-할증-천정면적추가_내역서-최종0223_진해자은수량산출서(단지내)_취합_설계서-1" xfId="689"/>
    <cellStyle name="_방동_율동자연공원내 휴게편의점 도색작업-할증-천정면적추가_내역서-최종0223_진해자은수량산출서(단지내)_취합_설계서-1_00-설계서,원가계산,내역서" xfId="690"/>
    <cellStyle name="_방동_율동자연공원내 휴게편의점 도색작업-할증-천정면적추가_설계서-1" xfId="691"/>
    <cellStyle name="_방동_율동자연공원내 휴게편의점 도색작업-할증-천정면적추가_설계서-1_00-설계서,원가계산,내역서" xfId="692"/>
    <cellStyle name="_방동_율동자연공원내 휴게편의점 도색작업-할증-천정면적추가_진해자은수량산출서(단지내)" xfId="693"/>
    <cellStyle name="_방동_율동자연공원내 휴게편의점 도색작업-할증-천정면적추가_진해자은수량산출서(단지내)_00-설계서,원가계산,내역서" xfId="694"/>
    <cellStyle name="_방동_율동자연공원내 휴게편의점 도색작업-할증-천정면적추가_진해자은수량산출서(단지내)_기초산출표-56-128-최종" xfId="695"/>
    <cellStyle name="_방동_율동자연공원내 휴게편의점 도색작업-할증-천정면적추가_진해자은수량산출서(단지내)_기초산출표-56-128-최종_00-설계서,원가계산,내역서" xfId="696"/>
    <cellStyle name="_방동_율동자연공원내 휴게편의점 도색작업-할증-천정면적추가_진해자은수량산출서(단지내)_기초산출표-56-128-최종_설계서-1" xfId="697"/>
    <cellStyle name="_방동_율동자연공원내 휴게편의점 도색작업-할증-천정면적추가_진해자은수량산출서(단지내)_기초산출표-56-128-최종_설계서-1_00-설계서,원가계산,내역서" xfId="698"/>
    <cellStyle name="_방동_율동자연공원내 휴게편의점 도색작업-할증-천정면적추가_진해자은수량산출서(단지내)_설계서-1" xfId="699"/>
    <cellStyle name="_방동_율동자연공원내 휴게편의점 도색작업-할증-천정면적추가_진해자은수량산출서(단지내)_설계서-1_00-설계서,원가계산,내역서" xfId="700"/>
    <cellStyle name="_방동_율동자연공원내 휴게편의점 도색작업-할증-천정면적추가_진해자은수량산출서(단지내)_취합" xfId="701"/>
    <cellStyle name="_방동_율동자연공원내 휴게편의점 도색작업-할증-천정면적추가_진해자은수량산출서(단지내)_취합_00-설계서,원가계산,내역서" xfId="702"/>
    <cellStyle name="_방동_율동자연공원내 휴게편의점 도색작업-할증-천정면적추가_진해자은수량산출서(단지내)_취합_설계서-1" xfId="703"/>
    <cellStyle name="_방동_율동자연공원내 휴게편의점 도색작업-할증-천정면적추가_진해자은수량산출서(단지내)_취합_설계서-1_00-설계서,원가계산,내역서" xfId="704"/>
    <cellStyle name="_방동_이문동구간중랑천변녹화사업(수량산출서, 071127)-최종" xfId="705"/>
    <cellStyle name="_방동_이문동구간중랑천변녹화사업(수량산출서, 071127)-최종_00-설계서,원가계산,내역서" xfId="706"/>
    <cellStyle name="_방동_진해자은수량산출서(단지내)" xfId="707"/>
    <cellStyle name="_방동_진해자은수량산출서(단지내)_00-설계서,원가계산,내역서" xfId="708"/>
    <cellStyle name="_방동_진해자은수량산출서(단지내)_기초산출표-56-128-최종" xfId="709"/>
    <cellStyle name="_방동_진해자은수량산출서(단지내)_기초산출표-56-128-최종_00-설계서,원가계산,내역서" xfId="710"/>
    <cellStyle name="_방동_진해자은수량산출서(단지내)_기초산출표-56-128-최종_설계서-1" xfId="711"/>
    <cellStyle name="_방동_진해자은수량산출서(단지내)_기초산출표-56-128-최종_설계서-1_00-설계서,원가계산,내역서" xfId="712"/>
    <cellStyle name="_방동_진해자은수량산출서(단지내)_설계서-1" xfId="713"/>
    <cellStyle name="_방동_진해자은수량산출서(단지내)_설계서-1_00-설계서,원가계산,내역서" xfId="714"/>
    <cellStyle name="_방동_진해자은수량산출서(단지내)_취합" xfId="715"/>
    <cellStyle name="_방동_진해자은수량산출서(단지내)_취합_00-설계서,원가계산,내역서" xfId="716"/>
    <cellStyle name="_방동_진해자은수량산출서(단지내)_취합_설계서-1" xfId="717"/>
    <cellStyle name="_방동_진해자은수량산출서(단지내)_취합_설계서-1_00-설계서,원가계산,내역서" xfId="718"/>
    <cellStyle name="_방동_추곡" xfId="719"/>
    <cellStyle name="_방동_추곡_00-설계서,원가계산,내역서" xfId="720"/>
    <cellStyle name="_방동_추곡_내역서-최종0223" xfId="721"/>
    <cellStyle name="_방동_추곡_내역서-최종0223_00-설계서,원가계산,내역서" xfId="722"/>
    <cellStyle name="_방동_추곡_내역서-최종0223_설계서-1" xfId="723"/>
    <cellStyle name="_방동_추곡_내역서-최종0223_설계서-1_00-설계서,원가계산,내역서" xfId="724"/>
    <cellStyle name="_방동_추곡_내역서-최종0223_진해자은수량산출서(단지내)" xfId="725"/>
    <cellStyle name="_방동_추곡_내역서-최종0223_진해자은수량산출서(단지내)_00-설계서,원가계산,내역서" xfId="726"/>
    <cellStyle name="_방동_추곡_내역서-최종0223_진해자은수량산출서(단지내)_기초산출표-56-128-최종" xfId="727"/>
    <cellStyle name="_방동_추곡_내역서-최종0223_진해자은수량산출서(단지내)_기초산출표-56-128-최종_00-설계서,원가계산,내역서" xfId="728"/>
    <cellStyle name="_방동_추곡_내역서-최종0223_진해자은수량산출서(단지내)_기초산출표-56-128-최종_설계서-1" xfId="729"/>
    <cellStyle name="_방동_추곡_내역서-최종0223_진해자은수량산출서(단지내)_기초산출표-56-128-최종_설계서-1_00-설계서,원가계산,내역서" xfId="730"/>
    <cellStyle name="_방동_추곡_내역서-최종0223_진해자은수량산출서(단지내)_설계서-1" xfId="731"/>
    <cellStyle name="_방동_추곡_내역서-최종0223_진해자은수량산출서(단지내)_설계서-1_00-설계서,원가계산,내역서" xfId="732"/>
    <cellStyle name="_방동_추곡_내역서-최종0223_진해자은수량산출서(단지내)_취합" xfId="733"/>
    <cellStyle name="_방동_추곡_내역서-최종0223_진해자은수량산출서(단지내)_취합_00-설계서,원가계산,내역서" xfId="734"/>
    <cellStyle name="_방동_추곡_내역서-최종0223_진해자은수량산출서(단지내)_취합_설계서-1" xfId="735"/>
    <cellStyle name="_방동_추곡_내역서-최종0223_진해자은수량산출서(단지내)_취합_설계서-1_00-설계서,원가계산,내역서" xfId="736"/>
    <cellStyle name="_방동_추곡_라멘교 토공" xfId="737"/>
    <cellStyle name="_방동_추곡_라멘교 토공_00-설계서,원가계산,내역서" xfId="738"/>
    <cellStyle name="_방동_추곡_설계서-1" xfId="739"/>
    <cellStyle name="_방동_추곡_설계서-1_00-설계서,원가계산,내역서" xfId="740"/>
    <cellStyle name="_방동_추곡_율동자연공원내 화장실 보수 및 도색공사" xfId="741"/>
    <cellStyle name="_방동_추곡_율동자연공원내 화장실 보수 및 도색공사_00-설계서,원가계산,내역서" xfId="742"/>
    <cellStyle name="_방동_추곡_율동자연공원내 화장실 보수 및 도색공사_내역서-최종0223" xfId="743"/>
    <cellStyle name="_방동_추곡_율동자연공원내 화장실 보수 및 도색공사_내역서-최종0223_00-설계서,원가계산,내역서" xfId="744"/>
    <cellStyle name="_방동_추곡_율동자연공원내 화장실 보수 및 도색공사_내역서-최종0223_설계서-1" xfId="745"/>
    <cellStyle name="_방동_추곡_율동자연공원내 화장실 보수 및 도색공사_내역서-최종0223_설계서-1_00-설계서,원가계산,내역서" xfId="746"/>
    <cellStyle name="_방동_추곡_율동자연공원내 화장실 보수 및 도색공사_내역서-최종0223_진해자은수량산출서(단지내)" xfId="747"/>
    <cellStyle name="_방동_추곡_율동자연공원내 화장실 보수 및 도색공사_내역서-최종0223_진해자은수량산출서(단지내)_00-설계서,원가계산,내역서" xfId="748"/>
    <cellStyle name="_방동_추곡_율동자연공원내 화장실 보수 및 도색공사_내역서-최종0223_진해자은수량산출서(단지내)_기초산출표-56-128-최종" xfId="749"/>
    <cellStyle name="_방동_추곡_율동자연공원내 화장실 보수 및 도색공사_내역서-최종0223_진해자은수량산출서(단지내)_기초산출표-56-128-최종_00-설계서,원가계산,내역서" xfId="750"/>
    <cellStyle name="_방동_추곡_율동자연공원내 화장실 보수 및 도색공사_내역서-최종0223_진해자은수량산출서(단지내)_기초산출표-56-128-최종_설계서-1" xfId="751"/>
    <cellStyle name="_방동_추곡_율동자연공원내 화장실 보수 및 도색공사_내역서-최종0223_진해자은수량산출서(단지내)_기초산출표-56-128-최종_설계서-1_00-설계서,원가계산,내역서" xfId="752"/>
    <cellStyle name="_방동_추곡_율동자연공원내 화장실 보수 및 도색공사_내역서-최종0223_진해자은수량산출서(단지내)_설계서-1" xfId="753"/>
    <cellStyle name="_방동_추곡_율동자연공원내 화장실 보수 및 도색공사_내역서-최종0223_진해자은수량산출서(단지내)_설계서-1_00-설계서,원가계산,내역서" xfId="754"/>
    <cellStyle name="_방동_추곡_율동자연공원내 화장실 보수 및 도색공사_내역서-최종0223_진해자은수량산출서(단지내)_취합" xfId="755"/>
    <cellStyle name="_방동_추곡_율동자연공원내 화장실 보수 및 도색공사_내역서-최종0223_진해자은수량산출서(단지내)_취합_00-설계서,원가계산,내역서" xfId="756"/>
    <cellStyle name="_방동_추곡_율동자연공원내 화장실 보수 및 도색공사_내역서-최종0223_진해자은수량산출서(단지내)_취합_설계서-1" xfId="757"/>
    <cellStyle name="_방동_추곡_율동자연공원내 화장실 보수 및 도색공사_내역서-최종0223_진해자은수량산출서(단지내)_취합_설계서-1_00-설계서,원가계산,내역서" xfId="758"/>
    <cellStyle name="_방동_추곡_율동자연공원내 화장실 보수 및 도색공사_설계서-1" xfId="759"/>
    <cellStyle name="_방동_추곡_율동자연공원내 화장실 보수 및 도색공사_설계서-1_00-설계서,원가계산,내역서" xfId="760"/>
    <cellStyle name="_방동_추곡_율동자연공원내 화장실 보수 및 도색공사_진해자은수량산출서(단지내)" xfId="761"/>
    <cellStyle name="_방동_추곡_율동자연공원내 화장실 보수 및 도색공사_진해자은수량산출서(단지내)_00-설계서,원가계산,내역서" xfId="762"/>
    <cellStyle name="_방동_추곡_율동자연공원내 화장실 보수 및 도색공사_진해자은수량산출서(단지내)_기초산출표-56-128-최종" xfId="763"/>
    <cellStyle name="_방동_추곡_율동자연공원내 화장실 보수 및 도색공사_진해자은수량산출서(단지내)_기초산출표-56-128-최종_00-설계서,원가계산,내역서" xfId="764"/>
    <cellStyle name="_방동_추곡_율동자연공원내 화장실 보수 및 도색공사_진해자은수량산출서(단지내)_기초산출표-56-128-최종_설계서-1" xfId="765"/>
    <cellStyle name="_방동_추곡_율동자연공원내 화장실 보수 및 도색공사_진해자은수량산출서(단지내)_기초산출표-56-128-최종_설계서-1_00-설계서,원가계산,내역서" xfId="766"/>
    <cellStyle name="_방동_추곡_율동자연공원내 화장실 보수 및 도색공사_진해자은수량산출서(단지내)_설계서-1" xfId="767"/>
    <cellStyle name="_방동_추곡_율동자연공원내 화장실 보수 및 도색공사_진해자은수량산출서(단지내)_설계서-1_00-설계서,원가계산,내역서" xfId="768"/>
    <cellStyle name="_방동_추곡_율동자연공원내 화장실 보수 및 도색공사_진해자은수량산출서(단지내)_취합" xfId="769"/>
    <cellStyle name="_방동_추곡_율동자연공원내 화장실 보수 및 도색공사_진해자은수량산출서(단지내)_취합_00-설계서,원가계산,내역서" xfId="770"/>
    <cellStyle name="_방동_추곡_율동자연공원내 화장실 보수 및 도색공사_진해자은수량산출서(단지내)_취합_설계서-1" xfId="771"/>
    <cellStyle name="_방동_추곡_율동자연공원내 화장실 보수 및 도색공사_진해자은수량산출서(단지내)_취합_설계서-1_00-설계서,원가계산,내역서" xfId="772"/>
    <cellStyle name="_방동_추곡_율동자연공원내 휴게편의점 도색작업-할증-천정면적추가" xfId="773"/>
    <cellStyle name="_방동_추곡_율동자연공원내 휴게편의점 도색작업-할증-천정면적추가_00-설계서,원가계산,내역서" xfId="774"/>
    <cellStyle name="_방동_추곡_율동자연공원내 휴게편의점 도색작업-할증-천정면적추가_내역서-최종0223" xfId="775"/>
    <cellStyle name="_방동_추곡_율동자연공원내 휴게편의점 도색작업-할증-천정면적추가_내역서-최종0223_00-설계서,원가계산,내역서" xfId="776"/>
    <cellStyle name="_방동_추곡_율동자연공원내 휴게편의점 도색작업-할증-천정면적추가_내역서-최종0223_설계서-1" xfId="777"/>
    <cellStyle name="_방동_추곡_율동자연공원내 휴게편의점 도색작업-할증-천정면적추가_내역서-최종0223_설계서-1_00-설계서,원가계산,내역서" xfId="778"/>
    <cellStyle name="_방동_추곡_율동자연공원내 휴게편의점 도색작업-할증-천정면적추가_내역서-최종0223_진해자은수량산출서(단지내)" xfId="779"/>
    <cellStyle name="_방동_추곡_율동자연공원내 휴게편의점 도색작업-할증-천정면적추가_내역서-최종0223_진해자은수량산출서(단지내)_00-설계서,원가계산,내역서" xfId="780"/>
    <cellStyle name="_방동_추곡_율동자연공원내 휴게편의점 도색작업-할증-천정면적추가_내역서-최종0223_진해자은수량산출서(단지내)_기초산출표-56-128-최종" xfId="781"/>
    <cellStyle name="_방동_추곡_율동자연공원내 휴게편의점 도색작업-할증-천정면적추가_내역서-최종0223_진해자은수량산출서(단지내)_기초산출표-56-128-최종_00-설계서,원가계산,내역서" xfId="782"/>
    <cellStyle name="_방동_추곡_율동자연공원내 휴게편의점 도색작업-할증-천정면적추가_내역서-최종0223_진해자은수량산출서(단지내)_기초산출표-56-128-최종_설계서-1" xfId="783"/>
    <cellStyle name="_방동_추곡_율동자연공원내 휴게편의점 도색작업-할증-천정면적추가_내역서-최종0223_진해자은수량산출서(단지내)_기초산출표-56-128-최종_설계서-1_00-설계서,원가계산,내역서" xfId="784"/>
    <cellStyle name="_방동_추곡_율동자연공원내 휴게편의점 도색작업-할증-천정면적추가_내역서-최종0223_진해자은수량산출서(단지내)_설계서-1" xfId="785"/>
    <cellStyle name="_방동_추곡_율동자연공원내 휴게편의점 도색작업-할증-천정면적추가_내역서-최종0223_진해자은수량산출서(단지내)_설계서-1_00-설계서,원가계산,내역서" xfId="786"/>
    <cellStyle name="_방동_추곡_율동자연공원내 휴게편의점 도색작업-할증-천정면적추가_내역서-최종0223_진해자은수량산출서(단지내)_취합" xfId="787"/>
    <cellStyle name="_방동_추곡_율동자연공원내 휴게편의점 도색작업-할증-천정면적추가_내역서-최종0223_진해자은수량산출서(단지내)_취합_00-설계서,원가계산,내역서" xfId="788"/>
    <cellStyle name="_방동_추곡_율동자연공원내 휴게편의점 도색작업-할증-천정면적추가_내역서-최종0223_진해자은수량산출서(단지내)_취합_설계서-1" xfId="789"/>
    <cellStyle name="_방동_추곡_율동자연공원내 휴게편의점 도색작업-할증-천정면적추가_내역서-최종0223_진해자은수량산출서(단지내)_취합_설계서-1_00-설계서,원가계산,내역서" xfId="790"/>
    <cellStyle name="_방동_추곡_율동자연공원내 휴게편의점 도색작업-할증-천정면적추가_설계서-1" xfId="791"/>
    <cellStyle name="_방동_추곡_율동자연공원내 휴게편의점 도색작업-할증-천정면적추가_설계서-1_00-설계서,원가계산,내역서" xfId="792"/>
    <cellStyle name="_방동_추곡_율동자연공원내 휴게편의점 도색작업-할증-천정면적추가_진해자은수량산출서(단지내)" xfId="793"/>
    <cellStyle name="_방동_추곡_율동자연공원내 휴게편의점 도색작업-할증-천정면적추가_진해자은수량산출서(단지내)_00-설계서,원가계산,내역서" xfId="794"/>
    <cellStyle name="_방동_추곡_율동자연공원내 휴게편의점 도색작업-할증-천정면적추가_진해자은수량산출서(단지내)_기초산출표-56-128-최종" xfId="795"/>
    <cellStyle name="_방동_추곡_율동자연공원내 휴게편의점 도색작업-할증-천정면적추가_진해자은수량산출서(단지내)_기초산출표-56-128-최종_00-설계서,원가계산,내역서" xfId="796"/>
    <cellStyle name="_방동_추곡_율동자연공원내 휴게편의점 도색작업-할증-천정면적추가_진해자은수량산출서(단지내)_기초산출표-56-128-최종_설계서-1" xfId="797"/>
    <cellStyle name="_방동_추곡_율동자연공원내 휴게편의점 도색작업-할증-천정면적추가_진해자은수량산출서(단지내)_기초산출표-56-128-최종_설계서-1_00-설계서,원가계산,내역서" xfId="798"/>
    <cellStyle name="_방동_추곡_율동자연공원내 휴게편의점 도색작업-할증-천정면적추가_진해자은수량산출서(단지내)_설계서-1" xfId="799"/>
    <cellStyle name="_방동_추곡_율동자연공원내 휴게편의점 도색작업-할증-천정면적추가_진해자은수량산출서(단지내)_설계서-1_00-설계서,원가계산,내역서" xfId="800"/>
    <cellStyle name="_방동_추곡_율동자연공원내 휴게편의점 도색작업-할증-천정면적추가_진해자은수량산출서(단지내)_취합" xfId="801"/>
    <cellStyle name="_방동_추곡_율동자연공원내 휴게편의점 도색작업-할증-천정면적추가_진해자은수량산출서(단지내)_취합_00-설계서,원가계산,내역서" xfId="802"/>
    <cellStyle name="_방동_추곡_율동자연공원내 휴게편의점 도색작업-할증-천정면적추가_진해자은수량산출서(단지내)_취합_설계서-1" xfId="803"/>
    <cellStyle name="_방동_추곡_율동자연공원내 휴게편의점 도색작업-할증-천정면적추가_진해자은수량산출서(단지내)_취합_설계서-1_00-설계서,원가계산,내역서" xfId="804"/>
    <cellStyle name="_방동_추곡_이문동구간중랑천변녹화사업(수량산출서, 071127)-최종" xfId="805"/>
    <cellStyle name="_방동_추곡_이문동구간중랑천변녹화사업(수량산출서, 071127)-최종_00-설계서,원가계산,내역서" xfId="806"/>
    <cellStyle name="_방동_추곡_진해자은수량산출서(단지내)" xfId="807"/>
    <cellStyle name="_방동_추곡_진해자은수량산출서(단지내)_00-설계서,원가계산,내역서" xfId="808"/>
    <cellStyle name="_방동_추곡_진해자은수량산출서(단지내)_기초산출표-56-128-최종" xfId="809"/>
    <cellStyle name="_방동_추곡_진해자은수량산출서(단지내)_기초산출표-56-128-최종_00-설계서,원가계산,내역서" xfId="810"/>
    <cellStyle name="_방동_추곡_진해자은수량산출서(단지내)_기초산출표-56-128-최종_설계서-1" xfId="811"/>
    <cellStyle name="_방동_추곡_진해자은수량산출서(단지내)_기초산출표-56-128-최종_설계서-1_00-설계서,원가계산,내역서" xfId="812"/>
    <cellStyle name="_방동_추곡_진해자은수량산출서(단지내)_설계서-1" xfId="813"/>
    <cellStyle name="_방동_추곡_진해자은수량산출서(단지내)_설계서-1_00-설계서,원가계산,내역서" xfId="814"/>
    <cellStyle name="_방동_추곡_진해자은수량산출서(단지내)_취합" xfId="815"/>
    <cellStyle name="_방동_추곡_진해자은수량산출서(단지내)_취합_00-설계서,원가계산,내역서" xfId="816"/>
    <cellStyle name="_방동_추곡_진해자은수량산출서(단지내)_취합_설계서-1" xfId="817"/>
    <cellStyle name="_방동_추곡_진해자은수량산출서(단지내)_취합_설계서-1_00-설계서,원가계산,내역서" xfId="818"/>
    <cellStyle name="_방동_추곡_포장" xfId="819"/>
    <cellStyle name="_방동_추곡_포장_00-설계서,원가계산,내역서" xfId="820"/>
    <cellStyle name="_방동_추곡_포장_라멘교 토공" xfId="821"/>
    <cellStyle name="_방동_추곡_포장_라멘교 토공_00-설계서,원가계산,내역서" xfId="822"/>
    <cellStyle name="_방동_포장" xfId="823"/>
    <cellStyle name="_방동_포장_00-설계서,원가계산,내역서" xfId="824"/>
    <cellStyle name="_방동_포장_라멘교 토공" xfId="825"/>
    <cellStyle name="_방동_포장_라멘교 토공_00-설계서,원가계산,내역서" xfId="826"/>
    <cellStyle name="_백운초통신내역(최종)" xfId="827"/>
    <cellStyle name="_부대토목 예정공사비(2007.09.28)" xfId="828"/>
    <cellStyle name="_부평점정산내역" xfId="829"/>
    <cellStyle name="_분전반~1" xfId="830"/>
    <cellStyle name="_서천공주(견적서)" xfId="831"/>
    <cellStyle name="_서천공주(견적서)_2004견적내역서리스트" xfId="832"/>
    <cellStyle name="_석은희지압보도" xfId="833"/>
    <cellStyle name="_석은희지압보도_00-설계서,원가계산,내역서" xfId="834"/>
    <cellStyle name="_석은희지압보도_내역서-최종0223" xfId="835"/>
    <cellStyle name="_석은희지압보도_내역서-최종0223_00-설계서,원가계산,내역서" xfId="836"/>
    <cellStyle name="_석은희지압보도_내역서-최종0223_설계서-1" xfId="837"/>
    <cellStyle name="_석은희지압보도_내역서-최종0223_설계서-1_00-설계서,원가계산,내역서" xfId="838"/>
    <cellStyle name="_석은희지압보도_내역서-최종0223_진해자은수량산출서(단지내)" xfId="839"/>
    <cellStyle name="_석은희지압보도_내역서-최종0223_진해자은수량산출서(단지내)_00-설계서,원가계산,내역서" xfId="840"/>
    <cellStyle name="_석은희지압보도_내역서-최종0223_진해자은수량산출서(단지내)_기초산출표-56-128-최종" xfId="841"/>
    <cellStyle name="_석은희지압보도_내역서-최종0223_진해자은수량산출서(단지내)_기초산출표-56-128-최종_00-설계서,원가계산,내역서" xfId="842"/>
    <cellStyle name="_석은희지압보도_내역서-최종0223_진해자은수량산출서(단지내)_기초산출표-56-128-최종_설계서-1" xfId="843"/>
    <cellStyle name="_석은희지압보도_내역서-최종0223_진해자은수량산출서(단지내)_기초산출표-56-128-최종_설계서-1_00-설계서,원가계산,내역서" xfId="844"/>
    <cellStyle name="_석은희지압보도_내역서-최종0223_진해자은수량산출서(단지내)_설계서-1" xfId="845"/>
    <cellStyle name="_석은희지압보도_내역서-최종0223_진해자은수량산출서(단지내)_설계서-1_00-설계서,원가계산,내역서" xfId="846"/>
    <cellStyle name="_석은희지압보도_내역서-최종0223_진해자은수량산출서(단지내)_취합" xfId="847"/>
    <cellStyle name="_석은희지압보도_내역서-최종0223_진해자은수량산출서(단지내)_취합_00-설계서,원가계산,내역서" xfId="848"/>
    <cellStyle name="_석은희지압보도_내역서-최종0223_진해자은수량산출서(단지내)_취합_설계서-1" xfId="849"/>
    <cellStyle name="_석은희지압보도_내역서-최종0223_진해자은수량산출서(단지내)_취합_설계서-1_00-설계서,원가계산,내역서" xfId="850"/>
    <cellStyle name="_석은희지압보도_설계서-1" xfId="851"/>
    <cellStyle name="_석은희지압보도_설계서-1_00-설계서,원가계산,내역서" xfId="852"/>
    <cellStyle name="_석은희지압보도_진해자은수량산출서(단지내)" xfId="853"/>
    <cellStyle name="_석은희지압보도_진해자은수량산출서(단지내)_00-설계서,원가계산,내역서" xfId="854"/>
    <cellStyle name="_석은희지압보도_진해자은수량산출서(단지내)_기초산출표-56-128-최종" xfId="855"/>
    <cellStyle name="_석은희지압보도_진해자은수량산출서(단지내)_기초산출표-56-128-최종_00-설계서,원가계산,내역서" xfId="856"/>
    <cellStyle name="_석은희지압보도_진해자은수량산출서(단지내)_기초산출표-56-128-최종_설계서-1" xfId="857"/>
    <cellStyle name="_석은희지압보도_진해자은수량산출서(단지내)_기초산출표-56-128-최종_설계서-1_00-설계서,원가계산,내역서" xfId="858"/>
    <cellStyle name="_석은희지압보도_진해자은수량산출서(단지내)_설계서-1" xfId="859"/>
    <cellStyle name="_석은희지압보도_진해자은수량산출서(단지내)_설계서-1_00-설계서,원가계산,내역서" xfId="860"/>
    <cellStyle name="_석은희지압보도_진해자은수량산출서(단지내)_취합" xfId="861"/>
    <cellStyle name="_석은희지압보도_진해자은수량산출서(단지내)_취합_00-설계서,원가계산,내역서" xfId="862"/>
    <cellStyle name="_석은희지압보도_진해자은수량산출서(단지내)_취합_설계서-1" xfId="863"/>
    <cellStyle name="_석은희지압보도_진해자은수량산출서(단지내)_취합_설계서-1_00-설계서,원가계산,내역서" xfId="864"/>
    <cellStyle name="_설계변경" xfId="865"/>
    <cellStyle name="_실시계획인가 예정용역비" xfId="866"/>
    <cellStyle name="_실시설계 공내역서" xfId="867"/>
    <cellStyle name="_연안권내역서(토목부문내역서)" xfId="868"/>
    <cellStyle name="_연안권역특화거리조성을위한음악분수대설치" xfId="869"/>
    <cellStyle name="_연안권역특화거리조성을위한음악분수대설치R6(제출EBS)-설비,전기,관리실" xfId="871"/>
    <cellStyle name="_연안권역특화거리조성을위한음악분수대설치R6(제출EBS)-설비,전기,관리실_00-설계서,원가계산,내역서" xfId="872"/>
    <cellStyle name="_연안권역특화거리조성을위한음악분수대설치_00-설계서,원가계산,내역서" xfId="870"/>
    <cellStyle name="_영화관약전설비(수정)" xfId="873"/>
    <cellStyle name="_울산롯데호텔소방전기견적서" xfId="874"/>
    <cellStyle name="_울산백화점 발의내역(계약단가적용)" xfId="875"/>
    <cellStyle name="_울산점소방전기공사(발주)" xfId="876"/>
    <cellStyle name="_유성약전발의내역1" xfId="877"/>
    <cellStyle name="_응급ES" xfId="878"/>
    <cellStyle name="_응급RE" xfId="879"/>
    <cellStyle name="_일반전기1공구" xfId="880"/>
    <cellStyle name="_일반전기2공구" xfId="881"/>
    <cellStyle name="_일반전기정산" xfId="882"/>
    <cellStyle name="_전기" xfId="883"/>
    <cellStyle name="_전력간선" xfId="884"/>
    <cellStyle name="_정산세부내역(건설사정)" xfId="885"/>
    <cellStyle name="_준공-약전설비공사" xfId="886"/>
    <cellStyle name="_추곡" xfId="887"/>
    <cellStyle name="_추곡_00-설계서,원가계산,내역서" xfId="888"/>
    <cellStyle name="_추곡_내역서-최종0223" xfId="889"/>
    <cellStyle name="_추곡_내역서-최종0223_00-설계서,원가계산,내역서" xfId="890"/>
    <cellStyle name="_추곡_내역서-최종0223_설계서-1" xfId="891"/>
    <cellStyle name="_추곡_내역서-최종0223_설계서-1_00-설계서,원가계산,내역서" xfId="892"/>
    <cellStyle name="_추곡_내역서-최종0223_진해자은수량산출서(단지내)" xfId="893"/>
    <cellStyle name="_추곡_내역서-최종0223_진해자은수량산출서(단지내)_00-설계서,원가계산,내역서" xfId="894"/>
    <cellStyle name="_추곡_내역서-최종0223_진해자은수량산출서(단지내)_기초산출표-56-128-최종" xfId="895"/>
    <cellStyle name="_추곡_내역서-최종0223_진해자은수량산출서(단지내)_기초산출표-56-128-최종_00-설계서,원가계산,내역서" xfId="896"/>
    <cellStyle name="_추곡_내역서-최종0223_진해자은수량산출서(단지내)_기초산출표-56-128-최종_설계서-1" xfId="897"/>
    <cellStyle name="_추곡_내역서-최종0223_진해자은수량산출서(단지내)_기초산출표-56-128-최종_설계서-1_00-설계서,원가계산,내역서" xfId="898"/>
    <cellStyle name="_추곡_내역서-최종0223_진해자은수량산출서(단지내)_설계서-1" xfId="899"/>
    <cellStyle name="_추곡_내역서-최종0223_진해자은수량산출서(단지내)_설계서-1_00-설계서,원가계산,내역서" xfId="900"/>
    <cellStyle name="_추곡_내역서-최종0223_진해자은수량산출서(단지내)_취합" xfId="901"/>
    <cellStyle name="_추곡_내역서-최종0223_진해자은수량산출서(단지내)_취합_00-설계서,원가계산,내역서" xfId="902"/>
    <cellStyle name="_추곡_내역서-최종0223_진해자은수량산출서(단지내)_취합_설계서-1" xfId="903"/>
    <cellStyle name="_추곡_내역서-최종0223_진해자은수량산출서(단지내)_취합_설계서-1_00-설계서,원가계산,내역서" xfId="904"/>
    <cellStyle name="_추곡_라멘교 토공" xfId="905"/>
    <cellStyle name="_추곡_라멘교 토공_00-설계서,원가계산,내역서" xfId="906"/>
    <cellStyle name="_추곡_설계서-1" xfId="907"/>
    <cellStyle name="_추곡_설계서-1_00-설계서,원가계산,내역서" xfId="908"/>
    <cellStyle name="_추곡_율동자연공원내 화장실 보수 및 도색공사" xfId="909"/>
    <cellStyle name="_추곡_율동자연공원내 화장실 보수 및 도색공사_00-설계서,원가계산,내역서" xfId="910"/>
    <cellStyle name="_추곡_율동자연공원내 화장실 보수 및 도색공사_내역서-최종0223" xfId="911"/>
    <cellStyle name="_추곡_율동자연공원내 화장실 보수 및 도색공사_내역서-최종0223_00-설계서,원가계산,내역서" xfId="912"/>
    <cellStyle name="_추곡_율동자연공원내 화장실 보수 및 도색공사_내역서-최종0223_설계서-1" xfId="913"/>
    <cellStyle name="_추곡_율동자연공원내 화장실 보수 및 도색공사_내역서-최종0223_설계서-1_00-설계서,원가계산,내역서" xfId="914"/>
    <cellStyle name="_추곡_율동자연공원내 화장실 보수 및 도색공사_내역서-최종0223_진해자은수량산출서(단지내)" xfId="915"/>
    <cellStyle name="_추곡_율동자연공원내 화장실 보수 및 도색공사_내역서-최종0223_진해자은수량산출서(단지내)_00-설계서,원가계산,내역서" xfId="916"/>
    <cellStyle name="_추곡_율동자연공원내 화장실 보수 및 도색공사_내역서-최종0223_진해자은수량산출서(단지내)_기초산출표-56-128-최종" xfId="917"/>
    <cellStyle name="_추곡_율동자연공원내 화장실 보수 및 도색공사_내역서-최종0223_진해자은수량산출서(단지내)_기초산출표-56-128-최종_00-설계서,원가계산,내역서" xfId="918"/>
    <cellStyle name="_추곡_율동자연공원내 화장실 보수 및 도색공사_내역서-최종0223_진해자은수량산출서(단지내)_기초산출표-56-128-최종_설계서-1" xfId="919"/>
    <cellStyle name="_추곡_율동자연공원내 화장실 보수 및 도색공사_내역서-최종0223_진해자은수량산출서(단지내)_기초산출표-56-128-최종_설계서-1_00-설계서,원가계산,내역서" xfId="920"/>
    <cellStyle name="_추곡_율동자연공원내 화장실 보수 및 도색공사_내역서-최종0223_진해자은수량산출서(단지내)_설계서-1" xfId="921"/>
    <cellStyle name="_추곡_율동자연공원내 화장실 보수 및 도색공사_내역서-최종0223_진해자은수량산출서(단지내)_설계서-1_00-설계서,원가계산,내역서" xfId="922"/>
    <cellStyle name="_추곡_율동자연공원내 화장실 보수 및 도색공사_내역서-최종0223_진해자은수량산출서(단지내)_취합" xfId="923"/>
    <cellStyle name="_추곡_율동자연공원내 화장실 보수 및 도색공사_내역서-최종0223_진해자은수량산출서(단지내)_취합_00-설계서,원가계산,내역서" xfId="924"/>
    <cellStyle name="_추곡_율동자연공원내 화장실 보수 및 도색공사_내역서-최종0223_진해자은수량산출서(단지내)_취합_설계서-1" xfId="925"/>
    <cellStyle name="_추곡_율동자연공원내 화장실 보수 및 도색공사_내역서-최종0223_진해자은수량산출서(단지내)_취합_설계서-1_00-설계서,원가계산,내역서" xfId="926"/>
    <cellStyle name="_추곡_율동자연공원내 화장실 보수 및 도색공사_설계서-1" xfId="927"/>
    <cellStyle name="_추곡_율동자연공원내 화장실 보수 및 도색공사_설계서-1_00-설계서,원가계산,내역서" xfId="928"/>
    <cellStyle name="_추곡_율동자연공원내 화장실 보수 및 도색공사_진해자은수량산출서(단지내)" xfId="929"/>
    <cellStyle name="_추곡_율동자연공원내 화장실 보수 및 도색공사_진해자은수량산출서(단지내)_00-설계서,원가계산,내역서" xfId="930"/>
    <cellStyle name="_추곡_율동자연공원내 화장실 보수 및 도색공사_진해자은수량산출서(단지내)_기초산출표-56-128-최종" xfId="931"/>
    <cellStyle name="_추곡_율동자연공원내 화장실 보수 및 도색공사_진해자은수량산출서(단지내)_기초산출표-56-128-최종_00-설계서,원가계산,내역서" xfId="932"/>
    <cellStyle name="_추곡_율동자연공원내 화장실 보수 및 도색공사_진해자은수량산출서(단지내)_기초산출표-56-128-최종_설계서-1" xfId="933"/>
    <cellStyle name="_추곡_율동자연공원내 화장실 보수 및 도색공사_진해자은수량산출서(단지내)_기초산출표-56-128-최종_설계서-1_00-설계서,원가계산,내역서" xfId="934"/>
    <cellStyle name="_추곡_율동자연공원내 화장실 보수 및 도색공사_진해자은수량산출서(단지내)_설계서-1" xfId="935"/>
    <cellStyle name="_추곡_율동자연공원내 화장실 보수 및 도색공사_진해자은수량산출서(단지내)_설계서-1_00-설계서,원가계산,내역서" xfId="936"/>
    <cellStyle name="_추곡_율동자연공원내 화장실 보수 및 도색공사_진해자은수량산출서(단지내)_취합" xfId="937"/>
    <cellStyle name="_추곡_율동자연공원내 화장실 보수 및 도색공사_진해자은수량산출서(단지내)_취합_00-설계서,원가계산,내역서" xfId="938"/>
    <cellStyle name="_추곡_율동자연공원내 화장실 보수 및 도색공사_진해자은수량산출서(단지내)_취합_설계서-1" xfId="939"/>
    <cellStyle name="_추곡_율동자연공원내 화장실 보수 및 도색공사_진해자은수량산출서(단지내)_취합_설계서-1_00-설계서,원가계산,내역서" xfId="940"/>
    <cellStyle name="_추곡_율동자연공원내 휴게편의점 도색작업-할증-천정면적추가" xfId="941"/>
    <cellStyle name="_추곡_율동자연공원내 휴게편의점 도색작업-할증-천정면적추가_00-설계서,원가계산,내역서" xfId="942"/>
    <cellStyle name="_추곡_율동자연공원내 휴게편의점 도색작업-할증-천정면적추가_내역서-최종0223" xfId="943"/>
    <cellStyle name="_추곡_율동자연공원내 휴게편의점 도색작업-할증-천정면적추가_내역서-최종0223_00-설계서,원가계산,내역서" xfId="944"/>
    <cellStyle name="_추곡_율동자연공원내 휴게편의점 도색작업-할증-천정면적추가_내역서-최종0223_설계서-1" xfId="945"/>
    <cellStyle name="_추곡_율동자연공원내 휴게편의점 도색작업-할증-천정면적추가_내역서-최종0223_설계서-1_00-설계서,원가계산,내역서" xfId="946"/>
    <cellStyle name="_추곡_율동자연공원내 휴게편의점 도색작업-할증-천정면적추가_내역서-최종0223_진해자은수량산출서(단지내)" xfId="947"/>
    <cellStyle name="_추곡_율동자연공원내 휴게편의점 도색작업-할증-천정면적추가_내역서-최종0223_진해자은수량산출서(단지내)_00-설계서,원가계산,내역서" xfId="948"/>
    <cellStyle name="_추곡_율동자연공원내 휴게편의점 도색작업-할증-천정면적추가_내역서-최종0223_진해자은수량산출서(단지내)_기초산출표-56-128-최종" xfId="949"/>
    <cellStyle name="_추곡_율동자연공원내 휴게편의점 도색작업-할증-천정면적추가_내역서-최종0223_진해자은수량산출서(단지내)_기초산출표-56-128-최종_00-설계서,원가계산,내역서" xfId="950"/>
    <cellStyle name="_추곡_율동자연공원내 휴게편의점 도색작업-할증-천정면적추가_내역서-최종0223_진해자은수량산출서(단지내)_기초산출표-56-128-최종_설계서-1" xfId="951"/>
    <cellStyle name="_추곡_율동자연공원내 휴게편의점 도색작업-할증-천정면적추가_내역서-최종0223_진해자은수량산출서(단지내)_기초산출표-56-128-최종_설계서-1_00-설계서,원가계산,내역서" xfId="952"/>
    <cellStyle name="_추곡_율동자연공원내 휴게편의점 도색작업-할증-천정면적추가_내역서-최종0223_진해자은수량산출서(단지내)_설계서-1" xfId="953"/>
    <cellStyle name="_추곡_율동자연공원내 휴게편의점 도색작업-할증-천정면적추가_내역서-최종0223_진해자은수량산출서(단지내)_설계서-1_00-설계서,원가계산,내역서" xfId="954"/>
    <cellStyle name="_추곡_율동자연공원내 휴게편의점 도색작업-할증-천정면적추가_내역서-최종0223_진해자은수량산출서(단지내)_취합" xfId="955"/>
    <cellStyle name="_추곡_율동자연공원내 휴게편의점 도색작업-할증-천정면적추가_내역서-최종0223_진해자은수량산출서(단지내)_취합_00-설계서,원가계산,내역서" xfId="956"/>
    <cellStyle name="_추곡_율동자연공원내 휴게편의점 도색작업-할증-천정면적추가_내역서-최종0223_진해자은수량산출서(단지내)_취합_설계서-1" xfId="957"/>
    <cellStyle name="_추곡_율동자연공원내 휴게편의점 도색작업-할증-천정면적추가_내역서-최종0223_진해자은수량산출서(단지내)_취합_설계서-1_00-설계서,원가계산,내역서" xfId="958"/>
    <cellStyle name="_추곡_율동자연공원내 휴게편의점 도색작업-할증-천정면적추가_설계서-1" xfId="959"/>
    <cellStyle name="_추곡_율동자연공원내 휴게편의점 도색작업-할증-천정면적추가_설계서-1_00-설계서,원가계산,내역서" xfId="960"/>
    <cellStyle name="_추곡_율동자연공원내 휴게편의점 도색작업-할증-천정면적추가_진해자은수량산출서(단지내)" xfId="961"/>
    <cellStyle name="_추곡_율동자연공원내 휴게편의점 도색작업-할증-천정면적추가_진해자은수량산출서(단지내)_00-설계서,원가계산,내역서" xfId="962"/>
    <cellStyle name="_추곡_율동자연공원내 휴게편의점 도색작업-할증-천정면적추가_진해자은수량산출서(단지내)_기초산출표-56-128-최종" xfId="963"/>
    <cellStyle name="_추곡_율동자연공원내 휴게편의점 도색작업-할증-천정면적추가_진해자은수량산출서(단지내)_기초산출표-56-128-최종_00-설계서,원가계산,내역서" xfId="964"/>
    <cellStyle name="_추곡_율동자연공원내 휴게편의점 도색작업-할증-천정면적추가_진해자은수량산출서(단지내)_기초산출표-56-128-최종_설계서-1" xfId="965"/>
    <cellStyle name="_추곡_율동자연공원내 휴게편의점 도색작업-할증-천정면적추가_진해자은수량산출서(단지내)_기초산출표-56-128-최종_설계서-1_00-설계서,원가계산,내역서" xfId="966"/>
    <cellStyle name="_추곡_율동자연공원내 휴게편의점 도색작업-할증-천정면적추가_진해자은수량산출서(단지내)_설계서-1" xfId="967"/>
    <cellStyle name="_추곡_율동자연공원내 휴게편의점 도색작업-할증-천정면적추가_진해자은수량산출서(단지내)_설계서-1_00-설계서,원가계산,내역서" xfId="968"/>
    <cellStyle name="_추곡_율동자연공원내 휴게편의점 도색작업-할증-천정면적추가_진해자은수량산출서(단지내)_취합" xfId="969"/>
    <cellStyle name="_추곡_율동자연공원내 휴게편의점 도색작업-할증-천정면적추가_진해자은수량산출서(단지내)_취합_00-설계서,원가계산,내역서" xfId="970"/>
    <cellStyle name="_추곡_율동자연공원내 휴게편의점 도색작업-할증-천정면적추가_진해자은수량산출서(단지내)_취합_설계서-1" xfId="971"/>
    <cellStyle name="_추곡_율동자연공원내 휴게편의점 도색작업-할증-천정면적추가_진해자은수량산출서(단지내)_취합_설계서-1_00-설계서,원가계산,내역서" xfId="972"/>
    <cellStyle name="_추곡_이문동구간중랑천변녹화사업(수량산출서, 071127)-최종" xfId="973"/>
    <cellStyle name="_추곡_이문동구간중랑천변녹화사업(수량산출서, 071127)-최종_00-설계서,원가계산,내역서" xfId="974"/>
    <cellStyle name="_추곡_진해자은수량산출서(단지내)" xfId="975"/>
    <cellStyle name="_추곡_진해자은수량산출서(단지내)_00-설계서,원가계산,내역서" xfId="976"/>
    <cellStyle name="_추곡_진해자은수량산출서(단지내)_기초산출표-56-128-최종" xfId="977"/>
    <cellStyle name="_추곡_진해자은수량산출서(단지내)_기초산출표-56-128-최종_00-설계서,원가계산,내역서" xfId="978"/>
    <cellStyle name="_추곡_진해자은수량산출서(단지내)_기초산출표-56-128-최종_설계서-1" xfId="979"/>
    <cellStyle name="_추곡_진해자은수량산출서(단지내)_기초산출표-56-128-최종_설계서-1_00-설계서,원가계산,내역서" xfId="980"/>
    <cellStyle name="_추곡_진해자은수량산출서(단지내)_설계서-1" xfId="981"/>
    <cellStyle name="_추곡_진해자은수량산출서(단지내)_설계서-1_00-설계서,원가계산,내역서" xfId="982"/>
    <cellStyle name="_추곡_진해자은수량산출서(단지내)_취합" xfId="983"/>
    <cellStyle name="_추곡_진해자은수량산출서(단지내)_취합_00-설계서,원가계산,내역서" xfId="984"/>
    <cellStyle name="_추곡_진해자은수량산출서(단지내)_취합_설계서-1" xfId="985"/>
    <cellStyle name="_추곡_진해자은수량산출서(단지내)_취합_설계서-1_00-설계서,원가계산,내역서" xfId="986"/>
    <cellStyle name="_추곡_추곡" xfId="987"/>
    <cellStyle name="_추곡_추곡_00-설계서,원가계산,내역서" xfId="988"/>
    <cellStyle name="_추곡_추곡_내역서-최종0223" xfId="989"/>
    <cellStyle name="_추곡_추곡_내역서-최종0223_00-설계서,원가계산,내역서" xfId="990"/>
    <cellStyle name="_추곡_추곡_내역서-최종0223_설계서-1" xfId="991"/>
    <cellStyle name="_추곡_추곡_내역서-최종0223_설계서-1_00-설계서,원가계산,내역서" xfId="992"/>
    <cellStyle name="_추곡_추곡_내역서-최종0223_진해자은수량산출서(단지내)" xfId="993"/>
    <cellStyle name="_추곡_추곡_내역서-최종0223_진해자은수량산출서(단지내)_00-설계서,원가계산,내역서" xfId="994"/>
    <cellStyle name="_추곡_추곡_내역서-최종0223_진해자은수량산출서(단지내)_기초산출표-56-128-최종" xfId="995"/>
    <cellStyle name="_추곡_추곡_내역서-최종0223_진해자은수량산출서(단지내)_기초산출표-56-128-최종_00-설계서,원가계산,내역서" xfId="996"/>
    <cellStyle name="_추곡_추곡_내역서-최종0223_진해자은수량산출서(단지내)_기초산출표-56-128-최종_설계서-1" xfId="997"/>
    <cellStyle name="_추곡_추곡_내역서-최종0223_진해자은수량산출서(단지내)_기초산출표-56-128-최종_설계서-1_00-설계서,원가계산,내역서" xfId="998"/>
    <cellStyle name="_추곡_추곡_내역서-최종0223_진해자은수량산출서(단지내)_설계서-1" xfId="999"/>
    <cellStyle name="_추곡_추곡_내역서-최종0223_진해자은수량산출서(단지내)_설계서-1_00-설계서,원가계산,내역서" xfId="1000"/>
    <cellStyle name="_추곡_추곡_내역서-최종0223_진해자은수량산출서(단지내)_취합" xfId="1001"/>
    <cellStyle name="_추곡_추곡_내역서-최종0223_진해자은수량산출서(단지내)_취합_00-설계서,원가계산,내역서" xfId="1002"/>
    <cellStyle name="_추곡_추곡_내역서-최종0223_진해자은수량산출서(단지내)_취합_설계서-1" xfId="1003"/>
    <cellStyle name="_추곡_추곡_내역서-최종0223_진해자은수량산출서(단지내)_취합_설계서-1_00-설계서,원가계산,내역서" xfId="1004"/>
    <cellStyle name="_추곡_추곡_라멘교 토공" xfId="1005"/>
    <cellStyle name="_추곡_추곡_라멘교 토공_00-설계서,원가계산,내역서" xfId="1006"/>
    <cellStyle name="_추곡_추곡_설계서-1" xfId="1007"/>
    <cellStyle name="_추곡_추곡_설계서-1_00-설계서,원가계산,내역서" xfId="1008"/>
    <cellStyle name="_추곡_추곡_율동자연공원내 화장실 보수 및 도색공사" xfId="1009"/>
    <cellStyle name="_추곡_추곡_율동자연공원내 화장실 보수 및 도색공사_00-설계서,원가계산,내역서" xfId="1010"/>
    <cellStyle name="_추곡_추곡_율동자연공원내 화장실 보수 및 도색공사_내역서-최종0223" xfId="1011"/>
    <cellStyle name="_추곡_추곡_율동자연공원내 화장실 보수 및 도색공사_내역서-최종0223_00-설계서,원가계산,내역서" xfId="1012"/>
    <cellStyle name="_추곡_추곡_율동자연공원내 화장실 보수 및 도색공사_내역서-최종0223_설계서-1" xfId="1013"/>
    <cellStyle name="_추곡_추곡_율동자연공원내 화장실 보수 및 도색공사_내역서-최종0223_설계서-1_00-설계서,원가계산,내역서" xfId="1014"/>
    <cellStyle name="_추곡_추곡_율동자연공원내 화장실 보수 및 도색공사_내역서-최종0223_진해자은수량산출서(단지내)" xfId="1015"/>
    <cellStyle name="_추곡_추곡_율동자연공원내 화장실 보수 및 도색공사_내역서-최종0223_진해자은수량산출서(단지내)_00-설계서,원가계산,내역서" xfId="1016"/>
    <cellStyle name="_추곡_추곡_율동자연공원내 화장실 보수 및 도색공사_내역서-최종0223_진해자은수량산출서(단지내)_기초산출표-56-128-최종" xfId="1017"/>
    <cellStyle name="_추곡_추곡_율동자연공원내 화장실 보수 및 도색공사_내역서-최종0223_진해자은수량산출서(단지내)_기초산출표-56-128-최종_00-설계서,원가계산,내역서" xfId="1018"/>
    <cellStyle name="_추곡_추곡_율동자연공원내 화장실 보수 및 도색공사_내역서-최종0223_진해자은수량산출서(단지내)_기초산출표-56-128-최종_설계서-1" xfId="1019"/>
    <cellStyle name="_추곡_추곡_율동자연공원내 화장실 보수 및 도색공사_내역서-최종0223_진해자은수량산출서(단지내)_기초산출표-56-128-최종_설계서-1_00-설계서,원가계산,내역서" xfId="1020"/>
    <cellStyle name="_추곡_추곡_율동자연공원내 화장실 보수 및 도색공사_내역서-최종0223_진해자은수량산출서(단지내)_설계서-1" xfId="1021"/>
    <cellStyle name="_추곡_추곡_율동자연공원내 화장실 보수 및 도색공사_내역서-최종0223_진해자은수량산출서(단지내)_설계서-1_00-설계서,원가계산,내역서" xfId="1022"/>
    <cellStyle name="_추곡_추곡_율동자연공원내 화장실 보수 및 도색공사_내역서-최종0223_진해자은수량산출서(단지내)_취합" xfId="1023"/>
    <cellStyle name="_추곡_추곡_율동자연공원내 화장실 보수 및 도색공사_내역서-최종0223_진해자은수량산출서(단지내)_취합_00-설계서,원가계산,내역서" xfId="1024"/>
    <cellStyle name="_추곡_추곡_율동자연공원내 화장실 보수 및 도색공사_내역서-최종0223_진해자은수량산출서(단지내)_취합_설계서-1" xfId="1025"/>
    <cellStyle name="_추곡_추곡_율동자연공원내 화장실 보수 및 도색공사_내역서-최종0223_진해자은수량산출서(단지내)_취합_설계서-1_00-설계서,원가계산,내역서" xfId="1026"/>
    <cellStyle name="_추곡_추곡_율동자연공원내 화장실 보수 및 도색공사_설계서-1" xfId="1027"/>
    <cellStyle name="_추곡_추곡_율동자연공원내 화장실 보수 및 도색공사_설계서-1_00-설계서,원가계산,내역서" xfId="1028"/>
    <cellStyle name="_추곡_추곡_율동자연공원내 화장실 보수 및 도색공사_진해자은수량산출서(단지내)" xfId="1029"/>
    <cellStyle name="_추곡_추곡_율동자연공원내 화장실 보수 및 도색공사_진해자은수량산출서(단지내)_00-설계서,원가계산,내역서" xfId="1030"/>
    <cellStyle name="_추곡_추곡_율동자연공원내 화장실 보수 및 도색공사_진해자은수량산출서(단지내)_기초산출표-56-128-최종" xfId="1031"/>
    <cellStyle name="_추곡_추곡_율동자연공원내 화장실 보수 및 도색공사_진해자은수량산출서(단지내)_기초산출표-56-128-최종_00-설계서,원가계산,내역서" xfId="1032"/>
    <cellStyle name="_추곡_추곡_율동자연공원내 화장실 보수 및 도색공사_진해자은수량산출서(단지내)_기초산출표-56-128-최종_설계서-1" xfId="1033"/>
    <cellStyle name="_추곡_추곡_율동자연공원내 화장실 보수 및 도색공사_진해자은수량산출서(단지내)_기초산출표-56-128-최종_설계서-1_00-설계서,원가계산,내역서" xfId="1034"/>
    <cellStyle name="_추곡_추곡_율동자연공원내 화장실 보수 및 도색공사_진해자은수량산출서(단지내)_설계서-1" xfId="1035"/>
    <cellStyle name="_추곡_추곡_율동자연공원내 화장실 보수 및 도색공사_진해자은수량산출서(단지내)_설계서-1_00-설계서,원가계산,내역서" xfId="1036"/>
    <cellStyle name="_추곡_추곡_율동자연공원내 화장실 보수 및 도색공사_진해자은수량산출서(단지내)_취합" xfId="1037"/>
    <cellStyle name="_추곡_추곡_율동자연공원내 화장실 보수 및 도색공사_진해자은수량산출서(단지내)_취합_00-설계서,원가계산,내역서" xfId="1038"/>
    <cellStyle name="_추곡_추곡_율동자연공원내 화장실 보수 및 도색공사_진해자은수량산출서(단지내)_취합_설계서-1" xfId="1039"/>
    <cellStyle name="_추곡_추곡_율동자연공원내 화장실 보수 및 도색공사_진해자은수량산출서(단지내)_취합_설계서-1_00-설계서,원가계산,내역서" xfId="1040"/>
    <cellStyle name="_추곡_추곡_율동자연공원내 휴게편의점 도색작업-할증-천정면적추가" xfId="1041"/>
    <cellStyle name="_추곡_추곡_율동자연공원내 휴게편의점 도색작업-할증-천정면적추가_00-설계서,원가계산,내역서" xfId="1042"/>
    <cellStyle name="_추곡_추곡_율동자연공원내 휴게편의점 도색작업-할증-천정면적추가_내역서-최종0223" xfId="1043"/>
    <cellStyle name="_추곡_추곡_율동자연공원내 휴게편의점 도색작업-할증-천정면적추가_내역서-최종0223_00-설계서,원가계산,내역서" xfId="1044"/>
    <cellStyle name="_추곡_추곡_율동자연공원내 휴게편의점 도색작업-할증-천정면적추가_내역서-최종0223_설계서-1" xfId="1045"/>
    <cellStyle name="_추곡_추곡_율동자연공원내 휴게편의점 도색작업-할증-천정면적추가_내역서-최종0223_설계서-1_00-설계서,원가계산,내역서" xfId="1046"/>
    <cellStyle name="_추곡_추곡_율동자연공원내 휴게편의점 도색작업-할증-천정면적추가_내역서-최종0223_진해자은수량산출서(단지내)" xfId="1047"/>
    <cellStyle name="_추곡_추곡_율동자연공원내 휴게편의점 도색작업-할증-천정면적추가_내역서-최종0223_진해자은수량산출서(단지내)_00-설계서,원가계산,내역서" xfId="1048"/>
    <cellStyle name="_추곡_추곡_율동자연공원내 휴게편의점 도색작업-할증-천정면적추가_내역서-최종0223_진해자은수량산출서(단지내)_기초산출표-56-128-최종" xfId="1049"/>
    <cellStyle name="_추곡_추곡_율동자연공원내 휴게편의점 도색작업-할증-천정면적추가_내역서-최종0223_진해자은수량산출서(단지내)_기초산출표-56-128-최종_00-설계서,원가계산,내역서" xfId="1050"/>
    <cellStyle name="_추곡_추곡_율동자연공원내 휴게편의점 도색작업-할증-천정면적추가_내역서-최종0223_진해자은수량산출서(단지내)_기초산출표-56-128-최종_설계서-1" xfId="1051"/>
    <cellStyle name="_추곡_추곡_율동자연공원내 휴게편의점 도색작업-할증-천정면적추가_내역서-최종0223_진해자은수량산출서(단지내)_기초산출표-56-128-최종_설계서-1_00-설계서,원가계산,내역서" xfId="1052"/>
    <cellStyle name="_추곡_추곡_율동자연공원내 휴게편의점 도색작업-할증-천정면적추가_내역서-최종0223_진해자은수량산출서(단지내)_설계서-1" xfId="1053"/>
    <cellStyle name="_추곡_추곡_율동자연공원내 휴게편의점 도색작업-할증-천정면적추가_내역서-최종0223_진해자은수량산출서(단지내)_설계서-1_00-설계서,원가계산,내역서" xfId="1054"/>
    <cellStyle name="_추곡_추곡_율동자연공원내 휴게편의점 도색작업-할증-천정면적추가_내역서-최종0223_진해자은수량산출서(단지내)_취합" xfId="1055"/>
    <cellStyle name="_추곡_추곡_율동자연공원내 휴게편의점 도색작업-할증-천정면적추가_내역서-최종0223_진해자은수량산출서(단지내)_취합_00-설계서,원가계산,내역서" xfId="1056"/>
    <cellStyle name="_추곡_추곡_율동자연공원내 휴게편의점 도색작업-할증-천정면적추가_내역서-최종0223_진해자은수량산출서(단지내)_취합_설계서-1" xfId="1057"/>
    <cellStyle name="_추곡_추곡_율동자연공원내 휴게편의점 도색작업-할증-천정면적추가_내역서-최종0223_진해자은수량산출서(단지내)_취합_설계서-1_00-설계서,원가계산,내역서" xfId="1058"/>
    <cellStyle name="_추곡_추곡_율동자연공원내 휴게편의점 도색작업-할증-천정면적추가_설계서-1" xfId="1059"/>
    <cellStyle name="_추곡_추곡_율동자연공원내 휴게편의점 도색작업-할증-천정면적추가_설계서-1_00-설계서,원가계산,내역서" xfId="1060"/>
    <cellStyle name="_추곡_추곡_율동자연공원내 휴게편의점 도색작업-할증-천정면적추가_진해자은수량산출서(단지내)" xfId="1061"/>
    <cellStyle name="_추곡_추곡_율동자연공원내 휴게편의점 도색작업-할증-천정면적추가_진해자은수량산출서(단지내)_00-설계서,원가계산,내역서" xfId="1062"/>
    <cellStyle name="_추곡_추곡_율동자연공원내 휴게편의점 도색작업-할증-천정면적추가_진해자은수량산출서(단지내)_기초산출표-56-128-최종" xfId="1063"/>
    <cellStyle name="_추곡_추곡_율동자연공원내 휴게편의점 도색작업-할증-천정면적추가_진해자은수량산출서(단지내)_기초산출표-56-128-최종_00-설계서,원가계산,내역서" xfId="1064"/>
    <cellStyle name="_추곡_추곡_율동자연공원내 휴게편의점 도색작업-할증-천정면적추가_진해자은수량산출서(단지내)_기초산출표-56-128-최종_설계서-1" xfId="1065"/>
    <cellStyle name="_추곡_추곡_율동자연공원내 휴게편의점 도색작업-할증-천정면적추가_진해자은수량산출서(단지내)_기초산출표-56-128-최종_설계서-1_00-설계서,원가계산,내역서" xfId="1066"/>
    <cellStyle name="_추곡_추곡_율동자연공원내 휴게편의점 도색작업-할증-천정면적추가_진해자은수량산출서(단지내)_설계서-1" xfId="1067"/>
    <cellStyle name="_추곡_추곡_율동자연공원내 휴게편의점 도색작업-할증-천정면적추가_진해자은수량산출서(단지내)_설계서-1_00-설계서,원가계산,내역서" xfId="1068"/>
    <cellStyle name="_추곡_추곡_율동자연공원내 휴게편의점 도색작업-할증-천정면적추가_진해자은수량산출서(단지내)_취합" xfId="1069"/>
    <cellStyle name="_추곡_추곡_율동자연공원내 휴게편의점 도색작업-할증-천정면적추가_진해자은수량산출서(단지내)_취합_00-설계서,원가계산,내역서" xfId="1070"/>
    <cellStyle name="_추곡_추곡_율동자연공원내 휴게편의점 도색작업-할증-천정면적추가_진해자은수량산출서(단지내)_취합_설계서-1" xfId="1071"/>
    <cellStyle name="_추곡_추곡_율동자연공원내 휴게편의점 도색작업-할증-천정면적추가_진해자은수량산출서(단지내)_취합_설계서-1_00-설계서,원가계산,내역서" xfId="1072"/>
    <cellStyle name="_추곡_추곡_이문동구간중랑천변녹화사업(수량산출서, 071127)-최종" xfId="1073"/>
    <cellStyle name="_추곡_추곡_이문동구간중랑천변녹화사업(수량산출서, 071127)-최종_00-설계서,원가계산,내역서" xfId="1074"/>
    <cellStyle name="_추곡_추곡_진해자은수량산출서(단지내)" xfId="1075"/>
    <cellStyle name="_추곡_추곡_진해자은수량산출서(단지내)_00-설계서,원가계산,내역서" xfId="1076"/>
    <cellStyle name="_추곡_추곡_진해자은수량산출서(단지내)_기초산출표-56-128-최종" xfId="1077"/>
    <cellStyle name="_추곡_추곡_진해자은수량산출서(단지내)_기초산출표-56-128-최종_00-설계서,원가계산,내역서" xfId="1078"/>
    <cellStyle name="_추곡_추곡_진해자은수량산출서(단지내)_기초산출표-56-128-최종_설계서-1" xfId="1079"/>
    <cellStyle name="_추곡_추곡_진해자은수량산출서(단지내)_기초산출표-56-128-최종_설계서-1_00-설계서,원가계산,내역서" xfId="1080"/>
    <cellStyle name="_추곡_추곡_진해자은수량산출서(단지내)_설계서-1" xfId="1081"/>
    <cellStyle name="_추곡_추곡_진해자은수량산출서(단지내)_설계서-1_00-설계서,원가계산,내역서" xfId="1082"/>
    <cellStyle name="_추곡_추곡_진해자은수량산출서(단지내)_취합" xfId="1083"/>
    <cellStyle name="_추곡_추곡_진해자은수량산출서(단지내)_취합_00-설계서,원가계산,내역서" xfId="1084"/>
    <cellStyle name="_추곡_추곡_진해자은수량산출서(단지내)_취합_설계서-1" xfId="1085"/>
    <cellStyle name="_추곡_추곡_진해자은수량산출서(단지내)_취합_설계서-1_00-설계서,원가계산,내역서" xfId="1086"/>
    <cellStyle name="_추곡_추곡_포장" xfId="1087"/>
    <cellStyle name="_추곡_추곡_포장_00-설계서,원가계산,내역서" xfId="1088"/>
    <cellStyle name="_추곡_추곡_포장_라멘교 토공" xfId="1089"/>
    <cellStyle name="_추곡_추곡_포장_라멘교 토공_00-설계서,원가계산,내역서" xfId="1090"/>
    <cellStyle name="_추곡_포장" xfId="1091"/>
    <cellStyle name="_추곡_포장_00-설계서,원가계산,내역서" xfId="1092"/>
    <cellStyle name="_추곡_포장_라멘교 토공" xfId="1093"/>
    <cellStyle name="_추곡_포장_라멘교 토공_00-설계서,원가계산,내역서" xfId="1094"/>
    <cellStyle name="_포장" xfId="1095"/>
    <cellStyle name="_포장_00-설계서,원가계산,내역서" xfId="1096"/>
    <cellStyle name="_포장_라멘교 토공" xfId="1097"/>
    <cellStyle name="_포장_라멘교 토공_00-설계서,원가계산,내역서" xfId="1098"/>
    <cellStyle name="_호수SS내역서040920" xfId="1099"/>
    <cellStyle name="_호텔약전전기공사(1공구)-발의" xfId="1100"/>
    <cellStyle name="_홍보관수량참고(특성화설계서)" xfId="1101"/>
    <cellStyle name="args.style" xfId="2662"/>
    <cellStyle name="category" xfId="2682"/>
    <cellStyle name="comma zerodec" xfId="2684"/>
    <cellStyle name="currency-$" xfId="2691"/>
    <cellStyle name="kg" xfId="2720"/>
    <cellStyle name="mma_CASH &amp; DSO" xfId="2727"/>
    <cellStyle name="no dec" xfId="2733"/>
    <cellStyle name="oft Excel]_x000d__x000a_Comment=The open=/f lines load custom functions into the Paste Function list._x000d__x000a_Maximized=3_x000d__x000a_AutoFormat=" xfId="2738"/>
    <cellStyle name="oh" xfId="2739"/>
    <cellStyle name="per.style" xfId="2740"/>
    <cellStyle name="pricing" xfId="2742"/>
    <cellStyle name="s]_x000d__x000a_run=c:\Hedgehog\app31.exe_x000d__x000a_spooler=yes_x000d__x000a_load=_x000d__x000a_run=_x000d__x000a_Beep=yes_x000d__x000a_NullPort=None_x000d__x000a_BorderWidth=3_x000d__x000a_CursorBlinkRate=530_x000d__x000a_D" xfId="2745"/>
    <cellStyle name="sh" xfId="2746"/>
    <cellStyle name="ssh" xfId="2747"/>
    <cellStyle name="subhead" xfId="2750"/>
    <cellStyle name="title [1]" xfId="2753"/>
    <cellStyle name="title [2]" xfId="2754"/>
    <cellStyle name="ÊÝ [0.00]_Region Orders (2)" xfId="1110"/>
    <cellStyle name="ÊÝ_Region Orders (2)" xfId="1111"/>
    <cellStyle name="W_Pacific Region P&amp;L" xfId="1112"/>
    <cellStyle name="¤@?e_TEST-1 " xfId="1104"/>
    <cellStyle name="ÄÞ¸¶ [0]_¸ðÇü¸·" xfId="2664"/>
    <cellStyle name="ÄÞ¸¶ [0]_Á¤»ê¼­°©Áö" xfId="2666"/>
    <cellStyle name="ÄÞ¸¶_¸ðÇü¸·" xfId="2669"/>
    <cellStyle name="ÄÞ¸¶_Á¤»ê¼­°©Áö" xfId="2671"/>
    <cellStyle name="ÅëÈ­ [0]_¸ðÇü¸·" xfId="2650"/>
    <cellStyle name="ÅëÈ­ [0]_Á¤»ê¼­°©Áö" xfId="2652"/>
    <cellStyle name="ÅëÈ­_¸ðÇü¸·" xfId="2655"/>
    <cellStyle name="ÅëÈ­_Á¤»ê¼­°©Áö" xfId="2657"/>
    <cellStyle name="Ç¥ÁØ_°­´ç (2)" xfId="2677"/>
    <cellStyle name="Ç¥ÁØ_»óºÎ¼ö·®Áý°è " xfId="2675"/>
    <cellStyle name="Ç¥ÁØ_¼öÀÍ¼º " xfId="2679"/>
    <cellStyle name="Œ…?æ맖?e [0.00]_laroux" xfId="2736"/>
    <cellStyle name="Œ…?æ맖?e_laroux" xfId="2737"/>
    <cellStyle name="μU¿¡ ¿A´A CIAIÆU¸μAⓒ" xfId="2759"/>
    <cellStyle name="’E‰Y [0.00]_laroux" xfId="1102"/>
    <cellStyle name="’E‰Y_laroux" xfId="1103"/>
    <cellStyle name="△ [0]" xfId="1107"/>
    <cellStyle name="△ []" xfId="1106"/>
    <cellStyle name="△백분율" xfId="1108"/>
    <cellStyle name="△콤마" xfId="1109"/>
    <cellStyle name="標準_Akia(F）-8" xfId="3112"/>
    <cellStyle name="가운데" xfId="2760"/>
    <cellStyle name="고정소숫점" xfId="2761"/>
    <cellStyle name="고정출력1" xfId="2762"/>
    <cellStyle name="고정출력2" xfId="2763"/>
    <cellStyle name="공사원가계산서(조경)" xfId="2764"/>
    <cellStyle name="공종" xfId="2765"/>
    <cellStyle name="괘선" xfId="2766"/>
    <cellStyle name="괘선1" xfId="2767"/>
    <cellStyle name="기계" xfId="2768"/>
    <cellStyle name="기본숫자" xfId="2769"/>
    <cellStyle name="날짜" xfId="2770"/>
    <cellStyle name="내역서" xfId="2771"/>
    <cellStyle name="네모제목" xfId="2772"/>
    <cellStyle name="달러" xfId="2773"/>
    <cellStyle name="뒤에 오는 하이퍼링크" xfId="2774"/>
    <cellStyle name="똿뗦먛귟 [0.00]_laroux" xfId="2775"/>
    <cellStyle name="똿뗦먛귟_laroux" xfId="2776"/>
    <cellStyle name="마이너스키" xfId="2777"/>
    <cellStyle name="믅됞 [0.00]_laroux" xfId="2778"/>
    <cellStyle name="믅됞_laroux" xfId="2779"/>
    <cellStyle name="배분" xfId="2780"/>
    <cellStyle name="백" xfId="2781"/>
    <cellStyle name="백_22bl3lot수량산출" xfId="2782"/>
    <cellStyle name="백_22수량산출서(총괄)" xfId="2783"/>
    <cellStyle name="백분율 [0]" xfId="2786"/>
    <cellStyle name="백분율 [2]" xfId="2787"/>
    <cellStyle name="백분율 [△1]" xfId="2784"/>
    <cellStyle name="백분율 [△2]" xfId="2785"/>
    <cellStyle name="백분율［△1］" xfId="2788"/>
    <cellStyle name="백분율［△2］" xfId="2789"/>
    <cellStyle name="병합 후 가운데 맞춤" xfId="2790"/>
    <cellStyle name="병합 후 가운데 정열" xfId="2791"/>
    <cellStyle name="분수" xfId="2792"/>
    <cellStyle name="뷭?" xfId="2793"/>
    <cellStyle name="빨간색" xfId="2794"/>
    <cellStyle name="선택영역의 가운데로" xfId="2795"/>
    <cellStyle name="설계서" xfId="2796"/>
    <cellStyle name="수량1" xfId="2797"/>
    <cellStyle name="수목명" xfId="2798"/>
    <cellStyle name="숫자(R)" xfId="2799"/>
    <cellStyle name="쉼표 [0] 2" xfId="7"/>
    <cellStyle name="쉼표 [0] 2 2" xfId="2800"/>
    <cellStyle name="쉼표 [0] 2 3" xfId="2801"/>
    <cellStyle name="쉼표 [0] 3" xfId="2802"/>
    <cellStyle name="쉼표 [0] 3 2" xfId="2803"/>
    <cellStyle name="쉼표 [0] 3 3" xfId="2804"/>
    <cellStyle name="쉼표 [0] 4" xfId="2805"/>
    <cellStyle name="쉼표 [0] 5" xfId="4"/>
    <cellStyle name="스타일 1" xfId="2806"/>
    <cellStyle name="스타일 1 2" xfId="2807"/>
    <cellStyle name="스타일 10" xfId="2808"/>
    <cellStyle name="스타일 100" xfId="2809"/>
    <cellStyle name="스타일 101" xfId="2810"/>
    <cellStyle name="스타일 102" xfId="2811"/>
    <cellStyle name="스타일 103" xfId="2812"/>
    <cellStyle name="스타일 104" xfId="2813"/>
    <cellStyle name="스타일 105" xfId="2814"/>
    <cellStyle name="스타일 106" xfId="2815"/>
    <cellStyle name="스타일 107" xfId="2816"/>
    <cellStyle name="스타일 108" xfId="2817"/>
    <cellStyle name="스타일 109" xfId="2818"/>
    <cellStyle name="스타일 11" xfId="2819"/>
    <cellStyle name="스타일 110" xfId="2820"/>
    <cellStyle name="스타일 111" xfId="2821"/>
    <cellStyle name="스타일 112" xfId="2822"/>
    <cellStyle name="스타일 113" xfId="2823"/>
    <cellStyle name="스타일 114" xfId="2824"/>
    <cellStyle name="스타일 115" xfId="2825"/>
    <cellStyle name="스타일 116" xfId="2826"/>
    <cellStyle name="스타일 117" xfId="2827"/>
    <cellStyle name="스타일 118" xfId="2828"/>
    <cellStyle name="스타일 119" xfId="2829"/>
    <cellStyle name="스타일 12" xfId="2830"/>
    <cellStyle name="스타일 120" xfId="2831"/>
    <cellStyle name="스타일 121" xfId="2832"/>
    <cellStyle name="스타일 122" xfId="2833"/>
    <cellStyle name="스타일 123" xfId="2834"/>
    <cellStyle name="스타일 124" xfId="2835"/>
    <cellStyle name="스타일 125" xfId="2836"/>
    <cellStyle name="스타일 126" xfId="2837"/>
    <cellStyle name="스타일 127" xfId="2838"/>
    <cellStyle name="스타일 128" xfId="2839"/>
    <cellStyle name="스타일 129" xfId="2840"/>
    <cellStyle name="스타일 13" xfId="2841"/>
    <cellStyle name="스타일 130" xfId="2842"/>
    <cellStyle name="스타일 131" xfId="2843"/>
    <cellStyle name="스타일 132" xfId="2844"/>
    <cellStyle name="스타일 133" xfId="2845"/>
    <cellStyle name="스타일 134" xfId="2846"/>
    <cellStyle name="스타일 135" xfId="2847"/>
    <cellStyle name="스타일 136" xfId="2848"/>
    <cellStyle name="스타일 137" xfId="2849"/>
    <cellStyle name="스타일 138" xfId="2850"/>
    <cellStyle name="스타일 139" xfId="2851"/>
    <cellStyle name="스타일 14" xfId="2852"/>
    <cellStyle name="스타일 140" xfId="2853"/>
    <cellStyle name="스타일 141" xfId="2854"/>
    <cellStyle name="스타일 142" xfId="2855"/>
    <cellStyle name="스타일 143" xfId="2856"/>
    <cellStyle name="스타일 144" xfId="2857"/>
    <cellStyle name="스타일 145" xfId="2858"/>
    <cellStyle name="스타일 146" xfId="2859"/>
    <cellStyle name="스타일 147" xfId="2860"/>
    <cellStyle name="스타일 148" xfId="2861"/>
    <cellStyle name="스타일 149" xfId="2862"/>
    <cellStyle name="스타일 15" xfId="2863"/>
    <cellStyle name="스타일 150" xfId="2864"/>
    <cellStyle name="스타일 151" xfId="2865"/>
    <cellStyle name="스타일 152" xfId="2866"/>
    <cellStyle name="스타일 153" xfId="2867"/>
    <cellStyle name="스타일 154" xfId="2868"/>
    <cellStyle name="스타일 155" xfId="2869"/>
    <cellStyle name="스타일 156" xfId="2870"/>
    <cellStyle name="스타일 157" xfId="2871"/>
    <cellStyle name="스타일 158" xfId="2872"/>
    <cellStyle name="스타일 159" xfId="2873"/>
    <cellStyle name="스타일 16" xfId="2874"/>
    <cellStyle name="스타일 160" xfId="2875"/>
    <cellStyle name="스타일 161" xfId="2876"/>
    <cellStyle name="스타일 162" xfId="2877"/>
    <cellStyle name="스타일 163" xfId="2878"/>
    <cellStyle name="스타일 164" xfId="2879"/>
    <cellStyle name="스타일 165" xfId="2880"/>
    <cellStyle name="스타일 166" xfId="2881"/>
    <cellStyle name="스타일 167" xfId="2882"/>
    <cellStyle name="스타일 168" xfId="2883"/>
    <cellStyle name="스타일 169" xfId="2884"/>
    <cellStyle name="스타일 17" xfId="2885"/>
    <cellStyle name="스타일 170" xfId="2886"/>
    <cellStyle name="스타일 171" xfId="2887"/>
    <cellStyle name="스타일 172" xfId="2888"/>
    <cellStyle name="스타일 173" xfId="2889"/>
    <cellStyle name="스타일 174" xfId="2890"/>
    <cellStyle name="스타일 175" xfId="2891"/>
    <cellStyle name="스타일 176" xfId="2892"/>
    <cellStyle name="스타일 177" xfId="2893"/>
    <cellStyle name="스타일 178" xfId="2894"/>
    <cellStyle name="스타일 179" xfId="2895"/>
    <cellStyle name="스타일 18" xfId="2896"/>
    <cellStyle name="스타일 180" xfId="2897"/>
    <cellStyle name="스타일 181" xfId="2898"/>
    <cellStyle name="스타일 182" xfId="2899"/>
    <cellStyle name="스타일 183" xfId="2900"/>
    <cellStyle name="스타일 184" xfId="2901"/>
    <cellStyle name="스타일 185" xfId="2902"/>
    <cellStyle name="스타일 186" xfId="2903"/>
    <cellStyle name="스타일 187" xfId="2904"/>
    <cellStyle name="스타일 188" xfId="2905"/>
    <cellStyle name="스타일 189" xfId="2906"/>
    <cellStyle name="스타일 19" xfId="2907"/>
    <cellStyle name="스타일 190" xfId="2908"/>
    <cellStyle name="스타일 191" xfId="2909"/>
    <cellStyle name="스타일 192" xfId="2910"/>
    <cellStyle name="스타일 193" xfId="2911"/>
    <cellStyle name="스타일 194" xfId="2912"/>
    <cellStyle name="스타일 195" xfId="2913"/>
    <cellStyle name="스타일 196" xfId="2914"/>
    <cellStyle name="스타일 197" xfId="2915"/>
    <cellStyle name="스타일 198" xfId="2916"/>
    <cellStyle name="스타일 199" xfId="2917"/>
    <cellStyle name="스타일 2" xfId="2918"/>
    <cellStyle name="스타일 20" xfId="2919"/>
    <cellStyle name="스타일 200" xfId="2920"/>
    <cellStyle name="스타일 201" xfId="2921"/>
    <cellStyle name="스타일 202" xfId="2922"/>
    <cellStyle name="스타일 203" xfId="2923"/>
    <cellStyle name="스타일 204" xfId="2924"/>
    <cellStyle name="스타일 205" xfId="2925"/>
    <cellStyle name="스타일 206" xfId="2926"/>
    <cellStyle name="스타일 207" xfId="2927"/>
    <cellStyle name="스타일 208" xfId="2928"/>
    <cellStyle name="스타일 209" xfId="2929"/>
    <cellStyle name="스타일 21" xfId="2930"/>
    <cellStyle name="스타일 210" xfId="2931"/>
    <cellStyle name="스타일 211" xfId="2932"/>
    <cellStyle name="스타일 212" xfId="2933"/>
    <cellStyle name="스타일 213" xfId="2934"/>
    <cellStyle name="스타일 214" xfId="2935"/>
    <cellStyle name="스타일 215" xfId="2936"/>
    <cellStyle name="스타일 216" xfId="2937"/>
    <cellStyle name="스타일 217" xfId="2938"/>
    <cellStyle name="스타일 218" xfId="2939"/>
    <cellStyle name="스타일 219" xfId="2940"/>
    <cellStyle name="스타일 22" xfId="2941"/>
    <cellStyle name="스타일 220" xfId="2942"/>
    <cellStyle name="스타일 221" xfId="2943"/>
    <cellStyle name="스타일 222" xfId="2944"/>
    <cellStyle name="스타일 223" xfId="2945"/>
    <cellStyle name="스타일 224" xfId="2946"/>
    <cellStyle name="스타일 225" xfId="2947"/>
    <cellStyle name="스타일 226" xfId="2948"/>
    <cellStyle name="스타일 227" xfId="2949"/>
    <cellStyle name="스타일 228" xfId="2950"/>
    <cellStyle name="스타일 229" xfId="2951"/>
    <cellStyle name="스타일 23" xfId="2952"/>
    <cellStyle name="스타일 230" xfId="2953"/>
    <cellStyle name="스타일 231" xfId="2954"/>
    <cellStyle name="스타일 232" xfId="2955"/>
    <cellStyle name="스타일 233" xfId="2956"/>
    <cellStyle name="스타일 234" xfId="2957"/>
    <cellStyle name="스타일 235" xfId="2958"/>
    <cellStyle name="스타일 236" xfId="2959"/>
    <cellStyle name="스타일 237" xfId="2960"/>
    <cellStyle name="스타일 238" xfId="2961"/>
    <cellStyle name="스타일 239" xfId="2962"/>
    <cellStyle name="스타일 24" xfId="2963"/>
    <cellStyle name="스타일 240" xfId="2964"/>
    <cellStyle name="스타일 241" xfId="2965"/>
    <cellStyle name="스타일 242" xfId="2966"/>
    <cellStyle name="스타일 243" xfId="2967"/>
    <cellStyle name="스타일 244" xfId="2968"/>
    <cellStyle name="스타일 245" xfId="2969"/>
    <cellStyle name="스타일 246" xfId="2970"/>
    <cellStyle name="스타일 247" xfId="2971"/>
    <cellStyle name="스타일 248" xfId="2972"/>
    <cellStyle name="스타일 249" xfId="2973"/>
    <cellStyle name="스타일 25" xfId="2974"/>
    <cellStyle name="스타일 250" xfId="2975"/>
    <cellStyle name="스타일 251" xfId="2976"/>
    <cellStyle name="스타일 252" xfId="2977"/>
    <cellStyle name="스타일 253" xfId="2978"/>
    <cellStyle name="스타일 254" xfId="2979"/>
    <cellStyle name="스타일 255" xfId="2980"/>
    <cellStyle name="스타일 26" xfId="2981"/>
    <cellStyle name="스타일 27" xfId="2982"/>
    <cellStyle name="스타일 28" xfId="2983"/>
    <cellStyle name="스타일 29" xfId="2984"/>
    <cellStyle name="스타일 3" xfId="2985"/>
    <cellStyle name="스타일 30" xfId="2986"/>
    <cellStyle name="스타일 31" xfId="2987"/>
    <cellStyle name="스타일 32" xfId="2988"/>
    <cellStyle name="스타일 33" xfId="2989"/>
    <cellStyle name="스타일 34" xfId="2990"/>
    <cellStyle name="스타일 35" xfId="2991"/>
    <cellStyle name="스타일 36" xfId="2992"/>
    <cellStyle name="스타일 37" xfId="2993"/>
    <cellStyle name="스타일 38" xfId="2994"/>
    <cellStyle name="스타일 39" xfId="2995"/>
    <cellStyle name="스타일 4" xfId="2996"/>
    <cellStyle name="스타일 40" xfId="2997"/>
    <cellStyle name="스타일 41" xfId="2998"/>
    <cellStyle name="스타일 42" xfId="2999"/>
    <cellStyle name="스타일 43" xfId="3000"/>
    <cellStyle name="스타일 44" xfId="3001"/>
    <cellStyle name="스타일 45" xfId="3002"/>
    <cellStyle name="스타일 46" xfId="3003"/>
    <cellStyle name="스타일 47" xfId="3004"/>
    <cellStyle name="스타일 48" xfId="3005"/>
    <cellStyle name="스타일 49" xfId="3006"/>
    <cellStyle name="스타일 5" xfId="3007"/>
    <cellStyle name="스타일 50" xfId="3008"/>
    <cellStyle name="스타일 51" xfId="3009"/>
    <cellStyle name="스타일 52" xfId="3010"/>
    <cellStyle name="스타일 53" xfId="3011"/>
    <cellStyle name="스타일 54" xfId="3012"/>
    <cellStyle name="스타일 55" xfId="3013"/>
    <cellStyle name="스타일 56" xfId="3014"/>
    <cellStyle name="스타일 57" xfId="3015"/>
    <cellStyle name="스타일 58" xfId="3016"/>
    <cellStyle name="스타일 59" xfId="3017"/>
    <cellStyle name="스타일 6" xfId="3018"/>
    <cellStyle name="스타일 60" xfId="3019"/>
    <cellStyle name="스타일 61" xfId="3020"/>
    <cellStyle name="스타일 62" xfId="3021"/>
    <cellStyle name="스타일 63" xfId="3022"/>
    <cellStyle name="스타일 64" xfId="3023"/>
    <cellStyle name="스타일 65" xfId="3024"/>
    <cellStyle name="스타일 66" xfId="3025"/>
    <cellStyle name="스타일 67" xfId="3026"/>
    <cellStyle name="스타일 68" xfId="3027"/>
    <cellStyle name="스타일 69" xfId="3028"/>
    <cellStyle name="스타일 7" xfId="3029"/>
    <cellStyle name="스타일 70" xfId="3030"/>
    <cellStyle name="스타일 71" xfId="3031"/>
    <cellStyle name="스타일 72" xfId="3032"/>
    <cellStyle name="스타일 73" xfId="3033"/>
    <cellStyle name="스타일 74" xfId="3034"/>
    <cellStyle name="스타일 75" xfId="3035"/>
    <cellStyle name="스타일 76" xfId="3036"/>
    <cellStyle name="스타일 77" xfId="3037"/>
    <cellStyle name="스타일 78" xfId="3038"/>
    <cellStyle name="스타일 79" xfId="3039"/>
    <cellStyle name="스타일 8" xfId="3040"/>
    <cellStyle name="스타일 80" xfId="3041"/>
    <cellStyle name="스타일 81" xfId="3042"/>
    <cellStyle name="스타일 82" xfId="3043"/>
    <cellStyle name="스타일 83" xfId="3044"/>
    <cellStyle name="스타일 84" xfId="3045"/>
    <cellStyle name="스타일 85" xfId="3046"/>
    <cellStyle name="스타일 86" xfId="3047"/>
    <cellStyle name="스타일 87" xfId="3048"/>
    <cellStyle name="스타일 88" xfId="3049"/>
    <cellStyle name="스타일 89" xfId="3050"/>
    <cellStyle name="스타일 9" xfId="3051"/>
    <cellStyle name="스타일 90" xfId="3052"/>
    <cellStyle name="스타일 91" xfId="3053"/>
    <cellStyle name="스타일 92" xfId="3054"/>
    <cellStyle name="스타일 93" xfId="3055"/>
    <cellStyle name="스타일 94" xfId="3056"/>
    <cellStyle name="스타일 95" xfId="3057"/>
    <cellStyle name="스타일 96" xfId="3058"/>
    <cellStyle name="스타일 97" xfId="3059"/>
    <cellStyle name="스타일 98" xfId="3060"/>
    <cellStyle name="스타일 99" xfId="3061"/>
    <cellStyle name="안건회계법인" xfId="3062"/>
    <cellStyle name="왼쪽2" xfId="3063"/>
    <cellStyle name="원" xfId="3064"/>
    <cellStyle name="유1" xfId="3065"/>
    <cellStyle name="유영" xfId="3066"/>
    <cellStyle name="자리수" xfId="3067"/>
    <cellStyle name="자리수 - 유형1" xfId="3068"/>
    <cellStyle name="자리수0" xfId="3070"/>
    <cellStyle name="자리수_~MGaE" xfId="3069"/>
    <cellStyle name="정기수 - 유형1" xfId="3071"/>
    <cellStyle name="제목 1(中)" xfId="3073"/>
    <cellStyle name="제목 1(左)" xfId="3072"/>
    <cellStyle name="제목1" xfId="3077"/>
    <cellStyle name="제목2" xfId="3078"/>
    <cellStyle name="제목[1 줄]" xfId="3074"/>
    <cellStyle name="제목[2줄 아래]" xfId="3075"/>
    <cellStyle name="제목[2줄 위]" xfId="3076"/>
    <cellStyle name="좋음 2" xfId="3079"/>
    <cellStyle name="지정되지 않음" xfId="3080"/>
    <cellStyle name="콤" xfId="3081"/>
    <cellStyle name="콤마 1" xfId="3091"/>
    <cellStyle name="콤마 [" xfId="3082"/>
    <cellStyle name="콤마 [#]" xfId="3083"/>
    <cellStyle name="콤마 [0]" xfId="3085"/>
    <cellStyle name="콤마 [1]" xfId="3086"/>
    <cellStyle name="콤마 [2]" xfId="3087"/>
    <cellStyle name="콤마 []" xfId="3084"/>
    <cellStyle name="콤마 [금액]" xfId="3088"/>
    <cellStyle name="콤마 [소수]" xfId="3089"/>
    <cellStyle name="콤마 [수량]" xfId="3090"/>
    <cellStyle name="콤마[ ]" xfId="3092"/>
    <cellStyle name="콤마[*]" xfId="3093"/>
    <cellStyle name="콤마[,]" xfId="3094"/>
    <cellStyle name="콤마[.]" xfId="3095"/>
    <cellStyle name="콤마[0]" xfId="3096"/>
    <cellStyle name="콤마_  종  합  " xfId="3097"/>
    <cellStyle name="통" xfId="3098"/>
    <cellStyle name="통화 [" xfId="3099"/>
    <cellStyle name="통화 [0㉝〸" xfId="3100"/>
    <cellStyle name="퍼센트" xfId="3101"/>
    <cellStyle name="표" xfId="3102"/>
    <cellStyle name="표(가는선,가운데,중앙)" xfId="3103"/>
    <cellStyle name="표(가는선,왼쪽,중앙)" xfId="3104"/>
    <cellStyle name="표(세로쓰기)" xfId="3105"/>
    <cellStyle name="표머릿글(上)" xfId="3106"/>
    <cellStyle name="표머릿글(下)" xfId="3108"/>
    <cellStyle name="표머릿글(中)" xfId="3107"/>
    <cellStyle name="표준 2" xfId="6"/>
    <cellStyle name="표준 2 2" xfId="3109"/>
    <cellStyle name="표준 3" xfId="3110"/>
    <cellStyle name="표준 4" xfId="9"/>
    <cellStyle name="표준 5" xfId="3111"/>
    <cellStyle name="표준 6" xfId="5"/>
    <cellStyle name="표준1" xfId="3113"/>
    <cellStyle name="표준2" xfId="3114"/>
    <cellStyle name="표준℘Sheet8 (3)" xfId="3115"/>
    <cellStyle name="합산" xfId="3116"/>
    <cellStyle name="화폐기호" xfId="3117"/>
    <cellStyle name="화폐기호0" xfId="311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136525</xdr:colOff>
      <xdr:row>43</xdr:row>
      <xdr:rowOff>76200</xdr:rowOff>
    </xdr:from>
    <xdr:to>
      <xdr:col>31</xdr:col>
      <xdr:colOff>211455</xdr:colOff>
      <xdr:row>45</xdr:row>
      <xdr:rowOff>137795</xdr:rowOff>
    </xdr:to>
    <xdr:pic>
      <xdr:nvPicPr>
        <xdr:cNvPr id="1049" name="Picture 1" descr="xl/media/image1.png">
          <a:extLst>
            <a:ext uri="{FF2B5EF4-FFF2-40B4-BE49-F238E27FC236}">
              <a16:creationId xmlns:a16="http://schemas.microsoft.com/office/drawing/2014/main" id="{9A6823AF-FF02-07BB-0B77-D4BC317F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98405" y="9135745"/>
          <a:ext cx="817880" cy="76644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grpSp>
      <xdr:nvGrpSpPr>
        <xdr:cNvPr id="2" name="Group 36"/>
        <xdr:cNvGrpSpPr/>
      </xdr:nvGrpSpPr>
      <xdr:grpSpPr>
        <a:xfrm>
          <a:off x="0" y="7265035"/>
          <a:ext cx="0" cy="0"/>
          <a:chOff x="0" y="7265035"/>
          <a:chExt cx="0" cy="0"/>
        </a:xfrm>
      </xdr:grpSpPr>
      <xdr:sp>
        <xdr:nvSpPr>
          <xdr:cNvPr id="3" name="Text Box 37"/>
          <xdr:cNvSpPr txBox="1">
            <a:spLocks/>
          </xdr:cNvSpPr>
        </xdr:nvSpPr>
        <xdr:spPr>
          <a:xfrm>
            <a:off x="0" y="7265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4" name="Text Box 38"/>
          <xdr:cNvSpPr txBox="1">
            <a:spLocks/>
          </xdr:cNvSpPr>
        </xdr:nvSpPr>
        <xdr:spPr>
          <a:xfrm>
            <a:off x="0" y="7265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  <a:endParaRPr lang="ko-KR" altLang="en-US" sz="10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5" name="Text Box 39"/>
          <xdr:cNvSpPr txBox="1">
            <a:spLocks/>
          </xdr:cNvSpPr>
        </xdr:nvSpPr>
        <xdr:spPr>
          <a:xfrm>
            <a:off x="0" y="7265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  <a:endParaRPr lang="ko-KR" altLang="en-US" sz="11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6" name="Text Box 40"/>
          <xdr:cNvSpPr txBox="1">
            <a:spLocks/>
          </xdr:cNvSpPr>
        </xdr:nvSpPr>
        <xdr:spPr>
          <a:xfrm>
            <a:off x="0" y="7265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 editAs="oneCell">
    <xdr:from>
      <xdr:col>11</xdr:col>
      <xdr:colOff>349250</xdr:colOff>
      <xdr:row>27</xdr:row>
      <xdr:rowOff>200025</xdr:rowOff>
    </xdr:from>
    <xdr:to>
      <xdr:col>12</xdr:col>
      <xdr:colOff>431165</xdr:colOff>
      <xdr:row>30</xdr:row>
      <xdr:rowOff>224155</xdr:rowOff>
    </xdr:to>
    <xdr:pic>
      <xdr:nvPicPr>
        <xdr:cNvPr id="7" name="그림 7" descr="xl/media/image2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53855" y="7757159"/>
          <a:ext cx="824865" cy="900431"/>
        </a:xfrm>
        <a:prstGeom prst="rect"/>
        <a:noFill/>
        <a:ln cap="flat" cmpd="sng">
          <a:noFill/>
          <a:prstDash/>
        </a:ln>
      </xdr:spPr>
    </xdr:pic>
    <xdr:clientData/>
  </xdr:twoCellAnchor>
  <xdr:twoCellAnchor>
    <xdr:from>
      <xdr:col>6</xdr:col>
      <xdr:colOff>241300</xdr:colOff>
      <xdr:row>27</xdr:row>
      <xdr:rowOff>0</xdr:rowOff>
    </xdr:from>
    <xdr:to>
      <xdr:col>7</xdr:col>
      <xdr:colOff>508000</xdr:colOff>
      <xdr:row>30</xdr:row>
      <xdr:rowOff>101600</xdr:rowOff>
    </xdr:to>
    <xdr:pic>
      <xdr:nvPicPr>
        <xdr:cNvPr id="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88355" y="7557134"/>
          <a:ext cx="1190625" cy="977901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22</xdr:row>
      <xdr:rowOff>38100</xdr:rowOff>
    </xdr:from>
    <xdr:to>
      <xdr:col>14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63005" y="7830185"/>
          <a:ext cx="13462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F1:BI117"/>
  <sheetViews>
    <sheetView topLeftCell="D27" view="pageBreakPreview" zoomScaleNormal="100" zoomScaleSheetLayoutView="100" workbookViewId="0">
      <selection activeCell="G37" sqref="G37:Q37"/>
    </sheetView>
  </sheetViews>
  <sheetFormatPr defaultColWidth="11.50000000" defaultRowHeight="12.000000"/>
  <cols>
    <col min="1" max="6" style="75" width="11.43357168" customWidth="1" outlineLevel="0"/>
    <col min="7" max="8" style="75" width="3.71928583" customWidth="1" outlineLevel="0"/>
    <col min="9" max="9" style="76" width="3.71928583" customWidth="1" outlineLevel="0"/>
    <col min="10" max="15" style="77" width="3.71928583" customWidth="1" outlineLevel="0"/>
    <col min="16" max="34" style="75" width="3.71928583" customWidth="1" outlineLevel="0"/>
    <col min="35" max="35" style="75" width="3.00499998" customWidth="1" outlineLevel="0"/>
    <col min="36" max="262" style="75" width="8.86214243" customWidth="1" outlineLevel="0"/>
    <col min="263" max="16384" style="75" width="11.43357168" customWidth="1" outlineLevel="0"/>
  </cols>
  <sheetData>
    <row r="1" spans="7:35" s="78" customFormat="1" ht="42.000000" customHeight="1">
      <c r="G1" s="199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84"/>
    </row>
    <row r="2" spans="7:35" s="78" customFormat="1" ht="12.000000" customHeight="1"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93"/>
      <c r="AF2" s="93"/>
      <c r="AG2" s="93"/>
      <c r="AH2" s="93"/>
      <c r="AI2" s="84"/>
    </row>
    <row r="3" spans="7:35" s="78" customFormat="1" ht="18.000000" customHeight="1">
      <c r="G3" s="200" t="s">
        <v>92</v>
      </c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84"/>
    </row>
    <row r="4" spans="7:35" s="78" customFormat="1" ht="7.500000" customHeight="1"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5"/>
      <c r="AF4" s="95"/>
      <c r="AG4" s="95"/>
      <c r="AH4" s="95"/>
      <c r="AI4" s="84"/>
    </row>
    <row r="5" spans="7:35" s="78" customFormat="1" ht="15.000000" customHeight="1"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93"/>
      <c r="AF5" s="93"/>
      <c r="AG5" s="93"/>
      <c r="AH5" s="93"/>
      <c r="AI5" s="84"/>
    </row>
    <row r="6" spans="7:35" s="78" customFormat="1" ht="23.250000" customHeight="1">
      <c r="G6" s="198" t="s">
        <v>1</v>
      </c>
      <c r="H6" s="198"/>
      <c r="I6" s="198"/>
      <c r="J6" s="198"/>
      <c r="K6" s="96" t="s">
        <v>9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4"/>
    </row>
    <row r="7" spans="7:35" s="78" customFormat="1" ht="23.250000" customHeight="1">
      <c r="G7" s="198" t="s">
        <v>2</v>
      </c>
      <c r="H7" s="198"/>
      <c r="I7" s="198"/>
      <c r="J7" s="198"/>
      <c r="K7" s="201" t="s">
        <v>8</v>
      </c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4"/>
    </row>
    <row r="8" spans="7:35" s="78" customFormat="1" ht="23.250000" customHeight="1">
      <c r="G8" s="198" t="s">
        <v>3</v>
      </c>
      <c r="H8" s="198"/>
      <c r="I8" s="198"/>
      <c r="J8" s="198"/>
      <c r="K8" s="96" t="s">
        <v>64</v>
      </c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84"/>
    </row>
    <row r="9" spans="7:35" s="78" customFormat="1" ht="23.250000" customHeight="1">
      <c r="G9" s="198" t="s">
        <v>4</v>
      </c>
      <c r="H9" s="198"/>
      <c r="I9" s="198"/>
      <c r="J9" s="198"/>
      <c r="K9" s="96" t="s">
        <v>5</v>
      </c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84"/>
    </row>
    <row r="10" spans="7:35" s="78" customFormat="1" ht="23.250000" customHeight="1">
      <c r="G10" s="198" t="s">
        <v>6</v>
      </c>
      <c r="H10" s="198"/>
      <c r="I10" s="198"/>
      <c r="J10" s="198"/>
      <c r="K10" s="96" t="s">
        <v>166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84"/>
    </row>
    <row r="11" spans="7:35" s="78" customFormat="1" ht="7.500000" customHeight="1"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5"/>
      <c r="AG11" s="95"/>
      <c r="AH11" s="95"/>
      <c r="AI11" s="84"/>
    </row>
    <row r="12" spans="7:35" s="78" customFormat="1" ht="13.500000" customHeight="1"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93"/>
      <c r="AF12" s="93"/>
      <c r="AG12" s="93"/>
      <c r="AH12" s="93"/>
      <c r="AI12" s="84"/>
    </row>
    <row r="13" spans="7:35" s="78" customFormat="1" ht="19.500000" customHeight="1">
      <c r="G13" s="96" t="s">
        <v>177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84"/>
    </row>
    <row r="14" spans="7:35" s="78" customFormat="1" ht="16.000000" customHeight="1"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4"/>
    </row>
    <row r="15" spans="7:35" s="78" customFormat="1" ht="16.000000" customHeight="1">
      <c r="G15" s="96" t="s">
        <v>178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84"/>
    </row>
    <row r="16" spans="7:35" s="78" customFormat="1" ht="16.000000" customHeight="1">
      <c r="G16" s="96" t="s">
        <v>153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84"/>
    </row>
    <row r="17" spans="6:61" s="78" customFormat="1" ht="16.000000" customHeight="1">
      <c r="G17" s="96" t="s">
        <v>152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84"/>
    </row>
    <row r="18" spans="6:61" s="78" customFormat="1" ht="16.000000" customHeight="1">
      <c r="G18" s="197" t="s">
        <v>142</v>
      </c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89"/>
      <c r="AJ18" s="89"/>
      <c r="AK18" s="89"/>
      <c r="AL18" s="89"/>
      <c r="AM18" s="89"/>
      <c r="AN18" s="84"/>
    </row>
    <row r="19" spans="6:61" s="78" customFormat="1" ht="16.000000" customHeight="1"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4"/>
    </row>
    <row r="20" spans="6:61" ht="16.000000" customHeight="1">
      <c r="F20" s="78"/>
      <c r="G20" s="96" t="s">
        <v>179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84"/>
      <c r="AJ20" s="78"/>
      <c r="AK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</row>
    <row r="21" spans="6:61" ht="16.000000" customHeight="1">
      <c r="F21" s="78"/>
      <c r="G21" s="96" t="s">
        <v>143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84"/>
      <c r="AJ21" s="78"/>
      <c r="AK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spans="6:61" s="79" customFormat="1" ht="16.000000" customHeight="1">
      <c r="G22" s="191" t="s">
        <v>144</v>
      </c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85"/>
    </row>
    <row r="23" spans="6:61" s="78" customFormat="1" ht="16.000000" customHeight="1"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4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</row>
    <row r="24" spans="6:61" s="78" customFormat="1" ht="19.500000" customHeight="1">
      <c r="F24" s="81"/>
      <c r="G24" s="96" t="s">
        <v>180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</row>
    <row r="25" spans="6:61" s="80" customFormat="1" ht="16.500000" customHeight="1">
      <c r="F25" s="82"/>
      <c r="G25" s="81"/>
      <c r="H25" s="81"/>
      <c r="I25" s="81"/>
      <c r="J25" s="81"/>
      <c r="K25" s="187" t="s">
        <v>158</v>
      </c>
      <c r="L25" s="187"/>
      <c r="M25" s="187"/>
      <c r="N25" s="187"/>
      <c r="O25" s="187"/>
      <c r="P25" s="187"/>
      <c r="Q25" s="187" t="str">
        <f>K10</f>
        <v>마곡엠밸리4단지아파트</v>
      </c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81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</row>
    <row r="26" spans="6:61" s="80" customFormat="1" ht="16.500000" customHeight="1">
      <c r="F26" s="82"/>
      <c r="G26" s="81"/>
      <c r="H26" s="81"/>
      <c r="I26" s="81"/>
      <c r="J26" s="81"/>
      <c r="K26" s="187" t="s">
        <v>159</v>
      </c>
      <c r="L26" s="187"/>
      <c r="M26" s="187"/>
      <c r="N26" s="187"/>
      <c r="O26" s="187"/>
      <c r="P26" s="187"/>
      <c r="Q26" s="187" t="s">
        <v>154</v>
      </c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81"/>
    </row>
    <row r="27" spans="6:61" s="80" customFormat="1" ht="16.500000" customHeight="1">
      <c r="F27" s="82"/>
      <c r="G27" s="81"/>
      <c r="H27" s="81"/>
      <c r="I27" s="81"/>
      <c r="J27" s="81"/>
      <c r="K27" s="187" t="s">
        <v>160</v>
      </c>
      <c r="L27" s="187"/>
      <c r="M27" s="187"/>
      <c r="N27" s="187"/>
      <c r="O27" s="187"/>
      <c r="P27" s="187"/>
      <c r="Q27" s="187" t="s">
        <v>155</v>
      </c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81"/>
    </row>
    <row r="28" spans="6:61" s="80" customFormat="1" ht="16.500000" customHeight="1">
      <c r="F28" s="82"/>
      <c r="G28" s="81"/>
      <c r="H28" s="81"/>
      <c r="I28" s="81"/>
      <c r="J28" s="81"/>
      <c r="K28" s="187" t="s">
        <v>161</v>
      </c>
      <c r="L28" s="187"/>
      <c r="M28" s="187"/>
      <c r="N28" s="187"/>
      <c r="O28" s="187"/>
      <c r="P28" s="187"/>
      <c r="Q28" s="187" t="s">
        <v>156</v>
      </c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81"/>
    </row>
    <row r="29" spans="6:61" s="80" customFormat="1" ht="16.500000" customHeight="1">
      <c r="F29" s="82"/>
      <c r="G29" s="81"/>
      <c r="H29" s="81"/>
      <c r="I29" s="81"/>
      <c r="J29" s="81"/>
      <c r="K29" s="187" t="s">
        <v>162</v>
      </c>
      <c r="L29" s="187"/>
      <c r="M29" s="187"/>
      <c r="N29" s="187"/>
      <c r="O29" s="187"/>
      <c r="P29" s="187"/>
      <c r="Q29" s="187" t="s">
        <v>157</v>
      </c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96"/>
      <c r="AC29" s="96"/>
      <c r="AD29" s="96"/>
      <c r="AE29" s="96"/>
      <c r="AF29" s="96"/>
      <c r="AG29" s="96"/>
      <c r="AH29" s="97"/>
    </row>
    <row r="30" spans="6:61" s="78" customFormat="1" ht="5.000000" customHeight="1"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</row>
    <row r="31" spans="6:61" s="78" customFormat="1" ht="19.500000" customHeight="1">
      <c r="F31" s="81"/>
      <c r="G31" s="96" t="s">
        <v>181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81"/>
      <c r="S31" s="96"/>
      <c r="T31" s="96"/>
      <c r="U31" s="96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81"/>
    </row>
    <row r="32" spans="6:61" s="80" customFormat="1" ht="16.500000" customHeight="1">
      <c r="F32" s="82"/>
      <c r="G32" s="81"/>
      <c r="H32" s="81"/>
      <c r="I32" s="81"/>
      <c r="J32" s="98"/>
      <c r="K32" s="191" t="s">
        <v>150</v>
      </c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</row>
    <row r="33" spans="6:37" s="80" customFormat="1" ht="16.500000" customHeight="1">
      <c r="F33" s="82"/>
      <c r="G33" s="81"/>
      <c r="H33" s="81"/>
      <c r="I33" s="81"/>
      <c r="J33" s="98"/>
      <c r="K33" s="191" t="s">
        <v>151</v>
      </c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</row>
    <row r="34" spans="6:37" s="78" customFormat="1" ht="5.000000" customHeight="1"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</row>
    <row r="35" spans="6:37" s="105" customFormat="1" ht="19.000000" customHeight="1">
      <c r="F35" s="104"/>
      <c r="G35" s="189" t="s">
        <v>176</v>
      </c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tr">
        <f>대가산출!I3</f>
        <v>일금오십만원정 (₩500,000) - VAT별도</v>
      </c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90"/>
      <c r="AH35" s="190"/>
    </row>
    <row r="36" spans="6:37" s="78" customFormat="1" ht="5.000000" customHeight="1"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</row>
    <row r="37" spans="6:37" s="78" customFormat="1" ht="19.500000" customHeight="1">
      <c r="F37" s="81" t="s">
        <v>11</v>
      </c>
      <c r="G37" s="96" t="s">
        <v>182</v>
      </c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81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81"/>
    </row>
    <row r="38" spans="6:37" s="78" customFormat="1" ht="16.500000" customHeight="1">
      <c r="F38" s="81"/>
      <c r="G38" s="81"/>
      <c r="H38" s="81"/>
      <c r="I38" s="81"/>
      <c r="J38" s="81"/>
      <c r="K38" s="192" t="s">
        <v>131</v>
      </c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00"/>
      <c r="AI38" s="90"/>
      <c r="AJ38" s="90"/>
      <c r="AK38" s="90"/>
    </row>
    <row r="39" spans="6:37" s="78" customFormat="1" ht="16.500000" customHeight="1">
      <c r="F39" s="81"/>
      <c r="G39" s="81"/>
      <c r="H39" s="81"/>
      <c r="I39" s="81"/>
      <c r="J39" s="81"/>
      <c r="K39" s="193" t="s">
        <v>82</v>
      </c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81"/>
    </row>
    <row r="40" spans="6:37" s="78" customFormat="1" ht="14.400000">
      <c r="F40" s="83"/>
      <c r="G40" s="81"/>
      <c r="H40" s="81"/>
      <c r="I40" s="81"/>
      <c r="J40" s="81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81"/>
    </row>
    <row r="41" spans="6:37" s="78" customFormat="1" ht="14.400000">
      <c r="F41" s="83"/>
      <c r="G41" s="81"/>
      <c r="H41" s="81"/>
      <c r="I41" s="81"/>
      <c r="J41" s="81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81"/>
    </row>
    <row r="42" spans="6:37" s="78" customFormat="1" ht="15.750000" customHeight="1">
      <c r="G42" s="10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4"/>
    </row>
    <row r="43" spans="6:37" s="78" customFormat="1" ht="19.500000" customHeight="1">
      <c r="G43" s="96" t="s">
        <v>88</v>
      </c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84"/>
    </row>
    <row r="44" spans="6:37" s="78" customFormat="1" ht="15.750000" customHeight="1">
      <c r="G44" s="10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4"/>
    </row>
    <row r="45" spans="6:37" s="78" customFormat="1" ht="39.750000" customHeight="1">
      <c r="G45" s="188" t="s">
        <v>7</v>
      </c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91"/>
    </row>
    <row r="46" spans="6:37">
      <c r="G46" s="102"/>
      <c r="H46" s="102"/>
      <c r="I46" s="103"/>
      <c r="J46" s="103"/>
      <c r="K46" s="103"/>
      <c r="L46" s="103"/>
      <c r="M46" s="103"/>
      <c r="N46" s="103"/>
      <c r="O46" s="103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</row>
    <row r="47" spans="6:37" ht="12.750000">
      <c r="G47" s="86"/>
      <c r="H47" s="86"/>
      <c r="I47" s="87"/>
      <c r="J47" s="87"/>
      <c r="K47" s="87"/>
      <c r="L47" s="87"/>
      <c r="M47" s="87"/>
      <c r="N47" s="87"/>
      <c r="O47" s="87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</row>
    <row r="48" spans="6:37" ht="12.750000">
      <c r="G48" s="86"/>
      <c r="H48" s="86"/>
      <c r="I48" s="87"/>
      <c r="J48" s="87"/>
      <c r="K48" s="87"/>
      <c r="L48" s="87"/>
      <c r="M48" s="87"/>
      <c r="N48" s="87"/>
      <c r="O48" s="87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</row>
    <row r="49" spans="9:15">
      <c r="I49" s="88"/>
      <c r="J49" s="88"/>
      <c r="K49" s="88"/>
      <c r="L49" s="88"/>
      <c r="M49" s="88"/>
      <c r="N49" s="88"/>
      <c r="O49" s="88"/>
    </row>
    <row r="50" spans="9:15">
      <c r="I50" s="88"/>
      <c r="J50" s="88"/>
      <c r="K50" s="88"/>
      <c r="L50" s="88"/>
      <c r="M50" s="88"/>
      <c r="N50" s="88"/>
      <c r="O50" s="88"/>
    </row>
    <row r="51" spans="9:15">
      <c r="I51" s="88"/>
      <c r="J51" s="88"/>
      <c r="K51" s="88"/>
      <c r="L51" s="88"/>
      <c r="M51" s="88"/>
      <c r="N51" s="88"/>
      <c r="O51" s="88"/>
    </row>
    <row r="52" spans="9:15">
      <c r="I52" s="88"/>
      <c r="J52" s="88"/>
      <c r="K52" s="88"/>
      <c r="L52" s="88"/>
      <c r="M52" s="88"/>
      <c r="N52" s="88"/>
      <c r="O52" s="88"/>
    </row>
    <row r="53" spans="9:15">
      <c r="I53" s="88"/>
      <c r="J53" s="88"/>
      <c r="K53" s="88"/>
      <c r="L53" s="88"/>
      <c r="M53" s="88"/>
      <c r="N53" s="88"/>
      <c r="O53" s="88"/>
    </row>
    <row r="54" spans="9:15">
      <c r="I54" s="88"/>
      <c r="J54" s="88"/>
      <c r="K54" s="88"/>
      <c r="L54" s="88"/>
      <c r="M54" s="88"/>
      <c r="N54" s="88"/>
      <c r="O54" s="88"/>
    </row>
    <row r="55" spans="9:15">
      <c r="I55" s="88"/>
      <c r="J55" s="88"/>
      <c r="K55" s="88"/>
      <c r="L55" s="88"/>
      <c r="M55" s="88"/>
      <c r="N55" s="88"/>
      <c r="O55" s="88"/>
    </row>
    <row r="56" spans="9:15">
      <c r="I56" s="88"/>
      <c r="J56" s="88"/>
      <c r="K56" s="88"/>
      <c r="L56" s="88"/>
      <c r="M56" s="88"/>
      <c r="N56" s="88"/>
      <c r="O56" s="88"/>
    </row>
    <row r="57" spans="9:15">
      <c r="I57" s="88"/>
      <c r="J57" s="88"/>
      <c r="K57" s="88"/>
      <c r="L57" s="88"/>
      <c r="M57" s="88"/>
      <c r="N57" s="88"/>
      <c r="O57" s="88"/>
    </row>
    <row r="58" spans="9:15">
      <c r="I58" s="88"/>
      <c r="J58" s="88"/>
      <c r="K58" s="88"/>
      <c r="L58" s="88"/>
      <c r="M58" s="88"/>
      <c r="N58" s="88"/>
      <c r="O58" s="88"/>
    </row>
    <row r="59" spans="9:15">
      <c r="I59" s="88"/>
      <c r="J59" s="88"/>
      <c r="K59" s="88"/>
      <c r="L59" s="88"/>
      <c r="M59" s="88"/>
      <c r="N59" s="88"/>
      <c r="O59" s="88"/>
    </row>
    <row r="60" spans="9:15">
      <c r="I60" s="88"/>
      <c r="J60" s="88"/>
      <c r="K60" s="88"/>
      <c r="L60" s="88"/>
      <c r="M60" s="88"/>
      <c r="N60" s="88"/>
      <c r="O60" s="88"/>
    </row>
    <row r="61" spans="9:15">
      <c r="I61" s="88"/>
      <c r="J61" s="88"/>
      <c r="K61" s="88"/>
      <c r="L61" s="88"/>
      <c r="M61" s="88"/>
      <c r="N61" s="88"/>
      <c r="O61" s="88"/>
    </row>
    <row r="62" spans="9:15">
      <c r="I62" s="88"/>
      <c r="J62" s="88"/>
      <c r="K62" s="88"/>
      <c r="L62" s="88"/>
      <c r="M62" s="88"/>
      <c r="N62" s="88"/>
      <c r="O62" s="88"/>
    </row>
    <row r="63" spans="9:15">
      <c r="I63" s="88"/>
      <c r="J63" s="88"/>
      <c r="K63" s="88"/>
      <c r="L63" s="88"/>
      <c r="M63" s="88"/>
      <c r="N63" s="88"/>
      <c r="O63" s="88"/>
    </row>
    <row r="64" spans="9:15">
      <c r="I64" s="88"/>
      <c r="J64" s="88"/>
      <c r="K64" s="88"/>
      <c r="L64" s="88"/>
      <c r="M64" s="88"/>
      <c r="N64" s="88"/>
      <c r="O64" s="88"/>
    </row>
    <row r="65" spans="9:15">
      <c r="I65" s="88"/>
      <c r="J65" s="88"/>
      <c r="K65" s="88"/>
      <c r="L65" s="88"/>
      <c r="M65" s="88"/>
      <c r="N65" s="88"/>
      <c r="O65" s="88"/>
    </row>
    <row r="66" spans="9:15">
      <c r="I66" s="88"/>
      <c r="J66" s="88"/>
      <c r="K66" s="88"/>
      <c r="L66" s="88"/>
      <c r="M66" s="88"/>
      <c r="N66" s="88"/>
      <c r="O66" s="88"/>
    </row>
    <row r="67" spans="9:15">
      <c r="I67" s="88"/>
      <c r="J67" s="88"/>
      <c r="K67" s="88"/>
      <c r="L67" s="88"/>
      <c r="M67" s="88"/>
      <c r="N67" s="88"/>
      <c r="O67" s="88"/>
    </row>
    <row r="68" spans="9:15">
      <c r="I68" s="88"/>
      <c r="J68" s="88"/>
      <c r="K68" s="88"/>
      <c r="L68" s="88"/>
      <c r="M68" s="88"/>
      <c r="N68" s="88"/>
      <c r="O68" s="88"/>
    </row>
    <row r="69" spans="9:15">
      <c r="I69" s="88"/>
      <c r="J69" s="88"/>
      <c r="K69" s="88"/>
      <c r="L69" s="88"/>
      <c r="M69" s="88"/>
      <c r="N69" s="88"/>
      <c r="O69" s="88"/>
    </row>
    <row r="70" spans="9:15">
      <c r="I70" s="88"/>
      <c r="J70" s="88"/>
      <c r="K70" s="88"/>
      <c r="L70" s="88"/>
      <c r="M70" s="88"/>
      <c r="N70" s="88"/>
      <c r="O70" s="88"/>
    </row>
    <row r="71" spans="9:15">
      <c r="I71" s="88"/>
      <c r="J71" s="88"/>
      <c r="K71" s="88"/>
      <c r="L71" s="88"/>
      <c r="M71" s="88"/>
      <c r="N71" s="88"/>
      <c r="O71" s="88"/>
    </row>
    <row r="72" spans="9:15">
      <c r="I72" s="88"/>
      <c r="J72" s="88"/>
      <c r="K72" s="88"/>
      <c r="L72" s="88"/>
      <c r="M72" s="88"/>
      <c r="N72" s="88"/>
      <c r="O72" s="88"/>
    </row>
    <row r="73" spans="9:15">
      <c r="I73" s="88"/>
      <c r="J73" s="88"/>
      <c r="K73" s="88"/>
      <c r="L73" s="88"/>
      <c r="M73" s="88"/>
      <c r="N73" s="88"/>
      <c r="O73" s="88"/>
    </row>
    <row r="74" spans="9:15">
      <c r="I74" s="88"/>
      <c r="J74" s="88"/>
      <c r="K74" s="88"/>
      <c r="L74" s="88"/>
      <c r="M74" s="88"/>
      <c r="N74" s="88"/>
      <c r="O74" s="88"/>
    </row>
    <row r="75" spans="9:15">
      <c r="I75" s="88"/>
      <c r="J75" s="88"/>
      <c r="K75" s="88"/>
      <c r="L75" s="88"/>
      <c r="M75" s="88"/>
      <c r="N75" s="88"/>
      <c r="O75" s="88"/>
    </row>
    <row r="76" spans="9:15">
      <c r="I76" s="88"/>
      <c r="J76" s="88"/>
      <c r="K76" s="88"/>
      <c r="L76" s="88"/>
      <c r="M76" s="88"/>
      <c r="N76" s="88"/>
      <c r="O76" s="88"/>
    </row>
    <row r="77" spans="9:15">
      <c r="I77" s="88"/>
      <c r="J77" s="88"/>
      <c r="K77" s="88"/>
      <c r="L77" s="88"/>
      <c r="M77" s="88"/>
      <c r="N77" s="88"/>
      <c r="O77" s="88"/>
    </row>
    <row r="78" spans="9:15">
      <c r="I78" s="88"/>
      <c r="J78" s="88"/>
      <c r="K78" s="88"/>
      <c r="L78" s="88"/>
      <c r="M78" s="88"/>
      <c r="N78" s="88"/>
      <c r="O78" s="88"/>
    </row>
    <row r="79" spans="9:15">
      <c r="I79" s="88"/>
      <c r="J79" s="88"/>
      <c r="K79" s="88"/>
      <c r="L79" s="88"/>
      <c r="M79" s="88"/>
      <c r="N79" s="88"/>
      <c r="O79" s="88"/>
    </row>
    <row r="80" spans="9:15">
      <c r="I80" s="88"/>
      <c r="J80" s="88"/>
      <c r="K80" s="88"/>
      <c r="L80" s="88"/>
      <c r="M80" s="88"/>
      <c r="N80" s="88"/>
      <c r="O80" s="88"/>
    </row>
    <row r="81" spans="9:15">
      <c r="I81" s="88"/>
      <c r="J81" s="88"/>
      <c r="K81" s="88"/>
      <c r="L81" s="88"/>
      <c r="M81" s="88"/>
      <c r="N81" s="88"/>
      <c r="O81" s="88"/>
    </row>
    <row r="82" spans="9:15">
      <c r="I82" s="88"/>
      <c r="J82" s="88"/>
      <c r="K82" s="88"/>
      <c r="L82" s="88"/>
      <c r="M82" s="88"/>
      <c r="N82" s="88"/>
      <c r="O82" s="88"/>
    </row>
    <row r="83" spans="9:15">
      <c r="I83" s="88"/>
      <c r="J83" s="88"/>
      <c r="K83" s="88"/>
      <c r="L83" s="88"/>
      <c r="M83" s="88"/>
      <c r="N83" s="88"/>
      <c r="O83" s="88"/>
    </row>
    <row r="84" spans="9:15">
      <c r="I84" s="88"/>
      <c r="J84" s="88"/>
      <c r="K84" s="88"/>
      <c r="L84" s="88"/>
      <c r="M84" s="88"/>
      <c r="N84" s="88"/>
      <c r="O84" s="88"/>
    </row>
    <row r="85" spans="9:15">
      <c r="I85" s="88"/>
      <c r="J85" s="88"/>
      <c r="K85" s="88"/>
      <c r="L85" s="88"/>
      <c r="M85" s="88"/>
      <c r="N85" s="88"/>
      <c r="O85" s="88"/>
    </row>
    <row r="86" spans="9:15">
      <c r="I86" s="88"/>
      <c r="J86" s="88"/>
      <c r="K86" s="88"/>
      <c r="L86" s="88"/>
      <c r="M86" s="88"/>
      <c r="N86" s="88"/>
      <c r="O86" s="88"/>
    </row>
    <row r="87" spans="9:15">
      <c r="I87" s="88"/>
      <c r="J87" s="88"/>
      <c r="K87" s="88"/>
      <c r="L87" s="88"/>
      <c r="M87" s="88"/>
      <c r="N87" s="88"/>
      <c r="O87" s="88"/>
    </row>
    <row r="88" spans="9:15">
      <c r="I88" s="88"/>
      <c r="J88" s="88"/>
      <c r="K88" s="88"/>
      <c r="L88" s="88"/>
      <c r="M88" s="88"/>
      <c r="N88" s="88"/>
      <c r="O88" s="88"/>
    </row>
    <row r="89" spans="9:15">
      <c r="I89" s="88"/>
      <c r="J89" s="88"/>
      <c r="K89" s="88"/>
      <c r="L89" s="88"/>
      <c r="M89" s="88"/>
      <c r="N89" s="88"/>
      <c r="O89" s="88"/>
    </row>
    <row r="90" spans="9:15">
      <c r="I90" s="88"/>
      <c r="J90" s="88"/>
      <c r="K90" s="88"/>
      <c r="L90" s="88"/>
      <c r="M90" s="88"/>
      <c r="N90" s="88"/>
      <c r="O90" s="88"/>
    </row>
    <row r="91" spans="9:15">
      <c r="I91" s="88"/>
      <c r="J91" s="88"/>
      <c r="K91" s="88"/>
      <c r="L91" s="88"/>
      <c r="M91" s="88"/>
      <c r="N91" s="88"/>
      <c r="O91" s="88"/>
    </row>
    <row r="92" spans="9:15">
      <c r="I92" s="88"/>
      <c r="J92" s="88"/>
      <c r="K92" s="88"/>
      <c r="L92" s="88"/>
      <c r="M92" s="88"/>
      <c r="N92" s="88"/>
      <c r="O92" s="88"/>
    </row>
    <row r="93" spans="9:15">
      <c r="I93" s="88"/>
      <c r="J93" s="88"/>
      <c r="K93" s="88"/>
      <c r="L93" s="88"/>
      <c r="M93" s="88"/>
      <c r="N93" s="88"/>
      <c r="O93" s="88"/>
    </row>
    <row r="94" spans="9:15">
      <c r="I94" s="88"/>
      <c r="J94" s="88"/>
      <c r="K94" s="88"/>
      <c r="L94" s="88"/>
      <c r="M94" s="88"/>
      <c r="N94" s="88"/>
      <c r="O94" s="88"/>
    </row>
    <row r="95" spans="9:15">
      <c r="I95" s="88"/>
      <c r="J95" s="88"/>
      <c r="K95" s="88"/>
      <c r="L95" s="88"/>
      <c r="M95" s="88"/>
      <c r="N95" s="88"/>
      <c r="O95" s="88"/>
    </row>
    <row r="96" spans="9:15">
      <c r="I96" s="88"/>
      <c r="J96" s="88"/>
      <c r="K96" s="88"/>
      <c r="L96" s="88"/>
      <c r="M96" s="88"/>
      <c r="N96" s="88"/>
      <c r="O96" s="88"/>
    </row>
    <row r="97" spans="9:15">
      <c r="I97" s="88"/>
      <c r="J97" s="88"/>
      <c r="K97" s="88"/>
      <c r="L97" s="88"/>
      <c r="M97" s="88"/>
      <c r="N97" s="88"/>
      <c r="O97" s="88"/>
    </row>
    <row r="98" spans="9:15">
      <c r="I98" s="88"/>
      <c r="J98" s="88"/>
      <c r="K98" s="88"/>
      <c r="L98" s="88"/>
      <c r="M98" s="88"/>
      <c r="N98" s="88"/>
      <c r="O98" s="88"/>
    </row>
    <row r="99" spans="9:15">
      <c r="I99" s="88"/>
      <c r="J99" s="88"/>
      <c r="K99" s="88"/>
      <c r="L99" s="88"/>
      <c r="M99" s="88"/>
      <c r="N99" s="88"/>
      <c r="O99" s="88"/>
    </row>
    <row r="100" spans="9:15">
      <c r="I100" s="88"/>
      <c r="J100" s="88"/>
      <c r="K100" s="88"/>
      <c r="L100" s="88"/>
      <c r="M100" s="88"/>
      <c r="N100" s="88"/>
      <c r="O100" s="88"/>
    </row>
    <row r="101" spans="9:15">
      <c r="I101" s="88"/>
      <c r="J101" s="88"/>
      <c r="K101" s="88"/>
      <c r="L101" s="88"/>
      <c r="M101" s="88"/>
      <c r="N101" s="88"/>
      <c r="O101" s="88"/>
    </row>
    <row r="102" spans="9:15">
      <c r="I102" s="88"/>
      <c r="J102" s="88"/>
      <c r="K102" s="88"/>
      <c r="L102" s="88"/>
      <c r="M102" s="88"/>
      <c r="N102" s="88"/>
      <c r="O102" s="88"/>
    </row>
    <row r="103" spans="9:15">
      <c r="I103" s="88"/>
      <c r="J103" s="88"/>
      <c r="K103" s="88"/>
      <c r="L103" s="88"/>
      <c r="M103" s="88"/>
      <c r="N103" s="88"/>
      <c r="O103" s="88"/>
    </row>
    <row r="104" spans="9:15">
      <c r="I104" s="88"/>
      <c r="J104" s="88"/>
      <c r="K104" s="88"/>
      <c r="L104" s="88"/>
      <c r="M104" s="88"/>
      <c r="N104" s="88"/>
      <c r="O104" s="88"/>
    </row>
    <row r="105" spans="9:15">
      <c r="I105" s="88"/>
      <c r="J105" s="88"/>
      <c r="K105" s="88"/>
      <c r="L105" s="88"/>
      <c r="M105" s="88"/>
      <c r="N105" s="88"/>
      <c r="O105" s="88"/>
    </row>
    <row r="106" spans="9:15">
      <c r="I106" s="88"/>
      <c r="J106" s="88"/>
      <c r="K106" s="88"/>
      <c r="L106" s="88"/>
      <c r="M106" s="88"/>
      <c r="N106" s="88"/>
      <c r="O106" s="88"/>
    </row>
    <row r="107" spans="9:15">
      <c r="I107" s="88"/>
      <c r="J107" s="88"/>
      <c r="K107" s="88"/>
      <c r="L107" s="88"/>
      <c r="M107" s="88"/>
      <c r="N107" s="88"/>
      <c r="O107" s="88"/>
    </row>
    <row r="108" spans="9:15">
      <c r="I108" s="88"/>
      <c r="J108" s="88"/>
      <c r="K108" s="88"/>
      <c r="L108" s="88"/>
      <c r="M108" s="88"/>
      <c r="N108" s="88"/>
      <c r="O108" s="88"/>
    </row>
    <row r="109" spans="9:15">
      <c r="I109" s="88"/>
      <c r="J109" s="88"/>
      <c r="K109" s="88"/>
      <c r="L109" s="88"/>
      <c r="M109" s="88"/>
      <c r="N109" s="88"/>
      <c r="O109" s="88"/>
    </row>
    <row r="110" spans="9:15">
      <c r="I110" s="88"/>
      <c r="J110" s="88"/>
      <c r="K110" s="88"/>
      <c r="L110" s="88"/>
      <c r="M110" s="88"/>
      <c r="N110" s="88"/>
      <c r="O110" s="88"/>
    </row>
    <row r="111" spans="9:15">
      <c r="I111" s="88"/>
      <c r="J111" s="88"/>
      <c r="K111" s="88"/>
      <c r="L111" s="88"/>
      <c r="M111" s="88"/>
      <c r="N111" s="88"/>
      <c r="O111" s="88"/>
    </row>
    <row r="112" spans="9:15">
      <c r="I112" s="88"/>
      <c r="J112" s="88"/>
      <c r="K112" s="88"/>
      <c r="L112" s="88"/>
      <c r="M112" s="88"/>
      <c r="N112" s="88"/>
      <c r="O112" s="88"/>
    </row>
    <row r="113" spans="9:15">
      <c r="I113" s="88"/>
      <c r="J113" s="88"/>
      <c r="K113" s="88"/>
      <c r="L113" s="88"/>
      <c r="M113" s="88"/>
      <c r="N113" s="88"/>
      <c r="O113" s="88"/>
    </row>
    <row r="114" spans="9:15">
      <c r="I114" s="88"/>
      <c r="J114" s="88"/>
      <c r="K114" s="88"/>
      <c r="L114" s="88"/>
      <c r="M114" s="88"/>
      <c r="N114" s="88"/>
      <c r="O114" s="88"/>
    </row>
    <row r="115" spans="9:15">
      <c r="I115" s="88"/>
      <c r="J115" s="88"/>
      <c r="K115" s="88"/>
      <c r="L115" s="88"/>
      <c r="M115" s="88"/>
      <c r="N115" s="88"/>
      <c r="O115" s="88"/>
    </row>
    <row r="116" spans="9:15">
      <c r="I116" s="88"/>
      <c r="J116" s="88"/>
      <c r="K116" s="88"/>
      <c r="L116" s="88"/>
      <c r="M116" s="88"/>
      <c r="N116" s="88"/>
      <c r="O116" s="88"/>
    </row>
    <row r="117" spans="9:15">
      <c r="I117" s="88"/>
      <c r="J117" s="88"/>
      <c r="K117" s="88"/>
      <c r="L117" s="88"/>
      <c r="M117" s="88"/>
      <c r="N117" s="88"/>
      <c r="O117" s="88"/>
    </row>
  </sheetData>
  <mergeCells count="45">
    <mergeCell ref="G1:AH1"/>
    <mergeCell ref="G3:AH3"/>
    <mergeCell ref="G6:J6"/>
    <mergeCell ref="K6:V6"/>
    <mergeCell ref="G7:J7"/>
    <mergeCell ref="K7:V7"/>
    <mergeCell ref="G8:J8"/>
    <mergeCell ref="K8:AH8"/>
    <mergeCell ref="G9:J9"/>
    <mergeCell ref="K9:AH9"/>
    <mergeCell ref="G10:J10"/>
    <mergeCell ref="K10:AH10"/>
    <mergeCell ref="G13:AH13"/>
    <mergeCell ref="G15:AH15"/>
    <mergeCell ref="G16:AH16"/>
    <mergeCell ref="G17:AH17"/>
    <mergeCell ref="G18:AH18"/>
    <mergeCell ref="G20:AH20"/>
    <mergeCell ref="G21:AH21"/>
    <mergeCell ref="G22:AH22"/>
    <mergeCell ref="AN23:BI23"/>
    <mergeCell ref="G24:AH24"/>
    <mergeCell ref="AM24:BH24"/>
    <mergeCell ref="K25:P25"/>
    <mergeCell ref="Q25:AG25"/>
    <mergeCell ref="AM25:BH25"/>
    <mergeCell ref="K26:P26"/>
    <mergeCell ref="Q26:AG26"/>
    <mergeCell ref="K27:P27"/>
    <mergeCell ref="Q27:AG27"/>
    <mergeCell ref="K28:P28"/>
    <mergeCell ref="Q28:AG28"/>
    <mergeCell ref="K29:P29"/>
    <mergeCell ref="Q29:AA29"/>
    <mergeCell ref="G31:Q31"/>
    <mergeCell ref="K32:AH32"/>
    <mergeCell ref="K33:AH33"/>
    <mergeCell ref="G35:Q35"/>
    <mergeCell ref="R35:AF35"/>
    <mergeCell ref="AG35:AH35"/>
    <mergeCell ref="G37:Q37"/>
    <mergeCell ref="K38:AG38"/>
    <mergeCell ref="K39:AG39"/>
    <mergeCell ref="G43:AH43"/>
    <mergeCell ref="G45:AH45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rowBreaks count="1" manualBreakCount="1">
    <brk id="46" min="6" max="3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1:N36"/>
  <sheetViews>
    <sheetView topLeftCell="F1" view="pageBreakPreview" zoomScaleNormal="100" zoomScaleSheetLayoutView="100" workbookViewId="0">
      <selection activeCell="N9" sqref="N9:N12"/>
    </sheetView>
  </sheetViews>
  <sheetFormatPr defaultColWidth="14.83203125" defaultRowHeight="12.000000"/>
  <cols>
    <col min="1" max="5" style="1" width="14.86214243" customWidth="1" outlineLevel="0"/>
    <col min="6" max="6" style="1" width="11.29071413" customWidth="1" outlineLevel="0"/>
    <col min="7" max="7" style="1" width="13.86214243" customWidth="1" outlineLevel="0"/>
    <col min="8" max="8" style="1" width="8.29071413" customWidth="1" outlineLevel="0"/>
    <col min="9" max="9" style="1" width="12.43357168" customWidth="1" outlineLevel="0"/>
    <col min="10" max="11" style="29" width="7.14785705" customWidth="1" outlineLevel="0"/>
    <col min="12" max="13" style="1" width="11.14785753" customWidth="1" outlineLevel="0"/>
    <col min="14" max="14" style="1" width="15.86214243" customWidth="1" outlineLevel="0"/>
    <col min="15" max="261" style="1" width="11.29071413" customWidth="1" outlineLevel="0"/>
    <col min="262" max="16384" style="1" width="14.86214243" customWidth="1" outlineLevel="0"/>
  </cols>
  <sheetData>
    <row r="1" spans="7:14" s="47" customFormat="1" ht="39.000000" customHeight="1">
      <c r="G1" s="235" t="s">
        <v>81</v>
      </c>
      <c r="H1" s="235"/>
      <c r="I1" s="235"/>
      <c r="J1" s="235"/>
      <c r="K1" s="235"/>
      <c r="L1" s="235"/>
      <c r="M1" s="235"/>
      <c r="N1" s="235"/>
    </row>
    <row r="2" spans="7:14" s="47" customFormat="1" ht="18.000000" customHeight="1">
      <c r="G2" s="23"/>
      <c r="H2" s="23"/>
      <c r="I2" s="23"/>
      <c r="J2" s="23"/>
      <c r="K2" s="23"/>
      <c r="L2" s="23"/>
      <c r="M2" s="236"/>
      <c r="N2" s="236"/>
    </row>
    <row r="3" spans="7:14" s="48" customFormat="1" ht="34.500000" customHeight="1">
      <c r="G3" s="237" t="s">
        <v>46</v>
      </c>
      <c r="H3" s="238"/>
      <c r="I3" s="239" t="str">
        <f>"일금"&amp;NUMBERSTRING(M24,1)&amp;"원정 (₩"&amp;TEXT(M24,"#,##0")&amp;") - VAT별도"</f>
        <v>일금오십만원정 (₩500,000) - VAT별도</v>
      </c>
      <c r="J3" s="240"/>
      <c r="K3" s="240"/>
      <c r="L3" s="240"/>
      <c r="M3" s="240"/>
      <c r="N3" s="241"/>
    </row>
    <row r="4" spans="7:14" s="48" customFormat="1" ht="38.250000" hidden="1" customHeight="1">
      <c r="G4" s="242" t="s">
        <v>45</v>
      </c>
      <c r="H4" s="243"/>
      <c r="I4" s="244" t="str">
        <f>"일금 "&amp;NUMBERSTRING(M24,1)&amp;"원정"&amp;TEXT(M24,"(￦ #,##0)")&amp;" "</f>
        <v xml:space="preserve">일금 오십만원정(₩ 500,000) </v>
      </c>
      <c r="J4" s="245"/>
      <c r="K4" s="245"/>
      <c r="L4" s="245"/>
      <c r="M4" s="245"/>
      <c r="N4" s="246"/>
    </row>
    <row r="5" spans="7:14" s="48" customFormat="1" ht="38.250000" hidden="1" customHeight="1">
      <c r="G5" s="247" t="s">
        <v>44</v>
      </c>
      <c r="H5" s="248"/>
      <c r="I5" s="249">
        <f>"일금 "&amp;NUMBERSTRING(M25,1)&amp;"원정"&amp;TEXT(M25,"(￦ #,##0)")&amp;" "</f>
        <v/>
      </c>
      <c r="J5" s="250"/>
      <c r="K5" s="250"/>
      <c r="L5" s="250"/>
      <c r="M5" s="250"/>
      <c r="N5" s="251"/>
    </row>
    <row r="6" spans="7:14" s="48" customFormat="1" ht="31.500000" customHeight="1">
      <c r="G6" s="252" t="s">
        <v>43</v>
      </c>
      <c r="H6" s="253"/>
      <c r="I6" s="253"/>
      <c r="J6" s="253"/>
      <c r="K6" s="253"/>
      <c r="L6" s="253"/>
      <c r="M6" s="253"/>
      <c r="N6" s="254"/>
    </row>
    <row r="7" spans="7:14" s="49" customFormat="1" ht="30.000000" customHeight="1">
      <c r="G7" s="255" t="s">
        <v>42</v>
      </c>
      <c r="H7" s="256"/>
      <c r="I7" s="57" t="s">
        <v>41</v>
      </c>
      <c r="J7" s="57" t="s">
        <v>39</v>
      </c>
      <c r="K7" s="57" t="s">
        <v>38</v>
      </c>
      <c r="L7" s="57" t="s">
        <v>40</v>
      </c>
      <c r="M7" s="57" t="s">
        <v>37</v>
      </c>
      <c r="N7" s="22" t="s">
        <v>36</v>
      </c>
    </row>
    <row r="8" spans="7:14" s="49" customFormat="1" ht="28.000000" customHeight="1">
      <c r="G8" s="257" t="s">
        <v>126</v>
      </c>
      <c r="H8" s="258"/>
      <c r="I8" s="58"/>
      <c r="J8" s="58"/>
      <c r="K8" s="58"/>
      <c r="L8" s="58"/>
      <c r="M8" s="21">
        <f>INT(SUM(M9,M10,M11,M12,M13,M14,M15,M16))</f>
        <v>310884</v>
      </c>
      <c r="N8" s="110"/>
    </row>
    <row r="9" spans="7:14" s="49" customFormat="1" ht="18.000000" customHeight="1">
      <c r="G9" s="51"/>
      <c r="H9" s="54" t="s">
        <v>163</v>
      </c>
      <c r="I9" s="59" t="s">
        <v>35</v>
      </c>
      <c r="J9" s="59" t="s">
        <v>31</v>
      </c>
      <c r="K9" s="59">
        <v>0</v>
      </c>
      <c r="L9" s="20">
        <v>373353</v>
      </c>
      <c r="M9" s="17">
        <f>L9*K9</f>
        <v>0</v>
      </c>
      <c r="N9" s="232" t="s">
        <v>171</v>
      </c>
    </row>
    <row r="10" spans="7:14" s="49" customFormat="1" ht="18.000000" customHeight="1">
      <c r="G10" s="52"/>
      <c r="H10" s="55"/>
      <c r="I10" s="60" t="s">
        <v>34</v>
      </c>
      <c r="J10" s="60" t="s">
        <v>31</v>
      </c>
      <c r="K10" s="67">
        <v>0</v>
      </c>
      <c r="L10" s="18">
        <v>310884</v>
      </c>
      <c r="M10" s="17">
        <f>L10*K10</f>
        <v>0</v>
      </c>
      <c r="N10" s="233"/>
    </row>
    <row r="11" spans="7:14" s="49" customFormat="1" ht="18.000000" customHeight="1">
      <c r="G11" s="52"/>
      <c r="H11" s="55"/>
      <c r="I11" s="60" t="s">
        <v>33</v>
      </c>
      <c r="J11" s="60" t="s">
        <v>31</v>
      </c>
      <c r="K11" s="67">
        <v>0</v>
      </c>
      <c r="L11" s="18">
        <v>295138</v>
      </c>
      <c r="M11" s="17">
        <f>L11*K11</f>
        <v>0</v>
      </c>
      <c r="N11" s="233"/>
    </row>
    <row r="12" spans="7:14" s="49" customFormat="1" ht="18.000000" customHeight="1">
      <c r="G12" s="52"/>
      <c r="H12" s="55"/>
      <c r="I12" s="60" t="s">
        <v>32</v>
      </c>
      <c r="J12" s="60" t="s">
        <v>31</v>
      </c>
      <c r="K12" s="67">
        <v>0</v>
      </c>
      <c r="L12" s="18">
        <v>235459</v>
      </c>
      <c r="M12" s="17">
        <f>L12*K12</f>
        <v>0</v>
      </c>
      <c r="N12" s="234"/>
    </row>
    <row r="13" spans="7:14" s="49" customFormat="1" ht="18.000000" customHeight="1">
      <c r="G13" s="53"/>
      <c r="H13" s="56" t="s">
        <v>164</v>
      </c>
      <c r="I13" s="60" t="s">
        <v>35</v>
      </c>
      <c r="J13" s="60" t="s">
        <v>31</v>
      </c>
      <c r="K13" s="67">
        <v>0</v>
      </c>
      <c r="L13" s="19">
        <v>373353</v>
      </c>
      <c r="M13" s="17">
        <f>L13*K13</f>
        <v>0</v>
      </c>
      <c r="N13" s="13"/>
    </row>
    <row r="14" spans="7:14" s="49" customFormat="1" ht="18.000000" customHeight="1">
      <c r="G14" s="52"/>
      <c r="H14" s="55"/>
      <c r="I14" s="60" t="s">
        <v>34</v>
      </c>
      <c r="J14" s="60" t="s">
        <v>31</v>
      </c>
      <c r="K14" s="67">
        <v>1</v>
      </c>
      <c r="L14" s="18">
        <v>310884</v>
      </c>
      <c r="M14" s="17">
        <f>L14*K14</f>
        <v>310884</v>
      </c>
      <c r="N14" s="13"/>
    </row>
    <row r="15" spans="7:14" s="49" customFormat="1" ht="18.000000" customHeight="1">
      <c r="G15" s="52"/>
      <c r="H15" s="55"/>
      <c r="I15" s="60" t="s">
        <v>33</v>
      </c>
      <c r="J15" s="60" t="s">
        <v>31</v>
      </c>
      <c r="K15" s="67">
        <v>0</v>
      </c>
      <c r="L15" s="18">
        <v>295138</v>
      </c>
      <c r="M15" s="17">
        <f>L15*K15</f>
        <v>0</v>
      </c>
      <c r="N15" s="13"/>
    </row>
    <row r="16" spans="7:14" s="49" customFormat="1" ht="18.000000" customHeight="1">
      <c r="G16" s="52"/>
      <c r="H16" s="55"/>
      <c r="I16" s="60" t="s">
        <v>32</v>
      </c>
      <c r="J16" s="60" t="s">
        <v>31</v>
      </c>
      <c r="K16" s="67">
        <v>0</v>
      </c>
      <c r="L16" s="18">
        <v>235459</v>
      </c>
      <c r="M16" s="17">
        <f>L16*K16</f>
        <v>0</v>
      </c>
      <c r="N16" s="13"/>
    </row>
    <row r="17" spans="7:14" s="49" customFormat="1" ht="28.000000" customHeight="1">
      <c r="G17" s="226" t="s">
        <v>30</v>
      </c>
      <c r="H17" s="227"/>
      <c r="I17" s="61"/>
      <c r="J17" s="64" t="s">
        <v>28</v>
      </c>
      <c r="K17" s="64">
        <v>40</v>
      </c>
      <c r="L17" s="70"/>
      <c r="M17" s="16">
        <f>ROUND(M8*K17%,0)</f>
        <v>124354</v>
      </c>
      <c r="N17" s="14" t="s">
        <v>125</v>
      </c>
    </row>
    <row r="18" spans="7:14" s="49" customFormat="1" ht="28.000000" customHeight="1">
      <c r="G18" s="226" t="s">
        <v>29</v>
      </c>
      <c r="H18" s="227"/>
      <c r="I18" s="61"/>
      <c r="J18" s="64" t="s">
        <v>28</v>
      </c>
      <c r="K18" s="64">
        <v>20</v>
      </c>
      <c r="L18" s="70"/>
      <c r="M18" s="15">
        <f>ROUND((M8+M17)*K18%,0)</f>
        <v>87048</v>
      </c>
      <c r="N18" s="14" t="s">
        <v>124</v>
      </c>
    </row>
    <row r="19" spans="7:14" s="49" customFormat="1" ht="28.000000" customHeight="1">
      <c r="G19" s="226" t="s">
        <v>129</v>
      </c>
      <c r="H19" s="227"/>
      <c r="I19" s="62"/>
      <c r="J19" s="65"/>
      <c r="K19" s="65"/>
      <c r="L19" s="71"/>
      <c r="M19" s="15"/>
      <c r="N19" s="14"/>
    </row>
    <row r="20" spans="7:14" s="49" customFormat="1" ht="28.000000" customHeight="1">
      <c r="G20" s="228" t="s">
        <v>127</v>
      </c>
      <c r="H20" s="229"/>
      <c r="I20" s="63"/>
      <c r="J20" s="66"/>
      <c r="K20" s="66"/>
      <c r="L20" s="72"/>
      <c r="M20" s="27">
        <v>30000</v>
      </c>
      <c r="N20" s="28"/>
    </row>
    <row r="21" spans="7:14" s="49" customFormat="1" ht="28.000000" customHeight="1">
      <c r="G21" s="230" t="s">
        <v>130</v>
      </c>
      <c r="H21" s="231"/>
      <c r="I21" s="61"/>
      <c r="J21" s="64"/>
      <c r="K21" s="64"/>
      <c r="L21" s="73"/>
      <c r="M21" s="12"/>
      <c r="N21" s="11" t="s">
        <v>27</v>
      </c>
    </row>
    <row r="22" spans="7:14" s="49" customFormat="1" ht="28.000000" customHeight="1">
      <c r="G22" s="220" t="s">
        <v>128</v>
      </c>
      <c r="H22" s="221"/>
      <c r="I22" s="204" t="s">
        <v>135</v>
      </c>
      <c r="J22" s="205"/>
      <c r="K22" s="68"/>
      <c r="L22" s="68"/>
      <c r="M22" s="8">
        <f>(SUM(M8,M17,M18,M19,M20,M21))</f>
        <v>552286</v>
      </c>
      <c r="N22" s="10"/>
    </row>
    <row r="23" spans="7:14" s="49" customFormat="1" ht="18.000000" customHeight="1">
      <c r="G23" s="202" t="s">
        <v>26</v>
      </c>
      <c r="H23" s="203"/>
      <c r="I23" s="204"/>
      <c r="J23" s="205"/>
      <c r="K23" s="68"/>
      <c r="L23" s="68"/>
      <c r="M23" s="8">
        <v>52286</v>
      </c>
      <c r="N23" s="7"/>
    </row>
    <row r="24" spans="7:14" s="49" customFormat="1" ht="18.000000" customHeight="1">
      <c r="G24" s="222" t="s">
        <v>25</v>
      </c>
      <c r="H24" s="223"/>
      <c r="I24" s="224"/>
      <c r="J24" s="225"/>
      <c r="K24" s="69"/>
      <c r="L24" s="69"/>
      <c r="M24" s="24">
        <f>M22-M23</f>
        <v>500000</v>
      </c>
      <c r="N24" s="9"/>
    </row>
    <row r="25" spans="7:14" s="49" customFormat="1" ht="18.000000" customHeight="1">
      <c r="G25" s="202" t="s">
        <v>24</v>
      </c>
      <c r="H25" s="203"/>
      <c r="I25" s="204"/>
      <c r="J25" s="205"/>
      <c r="K25" s="68"/>
      <c r="L25" s="68"/>
      <c r="M25" s="8" t="s">
        <v>23</v>
      </c>
      <c r="N25" s="7"/>
    </row>
    <row r="26" spans="7:14" s="49" customFormat="1" ht="28.000000" customHeight="1">
      <c r="G26" s="206" t="s">
        <v>22</v>
      </c>
      <c r="H26" s="207"/>
      <c r="I26" s="208"/>
      <c r="J26" s="209"/>
      <c r="K26" s="210"/>
      <c r="L26" s="74"/>
      <c r="M26" s="6">
        <f>M24</f>
        <v>500000</v>
      </c>
      <c r="N26" s="5" t="s">
        <v>21</v>
      </c>
    </row>
    <row r="27" spans="7:14" s="50" customFormat="1" ht="23.000000" customHeight="1">
      <c r="G27" s="211"/>
      <c r="H27" s="212"/>
      <c r="I27" s="217" t="s">
        <v>20</v>
      </c>
      <c r="J27" s="217"/>
      <c r="K27" s="217"/>
      <c r="L27" s="217"/>
      <c r="M27" s="217"/>
      <c r="N27" s="4"/>
    </row>
    <row r="28" spans="7:14" s="50" customFormat="1" ht="23.000000" customHeight="1">
      <c r="G28" s="213"/>
      <c r="H28" s="214"/>
      <c r="I28" s="218" t="s">
        <v>19</v>
      </c>
      <c r="J28" s="218"/>
      <c r="K28" s="218"/>
      <c r="L28" s="218"/>
      <c r="M28" s="218"/>
      <c r="N28" s="3" t="s">
        <v>18</v>
      </c>
    </row>
    <row r="29" spans="7:14" s="50" customFormat="1" ht="23.000000" customHeight="1">
      <c r="G29" s="213"/>
      <c r="H29" s="214"/>
      <c r="I29" s="218" t="s">
        <v>17</v>
      </c>
      <c r="J29" s="218"/>
      <c r="K29" s="218"/>
      <c r="L29" s="218"/>
      <c r="M29" s="218"/>
      <c r="N29" s="3" t="s">
        <v>16</v>
      </c>
    </row>
    <row r="30" spans="7:14" s="50" customFormat="1" ht="23.000000" customHeight="1">
      <c r="G30" s="213"/>
      <c r="H30" s="214"/>
      <c r="I30" s="218" t="s">
        <v>15</v>
      </c>
      <c r="J30" s="218"/>
      <c r="K30" s="218"/>
      <c r="L30" s="218"/>
      <c r="M30" s="218"/>
      <c r="N30" s="3" t="s">
        <v>14</v>
      </c>
    </row>
    <row r="31" spans="7:14" s="50" customFormat="1" ht="23.000000" customHeight="1">
      <c r="G31" s="215"/>
      <c r="H31" s="216"/>
      <c r="I31" s="219" t="s">
        <v>13</v>
      </c>
      <c r="J31" s="219"/>
      <c r="K31" s="219"/>
      <c r="L31" s="219"/>
      <c r="M31" s="219"/>
      <c r="N31" s="2" t="s">
        <v>12</v>
      </c>
    </row>
    <row r="32" spans="7:14">
      <c r="G32" s="49"/>
      <c r="H32" s="49"/>
      <c r="I32" s="49"/>
      <c r="J32" s="49"/>
      <c r="K32" s="49"/>
      <c r="L32" s="49"/>
      <c r="M32" s="49"/>
      <c r="N32" s="49"/>
    </row>
    <row r="33" spans="7:14">
      <c r="G33" s="49"/>
      <c r="H33" s="49"/>
      <c r="I33" s="49"/>
      <c r="J33" s="49"/>
      <c r="K33" s="49"/>
      <c r="L33" s="49"/>
      <c r="M33" s="49"/>
      <c r="N33" s="49"/>
    </row>
    <row r="34" spans="7:14">
      <c r="G34" s="49"/>
      <c r="H34" s="49"/>
      <c r="I34" s="49"/>
      <c r="J34" s="49"/>
      <c r="K34" s="49"/>
      <c r="L34" s="49"/>
      <c r="M34" s="49"/>
      <c r="N34" s="49"/>
    </row>
    <row r="35" spans="7:14">
      <c r="G35" s="49"/>
      <c r="H35" s="49"/>
      <c r="I35" s="49"/>
      <c r="J35" s="49"/>
      <c r="K35" s="49"/>
      <c r="L35" s="49"/>
      <c r="M35" s="49"/>
      <c r="N35" s="49"/>
    </row>
    <row r="36" spans="7:14">
      <c r="G36" s="49"/>
      <c r="H36" s="49"/>
      <c r="I36" s="49"/>
      <c r="J36" s="49"/>
      <c r="K36" s="49"/>
      <c r="L36" s="49"/>
      <c r="M36" s="49"/>
      <c r="N36" s="49"/>
    </row>
  </sheetData>
  <mergeCells count="33">
    <mergeCell ref="G1:N1"/>
    <mergeCell ref="M2:N2"/>
    <mergeCell ref="G3:H3"/>
    <mergeCell ref="I3:N3"/>
    <mergeCell ref="G4:H4"/>
    <mergeCell ref="I4:N4"/>
    <mergeCell ref="G5:H5"/>
    <mergeCell ref="I5:N5"/>
    <mergeCell ref="G6:N6"/>
    <mergeCell ref="G7:H7"/>
    <mergeCell ref="G8:H8"/>
    <mergeCell ref="N9:N12"/>
    <mergeCell ref="G17:H17"/>
    <mergeCell ref="G18:H18"/>
    <mergeCell ref="G19:H19"/>
    <mergeCell ref="G20:H20"/>
    <mergeCell ref="G21:H21"/>
    <mergeCell ref="G22:H22"/>
    <mergeCell ref="I22:K22"/>
    <mergeCell ref="G23:H23"/>
    <mergeCell ref="I23:K23"/>
    <mergeCell ref="G24:H24"/>
    <mergeCell ref="I24:K24"/>
    <mergeCell ref="G25:H25"/>
    <mergeCell ref="I25:K25"/>
    <mergeCell ref="G26:H26"/>
    <mergeCell ref="I26:K26"/>
    <mergeCell ref="G27:H31"/>
    <mergeCell ref="I27:M27"/>
    <mergeCell ref="I28:M28"/>
    <mergeCell ref="I29:M29"/>
    <mergeCell ref="I30:M30"/>
    <mergeCell ref="I31:M31"/>
  </mergeCells>
  <phoneticPr fontId="1" type="noConversion"/>
  <printOptions horizontalCentered="1" verticalCentered="1"/>
  <pageMargins left="0.25" right="0.25" top="0.75" bottom="0.75" header="0.30" footer="0.30"/>
  <pageSetup paperSize="9" orientation="portrait"/>
  <colBreaks count="1" manualBreakCount="1">
    <brk id="14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H1:AA116"/>
  <sheetViews>
    <sheetView topLeftCell="B46" tabSelected="1" view="pageBreakPreview" zoomScaleNormal="100" zoomScaleSheetLayoutView="100" workbookViewId="0">
      <selection activeCell="H52" sqref="H52:Q55"/>
    </sheetView>
  </sheetViews>
  <sheetFormatPr defaultColWidth="11.33203125" defaultRowHeight="12.000000"/>
  <cols>
    <col min="1" max="7" style="1" width="11.29071413" customWidth="1" outlineLevel="0"/>
    <col min="8" max="12" style="1" width="5.14785705" customWidth="1" outlineLevel="0"/>
    <col min="13" max="13" style="29" width="5.14785705" customWidth="1" outlineLevel="0"/>
    <col min="14" max="15" style="30" width="5.14785705" customWidth="1" outlineLevel="0"/>
    <col min="16" max="27" style="1" width="5.14785705" customWidth="1" outlineLevel="0"/>
    <col min="28" max="28" style="1" width="4.43357144" customWidth="1" outlineLevel="0"/>
    <col min="29" max="29" style="1" width="11.29071413" customWidth="1" outlineLevel="0"/>
    <col min="30" max="30" style="1" width="14.86214243" customWidth="1" outlineLevel="0"/>
    <col min="31" max="263" style="1" width="11.29071413" customWidth="1" outlineLevel="0"/>
    <col min="264" max="269" style="1" width="4.86214290" customWidth="1" outlineLevel="0"/>
    <col min="270" max="270" style="1" width="9.00499998" customWidth="1" outlineLevel="0"/>
    <col min="271" max="274" style="1" width="4.86214290" customWidth="1" outlineLevel="0"/>
    <col min="275" max="275" style="1" width="5.71928583" customWidth="1" outlineLevel="0"/>
    <col min="276" max="281" style="1" width="4.86214290" customWidth="1" outlineLevel="0"/>
    <col min="282" max="282" style="1" width="2.14785717" customWidth="1" outlineLevel="0"/>
    <col min="283" max="283" style="1" width="4.86214290" customWidth="1" outlineLevel="0"/>
    <col min="284" max="519" style="1" width="11.29071413" customWidth="1" outlineLevel="0"/>
    <col min="520" max="525" style="1" width="4.86214290" customWidth="1" outlineLevel="0"/>
    <col min="526" max="526" style="1" width="9.00499998" customWidth="1" outlineLevel="0"/>
    <col min="527" max="530" style="1" width="4.86214290" customWidth="1" outlineLevel="0"/>
    <col min="531" max="531" style="1" width="5.71928583" customWidth="1" outlineLevel="0"/>
    <col min="532" max="537" style="1" width="4.86214290" customWidth="1" outlineLevel="0"/>
    <col min="538" max="538" style="1" width="2.14785717" customWidth="1" outlineLevel="0"/>
    <col min="539" max="539" style="1" width="4.86214290" customWidth="1" outlineLevel="0"/>
    <col min="540" max="775" style="1" width="11.29071413" customWidth="1" outlineLevel="0"/>
    <col min="776" max="781" style="1" width="4.86214290" customWidth="1" outlineLevel="0"/>
    <col min="782" max="782" style="1" width="9.00499998" customWidth="1" outlineLevel="0"/>
    <col min="783" max="786" style="1" width="4.86214290" customWidth="1" outlineLevel="0"/>
    <col min="787" max="787" style="1" width="5.71928583" customWidth="1" outlineLevel="0"/>
    <col min="788" max="793" style="1" width="4.86214290" customWidth="1" outlineLevel="0"/>
    <col min="794" max="794" style="1" width="2.14785717" customWidth="1" outlineLevel="0"/>
    <col min="795" max="795" style="1" width="4.86214290" customWidth="1" outlineLevel="0"/>
    <col min="796" max="1031" style="1" width="11.29071413" customWidth="1" outlineLevel="0"/>
    <col min="1032" max="1037" style="1" width="4.86214290" customWidth="1" outlineLevel="0"/>
    <col min="1038" max="1038" style="1" width="9.00499998" customWidth="1" outlineLevel="0"/>
    <col min="1039" max="1042" style="1" width="4.86214290" customWidth="1" outlineLevel="0"/>
    <col min="1043" max="1043" style="1" width="5.71928583" customWidth="1" outlineLevel="0"/>
    <col min="1044" max="1049" style="1" width="4.86214290" customWidth="1" outlineLevel="0"/>
    <col min="1050" max="1050" style="1" width="2.14785717" customWidth="1" outlineLevel="0"/>
    <col min="1051" max="1051" style="1" width="4.86214290" customWidth="1" outlineLevel="0"/>
    <col min="1052" max="1287" style="1" width="11.29071413" customWidth="1" outlineLevel="0"/>
    <col min="1288" max="1293" style="1" width="4.86214290" customWidth="1" outlineLevel="0"/>
    <col min="1294" max="1294" style="1" width="9.00499998" customWidth="1" outlineLevel="0"/>
    <col min="1295" max="1298" style="1" width="4.86214290" customWidth="1" outlineLevel="0"/>
    <col min="1299" max="1299" style="1" width="5.71928583" customWidth="1" outlineLevel="0"/>
    <col min="1300" max="1305" style="1" width="4.86214290" customWidth="1" outlineLevel="0"/>
    <col min="1306" max="1306" style="1" width="2.14785717" customWidth="1" outlineLevel="0"/>
    <col min="1307" max="1307" style="1" width="4.86214290" customWidth="1" outlineLevel="0"/>
    <col min="1308" max="1543" style="1" width="11.29071413" customWidth="1" outlineLevel="0"/>
    <col min="1544" max="1549" style="1" width="4.86214290" customWidth="1" outlineLevel="0"/>
    <col min="1550" max="1550" style="1" width="9.00499998" customWidth="1" outlineLevel="0"/>
    <col min="1551" max="1554" style="1" width="4.86214290" customWidth="1" outlineLevel="0"/>
    <col min="1555" max="1555" style="1" width="5.71928583" customWidth="1" outlineLevel="0"/>
    <col min="1556" max="1561" style="1" width="4.86214290" customWidth="1" outlineLevel="0"/>
    <col min="1562" max="1562" style="1" width="2.14785717" customWidth="1" outlineLevel="0"/>
    <col min="1563" max="1563" style="1" width="4.86214290" customWidth="1" outlineLevel="0"/>
    <col min="1564" max="1799" style="1" width="11.29071413" customWidth="1" outlineLevel="0"/>
    <col min="1800" max="1805" style="1" width="4.86214290" customWidth="1" outlineLevel="0"/>
    <col min="1806" max="1806" style="1" width="9.00499998" customWidth="1" outlineLevel="0"/>
    <col min="1807" max="1810" style="1" width="4.86214290" customWidth="1" outlineLevel="0"/>
    <col min="1811" max="1811" style="1" width="5.71928583" customWidth="1" outlineLevel="0"/>
    <col min="1812" max="1817" style="1" width="4.86214290" customWidth="1" outlineLevel="0"/>
    <col min="1818" max="1818" style="1" width="2.14785717" customWidth="1" outlineLevel="0"/>
    <col min="1819" max="1819" style="1" width="4.86214290" customWidth="1" outlineLevel="0"/>
    <col min="1820" max="2055" style="1" width="11.29071413" customWidth="1" outlineLevel="0"/>
    <col min="2056" max="2061" style="1" width="4.86214290" customWidth="1" outlineLevel="0"/>
    <col min="2062" max="2062" style="1" width="9.00499998" customWidth="1" outlineLevel="0"/>
    <col min="2063" max="2066" style="1" width="4.86214290" customWidth="1" outlineLevel="0"/>
    <col min="2067" max="2067" style="1" width="5.71928583" customWidth="1" outlineLevel="0"/>
    <col min="2068" max="2073" style="1" width="4.86214290" customWidth="1" outlineLevel="0"/>
    <col min="2074" max="2074" style="1" width="2.14785717" customWidth="1" outlineLevel="0"/>
    <col min="2075" max="2075" style="1" width="4.86214290" customWidth="1" outlineLevel="0"/>
    <col min="2076" max="2311" style="1" width="11.29071413" customWidth="1" outlineLevel="0"/>
    <col min="2312" max="2317" style="1" width="4.86214290" customWidth="1" outlineLevel="0"/>
    <col min="2318" max="2318" style="1" width="9.00499998" customWidth="1" outlineLevel="0"/>
    <col min="2319" max="2322" style="1" width="4.86214290" customWidth="1" outlineLevel="0"/>
    <col min="2323" max="2323" style="1" width="5.71928583" customWidth="1" outlineLevel="0"/>
    <col min="2324" max="2329" style="1" width="4.86214290" customWidth="1" outlineLevel="0"/>
    <col min="2330" max="2330" style="1" width="2.14785717" customWidth="1" outlineLevel="0"/>
    <col min="2331" max="2331" style="1" width="4.86214290" customWidth="1" outlineLevel="0"/>
    <col min="2332" max="2567" style="1" width="11.29071413" customWidth="1" outlineLevel="0"/>
    <col min="2568" max="2573" style="1" width="4.86214290" customWidth="1" outlineLevel="0"/>
    <col min="2574" max="2574" style="1" width="9.00499998" customWidth="1" outlineLevel="0"/>
    <col min="2575" max="2578" style="1" width="4.86214290" customWidth="1" outlineLevel="0"/>
    <col min="2579" max="2579" style="1" width="5.71928583" customWidth="1" outlineLevel="0"/>
    <col min="2580" max="2585" style="1" width="4.86214290" customWidth="1" outlineLevel="0"/>
    <col min="2586" max="2586" style="1" width="2.14785717" customWidth="1" outlineLevel="0"/>
    <col min="2587" max="2587" style="1" width="4.86214290" customWidth="1" outlineLevel="0"/>
    <col min="2588" max="2823" style="1" width="11.29071413" customWidth="1" outlineLevel="0"/>
    <col min="2824" max="2829" style="1" width="4.86214290" customWidth="1" outlineLevel="0"/>
    <col min="2830" max="2830" style="1" width="9.00499998" customWidth="1" outlineLevel="0"/>
    <col min="2831" max="2834" style="1" width="4.86214290" customWidth="1" outlineLevel="0"/>
    <col min="2835" max="2835" style="1" width="5.71928583" customWidth="1" outlineLevel="0"/>
    <col min="2836" max="2841" style="1" width="4.86214290" customWidth="1" outlineLevel="0"/>
    <col min="2842" max="2842" style="1" width="2.14785717" customWidth="1" outlineLevel="0"/>
    <col min="2843" max="2843" style="1" width="4.86214290" customWidth="1" outlineLevel="0"/>
    <col min="2844" max="3079" style="1" width="11.29071413" customWidth="1" outlineLevel="0"/>
    <col min="3080" max="3085" style="1" width="4.86214290" customWidth="1" outlineLevel="0"/>
    <col min="3086" max="3086" style="1" width="9.00499998" customWidth="1" outlineLevel="0"/>
    <col min="3087" max="3090" style="1" width="4.86214290" customWidth="1" outlineLevel="0"/>
    <col min="3091" max="3091" style="1" width="5.71928583" customWidth="1" outlineLevel="0"/>
    <col min="3092" max="3097" style="1" width="4.86214290" customWidth="1" outlineLevel="0"/>
    <col min="3098" max="3098" style="1" width="2.14785717" customWidth="1" outlineLevel="0"/>
    <col min="3099" max="3099" style="1" width="4.86214290" customWidth="1" outlineLevel="0"/>
    <col min="3100" max="3335" style="1" width="11.29071413" customWidth="1" outlineLevel="0"/>
    <col min="3336" max="3341" style="1" width="4.86214290" customWidth="1" outlineLevel="0"/>
    <col min="3342" max="3342" style="1" width="9.00499998" customWidth="1" outlineLevel="0"/>
    <col min="3343" max="3346" style="1" width="4.86214290" customWidth="1" outlineLevel="0"/>
    <col min="3347" max="3347" style="1" width="5.71928583" customWidth="1" outlineLevel="0"/>
    <col min="3348" max="3353" style="1" width="4.86214290" customWidth="1" outlineLevel="0"/>
    <col min="3354" max="3354" style="1" width="2.14785717" customWidth="1" outlineLevel="0"/>
    <col min="3355" max="3355" style="1" width="4.86214290" customWidth="1" outlineLevel="0"/>
    <col min="3356" max="3591" style="1" width="11.29071413" customWidth="1" outlineLevel="0"/>
    <col min="3592" max="3597" style="1" width="4.86214290" customWidth="1" outlineLevel="0"/>
    <col min="3598" max="3598" style="1" width="9.00499998" customWidth="1" outlineLevel="0"/>
    <col min="3599" max="3602" style="1" width="4.86214290" customWidth="1" outlineLevel="0"/>
    <col min="3603" max="3603" style="1" width="5.71928583" customWidth="1" outlineLevel="0"/>
    <col min="3604" max="3609" style="1" width="4.86214290" customWidth="1" outlineLevel="0"/>
    <col min="3610" max="3610" style="1" width="2.14785717" customWidth="1" outlineLevel="0"/>
    <col min="3611" max="3611" style="1" width="4.86214290" customWidth="1" outlineLevel="0"/>
    <col min="3612" max="3847" style="1" width="11.29071413" customWidth="1" outlineLevel="0"/>
    <col min="3848" max="3853" style="1" width="4.86214290" customWidth="1" outlineLevel="0"/>
    <col min="3854" max="3854" style="1" width="9.00499998" customWidth="1" outlineLevel="0"/>
    <col min="3855" max="3858" style="1" width="4.86214290" customWidth="1" outlineLevel="0"/>
    <col min="3859" max="3859" style="1" width="5.71928583" customWidth="1" outlineLevel="0"/>
    <col min="3860" max="3865" style="1" width="4.86214290" customWidth="1" outlineLevel="0"/>
    <col min="3866" max="3866" style="1" width="2.14785717" customWidth="1" outlineLevel="0"/>
    <col min="3867" max="3867" style="1" width="4.86214290" customWidth="1" outlineLevel="0"/>
    <col min="3868" max="4103" style="1" width="11.29071413" customWidth="1" outlineLevel="0"/>
    <col min="4104" max="4109" style="1" width="4.86214290" customWidth="1" outlineLevel="0"/>
    <col min="4110" max="4110" style="1" width="9.00499998" customWidth="1" outlineLevel="0"/>
    <col min="4111" max="4114" style="1" width="4.86214290" customWidth="1" outlineLevel="0"/>
    <col min="4115" max="4115" style="1" width="5.71928583" customWidth="1" outlineLevel="0"/>
    <col min="4116" max="4121" style="1" width="4.86214290" customWidth="1" outlineLevel="0"/>
    <col min="4122" max="4122" style="1" width="2.14785717" customWidth="1" outlineLevel="0"/>
    <col min="4123" max="4123" style="1" width="4.86214290" customWidth="1" outlineLevel="0"/>
    <col min="4124" max="4359" style="1" width="11.29071413" customWidth="1" outlineLevel="0"/>
    <col min="4360" max="4365" style="1" width="4.86214290" customWidth="1" outlineLevel="0"/>
    <col min="4366" max="4366" style="1" width="9.00499998" customWidth="1" outlineLevel="0"/>
    <col min="4367" max="4370" style="1" width="4.86214290" customWidth="1" outlineLevel="0"/>
    <col min="4371" max="4371" style="1" width="5.71928583" customWidth="1" outlineLevel="0"/>
    <col min="4372" max="4377" style="1" width="4.86214290" customWidth="1" outlineLevel="0"/>
    <col min="4378" max="4378" style="1" width="2.14785717" customWidth="1" outlineLevel="0"/>
    <col min="4379" max="4379" style="1" width="4.86214290" customWidth="1" outlineLevel="0"/>
    <col min="4380" max="4615" style="1" width="11.29071413" customWidth="1" outlineLevel="0"/>
    <col min="4616" max="4621" style="1" width="4.86214290" customWidth="1" outlineLevel="0"/>
    <col min="4622" max="4622" style="1" width="9.00499998" customWidth="1" outlineLevel="0"/>
    <col min="4623" max="4626" style="1" width="4.86214290" customWidth="1" outlineLevel="0"/>
    <col min="4627" max="4627" style="1" width="5.71928583" customWidth="1" outlineLevel="0"/>
    <col min="4628" max="4633" style="1" width="4.86214290" customWidth="1" outlineLevel="0"/>
    <col min="4634" max="4634" style="1" width="2.14785717" customWidth="1" outlineLevel="0"/>
    <col min="4635" max="4635" style="1" width="4.86214290" customWidth="1" outlineLevel="0"/>
    <col min="4636" max="4871" style="1" width="11.29071413" customWidth="1" outlineLevel="0"/>
    <col min="4872" max="4877" style="1" width="4.86214290" customWidth="1" outlineLevel="0"/>
    <col min="4878" max="4878" style="1" width="9.00499998" customWidth="1" outlineLevel="0"/>
    <col min="4879" max="4882" style="1" width="4.86214290" customWidth="1" outlineLevel="0"/>
    <col min="4883" max="4883" style="1" width="5.71928583" customWidth="1" outlineLevel="0"/>
    <col min="4884" max="4889" style="1" width="4.86214290" customWidth="1" outlineLevel="0"/>
    <col min="4890" max="4890" style="1" width="2.14785717" customWidth="1" outlineLevel="0"/>
    <col min="4891" max="4891" style="1" width="4.86214290" customWidth="1" outlineLevel="0"/>
    <col min="4892" max="5127" style="1" width="11.29071413" customWidth="1" outlineLevel="0"/>
    <col min="5128" max="5133" style="1" width="4.86214290" customWidth="1" outlineLevel="0"/>
    <col min="5134" max="5134" style="1" width="9.00499998" customWidth="1" outlineLevel="0"/>
    <col min="5135" max="5138" style="1" width="4.86214290" customWidth="1" outlineLevel="0"/>
    <col min="5139" max="5139" style="1" width="5.71928583" customWidth="1" outlineLevel="0"/>
    <col min="5140" max="5145" style="1" width="4.86214290" customWidth="1" outlineLevel="0"/>
    <col min="5146" max="5146" style="1" width="2.14785717" customWidth="1" outlineLevel="0"/>
    <col min="5147" max="5147" style="1" width="4.86214290" customWidth="1" outlineLevel="0"/>
    <col min="5148" max="5383" style="1" width="11.29071413" customWidth="1" outlineLevel="0"/>
    <col min="5384" max="5389" style="1" width="4.86214290" customWidth="1" outlineLevel="0"/>
    <col min="5390" max="5390" style="1" width="9.00499998" customWidth="1" outlineLevel="0"/>
    <col min="5391" max="5394" style="1" width="4.86214290" customWidth="1" outlineLevel="0"/>
    <col min="5395" max="5395" style="1" width="5.71928583" customWidth="1" outlineLevel="0"/>
    <col min="5396" max="5401" style="1" width="4.86214290" customWidth="1" outlineLevel="0"/>
    <col min="5402" max="5402" style="1" width="2.14785717" customWidth="1" outlineLevel="0"/>
    <col min="5403" max="5403" style="1" width="4.86214290" customWidth="1" outlineLevel="0"/>
    <col min="5404" max="5639" style="1" width="11.29071413" customWidth="1" outlineLevel="0"/>
    <col min="5640" max="5645" style="1" width="4.86214290" customWidth="1" outlineLevel="0"/>
    <col min="5646" max="5646" style="1" width="9.00499998" customWidth="1" outlineLevel="0"/>
    <col min="5647" max="5650" style="1" width="4.86214290" customWidth="1" outlineLevel="0"/>
    <col min="5651" max="5651" style="1" width="5.71928583" customWidth="1" outlineLevel="0"/>
    <col min="5652" max="5657" style="1" width="4.86214290" customWidth="1" outlineLevel="0"/>
    <col min="5658" max="5658" style="1" width="2.14785717" customWidth="1" outlineLevel="0"/>
    <col min="5659" max="5659" style="1" width="4.86214290" customWidth="1" outlineLevel="0"/>
    <col min="5660" max="5895" style="1" width="11.29071413" customWidth="1" outlineLevel="0"/>
    <col min="5896" max="5901" style="1" width="4.86214290" customWidth="1" outlineLevel="0"/>
    <col min="5902" max="5902" style="1" width="9.00499998" customWidth="1" outlineLevel="0"/>
    <col min="5903" max="5906" style="1" width="4.86214290" customWidth="1" outlineLevel="0"/>
    <col min="5907" max="5907" style="1" width="5.71928583" customWidth="1" outlineLevel="0"/>
    <col min="5908" max="5913" style="1" width="4.86214290" customWidth="1" outlineLevel="0"/>
    <col min="5914" max="5914" style="1" width="2.14785717" customWidth="1" outlineLevel="0"/>
    <col min="5915" max="5915" style="1" width="4.86214290" customWidth="1" outlineLevel="0"/>
    <col min="5916" max="6151" style="1" width="11.29071413" customWidth="1" outlineLevel="0"/>
    <col min="6152" max="6157" style="1" width="4.86214290" customWidth="1" outlineLevel="0"/>
    <col min="6158" max="6158" style="1" width="9.00499998" customWidth="1" outlineLevel="0"/>
    <col min="6159" max="6162" style="1" width="4.86214290" customWidth="1" outlineLevel="0"/>
    <col min="6163" max="6163" style="1" width="5.71928583" customWidth="1" outlineLevel="0"/>
    <col min="6164" max="6169" style="1" width="4.86214290" customWidth="1" outlineLevel="0"/>
    <col min="6170" max="6170" style="1" width="2.14785717" customWidth="1" outlineLevel="0"/>
    <col min="6171" max="6171" style="1" width="4.86214290" customWidth="1" outlineLevel="0"/>
    <col min="6172" max="6407" style="1" width="11.29071413" customWidth="1" outlineLevel="0"/>
    <col min="6408" max="6413" style="1" width="4.86214290" customWidth="1" outlineLevel="0"/>
    <col min="6414" max="6414" style="1" width="9.00499998" customWidth="1" outlineLevel="0"/>
    <col min="6415" max="6418" style="1" width="4.86214290" customWidth="1" outlineLevel="0"/>
    <col min="6419" max="6419" style="1" width="5.71928583" customWidth="1" outlineLevel="0"/>
    <col min="6420" max="6425" style="1" width="4.86214290" customWidth="1" outlineLevel="0"/>
    <col min="6426" max="6426" style="1" width="2.14785717" customWidth="1" outlineLevel="0"/>
    <col min="6427" max="6427" style="1" width="4.86214290" customWidth="1" outlineLevel="0"/>
    <col min="6428" max="6663" style="1" width="11.29071413" customWidth="1" outlineLevel="0"/>
    <col min="6664" max="6669" style="1" width="4.86214290" customWidth="1" outlineLevel="0"/>
    <col min="6670" max="6670" style="1" width="9.00499998" customWidth="1" outlineLevel="0"/>
    <col min="6671" max="6674" style="1" width="4.86214290" customWidth="1" outlineLevel="0"/>
    <col min="6675" max="6675" style="1" width="5.71928583" customWidth="1" outlineLevel="0"/>
    <col min="6676" max="6681" style="1" width="4.86214290" customWidth="1" outlineLevel="0"/>
    <col min="6682" max="6682" style="1" width="2.14785717" customWidth="1" outlineLevel="0"/>
    <col min="6683" max="6683" style="1" width="4.86214290" customWidth="1" outlineLevel="0"/>
    <col min="6684" max="6919" style="1" width="11.29071413" customWidth="1" outlineLevel="0"/>
    <col min="6920" max="6925" style="1" width="4.86214290" customWidth="1" outlineLevel="0"/>
    <col min="6926" max="6926" style="1" width="9.00499998" customWidth="1" outlineLevel="0"/>
    <col min="6927" max="6930" style="1" width="4.86214290" customWidth="1" outlineLevel="0"/>
    <col min="6931" max="6931" style="1" width="5.71928583" customWidth="1" outlineLevel="0"/>
    <col min="6932" max="6937" style="1" width="4.86214290" customWidth="1" outlineLevel="0"/>
    <col min="6938" max="6938" style="1" width="2.14785717" customWidth="1" outlineLevel="0"/>
    <col min="6939" max="6939" style="1" width="4.86214290" customWidth="1" outlineLevel="0"/>
    <col min="6940" max="7175" style="1" width="11.29071413" customWidth="1" outlineLevel="0"/>
    <col min="7176" max="7181" style="1" width="4.86214290" customWidth="1" outlineLevel="0"/>
    <col min="7182" max="7182" style="1" width="9.00499998" customWidth="1" outlineLevel="0"/>
    <col min="7183" max="7186" style="1" width="4.86214290" customWidth="1" outlineLevel="0"/>
    <col min="7187" max="7187" style="1" width="5.71928583" customWidth="1" outlineLevel="0"/>
    <col min="7188" max="7193" style="1" width="4.86214290" customWidth="1" outlineLevel="0"/>
    <col min="7194" max="7194" style="1" width="2.14785717" customWidth="1" outlineLevel="0"/>
    <col min="7195" max="7195" style="1" width="4.86214290" customWidth="1" outlineLevel="0"/>
    <col min="7196" max="7431" style="1" width="11.29071413" customWidth="1" outlineLevel="0"/>
    <col min="7432" max="7437" style="1" width="4.86214290" customWidth="1" outlineLevel="0"/>
    <col min="7438" max="7438" style="1" width="9.00499998" customWidth="1" outlineLevel="0"/>
    <col min="7439" max="7442" style="1" width="4.86214290" customWidth="1" outlineLevel="0"/>
    <col min="7443" max="7443" style="1" width="5.71928583" customWidth="1" outlineLevel="0"/>
    <col min="7444" max="7449" style="1" width="4.86214290" customWidth="1" outlineLevel="0"/>
    <col min="7450" max="7450" style="1" width="2.14785717" customWidth="1" outlineLevel="0"/>
    <col min="7451" max="7451" style="1" width="4.86214290" customWidth="1" outlineLevel="0"/>
    <col min="7452" max="7687" style="1" width="11.29071413" customWidth="1" outlineLevel="0"/>
    <col min="7688" max="7693" style="1" width="4.86214290" customWidth="1" outlineLevel="0"/>
    <col min="7694" max="7694" style="1" width="9.00499998" customWidth="1" outlineLevel="0"/>
    <col min="7695" max="7698" style="1" width="4.86214290" customWidth="1" outlineLevel="0"/>
    <col min="7699" max="7699" style="1" width="5.71928583" customWidth="1" outlineLevel="0"/>
    <col min="7700" max="7705" style="1" width="4.86214290" customWidth="1" outlineLevel="0"/>
    <col min="7706" max="7706" style="1" width="2.14785717" customWidth="1" outlineLevel="0"/>
    <col min="7707" max="7707" style="1" width="4.86214290" customWidth="1" outlineLevel="0"/>
    <col min="7708" max="7943" style="1" width="11.29071413" customWidth="1" outlineLevel="0"/>
    <col min="7944" max="7949" style="1" width="4.86214290" customWidth="1" outlineLevel="0"/>
    <col min="7950" max="7950" style="1" width="9.00499998" customWidth="1" outlineLevel="0"/>
    <col min="7951" max="7954" style="1" width="4.86214290" customWidth="1" outlineLevel="0"/>
    <col min="7955" max="7955" style="1" width="5.71928583" customWidth="1" outlineLevel="0"/>
    <col min="7956" max="7961" style="1" width="4.86214290" customWidth="1" outlineLevel="0"/>
    <col min="7962" max="7962" style="1" width="2.14785717" customWidth="1" outlineLevel="0"/>
    <col min="7963" max="7963" style="1" width="4.86214290" customWidth="1" outlineLevel="0"/>
    <col min="7964" max="8199" style="1" width="11.29071413" customWidth="1" outlineLevel="0"/>
    <col min="8200" max="8205" style="1" width="4.86214290" customWidth="1" outlineLevel="0"/>
    <col min="8206" max="8206" style="1" width="9.00499998" customWidth="1" outlineLevel="0"/>
    <col min="8207" max="8210" style="1" width="4.86214290" customWidth="1" outlineLevel="0"/>
    <col min="8211" max="8211" style="1" width="5.71928583" customWidth="1" outlineLevel="0"/>
    <col min="8212" max="8217" style="1" width="4.86214290" customWidth="1" outlineLevel="0"/>
    <col min="8218" max="8218" style="1" width="2.14785717" customWidth="1" outlineLevel="0"/>
    <col min="8219" max="8219" style="1" width="4.86214290" customWidth="1" outlineLevel="0"/>
    <col min="8220" max="8455" style="1" width="11.29071413" customWidth="1" outlineLevel="0"/>
    <col min="8456" max="8461" style="1" width="4.86214290" customWidth="1" outlineLevel="0"/>
    <col min="8462" max="8462" style="1" width="9.00499998" customWidth="1" outlineLevel="0"/>
    <col min="8463" max="8466" style="1" width="4.86214290" customWidth="1" outlineLevel="0"/>
    <col min="8467" max="8467" style="1" width="5.71928583" customWidth="1" outlineLevel="0"/>
    <col min="8468" max="8473" style="1" width="4.86214290" customWidth="1" outlineLevel="0"/>
    <col min="8474" max="8474" style="1" width="2.14785717" customWidth="1" outlineLevel="0"/>
    <col min="8475" max="8475" style="1" width="4.86214290" customWidth="1" outlineLevel="0"/>
    <col min="8476" max="8711" style="1" width="11.29071413" customWidth="1" outlineLevel="0"/>
    <col min="8712" max="8717" style="1" width="4.86214290" customWidth="1" outlineLevel="0"/>
    <col min="8718" max="8718" style="1" width="9.00499998" customWidth="1" outlineLevel="0"/>
    <col min="8719" max="8722" style="1" width="4.86214290" customWidth="1" outlineLevel="0"/>
    <col min="8723" max="8723" style="1" width="5.71928583" customWidth="1" outlineLevel="0"/>
    <col min="8724" max="8729" style="1" width="4.86214290" customWidth="1" outlineLevel="0"/>
    <col min="8730" max="8730" style="1" width="2.14785717" customWidth="1" outlineLevel="0"/>
    <col min="8731" max="8731" style="1" width="4.86214290" customWidth="1" outlineLevel="0"/>
    <col min="8732" max="8967" style="1" width="11.29071413" customWidth="1" outlineLevel="0"/>
    <col min="8968" max="8973" style="1" width="4.86214290" customWidth="1" outlineLevel="0"/>
    <col min="8974" max="8974" style="1" width="9.00499998" customWidth="1" outlineLevel="0"/>
    <col min="8975" max="8978" style="1" width="4.86214290" customWidth="1" outlineLevel="0"/>
    <col min="8979" max="8979" style="1" width="5.71928583" customWidth="1" outlineLevel="0"/>
    <col min="8980" max="8985" style="1" width="4.86214290" customWidth="1" outlineLevel="0"/>
    <col min="8986" max="8986" style="1" width="2.14785717" customWidth="1" outlineLevel="0"/>
    <col min="8987" max="8987" style="1" width="4.86214290" customWidth="1" outlineLevel="0"/>
    <col min="8988" max="9223" style="1" width="11.29071413" customWidth="1" outlineLevel="0"/>
    <col min="9224" max="9229" style="1" width="4.86214290" customWidth="1" outlineLevel="0"/>
    <col min="9230" max="9230" style="1" width="9.00499998" customWidth="1" outlineLevel="0"/>
    <col min="9231" max="9234" style="1" width="4.86214290" customWidth="1" outlineLevel="0"/>
    <col min="9235" max="9235" style="1" width="5.71928583" customWidth="1" outlineLevel="0"/>
    <col min="9236" max="9241" style="1" width="4.86214290" customWidth="1" outlineLevel="0"/>
    <col min="9242" max="9242" style="1" width="2.14785717" customWidth="1" outlineLevel="0"/>
    <col min="9243" max="9243" style="1" width="4.86214290" customWidth="1" outlineLevel="0"/>
    <col min="9244" max="9479" style="1" width="11.29071413" customWidth="1" outlineLevel="0"/>
    <col min="9480" max="9485" style="1" width="4.86214290" customWidth="1" outlineLevel="0"/>
    <col min="9486" max="9486" style="1" width="9.00499998" customWidth="1" outlineLevel="0"/>
    <col min="9487" max="9490" style="1" width="4.86214290" customWidth="1" outlineLevel="0"/>
    <col min="9491" max="9491" style="1" width="5.71928583" customWidth="1" outlineLevel="0"/>
    <col min="9492" max="9497" style="1" width="4.86214290" customWidth="1" outlineLevel="0"/>
    <col min="9498" max="9498" style="1" width="2.14785717" customWidth="1" outlineLevel="0"/>
    <col min="9499" max="9499" style="1" width="4.86214290" customWidth="1" outlineLevel="0"/>
    <col min="9500" max="9735" style="1" width="11.29071413" customWidth="1" outlineLevel="0"/>
    <col min="9736" max="9741" style="1" width="4.86214290" customWidth="1" outlineLevel="0"/>
    <col min="9742" max="9742" style="1" width="9.00499998" customWidth="1" outlineLevel="0"/>
    <col min="9743" max="9746" style="1" width="4.86214290" customWidth="1" outlineLevel="0"/>
    <col min="9747" max="9747" style="1" width="5.71928583" customWidth="1" outlineLevel="0"/>
    <col min="9748" max="9753" style="1" width="4.86214290" customWidth="1" outlineLevel="0"/>
    <col min="9754" max="9754" style="1" width="2.14785717" customWidth="1" outlineLevel="0"/>
    <col min="9755" max="9755" style="1" width="4.86214290" customWidth="1" outlineLevel="0"/>
    <col min="9756" max="9991" style="1" width="11.29071413" customWidth="1" outlineLevel="0"/>
    <col min="9992" max="9997" style="1" width="4.86214290" customWidth="1" outlineLevel="0"/>
    <col min="9998" max="9998" style="1" width="9.00499998" customWidth="1" outlineLevel="0"/>
    <col min="9999" max="10002" style="1" width="4.86214290" customWidth="1" outlineLevel="0"/>
    <col min="10003" max="10003" style="1" width="5.71928583" customWidth="1" outlineLevel="0"/>
    <col min="10004" max="10009" style="1" width="4.86214290" customWidth="1" outlineLevel="0"/>
    <col min="10010" max="10010" style="1" width="2.14785717" customWidth="1" outlineLevel="0"/>
    <col min="10011" max="10011" style="1" width="4.86214290" customWidth="1" outlineLevel="0"/>
    <col min="10012" max="10247" style="1" width="11.29071413" customWidth="1" outlineLevel="0"/>
    <col min="10248" max="10253" style="1" width="4.86214290" customWidth="1" outlineLevel="0"/>
    <col min="10254" max="10254" style="1" width="9.00499998" customWidth="1" outlineLevel="0"/>
    <col min="10255" max="10258" style="1" width="4.86214290" customWidth="1" outlineLevel="0"/>
    <col min="10259" max="10259" style="1" width="5.71928583" customWidth="1" outlineLevel="0"/>
    <col min="10260" max="10265" style="1" width="4.86214290" customWidth="1" outlineLevel="0"/>
    <col min="10266" max="10266" style="1" width="2.14785717" customWidth="1" outlineLevel="0"/>
    <col min="10267" max="10267" style="1" width="4.86214290" customWidth="1" outlineLevel="0"/>
    <col min="10268" max="10503" style="1" width="11.29071413" customWidth="1" outlineLevel="0"/>
    <col min="10504" max="10509" style="1" width="4.86214290" customWidth="1" outlineLevel="0"/>
    <col min="10510" max="10510" style="1" width="9.00499998" customWidth="1" outlineLevel="0"/>
    <col min="10511" max="10514" style="1" width="4.86214290" customWidth="1" outlineLevel="0"/>
    <col min="10515" max="10515" style="1" width="5.71928583" customWidth="1" outlineLevel="0"/>
    <col min="10516" max="10521" style="1" width="4.86214290" customWidth="1" outlineLevel="0"/>
    <col min="10522" max="10522" style="1" width="2.14785717" customWidth="1" outlineLevel="0"/>
    <col min="10523" max="10523" style="1" width="4.86214290" customWidth="1" outlineLevel="0"/>
    <col min="10524" max="10759" style="1" width="11.29071413" customWidth="1" outlineLevel="0"/>
    <col min="10760" max="10765" style="1" width="4.86214290" customWidth="1" outlineLevel="0"/>
    <col min="10766" max="10766" style="1" width="9.00499998" customWidth="1" outlineLevel="0"/>
    <col min="10767" max="10770" style="1" width="4.86214290" customWidth="1" outlineLevel="0"/>
    <col min="10771" max="10771" style="1" width="5.71928583" customWidth="1" outlineLevel="0"/>
    <col min="10772" max="10777" style="1" width="4.86214290" customWidth="1" outlineLevel="0"/>
    <col min="10778" max="10778" style="1" width="2.14785717" customWidth="1" outlineLevel="0"/>
    <col min="10779" max="10779" style="1" width="4.86214290" customWidth="1" outlineLevel="0"/>
    <col min="10780" max="11015" style="1" width="11.29071413" customWidth="1" outlineLevel="0"/>
    <col min="11016" max="11021" style="1" width="4.86214290" customWidth="1" outlineLevel="0"/>
    <col min="11022" max="11022" style="1" width="9.00499998" customWidth="1" outlineLevel="0"/>
    <col min="11023" max="11026" style="1" width="4.86214290" customWidth="1" outlineLevel="0"/>
    <col min="11027" max="11027" style="1" width="5.71928583" customWidth="1" outlineLevel="0"/>
    <col min="11028" max="11033" style="1" width="4.86214290" customWidth="1" outlineLevel="0"/>
    <col min="11034" max="11034" style="1" width="2.14785717" customWidth="1" outlineLevel="0"/>
    <col min="11035" max="11035" style="1" width="4.86214290" customWidth="1" outlineLevel="0"/>
    <col min="11036" max="11271" style="1" width="11.29071413" customWidth="1" outlineLevel="0"/>
    <col min="11272" max="11277" style="1" width="4.86214290" customWidth="1" outlineLevel="0"/>
    <col min="11278" max="11278" style="1" width="9.00499998" customWidth="1" outlineLevel="0"/>
    <col min="11279" max="11282" style="1" width="4.86214290" customWidth="1" outlineLevel="0"/>
    <col min="11283" max="11283" style="1" width="5.71928583" customWidth="1" outlineLevel="0"/>
    <col min="11284" max="11289" style="1" width="4.86214290" customWidth="1" outlineLevel="0"/>
    <col min="11290" max="11290" style="1" width="2.14785717" customWidth="1" outlineLevel="0"/>
    <col min="11291" max="11291" style="1" width="4.86214290" customWidth="1" outlineLevel="0"/>
    <col min="11292" max="11527" style="1" width="11.29071413" customWidth="1" outlineLevel="0"/>
    <col min="11528" max="11533" style="1" width="4.86214290" customWidth="1" outlineLevel="0"/>
    <col min="11534" max="11534" style="1" width="9.00499998" customWidth="1" outlineLevel="0"/>
    <col min="11535" max="11538" style="1" width="4.86214290" customWidth="1" outlineLevel="0"/>
    <col min="11539" max="11539" style="1" width="5.71928583" customWidth="1" outlineLevel="0"/>
    <col min="11540" max="11545" style="1" width="4.86214290" customWidth="1" outlineLevel="0"/>
    <col min="11546" max="11546" style="1" width="2.14785717" customWidth="1" outlineLevel="0"/>
    <col min="11547" max="11547" style="1" width="4.86214290" customWidth="1" outlineLevel="0"/>
    <col min="11548" max="11783" style="1" width="11.29071413" customWidth="1" outlineLevel="0"/>
    <col min="11784" max="11789" style="1" width="4.86214290" customWidth="1" outlineLevel="0"/>
    <col min="11790" max="11790" style="1" width="9.00499998" customWidth="1" outlineLevel="0"/>
    <col min="11791" max="11794" style="1" width="4.86214290" customWidth="1" outlineLevel="0"/>
    <col min="11795" max="11795" style="1" width="5.71928583" customWidth="1" outlineLevel="0"/>
    <col min="11796" max="11801" style="1" width="4.86214290" customWidth="1" outlineLevel="0"/>
    <col min="11802" max="11802" style="1" width="2.14785717" customWidth="1" outlineLevel="0"/>
    <col min="11803" max="11803" style="1" width="4.86214290" customWidth="1" outlineLevel="0"/>
    <col min="11804" max="12039" style="1" width="11.29071413" customWidth="1" outlineLevel="0"/>
    <col min="12040" max="12045" style="1" width="4.86214290" customWidth="1" outlineLevel="0"/>
    <col min="12046" max="12046" style="1" width="9.00499998" customWidth="1" outlineLevel="0"/>
    <col min="12047" max="12050" style="1" width="4.86214290" customWidth="1" outlineLevel="0"/>
    <col min="12051" max="12051" style="1" width="5.71928583" customWidth="1" outlineLevel="0"/>
    <col min="12052" max="12057" style="1" width="4.86214290" customWidth="1" outlineLevel="0"/>
    <col min="12058" max="12058" style="1" width="2.14785717" customWidth="1" outlineLevel="0"/>
    <col min="12059" max="12059" style="1" width="4.86214290" customWidth="1" outlineLevel="0"/>
    <col min="12060" max="12295" style="1" width="11.29071413" customWidth="1" outlineLevel="0"/>
    <col min="12296" max="12301" style="1" width="4.86214290" customWidth="1" outlineLevel="0"/>
    <col min="12302" max="12302" style="1" width="9.00499998" customWidth="1" outlineLevel="0"/>
    <col min="12303" max="12306" style="1" width="4.86214290" customWidth="1" outlineLevel="0"/>
    <col min="12307" max="12307" style="1" width="5.71928583" customWidth="1" outlineLevel="0"/>
    <col min="12308" max="12313" style="1" width="4.86214290" customWidth="1" outlineLevel="0"/>
    <col min="12314" max="12314" style="1" width="2.14785717" customWidth="1" outlineLevel="0"/>
    <col min="12315" max="12315" style="1" width="4.86214290" customWidth="1" outlineLevel="0"/>
    <col min="12316" max="12551" style="1" width="11.29071413" customWidth="1" outlineLevel="0"/>
    <col min="12552" max="12557" style="1" width="4.86214290" customWidth="1" outlineLevel="0"/>
    <col min="12558" max="12558" style="1" width="9.00499998" customWidth="1" outlineLevel="0"/>
    <col min="12559" max="12562" style="1" width="4.86214290" customWidth="1" outlineLevel="0"/>
    <col min="12563" max="12563" style="1" width="5.71928583" customWidth="1" outlineLevel="0"/>
    <col min="12564" max="12569" style="1" width="4.86214290" customWidth="1" outlineLevel="0"/>
    <col min="12570" max="12570" style="1" width="2.14785717" customWidth="1" outlineLevel="0"/>
    <col min="12571" max="12571" style="1" width="4.86214290" customWidth="1" outlineLevel="0"/>
    <col min="12572" max="12807" style="1" width="11.29071413" customWidth="1" outlineLevel="0"/>
    <col min="12808" max="12813" style="1" width="4.86214290" customWidth="1" outlineLevel="0"/>
    <col min="12814" max="12814" style="1" width="9.00499998" customWidth="1" outlineLevel="0"/>
    <col min="12815" max="12818" style="1" width="4.86214290" customWidth="1" outlineLevel="0"/>
    <col min="12819" max="12819" style="1" width="5.71928583" customWidth="1" outlineLevel="0"/>
    <col min="12820" max="12825" style="1" width="4.86214290" customWidth="1" outlineLevel="0"/>
    <col min="12826" max="12826" style="1" width="2.14785717" customWidth="1" outlineLevel="0"/>
    <col min="12827" max="12827" style="1" width="4.86214290" customWidth="1" outlineLevel="0"/>
    <col min="12828" max="13063" style="1" width="11.29071413" customWidth="1" outlineLevel="0"/>
    <col min="13064" max="13069" style="1" width="4.86214290" customWidth="1" outlineLevel="0"/>
    <col min="13070" max="13070" style="1" width="9.00499998" customWidth="1" outlineLevel="0"/>
    <col min="13071" max="13074" style="1" width="4.86214290" customWidth="1" outlineLevel="0"/>
    <col min="13075" max="13075" style="1" width="5.71928583" customWidth="1" outlineLevel="0"/>
    <col min="13076" max="13081" style="1" width="4.86214290" customWidth="1" outlineLevel="0"/>
    <col min="13082" max="13082" style="1" width="2.14785717" customWidth="1" outlineLevel="0"/>
    <col min="13083" max="13083" style="1" width="4.86214290" customWidth="1" outlineLevel="0"/>
    <col min="13084" max="13319" style="1" width="11.29071413" customWidth="1" outlineLevel="0"/>
    <col min="13320" max="13325" style="1" width="4.86214290" customWidth="1" outlineLevel="0"/>
    <col min="13326" max="13326" style="1" width="9.00499998" customWidth="1" outlineLevel="0"/>
    <col min="13327" max="13330" style="1" width="4.86214290" customWidth="1" outlineLevel="0"/>
    <col min="13331" max="13331" style="1" width="5.71928583" customWidth="1" outlineLevel="0"/>
    <col min="13332" max="13337" style="1" width="4.86214290" customWidth="1" outlineLevel="0"/>
    <col min="13338" max="13338" style="1" width="2.14785717" customWidth="1" outlineLevel="0"/>
    <col min="13339" max="13339" style="1" width="4.86214290" customWidth="1" outlineLevel="0"/>
    <col min="13340" max="13575" style="1" width="11.29071413" customWidth="1" outlineLevel="0"/>
    <col min="13576" max="13581" style="1" width="4.86214290" customWidth="1" outlineLevel="0"/>
    <col min="13582" max="13582" style="1" width="9.00499998" customWidth="1" outlineLevel="0"/>
    <col min="13583" max="13586" style="1" width="4.86214290" customWidth="1" outlineLevel="0"/>
    <col min="13587" max="13587" style="1" width="5.71928583" customWidth="1" outlineLevel="0"/>
    <col min="13588" max="13593" style="1" width="4.86214290" customWidth="1" outlineLevel="0"/>
    <col min="13594" max="13594" style="1" width="2.14785717" customWidth="1" outlineLevel="0"/>
    <col min="13595" max="13595" style="1" width="4.86214290" customWidth="1" outlineLevel="0"/>
    <col min="13596" max="13831" style="1" width="11.29071413" customWidth="1" outlineLevel="0"/>
    <col min="13832" max="13837" style="1" width="4.86214290" customWidth="1" outlineLevel="0"/>
    <col min="13838" max="13838" style="1" width="9.00499998" customWidth="1" outlineLevel="0"/>
    <col min="13839" max="13842" style="1" width="4.86214290" customWidth="1" outlineLevel="0"/>
    <col min="13843" max="13843" style="1" width="5.71928583" customWidth="1" outlineLevel="0"/>
    <col min="13844" max="13849" style="1" width="4.86214290" customWidth="1" outlineLevel="0"/>
    <col min="13850" max="13850" style="1" width="2.14785717" customWidth="1" outlineLevel="0"/>
    <col min="13851" max="13851" style="1" width="4.86214290" customWidth="1" outlineLevel="0"/>
    <col min="13852" max="14087" style="1" width="11.29071413" customWidth="1" outlineLevel="0"/>
    <col min="14088" max="14093" style="1" width="4.86214290" customWidth="1" outlineLevel="0"/>
    <col min="14094" max="14094" style="1" width="9.00499998" customWidth="1" outlineLevel="0"/>
    <col min="14095" max="14098" style="1" width="4.86214290" customWidth="1" outlineLevel="0"/>
    <col min="14099" max="14099" style="1" width="5.71928583" customWidth="1" outlineLevel="0"/>
    <col min="14100" max="14105" style="1" width="4.86214290" customWidth="1" outlineLevel="0"/>
    <col min="14106" max="14106" style="1" width="2.14785717" customWidth="1" outlineLevel="0"/>
    <col min="14107" max="14107" style="1" width="4.86214290" customWidth="1" outlineLevel="0"/>
    <col min="14108" max="14343" style="1" width="11.29071413" customWidth="1" outlineLevel="0"/>
    <col min="14344" max="14349" style="1" width="4.86214290" customWidth="1" outlineLevel="0"/>
    <col min="14350" max="14350" style="1" width="9.00499998" customWidth="1" outlineLevel="0"/>
    <col min="14351" max="14354" style="1" width="4.86214290" customWidth="1" outlineLevel="0"/>
    <col min="14355" max="14355" style="1" width="5.71928583" customWidth="1" outlineLevel="0"/>
    <col min="14356" max="14361" style="1" width="4.86214290" customWidth="1" outlineLevel="0"/>
    <col min="14362" max="14362" style="1" width="2.14785717" customWidth="1" outlineLevel="0"/>
    <col min="14363" max="14363" style="1" width="4.86214290" customWidth="1" outlineLevel="0"/>
    <col min="14364" max="14599" style="1" width="11.29071413" customWidth="1" outlineLevel="0"/>
    <col min="14600" max="14605" style="1" width="4.86214290" customWidth="1" outlineLevel="0"/>
    <col min="14606" max="14606" style="1" width="9.00499998" customWidth="1" outlineLevel="0"/>
    <col min="14607" max="14610" style="1" width="4.86214290" customWidth="1" outlineLevel="0"/>
    <col min="14611" max="14611" style="1" width="5.71928583" customWidth="1" outlineLevel="0"/>
    <col min="14612" max="14617" style="1" width="4.86214290" customWidth="1" outlineLevel="0"/>
    <col min="14618" max="14618" style="1" width="2.14785717" customWidth="1" outlineLevel="0"/>
    <col min="14619" max="14619" style="1" width="4.86214290" customWidth="1" outlineLevel="0"/>
    <col min="14620" max="14855" style="1" width="11.29071413" customWidth="1" outlineLevel="0"/>
    <col min="14856" max="14861" style="1" width="4.86214290" customWidth="1" outlineLevel="0"/>
    <col min="14862" max="14862" style="1" width="9.00499998" customWidth="1" outlineLevel="0"/>
    <col min="14863" max="14866" style="1" width="4.86214290" customWidth="1" outlineLevel="0"/>
    <col min="14867" max="14867" style="1" width="5.71928583" customWidth="1" outlineLevel="0"/>
    <col min="14868" max="14873" style="1" width="4.86214290" customWidth="1" outlineLevel="0"/>
    <col min="14874" max="14874" style="1" width="2.14785717" customWidth="1" outlineLevel="0"/>
    <col min="14875" max="14875" style="1" width="4.86214290" customWidth="1" outlineLevel="0"/>
    <col min="14876" max="15111" style="1" width="11.29071413" customWidth="1" outlineLevel="0"/>
    <col min="15112" max="15117" style="1" width="4.86214290" customWidth="1" outlineLevel="0"/>
    <col min="15118" max="15118" style="1" width="9.00499998" customWidth="1" outlineLevel="0"/>
    <col min="15119" max="15122" style="1" width="4.86214290" customWidth="1" outlineLevel="0"/>
    <col min="15123" max="15123" style="1" width="5.71928583" customWidth="1" outlineLevel="0"/>
    <col min="15124" max="15129" style="1" width="4.86214290" customWidth="1" outlineLevel="0"/>
    <col min="15130" max="15130" style="1" width="2.14785717" customWidth="1" outlineLevel="0"/>
    <col min="15131" max="15131" style="1" width="4.86214290" customWidth="1" outlineLevel="0"/>
    <col min="15132" max="15367" style="1" width="11.29071413" customWidth="1" outlineLevel="0"/>
    <col min="15368" max="15373" style="1" width="4.86214290" customWidth="1" outlineLevel="0"/>
    <col min="15374" max="15374" style="1" width="9.00499998" customWidth="1" outlineLevel="0"/>
    <col min="15375" max="15378" style="1" width="4.86214290" customWidth="1" outlineLevel="0"/>
    <col min="15379" max="15379" style="1" width="5.71928583" customWidth="1" outlineLevel="0"/>
    <col min="15380" max="15385" style="1" width="4.86214290" customWidth="1" outlineLevel="0"/>
    <col min="15386" max="15386" style="1" width="2.14785717" customWidth="1" outlineLevel="0"/>
    <col min="15387" max="15387" style="1" width="4.86214290" customWidth="1" outlineLevel="0"/>
    <col min="15388" max="15623" style="1" width="11.29071413" customWidth="1" outlineLevel="0"/>
    <col min="15624" max="15629" style="1" width="4.86214290" customWidth="1" outlineLevel="0"/>
    <col min="15630" max="15630" style="1" width="9.00499998" customWidth="1" outlineLevel="0"/>
    <col min="15631" max="15634" style="1" width="4.86214290" customWidth="1" outlineLevel="0"/>
    <col min="15635" max="15635" style="1" width="5.71928583" customWidth="1" outlineLevel="0"/>
    <col min="15636" max="15641" style="1" width="4.86214290" customWidth="1" outlineLevel="0"/>
    <col min="15642" max="15642" style="1" width="2.14785717" customWidth="1" outlineLevel="0"/>
    <col min="15643" max="15643" style="1" width="4.86214290" customWidth="1" outlineLevel="0"/>
    <col min="15644" max="15879" style="1" width="11.29071413" customWidth="1" outlineLevel="0"/>
    <col min="15880" max="15885" style="1" width="4.86214290" customWidth="1" outlineLevel="0"/>
    <col min="15886" max="15886" style="1" width="9.00499998" customWidth="1" outlineLevel="0"/>
    <col min="15887" max="15890" style="1" width="4.86214290" customWidth="1" outlineLevel="0"/>
    <col min="15891" max="15891" style="1" width="5.71928583" customWidth="1" outlineLevel="0"/>
    <col min="15892" max="15897" style="1" width="4.86214290" customWidth="1" outlineLevel="0"/>
    <col min="15898" max="15898" style="1" width="2.14785717" customWidth="1" outlineLevel="0"/>
    <col min="15899" max="15899" style="1" width="4.86214290" customWidth="1" outlineLevel="0"/>
    <col min="15900" max="16135" style="1" width="11.29071413" customWidth="1" outlineLevel="0"/>
    <col min="16136" max="16141" style="1" width="4.86214290" customWidth="1" outlineLevel="0"/>
    <col min="16142" max="16142" style="1" width="9.00499998" customWidth="1" outlineLevel="0"/>
    <col min="16143" max="16146" style="1" width="4.86214290" customWidth="1" outlineLevel="0"/>
    <col min="16147" max="16147" style="1" width="5.71928583" customWidth="1" outlineLevel="0"/>
    <col min="16148" max="16153" style="1" width="4.86214290" customWidth="1" outlineLevel="0"/>
    <col min="16154" max="16154" style="1" width="2.14785717" customWidth="1" outlineLevel="0"/>
    <col min="16155" max="16155" style="1" width="4.86214290" customWidth="1" outlineLevel="0"/>
    <col min="16156" max="16384" style="1" width="11.29071413" customWidth="1" outlineLevel="0"/>
  </cols>
  <sheetData>
    <row r="1" spans="8:27">
      <c r="H1" s="32"/>
      <c r="I1" s="32"/>
    </row>
    <row r="2" spans="8:27">
      <c r="H2" s="32"/>
      <c r="I2" s="32"/>
    </row>
    <row r="3" spans="8:27">
      <c r="H3" s="32"/>
      <c r="I3" s="32"/>
    </row>
    <row r="4" spans="8:27">
      <c r="H4" s="32"/>
      <c r="I4" s="32"/>
    </row>
    <row r="5" spans="8:27">
      <c r="H5" s="32"/>
      <c r="I5" s="32"/>
    </row>
    <row r="6" spans="8:27">
      <c r="H6" s="32"/>
      <c r="I6" s="32"/>
    </row>
    <row r="7" spans="8:27" ht="4.000000" customHeight="1">
      <c r="H7" s="140" t="s">
        <v>47</v>
      </c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spans="8:27" ht="66.000000" customHeight="1">
      <c r="H8" s="142" t="s">
        <v>89</v>
      </c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</row>
    <row r="9" spans="8:27" ht="44.000000" customHeight="1">
      <c r="H9" s="143" t="str">
        <f>갑지!Q25</f>
        <v>마곡엠밸리4단지아파트</v>
      </c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</row>
    <row r="10" spans="8:27" ht="4.000000" customHeight="1">
      <c r="H10" s="144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</row>
    <row r="11" spans="8:27" ht="40.000000" customHeight="1">
      <c r="H11" s="33"/>
      <c r="I11" s="33"/>
    </row>
    <row r="12" spans="8:27" ht="40.000000" customHeight="1">
      <c r="H12" s="33"/>
      <c r="I12" s="33"/>
    </row>
    <row r="13" spans="8:27" ht="40.000000" customHeight="1">
      <c r="H13" s="33"/>
      <c r="I13" s="33"/>
    </row>
    <row r="14" spans="8:27" ht="40.000000" customHeight="1">
      <c r="H14" s="33"/>
      <c r="I14" s="33"/>
    </row>
    <row r="15" spans="8:27" ht="40.000000" customHeight="1">
      <c r="H15" s="33"/>
      <c r="I15" s="33"/>
    </row>
    <row r="16" spans="8:27" ht="22.500000">
      <c r="H16" s="146" t="s">
        <v>87</v>
      </c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8:27" ht="40.000000" customHeight="1">
      <c r="H17" s="33"/>
      <c r="I17" s="33"/>
    </row>
    <row r="18" spans="8:27" ht="40.000000" customHeight="1">
      <c r="H18" s="33"/>
      <c r="I18" s="33"/>
    </row>
    <row r="19" spans="8:27" ht="40.000000" customHeight="1">
      <c r="H19" s="33"/>
      <c r="I19" s="33"/>
    </row>
    <row r="20" spans="8:27" ht="40.000000" customHeight="1">
      <c r="H20" s="33"/>
      <c r="I20" s="33"/>
    </row>
    <row r="21" spans="8:27" ht="40.000000" customHeight="1">
      <c r="H21" s="33"/>
      <c r="I21" s="33"/>
    </row>
    <row r="22" spans="8:27" ht="4.000000" customHeight="1"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</row>
    <row r="23" spans="8:27" ht="53.250000" customHeight="1">
      <c r="J23" s="43"/>
      <c r="K23" s="43"/>
      <c r="O23" s="148" t="s">
        <v>48</v>
      </c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45"/>
      <c r="AA23" s="45"/>
    </row>
    <row r="24" spans="8:27" ht="24.000000" customHeight="1">
      <c r="J24" s="25"/>
      <c r="K24" s="25"/>
      <c r="L24" s="25"/>
      <c r="O24" s="44" t="s">
        <v>49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25"/>
    </row>
    <row r="25" spans="8:27" ht="24.000000" customHeight="1">
      <c r="J25" s="25"/>
      <c r="K25" s="25"/>
      <c r="L25" s="25"/>
      <c r="O25" s="44" t="s">
        <v>50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25"/>
    </row>
    <row r="26" spans="8:27" ht="24.000000" customHeight="1">
      <c r="J26" s="25"/>
      <c r="K26" s="25"/>
      <c r="L26" s="25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8:27" ht="24.000000" customHeight="1">
      <c r="J27" s="25"/>
      <c r="K27" s="25"/>
      <c r="L27" s="25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8:27" ht="43.500000" customHeight="1">
      <c r="H28" s="149" t="s">
        <v>89</v>
      </c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1"/>
    </row>
    <row r="29" spans="8:27" ht="24.950000" customHeight="1">
      <c r="H29" s="152" t="s">
        <v>51</v>
      </c>
      <c r="I29" s="153"/>
      <c r="J29" s="156" t="s">
        <v>52</v>
      </c>
      <c r="K29" s="156"/>
      <c r="L29" s="156"/>
      <c r="M29" s="157" t="str">
        <f>H9</f>
        <v>마곡엠밸리4단지아파트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8"/>
    </row>
    <row r="30" spans="8:27" ht="24.950000" customHeight="1">
      <c r="H30" s="154"/>
      <c r="I30" s="155"/>
      <c r="J30" s="129" t="s">
        <v>53</v>
      </c>
      <c r="K30" s="129"/>
      <c r="L30" s="129"/>
      <c r="M30" s="35" t="s">
        <v>145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59"/>
    </row>
    <row r="31" spans="8:27" ht="24.950000" customHeight="1">
      <c r="H31" s="154"/>
      <c r="I31" s="155"/>
      <c r="J31" s="129"/>
      <c r="K31" s="129"/>
      <c r="L31" s="129"/>
      <c r="M31" s="35" t="s">
        <v>146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159"/>
    </row>
    <row r="32" spans="8:27" ht="24.950000" customHeight="1">
      <c r="H32" s="154"/>
      <c r="I32" s="155"/>
      <c r="J32" s="129"/>
      <c r="K32" s="129"/>
      <c r="L32" s="129"/>
      <c r="M32" s="35" t="s">
        <v>165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59"/>
    </row>
    <row r="33" spans="8:27" ht="24.950000" customHeight="1">
      <c r="H33" s="154"/>
      <c r="I33" s="155"/>
      <c r="J33" s="129"/>
      <c r="K33" s="129"/>
      <c r="L33" s="129"/>
      <c r="M33" s="35" t="s">
        <v>147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59"/>
    </row>
    <row r="34" spans="8:27" ht="24.950000" customHeight="1">
      <c r="H34" s="154"/>
      <c r="I34" s="155"/>
      <c r="J34" s="129"/>
      <c r="K34" s="129"/>
      <c r="L34" s="129"/>
      <c r="M34" s="160" t="s">
        <v>148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1"/>
    </row>
    <row r="35" spans="8:27" ht="24.950000" customHeight="1">
      <c r="H35" s="154" t="s">
        <v>54</v>
      </c>
      <c r="I35" s="155"/>
      <c r="J35" s="129" t="s">
        <v>55</v>
      </c>
      <c r="K35" s="129"/>
      <c r="L35" s="129"/>
      <c r="M35" s="173" t="str">
        <f>M29&amp;" 장기수선계획 검토조정 대행"</f>
        <v>마곡엠밸리4단지아파트 장기수선계획 검토조정 대행</v>
      </c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5"/>
    </row>
    <row r="36" spans="8:27" ht="24.950000" customHeight="1">
      <c r="H36" s="154"/>
      <c r="I36" s="155"/>
      <c r="J36" s="129" t="s">
        <v>56</v>
      </c>
      <c r="K36" s="129"/>
      <c r="L36" s="129"/>
      <c r="M36" s="181" t="str">
        <f>대가산출!I3</f>
        <v>일금오십만원정 (₩500,000) - VAT별도</v>
      </c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2"/>
    </row>
    <row r="37" spans="8:27" ht="24.950000" customHeight="1">
      <c r="H37" s="154"/>
      <c r="I37" s="155"/>
      <c r="J37" s="129" t="s">
        <v>57</v>
      </c>
      <c r="K37" s="129"/>
      <c r="L37" s="129"/>
      <c r="M37" s="130" t="str">
        <f>대가산출!I3</f>
        <v>일금오십만원정 (₩500,000) - VAT별도</v>
      </c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1"/>
    </row>
    <row r="38" spans="8:27" ht="24.950000" customHeight="1">
      <c r="H38" s="154"/>
      <c r="I38" s="155"/>
      <c r="J38" s="129" t="s">
        <v>58</v>
      </c>
      <c r="K38" s="129"/>
      <c r="L38" s="129"/>
      <c r="M38" s="132" t="s">
        <v>59</v>
      </c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3"/>
    </row>
    <row r="39" spans="8:27" ht="24.950000" customHeight="1">
      <c r="H39" s="154"/>
      <c r="I39" s="155"/>
      <c r="J39" s="129" t="s">
        <v>83</v>
      </c>
      <c r="K39" s="129"/>
      <c r="L39" s="129"/>
      <c r="M39" s="132" t="s">
        <v>60</v>
      </c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3"/>
    </row>
    <row r="40" spans="8:27" ht="24.950000" customHeight="1">
      <c r="H40" s="154"/>
      <c r="I40" s="155"/>
      <c r="J40" s="129" t="s">
        <v>84</v>
      </c>
      <c r="K40" s="129"/>
      <c r="L40" s="129"/>
      <c r="M40" s="132" t="str">
        <f>갑지!Q26</f>
        <v>서울 성북구 길음로9길 50 (길음동)</v>
      </c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3"/>
    </row>
    <row r="41" spans="8:27" ht="24.950000" customHeight="1">
      <c r="H41" s="154"/>
      <c r="I41" s="155"/>
      <c r="J41" s="129"/>
      <c r="K41" s="129"/>
      <c r="L41" s="129"/>
      <c r="M41" s="134" t="s">
        <v>140</v>
      </c>
      <c r="N41" s="92"/>
      <c r="O41" s="92" t="s">
        <v>137</v>
      </c>
      <c r="P41" s="92"/>
      <c r="Q41" s="92"/>
      <c r="R41" s="92"/>
      <c r="S41" s="92"/>
      <c r="T41" s="92" t="s">
        <v>10</v>
      </c>
      <c r="U41" s="92" t="s">
        <v>138</v>
      </c>
      <c r="V41" s="92"/>
      <c r="W41" s="92" t="s">
        <v>139</v>
      </c>
      <c r="X41" s="92"/>
      <c r="Y41" s="92"/>
      <c r="Z41" s="92"/>
      <c r="AA41" s="135"/>
    </row>
    <row r="42" spans="8:27" ht="24.950000" customHeight="1">
      <c r="H42" s="183"/>
      <c r="I42" s="184"/>
      <c r="J42" s="164" t="s">
        <v>61</v>
      </c>
      <c r="K42" s="165"/>
      <c r="L42" s="166"/>
      <c r="M42" s="167" t="s">
        <v>66</v>
      </c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9"/>
    </row>
    <row r="43" spans="8:27" ht="24.950000" customHeight="1">
      <c r="H43" s="185"/>
      <c r="I43" s="186"/>
      <c r="J43" s="170" t="s">
        <v>62</v>
      </c>
      <c r="K43" s="170"/>
      <c r="L43" s="170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2"/>
    </row>
    <row r="44" spans="8:27" ht="13.500000">
      <c r="H44" s="176"/>
      <c r="I44" s="177"/>
      <c r="J44" s="177"/>
      <c r="K44" s="177"/>
      <c r="AA44" s="46"/>
    </row>
    <row r="45" spans="8:27" ht="67.500000" customHeight="1">
      <c r="H45" s="178" t="s">
        <v>134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79"/>
    </row>
    <row r="46" spans="8:27" ht="14.250000">
      <c r="H46" s="34"/>
      <c r="I46" s="25"/>
      <c r="J46" s="25"/>
      <c r="K46" s="25"/>
      <c r="L46" s="106"/>
      <c r="M46" s="107"/>
      <c r="N46" s="108"/>
      <c r="O46" s="108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9"/>
    </row>
    <row r="47" spans="8:27" ht="24.950000" customHeight="1">
      <c r="H47" s="180" t="s">
        <v>169</v>
      </c>
      <c r="I47" s="26"/>
      <c r="J47" s="26"/>
      <c r="K47" s="26"/>
      <c r="L47" s="26"/>
      <c r="M47" s="35" t="s">
        <v>90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159"/>
    </row>
    <row r="48" spans="8:27" ht="24.950000" customHeight="1">
      <c r="H48" s="34"/>
      <c r="I48" s="25"/>
      <c r="J48" s="2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159"/>
    </row>
    <row r="49" spans="7:27" ht="24.950000" customHeight="1">
      <c r="H49" s="34"/>
      <c r="I49" s="25"/>
      <c r="J49" s="2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59"/>
    </row>
    <row r="50" spans="7:27" ht="14.250000">
      <c r="H50" s="119"/>
      <c r="I50" s="120"/>
      <c r="J50" s="120"/>
      <c r="K50" s="120"/>
      <c r="L50" s="106"/>
      <c r="M50" s="107"/>
      <c r="N50" s="108"/>
      <c r="O50" s="108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9"/>
    </row>
    <row r="51" spans="7:27" ht="24.950000" customHeight="1">
      <c r="H51" s="121" t="s">
        <v>170</v>
      </c>
      <c r="I51" s="122"/>
      <c r="J51" s="122"/>
      <c r="K51" s="122"/>
      <c r="L51" s="122"/>
      <c r="M51" s="123" t="s">
        <v>65</v>
      </c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4"/>
    </row>
    <row r="52" spans="7:27" ht="40.500000" customHeight="1">
      <c r="G52" s="1"/>
      <c r="H52" s="125" t="s">
        <v>93</v>
      </c>
      <c r="I52" s="126"/>
      <c r="J52" s="126"/>
      <c r="K52" s="126"/>
      <c r="L52" s="126"/>
      <c r="M52" s="126"/>
      <c r="N52" s="126"/>
      <c r="O52" s="126"/>
      <c r="P52" s="126"/>
      <c r="Q52" s="263"/>
      <c r="R52" s="126" t="s">
        <v>94</v>
      </c>
      <c r="S52" s="126"/>
      <c r="T52" s="126"/>
      <c r="U52" s="126"/>
      <c r="V52" s="126"/>
      <c r="W52" s="126"/>
      <c r="X52" s="126"/>
      <c r="Y52" s="126"/>
      <c r="Z52" s="126"/>
      <c r="AA52" s="127"/>
    </row>
    <row r="53" spans="7:27" ht="40.500000" customHeight="1">
      <c r="G53" s="1"/>
      <c r="H53" s="162" t="s">
        <v>95</v>
      </c>
      <c r="I53" s="259"/>
      <c r="J53" s="259"/>
      <c r="K53" s="260" t="str">
        <f>M29</f>
        <v>마곡엠밸리4단지아파트</v>
      </c>
      <c r="L53" s="260"/>
      <c r="M53" s="260"/>
      <c r="N53" s="260"/>
      <c r="O53" s="260"/>
      <c r="P53" s="260"/>
      <c r="Q53" s="264"/>
      <c r="R53" s="44" t="s">
        <v>96</v>
      </c>
      <c r="S53" s="44"/>
      <c r="T53" s="44"/>
      <c r="U53" s="44" t="s">
        <v>97</v>
      </c>
      <c r="V53" s="44"/>
      <c r="W53" s="44"/>
      <c r="X53" s="44"/>
      <c r="Y53" s="44"/>
      <c r="Z53" s="44"/>
      <c r="AA53" s="136"/>
    </row>
    <row r="54" spans="7:27" ht="40.500000" customHeight="1">
      <c r="G54" s="1"/>
      <c r="H54" s="162" t="s">
        <v>98</v>
      </c>
      <c r="I54" s="259"/>
      <c r="J54" s="259"/>
      <c r="K54" s="262" t="str">
        <f>M40</f>
        <v>서울 성북구 길음로9길 50 (길음동)</v>
      </c>
      <c r="L54" s="262"/>
      <c r="M54" s="262"/>
      <c r="N54" s="262"/>
      <c r="O54" s="262"/>
      <c r="P54" s="262"/>
      <c r="Q54" s="265"/>
      <c r="R54" s="44" t="s">
        <v>99</v>
      </c>
      <c r="S54" s="44"/>
      <c r="T54" s="44"/>
      <c r="U54" s="137" t="s">
        <v>175</v>
      </c>
      <c r="V54" s="137"/>
      <c r="W54" s="137"/>
      <c r="X54" s="137"/>
      <c r="Y54" s="137"/>
      <c r="Z54" s="137"/>
      <c r="AA54" s="138"/>
    </row>
    <row r="55" spans="7:27" ht="40.500000" customHeight="1">
      <c r="G55" s="1"/>
      <c r="H55" s="163" t="s">
        <v>174</v>
      </c>
      <c r="I55" s="139"/>
      <c r="J55" s="139"/>
      <c r="K55" s="139"/>
      <c r="L55" s="139"/>
      <c r="M55" s="139"/>
      <c r="N55" s="139"/>
      <c r="O55" s="139"/>
      <c r="P55" s="139"/>
      <c r="Q55" s="266" t="s">
        <v>67</v>
      </c>
      <c r="R55" s="139" t="s">
        <v>100</v>
      </c>
      <c r="S55" s="139"/>
      <c r="T55" s="139"/>
      <c r="U55" s="139" t="s">
        <v>68</v>
      </c>
      <c r="V55" s="139"/>
      <c r="W55" s="139"/>
      <c r="X55" s="139"/>
      <c r="Y55" s="139"/>
      <c r="Z55" s="139"/>
      <c r="AA55" s="112" t="s">
        <v>67</v>
      </c>
    </row>
    <row r="56" spans="7:27" ht="16.500000">
      <c r="H56" s="128" t="s">
        <v>63</v>
      </c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</row>
    <row r="57" spans="7:27" ht="25.500000">
      <c r="H57" s="117" t="s">
        <v>91</v>
      </c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</row>
    <row r="58" spans="7:27" ht="14.250000">
      <c r="H58" s="26"/>
      <c r="L58" s="29"/>
      <c r="M58" s="30"/>
      <c r="O58" s="1"/>
    </row>
    <row r="59" spans="7:27" ht="20.000000" customHeight="1">
      <c r="H59" s="35" t="s">
        <v>167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7:27" ht="20.000000" customHeight="1">
      <c r="H60" s="35" t="s">
        <v>168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7:27" ht="20.000000" customHeight="1">
      <c r="H61" s="118" t="str">
        <f>K53</f>
        <v>마곡엠밸리4단지아파트</v>
      </c>
      <c r="I61" s="118"/>
      <c r="J61" s="118"/>
      <c r="K61" s="118"/>
      <c r="L61" s="118"/>
      <c r="M61" s="118"/>
      <c r="N61" s="118"/>
      <c r="O61" s="36" t="s">
        <v>172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7:27" ht="20.000000" customHeight="1">
      <c r="H62" s="36" t="s">
        <v>173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7:27" ht="20.000000" customHeight="1">
      <c r="H63" s="35"/>
      <c r="I63" s="35"/>
      <c r="J63" s="35"/>
      <c r="K63" s="35"/>
      <c r="L63" s="35"/>
      <c r="M63" s="35"/>
      <c r="N63" s="35"/>
      <c r="O63" s="35"/>
      <c r="P63" s="35"/>
    </row>
    <row r="64" spans="7:27" ht="20.000000" customHeight="1">
      <c r="H64" s="114" t="s">
        <v>149</v>
      </c>
      <c r="I64" s="114"/>
      <c r="J64" s="114"/>
      <c r="K64" s="114"/>
      <c r="L64" s="114"/>
      <c r="M64" s="114"/>
      <c r="N64" s="114"/>
      <c r="O64" s="114"/>
      <c r="P64" s="114"/>
    </row>
    <row r="65" spans="8:27" ht="75.750000" customHeight="1">
      <c r="I65" s="35" t="s">
        <v>85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8:27" ht="20.000000" customHeight="1">
      <c r="H66" s="37"/>
      <c r="L66" s="29"/>
      <c r="M66" s="30"/>
      <c r="O66" s="1"/>
    </row>
    <row r="67" spans="8:27" ht="20.000000" customHeight="1">
      <c r="H67" s="114" t="s">
        <v>69</v>
      </c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</row>
    <row r="68" spans="8:27" ht="19.500000" customHeight="1">
      <c r="I68" s="36" t="s">
        <v>101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8:27" ht="39.000000" customHeight="1">
      <c r="I69" s="36"/>
      <c r="J69" s="35" t="s">
        <v>70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8:27" ht="39.000000" customHeight="1">
      <c r="I70" s="36"/>
      <c r="J70" s="35" t="s">
        <v>103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pans="8:27" ht="20.000000" customHeight="1">
      <c r="I71" s="36" t="s">
        <v>102</v>
      </c>
      <c r="J71" s="36"/>
      <c r="K71" s="36"/>
      <c r="L71" s="115"/>
      <c r="M71" s="115"/>
      <c r="N71" s="115"/>
      <c r="O71" s="115"/>
      <c r="P71" s="115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 spans="8:27" ht="20.000000" customHeight="1">
      <c r="I72" s="42"/>
      <c r="J72" s="36" t="s">
        <v>86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8:27" ht="33.000000" customHeight="1">
      <c r="I73" s="42"/>
      <c r="J73" s="35" t="s">
        <v>132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8:27" ht="20.000000" customHeight="1">
      <c r="H74" s="37"/>
      <c r="L74" s="29"/>
      <c r="M74" s="30"/>
      <c r="O74" s="1"/>
    </row>
    <row r="75" spans="8:27" ht="20.000000" customHeight="1">
      <c r="H75" s="114" t="s">
        <v>71</v>
      </c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</row>
    <row r="76" spans="8:27" ht="20.000000" customHeight="1">
      <c r="I76" s="36" t="s">
        <v>72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8:27" ht="20.000000" customHeight="1">
      <c r="H77" s="37"/>
      <c r="L77" s="29"/>
      <c r="M77" s="30"/>
      <c r="O77" s="1"/>
    </row>
    <row r="78" spans="8:27" ht="20.000000" customHeight="1">
      <c r="H78" s="114" t="s">
        <v>73</v>
      </c>
      <c r="I78" s="114"/>
      <c r="J78" s="114"/>
      <c r="K78" s="114"/>
      <c r="L78" s="114"/>
      <c r="M78" s="114"/>
      <c r="N78" s="114"/>
      <c r="O78" s="114"/>
      <c r="P78" s="114"/>
    </row>
    <row r="79" spans="8:27" ht="16.500000" customHeight="1">
      <c r="I79" s="35" t="s">
        <v>107</v>
      </c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8:27" ht="16.500000" customHeight="1">
      <c r="H80" s="38"/>
      <c r="I80" s="35" t="s">
        <v>106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8:27" ht="31.500000" customHeight="1">
      <c r="H81" s="39"/>
      <c r="I81" s="35" t="s">
        <v>104</v>
      </c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8:27" ht="31.500000" customHeight="1">
      <c r="H82" s="39"/>
      <c r="I82" s="35" t="s">
        <v>105</v>
      </c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8:27" ht="20.000000" customHeight="1">
      <c r="I83" s="42"/>
      <c r="J83" s="42"/>
      <c r="K83" s="42"/>
      <c r="L83" s="42"/>
      <c r="M83" s="42"/>
      <c r="N83" s="42"/>
      <c r="O83" s="42"/>
      <c r="P83" s="42"/>
    </row>
    <row r="84" spans="8:27" ht="20.000000" customHeight="1">
      <c r="H84" s="114" t="s">
        <v>74</v>
      </c>
      <c r="I84" s="114"/>
      <c r="J84" s="114"/>
      <c r="K84" s="114"/>
      <c r="L84" s="114"/>
      <c r="M84" s="114"/>
      <c r="N84" s="114"/>
      <c r="O84" s="114"/>
      <c r="P84" s="114"/>
    </row>
    <row r="85" spans="8:27" ht="52.500000" customHeight="1">
      <c r="I85" s="35" t="s">
        <v>75</v>
      </c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spans="8:27" ht="24.000000" customHeight="1"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spans="8:27" ht="20.000000" customHeight="1">
      <c r="H87" s="114" t="s">
        <v>76</v>
      </c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</row>
    <row r="88" spans="8:27" ht="63.000000" customHeight="1">
      <c r="I88" s="35" t="s">
        <v>108</v>
      </c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8:27" ht="17.000000" customHeight="1">
      <c r="I89" s="35" t="s">
        <v>109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8:27" ht="17.000000" customHeight="1">
      <c r="I90" s="35"/>
      <c r="J90" s="35" t="s">
        <v>110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8:27" ht="17.000000" customHeight="1">
      <c r="I91" s="35"/>
      <c r="J91" s="35" t="s">
        <v>111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spans="8:27" ht="17.000000" customHeight="1">
      <c r="I92" s="35"/>
      <c r="J92" s="35" t="s">
        <v>112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pans="8:27" ht="17.000000" customHeight="1">
      <c r="I93" s="35"/>
      <c r="J93" s="35" t="s">
        <v>113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pans="8:27" ht="17.000000" customHeight="1">
      <c r="I94" s="35"/>
      <c r="J94" s="35" t="s">
        <v>114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pans="8:27" ht="17.000000" customHeight="1">
      <c r="I95" s="35"/>
      <c r="J95" s="35" t="s">
        <v>115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spans="8:27" ht="17.000000" customHeight="1">
      <c r="I96" s="35"/>
      <c r="J96" s="35" t="s">
        <v>116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spans="8:27" ht="20.000000" customHeight="1">
      <c r="H97" s="37"/>
      <c r="L97" s="29"/>
      <c r="M97" s="30"/>
      <c r="O97" s="1"/>
    </row>
    <row r="98" spans="8:27" ht="20.000000" customHeight="1">
      <c r="H98" s="114" t="s">
        <v>78</v>
      </c>
      <c r="I98" s="114"/>
      <c r="J98" s="114"/>
      <c r="K98" s="114"/>
      <c r="L98" s="114"/>
      <c r="M98" s="114"/>
      <c r="N98" s="114"/>
      <c r="O98" s="114"/>
      <c r="P98" s="114"/>
    </row>
    <row r="99" spans="8:27" ht="37.500000" customHeight="1">
      <c r="I99" s="35" t="s">
        <v>77</v>
      </c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pans="8:27" ht="20.000000" customHeight="1">
      <c r="H100" s="37"/>
      <c r="L100" s="29"/>
      <c r="M100" s="30"/>
      <c r="O100" s="1"/>
    </row>
    <row r="101" spans="8:27" ht="20.000000" customHeight="1">
      <c r="H101" s="114" t="s">
        <v>79</v>
      </c>
      <c r="I101" s="114"/>
      <c r="J101" s="114"/>
      <c r="K101" s="114"/>
      <c r="L101" s="114"/>
      <c r="M101" s="114"/>
      <c r="N101" s="114"/>
      <c r="O101" s="114"/>
      <c r="P101" s="114"/>
    </row>
    <row r="102" spans="8:27" s="31" customFormat="1" ht="37.000000" customHeight="1">
      <c r="H102" s="40"/>
      <c r="I102" s="35" t="s">
        <v>141</v>
      </c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8:27" ht="37.000000" customHeight="1">
      <c r="I103" s="35" t="s">
        <v>117</v>
      </c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8:27" ht="37.000000" customHeight="1">
      <c r="I104" s="35" t="s">
        <v>118</v>
      </c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8:27" ht="20.000000" customHeight="1">
      <c r="H105" s="37"/>
      <c r="L105" s="29"/>
      <c r="M105" s="30"/>
      <c r="O105" s="1"/>
    </row>
    <row r="106" spans="8:27" ht="20.000000" customHeight="1">
      <c r="H106" s="114" t="s">
        <v>80</v>
      </c>
      <c r="I106" s="114"/>
      <c r="J106" s="114"/>
      <c r="K106" s="114"/>
      <c r="L106" s="114"/>
      <c r="M106" s="114"/>
      <c r="N106" s="114"/>
      <c r="O106" s="114"/>
      <c r="P106" s="114"/>
    </row>
    <row r="107" spans="8:27" ht="27.750000" customHeight="1">
      <c r="H107" s="39"/>
      <c r="I107" s="35" t="s">
        <v>119</v>
      </c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8:27" ht="52.500000" customHeight="1">
      <c r="H108" s="39"/>
      <c r="I108" s="35" t="s">
        <v>120</v>
      </c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8:27" ht="21.000000" customHeight="1">
      <c r="H109" s="39"/>
      <c r="I109" s="35" t="s">
        <v>121</v>
      </c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spans="8:27" s="31" customFormat="1" ht="37.000000" customHeight="1">
      <c r="H110" s="41"/>
      <c r="I110" s="35" t="s">
        <v>122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spans="8:27" ht="52.500000" customHeight="1">
      <c r="I111" s="113" t="s">
        <v>133</v>
      </c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</row>
    <row r="112" spans="8:27" ht="39.000000" customHeight="1">
      <c r="I112" s="35" t="s">
        <v>123</v>
      </c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spans="9:27" ht="41.250000" customHeight="1">
      <c r="I113" s="113" t="s">
        <v>136</v>
      </c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</row>
    <row r="114" ht="49.950000" customHeight="1"/>
    <row r="115" ht="24.950000" customHeight="1"/>
    <row r="116" ht="24.950000" customHeight="1"/>
  </sheetData>
  <mergeCells count="112">
    <mergeCell ref="H7:AA7"/>
    <mergeCell ref="H8:AA8"/>
    <mergeCell ref="H9:AA9"/>
    <mergeCell ref="H10:AA10"/>
    <mergeCell ref="H16:AA16"/>
    <mergeCell ref="H22:AA22"/>
    <mergeCell ref="O23:Y23"/>
    <mergeCell ref="O24:Z24"/>
    <mergeCell ref="O25:Z25"/>
    <mergeCell ref="H28:AA28"/>
    <mergeCell ref="H29:I34"/>
    <mergeCell ref="J29:L29"/>
    <mergeCell ref="M29:AA29"/>
    <mergeCell ref="J30:L34"/>
    <mergeCell ref="M30:AA30"/>
    <mergeCell ref="M31:AA31"/>
    <mergeCell ref="M32:AA32"/>
    <mergeCell ref="M33:AA33"/>
    <mergeCell ref="M34:AA34"/>
    <mergeCell ref="H35:I43"/>
    <mergeCell ref="J35:L35"/>
    <mergeCell ref="M35:AA35"/>
    <mergeCell ref="J36:L36"/>
    <mergeCell ref="M36:AA36"/>
    <mergeCell ref="J37:L37"/>
    <mergeCell ref="M37:AA37"/>
    <mergeCell ref="J38:L38"/>
    <mergeCell ref="M38:AA38"/>
    <mergeCell ref="J39:L39"/>
    <mergeCell ref="M39:AA39"/>
    <mergeCell ref="J40:L41"/>
    <mergeCell ref="M40:AA40"/>
    <mergeCell ref="M41:N41"/>
    <mergeCell ref="O41:S41"/>
    <mergeCell ref="U41:V41"/>
    <mergeCell ref="W41:AA41"/>
    <mergeCell ref="J42:L42"/>
    <mergeCell ref="M42:AA42"/>
    <mergeCell ref="J43:L43"/>
    <mergeCell ref="M43:AA43"/>
    <mergeCell ref="H44:K44"/>
    <mergeCell ref="H45:AA45"/>
    <mergeCell ref="H47:L47"/>
    <mergeCell ref="M47:AA47"/>
    <mergeCell ref="K48:AA48"/>
    <mergeCell ref="K49:AA49"/>
    <mergeCell ref="H50:K50"/>
    <mergeCell ref="H51:L51"/>
    <mergeCell ref="M51:AA51"/>
    <mergeCell ref="H52:Q52"/>
    <mergeCell ref="R52:AA52"/>
    <mergeCell ref="H53:J53"/>
    <mergeCell ref="K53:Q53"/>
    <mergeCell ref="R53:T53"/>
    <mergeCell ref="U53:AA53"/>
    <mergeCell ref="H54:J54"/>
    <mergeCell ref="K54:Q54"/>
    <mergeCell ref="R54:T54"/>
    <mergeCell ref="U54:AA54"/>
    <mergeCell ref="H55:J55"/>
    <mergeCell ref="K55:P55"/>
    <mergeCell ref="R55:T55"/>
    <mergeCell ref="U55:Z55"/>
    <mergeCell ref="H56:AA56"/>
    <mergeCell ref="H57:AA57"/>
    <mergeCell ref="H59:AA59"/>
    <mergeCell ref="H60:AA60"/>
    <mergeCell ref="H61:N61"/>
    <mergeCell ref="O61:AA61"/>
    <mergeCell ref="H62:AA62"/>
    <mergeCell ref="H64:P64"/>
    <mergeCell ref="I65:AA65"/>
    <mergeCell ref="H67:AA67"/>
    <mergeCell ref="I68:AA68"/>
    <mergeCell ref="J69:AA69"/>
    <mergeCell ref="J70:AA70"/>
    <mergeCell ref="I71:AA71"/>
    <mergeCell ref="J72:AA72"/>
    <mergeCell ref="J73:AA73"/>
    <mergeCell ref="H75:AA75"/>
    <mergeCell ref="I76:AA76"/>
    <mergeCell ref="H78:P78"/>
    <mergeCell ref="I79:AA79"/>
    <mergeCell ref="I80:AA80"/>
    <mergeCell ref="I81:AA81"/>
    <mergeCell ref="I82:AA82"/>
    <mergeCell ref="H84:P84"/>
    <mergeCell ref="I85:AA85"/>
    <mergeCell ref="H87:AA87"/>
    <mergeCell ref="I88:AA88"/>
    <mergeCell ref="I89:AA89"/>
    <mergeCell ref="J90:AA90"/>
    <mergeCell ref="J91:AA91"/>
    <mergeCell ref="J92:AA92"/>
    <mergeCell ref="J93:AA93"/>
    <mergeCell ref="J94:AA94"/>
    <mergeCell ref="J95:AA95"/>
    <mergeCell ref="J96:AA96"/>
    <mergeCell ref="H98:P98"/>
    <mergeCell ref="I99:AA99"/>
    <mergeCell ref="H101:P101"/>
    <mergeCell ref="I102:AA102"/>
    <mergeCell ref="I103:AA103"/>
    <mergeCell ref="I104:AA104"/>
    <mergeCell ref="H106:P106"/>
    <mergeCell ref="I107:AA107"/>
    <mergeCell ref="I108:AA108"/>
    <mergeCell ref="I109:AA109"/>
    <mergeCell ref="I110:AA110"/>
    <mergeCell ref="I111:AA111"/>
    <mergeCell ref="I112:AA112"/>
    <mergeCell ref="I113:AA113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rowBreaks count="3" manualBreakCount="3">
    <brk id="27" min="7" max="26" man="1"/>
    <brk id="55" max="16383" man="1"/>
    <brk id="86" min="7" max="26" man="1"/>
  </rowBreaks>
  <colBreaks count="1" manualBreakCount="1">
    <brk id="27" max="112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ì—ì´ì•¤ë¹„</dc:creator>
  <cp:lastModifiedBy>djg04078</cp:lastModifiedBy>
  <dcterms:modified xsi:type="dcterms:W3CDTF">2026-05-08T07:56:27Z</dcterms:modified>
</cp:coreProperties>
</file>