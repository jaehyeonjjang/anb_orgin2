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7" rupBuild=""/>
  <workbookPr/>
  <bookViews>
    <workbookView xWindow="360" yWindow="30" windowWidth="25755" windowHeight="11595" tabRatio="731" activeTab="2"/>
  </bookViews>
  <sheets>
    <sheet name="갑지" sheetId="21" r:id="rId1"/>
    <sheet name="대가산출" sheetId="22" r:id="rId2"/>
    <sheet name="계약서1" sheetId="20" r:id="rId3"/>
    <sheet name="체크리스트" sheetId="24" r:id="rId4"/>
    <sheet name="봉투겉장" sheetId="25" r:id="rId5"/>
    <sheet name="계획서" sheetId="23" r:id="rId6"/>
  </sheets>
  <externalReferences>
    <externalReference r:id="rId7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갑지!$B$1:$AC$39</definedName>
    <definedName name="_xlnm.Print_Area" localSheetId="2">계약서1!$B$1:$U$164</definedName>
    <definedName name="_xlnm.Print_Area" localSheetId="5">계획서!$A$1:$AC$92</definedName>
    <definedName name="_xlnm.Print_Area" localSheetId="1">대가산출!$B$1:$I$36</definedName>
    <definedName name="_xlnm.Print_Area" localSheetId="4">봉투겉장!$A$1:$A$3</definedName>
    <definedName name="_xlnm.Print_Area" localSheetId="3">체크리스트!$A$1:$P$46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<sst xmlns="http://schemas.openxmlformats.org/spreadsheetml/2006/main" count="482" uniqueCount="482">
  <si>
    <t>식</t>
  </si>
  <si>
    <t xml:space="preserve"> 2. 제   경   비</t>
  </si>
  <si>
    <t xml:space="preserve"> 3. 기   술   료</t>
  </si>
  <si>
    <t xml:space="preserve"> 4. 직 접  경 비</t>
  </si>
  <si>
    <t>가.외업</t>
  </si>
  <si>
    <t>나.내업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</si>
  <si>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</si>
  <si>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</si>
  <si>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</si>
  <si>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</si>
  <si>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</si>
  <si>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</si>
  <si>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>%</t>
  </si>
  <si>
    <t>1. 직 접 인 건 비</t>
  </si>
  <si>
    <t>( 1 + 2 + 3 + 4 )</t>
  </si>
  <si>
    <t>6. 합 계 금 액</t>
  </si>
  <si>
    <t>공 급 가 액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</si>
  <si>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</si>
  <si>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</si>
  <si>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</si>
  <si>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</si>
  <si>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</si>
  <si>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</si>
  <si>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</si>
  <si>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</si>
  <si>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</si>
  <si>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</si>
  <si>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정밀안전점검 용역 계약서</t>
  </si>
  <si>
    <t>㈜ 에이앤비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</si>
  <si>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</si>
  <si>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t>시설물의 정밀안전점검 표준계약서</t>
  </si>
  <si>
    <t>계  약  자</t>
  </si>
  <si>
    <t>관 리 주 체</t>
  </si>
  <si>
    <t>계약상대자</t>
  </si>
  <si>
    <t>계  약  내  용</t>
  </si>
  <si>
    <t>계 약 건 명</t>
  </si>
  <si>
    <t>계 약 금 액</t>
  </si>
  <si>
    <t>부가 가치세</t>
  </si>
  <si>
    <t>10% 별도</t>
  </si>
  <si>
    <t>계 약  기 간</t>
  </si>
  <si>
    <t>위          치</t>
  </si>
  <si>
    <t>보고서 납품</t>
  </si>
  <si>
    <t>기 타 사 항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</si>
  <si>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</si>
  <si>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>1. 시설물의 정밀안전점검 표준계약조건 1부.</t>
  </si>
  <si>
    <t xml:space="preserve">                                      (인)</t>
  </si>
  <si>
    <t xml:space="preserve"> 서        응       원    (인)</t>
  </si>
  <si>
    <t>시설물의 정밀안전점검 표준계약조건</t>
  </si>
  <si>
    <r>
      <t xml:space="preserve">① 계약기간은 착수 일로부터 </t>
    </r>
    <r>
      <rPr>
        <sz val="12"/>
        <color rgb="FF000000"/>
        <rFont val="돋움"/>
      </rPr>
      <t xml:space="preserve">  일간으로 한다.</t>
    </r>
  </si>
  <si>
    <r>
      <t>② 다만</t>
    </r>
    <r>
      <rPr>
        <sz val="12"/>
        <color rgb="FF000000"/>
        <rFont val="돋움"/>
      </rPr>
      <t>, 천재지변 및 부득이한 사유로 인하여 정밀안전점검의 일부 또는 전부의 변경이 불가피한 경우에는 "발주자"와 "수주자"는 협의하여 그 기간을 변경할 수 있다.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</si>
  <si>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</rPr>
      <t>.</t>
    </r>
  </si>
  <si>
    <t>③ 제3조 제2항에 따라 정밀안전점검 업무의 일부 또는 전부의 변경이 불가피한 경우 "발주자"와 "수주자"는 협의하여 변경할 수 있다.</t>
  </si>
  <si>
    <t>정밀안전점검 대가 지급은 기획재정부가 회계예규로 정한 기술․용역 계약 일반조건 지급 요령에 의한다.</t>
  </si>
  <si>
    <r>
      <t xml:space="preserve">① </t>
    </r>
    <r>
      <rPr>
        <sz val="12"/>
        <color rgb="FF000000"/>
        <rFont val="돋움"/>
      </rPr>
      <t>"수주자"는 제1조에서 규정한 목적을 수행하기 위하여 모든 지식과 기술을 활용, 신의와 성실의 원칙에 입각하여 계약을 이행한다.</t>
    </r>
  </si>
  <si>
    <t>② "수주자"는 시설물안전법 제21조의 규정에 의한 안전점검 등에 관한 지침에 의거 정밀안전점검을 성실하게 실시하여야 한다.</t>
  </si>
  <si>
    <r>
      <t xml:space="preserve">③ </t>
    </r>
    <r>
      <rPr>
        <sz val="12"/>
        <color rgb="FF000000"/>
        <rFont val="돋움"/>
      </rPr>
      <t>"수주자"는 정밀안전점검을 실시함에 있어 시설물안전법 제11조의 규정에 따라 실시한 정밀안전점검 결과를 기초로 수행하여야 하며, "발주자"는 주요결함사항 및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내용 등에 대하여 "수주자"에게 미리 통보하여야 한다.</t>
    </r>
  </si>
  <si>
    <r>
      <t xml:space="preserve">④ </t>
    </r>
    <r>
      <rPr>
        <sz val="12"/>
        <color rgb="FF000000"/>
        <rFont val="돋움"/>
      </rPr>
      <t>"수주자"는 점검수행 중 발생한 안전사고에 대해 책임을 지며, 안전사고를 미연에 방지하도록 하여야 한다.</t>
    </r>
  </si>
  <si>
    <t>② "수주자"는 계약기간 중에도 시설물안전법 제22조 및 동법 시행령 제18조에 따른 중대한 결함이 있을 경우에는 서면으로 "발주자"에게 통보하여야 한다.</t>
  </si>
  <si>
    <t>③ "수주자"는 정밀안전점검 실시 후 실시 결과를 시설물통합정보시스템(FMS)에 등록 및 보고하여야 한다.</t>
  </si>
  <si>
    <r>
      <t>② 다만</t>
    </r>
    <r>
      <rPr>
        <sz val="12"/>
        <color rgb="FF000000"/>
        <rFont val="돋움"/>
      </rPr>
      <t>, 국방 기타 보안상의 기밀을 요하는 시설물의 경우에는 "발주자" 또는 관련기관의 동의를 얻어 이를 열람할 수 있다.</t>
    </r>
  </si>
  <si>
    <t>① "발주자"는 "수주자"가 정밀안전점검을 공정하게 실시할 수 있도록 제반여건을 조성하여야 한다.</t>
  </si>
  <si>
    <t>③ "발주자"는 정밀안전점검을 실시함에 있어서 시설물의 근접조사 및 상세조사가 가능하도록 "수주자"에게 협조하여야 한다.</t>
  </si>
  <si>
    <r>
      <t>"수주자"가 정밀안전점검 업무와 관련하여 인</t>
    </r>
    <r>
      <rPr>
        <sz val="12"/>
        <color rgb="FF000000"/>
        <rFont val="한컴돋움"/>
      </rPr>
      <t>・</t>
    </r>
    <r>
      <rPr>
        <sz val="12"/>
        <color rgb="FF000000"/>
        <rFont val="돋움"/>
      </rPr>
      <t>허가 등의 사항이 필요한 경우에는 "발주자"는 정밀안전점검 업무수행에 지장이 없도록 협조하여야 한다.</t>
    </r>
  </si>
  <si>
    <r>
      <t>본 계약은 다음의 경우에 해제 또는 해지할 수 있다</t>
    </r>
    <r>
      <rPr>
        <sz val="12"/>
        <color rgb="FF000000"/>
        <rFont val="돋움"/>
      </rPr>
      <t>.</t>
    </r>
  </si>
  <si>
    <r>
      <t>"수주자"는 정밀안전점검 수행시 얻은 정보 또는 성과품 및 자료를 계약이행의 전</t>
    </r>
    <r>
      <rPr>
        <sz val="12"/>
        <color rgb="FF000000"/>
        <rFont val="한컴돋움"/>
      </rPr>
      <t>・</t>
    </r>
    <r>
      <rPr>
        <sz val="12"/>
        <color rgb="FF000000"/>
        <rFont val="돋움"/>
      </rPr>
      <t>후를 막론하고 "발주자"의 사전승인 없이 외부에 누설할 수 없다.</t>
    </r>
  </si>
  <si>
    <t>이 계약에 명시되지 아니한 사항은 기획재정부가 회계예규로 정한 기술용역계약 일반조건과 관계법령에 의한다.</t>
  </si>
  <si>
    <r>
      <t>&lt;</t>
    </r>
    <r>
      <rPr>
        <sz val="13"/>
        <color rgb="FF000000"/>
        <rFont val="돋움"/>
      </rPr>
      <t>붙임 2&gt;</t>
    </r>
  </si>
  <si>
    <t>시설물의 정밀안전점검 과업내용</t>
  </si>
  <si>
    <t>과 업 항 목</t>
  </si>
  <si>
    <t>기   본   과   업</t>
  </si>
  <si>
    <t>공          통</t>
  </si>
  <si>
    <t>◦ 변위·변형조사</t>
  </si>
  <si>
    <t>철근콘크리트구조</t>
  </si>
  <si>
    <t>◦ 부재의 규격조사</t>
  </si>
  <si>
    <t>◦ 콘크리트 비파괴 강도</t>
  </si>
  <si>
    <t>◦ 콘크리트 탄산화 진행 깊이</t>
  </si>
  <si>
    <t>철골구조</t>
  </si>
  <si>
    <t>철골 · 
철근 
콘크리트 구조</t>
  </si>
  <si>
    <t>S.R.C</t>
  </si>
  <si>
    <t>ST'L</t>
  </si>
  <si>
    <t>조적조</t>
  </si>
  <si>
    <r>
      <t>&lt;</t>
    </r>
    <r>
      <rPr>
        <sz val="13"/>
        <color rgb="FF000000"/>
        <rFont val="돋움"/>
      </rPr>
      <t>붙임 3&gt;</t>
    </r>
  </si>
  <si>
    <t>시설물의 정밀안전점검 대가산출 내역서</t>
  </si>
  <si>
    <t>단위</t>
  </si>
  <si>
    <t>인원</t>
  </si>
  <si>
    <t>인</t>
  </si>
  <si>
    <t>×</t>
  </si>
  <si>
    <t>인</t>
  </si>
  <si>
    <t>직접인건비의</t>
  </si>
  <si>
    <t>(직접인건비+제경비)</t>
  </si>
  <si>
    <t>5. 조   정   비</t>
  </si>
  <si>
    <t xml:space="preserve">       견  적  금  액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</si>
  <si>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</si>
  <si>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</si>
  <si>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</si>
  <si>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</si>
  <si>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</si>
  <si>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</si>
  <si>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</si>
  <si>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</si>
  <si>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r>
      <t>이 계약은 "발주자"가 관리하고 있는 시설물에 대하여 "수주자"는 정밀안전점검을 실시하여 구조적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측정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평가하고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등의 방법을 제시함으로써 재해 및 재난을 예방하고 시설물의 효용증진과 공공의 안전을 확보하는데 그 목적이 있다.</t>
    </r>
  </si>
  <si>
    <t>정밀안전점검 용역</t>
  </si>
  <si>
    <t>직접인건비 * 10%</t>
  </si>
  <si>
    <t>직접인건비의 5%</t>
  </si>
  <si>
    <t xml:space="preserve">2026   .     .     .   ~   2026 .     .     . </t>
  </si>
  <si>
    <t>상기 금액은 2026년 상반기 정밀안전점검 용역대가임.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</si>
  <si>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</si>
  <si>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</si>
  <si>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</si>
  <si>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</si>
  <si>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</si>
  <si>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</si>
  <si>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</si>
  <si>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</si>
  <si>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</si>
  <si>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 xml:space="preserve">아파트 6개동 648세대 (해당동 : 6개동) </t>
  </si>
  <si>
    <t>인천 계양구 아나지로 199 (효성동)</t>
  </si>
  <si>
    <t>1994년 12월</t>
  </si>
  <si>
    <r>
      <t xml:space="preserve">전화 </t>
    </r>
    <r>
      <rPr>
        <sz val="12"/>
        <color rgb="FF000000"/>
        <rFont val="돋움"/>
      </rPr>
      <t>: 031-283-3328        팩스 :031-284-3328</t>
    </r>
  </si>
  <si>
    <t>총  용  역  비</t>
  </si>
  <si>
    <t>공급가액</t>
  </si>
  <si>
    <t>부가가치세</t>
  </si>
  <si>
    <t>산  출  내  역  서</t>
  </si>
  <si>
    <t>구        분</t>
  </si>
  <si>
    <t>기술자등급</t>
  </si>
  <si>
    <t>단   가</t>
  </si>
  <si>
    <t>단  위</t>
  </si>
  <si>
    <t>금      액</t>
  </si>
  <si>
    <t>비       고</t>
  </si>
  <si>
    <t>인원은 변경될수 있음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</si>
  <si>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</si>
  <si>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</si>
  <si>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</si>
  <si>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</si>
  <si>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</si>
  <si>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</si>
  <si>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</si>
  <si>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</si>
  <si>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</si>
  <si>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</si>
  <si>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</si>
  <si>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</si>
  <si>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</si>
  <si>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외업인건비의 10%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</si>
  <si>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</si>
  <si>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</si>
  <si>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</si>
  <si>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</si>
  <si>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</si>
  <si>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</si>
  <si>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</si>
  <si>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</si>
  <si>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</si>
  <si>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</si>
  <si>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견  적  금  액</t>
  </si>
  <si>
    <t>부가세 별도</t>
  </si>
  <si>
    <t>(직접인건비+제경비) * 10%</t>
  </si>
  <si>
    <t>나.정밀안점점검 보고서 제출(USB 포함) 및 FMS등록</t>
  </si>
  <si>
    <t>전  화 :</t>
  </si>
  <si>
    <t>팩  스 :</t>
  </si>
  <si>
    <t>/</t>
  </si>
  <si>
    <t>보수·보강 이력사항</t>
  </si>
  <si>
    <t>증·개축</t>
  </si>
  <si>
    <t>주변환경</t>
  </si>
  <si>
    <t>기초 및 지반조건</t>
  </si>
  <si>
    <t>변경사항</t>
  </si>
  <si>
    <t>사용하중</t>
  </si>
  <si>
    <t>주변조건의</t>
  </si>
  <si>
    <t>구조변경</t>
  </si>
  <si>
    <t>용도변경</t>
  </si>
  <si>
    <t>건축물사용 및 관리 실태</t>
  </si>
  <si>
    <t>무자격자</t>
  </si>
  <si>
    <t>유자격자</t>
  </si>
  <si>
    <t>외부점검 전문기관 의뢰</t>
  </si>
  <si>
    <t>관리주체 직원</t>
  </si>
  <si>
    <t>정기점검 자격</t>
  </si>
  <si>
    <t>건축물 유지관리 계획 수립·수행</t>
  </si>
  <si>
    <t>인·허가 서류</t>
  </si>
  <si>
    <t>재하시험 보고서</t>
  </si>
  <si>
    <t>도서보관함 설치 유무</t>
  </si>
  <si>
    <t>사진철 보관 유무</t>
  </si>
  <si>
    <t>지질보고서</t>
  </si>
  <si>
    <t>구조계산서</t>
  </si>
  <si>
    <t>시방서</t>
  </si>
  <si>
    <t>기계</t>
  </si>
  <si>
    <t>통신</t>
  </si>
  <si>
    <t>전기</t>
  </si>
  <si>
    <t>조경</t>
  </si>
  <si>
    <t>토목</t>
  </si>
  <si>
    <t>구조</t>
  </si>
  <si>
    <t>건축</t>
  </si>
  <si>
    <t xml:space="preserve">FMS 등록일 :
관리주체대표자 : 
과업기간 :
</t>
  </si>
  <si>
    <t>현장</t>
  </si>
  <si>
    <t>FMS</t>
  </si>
  <si>
    <t xml:space="preserve">전회차 : </t>
  </si>
  <si>
    <t>점검 일반사항</t>
  </si>
  <si>
    <t>현장조사 인원배치</t>
  </si>
  <si>
    <t>특이사항</t>
  </si>
  <si>
    <t>이평호</t>
  </si>
  <si>
    <t>변경후</t>
  </si>
  <si>
    <t>변경전</t>
  </si>
  <si>
    <t>FMS
대표자</t>
  </si>
  <si>
    <t>관리주체
결함확인사항</t>
  </si>
  <si>
    <t>마감재</t>
  </si>
  <si>
    <t>철근노출</t>
  </si>
  <si>
    <t>박락</t>
  </si>
  <si>
    <t>박리</t>
  </si>
  <si>
    <t>균열</t>
  </si>
  <si>
    <t>외부벽체</t>
  </si>
  <si>
    <t>신축이음부</t>
  </si>
  <si>
    <t>옹벽</t>
  </si>
  <si>
    <t>휀스</t>
  </si>
  <si>
    <t>D/A</t>
  </si>
  <si>
    <t>트렌치</t>
  </si>
  <si>
    <t>경계석</t>
  </si>
  <si>
    <t>보도판석</t>
  </si>
  <si>
    <t>보도블럭</t>
  </si>
  <si>
    <t>아스콘</t>
  </si>
  <si>
    <t>추락방지시설</t>
  </si>
  <si>
    <t>부대시설</t>
  </si>
  <si>
    <t>의견</t>
  </si>
  <si>
    <t>유형 및 형상</t>
  </si>
  <si>
    <t>위치·주요부재</t>
  </si>
  <si>
    <t>지하층</t>
  </si>
  <si>
    <t>지상층</t>
  </si>
  <si>
    <t>지붕층</t>
  </si>
  <si>
    <t>및</t>
  </si>
  <si>
    <t>옥탑</t>
  </si>
  <si>
    <t>강재(규격, 부식)</t>
  </si>
  <si>
    <t>부동침하</t>
  </si>
  <si>
    <t>기울기</t>
  </si>
  <si>
    <t>탄산화</t>
  </si>
  <si>
    <t>부재규격</t>
  </si>
  <si>
    <t>강도</t>
  </si>
  <si>
    <t>(PIT, 주차장, 전기실)</t>
  </si>
  <si>
    <t>(계단실, 복도, E.V홀)</t>
  </si>
  <si>
    <t>(지붕층 전경, E.V기계실)</t>
  </si>
  <si>
    <t>옥탑층</t>
  </si>
  <si>
    <t>※ 2장 이상 찍어주세요:)</t>
  </si>
  <si>
    <t>동입구</t>
  </si>
  <si>
    <t>전경</t>
  </si>
  <si>
    <t>1사진</t>
  </si>
  <si>
    <t>주    소</t>
  </si>
  <si>
    <t>2025.05.02</t>
  </si>
  <si>
    <t>점검일</t>
  </si>
  <si>
    <t>시설물명</t>
  </si>
  <si>
    <t>체크리스트</t>
  </si>
  <si>
    <r>
      <t xml:space="preserve">5. </t>
    </r>
    <r>
      <rPr>
        <sz val="12"/>
        <color rgb="FF000000"/>
        <rFont val="한컴바탕"/>
      </rPr>
      <t>과업수행 일정</t>
    </r>
  </si>
  <si>
    <r>
      <t>기간</t>
    </r>
    <r>
      <rPr>
        <b/>
        <sz val="6"/>
        <color rgb="FF000000"/>
        <rFont val="돋움"/>
      </rPr>
      <t>(</t>
    </r>
    <r>
      <rPr>
        <b/>
        <sz val="6"/>
        <color rgb="FF000000"/>
        <rFont val="한컴바탕"/>
      </rPr>
      <t>일</t>
    </r>
    <r>
      <rPr>
        <b/>
        <sz val="6"/>
        <color rgb="FF000000"/>
        <rFont val="돋움"/>
      </rPr>
      <t>)</t>
    </r>
  </si>
  <si>
    <t>구분</t>
  </si>
  <si>
    <t>-</t>
  </si>
  <si>
    <t>비 고</t>
  </si>
  <si>
    <t>외</t>
  </si>
  <si>
    <t>업</t>
  </si>
  <si>
    <t>사전조사</t>
  </si>
  <si>
    <r>
      <t>-</t>
    </r>
    <r>
      <rPr>
        <sz val="6"/>
        <color rgb="FF000000"/>
        <rFont val="한컴바탕"/>
      </rPr>
      <t>자료수집</t>
    </r>
  </si>
  <si>
    <r>
      <t>-</t>
    </r>
    <r>
      <rPr>
        <sz val="6"/>
        <color rgb="FF000000"/>
        <rFont val="한컴바탕"/>
      </rPr>
      <t>계획수립</t>
    </r>
  </si>
  <si>
    <t>현장조사</t>
  </si>
  <si>
    <r>
      <t>-</t>
    </r>
    <r>
      <rPr>
        <sz val="6"/>
        <color rgb="FF000000"/>
        <rFont val="한컴바탕"/>
      </rPr>
      <t>외관조사</t>
    </r>
  </si>
  <si>
    <r>
      <t>-</t>
    </r>
    <r>
      <rPr>
        <sz val="6"/>
        <color rgb="FF000000"/>
        <rFont val="한컴바탕"/>
      </rPr>
      <t>비파괴</t>
    </r>
  </si>
  <si>
    <t>시험</t>
  </si>
  <si>
    <r>
      <t>-</t>
    </r>
    <r>
      <rPr>
        <sz val="6"/>
        <color rgb="FF000000"/>
        <rFont val="한컴바탕"/>
      </rPr>
      <t>변위측정</t>
    </r>
  </si>
  <si>
    <t>내</t>
  </si>
  <si>
    <t>수집자료 및 결과 분석</t>
  </si>
  <si>
    <r>
      <t>-</t>
    </r>
    <r>
      <rPr>
        <sz val="6"/>
        <color rgb="FF000000"/>
        <rFont val="한컴바탕"/>
      </rPr>
      <t>현장조사 분석</t>
    </r>
  </si>
  <si>
    <t>상태평가</t>
  </si>
  <si>
    <r>
      <t>-</t>
    </r>
    <r>
      <rPr>
        <sz val="6"/>
        <color rgb="FF000000"/>
        <rFont val="한컴바탕"/>
      </rPr>
      <t>프로그램 분석</t>
    </r>
  </si>
  <si>
    <t>보고서작성 및 제출</t>
  </si>
  <si>
    <r>
      <t>-</t>
    </r>
    <r>
      <rPr>
        <sz val="6"/>
        <color rgb="FF000000"/>
        <rFont val="한컴바탕"/>
      </rPr>
      <t>보고서 작성</t>
    </r>
  </si>
  <si>
    <r>
      <t xml:space="preserve">6. </t>
    </r>
    <r>
      <rPr>
        <sz val="12"/>
        <color rgb="FF000000"/>
        <rFont val="한컴바탕"/>
      </rPr>
      <t>안전관리 계획</t>
    </r>
  </si>
  <si>
    <r>
      <t xml:space="preserve">7. </t>
    </r>
    <r>
      <rPr>
        <sz val="12"/>
        <color rgb="FF000000"/>
        <rFont val="한컴바탕"/>
      </rPr>
      <t>사전검토보고서 내용</t>
    </r>
  </si>
  <si>
    <t>구 분</t>
  </si>
  <si>
    <t>콘크리트 비파괴강도</t>
  </si>
  <si>
    <t>부재단면 규격</t>
  </si>
  <si>
    <t>콘크리트 탄산화 깊이조사</t>
  </si>
  <si>
    <t>건물 기울기</t>
  </si>
  <si>
    <t>부동침하 기울기</t>
  </si>
  <si>
    <t xml:space="preserve"> 1. 직 접 인 건 비</t>
  </si>
  <si>
    <t xml:space="preserve"> 6. 합 계 금 액</t>
  </si>
  <si>
    <r>
      <t>② "수주자"는 시설물의 상태평가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안전성평가 등에 있어서 정밀안전점검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</si>
  <si>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</si>
  <si>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</si>
  <si>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관 리 주 체</t>
    </r>
    <r>
      <rPr>
        <sz val="12"/>
        <color rgb="FF000000"/>
        <rFont val="돋움"/>
      </rPr>
      <t>(발 주 자)</t>
    </r>
  </si>
  <si>
    <r>
      <t>상</t>
    </r>
    <r>
      <rPr>
        <sz val="12"/>
        <color rgb="FF000000"/>
        <rFont val="돋움"/>
      </rPr>
      <t xml:space="preserve">      호  :</t>
    </r>
  </si>
  <si>
    <r>
      <t xml:space="preserve">주   </t>
    </r>
    <r>
      <rPr>
        <sz val="12"/>
        <color rgb="FF000000"/>
        <rFont val="돋움"/>
      </rPr>
      <t xml:space="preserve"> </t>
    </r>
    <r>
      <rPr>
        <sz val="12"/>
        <color rgb="FF000000"/>
        <rFont val="돋움"/>
      </rPr>
      <t xml:space="preserve">  소  </t>
    </r>
    <r>
      <rPr>
        <sz val="12"/>
        <color rgb="FF000000"/>
        <rFont val="돋움"/>
      </rPr>
      <t>:</t>
    </r>
  </si>
  <si>
    <r>
      <t>관리소장</t>
    </r>
    <r>
      <rPr>
        <sz val="12"/>
        <color rgb="FF000000"/>
        <rFont val="돋움"/>
      </rPr>
      <t xml:space="preserve">  : </t>
    </r>
  </si>
  <si>
    <r>
      <t>&lt;</t>
    </r>
    <r>
      <rPr>
        <sz val="13"/>
        <color rgb="FF000000"/>
        <rFont val="돋움"/>
      </rPr>
      <t>붙임 1&gt;</t>
    </r>
  </si>
  <si>
    <r>
      <t xml:space="preserve">2. </t>
    </r>
    <r>
      <rPr>
        <sz val="12"/>
        <color rgb="FF000000"/>
        <rFont val="돋움"/>
      </rPr>
      <t>시설물의 정밀안전점검 과업내용 1부.</t>
    </r>
  </si>
  <si>
    <r>
      <t xml:space="preserve">3. </t>
    </r>
    <r>
      <rPr>
        <sz val="12"/>
        <color rgb="FF000000"/>
        <rFont val="돋움"/>
      </rPr>
      <t>시설물의 정밀안전점검 대가산출 내역서 1부.</t>
    </r>
  </si>
  <si>
    <r>
      <rPr>
        <sz val="12"/>
        <color rgb="FF000000"/>
        <rFont val="돋움"/>
      </rPr>
      <t xml:space="preserve">  2026   년          년         일</t>
    </r>
  </si>
  <si>
    <r>
      <t>계 약 상 대 자</t>
    </r>
    <r>
      <rPr>
        <sz val="12"/>
        <color rgb="FF000000"/>
        <rFont val="돋움"/>
      </rPr>
      <t>(수 주 자)</t>
    </r>
  </si>
  <si>
    <r>
      <t xml:space="preserve">상      호 </t>
    </r>
    <r>
      <rPr>
        <sz val="12"/>
        <color rgb="FF000000"/>
        <rFont val="돋움"/>
      </rPr>
      <t>:</t>
    </r>
  </si>
  <si>
    <r>
      <t xml:space="preserve">주      소 </t>
    </r>
    <r>
      <rPr>
        <sz val="12"/>
        <color rgb="FF000000"/>
        <rFont val="돋움"/>
      </rPr>
      <t>:</t>
    </r>
  </si>
  <si>
    <r>
      <t xml:space="preserve">대표이사 </t>
    </r>
    <r>
      <rPr>
        <sz val="12"/>
        <color rgb="FF000000"/>
        <rFont val="돋움"/>
      </rPr>
      <t xml:space="preserve">: </t>
    </r>
  </si>
  <si>
    <r>
      <rPr>
        <sz val="12"/>
        <color rgb="FF000000"/>
        <rFont val="돋움"/>
      </rPr>
      <t xml:space="preserve"> ㈜  에  이  앤  비</t>
    </r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</si>
  <si>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</rPr>
      <t>,  기본과업은 &lt;붙임 2&gt;와 같다.</t>
    </r>
  </si>
  <si>
    <t>가.시설물 안전 및 유지관리에 관한 특별법 제11조에 의거한 건축물 정밀안전점검</t>
  </si>
  <si>
    <t>◦강재의 규격 조사</t>
  </si>
  <si>
    <t>◦부재의 규격조사</t>
  </si>
  <si>
    <t>◦콘크리트 비파괴 강도</t>
  </si>
  <si>
    <t>◦ 강재의 규격조사</t>
  </si>
  <si>
    <t>1.천재지변, 전쟁, 기타 불가항력의 사유로 인하여 정밀안전점검 업무의 수행이 불가능한 때</t>
  </si>
  <si>
    <t>2."발주자"와 "수주자"가 정밀안전점검 업무가 필요치 않다고 협의되었을 때</t>
  </si>
  <si>
    <t>3."발주자"가 제10조의 의무를 기피하여 "수주자"의 정상적인 진단이 곤란할 때</t>
  </si>
  <si>
    <t>4."수주자"가 정당한 이유 없이 제3조에 정한 기간 내에 과업을 수행할 수 없음이 명백할 때</t>
  </si>
  <si>
    <t>ㅂ</t>
  </si>
  <si>
    <t>흥덕우미린레이크포레 2025년 정밀안전점검 용역</t>
  </si>
  <si>
    <t>76,802.571㎡</t>
  </si>
  <si>
    <t>비 고</t>
  </si>
  <si>
    <t>건물기울기와 동일 목적으로 실시하는 조사 항목으로 생략함</t>
  </si>
  <si>
    <t>금 회 수 량</t>
  </si>
  <si>
    <t>◦6개동</t>
  </si>
  <si>
    <t>◦표본4개층</t>
  </si>
  <si>
    <t>◦96개소</t>
  </si>
  <si>
    <t>◦144개소</t>
  </si>
  <si>
    <t>◦48개소</t>
  </si>
  <si>
    <t>세부지침 기준</t>
  </si>
  <si>
    <t>◦층별 또는 연면적별 표본층을 산정함.</t>
  </si>
  <si>
    <t>◦표본층(단위)수×2종 부재×2개소</t>
  </si>
  <si>
    <t>◦표본층(단위)수×2종 부재×3개소 이상</t>
  </si>
  <si>
    <t>◦표본층(단위)수×2종 부재×1개소</t>
  </si>
  <si>
    <t>◦측정이 가능한 건축물 4면의 외벽모서리</t>
  </si>
  <si>
    <t xml:space="preserve">◦최저층 바닥 또는 천장슬래브의 장변, </t>
  </si>
  <si>
    <t>본 과업은“시설물의 안전 및 유지관리에 관한 특별법”(이하 ”시설물안전법“ 이라한다.) 제11조(구6조) 및 동법 시행령 제8조(구6조)에 규정에 따른 정밀안전점검으로서 시설물에 대한 물리적 기능적 결함을 조사하고 구조적 안전성 및 손상상태를 점검하여, 재해를 예방하고 시설물의 효용을 증진시켜 공공의 안전을 확보하는데 그 목적이 있다.</t>
  </si>
  <si>
    <t>가. 시설물 현황</t>
  </si>
  <si>
    <t xml:space="preserve">(1) 시 설 명 : </t>
  </si>
  <si>
    <t xml:space="preserve">(2) 위 치 : </t>
  </si>
  <si>
    <t xml:space="preserve">(3) 연 면 적 : </t>
  </si>
  <si>
    <t>(4) 구 조 : 철근콘크리트구조</t>
  </si>
  <si>
    <t>(7) 사용승인일 : 2009년 05월 14일</t>
  </si>
  <si>
    <t>나. 과업 범위</t>
  </si>
  <si>
    <t>다. 과업 기간</t>
  </si>
  <si>
    <t>1) 2025년 05월 03일 ∼ 2025년 05월 27일</t>
  </si>
  <si>
    <t>가. 자료수집 및 분석</t>
  </si>
  <si>
    <t xml:space="preserve">① 설계도서 ② 시설물관리대장 ③ 시공관련자료 </t>
  </si>
  <si>
    <t>④ 기존 안전점검 및 정밀안전진단 실시결과 자료 ⑤ 보수·보강이력 검토 및 분석</t>
  </si>
  <si>
    <t>나. 현장조사 및 시험</t>
  </si>
  <si>
    <t>(1) 기본시설물 또는 주요부재의 외관조사 및 외관조사망도 작성</t>
  </si>
  <si>
    <t>① 콘크리트 구조물의 결함조사(균열, 누수, 박리, 박락, 층분리, 백태, 철근노출 등)</t>
  </si>
  <si>
    <t>② 강재 구조물의 결함조사(균열, 도장/피복상태, 접합/용접상태, 부식상태 등)</t>
  </si>
  <si>
    <t>(2) 간단한 현장 재료시험 등</t>
  </si>
  <si>
    <t xml:space="preserve">1. 과 업 명 : </t>
  </si>
  <si>
    <t>2. 과업의 목적</t>
  </si>
  <si>
    <t>3. 시설물 개요</t>
  </si>
  <si>
    <t>4. 과업수행 방법</t>
  </si>
  <si>
    <t>④ 건축물 변위·변형 측정(기울기 조사)</t>
  </si>
  <si>
    <t>① 주요 구조부재의 규격 확인</t>
  </si>
  <si>
    <t>② 콘크리트 강도 시험(반발경도 시험)</t>
  </si>
  <si>
    <t>③ 콘크리트 탄산화 깊이 조사</t>
  </si>
  <si>
    <t>다. 상태평가</t>
  </si>
  <si>
    <t>(1) 외관조사 결과 분석</t>
  </si>
  <si>
    <t>(2) 재료시험 결과 분석</t>
  </si>
  <si>
    <t>(3) 대상 시설물(부재)에 대한 상태평가</t>
  </si>
  <si>
    <t>(4) 시설물 전체의 상태평가 결과에 대한 책임기술자의 소견(안전등급 지정)</t>
  </si>
  <si>
    <t>라. 보고서 작성</t>
  </si>
  <si>
    <t>(1) 결과 보고서 작성</t>
  </si>
  <si>
    <t>마. 조사·시험관련 측정장비</t>
  </si>
  <si>
    <t>(1) 부재실측 - 줄자/전자거리 측정기</t>
  </si>
  <si>
    <t>(2) 콘크리트 비파괴 강도 시험 - 슈미트해머</t>
  </si>
  <si>
    <t>(3) 콘크리트 탄산화 깊이 조사 - 전동드릴/ 페놀프탈레인1%용액</t>
  </si>
  <si>
    <t>(4) 건축물 변위측정 - 트랜싯</t>
  </si>
  <si>
    <t>가. 안전관리 조직 - 참여기술자를 중심으로 안전관리 조직을 구성하며, 안전관리 책임자를 책임기술자로 한다.</t>
  </si>
  <si>
    <t>나. 안전교육 - 대상시설물의 특성과 현장조사의 난이도, 위험도를 고려하여 안전수칙 등을 제정하고 이에 따라 안전교육을 실시한다.</t>
  </si>
  <si>
    <t>다. 보호구 - 고용노동부장관 검정 합격품을 사용하고, 적정한 보호구를 착용하며, 적합한 안전시설을 설치한다.</t>
  </si>
  <si>
    <t>라. 안전수칙 - 안전관리자는 위험물 저장소, 통제구역 등의 출입에 대하여는 관리주체와 사전협의를 하여 관리주체의 협조를 구한다. 또한, 밀폐된 장소에서의 산소결핍이 예상되는 장소는 작업 전에 반드시 산소 농도를 측정하고 적절한 조치를 취한다.</t>
  </si>
  <si>
    <t>가. 대상시설물의 범위</t>
  </si>
  <si>
    <t>(1) 내력벽, 슬래브, 기둥, 보, 지붕, 주계단, 옹벽</t>
  </si>
  <si>
    <t>나. 유지관리자료 보유 현황</t>
  </si>
  <si>
    <t>(1) 설계도서 - 도면 보관 (건축/구조/기계/전기/토목/조경)</t>
  </si>
  <si>
    <t>(2) 시설물관리대장 - 문서 보관</t>
  </si>
  <si>
    <t>(3) 시공관련자료 - 문서 보관</t>
  </si>
  <si>
    <t>(4) 안전점검자료 - 문서 보관</t>
  </si>
  <si>
    <t>(5) 보수·보강자료 - 문서 보관</t>
  </si>
  <si>
    <t>다. 기본과업 재료시험 수량</t>
  </si>
  <si>
    <t>◦단변 방향으로 각각 2개소</t>
  </si>
  <si>
    <t>육안점검과 장비점검으로 이루어지며, 장비점검시 콘크리트 천공으로 탄산화 검사 및 강도검사를 실시하기 때문에 약간의 소음과 흔적이 생기므로 참고하시기 바랍니다.</t>
  </si>
  <si>
    <t>① "수주자"는 시설물안전법 제17조 제1항에 따라 "발주자"에게 정밀안전점검 실시결과를 통보하여야 한다.</t>
  </si>
  <si>
    <r>
      <t>① "수주자"는 정밀안전점검을 수행함에 있어서 필요한 경우에는 시설물안전법 제10조에 따라 "발주자"에게 해당 시설물의 설계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시공 및 감리와 관련된 서류의 열람이나 그 사본의 교부를 요청할 수 있으며 이 경우 "발주자"는 이에 응하여야 한다.</t>
    </r>
  </si>
  <si>
    <t xml:space="preserve">(5) 층 수 : </t>
  </si>
  <si>
    <t>지하1층, 지상19~20층</t>
  </si>
  <si>
    <t xml:space="preserve">(6) 용 도 : </t>
  </si>
  <si>
    <t>공동주택(아파트)</t>
  </si>
  <si>
    <t xml:space="preserve">(1) 시설물 규모 : </t>
  </si>
  <si>
    <t>2026년 정밀안전점검</t>
  </si>
  <si>
    <t>●   상호또는법인명 : (주)에이앤비</t>
  </si>
  <si>
    <t>●   사업자등록번호 : 863-87-00907</t>
  </si>
  <si>
    <t>●   전화번호 : 031-283-3328     팩스번호 : 031-284-3328</t>
  </si>
  <si>
    <t>●   대 표 자 : 서 응 원</t>
  </si>
  <si>
    <t>제1조(목적)</t>
  </si>
  <si>
    <t>제2조(점검의 범위) 정밀안전점검의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</si>
  <si>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</si>
  <si>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</si>
  <si>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</si>
  <si>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</si>
  <si>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</si>
  <si>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</si>
  <si>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</si>
  <si>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</rPr>
      <t>・</t>
    </r>
    <r>
      <rPr>
        <b/>
        <sz val="14"/>
        <color rgb="FF000000"/>
        <rFont val="돋움"/>
      </rPr>
      <t>허가 사항 등)</t>
    </r>
  </si>
  <si>
    <t>제11조(계약의 해제 및 해지)</t>
  </si>
  <si>
    <t>제12조(보안사항)</t>
  </si>
  <si>
    <t>제13조(기타사항)</t>
  </si>
  <si>
    <t>구조형식,용도,경과년수</t>
  </si>
  <si>
    <t>외업인건비의 10%</t>
  </si>
  <si>
    <t>직접인건비의 5%</t>
  </si>
  <si>
    <t>별도</t>
  </si>
  <si>
    <t>031-283-3328 / 031-284-3328</t>
  </si>
  <si>
    <t>031-283-3328</t>
  </si>
  <si>
    <t>031-284-3328</t>
  </si>
  <si>
    <t>※ 첨    부 :  1. 견적서   1부   끝.</t>
  </si>
  <si>
    <t>(우)16910  경기도 용인시 기흥구 마북로 159 한성프라자 207호 (마북동) 전화 : 031-283-3328  팩스 : 031-284-3328</t>
  </si>
  <si>
    <t>시설물통합정보시스템(FMS)등록 후 정밀안전점검보고서 1부 및 USB 제출</t>
  </si>
  <si>
    <t>●   주 소 : 경기도 용인시 기흥구 마북로 159 한성프라자 207호</t>
  </si>
  <si>
    <t xml:space="preserve">나. 점 검 범 위  : </t>
  </si>
  <si>
    <t xml:space="preserve">다. 소  재  지   : </t>
  </si>
  <si>
    <t xml:space="preserve">라. 준  공  일   : </t>
  </si>
  <si>
    <t>마. 전화 / 팩스  :</t>
  </si>
  <si>
    <t>가. 외업</t>
  </si>
  <si>
    <t>나. 내업</t>
  </si>
  <si>
    <t>효성뉴서울5차아파트</t>
  </si>
  <si>
    <t>③ 용      도 : 공동주택</t>
  </si>
  <si>
    <t xml:space="preserve">2026년 상반기 </t>
  </si>
  <si>
    <t>「시설물의 안전 및 유지관리에 관한 특별법」(이하 “시설물안전법”이라 한다) 제11조, 시행령</t>
  </si>
  <si>
    <t>제8조 및 동법 제12조의 규정에 따라</t>
  </si>
  <si>
    <t>(이하 "발주자"라 한다)와</t>
  </si>
  <si>
    <r>
      <t xml:space="preserve">정밀안전점검의 실시자인 </t>
    </r>
    <r>
      <rPr>
        <b/>
        <sz val="12"/>
        <color rgb="FF000000"/>
        <rFont val="돋움"/>
      </rPr>
      <t>㈜에이앤비</t>
    </r>
    <r>
      <rPr>
        <sz val="12"/>
        <color rgb="FF000000"/>
        <rFont val="돋움"/>
      </rPr>
      <t>(이하 "수주자"라 한다)는 다음과 같이 계약을 체결한다.</t>
    </r>
  </si>
  <si>
    <t>경기도 용인시 기흥구 마북로 159,
한성프라자 207호(마북동)</t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</si>
  <si>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1. 귀 아파트(사)의 무궁한 발전을 기원합니다.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</si>
  <si>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2.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 및 감리 등을 주 업무로 하는 ㈜에이앤비입니다.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</si>
  <si>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3. 귀 아파트(사)에서 의뢰하신 정밀안전점검건에 대한 견적서를 제출하오니 업무에 참고하시기 바랍니다.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</si>
  <si>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4. 시설물 개요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</si>
  <si>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5. 용역의 범위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</si>
  <si>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7. 특이사항</t>
    </r>
  </si>
  <si>
    <r>
      <t xml:space="preserve"> </t>
    </r>
    <r>
      <rPr>
        <b/>
        <sz val="12"/>
        <color rgb="FF000000"/>
        <rFont val="바탕체"/>
      </rPr>
      <t xml:space="preserve">         </t>
    </r>
    <r>
      <rPr>
        <b/>
        <sz val="10"/>
        <color rgb="FF000000"/>
        <rFont val="바탕체"/>
      </rPr>
      <t xml:space="preserve"> </t>
    </r>
    <r>
      <rPr>
        <b/>
        <sz val="14"/>
        <color rgb="FF000000"/>
        <rFont val="바탕체"/>
      </rPr>
      <t>6. 용  역  비  :</t>
    </r>
  </si>
  <si>
    <t xml:space="preserve">가. 단  지  명   : </t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</si>
  <si>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</si>
  <si>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</si>
  <si>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</si>
  <si>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</si>
  <si>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</si>
  <si>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</si>
  <si>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</si>
  <si>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</si>
  <si>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</si>
  <si>
    <t xml:space="preserve">나. 소  재  지   : </t>
  </si>
  <si>
    <t xml:space="preserve">다. 점 검 범 위  : </t>
  </si>
  <si>
    <t>「시설물의 안전 및 유지관리에 관한 특별법」(이하 “시설물안전법”이라 한다) 제11조, 제12조 및</t>
  </si>
  <si>
    <t>동법 시행령 제8조에 따라</t>
  </si>
  <si>
    <t>선택과업(필요시)</t>
  </si>
  <si>
    <t>선   택   과   업   (   필   요   시   )</t>
  </si>
  <si>
    <t>선   택   과   업   (  필   요   시  )</t>
  </si>
  <si>
    <t>선   택   과   업  (  필   요   시  )</t>
  </si>
  <si>
    <t>자료수집</t>
  </si>
  <si>
    <t>자료수집
및
분석</t>
  </si>
  <si>
    <t>현장조사 및 시험</t>
  </si>
  <si>
    <t>안전성평가</t>
  </si>
  <si>
    <t>종합평가</t>
  </si>
  <si>
    <t>보수</t>
  </si>
  <si>
    <t>보수·보강 방법</t>
  </si>
  <si>
    <t>보고서</t>
  </si>
  <si>
    <t>◦ 준공도면, 구조계산서, 특별시방서, 수리수문 계산서
시공공보수 보강도면, 제작 및 작업도면면계측자료</t>
  </si>
  <si>
    <t>◦ 준공도면, 구조계산서, 특별시방서, 수리수문 계산서
시공·보수 보강도면, 제작 및 작업도면
재료증명서, 품질시험기록, 재하시험 자료, 계측 자료
시설물관리대장
기존 안전점검·정밀안전진단 실시결과 검토분석
보수·보강이력 검토·분석</t>
  </si>
  <si>
    <t>◦ 준공도면, 구조계산서, 특별시방서, 수리수문 계산서
◦시공·보수 보강도면, 제작 및 작업도면
◦재료증명서, 품질시험기록, 재하시험 자료, 계측 자료
◦시설물관리대장
◦기존 안전점검·정밀안전진단 실시결과 검토분석
◦보수·보강이력 검토·분석</t>
  </si>
  <si>
    <t>◦ 기본시설물 또는 주요부재의 외관조사 및 외관조사망도 작성
- 콘크리트 구조물 : 균열, 누수, 박리, 박락, 층분리, 백태, 철근노출 등
- 강재 구조물</t>
  </si>
  <si>
    <t>◦ 기본시설물 또는 주요부재의 외관조사 및 외관조사망도 작성
- 콘크리트 구조물 : 균열, 누수, 박리, 박락, 층분리, 백태, 철근노출 등
- 강재 구조물 : 균열, 도장상태, 부식상태 등</t>
  </si>
  <si>
    <t>선  택  과  업  (  필  요  시  )</t>
  </si>
  <si>
    <t>◦ 준공도면, 구조계산서, 특별시방서, 수리수문
    계산서
◦시공·보수 보강도면, 제작 및 작업도면
◦재료증명서, 품질시험기록, 재하시험 자료,
   계측 자료
◦시설물관리대장
◦기존 안전점검·정밀안전진단 실시결과 검토분석
◦보수·보강이력 검토·분석</t>
  </si>
  <si>
    <t>◦ 기본시설물 또는 주요부재의 외관조사 및 외관조사
    망도 작성
- 콘크리트 구조물 : 균열, 누수, 박리, 박락, 층분리, 
   백태, 철근노출 등
- 강재 구조물 : 균열, 도장상태, 부식상태 등</t>
  </si>
  <si>
    <t>◦ 기본시설물 또는 주요부재의 외관조사 및 외관조사
    망도 작성
  - 콘크리트 구조물 : 균열, 누수, 박리, 박락, 층분리,
    백태, 철근노출 등
  - 강재 구조물 : 균열, 도장상태, 부식상태 등
◦ 간단한 현장 재료시험 등</t>
  </si>
  <si>
    <t xml:space="preserve"> ◦ 준공도면, 구조계산서, 특별시방서, 수리수문
     계산서
 ◦ 시공·보수 보강도면, 제작 및 작업도면
 ◦ 재료증명서, 품질시험기록, 재하시험 자료,
     계측 자료
 ◦ 시설물관리대장
◦ 기존 안전점검·정밀안전진단 실시결과 검토분석
◦ 보수·보강이력 검토·분석</t>
  </si>
  <si>
    <t xml:space="preserve"> ◦ 준공도면, 구조계산서, 특별시방서, 수리수문
     계산서
 ◦ 시공·보수 보강도면, 제작 및 작업도면
 ◦ 재료증명서, 품질시험기록, 재하시험 자료,
     계측 자료
 ◦ 시설물관리대장
 ◦ 기존 안전점검·정밀안전진단 실시결과 검토분석
 ◦ 보수·보강이력 검토·분석</t>
  </si>
  <si>
    <t xml:space="preserve"> ◦ 기본시설물 또는 주요부재의 외관조사 및 외관조
     사망도 작성
     - 콘크리트 구조물 : 균열, 누수, 박리, 박락, 층분
        리, 백태, 철근노출 등
     - 강재 구조물 : 균열, 도장상태, 부식상태 등
 ◦ 간단한 현장 재료시험 등
     - 콘크리트 비파괴 강도시험(반발강도시험)
     - 콘크리트 중성화 시험
     - 시험물(부재) 변위측정</t>
  </si>
  <si>
    <t xml:space="preserve"> ◦ 외관조사 결과분석
 ◦ 현장 재료시험 결과 분석
 ◦ 대상 시설물(부재)에 대한 상태평가
 ◦ 시설물 전체의 상대평가 결과에 대한 책임
     기술자의 소견(안전등급 지정)</t>
  </si>
  <si>
    <t xml:space="preserve"> ◦ 시설물의 종합평가 결과에 대한 소견</t>
  </si>
  <si>
    <t xml:space="preserve"> ◦ 보수</t>
  </si>
  <si>
    <t xml:space="preserve"> ◦ 기본시설물 또는 주요부재의 외관조사 및 외관조
     사망도 작성
     - 콘크리트 구조물 : 균열, 누수, 박리, 박락, 층분
       리, 백태, 철근노출 등
     - 강재 구조물 : 균열, 도장상태, 부식상태 등
 ◦ 간단한 현장 재료시험 등
     - 콘크리트 비파괴 강도시험(반발강도시험)
     - 콘크리트 중성화 시험
     - 시험물(부재) 변위측정</t>
  </si>
  <si>
    <t xml:space="preserve"> ◦ 보수·보강 방법 제시</t>
  </si>
  <si>
    <t xml:space="preserve"> ◦ 시설물의 종합평가 결과에 대한 소견
 ◦ 안전등급 지정</t>
  </si>
  <si>
    <t xml:space="preserve">
 ◦ 준공도면, 구조계산서, 특별시방서, 수리수문
     계산서
 ◦ 시공·보수 보강도면, 제작 및 작업도면
 ◦ 재료증명서, 품질시험기록, 재하시험 자료,
     계측 자료
 ◦ 시설물관리대장
 ◦ 기존 안전점검·정밀안전진단 실시결과 검토분석
 ◦ 보수·보강이력 검토·분석
</t>
  </si>
  <si>
    <t xml:space="preserve">
자료수집
및
분석
</t>
  </si>
  <si>
    <t xml:space="preserve"> 
◦ 기본시설물 또는 주요부재의 외관조사 및 외관조
     사망도 작성
     - 콘크리트 구조물 : 균열, 누수, 박리, 박락, 층분
       리, 백태, 철근노출 등
     - 강재 구조물 : 균열, 도장상태, 부식상태 등
 ◦ 간단한 현장 재료시험 등
     - 콘크리트 비파괴 강도시험(반발강도시험)
     - 콘크리트 중성화 시험
     - 시험물(부재) 변위측정
</t>
  </si>
  <si>
    <t xml:space="preserve"> 
 ◦ 기본시설물 또는 주요부재의 외관조사 및 외관조
     사망도 작성
     - 콘크리트 구조물 : 균열, 누수, 박리, 박락, 층분
       리, 백태, 철근노출 등
     - 강재 구조물 : 균열, 도장상태, 부식상태 등
 ◦ 간단한 현장 재료시험 등
     - 콘크리트 비파괴 강도시험(반발강도시험)
     - 콘크리트 중성화 시험
     - 시험물(부재) 변위측정
</t>
  </si>
  <si>
    <t xml:space="preserve"> 
 ◦ 외관조사 결과분석
 ◦ 현장 재료시험 결과 분석
 ◦ 대상 시설물(부재)에 대한 상태평가
 ◦ 시설물 전체의 상대평가 결과에 대한 책임
     기술자의 소견(안전등급 지정)
</t>
  </si>
</sst>
</file>

<file path=xl/styles.xml><?xml version="1.0" encoding="utf-8"?>
<styleSheet xmlns="http://schemas.openxmlformats.org/spreadsheetml/2006/main">
  <numFmts count="72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#,##0_ "/>
    <numFmt numFmtId="180" formatCode="0.000"/>
    <numFmt numFmtId="181" formatCode="0.0"/>
    <numFmt numFmtId="182" formatCode="&quot;일금&quot;\ [$-412]General&quot;원&quot;&quot;정&quot;"/>
    <numFmt numFmtId="183" formatCode="&quot;₩&quot;#,##0"/>
    <numFmt numFmtId="184" formatCode="\ "/>
    <numFmt numFmtId="185" formatCode="mm&quot;월&quot;\ dd&quot;일&quot;"/>
    <numFmt numFmtId="186" formatCode="_-* #,##0.0_-;\-* #,##0.0_-;_-* &quot;-&quot;??_-;_-@_-"/>
    <numFmt numFmtId="187" formatCode="_-* #,##0_-;\-* #,##0_-;_-* &quot;-&quot;??_-;_-@_-"/>
    <numFmt numFmtId="188" formatCode="_-&quot;$&quot;* #,##0.00_-;\-&quot;$&quot;* #,##0.00_-;_-&quot;$&quot;* &quot;-&quot;??_-;_-@_-"/>
    <numFmt numFmtId="189" formatCode="_-&quot;$&quot;* #,##0_-;\-&quot;$&quot;* #,##0_-;_-&quot;$&quot;* &quot;-&quot;_-;_-@_-"/>
    <numFmt numFmtId="190" formatCode="_ * #,##0_ ;_ * \-#,##0_ ;_ * &quot;-&quot;_ ;_ @_ "/>
    <numFmt numFmtId="191" formatCode="#,##0;&quot;-&quot;#,##0"/>
    <numFmt numFmtId="192" formatCode="#,##0.0;[Red]#,##0.0;&quot; &quot;"/>
    <numFmt numFmtId="193" formatCode="0.0000%"/>
    <numFmt numFmtId="194" formatCode="#,##0.0000"/>
    <numFmt numFmtId="195" formatCode="0.0000"/>
    <numFmt numFmtId="196" formatCode="#,##0,"/>
    <numFmt numFmtId="197" formatCode="#,##0.00;[Red]#,##0.00;&quot; &quot;"/>
    <numFmt numFmtId="198" formatCode="_ &quot;₩&quot;* #,##0_ ;_ &quot;₩&quot;* \-#,##0_ ;_ &quot;₩&quot;* &quot;-&quot;_ ;_ @_ "/>
    <numFmt numFmtId="199" formatCode="_ &quot;₩&quot;* #,##0.00_ ;_ &quot;₩&quot;* \-#,##0.00_ ;_ &quot;₩&quot;* &quot;-&quot;??_ ;_ @_ "/>
    <numFmt numFmtId="200" formatCode="_ * #,##0.00_ ;_ * \-#,##0.00_ ;_ * &quot;-&quot;??_ ;_ @_ "/>
    <numFmt numFmtId="201" formatCode="\$#,##0;\(\$#,##0\)"/>
    <numFmt numFmtId="202" formatCode="0.00&quot;  &quot;"/>
    <numFmt numFmtId="203" formatCode="0,###,###"/>
    <numFmt numFmtId="204" formatCode="0.##"/>
    <numFmt numFmtId="205" formatCode="#,##0\ &quot;Esc.&quot;;[Red]\-#,##0\ &quot;Esc.&quot;"/>
    <numFmt numFmtId="206" formatCode="#,##0.00&quot; F&quot;_);\(#,##0.00&quot; F&quot;\)"/>
    <numFmt numFmtId="207" formatCode="#,##0.000\ &quot;EA &quot;"/>
    <numFmt numFmtId="208" formatCode="###"/>
    <numFmt numFmtId="209" formatCode="##"/>
    <numFmt numFmtId="210" formatCode="#,##0.0_);\(#,##0.0\)"/>
    <numFmt numFmtId="211" formatCode="#,##0.000\ &quot;㎏ &quot;"/>
    <numFmt numFmtId="212" formatCode="#,##0.000\ &quot;m  &quot;"/>
    <numFmt numFmtId="213" formatCode="#,##0.000\ &quot;㎡ &quot;"/>
    <numFmt numFmtId="214" formatCode="#,##0.000\ &quot;㎥ &quot;"/>
    <numFmt numFmtId="215" formatCode="&quot;$&quot;#,##0.0_);\(&quot;$&quot;#,##0.0\)"/>
    <numFmt numFmtId="216" formatCode="&quot;$&quot;#,##0;\-&quot;$&quot;#,##0"/>
    <numFmt numFmtId="217" formatCode="0.00_);[Red]\(0.00\)"/>
    <numFmt numFmtId="218" formatCode="_-* #,##0\ &quot;DM&quot;_-;\-* #,##0\ &quot;DM&quot;_-;_-* &quot;-&quot;\ &quot;DM&quot;_-;_-@_-"/>
    <numFmt numFmtId="219" formatCode="_-* #,##0.00\ &quot;DM&quot;_-;\-* #,##0.00\ &quot;DM&quot;_-;_-* &quot;-&quot;??\ &quot;DM&quot;_-;_-@_-"/>
    <numFmt numFmtId="220" formatCode="&quot;₩&quot;#,##0;&quot;₩&quot;&quot;₩&quot;&quot;₩&quot;&quot;₩&quot;\-#,##0"/>
    <numFmt numFmtId="221" formatCode="#,##0;[Red]&quot;△&quot;#,##0"/>
    <numFmt numFmtId="222" formatCode="#."/>
    <numFmt numFmtId="223" formatCode="_(&quot;RM&quot;* #,##0.00_);_(&quot;RM&quot;* \(#,##0.00\);_(&quot;RM&quot;* &quot;-&quot;??_);_(@_)"/>
    <numFmt numFmtId="224" formatCode="&quot;US$&quot;#,##0_);\(&quot;US$&quot;#,##0\)"/>
    <numFmt numFmtId="225" formatCode="0_);\(0\)"/>
    <numFmt numFmtId="226" formatCode="0.0%"/>
    <numFmt numFmtId="227" formatCode="?/?#"/>
    <numFmt numFmtId="228" formatCode="_-* #,##0;\-* #,##0;_-* &quot;-&quot;;_-@"/>
    <numFmt numFmtId="229" formatCode="#,##0;[Red]&quot;-&quot;#,##0"/>
    <numFmt numFmtId="230" formatCode="&quot;  &quot;@"/>
    <numFmt numFmtId="231" formatCode="&quot;₩&quot;#,##0;[Red]&quot;₩&quot;&quot;₩&quot;&quot;₩&quot;&quot;₩&quot;\-#,##0"/>
    <numFmt numFmtId="232" formatCode="&quot;US$&quot;#,##0_);[Red]\(&quot;US$&quot;#,##0\)"/>
    <numFmt numFmtId="233" formatCode="_-* #,##0_-;&quot;₩&quot;\!\-* #,##0_-;_-* &quot;-&quot;_-;_-@_-"/>
    <numFmt numFmtId="234" formatCode="&quot;₩&quot;#\!\,##0;[Red]&quot;₩&quot;&quot;₩&quot;\!\-#\!\,##0"/>
    <numFmt numFmtId="235" formatCode="#,##0&quot; &quot;;[Red]&quot;△&quot;#,##0&quot; &quot;"/>
    <numFmt numFmtId="236" formatCode="* #,##0&quot; &quot;;[Red]* &quot;△&quot;#,##0&quot; &quot;;* @"/>
    <numFmt numFmtId="237" formatCode="_-* #,##0.000_-;\-* #,##0.000_-;_-* &quot;-&quot;_-;_-@_-"/>
    <numFmt numFmtId="238" formatCode="#,##0.####;[Red]&quot;△&quot;#,##0.####"/>
    <numFmt numFmtId="239" formatCode="#,##0.00##;[Red]&quot;△&quot;#,##0.00##"/>
    <numFmt numFmtId="240" formatCode="_-* #,##0.00_-;&quot;₩&quot;&quot;₩&quot;\-* #,##0.00_-;_-* &quot;-&quot;??_-;_-@_-"/>
    <numFmt numFmtId="241" formatCode="_-&quot;₩&quot;* #,##0.00_-;&quot;₩&quot;&quot;₩&quot;\-&quot;₩&quot;* #,##0.00_-;_-&quot;₩&quot;* &quot;-&quot;??_-;_-@_-"/>
    <numFmt numFmtId="242" formatCode="&quot;₩&quot;#,##0.00;&quot;₩&quot;&quot;₩&quot;&quot;₩&quot;&quot;₩&quot;\-#,##0.00"/>
    <numFmt numFmtId="243" formatCode="@\ &quot;정&quot;&quot;기&quot;&quot;안&quot;&quot;전&quot;&quot;점&quot;&quot;검&quot;&quot;(상반기)&quot;\ &quot;용&quot;&quot;역&quot;"/>
    <numFmt numFmtId="244" formatCode="0_);[Red]\(0\)"/>
    <numFmt numFmtId="245" formatCode="0_ "/>
    <numFmt numFmtId="246" formatCode="yyyy&quot;년&quot;\ m&quot;월&quot;\ d&quot;일&quot;;@"/>
  </numFmts>
  <fonts count="180">
    <font>
      <sz val="11.0"/>
      <name val="돋움"/>
      <color rgb="FF000000"/>
    </font>
    <font>
      <sz val="11.0"/>
      <name val="맑은 고딕"/>
      <scheme val="minor"/>
      <color theme="1"/>
    </font>
    <font>
      <sz val="8.0"/>
      <name val="돋움"/>
      <color rgb="FF000000"/>
    </font>
    <font>
      <sz val="11.0"/>
      <name val="굴림"/>
      <color rgb="FF000000"/>
    </font>
    <font>
      <sz val="10.0"/>
      <name val="굴림"/>
      <color rgb="FF000000"/>
    </font>
    <font>
      <sz val="12.0"/>
      <name val="돋움"/>
      <color rgb="FF000000"/>
    </font>
    <font>
      <sz val="10.0"/>
      <name val="굴림체"/>
      <color rgb="FF000000"/>
    </font>
    <font>
      <sz val="12.0"/>
      <name val="바탕체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1.0"/>
      <name val="바탕체"/>
      <color rgb="FF000000"/>
    </font>
    <font>
      <sz val="10.0"/>
      <name val="Courier New"/>
      <color rgb="FF000000"/>
    </font>
    <font>
      <sz val="11.0"/>
      <name val="굴림체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FFFFFF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0000"/>
    </font>
    <font>
      <sz val="10.0"/>
      <name val="바탕"/>
      <color rgb="FF000000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b/>
      <sz val="14.0"/>
      <name val="돋움"/>
      <color rgb="FF000000"/>
    </font>
    <font>
      <sz val="11.0"/>
      <name val="한컴 솔잎 B"/>
      <color rgb="FF000000"/>
    </font>
    <font>
      <sz val="14.0"/>
      <name val="한컴 솔잎 B"/>
      <color rgb="FF000000"/>
    </font>
    <font>
      <sz val="12.0"/>
      <name val="한컴 솔잎 B"/>
      <color rgb="FF000000"/>
    </font>
    <font>
      <sz val="13.0"/>
      <name val="한컴 솔잎 B"/>
      <color rgb="FF000000"/>
    </font>
    <font>
      <sz val="10.0"/>
      <name val="한컴 솔잎 B"/>
      <color rgb="FF000000"/>
    </font>
    <font>
      <sz val="9.0"/>
      <name val="한컴 솔잎 B"/>
      <color rgb="FF000000"/>
    </font>
    <font>
      <sz val="16.0"/>
      <name val="한컴 솔잎 B"/>
      <color rgb="FF000000"/>
    </font>
    <font>
      <sz val="22.0"/>
      <name val="한컴 솔잎 B"/>
      <color rgb="FF000000"/>
    </font>
    <font>
      <sz val="13.0"/>
      <name val="굴림"/>
      <color rgb="FF000000"/>
    </font>
    <font>
      <sz val="8.0"/>
      <name val="한컴 솔잎 B"/>
      <color rgb="FF000000"/>
    </font>
    <font>
      <sz val="20.0"/>
      <name val="한컴 솔잎 B"/>
      <color rgb="FF000000"/>
    </font>
    <font>
      <b/>
      <sz val="11.0"/>
      <name val="한컴 솔잎 B"/>
      <color rgb="FF000000"/>
    </font>
    <font>
      <sz val="26.0"/>
      <name val="한컴 솔잎 B"/>
      <color rgb="FF000000"/>
    </font>
    <font>
      <sz val="11.0"/>
      <name val="맑은 고딕"/>
      <scheme val="minor"/>
      <color rgb="FF006100"/>
    </font>
    <font>
      <sz val="2.0"/>
      <name val="돋움"/>
      <color rgb="FF000000"/>
    </font>
    <font>
      <b/>
      <sz val="33.0"/>
      <name val="돋움"/>
      <color rgb="FF000000"/>
    </font>
    <font>
      <b/>
      <sz val="20.0"/>
      <name val="돋움"/>
      <color rgb="FF000000"/>
    </font>
    <font>
      <b/>
      <sz val="36.0"/>
      <name val="돋움"/>
      <color rgb="FF000000"/>
    </font>
    <font>
      <b/>
      <sz val="17.0"/>
      <name val="돋움"/>
      <color rgb="FF000000"/>
    </font>
    <font>
      <b/>
      <sz val="12.0"/>
      <name val="돋움"/>
      <color rgb="FF000000"/>
    </font>
    <font>
      <sz val="11.5"/>
      <name val="돋움"/>
      <color rgb="FF000000"/>
    </font>
    <font>
      <sz val="13.0"/>
      <name val="돋움"/>
      <color rgb="FF000000"/>
    </font>
    <font>
      <b/>
      <u/>
      <sz val="20.0"/>
      <name val="돋움"/>
      <color rgb="FF000000"/>
    </font>
    <font>
      <sz val="12.0"/>
      <name val="MS Gothic"/>
      <color rgb="FF000000"/>
    </font>
    <font>
      <sz val="14.0"/>
      <name val="돋움"/>
      <color rgb="FF000000"/>
    </font>
    <font>
      <b/>
      <sz val="10.0"/>
      <name val="돋움"/>
      <color rgb="FF000000"/>
    </font>
    <font>
      <b/>
      <sz val="28.0"/>
      <name val="바탕체"/>
      <color rgb="FF000000"/>
    </font>
    <font>
      <b/>
      <sz val="12.0"/>
      <name val="돋움"/>
      <color rgb="FFFF0000"/>
    </font>
    <font>
      <sz val="12.0"/>
      <name val="바탕체"/>
      <color rgb="FFFF0000"/>
    </font>
    <font>
      <sz val="9.0"/>
      <name val="맑은 고딕"/>
      <scheme val="minor"/>
      <color rgb="FF000000"/>
    </font>
    <font>
      <b/>
      <sz val="9.0"/>
      <name val="맑은 고딕"/>
      <scheme val="minor"/>
      <color rgb="FF000000"/>
    </font>
    <font>
      <sz val="9.0"/>
      <name val="맑은 고딕"/>
      <scheme val="minor"/>
      <color theme="1"/>
    </font>
    <font>
      <sz val="7.0"/>
      <name val="맑은 고딕"/>
      <scheme val="minor"/>
      <color rgb="FF000000"/>
    </font>
    <font>
      <b/>
      <sz val="16.0"/>
      <name val="맑은 고딕"/>
      <scheme val="minor"/>
      <color rgb="FF000000"/>
    </font>
    <font>
      <sz val="64.0"/>
      <name val="HY헤드라인M"/>
      <color theme="1"/>
    </font>
    <font>
      <sz val="28.0"/>
      <name val="HY헤드라인M"/>
      <color theme="1"/>
    </font>
    <font>
      <sz val="48.0"/>
      <name val="HY헤드라인M"/>
      <color theme="1"/>
    </font>
    <font>
      <b/>
      <sz val="16.0"/>
      <name val="돋움"/>
      <color rgb="FF000000"/>
    </font>
    <font>
      <sz val="10.0"/>
      <name val="한컴바탕"/>
      <color rgb="FF000000"/>
    </font>
    <font>
      <sz val="11.0"/>
      <name val="한컴바탕"/>
      <color rgb="FF000000"/>
    </font>
    <font>
      <b/>
      <sz val="6.0"/>
      <name val="돋움"/>
      <color rgb="FF000000"/>
    </font>
    <font>
      <b/>
      <sz val="6.0"/>
      <name val="한컴바탕"/>
      <color rgb="FF000000"/>
    </font>
    <font>
      <b/>
      <sz val="7.0"/>
      <name val="돋움"/>
      <color rgb="FF000000"/>
    </font>
    <font>
      <b/>
      <sz val="7.0"/>
      <name val="한컴바탕"/>
      <color rgb="FF000000"/>
    </font>
    <font>
      <sz val="6.0"/>
      <name val="돋움"/>
      <color rgb="FF000000"/>
    </font>
    <font>
      <sz val="6.0"/>
      <name val="한컴바탕"/>
      <color rgb="FF000000"/>
    </font>
    <font>
      <b/>
      <sz val="10.0"/>
      <name val="한컴바탕"/>
      <color rgb="FF000000"/>
    </font>
    <font>
      <u/>
      <sz val="11.0"/>
      <name val="돋움"/>
      <color theme="10"/>
    </font>
    <font>
      <u/>
      <sz val="11.0"/>
      <name val="돋움"/>
      <color theme="11"/>
    </font>
    <font>
      <b/>
      <sz val="18.0"/>
      <name val="돋움"/>
      <color rgb="FF000000"/>
    </font>
    <font>
      <sz val="12.0"/>
      <name val="한컴돋움"/>
      <color rgb="FF000000"/>
    </font>
    <font>
      <sz val="12.0"/>
      <name val="한컴바탕"/>
      <color rgb="FF000000"/>
    </font>
    <font>
      <b/>
      <sz val="16.0"/>
      <name val="한컴바탕"/>
      <color rgb="FF000000"/>
    </font>
    <font>
      <sz val="9.0"/>
      <name val="함초롬바탕"/>
      <color theme="1"/>
    </font>
    <font>
      <sz val="10.0"/>
      <name val="맑은 고딕"/>
      <scheme val="minor"/>
      <color theme="1"/>
    </font>
    <font>
      <b/>
      <sz val="30.0"/>
      <name val="바탕체"/>
      <color rgb="FF000000"/>
    </font>
    <font>
      <sz val="9.0"/>
      <name val="바탕체"/>
      <color rgb="FF000000"/>
    </font>
    <font>
      <b/>
      <sz val="12.0"/>
      <name val="바탕체"/>
      <color rgb="FF000000"/>
    </font>
    <font>
      <b/>
      <sz val="32.0"/>
      <name val="바탕체"/>
      <color rgb="FF000000"/>
    </font>
    <font>
      <b/>
      <sz val="14.0"/>
      <name val="바탕체"/>
      <color rgb="FF000000"/>
    </font>
    <font>
      <b/>
      <sz val="14.0"/>
      <name val="MS Gothic"/>
      <color rgb="FF000000"/>
    </font>
    <font>
      <b/>
      <sz val="10.0"/>
      <name val="바탕체"/>
      <color rgb="FF000000"/>
    </font>
    <font>
      <sz val="11.0"/>
      <name val="돋움"/>
      <color rgb="FFFF0000"/>
    </font>
    <font>
      <sz val="18.0"/>
      <name val="돋움"/>
      <color theme="3"/>
    </font>
    <font>
      <b/>
      <sz val="15.0"/>
      <name val="돋움"/>
      <color theme="3"/>
    </font>
    <font>
      <b/>
      <sz val="13.0"/>
      <name val="돋움"/>
      <color theme="3"/>
    </font>
    <font>
      <b/>
      <sz val="11.0"/>
      <name val="돋움"/>
      <color theme="3"/>
    </font>
    <font>
      <sz val="11.0"/>
      <name val="돋움"/>
      <color rgb="FF3F3F76"/>
    </font>
    <font>
      <b/>
      <sz val="11.0"/>
      <name val="돋움"/>
      <color rgb="FF3F3F3F"/>
    </font>
    <font>
      <b/>
      <sz val="11.0"/>
      <name val="돋움"/>
      <color rgb="FFFA7D00"/>
    </font>
    <font>
      <b/>
      <sz val="11.0"/>
      <name val="돋움"/>
      <color rgb="FFFFFFFF"/>
    </font>
    <font>
      <sz val="11.0"/>
      <name val="돋움"/>
      <color rgb="FFFA7D00"/>
    </font>
    <font>
      <b/>
      <sz val="11.0"/>
      <name val="돋움"/>
      <color theme="1"/>
    </font>
    <font>
      <sz val="11.0"/>
      <name val="돋움"/>
      <color rgb="FF006100"/>
    </font>
    <font>
      <sz val="11.0"/>
      <name val="돋움"/>
      <color rgb="FF9C0006"/>
    </font>
    <font>
      <sz val="11.0"/>
      <name val="돋움"/>
      <color rgb="FF9C6500"/>
    </font>
    <font>
      <sz val="11.0"/>
      <name val="돋움"/>
      <color theme="0"/>
    </font>
    <font>
      <sz val="11.0"/>
      <name val="돋움"/>
      <color theme="1"/>
    </font>
    <font>
      <i/>
      <sz val="11.0"/>
      <name val="돋움"/>
      <color rgb="FF7F7F7F"/>
    </font>
    <font>
      <b/>
      <sz val="24.0"/>
      <name val="바탕"/>
      <color rgb="FF000000"/>
    </font>
    <font>
      <b/>
      <sz val="30.0"/>
      <name val="맑은 고딕"/>
      <color rgb="FF000000"/>
    </font>
    <font>
      <sz val="10.0"/>
      <name val="맑은 고딕"/>
      <color rgb="FF000000"/>
    </font>
    <font>
      <b/>
      <sz val="12.0"/>
      <name val="맑은 고딕"/>
      <color rgb="FF000000"/>
    </font>
    <font>
      <sz val="12.0"/>
      <name val="맑은 고딕"/>
      <color rgb="FF000000"/>
    </font>
    <font>
      <sz val="16.0"/>
      <name val="돋움"/>
      <color rgb="FF000000"/>
    </font>
    <font>
      <b/>
      <sz val="19.0"/>
      <name val="함초롬바탕"/>
      <color rgb="FF000000"/>
    </font>
    <font>
      <b/>
      <sz val="14.0"/>
      <name val="맑은 고딕"/>
      <color rgb="FF000000"/>
    </font>
    <font>
      <b/>
      <sz val="32.0"/>
      <name val="맑은 고딕"/>
      <color rgb="FF000000"/>
    </font>
    <font>
      <sz val="11.0"/>
      <name val="맑은 고딕"/>
      <color rgb="FF000000"/>
    </font>
    <font>
      <sz val="13.0"/>
      <name val="맑은 고딕"/>
      <color rgb="FF000000"/>
    </font>
    <font>
      <b/>
      <u/>
      <sz val="20.0"/>
      <name val="맑은 고딕"/>
      <color rgb="FF000000"/>
    </font>
    <font>
      <b/>
      <sz val="11.0"/>
      <name val="맑은 고딕"/>
      <color rgb="FF000000"/>
    </font>
    <font>
      <b/>
      <sz val="17.0"/>
      <name val="맑은 고딕"/>
      <color rgb="FF000000"/>
    </font>
    <font>
      <b/>
      <sz val="36.0"/>
      <name val="맑은 고딕"/>
      <color rgb="FF000000"/>
    </font>
    <font>
      <b/>
      <sz val="18.0"/>
      <name val="맑은 고딕"/>
      <color rgb="FF000000"/>
    </font>
    <font>
      <b/>
      <sz val="33.0"/>
      <name val="맑은 고딕"/>
      <color rgb="FF000000"/>
    </font>
    <font>
      <sz val="2.0"/>
      <name val="맑은 고딕"/>
      <color rgb="FF000000"/>
    </font>
    <font>
      <b/>
      <sz val="20.0"/>
      <name val="맑은 고딕"/>
      <color rgb="FF000000"/>
    </font>
    <font>
      <sz val="26.0"/>
      <name val="맑은 고딕"/>
      <color rgb="FF000000"/>
    </font>
    <font>
      <sz val="14.0"/>
      <name val="맑은 고딕"/>
      <color rgb="FF000000"/>
    </font>
    <font>
      <sz val="20.0"/>
      <name val="맑은 고딕"/>
      <color rgb="FF000000"/>
    </font>
    <font>
      <sz val="9.0"/>
      <name val="맑은 고딕"/>
      <color rgb="FF000000"/>
    </font>
    <font>
      <sz val="16.0"/>
      <name val="맑은 고딕"/>
      <color rgb="FF000000"/>
    </font>
    <font>
      <sz val="16.0"/>
      <name val="돋움"/>
      <color rgb="FF000000"/>
    </font>
    <font>
      <sz val="10.0"/>
      <name val="돋움"/>
      <color rgb="FF000000"/>
    </font>
    <font>
      <sz val="11.0"/>
      <name val="돋움"/>
      <color rgb="FF000000"/>
    </font>
    <font>
      <b/>
      <sz val="24.0"/>
      <name val="바탕"/>
      <color rgb="FF000000"/>
    </font>
    <font>
      <b/>
      <sz val="19.0"/>
      <name val="함초롬바탕"/>
      <color rgb="FF000000"/>
    </font>
    <font>
      <sz val="10.0"/>
      <name val="돋움"/>
      <color/>
    </font>
  </fonts>
  <fills count="45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150000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2" tint="-0.09998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28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 style="dotted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/>
      <right/>
      <top style="dotted">
        <color rgb="FF000000"/>
      </top>
      <bottom/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medium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hair">
        <color rgb="FF000000"/>
      </bottom>
    </border>
    <border>
      <left/>
      <right/>
      <top style="medium">
        <color rgb="FF000000"/>
      </top>
      <bottom style="hair">
        <color rgb="FF000000"/>
      </bottom>
    </border>
    <border>
      <left/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/>
      <top style="hair">
        <color rgb="FF000000"/>
      </top>
      <bottom/>
    </border>
    <border>
      <left/>
      <right/>
      <top style="hair">
        <color rgb="FF000000"/>
      </top>
      <bottom/>
    </border>
    <border>
      <left/>
      <right style="medium">
        <color rgb="FF000000"/>
      </right>
      <top style="hair">
        <color rgb="FF000000"/>
      </top>
      <bottom/>
    </border>
    <border>
      <left style="medium">
        <color rgb="FF000000"/>
      </left>
      <right/>
      <top/>
      <bottom style="hair">
        <color rgb="FF000000"/>
      </bottom>
    </border>
    <border>
      <left/>
      <right style="medium">
        <color rgb="FF000000"/>
      </right>
      <top/>
      <bottom style="hair">
        <color rgb="FF000000"/>
      </bottom>
    </border>
    <border>
      <left style="medium">
        <color rgb="FF000000"/>
      </left>
      <right/>
      <top style="hair">
        <color rgb="FF000000"/>
      </top>
      <bottom style="hair">
        <color rgb="FF000000"/>
      </bottom>
    </border>
    <border>
      <left/>
      <right/>
      <top style="hair">
        <color rgb="FF000000"/>
      </top>
      <bottom style="hair">
        <color rgb="FF000000"/>
      </bottom>
    </border>
    <border>
      <left/>
      <right style="medium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medium">
        <color rgb="FF000000"/>
      </bottom>
    </border>
    <border>
      <left/>
      <right style="thin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/>
    </border>
    <border>
      <left/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thick">
        <color rgb="FF000000"/>
      </left>
      <right/>
      <top style="thick">
        <color rgb="FF000000"/>
      </top>
      <bottom style="thin">
        <color rgb="FF000000"/>
      </bottom>
    </border>
    <border>
      <left/>
      <right/>
      <top style="thick">
        <color rgb="FF000000"/>
      </top>
      <bottom style="thin">
        <color rgb="FF000000"/>
      </bottom>
    </border>
    <border>
      <left/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/>
      <top style="thin">
        <color rgb="FF000000"/>
      </top>
      <bottom style="thin">
        <color rgb="FF000000"/>
      </bottom>
    </border>
    <border>
      <left/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/>
      <top style="thin">
        <color rgb="FF000000"/>
      </top>
      <bottom style="thick">
        <color rgb="FF000000"/>
      </bottom>
    </border>
    <border>
      <left/>
      <right/>
      <top style="thin">
        <color rgb="FF000000"/>
      </top>
      <bottom style="thick">
        <color rgb="FF000000"/>
      </bottom>
    </border>
    <border>
      <left/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/>
      <right/>
      <top/>
      <bottom/>
      <diagonal/>
    </border>
    <border>
      <left style="thin">
        <color auto="1"/>
      </left>
      <right/>
      <top style="medium">
        <color rgb="FF000000"/>
      </top>
      <bottom style="thin">
        <color rgb="FF000000"/>
      </bottom>
    </border>
    <border>
      <left style="thin">
        <color auto="1"/>
      </left>
      <right/>
      <top style="thin">
        <color rgb="FF000000"/>
      </top>
      <bottom/>
    </border>
    <border>
      <left style="thin">
        <color auto="1"/>
      </left>
      <right/>
      <top/>
      <bottom/>
    </border>
    <border>
      <left style="thin">
        <color auto="1"/>
      </left>
      <right/>
      <top/>
      <bottom style="thin">
        <color rgb="FF000000"/>
      </bottom>
    </border>
    <border>
      <left style="thin">
        <color auto="1"/>
      </left>
      <right/>
      <top style="thin">
        <color rgb="FF000000"/>
      </top>
      <bottom style="thin">
        <color rgb="FF000000"/>
      </bottom>
    </border>
  </borders>
  <cellStyleXfs count="3167">
    <xf numFmtId="0" fontId="0" fillId="0" borderId="0">
      <alignment vertical="center"/>
    </xf>
    <xf numFmtId="0" fontId="7" fillId="0" borderId="0">
      <alignment vertical="center"/>
      <protection locked="0"/>
    </xf>
    <xf numFmtId="184" fontId="7" fillId="0" borderId="0" applyBorder="0" applyFill="0" applyProtection="0">
      <alignment vertical="center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8" fillId="0" borderId="1">
      <alignment horizontal="center" vertical="center"/>
    </xf>
    <xf numFmtId="3" fontId="9" fillId="0" borderId="2">
      <alignment vertical="center"/>
    </xf>
    <xf numFmtId="181" fontId="0" fillId="0" borderId="0" applyAlignment="0" applyBorder="0" applyFill="0" applyFont="0" applyProtection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 applyAlignment="0" applyBorder="0" applyFill="0" applyNumberForma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8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8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2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2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2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12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1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4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5" fillId="0" borderId="0">
      <alignment vertical="center"/>
    </xf>
    <xf numFmtId="185" fontId="0" fillId="0" borderId="0" applyBorder="0" applyFill="0" applyFont="0" applyProtection="0">
      <alignment vertical="center"/>
    </xf>
    <xf numFmtId="186" fontId="0" fillId="0" borderId="0">
      <alignment vertical="center"/>
    </xf>
    <xf numFmtId="187" fontId="0" fillId="0" borderId="0" applyAlignment="0" applyBorder="0" applyFill="0" applyFo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188" fontId="12" fillId="0" borderId="0" applyAlignment="0" applyBorder="0" applyFill="0" applyFont="0" applyProtection="0">
      <alignment vertical="center"/>
    </xf>
    <xf numFmtId="189" fontId="12" fillId="0" borderId="0" applyAlignment="0" applyBorder="0" applyFill="0" applyFont="0" applyProtection="0">
      <alignment vertical="center"/>
    </xf>
    <xf numFmtId="0" fontId="8" fillId="0" borderId="0">
      <alignment vertical="center"/>
    </xf>
    <xf numFmtId="190" fontId="16" fillId="0" borderId="2">
      <alignment vertical="center"/>
    </xf>
    <xf numFmtId="3" fontId="9" fillId="0" borderId="2">
      <alignment vertical="center"/>
    </xf>
    <xf numFmtId="3" fontId="9" fillId="0" borderId="2">
      <alignment vertical="center"/>
    </xf>
    <xf numFmtId="191" fontId="7" fillId="0" borderId="0">
      <alignment vertical="center"/>
    </xf>
    <xf numFmtId="192" fontId="5" fillId="0" borderId="0">
      <alignment vertical="center"/>
    </xf>
    <xf numFmtId="3" fontId="17" fillId="0" borderId="3">
      <alignment horizontal="right" vertical="center"/>
    </xf>
    <xf numFmtId="192" fontId="5" fillId="0" borderId="0">
      <alignment vertical="center"/>
    </xf>
    <xf numFmtId="3" fontId="17" fillId="0" borderId="3">
      <alignment horizontal="right" vertical="center"/>
    </xf>
    <xf numFmtId="192" fontId="5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2" fontId="5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5" fontId="7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5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2" fontId="5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7" fontId="20" fillId="0" borderId="0">
      <alignment vertical="center"/>
    </xf>
    <xf numFmtId="0" fontId="0" fillId="0" borderId="0">
      <alignment vertical="center"/>
    </xf>
    <xf numFmtId="2" fontId="17" fillId="0" borderId="3">
      <alignment horizontal="right" vertical="center"/>
    </xf>
    <xf numFmtId="0" fontId="7" fillId="0" borderId="4">
      <alignment horizontal="center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0" fontId="1" fillId="9" borderId="0" applyAlignment="0" applyBorder="0" applyNumberFormat="0" applyProtection="0">
      <alignment vertical="center"/>
    </xf>
    <xf numFmtId="197" fontId="20" fillId="0" borderId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198" fontId="23" fillId="0" borderId="0" applyAlignment="0" applyBorder="0" applyFill="0" applyFont="0" applyProtection="0">
      <alignment vertical="center"/>
    </xf>
    <xf numFmtId="0" fontId="24" fillId="0" borderId="0" applyAlignment="0" applyBorder="0" applyFill="0" applyFont="0" applyProtection="0">
      <alignment vertical="center"/>
    </xf>
    <xf numFmtId="198" fontId="23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199" fontId="23" fillId="0" borderId="0" applyAlignment="0" applyBorder="0" applyFill="0" applyFont="0" applyProtection="0">
      <alignment vertical="center"/>
    </xf>
    <xf numFmtId="0" fontId="24" fillId="0" borderId="0" applyAlignment="0" applyBorder="0" applyFill="0" applyFont="0" applyProtection="0">
      <alignment vertical="center"/>
    </xf>
    <xf numFmtId="199" fontId="23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8" fillId="0" borderId="0">
      <alignment vertical="center"/>
    </xf>
    <xf numFmtId="0" fontId="25" fillId="0" borderId="0">
      <alignment horizontal="center" vertical="center" wrapText="1"/>
      <protection locked="0"/>
    </xf>
    <xf numFmtId="0" fontId="26" fillId="0" borderId="0" applyAlignment="0" applyBorder="0" applyFill="0" applyFont="0" applyProtection="0">
      <alignment vertical="center"/>
    </xf>
    <xf numFmtId="190" fontId="23" fillId="0" borderId="0" applyAlignment="0" applyBorder="0" applyFill="0" applyFont="0" applyProtection="0">
      <alignment vertical="center"/>
    </xf>
    <xf numFmtId="0" fontId="24" fillId="0" borderId="0" applyAlignment="0" applyBorder="0" applyFill="0" applyFont="0" applyProtection="0">
      <alignment vertical="center"/>
    </xf>
    <xf numFmtId="190" fontId="23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200" fontId="23" fillId="0" borderId="0" applyAlignment="0" applyBorder="0" applyFill="0" applyFont="0" applyProtection="0">
      <alignment vertical="center"/>
    </xf>
    <xf numFmtId="0" fontId="24" fillId="0" borderId="0" applyAlignment="0" applyBorder="0" applyFill="0" applyFont="0" applyProtection="0">
      <alignment vertical="center"/>
    </xf>
    <xf numFmtId="200" fontId="23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0" fontId="27" fillId="0" borderId="0">
      <alignment vertical="center"/>
    </xf>
    <xf numFmtId="37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49" fontId="23" fillId="0" borderId="0" applyBorder="0">
      <alignment vertical="center"/>
    </xf>
    <xf numFmtId="0" fontId="24" fillId="0" borderId="0">
      <alignment vertical="center"/>
    </xf>
    <xf numFmtId="201" fontId="16" fillId="0" borderId="0" applyAlignment="0" applyBorder="0" applyFill="0">
      <alignment vertical="center"/>
    </xf>
    <xf numFmtId="0" fontId="28" fillId="0" borderId="0">
      <alignment vertical="center"/>
    </xf>
    <xf numFmtId="0" fontId="29" fillId="0" borderId="0" applyAlignment="0" applyBorder="0" applyFill="0" applyNumberFormat="0" applyProtection="0">
      <alignment vertical="top"/>
      <protection locked="0"/>
    </xf>
    <xf numFmtId="202" fontId="0" fillId="0" borderId="0">
      <alignment vertical="center"/>
    </xf>
    <xf numFmtId="203" fontId="7" fillId="0" borderId="0">
      <alignment vertical="center"/>
      <protection locked="0"/>
    </xf>
    <xf numFmtId="0" fontId="30" fillId="0" borderId="0" applyAlignment="0" applyNumberFormat="0">
      <alignment horizontal="left" vertical="center"/>
    </xf>
    <xf numFmtId="0" fontId="31" fillId="0" borderId="0" applyAlignment="0" applyNumberFormat="0">
      <alignment vertical="center"/>
    </xf>
    <xf numFmtId="0" fontId="6" fillId="0" borderId="0" applyAlignment="0" applyBorder="0" applyFill="0" applyFont="0" applyProtection="0">
      <alignment vertical="center"/>
    </xf>
    <xf numFmtId="0" fontId="6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187" fontId="0" fillId="0" borderId="2" applyAlignment="0" applyBorder="0" applyFill="0">
      <alignment vertical="center"/>
    </xf>
    <xf numFmtId="204" fontId="7" fillId="0" borderId="0">
      <alignment vertical="center"/>
      <protection locked="0"/>
    </xf>
    <xf numFmtId="0" fontId="13" fillId="0" borderId="0">
      <alignment vertical="center"/>
    </xf>
    <xf numFmtId="0" fontId="32" fillId="0" borderId="0">
      <alignment vertical="center"/>
      <protection locked="0"/>
    </xf>
    <xf numFmtId="57" fontId="0" fillId="0" borderId="0" applyAlignment="0" applyBorder="0" applyFill="0" applyFont="0" applyProtection="0">
      <alignment vertical="center"/>
    </xf>
    <xf numFmtId="205" fontId="0" fillId="0" borderId="0" applyAlignment="0" applyBorder="0" applyFill="0" applyFont="0" applyProtection="0">
      <alignment vertical="center"/>
    </xf>
    <xf numFmtId="206" fontId="0" fillId="0" borderId="0">
      <alignment vertical="center"/>
    </xf>
    <xf numFmtId="207" fontId="33" fillId="0" borderId="2">
      <alignment vertical="center"/>
    </xf>
    <xf numFmtId="0" fontId="34" fillId="0" borderId="0" applyAlignment="0" applyNumberFormat="0">
      <alignment horizontal="left" vertical="center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5" fillId="0" borderId="0">
      <alignment vertical="center"/>
      <protection locked="0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5" fillId="0" borderId="0">
      <alignment vertical="center"/>
      <protection locked="0"/>
    </xf>
    <xf numFmtId="208" fontId="7" fillId="0" borderId="0">
      <alignment vertical="center"/>
      <protection locked="0"/>
    </xf>
    <xf numFmtId="38" fontId="36" fillId="2" borderId="0" applyAlignment="0" applyBorder="0" applyNumberFormat="0" applyProtection="0">
      <alignment vertical="center"/>
    </xf>
    <xf numFmtId="3" fontId="33" fillId="0" borderId="5">
      <alignment horizontal="right" vertical="center"/>
    </xf>
    <xf numFmtId="4" fontId="33" fillId="0" borderId="5">
      <alignment horizontal="right" vertical="center"/>
    </xf>
    <xf numFmtId="0" fontId="37" fillId="0" borderId="0">
      <alignment horizontal="left" vertical="center"/>
    </xf>
    <xf numFmtId="0" fontId="38" fillId="0" borderId="6" applyAlignment="0" applyNumberFormat="0" applyProtection="0">
      <alignment horizontal="left" vertical="center"/>
    </xf>
    <xf numFmtId="0" fontId="38" fillId="0" borderId="7">
      <alignment horizontal="left" vertical="center"/>
    </xf>
    <xf numFmtId="0" fontId="39" fillId="0" borderId="0">
      <alignment vertical="center"/>
      <protection locked="0"/>
    </xf>
    <xf numFmtId="0" fontId="39" fillId="0" borderId="0">
      <alignment vertical="center"/>
      <protection locked="0"/>
    </xf>
    <xf numFmtId="209" fontId="12" fillId="0" borderId="0">
      <alignment vertical="center"/>
      <protection locked="0"/>
    </xf>
    <xf numFmtId="209" fontId="12" fillId="0" borderId="0">
      <alignment vertical="center"/>
      <protection locked="0"/>
    </xf>
    <xf numFmtId="10" fontId="36" fillId="3" borderId="2" applyAlignment="0" applyBorder="0" applyNumberFormat="0" applyProtection="0">
      <alignment vertical="center"/>
    </xf>
    <xf numFmtId="210" fontId="40" fillId="4" borderId="0">
      <alignment vertical="center"/>
    </xf>
    <xf numFmtId="211" fontId="33" fillId="0" borderId="2">
      <alignment vertical="center"/>
    </xf>
    <xf numFmtId="210" fontId="41" fillId="5" borderId="0">
      <alignment vertical="center"/>
    </xf>
    <xf numFmtId="212" fontId="33" fillId="0" borderId="2">
      <alignment horizontal="right" vertical="center"/>
    </xf>
    <xf numFmtId="213" fontId="33" fillId="0" borderId="2">
      <alignment vertical="center"/>
    </xf>
    <xf numFmtId="214" fontId="33" fillId="0" borderId="2">
      <alignment vertical="center"/>
    </xf>
    <xf numFmtId="177" fontId="12" fillId="0" borderId="0" applyAlignment="0" applyBorder="0" applyFill="0" applyFont="0" applyProtection="0">
      <alignment vertical="center"/>
    </xf>
    <xf numFmtId="178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42" fillId="0" borderId="8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37" fontId="44" fillId="0" borderId="0">
      <alignment vertical="center"/>
    </xf>
    <xf numFmtId="215" fontId="16" fillId="0" borderId="0">
      <alignment vertical="center"/>
    </xf>
    <xf numFmtId="0" fontId="7" fillId="0" borderId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>
      <alignment vertical="center"/>
    </xf>
    <xf numFmtId="200" fontId="20" fillId="0" borderId="0">
      <alignment vertical="center"/>
    </xf>
    <xf numFmtId="14" fontId="25" fillId="0" borderId="0">
      <alignment horizontal="center" vertical="center" wrapText="1"/>
      <protection locked="0"/>
    </xf>
    <xf numFmtId="10" fontId="12" fillId="0" borderId="0" applyAlignment="0" applyBorder="0" applyFill="0" applyFont="0" applyProtection="0">
      <alignment vertical="center"/>
    </xf>
    <xf numFmtId="216" fontId="45" fillId="0" borderId="0">
      <alignment vertical="center"/>
    </xf>
    <xf numFmtId="0" fontId="8" fillId="0" borderId="0" applyAlignment="0" applyBorder="0" applyFill="0" applyFont="0" applyNumberFormat="0" applyProtection="0">
      <alignment horizontal="left" vertical="center"/>
    </xf>
    <xf numFmtId="14" fontId="46" fillId="0" borderId="0" applyAlignment="0" applyBorder="0" applyFill="0" applyNumberFormat="0" applyProtection="0">
      <alignment horizontal="left" vertical="center"/>
    </xf>
    <xf numFmtId="0" fontId="7" fillId="0" borderId="0">
      <alignment vertical="center"/>
    </xf>
    <xf numFmtId="217" fontId="20" fillId="0" borderId="0">
      <alignment vertical="center"/>
    </xf>
    <xf numFmtId="217" fontId="20" fillId="0" borderId="0">
      <alignment vertical="distributed"/>
    </xf>
    <xf numFmtId="0" fontId="8" fillId="0" borderId="0">
      <alignment vertical="center"/>
    </xf>
    <xf numFmtId="0" fontId="47" fillId="0" borderId="0">
      <alignment horizontal="center" vertical="center"/>
    </xf>
    <xf numFmtId="0" fontId="42" fillId="0" borderId="0">
      <alignment vertical="center"/>
    </xf>
    <xf numFmtId="40" fontId="48" fillId="0" borderId="0" applyBorder="0">
      <alignment horizontal="right" vertical="center"/>
    </xf>
    <xf numFmtId="49" fontId="49" fillId="0" borderId="0" applyBorder="0" applyFill="0" applyProtection="0">
      <alignment horizontal="centerContinuous" vertical="center"/>
    </xf>
    <xf numFmtId="0" fontId="50" fillId="0" borderId="0" applyBorder="0" applyFill="0" applyProtection="0">
      <alignment horizontal="centerContinuous" vertical="center"/>
    </xf>
    <xf numFmtId="0" fontId="10" fillId="6" borderId="0" applyBorder="0" applyFill="0" applyProtection="0">
      <alignment horizontal="center" vertical="center"/>
    </xf>
    <xf numFmtId="0" fontId="32" fillId="0" borderId="9">
      <alignment vertical="center"/>
      <protection locked="0"/>
    </xf>
    <xf numFmtId="0" fontId="51" fillId="0" borderId="4">
      <alignment horizontal="left" vertical="center"/>
    </xf>
    <xf numFmtId="218" fontId="12" fillId="0" borderId="0" applyAlignment="0" applyBorder="0" applyFill="0" applyFont="0" applyProtection="0">
      <alignment vertical="center"/>
    </xf>
    <xf numFmtId="219" fontId="12" fillId="0" borderId="0" applyAlignment="0" applyBorder="0" applyFill="0" applyFont="0" applyProtection="0">
      <alignment vertical="center"/>
    </xf>
    <xf numFmtId="0" fontId="52" fillId="0" borderId="0" applyAlignment="0" applyBorder="0" applyFill="0" applyNumberFormat="0" applyProtection="0">
      <alignment vertical="top"/>
      <protection locked="0"/>
    </xf>
    <xf numFmtId="49" fontId="33" fillId="0" borderId="2">
      <alignment horizontal="center" vertical="center"/>
    </xf>
    <xf numFmtId="220" fontId="7" fillId="0" borderId="0">
      <alignment vertical="center"/>
      <protection locked="0"/>
    </xf>
    <xf numFmtId="0" fontId="39" fillId="0" borderId="0">
      <alignment vertical="center"/>
      <protection locked="0"/>
    </xf>
    <xf numFmtId="0" fontId="39" fillId="0" borderId="0">
      <alignment vertical="center"/>
      <protection locked="0"/>
    </xf>
    <xf numFmtId="0" fontId="53" fillId="0" borderId="0">
      <alignment vertical="center"/>
    </xf>
    <xf numFmtId="0" fontId="20" fillId="0" borderId="0">
      <alignment vertical="center"/>
    </xf>
    <xf numFmtId="37" fontId="9" fillId="0" borderId="10">
      <alignment horizontal="center" vertical="center"/>
    </xf>
    <xf numFmtId="37" fontId="9" fillId="0" borderId="3" applyAlignment="0">
      <alignment vertical="center"/>
    </xf>
    <xf numFmtId="0" fontId="0" fillId="0" borderId="0">
      <alignment vertical="center"/>
    </xf>
    <xf numFmtId="221" fontId="6" fillId="0" borderId="11" applyAlignment="0" applyBorder="0" applyFill="0" applyFont="0">
      <alignment horizontal="left" vertical="center"/>
    </xf>
    <xf numFmtId="0" fontId="32" fillId="0" borderId="0">
      <alignment vertical="center"/>
      <protection locked="0"/>
    </xf>
    <xf numFmtId="3" fontId="8" fillId="0" borderId="12">
      <alignment horizontal="center" vertical="center"/>
    </xf>
    <xf numFmtId="0" fontId="54" fillId="0" borderId="13">
      <alignment vertical="center"/>
    </xf>
    <xf numFmtId="0" fontId="32" fillId="0" borderId="0">
      <alignment vertical="center"/>
      <protection locked="0"/>
    </xf>
    <xf numFmtId="0" fontId="55" fillId="0" borderId="0" applyAlignment="0" applyBorder="0" applyFill="0" applyNumberForma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190" fontId="6" fillId="0" borderId="5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20" fillId="0" borderId="0" applyBorder="0" applyFill="0" applyFont="0" applyNumberFormat="0" applyProtection="0">
      <alignment horizontal="distributed" vertical="center"/>
    </xf>
    <xf numFmtId="10" fontId="56" fillId="0" borderId="0">
      <alignment vertical="center"/>
    </xf>
    <xf numFmtId="10" fontId="56" fillId="0" borderId="0">
      <alignment vertical="center"/>
    </xf>
    <xf numFmtId="222" fontId="32" fillId="0" borderId="0">
      <alignment vertical="center"/>
      <protection locked="0"/>
    </xf>
    <xf numFmtId="223" fontId="7" fillId="0" borderId="0" applyBorder="0" applyFill="0" applyFont="0" applyProtection="0">
      <alignment horizontal="center" vertical="center"/>
    </xf>
    <xf numFmtId="224" fontId="7" fillId="0" borderId="0" applyBorder="0" applyFill="0" applyFont="0" applyProtection="0">
      <alignment horizontal="center" vertical="center"/>
    </xf>
    <xf numFmtId="9" fontId="18" fillId="6" borderId="0" applyBorder="0" applyFill="0" applyProtection="0">
      <alignment horizontal="right" vertical="center"/>
    </xf>
    <xf numFmtId="10" fontId="18" fillId="0" borderId="0" applyBorder="0" applyFill="0" applyProtection="0">
      <alignment horizontal="right" vertical="center"/>
    </xf>
    <xf numFmtId="225" fontId="0" fillId="0" borderId="0" applyAlignment="0" applyBorder="0" applyFill="0" applyFont="0" applyProtection="0">
      <alignment vertical="center"/>
    </xf>
    <xf numFmtId="226" fontId="20" fillId="0" borderId="0" applyAlignment="0" applyBorder="0" applyFill="0" applyFont="0" applyProtection="0">
      <alignment vertical="center"/>
    </xf>
    <xf numFmtId="0" fontId="57" fillId="0" borderId="0" applyBorder="0" applyFill="0" applyFont="0" applyProtection="0">
      <alignment horizontal="center" vertical="center"/>
    </xf>
    <xf numFmtId="0" fontId="57" fillId="0" borderId="0" applyBorder="0" applyFill="0" applyFont="0" applyProtection="0">
      <alignment horizontal="center" vertical="center"/>
    </xf>
    <xf numFmtId="227" fontId="58" fillId="0" borderId="14" applyAlignment="0" applyFill="0" applyFont="0" applyProtection="0">
      <alignment horizontal="center" vertical="center"/>
    </xf>
    <xf numFmtId="0" fontId="59" fillId="0" borderId="0">
      <alignment vertical="center"/>
    </xf>
    <xf numFmtId="190" fontId="60" fillId="0" borderId="11">
      <alignment vertical="center"/>
    </xf>
    <xf numFmtId="0" fontId="20" fillId="0" borderId="0" applyBorder="0" applyFill="0" applyFont="0" applyNumberFormat="0" applyProtection="0">
      <alignment horizontal="centerContinuous" vertical="center"/>
    </xf>
    <xf numFmtId="179" fontId="61" fillId="0" borderId="15">
      <alignment vertical="center"/>
    </xf>
    <xf numFmtId="228" fontId="56" fillId="0" borderId="0">
      <alignment vertical="center"/>
    </xf>
    <xf numFmtId="190" fontId="62" fillId="0" borderId="11">
      <alignment vertical="center"/>
    </xf>
    <xf numFmtId="229" fontId="63" fillId="0" borderId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4" fillId="0" borderId="16">
      <alignment vertical="center"/>
    </xf>
    <xf numFmtId="230" fontId="33" fillId="0" borderId="2" applyBorder="0">
      <alignment vertical="center"/>
    </xf>
    <xf numFmtId="0" fontId="65" fillId="0" borderId="0" applyAlignment="0" applyBorder="0" applyFill="0" applyFont="0" applyProtection="0">
      <alignment vertical="center"/>
    </xf>
    <xf numFmtId="0" fontId="66" fillId="0" borderId="0">
      <alignment vertical="center"/>
    </xf>
    <xf numFmtId="0" fontId="67" fillId="0" borderId="0">
      <alignment horizontal="center" vertical="center"/>
    </xf>
    <xf numFmtId="4" fontId="32" fillId="0" borderId="0">
      <alignment vertical="center"/>
      <protection locked="0"/>
    </xf>
    <xf numFmtId="0" fontId="53" fillId="0" borderId="0">
      <alignment vertical="center"/>
    </xf>
    <xf numFmtId="4" fontId="32" fillId="0" borderId="0">
      <alignment vertical="center"/>
      <protection locked="0"/>
    </xf>
    <xf numFmtId="231" fontId="7" fillId="0" borderId="0">
      <alignment vertical="center"/>
      <protection locked="0"/>
    </xf>
    <xf numFmtId="0" fontId="53" fillId="4" borderId="0">
      <alignment vertical="center"/>
    </xf>
    <xf numFmtId="0" fontId="7" fillId="0" borderId="0">
      <alignment vertical="center"/>
    </xf>
    <xf numFmtId="0" fontId="68" fillId="0" borderId="0">
      <alignment horizontal="centerContinuous" vertical="center"/>
    </xf>
    <xf numFmtId="0" fontId="7" fillId="0" borderId="2">
      <alignment horizontal="distributed" vertical="center"/>
    </xf>
    <xf numFmtId="0" fontId="7" fillId="0" borderId="17">
      <alignment horizontal="distributed" vertical="top"/>
    </xf>
    <xf numFmtId="0" fontId="7" fillId="0" borderId="18">
      <alignment horizontal="distributed" vertical="center"/>
    </xf>
    <xf numFmtId="0" fontId="7" fillId="0" borderId="0">
      <alignment vertical="center"/>
    </xf>
    <xf numFmtId="0" fontId="69" fillId="0" borderId="0">
      <alignment vertical="center"/>
    </xf>
    <xf numFmtId="0" fontId="84" fillId="10" borderId="0" applyAlignment="0" applyBorder="0" applyNumberFormat="0" applyProtection="0">
      <alignment vertical="center"/>
    </xf>
    <xf numFmtId="0" fontId="7" fillId="0" borderId="0">
      <alignment vertical="center"/>
    </xf>
    <xf numFmtId="222" fontId="32" fillId="0" borderId="0">
      <alignment vertical="center"/>
      <protection locked="0"/>
    </xf>
    <xf numFmtId="222" fontId="32" fillId="0" borderId="0">
      <alignment vertical="center"/>
      <protection locked="0"/>
    </xf>
    <xf numFmtId="232" fontId="7" fillId="0" borderId="0" applyBorder="0" applyFill="0" applyFont="0" applyProtection="0">
      <alignment vertical="center"/>
    </xf>
    <xf numFmtId="38" fontId="20" fillId="0" borderId="0" applyBorder="0" applyFill="0" applyFont="0" applyProtection="0">
      <alignment vertical="center"/>
    </xf>
    <xf numFmtId="233" fontId="0" fillId="0" borderId="0" applyAlignment="0" applyBorder="0" applyFill="0" applyFont="0" applyProtection="0">
      <alignment vertical="center"/>
    </xf>
    <xf numFmtId="0" fontId="12" fillId="0" borderId="2">
      <alignment vertical="center"/>
    </xf>
    <xf numFmtId="234" fontId="0" fillId="6" borderId="0" applyBorder="0" applyFill="0" applyProtection="0">
      <alignment horizontal="right" vertical="center"/>
    </xf>
    <xf numFmtId="38" fontId="20" fillId="0" borderId="0" applyAlignment="0" applyBorder="0" applyFill="0" applyFont="0" applyProtection="0">
      <alignment vertical="center"/>
    </xf>
    <xf numFmtId="179" fontId="20" fillId="0" borderId="0" applyAlignment="0" applyBorder="0" applyFill="0" applyFont="0" applyProtection="0">
      <alignment vertical="center"/>
    </xf>
    <xf numFmtId="38" fontId="20" fillId="0" borderId="0" applyAlignment="0" applyBorder="0" applyFill="0" applyProtection="0">
      <alignment vertical="center"/>
    </xf>
    <xf numFmtId="228" fontId="57" fillId="0" borderId="0" applyAlignment="0" applyBorder="0" applyFill="0" applyFont="0" applyProtection="0">
      <alignment vertical="center"/>
    </xf>
    <xf numFmtId="235" fontId="8" fillId="0" borderId="0" applyAlignment="0" applyBorder="0" applyFill="0" applyFont="0" applyProtection="0">
      <alignment vertical="center"/>
    </xf>
    <xf numFmtId="236" fontId="8" fillId="0" borderId="0" applyAlignment="0" applyBorder="0" applyFill="0" applyFont="0" applyProtection="0">
      <alignment vertical="center"/>
    </xf>
    <xf numFmtId="237" fontId="57" fillId="0" borderId="2">
      <alignment vertical="center"/>
    </xf>
    <xf numFmtId="238" fontId="8" fillId="0" borderId="0" applyAlignment="0" applyBorder="0" applyFill="0" applyFont="0" applyProtection="0">
      <alignment vertical="center"/>
    </xf>
    <xf numFmtId="239" fontId="8" fillId="0" borderId="0" applyAlignment="0" applyBorder="0" applyFill="0" applyFont="0" applyProtection="0">
      <alignment vertical="center"/>
    </xf>
    <xf numFmtId="0" fontId="7" fillId="0" borderId="0" applyAlignment="0" applyBorder="0" applyFill="0" applyFont="0" applyProtection="0">
      <alignment vertical="center"/>
    </xf>
    <xf numFmtId="222" fontId="32" fillId="0" borderId="0">
      <alignment vertical="center"/>
      <protection locked="0"/>
    </xf>
    <xf numFmtId="222" fontId="32" fillId="0" borderId="0">
      <alignment vertical="center"/>
      <protection locked="0"/>
    </xf>
    <xf numFmtId="0" fontId="7" fillId="0" borderId="0" applyAlignment="0" applyBorder="0" applyFill="0" applyFont="0" applyProtection="0">
      <alignment vertical="center"/>
    </xf>
    <xf numFmtId="240" fontId="7" fillId="0" borderId="0">
      <alignment vertical="center"/>
      <protection locked="0"/>
    </xf>
    <xf numFmtId="222" fontId="32" fillId="0" borderId="0">
      <alignment vertical="center"/>
      <protection locked="0"/>
    </xf>
    <xf numFmtId="0" fontId="62" fillId="0" borderId="15">
      <alignment horizontal="center" vertical="center"/>
    </xf>
    <xf numFmtId="0" fontId="62" fillId="0" borderId="15">
      <alignment horizontal="left" vertical="center"/>
    </xf>
    <xf numFmtId="0" fontId="62" fillId="0" borderId="15">
      <alignment vertical="center" textRotation="255"/>
    </xf>
    <xf numFmtId="0" fontId="9" fillId="0" borderId="18">
      <alignment horizontal="distributed" vertical="center"/>
    </xf>
    <xf numFmtId="0" fontId="9" fillId="0" borderId="19">
      <alignment horizontal="distributed" vertical="center"/>
    </xf>
    <xf numFmtId="0" fontId="9" fillId="0" borderId="20">
      <alignment horizontal="distributed" vertical="top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8" fillId="0" borderId="0">
      <alignment vertical="center"/>
    </xf>
    <xf numFmtId="0" fontId="61" fillId="0" borderId="0" applyFill="0" applyProtection="0">
      <alignment vertical="center"/>
    </xf>
    <xf numFmtId="0" fontId="0" fillId="0" borderId="0">
      <alignment vertical="center"/>
    </xf>
    <xf numFmtId="1" fontId="9" fillId="0" borderId="16">
      <alignment horizontal="centerContinuous" vertical="center"/>
    </xf>
    <xf numFmtId="0" fontId="0" fillId="0" borderId="2" applyFill="0" applyNumberFormat="0" applyProtection="0">
      <alignment vertical="center"/>
    </xf>
    <xf numFmtId="0" fontId="7" fillId="0" borderId="0">
      <alignment vertical="center"/>
    </xf>
    <xf numFmtId="0" fontId="32" fillId="0" borderId="9">
      <alignment vertical="center"/>
      <protection locked="0"/>
    </xf>
    <xf numFmtId="241" fontId="7" fillId="0" borderId="0">
      <alignment vertical="center"/>
      <protection locked="0"/>
    </xf>
    <xf numFmtId="242" fontId="7" fillId="0" borderId="0">
      <alignment vertical="center"/>
      <protection locked="0"/>
    </xf>
    <xf numFmtId="0" fontId="61" fillId="0" borderId="0">
      <alignment vertical="center"/>
    </xf>
    <xf numFmtId="3" fontId="61" fillId="0" borderId="2" applyAlignment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0" fontId="0" fillId="0" borderId="0">
      <alignment vertical="center"/>
    </xf>
    <xf numFmtId="177" fontId="0" fillId="0" borderId="0" applyAlignment="0" applyBorder="0" applyFill="0" applyFont="0" applyProtection="0">
      <alignment vertical="center"/>
    </xf>
    <xf numFmtId="0" fontId="1" fillId="0" borderId="0">
      <alignment vertical="center"/>
    </xf>
    <xf numFmtId="0" fontId="118" fillId="0" borderId="0" applyAlignment="0" applyBorder="0" applyFill="0" applyNumberFormat="0" applyProtection="0">
      <alignment vertical="center"/>
    </xf>
    <xf numFmtId="0" fontId="119" fillId="0" borderId="0" applyAlignment="0" applyBorder="0" applyFill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0" fillId="3" borderId="113" applyAlignment="0" applyFont="0" applyNumberFormat="0" applyProtection="0">
      <alignment vertical="center"/>
    </xf>
    <xf numFmtId="0" fontId="133" fillId="0" borderId="0" applyAlignment="0" applyBorder="0" applyFill="0" applyNumberFormat="0" applyProtection="0">
      <alignment vertical="center"/>
    </xf>
    <xf numFmtId="0" fontId="134" fillId="0" borderId="0" applyAlignment="0" applyBorder="0" applyFill="0" applyNumberFormat="0" applyProtection="0">
      <alignment vertical="center"/>
    </xf>
    <xf numFmtId="0" fontId="135" fillId="0" borderId="114" applyAlignment="0" applyFill="0" applyNumberFormat="0" applyProtection="0">
      <alignment vertical="center"/>
    </xf>
    <xf numFmtId="0" fontId="136" fillId="0" borderId="115" applyAlignment="0" applyFill="0" applyNumberFormat="0" applyProtection="0">
      <alignment vertical="center"/>
    </xf>
    <xf numFmtId="0" fontId="137" fillId="0" borderId="116" applyAlignment="0" applyFill="0" applyNumberFormat="0" applyProtection="0">
      <alignment vertical="center"/>
    </xf>
    <xf numFmtId="0" fontId="137" fillId="0" borderId="0" applyAlignment="0" applyBorder="0" applyFill="0" applyNumberFormat="0" applyProtection="0">
      <alignment vertical="center"/>
    </xf>
    <xf numFmtId="0" fontId="138" fillId="16" borderId="117" applyAlignment="0" applyNumberFormat="0" applyProtection="0">
      <alignment vertical="center"/>
    </xf>
    <xf numFmtId="0" fontId="139" fillId="17" borderId="118" applyAlignment="0" applyNumberFormat="0" applyProtection="0">
      <alignment vertical="center"/>
    </xf>
    <xf numFmtId="0" fontId="140" fillId="17" borderId="117" applyAlignment="0" applyNumberFormat="0" applyProtection="0">
      <alignment vertical="center"/>
    </xf>
    <xf numFmtId="0" fontId="141" fillId="18" borderId="119" applyAlignment="0" applyNumberFormat="0" applyProtection="0">
      <alignment vertical="center"/>
    </xf>
    <xf numFmtId="0" fontId="142" fillId="0" borderId="120" applyAlignment="0" applyFill="0" applyNumberFormat="0" applyProtection="0">
      <alignment vertical="center"/>
    </xf>
    <xf numFmtId="0" fontId="143" fillId="0" borderId="121" applyAlignment="0" applyFill="0" applyNumberFormat="0" applyProtection="0">
      <alignment vertical="center"/>
    </xf>
    <xf numFmtId="0" fontId="144" fillId="10" borderId="0" applyAlignment="0" applyBorder="0" applyNumberFormat="0" applyProtection="0">
      <alignment vertical="center"/>
    </xf>
    <xf numFmtId="0" fontId="145" fillId="19" borderId="0" applyAlignment="0" applyBorder="0" applyNumberFormat="0" applyProtection="0">
      <alignment vertical="center"/>
    </xf>
    <xf numFmtId="0" fontId="146" fillId="20" borderId="0" applyAlignment="0" applyBorder="0" applyNumberFormat="0" applyProtection="0">
      <alignment vertical="center"/>
    </xf>
    <xf numFmtId="0" fontId="147" fillId="21" borderId="0" applyAlignment="0" applyBorder="0" applyNumberFormat="0" applyProtection="0">
      <alignment vertical="center"/>
    </xf>
    <xf numFmtId="0" fontId="148" fillId="22" borderId="0" applyAlignment="0" applyBorder="0" applyNumberFormat="0" applyProtection="0">
      <alignment vertical="center"/>
    </xf>
    <xf numFmtId="0" fontId="148" fillId="23" borderId="0" applyAlignment="0" applyBorder="0" applyNumberFormat="0" applyProtection="0">
      <alignment vertical="center"/>
    </xf>
    <xf numFmtId="0" fontId="147" fillId="24" borderId="0" applyAlignment="0" applyBorder="0" applyNumberFormat="0" applyProtection="0">
      <alignment vertical="center"/>
    </xf>
    <xf numFmtId="0" fontId="147" fillId="25" borderId="0" applyAlignment="0" applyBorder="0" applyNumberFormat="0" applyProtection="0">
      <alignment vertical="center"/>
    </xf>
    <xf numFmtId="0" fontId="148" fillId="26" borderId="0" applyAlignment="0" applyBorder="0" applyNumberFormat="0" applyProtection="0">
      <alignment vertical="center"/>
    </xf>
    <xf numFmtId="0" fontId="148" fillId="27" borderId="0" applyAlignment="0" applyBorder="0" applyNumberFormat="0" applyProtection="0">
      <alignment vertical="center"/>
    </xf>
    <xf numFmtId="0" fontId="147" fillId="28" borderId="0" applyAlignment="0" applyBorder="0" applyNumberFormat="0" applyProtection="0">
      <alignment vertical="center"/>
    </xf>
    <xf numFmtId="0" fontId="147" fillId="29" borderId="0" applyAlignment="0" applyBorder="0" applyNumberFormat="0" applyProtection="0">
      <alignment vertical="center"/>
    </xf>
    <xf numFmtId="0" fontId="148" fillId="30" borderId="0" applyAlignment="0" applyBorder="0" applyNumberFormat="0" applyProtection="0">
      <alignment vertical="center"/>
    </xf>
    <xf numFmtId="0" fontId="148" fillId="31" borderId="0" applyAlignment="0" applyBorder="0" applyNumberFormat="0" applyProtection="0">
      <alignment vertical="center"/>
    </xf>
    <xf numFmtId="0" fontId="147" fillId="32" borderId="0" applyAlignment="0" applyBorder="0" applyNumberFormat="0" applyProtection="0">
      <alignment vertical="center"/>
    </xf>
    <xf numFmtId="0" fontId="147" fillId="33" borderId="0" applyAlignment="0" applyBorder="0" applyNumberFormat="0" applyProtection="0">
      <alignment vertical="center"/>
    </xf>
    <xf numFmtId="0" fontId="148" fillId="34" borderId="0" applyAlignment="0" applyBorder="0" applyNumberFormat="0" applyProtection="0">
      <alignment vertical="center"/>
    </xf>
    <xf numFmtId="0" fontId="148" fillId="35" borderId="0" applyAlignment="0" applyBorder="0" applyNumberFormat="0" applyProtection="0">
      <alignment vertical="center"/>
    </xf>
    <xf numFmtId="0" fontId="147" fillId="36" borderId="0" applyAlignment="0" applyBorder="0" applyNumberFormat="0" applyProtection="0">
      <alignment vertical="center"/>
    </xf>
    <xf numFmtId="0" fontId="147" fillId="37" borderId="0" applyAlignment="0" applyBorder="0" applyNumberFormat="0" applyProtection="0">
      <alignment vertical="center"/>
    </xf>
    <xf numFmtId="0" fontId="148" fillId="38" borderId="0" applyAlignment="0" applyBorder="0" applyNumberFormat="0" applyProtection="0">
      <alignment vertical="center"/>
    </xf>
    <xf numFmtId="0" fontId="148" fillId="39" borderId="0" applyAlignment="0" applyBorder="0" applyNumberFormat="0" applyProtection="0">
      <alignment vertical="center"/>
    </xf>
    <xf numFmtId="0" fontId="147" fillId="40" borderId="0" applyAlignment="0" applyBorder="0" applyNumberFormat="0" applyProtection="0">
      <alignment vertical="center"/>
    </xf>
    <xf numFmtId="0" fontId="147" fillId="41" borderId="0" applyAlignment="0" applyBorder="0" applyNumberFormat="0" applyProtection="0">
      <alignment vertical="center"/>
    </xf>
    <xf numFmtId="0" fontId="148" fillId="42" borderId="0" applyAlignment="0" applyBorder="0" applyNumberFormat="0" applyProtection="0">
      <alignment vertical="center"/>
    </xf>
    <xf numFmtId="0" fontId="148" fillId="43" borderId="0" applyAlignment="0" applyBorder="0" applyNumberFormat="0" applyProtection="0">
      <alignment vertical="center"/>
    </xf>
    <xf numFmtId="0" fontId="147" fillId="44" borderId="0" applyAlignment="0" applyBorder="0" applyNumberFormat="0" applyProtection="0">
      <alignment vertical="center"/>
    </xf>
    <xf numFmtId="0" fontId="149" fillId="0" borderId="0" applyAlignment="0" applyBorder="0" applyFill="0" applyNumberFormat="0" applyProtection="0">
      <alignment vertical="center"/>
    </xf>
  </cellStyleXfs>
  <cellXfs count="801">
    <xf numFmtId="0" fontId="0" fillId="0" borderId="0" xfId="0" applyAlignment="1"/>
    <xf numFmtId="0" fontId="6" fillId="0" borderId="0" xfId="3104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77" fontId="82" fillId="2" borderId="2" xfId="2792" applyFill="1" applyBorder="1" applyAlignment="1">
      <alignment horizontal="right" vertical="center" shrinkToFit="1"/>
    </xf>
    <xf numFmtId="38" fontId="82" fillId="2" borderId="2" xfId="2792" applyNumberFormat="1" applyFill="1" applyBorder="1" applyAlignment="1">
      <alignment horizontal="right" vertical="center" shrinkToFit="1"/>
    </xf>
    <xf numFmtId="0" fontId="71" fillId="0" borderId="34" xfId="2637" applyFill="1" applyBorder="1" applyAlignment="1">
      <alignment horizontal="center" vertical="center" shrinkToFit="1"/>
    </xf>
    <xf numFmtId="0" fontId="71" fillId="2" borderId="36" xfId="2637" applyFill="1" applyBorder="1" applyAlignment="1">
      <alignment horizontal="center" vertical="center"/>
    </xf>
    <xf numFmtId="177" fontId="75" fillId="0" borderId="38" xfId="2792" applyBorder="1" applyAlignment="1">
      <alignment horizontal="right" vertical="center" shrinkToFit="1"/>
    </xf>
    <xf numFmtId="177" fontId="75" fillId="0" borderId="38" xfId="2792" applyFill="1" applyBorder="1" applyAlignment="1">
      <alignment horizontal="right" vertical="center" shrinkToFit="1"/>
    </xf>
    <xf numFmtId="177" fontId="75" fillId="0" borderId="40" xfId="2792" applyBorder="1" applyAlignment="1">
      <alignment horizontal="right" vertical="center" shrinkToFit="1"/>
    </xf>
    <xf numFmtId="38" fontId="75" fillId="0" borderId="42" xfId="2792" applyNumberFormat="1" applyBorder="1" applyAlignment="1">
      <alignment horizontal="right" vertical="center" shrinkToFit="1"/>
    </xf>
    <xf numFmtId="38" fontId="75" fillId="0" borderId="11" xfId="2792" applyNumberFormat="1" applyBorder="1" applyAlignment="1">
      <alignment horizontal="right" vertical="center" shrinkToFit="1"/>
    </xf>
    <xf numFmtId="0" fontId="71" fillId="8" borderId="52" xfId="2637" applyFill="1" applyBorder="1" applyAlignment="1">
      <alignment horizontal="center" vertical="center" shrinkToFit="1"/>
    </xf>
    <xf numFmtId="177" fontId="75" fillId="0" borderId="28" xfId="2792" applyBorder="1" applyAlignment="1">
      <alignment horizontal="right" vertical="center" shrinkToFit="1"/>
    </xf>
    <xf numFmtId="0" fontId="62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62" fillId="0" borderId="0" xfId="0" applyAlignment="1">
      <alignment horizontal="justify" vertical="center"/>
    </xf>
    <xf numFmtId="0" fontId="5" fillId="0" borderId="0" xfId="0" applyAlignment="1">
      <alignment vertical="center" wrapText="1"/>
    </xf>
    <xf numFmtId="0" fontId="5" fillId="0" borderId="0" xfId="0" applyAlignment="1">
      <alignment horizontal="left" vertical="center" wrapText="1"/>
    </xf>
    <xf numFmtId="0" fontId="5" fillId="0" borderId="0" xfId="0" applyAlignment="1">
      <alignment horizontal="center" vertical="center" wrapText="1"/>
    </xf>
    <xf numFmtId="0" fontId="62" fillId="0" borderId="24" xfId="0" applyBorder="1" applyAlignment="1">
      <alignment vertical="center" wrapText="1"/>
    </xf>
    <xf numFmtId="0" fontId="62" fillId="0" borderId="0" xfId="0" applyAlignment="1">
      <alignment vertical="center" wrapText="1"/>
    </xf>
    <xf numFmtId="0" fontId="5" fillId="0" borderId="24" xfId="0" applyBorder="1" applyAlignment="1">
      <alignment vertical="center" wrapText="1"/>
    </xf>
    <xf numFmtId="0" fontId="5" fillId="0" borderId="0" xfId="0" applyAlignment="1">
      <alignment horizontal="center" vertical="center"/>
    </xf>
    <xf numFmtId="0" fontId="91" fillId="0" borderId="0" xfId="0" applyAlignment="1">
      <alignment horizontal="justify" vertical="center"/>
    </xf>
    <xf numFmtId="0" fontId="5" fillId="0" borderId="0" xfId="0">
      <alignment vertical="center"/>
    </xf>
    <xf numFmtId="0" fontId="5" fillId="0" borderId="0" xfId="0" applyAlignment="1">
      <alignment horizontal="left" vertical="center"/>
    </xf>
    <xf numFmtId="0" fontId="91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54" fillId="0" borderId="76" xfId="2637" applyFill="1" applyBorder="1" applyAlignment="1">
      <alignment horizontal="center" vertical="center"/>
    </xf>
    <xf numFmtId="0" fontId="54" fillId="0" borderId="76" xfId="0" applyBorder="1" applyAlignment="1"/>
    <xf numFmtId="49" fontId="0" fillId="0" borderId="24" xfId="0" quotePrefix="1" applyNumberFormat="1" applyBorder="1">
      <alignment vertical="center"/>
    </xf>
    <xf numFmtId="183" fontId="0" fillId="0" borderId="0" xfId="0" applyNumberFormat="1" applyAlignment="1">
      <alignment horizontal="center" vertical="center"/>
    </xf>
    <xf numFmtId="49" fontId="95" fillId="0" borderId="78" xfId="0" quotePrefix="1" applyNumberFormat="1" applyBorder="1" applyAlignment="1">
      <alignment vertical="center" textRotation="255"/>
    </xf>
    <xf numFmtId="0" fontId="0" fillId="0" borderId="79" xfId="0" applyBorder="1" applyAlignment="1">
      <alignment horizontal="center" vertical="center"/>
    </xf>
    <xf numFmtId="0" fontId="0" fillId="0" borderId="79" xfId="0" applyBorder="1">
      <alignment vertical="center"/>
    </xf>
    <xf numFmtId="49" fontId="0" fillId="0" borderId="81" xfId="0" quotePrefix="1" applyNumberFormat="1" applyBorder="1">
      <alignment vertical="center"/>
    </xf>
    <xf numFmtId="183" fontId="0" fillId="0" borderId="16" xfId="0" applyNumberFormat="1" applyBorder="1" applyAlignment="1">
      <alignment horizontal="center" vertical="center"/>
    </xf>
    <xf numFmtId="0" fontId="0" fillId="0" borderId="16" xfId="0" applyBorder="1" applyAlignment="1"/>
    <xf numFmtId="0" fontId="0" fillId="0" borderId="16" xfId="0" applyBorder="1" applyAlignment="1">
      <alignment horizontal="center" vertical="center"/>
    </xf>
    <xf numFmtId="0" fontId="0" fillId="0" borderId="16" xfId="0" applyBorder="1">
      <alignment vertical="center"/>
    </xf>
    <xf numFmtId="0" fontId="54" fillId="0" borderId="0" xfId="0" applyAlignment="1">
      <alignment horizontal="center" vertical="center"/>
    </xf>
    <xf numFmtId="0" fontId="54" fillId="0" borderId="0" xfId="0">
      <alignment vertical="center"/>
    </xf>
    <xf numFmtId="0" fontId="54" fillId="0" borderId="84" xfId="0" applyBorder="1">
      <alignment vertical="center"/>
    </xf>
    <xf numFmtId="0" fontId="54" fillId="0" borderId="84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225" fontId="0" fillId="0" borderId="0" xfId="0" applyNumberFormat="1" applyAlignment="1">
      <alignment horizontal="center" vertical="center"/>
    </xf>
    <xf numFmtId="0" fontId="54" fillId="0" borderId="84" xfId="0" applyBorder="1" applyAlignment="1">
      <alignment horizontal="right" vertical="center"/>
    </xf>
    <xf numFmtId="0" fontId="54" fillId="0" borderId="84" xfId="0" applyBorder="1" applyAlignment="1">
      <alignment vertical="center" shrinkToFit="1"/>
    </xf>
    <xf numFmtId="0" fontId="0" fillId="0" borderId="84" xfId="0" applyBorder="1" applyAlignment="1">
      <alignment horizontal="center" vertical="center"/>
    </xf>
    <xf numFmtId="0" fontId="0" fillId="0" borderId="84" xfId="0" applyBorder="1" applyAlignment="1">
      <alignment horizontal="right" vertical="center"/>
    </xf>
    <xf numFmtId="0" fontId="0" fillId="0" borderId="84" xfId="0" applyBorder="1">
      <alignment vertical="center"/>
    </xf>
    <xf numFmtId="0" fontId="0" fillId="0" borderId="84" xfId="0" applyBorder="1" applyAlignment="1">
      <alignment vertical="center" shrinkToFit="1"/>
    </xf>
    <xf numFmtId="0" fontId="54" fillId="0" borderId="8" xfId="0" applyBorder="1" applyAlignment="1">
      <alignment horizontal="right" vertical="center"/>
    </xf>
    <xf numFmtId="0" fontId="54" fillId="0" borderId="8" xfId="0" applyBorder="1">
      <alignment vertical="center"/>
    </xf>
    <xf numFmtId="0" fontId="54" fillId="0" borderId="8" xfId="0" applyBorder="1" applyAlignment="1">
      <alignment vertical="center" shrinkToFit="1"/>
    </xf>
    <xf numFmtId="0" fontId="54" fillId="0" borderId="8" xfId="0" applyBorder="1" applyAlignment="1">
      <alignment horizontal="center" vertical="center"/>
    </xf>
    <xf numFmtId="0" fontId="61" fillId="0" borderId="0" xfId="3113">
      <alignment vertical="center"/>
    </xf>
    <xf numFmtId="3" fontId="61" fillId="0" borderId="2" xfId="3114">
      <alignment vertical="center"/>
    </xf>
    <xf numFmtId="0" fontId="61" fillId="0" borderId="2" xfId="3113" applyBorder="1">
      <alignment vertical="center"/>
    </xf>
    <xf numFmtId="3" fontId="61" fillId="0" borderId="17" xfId="3114" applyBorder="1">
      <alignment vertical="center"/>
    </xf>
    <xf numFmtId="0" fontId="61" fillId="0" borderId="17" xfId="3113" applyBorder="1">
      <alignment vertical="center"/>
    </xf>
    <xf numFmtId="3" fontId="61" fillId="0" borderId="0" xfId="3114" applyBorder="1">
      <alignment vertical="center"/>
    </xf>
    <xf numFmtId="0" fontId="5" fillId="0" borderId="0" xfId="3113">
      <alignment vertical="center"/>
    </xf>
    <xf numFmtId="0" fontId="97" fillId="0" borderId="0" xfId="3113" applyAlignment="1">
      <alignment horizontal="center" vertical="center"/>
    </xf>
    <xf numFmtId="0" fontId="87" fillId="0" borderId="0" xfId="0" applyAlignment="1">
      <alignment vertical="center" wrapText="1"/>
    </xf>
    <xf numFmtId="0" fontId="88" fillId="0" borderId="0" xfId="0" applyAlignment="1">
      <alignment vertical="center" wrapText="1"/>
    </xf>
    <xf numFmtId="0" fontId="71" fillId="0" borderId="33" xfId="2637" applyFill="1" applyBorder="1" applyAlignment="1">
      <alignment horizontal="center" vertical="center"/>
    </xf>
    <xf numFmtId="243" fontId="78" fillId="0" borderId="8" xfId="3102" applyNumberFormat="1" applyBorder="1" applyAlignment="1">
      <alignment horizontal="center" vertical="center" shrinkToFit="1"/>
    </xf>
    <xf numFmtId="0" fontId="3" fillId="0" borderId="0" xfId="3102">
      <alignment vertical="center"/>
    </xf>
    <xf numFmtId="0" fontId="4" fillId="0" borderId="0" xfId="3102">
      <alignment vertical="center"/>
    </xf>
    <xf numFmtId="177" fontId="71" fillId="2" borderId="36" xfId="3102" applyNumberFormat="1" applyFill="1" applyBorder="1" applyAlignment="1">
      <alignment horizontal="right" vertical="center" shrinkToFit="1"/>
    </xf>
    <xf numFmtId="49" fontId="71" fillId="0" borderId="35" xfId="3102" quotePrefix="1" applyNumberFormat="1" applyBorder="1">
      <alignment vertical="center"/>
    </xf>
    <xf numFmtId="183" fontId="75" fillId="0" borderId="37" xfId="3102" applyNumberFormat="1" applyBorder="1" applyAlignment="1">
      <alignment horizontal="center" vertical="center"/>
    </xf>
    <xf numFmtId="0" fontId="75" fillId="0" borderId="38" xfId="3102" applyBorder="1" applyAlignment="1">
      <alignment horizontal="center" vertical="center"/>
    </xf>
    <xf numFmtId="0" fontId="75" fillId="0" borderId="29" xfId="3102" applyBorder="1" applyAlignment="1">
      <alignment horizontal="center" vertical="center" shrinkToFit="1"/>
    </xf>
    <xf numFmtId="49" fontId="71" fillId="0" borderId="31" xfId="3102" quotePrefix="1" applyNumberFormat="1" applyBorder="1">
      <alignment vertical="center"/>
    </xf>
    <xf numFmtId="183" fontId="75" fillId="0" borderId="39" xfId="3102" applyNumberFormat="1" applyBorder="1" applyAlignment="1">
      <alignment horizontal="center" vertical="center"/>
    </xf>
    <xf numFmtId="0" fontId="75" fillId="0" borderId="28" xfId="3102" applyBorder="1" applyAlignment="1">
      <alignment horizontal="center" vertical="center"/>
    </xf>
    <xf numFmtId="0" fontId="75" fillId="0" borderId="40" xfId="3102" applyBorder="1" applyAlignment="1">
      <alignment horizontal="center" vertical="center"/>
    </xf>
    <xf numFmtId="49" fontId="72" fillId="0" borderId="31" xfId="3102" quotePrefix="1" applyNumberFormat="1" applyBorder="1" applyAlignment="1">
      <alignment vertical="center" textRotation="255"/>
    </xf>
    <xf numFmtId="0" fontId="75" fillId="0" borderId="39" xfId="3102" quotePrefix="1" applyBorder="1" applyAlignment="1">
      <alignment horizontal="center" vertical="center"/>
    </xf>
    <xf numFmtId="0" fontId="71" fillId="2" borderId="2" xfId="3102" applyFill="1" applyBorder="1">
      <alignment vertical="center"/>
    </xf>
    <xf numFmtId="0" fontId="71" fillId="2" borderId="2" xfId="3102" applyFill="1" applyBorder="1" applyAlignment="1">
      <alignment horizontal="right" vertical="center"/>
    </xf>
    <xf numFmtId="0" fontId="71" fillId="2" borderId="2" xfId="3102" applyFill="1" applyBorder="1" applyAlignment="1">
      <alignment horizontal="center" vertical="center"/>
    </xf>
    <xf numFmtId="0" fontId="76" fillId="2" borderId="32" xfId="3102" applyFill="1" applyBorder="1" applyAlignment="1">
      <alignment horizontal="center" vertical="center" shrinkToFit="1"/>
    </xf>
    <xf numFmtId="0" fontId="71" fillId="2" borderId="11" xfId="3102" applyFill="1" applyBorder="1">
      <alignment vertical="center"/>
    </xf>
    <xf numFmtId="0" fontId="71" fillId="2" borderId="11" xfId="3102" applyFill="1" applyBorder="1" applyAlignment="1">
      <alignment horizontal="right" vertical="center"/>
    </xf>
    <xf numFmtId="0" fontId="71" fillId="2" borderId="11" xfId="3102" applyFill="1" applyBorder="1" applyAlignment="1">
      <alignment horizontal="center" vertical="center"/>
    </xf>
    <xf numFmtId="0" fontId="75" fillId="0" borderId="41" xfId="3102" applyBorder="1" applyAlignment="1">
      <alignment horizontal="left" vertical="center" indent="1"/>
    </xf>
    <xf numFmtId="0" fontId="75" fillId="0" borderId="42" xfId="3102" applyBorder="1">
      <alignment vertical="center"/>
    </xf>
    <xf numFmtId="0" fontId="75" fillId="0" borderId="42" xfId="3102" applyBorder="1" applyAlignment="1">
      <alignment horizontal="right" vertical="center"/>
    </xf>
    <xf numFmtId="0" fontId="75" fillId="0" borderId="42" xfId="3102" applyBorder="1" applyAlignment="1">
      <alignment horizontal="center" vertical="center"/>
    </xf>
    <xf numFmtId="0" fontId="75" fillId="0" borderId="43" xfId="3102" applyBorder="1" applyAlignment="1">
      <alignment horizontal="center" vertical="center" shrinkToFit="1"/>
    </xf>
    <xf numFmtId="0" fontId="75" fillId="0" borderId="44" xfId="3102" applyBorder="1" applyAlignment="1">
      <alignment horizontal="left" vertical="center" indent="1"/>
    </xf>
    <xf numFmtId="0" fontId="75" fillId="0" borderId="38" xfId="3102" applyBorder="1">
      <alignment vertical="center"/>
    </xf>
    <xf numFmtId="179" fontId="75" fillId="0" borderId="38" xfId="3102" applyNumberFormat="1" applyBorder="1" applyAlignment="1">
      <alignment horizontal="right" vertical="center"/>
    </xf>
    <xf numFmtId="0" fontId="75" fillId="0" borderId="30" xfId="3102" applyBorder="1" applyAlignment="1">
      <alignment horizontal="center" vertical="center" shrinkToFit="1"/>
    </xf>
    <xf numFmtId="0" fontId="4" fillId="0" borderId="47" xfId="3102" applyBorder="1">
      <alignment vertical="center"/>
    </xf>
    <xf numFmtId="0" fontId="75" fillId="0" borderId="45" xfId="3102" applyBorder="1" applyAlignment="1">
      <alignment horizontal="left" vertical="center" indent="1"/>
    </xf>
    <xf numFmtId="0" fontId="75" fillId="0" borderId="28" xfId="3102" applyBorder="1">
      <alignment vertical="center"/>
    </xf>
    <xf numFmtId="38" fontId="75" fillId="0" borderId="28" xfId="3102" applyNumberFormat="1" applyBorder="1" applyAlignment="1">
      <alignment horizontal="right" vertical="center" shrinkToFit="1"/>
    </xf>
    <xf numFmtId="179" fontId="75" fillId="0" borderId="28" xfId="3102" applyNumberFormat="1" applyBorder="1" applyAlignment="1">
      <alignment horizontal="right" vertical="center"/>
    </xf>
    <xf numFmtId="244" fontId="75" fillId="0" borderId="39" xfId="3102" applyNumberFormat="1" applyBorder="1" applyAlignment="1">
      <alignment horizontal="center" vertical="center"/>
    </xf>
    <xf numFmtId="244" fontId="75" fillId="0" borderId="28" xfId="3102" applyNumberFormat="1" applyBorder="1" applyAlignment="1">
      <alignment horizontal="center" vertical="center"/>
    </xf>
    <xf numFmtId="0" fontId="75" fillId="0" borderId="48" xfId="3102" applyBorder="1" applyAlignment="1">
      <alignment horizontal="left" vertical="center" indent="1"/>
    </xf>
    <xf numFmtId="0" fontId="75" fillId="0" borderId="0" xfId="3102" applyAlignment="1">
      <alignment horizontal="center" vertical="center"/>
    </xf>
    <xf numFmtId="0" fontId="75" fillId="0" borderId="46" xfId="3102" applyBorder="1">
      <alignment vertical="center"/>
    </xf>
    <xf numFmtId="179" fontId="75" fillId="0" borderId="40" xfId="3102" applyNumberFormat="1" applyBorder="1" applyAlignment="1">
      <alignment horizontal="right" vertical="center"/>
    </xf>
    <xf numFmtId="244" fontId="75" fillId="0" borderId="40" xfId="3102" applyNumberFormat="1" applyBorder="1" applyAlignment="1">
      <alignment horizontal="center" vertical="center"/>
    </xf>
    <xf numFmtId="38" fontId="75" fillId="0" borderId="40" xfId="3102" applyNumberFormat="1" applyBorder="1" applyAlignment="1">
      <alignment horizontal="right" vertical="center" shrinkToFit="1"/>
    </xf>
    <xf numFmtId="0" fontId="75" fillId="2" borderId="2" xfId="3102" applyFill="1" applyBorder="1" applyAlignment="1">
      <alignment horizontal="right" vertical="center"/>
    </xf>
    <xf numFmtId="177" fontId="82" fillId="2" borderId="2" xfId="3102" applyNumberFormat="1" applyFill="1" applyBorder="1" applyAlignment="1">
      <alignment horizontal="right" vertical="center" shrinkToFit="1"/>
    </xf>
    <xf numFmtId="0" fontId="75" fillId="2" borderId="32" xfId="3102" applyFill="1" applyBorder="1" applyAlignment="1">
      <alignment horizontal="center" vertical="center" shrinkToFit="1"/>
    </xf>
    <xf numFmtId="177" fontId="71" fillId="0" borderId="2" xfId="3102" applyNumberFormat="1" applyBorder="1" applyAlignment="1">
      <alignment vertical="center" shrinkToFit="1"/>
    </xf>
    <xf numFmtId="0" fontId="80" fillId="0" borderId="32" xfId="3102" applyBorder="1" applyAlignment="1">
      <alignment horizontal="center" vertical="center" wrapText="1" shrinkToFit="1"/>
    </xf>
    <xf numFmtId="0" fontId="75" fillId="0" borderId="32" xfId="3102" applyBorder="1" applyAlignment="1">
      <alignment horizontal="center" vertical="center" shrinkToFit="1"/>
    </xf>
    <xf numFmtId="177" fontId="71" fillId="8" borderId="2" xfId="3102" applyNumberFormat="1" applyFill="1" applyBorder="1" applyAlignment="1">
      <alignment vertical="center" shrinkToFit="1"/>
    </xf>
    <xf numFmtId="0" fontId="75" fillId="8" borderId="32" xfId="3102" applyFill="1" applyBorder="1" applyAlignment="1">
      <alignment horizontal="center" vertical="center" shrinkToFit="1"/>
    </xf>
    <xf numFmtId="177" fontId="71" fillId="0" borderId="2" xfId="3102" applyNumberFormat="1" applyBorder="1" applyAlignment="1">
      <alignment horizontal="right" vertical="center" shrinkToFit="1"/>
    </xf>
    <xf numFmtId="177" fontId="72" fillId="8" borderId="8" xfId="3102" applyNumberFormat="1" applyFill="1" applyBorder="1" applyAlignment="1">
      <alignment vertical="center" shrinkToFit="1"/>
    </xf>
    <xf numFmtId="0" fontId="72" fillId="8" borderId="51" xfId="3102" applyFill="1" applyBorder="1" applyAlignment="1">
      <alignment horizontal="center" vertical="center" shrinkToFit="1"/>
    </xf>
    <xf numFmtId="0" fontId="79" fillId="0" borderId="0" xfId="3102">
      <alignment vertical="center"/>
    </xf>
    <xf numFmtId="0" fontId="0" fillId="0" borderId="0" xfId="3102" applyAlignment="1"/>
    <xf numFmtId="0" fontId="0" fillId="0" borderId="0" xfId="3102" applyAlignment="1">
      <alignment horizontal="center"/>
    </xf>
    <xf numFmtId="0" fontId="0" fillId="0" borderId="0" xfId="3102" applyAlignment="1">
      <alignment shrinkToFit="1"/>
    </xf>
    <xf numFmtId="0" fontId="71" fillId="0" borderId="50" xfId="3102" applyBorder="1" applyAlignment="1">
      <alignment horizontal="center" vertical="center"/>
    </xf>
    <xf numFmtId="0" fontId="71" fillId="8" borderId="50" xfId="3102" applyFill="1" applyBorder="1" applyAlignment="1">
      <alignment horizontal="center" vertical="center"/>
    </xf>
    <xf numFmtId="0" fontId="71" fillId="8" borderId="8" xfId="3102" applyFill="1" applyBorder="1" applyAlignment="1">
      <alignment horizontal="center" vertical="center"/>
    </xf>
    <xf numFmtId="177" fontId="0" fillId="0" borderId="0" xfId="0" applyNumberFormat="1">
      <alignment vertical="center"/>
    </xf>
    <xf numFmtId="0" fontId="99" fillId="0" borderId="0" xfId="3113" applyAlignment="1">
      <alignment horizontal="left" vertical="center"/>
    </xf>
    <xf numFmtId="0" fontId="1" fillId="0" borderId="0" xfId="3119">
      <alignment vertical="center"/>
    </xf>
    <xf numFmtId="0" fontId="1" fillId="0" borderId="27" xfId="3119" applyBorder="1">
      <alignment vertical="center"/>
    </xf>
    <xf numFmtId="0" fontId="1" fillId="0" borderId="8" xfId="3119" applyBorder="1">
      <alignment vertical="center"/>
    </xf>
    <xf numFmtId="0" fontId="1" fillId="0" borderId="26" xfId="3119" applyBorder="1">
      <alignment vertical="center"/>
    </xf>
    <xf numFmtId="0" fontId="100" fillId="0" borderId="74" xfId="3119" applyBorder="1" applyAlignment="1">
      <alignment vertical="center" wrapText="1"/>
    </xf>
    <xf numFmtId="0" fontId="100" fillId="0" borderId="63" xfId="3119" applyBorder="1" applyAlignment="1">
      <alignment vertical="center" wrapText="1"/>
    </xf>
    <xf numFmtId="0" fontId="1" fillId="0" borderId="25" xfId="3119" applyBorder="1">
      <alignment vertical="center"/>
    </xf>
    <xf numFmtId="0" fontId="100" fillId="0" borderId="2" xfId="3119" applyBorder="1" applyAlignment="1">
      <alignment vertical="center" wrapText="1"/>
    </xf>
    <xf numFmtId="0" fontId="100" fillId="0" borderId="2" xfId="3119" applyBorder="1" applyAlignment="1">
      <alignment horizontal="center" vertical="center" wrapText="1"/>
    </xf>
    <xf numFmtId="0" fontId="100" fillId="14" borderId="49" xfId="3119" applyFill="1" applyBorder="1" applyAlignment="1">
      <alignment vertical="center" wrapText="1"/>
    </xf>
    <xf numFmtId="0" fontId="100" fillId="14" borderId="2" xfId="3119" applyFill="1" applyBorder="1" applyAlignment="1">
      <alignment horizontal="center" vertical="center" wrapText="1"/>
    </xf>
    <xf numFmtId="0" fontId="100" fillId="13" borderId="55" xfId="3119" applyFill="1" applyBorder="1" applyAlignment="1">
      <alignment horizontal="left" vertical="center" shrinkToFit="1"/>
    </xf>
    <xf numFmtId="0" fontId="100" fillId="13" borderId="93" xfId="3119" applyFill="1" applyBorder="1" applyAlignment="1">
      <alignment horizontal="center" vertical="center" wrapText="1"/>
    </xf>
    <xf numFmtId="0" fontId="100" fillId="0" borderId="43" xfId="3119" applyBorder="1" applyAlignment="1">
      <alignment horizontal="center" vertical="center" wrapText="1"/>
    </xf>
    <xf numFmtId="0" fontId="100" fillId="0" borderId="11" xfId="3119" applyBorder="1" applyAlignment="1">
      <alignment horizontal="center" vertical="center" wrapText="1"/>
    </xf>
    <xf numFmtId="0" fontId="100" fillId="0" borderId="18" xfId="3119" applyBorder="1" applyAlignment="1">
      <alignment vertical="center" wrapText="1"/>
    </xf>
    <xf numFmtId="0" fontId="100" fillId="13" borderId="64" xfId="3119" applyFill="1" applyBorder="1" applyAlignment="1">
      <alignment horizontal="center" vertical="center" wrapText="1"/>
    </xf>
    <xf numFmtId="0" fontId="1" fillId="14" borderId="0" xfId="3119" applyFill="1">
      <alignment vertical="center"/>
    </xf>
    <xf numFmtId="0" fontId="100" fillId="0" borderId="63" xfId="3119" applyBorder="1" applyAlignment="1">
      <alignment horizontal="center" vertical="center" wrapText="1"/>
    </xf>
    <xf numFmtId="0" fontId="1" fillId="0" borderId="2" xfId="3119" applyBorder="1">
      <alignment vertical="center"/>
    </xf>
    <xf numFmtId="0" fontId="100" fillId="0" borderId="32" xfId="3119" applyBorder="1" applyAlignment="1">
      <alignment horizontal="center" vertical="center" wrapText="1"/>
    </xf>
    <xf numFmtId="0" fontId="100" fillId="0" borderId="18" xfId="3119" applyBorder="1" applyAlignment="1">
      <alignment horizontal="center" vertical="center" wrapText="1"/>
    </xf>
    <xf numFmtId="0" fontId="100" fillId="0" borderId="96" xfId="3119" applyBorder="1" applyAlignment="1">
      <alignment vertical="center" wrapText="1"/>
    </xf>
    <xf numFmtId="0" fontId="100" fillId="0" borderId="62" xfId="3119" applyBorder="1" applyAlignment="1">
      <alignment vertical="center" wrapText="1"/>
    </xf>
    <xf numFmtId="0" fontId="100" fillId="0" borderId="13" xfId="3119" applyBorder="1" applyAlignment="1">
      <alignment vertical="center" wrapText="1"/>
    </xf>
    <xf numFmtId="0" fontId="100" fillId="0" borderId="25" xfId="3119" applyBorder="1" applyAlignment="1">
      <alignment vertical="center" wrapText="1"/>
    </xf>
    <xf numFmtId="0" fontId="100" fillId="0" borderId="0" xfId="3119" applyAlignment="1">
      <alignment vertical="center" wrapText="1"/>
    </xf>
    <xf numFmtId="0" fontId="100" fillId="0" borderId="70" xfId="3119" applyBorder="1" applyAlignment="1">
      <alignment vertical="center" wrapText="1"/>
    </xf>
    <xf numFmtId="0" fontId="100" fillId="0" borderId="69" xfId="3119" applyBorder="1" applyAlignment="1">
      <alignment vertical="center" wrapText="1"/>
    </xf>
    <xf numFmtId="0" fontId="100" fillId="13" borderId="98" xfId="3119" applyFill="1" applyBorder="1" applyAlignment="1">
      <alignment horizontal="center" vertical="center" wrapText="1"/>
    </xf>
    <xf numFmtId="0" fontId="100" fillId="13" borderId="24" xfId="3119" applyFill="1" applyBorder="1" applyAlignment="1">
      <alignment horizontal="center" vertical="center" wrapText="1"/>
    </xf>
    <xf numFmtId="0" fontId="100" fillId="13" borderId="99" xfId="3119" applyFill="1" applyBorder="1" applyAlignment="1">
      <alignment horizontal="center" vertical="center" wrapText="1"/>
    </xf>
    <xf numFmtId="0" fontId="1" fillId="13" borderId="97" xfId="3119" applyFill="1" applyBorder="1" applyAlignment="1">
      <alignment vertical="center" wrapText="1"/>
    </xf>
    <xf numFmtId="0" fontId="1" fillId="13" borderId="94" xfId="3119" applyFill="1" applyBorder="1" applyAlignment="1">
      <alignment vertical="center" wrapText="1"/>
    </xf>
    <xf numFmtId="0" fontId="100" fillId="13" borderId="55" xfId="3119" applyFill="1" applyBorder="1" applyAlignment="1">
      <alignment horizontal="center" vertical="center" wrapText="1"/>
    </xf>
    <xf numFmtId="0" fontId="105" fillId="0" borderId="100" xfId="3119" applyBorder="1" applyAlignment="1">
      <alignment horizontal="center" vertical="center"/>
    </xf>
    <xf numFmtId="0" fontId="106" fillId="0" borderId="101" xfId="3119" applyBorder="1" applyAlignment="1">
      <alignment horizontal="center" vertical="center"/>
    </xf>
    <xf numFmtId="0" fontId="107" fillId="0" borderId="102" xfId="3119" applyBorder="1" applyAlignment="1">
      <alignment horizontal="center" vertical="center"/>
    </xf>
    <xf numFmtId="0" fontId="108" fillId="0" borderId="0" xfId="0" applyAlignment="1">
      <alignment horizontal="justify" vertical="center"/>
    </xf>
    <xf numFmtId="0" fontId="98" fillId="0" borderId="0" xfId="0" applyAlignment="1">
      <alignment horizontal="justify" vertical="center"/>
    </xf>
    <xf numFmtId="0" fontId="109" fillId="0" borderId="0" xfId="0" applyAlignment="1">
      <alignment horizontal="justify" vertical="center"/>
    </xf>
    <xf numFmtId="0" fontId="2" fillId="0" borderId="0" xfId="0" applyAlignment="1">
      <alignment horizontal="justify" vertical="center"/>
    </xf>
    <xf numFmtId="0" fontId="112" fillId="0" borderId="18" xfId="0" applyBorder="1" applyAlignment="1">
      <alignment horizontal="center" vertical="center" wrapText="1"/>
    </xf>
    <xf numFmtId="0" fontId="112" fillId="0" borderId="11" xfId="0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112" fillId="0" borderId="2" xfId="0" applyBorder="1" applyAlignment="1">
      <alignment horizontal="center" vertical="center" wrapText="1"/>
    </xf>
    <xf numFmtId="0" fontId="115" fillId="0" borderId="2" xfId="0" applyBorder="1" applyAlignment="1">
      <alignment horizontal="center" vertical="center" wrapText="1"/>
    </xf>
    <xf numFmtId="0" fontId="115" fillId="13" borderId="2" xfId="0" applyFill="1" applyBorder="1" applyAlignment="1">
      <alignment horizontal="center" vertical="center" wrapText="1"/>
    </xf>
    <xf numFmtId="0" fontId="109" fillId="0" borderId="0" xfId="0" applyAlignment="1">
      <alignment horizontal="left" vertical="center"/>
    </xf>
    <xf numFmtId="0" fontId="115" fillId="0" borderId="18" xfId="0" applyBorder="1" applyAlignment="1">
      <alignment horizontal="center" vertical="center" wrapText="1"/>
    </xf>
    <xf numFmtId="0" fontId="115" fillId="0" borderId="11" xfId="0" applyBorder="1" applyAlignment="1">
      <alignment horizontal="center" vertical="center" wrapText="1"/>
    </xf>
    <xf numFmtId="0" fontId="115" fillId="0" borderId="17" xfId="0" applyBorder="1" applyAlignment="1">
      <alignment horizontal="center" vertical="center" wrapText="1"/>
    </xf>
    <xf numFmtId="0" fontId="74" fillId="2" borderId="23" xfId="3102" applyFill="1" applyBorder="1" applyAlignment="1">
      <alignment horizontal="left" vertical="center" shrinkToFit="1"/>
    </xf>
    <xf numFmtId="0" fontId="74" fillId="2" borderId="25" xfId="3102" applyFill="1" applyBorder="1" applyAlignment="1">
      <alignment horizontal="left" vertical="center" shrinkToFit="1"/>
    </xf>
    <xf numFmtId="0" fontId="74" fillId="2" borderId="27" xfId="3102" applyFill="1" applyBorder="1" applyAlignment="1">
      <alignment horizontal="left" vertical="center" shrinkToFit="1"/>
    </xf>
    <xf numFmtId="0" fontId="109" fillId="0" borderId="0" xfId="0">
      <alignment vertical="center"/>
    </xf>
    <xf numFmtId="0" fontId="109" fillId="0" borderId="0" xfId="0" applyAlignment="1">
      <alignment vertical="center" wrapText="1"/>
    </xf>
    <xf numFmtId="0" fontId="62" fillId="0" borderId="0" xfId="0">
      <alignment vertical="center"/>
    </xf>
    <xf numFmtId="0" fontId="109" fillId="0" borderId="0" xfId="0" applyAlignment="1"/>
    <xf numFmtId="0" fontId="122" fillId="0" borderId="0" xfId="0" applyAlignment="1">
      <alignment horizontal="left" vertical="center"/>
    </xf>
    <xf numFmtId="0" fontId="110" fillId="0" borderId="0" xfId="0" applyAlignment="1">
      <alignment horizontal="left"/>
    </xf>
    <xf numFmtId="0" fontId="122" fillId="0" borderId="0" xfId="0" applyAlignment="1">
      <alignment horizontal="justify" vertical="center"/>
    </xf>
    <xf numFmtId="0" fontId="110" fillId="0" borderId="0" xfId="0" applyAlignment="1"/>
    <xf numFmtId="0" fontId="109" fillId="0" borderId="0" xfId="0" applyAlignment="1">
      <alignment horizontal="left"/>
    </xf>
    <xf numFmtId="0" fontId="110" fillId="0" borderId="0" xfId="0">
      <alignment vertical="center"/>
    </xf>
    <xf numFmtId="0" fontId="123" fillId="0" borderId="0" xfId="0" applyAlignment="1">
      <alignment horizontal="justify" vertical="center"/>
    </xf>
    <xf numFmtId="0" fontId="110" fillId="0" borderId="0" xfId="0" applyAlignment="1">
      <alignment wrapText="1"/>
    </xf>
    <xf numFmtId="0" fontId="116" fillId="0" borderId="11" xfId="0" applyBorder="1" applyAlignment="1">
      <alignment horizontal="center" vertical="center" wrapText="1"/>
    </xf>
    <xf numFmtId="38" fontId="75" fillId="0" borderId="28" xfId="2792" applyNumberFormat="1" applyBorder="1" applyAlignment="1">
      <alignment horizontal="right" vertical="center" shrinkToFit="1"/>
    </xf>
    <xf numFmtId="0" fontId="101" fillId="13" borderId="61" xfId="3119" applyFill="1" applyBorder="1" applyAlignment="1">
      <alignment horizontal="center" vertical="center" shrinkToFit="1"/>
    </xf>
    <xf numFmtId="0" fontId="7" fillId="0" borderId="0" xfId="3113">
      <alignment vertical="center"/>
    </xf>
    <xf numFmtId="0" fontId="127" fillId="0" borderId="0" xfId="3113">
      <alignment vertical="center"/>
    </xf>
    <xf numFmtId="0" fontId="7" fillId="12" borderId="0" xfId="3113" applyFill="1">
      <alignment vertical="center"/>
    </xf>
    <xf numFmtId="0" fontId="127" fillId="12" borderId="0" xfId="3113" applyFill="1">
      <alignment vertical="center"/>
    </xf>
    <xf numFmtId="0" fontId="7" fillId="0" borderId="0" xfId="3113" applyAlignment="1">
      <alignment horizontal="left" vertical="center"/>
    </xf>
    <xf numFmtId="0" fontId="7" fillId="0" borderId="8" xfId="3113" applyBorder="1">
      <alignment vertical="center"/>
    </xf>
    <xf numFmtId="0" fontId="7" fillId="0" borderId="0" xfId="3113" applyAlignment="1">
      <alignment horizontal="left" vertical="center" wrapText="1"/>
    </xf>
    <xf numFmtId="0" fontId="7" fillId="0" borderId="0" xfId="3113" applyAlignment="1">
      <alignment vertical="center" wrapText="1"/>
    </xf>
    <xf numFmtId="0" fontId="7" fillId="0" borderId="0" xfId="3113" quotePrefix="1">
      <alignment vertical="center"/>
    </xf>
    <xf numFmtId="0" fontId="33" fillId="0" borderId="0" xfId="3113">
      <alignment vertical="center"/>
    </xf>
    <xf numFmtId="3" fontId="33" fillId="0" borderId="0" xfId="3114" applyBorder="1">
      <alignment vertical="center"/>
    </xf>
    <xf numFmtId="0" fontId="100" fillId="0" borderId="49" xfId="3119" applyBorder="1" applyAlignment="1">
      <alignment horizontal="center" vertical="center" wrapText="1"/>
    </xf>
    <xf numFmtId="0" fontId="70" fillId="0" borderId="0" xfId="0" applyAlignment="1">
      <alignment horizontal="left" vertical="center"/>
    </xf>
    <xf numFmtId="0" fontId="0" fillId="0" borderId="7" xfId="0" quotePrefix="1" applyBorder="1" applyAlignment="1">
      <alignment horizontal="center" vertical="center" wrapText="1"/>
    </xf>
    <xf numFmtId="0" fontId="0" fillId="0" borderId="83" xfId="0" applyBorder="1" applyAlignment="1">
      <alignment horizontal="center" vertical="center"/>
    </xf>
    <xf numFmtId="177" fontId="0" fillId="0" borderId="84" xfId="2792" applyFill="1" applyBorder="1" applyAlignment="1">
      <alignment horizontal="center" vertical="center" shrinkToFit="1"/>
    </xf>
    <xf numFmtId="177" fontId="0" fillId="0" borderId="85" xfId="2792" applyFill="1" applyBorder="1" applyAlignment="1">
      <alignment horizontal="center" vertical="center" shrinkToFit="1"/>
    </xf>
    <xf numFmtId="177" fontId="0" fillId="0" borderId="84" xfId="2792" applyFill="1" applyBorder="1" applyAlignment="1">
      <alignment horizontal="right" vertical="center" shrinkToFit="1"/>
    </xf>
    <xf numFmtId="177" fontId="0" fillId="0" borderId="85" xfId="2792" applyFill="1" applyBorder="1" applyAlignment="1">
      <alignment horizontal="right" vertical="center" shrinkToFit="1"/>
    </xf>
    <xf numFmtId="0" fontId="70" fillId="0" borderId="26" xfId="0" applyBorder="1" applyAlignment="1">
      <alignment horizontal="left" vertical="center"/>
    </xf>
    <xf numFmtId="0" fontId="70" fillId="0" borderId="8" xfId="0" applyBorder="1" applyAlignment="1">
      <alignment horizontal="left" vertical="center"/>
    </xf>
    <xf numFmtId="177" fontId="70" fillId="0" borderId="8" xfId="2792" applyFill="1" applyBorder="1" applyAlignment="1">
      <alignment horizontal="center" vertical="center" shrinkToFit="1"/>
    </xf>
    <xf numFmtId="177" fontId="70" fillId="0" borderId="27" xfId="2792" applyFill="1" applyBorder="1" applyAlignment="1">
      <alignment horizontal="center" vertical="center" shrinkToFit="1"/>
    </xf>
    <xf numFmtId="187" fontId="0" fillId="0" borderId="0" xfId="2792" applyNumberFormat="1" applyFill="1" applyBorder="1" applyAlignment="1">
      <alignment horizontal="center" vertical="center" shrinkToFit="1"/>
    </xf>
    <xf numFmtId="187" fontId="0" fillId="0" borderId="25" xfId="2792" applyNumberFormat="1" applyFill="1" applyBorder="1" applyAlignment="1">
      <alignment horizontal="center" vertical="center" shrinkToFit="1"/>
    </xf>
    <xf numFmtId="177" fontId="0" fillId="0" borderId="0" xfId="2792" applyFill="1" applyBorder="1" applyAlignment="1">
      <alignment horizontal="center" vertical="center" shrinkToFit="1"/>
    </xf>
    <xf numFmtId="177" fontId="0" fillId="0" borderId="25" xfId="2792" applyFill="1" applyBorder="1" applyAlignment="1">
      <alignment horizontal="center" vertical="center" shrinkToFit="1"/>
    </xf>
    <xf numFmtId="0" fontId="90" fillId="0" borderId="83" xfId="0" applyBorder="1" applyAlignment="1">
      <alignment horizontal="left" vertical="center"/>
    </xf>
    <xf numFmtId="0" fontId="90" fillId="0" borderId="84" xfId="0" applyBorder="1" applyAlignment="1">
      <alignment horizontal="left" vertical="center"/>
    </xf>
    <xf numFmtId="177" fontId="96" fillId="0" borderId="84" xfId="2792" applyFill="1" applyBorder="1" applyAlignment="1">
      <alignment horizontal="center" vertical="center" shrinkToFit="1"/>
    </xf>
    <xf numFmtId="177" fontId="96" fillId="0" borderId="85" xfId="2792" applyFill="1" applyBorder="1" applyAlignment="1">
      <alignment horizontal="center" vertical="center" shrinkToFit="1"/>
    </xf>
    <xf numFmtId="177" fontId="54" fillId="0" borderId="84" xfId="2792" applyFill="1" applyBorder="1" applyAlignment="1">
      <alignment horizontal="center" vertical="center" shrinkToFit="1"/>
    </xf>
    <xf numFmtId="177" fontId="54" fillId="0" borderId="85" xfId="2792" applyFill="1" applyBorder="1" applyAlignment="1">
      <alignment horizontal="center" vertical="center" shrinkToFit="1"/>
    </xf>
    <xf numFmtId="179" fontId="0" fillId="0" borderId="0" xfId="0" applyNumberFormat="1" applyAlignment="1">
      <alignment horizontal="center" vertical="center"/>
    </xf>
    <xf numFmtId="0" fontId="90" fillId="0" borderId="24" xfId="0" applyBorder="1" applyAlignment="1">
      <alignment horizontal="left" vertical="center"/>
    </xf>
    <xf numFmtId="0" fontId="90" fillId="0" borderId="0" xfId="0" applyAlignment="1">
      <alignment horizontal="left" vertical="center"/>
    </xf>
    <xf numFmtId="0" fontId="96" fillId="0" borderId="0" xfId="0" applyAlignment="1">
      <alignment horizontal="center" vertical="center"/>
    </xf>
    <xf numFmtId="187" fontId="54" fillId="0" borderId="0" xfId="2792" applyNumberFormat="1" applyFill="1" applyBorder="1" applyAlignment="1">
      <alignment horizontal="center" vertical="center" shrinkToFit="1"/>
    </xf>
    <xf numFmtId="187" fontId="54" fillId="0" borderId="25" xfId="2792" applyNumberFormat="1" applyFill="1" applyBorder="1" applyAlignment="1">
      <alignment horizontal="center" vertical="center" shrinkToFit="1"/>
    </xf>
    <xf numFmtId="0" fontId="54" fillId="0" borderId="84" xfId="0" applyBorder="1" applyAlignment="1">
      <alignment horizontal="center" vertical="center" shrinkToFit="1"/>
    </xf>
    <xf numFmtId="0" fontId="96" fillId="0" borderId="84" xfId="0" applyBorder="1" applyAlignment="1">
      <alignment horizontal="center" vertical="center"/>
    </xf>
    <xf numFmtId="177" fontId="90" fillId="0" borderId="0" xfId="2792" applyFill="1" applyBorder="1" applyAlignment="1">
      <alignment horizontal="center" vertical="center" shrinkToFit="1"/>
    </xf>
    <xf numFmtId="177" fontId="90" fillId="0" borderId="25" xfId="2792" applyFill="1" applyBorder="1" applyAlignment="1">
      <alignment horizontal="center" vertical="center" shrinkToFit="1"/>
    </xf>
    <xf numFmtId="177" fontId="0" fillId="0" borderId="0" xfId="0" applyNumberFormat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177" fontId="0" fillId="0" borderId="16" xfId="2792" applyFill="1" applyBorder="1" applyAlignment="1">
      <alignment horizontal="center" vertical="center" shrinkToFit="1"/>
    </xf>
    <xf numFmtId="177" fontId="0" fillId="0" borderId="82" xfId="2792" applyFill="1" applyBorder="1" applyAlignment="1">
      <alignment horizontal="center" vertical="center" shrinkToFit="1"/>
    </xf>
    <xf numFmtId="0" fontId="0" fillId="0" borderId="79" xfId="0" quotePrefix="1" applyBorder="1" applyAlignment="1">
      <alignment horizontal="center" vertical="center"/>
    </xf>
    <xf numFmtId="177" fontId="0" fillId="0" borderId="79" xfId="0" applyNumberFormat="1" applyBorder="1" applyAlignment="1">
      <alignment horizontal="center" vertical="center"/>
    </xf>
    <xf numFmtId="177" fontId="0" fillId="0" borderId="79" xfId="2792" applyFill="1" applyBorder="1" applyAlignment="1">
      <alignment horizontal="center" vertical="center" shrinkToFit="1"/>
    </xf>
    <xf numFmtId="177" fontId="0" fillId="0" borderId="80" xfId="2792" applyFill="1" applyBorder="1" applyAlignment="1">
      <alignment horizontal="center" vertical="center" shrinkToFit="1"/>
    </xf>
    <xf numFmtId="0" fontId="0" fillId="0" borderId="55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49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72" xfId="0" applyBorder="1" applyAlignment="1">
      <alignment horizontal="left" vertical="center" wrapText="1"/>
    </xf>
    <xf numFmtId="0" fontId="0" fillId="0" borderId="73" xfId="0" applyBorder="1" applyAlignment="1">
      <alignment horizontal="left" vertical="center" wrapText="1"/>
    </xf>
    <xf numFmtId="0" fontId="0" fillId="0" borderId="74" xfId="0" applyBorder="1" applyAlignment="1">
      <alignment horizontal="left" vertical="center" wrapText="1"/>
    </xf>
    <xf numFmtId="0" fontId="92" fillId="0" borderId="0" xfId="0" applyAlignment="1">
      <alignment horizontal="left" vertical="center" wrapText="1"/>
    </xf>
    <xf numFmtId="0" fontId="87" fillId="0" borderId="8" xfId="0" applyBorder="1" applyAlignment="1">
      <alignment horizontal="center" vertical="center" wrapText="1"/>
    </xf>
    <xf numFmtId="0" fontId="90" fillId="0" borderId="75" xfId="2637" applyFill="1" applyBorder="1" applyAlignment="1">
      <alignment horizontal="left" vertical="center"/>
    </xf>
    <xf numFmtId="0" fontId="90" fillId="0" borderId="76" xfId="2637" applyFill="1" applyBorder="1" applyAlignment="1">
      <alignment horizontal="left" vertical="center"/>
    </xf>
    <xf numFmtId="0" fontId="54" fillId="0" borderId="76" xfId="0" applyBorder="1" applyAlignment="1">
      <alignment horizontal="center"/>
    </xf>
    <xf numFmtId="177" fontId="54" fillId="0" borderId="76" xfId="0" applyNumberFormat="1" applyBorder="1" applyAlignment="1">
      <alignment horizontal="center" vertical="center" shrinkToFit="1"/>
    </xf>
    <xf numFmtId="177" fontId="54" fillId="0" borderId="77" xfId="0" applyNumberFormat="1" applyBorder="1" applyAlignment="1">
      <alignment horizontal="center" vertical="center" shrinkToFit="1"/>
    </xf>
    <xf numFmtId="0" fontId="0" fillId="0" borderId="68" xfId="0" applyBorder="1" applyAlignment="1">
      <alignment horizontal="left" vertical="center" wrapText="1"/>
    </xf>
    <xf numFmtId="0" fontId="0" fillId="0" borderId="69" xfId="0" applyBorder="1" applyAlignment="1">
      <alignment horizontal="left" vertical="center" wrapText="1"/>
    </xf>
    <xf numFmtId="0" fontId="0" fillId="0" borderId="70" xfId="0" applyBorder="1" applyAlignment="1">
      <alignment horizontal="left" vertical="center" wrapText="1"/>
    </xf>
    <xf numFmtId="0" fontId="0" fillId="0" borderId="53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0" borderId="71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62" xfId="0" applyBorder="1" applyAlignment="1">
      <alignment horizontal="left" vertical="center" wrapText="1"/>
    </xf>
    <xf numFmtId="0" fontId="54" fillId="0" borderId="2" xfId="0" applyBorder="1" applyAlignment="1">
      <alignment horizontal="center" vertical="center" wrapText="1"/>
    </xf>
    <xf numFmtId="0" fontId="70" fillId="0" borderId="61" xfId="0" applyBorder="1" applyAlignment="1">
      <alignment horizontal="center" vertical="center" wrapText="1"/>
    </xf>
    <xf numFmtId="0" fontId="70" fillId="0" borderId="36" xfId="0" applyBorder="1" applyAlignment="1">
      <alignment horizontal="center" vertical="center" wrapText="1"/>
    </xf>
    <xf numFmtId="0" fontId="70" fillId="0" borderId="65" xfId="0" applyBorder="1" applyAlignment="1">
      <alignment horizontal="center" vertical="center" wrapText="1"/>
    </xf>
    <xf numFmtId="0" fontId="70" fillId="0" borderId="66" xfId="0" applyBorder="1" applyAlignment="1">
      <alignment horizontal="center" vertical="center" wrapText="1"/>
    </xf>
    <xf numFmtId="0" fontId="70" fillId="0" borderId="67" xfId="0" applyBorder="1" applyAlignment="1">
      <alignment horizontal="center" vertical="center" wrapText="1"/>
    </xf>
    <xf numFmtId="0" fontId="5" fillId="0" borderId="0" xfId="0" applyAlignment="1">
      <alignment horizontal="left" vertical="center" shrinkToFit="1"/>
    </xf>
    <xf numFmtId="0" fontId="5" fillId="0" borderId="0" xfId="0" applyAlignment="1">
      <alignment horizontal="left" vertical="top" wrapText="1"/>
    </xf>
    <xf numFmtId="0" fontId="5" fillId="0" borderId="57" xfId="0" applyBorder="1" applyAlignment="1">
      <alignment horizontal="center" vertical="center" wrapText="1"/>
    </xf>
    <xf numFmtId="0" fontId="5" fillId="0" borderId="1" xfId="0" applyBorder="1" applyAlignment="1">
      <alignment horizontal="center" vertical="center" wrapText="1"/>
    </xf>
    <xf numFmtId="0" fontId="5" fillId="0" borderId="1" xfId="0" applyBorder="1" applyAlignment="1">
      <alignment horizontal="left" vertical="center" shrinkToFit="1"/>
    </xf>
    <xf numFmtId="0" fontId="5" fillId="0" borderId="1" xfId="0" applyBorder="1" applyAlignment="1">
      <alignment horizontal="left" vertical="center" wrapText="1"/>
    </xf>
    <xf numFmtId="0" fontId="5" fillId="0" borderId="58" xfId="0" applyBorder="1" applyAlignment="1">
      <alignment horizontal="left" vertical="center" wrapText="1"/>
    </xf>
    <xf numFmtId="0" fontId="92" fillId="0" borderId="0" xfId="0" applyAlignment="1">
      <alignment horizontal="left" vertical="center"/>
    </xf>
    <xf numFmtId="0" fontId="93" fillId="0" borderId="0" xfId="0" applyAlignment="1">
      <alignment horizontal="center" vertical="center"/>
    </xf>
    <xf numFmtId="0" fontId="90" fillId="0" borderId="0" xfId="0" applyAlignment="1">
      <alignment horizontal="center" vertical="center" wrapText="1"/>
    </xf>
    <xf numFmtId="0" fontId="5" fillId="0" borderId="55" xfId="0" applyBorder="1" applyAlignment="1">
      <alignment horizontal="center" vertical="center" wrapText="1"/>
    </xf>
    <xf numFmtId="0" fontId="5" fillId="0" borderId="2" xfId="0" applyBorder="1" applyAlignment="1">
      <alignment horizontal="center" vertical="center" wrapText="1"/>
    </xf>
    <xf numFmtId="0" fontId="5" fillId="0" borderId="32" xfId="0" applyBorder="1" applyAlignment="1">
      <alignment horizontal="center" vertical="center" wrapText="1"/>
    </xf>
    <xf numFmtId="0" fontId="5" fillId="0" borderId="2" xfId="0" applyBorder="1" applyAlignment="1">
      <alignment horizontal="left" vertical="center" shrinkToFit="1"/>
    </xf>
    <xf numFmtId="0" fontId="5" fillId="0" borderId="2" xfId="0" applyBorder="1" applyAlignment="1">
      <alignment horizontal="left" vertical="center" wrapText="1"/>
    </xf>
    <xf numFmtId="0" fontId="5" fillId="0" borderId="32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62" fillId="0" borderId="24" xfId="0" applyBorder="1" applyAlignment="1">
      <alignment horizontal="justify" vertical="center" wrapText="1"/>
    </xf>
    <xf numFmtId="0" fontId="62" fillId="0" borderId="0" xfId="0" applyAlignment="1">
      <alignment horizontal="justify" vertical="center" wrapText="1"/>
    </xf>
    <xf numFmtId="0" fontId="5" fillId="0" borderId="24" xfId="0" applyBorder="1" applyAlignment="1">
      <alignment horizontal="left" vertical="center" wrapText="1"/>
    </xf>
    <xf numFmtId="0" fontId="5" fillId="0" borderId="25" xfId="0" applyBorder="1" applyAlignment="1">
      <alignment horizontal="left" vertical="center" wrapText="1"/>
    </xf>
    <xf numFmtId="0" fontId="5" fillId="0" borderId="24" xfId="0" applyBorder="1" applyAlignment="1">
      <alignment horizontal="center" vertical="center" wrapText="1"/>
    </xf>
    <xf numFmtId="14" fontId="5" fillId="0" borderId="0" xfId="0" applyNumberFormat="1" applyAlignment="1">
      <alignment horizontal="left" vertical="center" wrapText="1"/>
    </xf>
    <xf numFmtId="14" fontId="5" fillId="0" borderId="25" xfId="0" applyNumberFormat="1" applyBorder="1" applyAlignment="1">
      <alignment horizontal="left" vertical="center" wrapText="1"/>
    </xf>
    <xf numFmtId="0" fontId="70" fillId="0" borderId="55" xfId="0" applyBorder="1" applyAlignment="1">
      <alignment horizontal="center" vertical="center" textRotation="255" wrapText="1"/>
    </xf>
    <xf numFmtId="0" fontId="70" fillId="0" borderId="2" xfId="0" applyBorder="1" applyAlignment="1">
      <alignment horizontal="center" vertical="center" textRotation="255" wrapText="1"/>
    </xf>
    <xf numFmtId="0" fontId="70" fillId="0" borderId="64" xfId="0" applyBorder="1" applyAlignment="1">
      <alignment horizontal="center" vertical="center" textRotation="255" wrapText="1"/>
    </xf>
    <xf numFmtId="0" fontId="70" fillId="0" borderId="18" xfId="0" applyBorder="1" applyAlignment="1">
      <alignment horizontal="center" vertical="center" textRotation="255" wrapText="1"/>
    </xf>
    <xf numFmtId="0" fontId="70" fillId="0" borderId="57" xfId="0" applyBorder="1" applyAlignment="1">
      <alignment horizontal="center" vertical="center" textRotation="255" wrapText="1"/>
    </xf>
    <xf numFmtId="0" fontId="70" fillId="0" borderId="1" xfId="0" applyBorder="1" applyAlignment="1">
      <alignment horizontal="center" vertical="center" textRotation="255" wrapText="1"/>
    </xf>
    <xf numFmtId="0" fontId="54" fillId="0" borderId="2" xfId="0" applyBorder="1" applyAlignment="1">
      <alignment horizontal="left" vertical="center" wrapText="1"/>
    </xf>
    <xf numFmtId="0" fontId="54" fillId="0" borderId="32" xfId="0" applyBorder="1" applyAlignment="1">
      <alignment horizontal="left" vertical="center" wrapText="1"/>
    </xf>
    <xf numFmtId="182" fontId="54" fillId="0" borderId="2" xfId="0" applyNumberFormat="1" applyBorder="1" applyAlignment="1">
      <alignment horizontal="left" vertical="center" shrinkToFit="1"/>
    </xf>
    <xf numFmtId="182" fontId="54" fillId="0" borderId="32" xfId="0" applyNumberFormat="1" applyBorder="1" applyAlignment="1">
      <alignment horizontal="left" vertical="center" shrinkToFit="1"/>
    </xf>
    <xf numFmtId="0" fontId="0" fillId="0" borderId="49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54" fillId="0" borderId="49" xfId="0" applyBorder="1" applyAlignment="1">
      <alignment horizontal="center" vertical="center" wrapText="1"/>
    </xf>
    <xf numFmtId="0" fontId="54" fillId="0" borderId="7" xfId="0" applyBorder="1" applyAlignment="1">
      <alignment horizontal="center" vertical="center" wrapText="1"/>
    </xf>
    <xf numFmtId="0" fontId="54" fillId="0" borderId="50" xfId="0" applyBorder="1" applyAlignment="1">
      <alignment horizontal="center" vertical="center" wrapText="1"/>
    </xf>
    <xf numFmtId="0" fontId="54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54" fillId="0" borderId="49" xfId="0" applyBorder="1" applyAlignment="1">
      <alignment horizontal="left" vertical="center" wrapText="1"/>
    </xf>
    <xf numFmtId="0" fontId="54" fillId="0" borderId="7" xfId="0" applyBorder="1" applyAlignment="1">
      <alignment horizontal="left" vertical="center" wrapText="1"/>
    </xf>
    <xf numFmtId="0" fontId="54" fillId="0" borderId="63" xfId="0" applyBorder="1" applyAlignment="1">
      <alignment horizontal="left" vertical="center" wrapText="1"/>
    </xf>
    <xf numFmtId="0" fontId="85" fillId="11" borderId="53" xfId="0" applyFill="1" applyBorder="1" applyAlignment="1">
      <alignment horizontal="center" vertical="center" wrapText="1"/>
    </xf>
    <xf numFmtId="0" fontId="85" fillId="11" borderId="0" xfId="0" applyFill="1" applyAlignment="1">
      <alignment horizontal="center" vertical="center" wrapText="1"/>
    </xf>
    <xf numFmtId="0" fontId="86" fillId="0" borderId="0" xfId="0" applyAlignment="1">
      <alignment horizontal="center" vertical="center" wrapText="1"/>
    </xf>
    <xf numFmtId="0" fontId="120" fillId="0" borderId="0" xfId="0" applyAlignment="1">
      <alignment horizontal="center" vertical="center" wrapText="1"/>
    </xf>
    <xf numFmtId="0" fontId="62" fillId="11" borderId="53" xfId="0" applyFill="1" applyBorder="1" applyAlignment="1">
      <alignment horizontal="center" vertical="center" wrapText="1"/>
    </xf>
    <xf numFmtId="0" fontId="62" fillId="11" borderId="0" xfId="0" applyFill="1" applyAlignment="1">
      <alignment horizontal="center" vertical="center" wrapText="1"/>
    </xf>
    <xf numFmtId="14" fontId="120" fillId="0" borderId="0" xfId="0" applyNumberFormat="1" applyAlignment="1">
      <alignment horizontal="center" vertical="center"/>
    </xf>
    <xf numFmtId="0" fontId="85" fillId="0" borderId="0" xfId="0" applyAlignment="1">
      <alignment horizontal="center" vertical="center" wrapText="1"/>
    </xf>
    <xf numFmtId="0" fontId="88" fillId="0" borderId="0" xfId="0" applyAlignment="1">
      <alignment horizontal="left" vertical="center" wrapText="1"/>
    </xf>
    <xf numFmtId="0" fontId="89" fillId="0" borderId="21" xfId="0" applyBorder="1" applyAlignment="1">
      <alignment horizontal="center" vertical="center" wrapText="1"/>
    </xf>
    <xf numFmtId="0" fontId="89" fillId="0" borderId="22" xfId="0" applyBorder="1" applyAlignment="1">
      <alignment horizontal="center" vertical="center" wrapText="1"/>
    </xf>
    <xf numFmtId="0" fontId="89" fillId="0" borderId="23" xfId="0" applyBorder="1" applyAlignment="1">
      <alignment horizontal="center" vertical="center" wrapText="1"/>
    </xf>
    <xf numFmtId="0" fontId="70" fillId="0" borderId="61" xfId="0" applyBorder="1" applyAlignment="1">
      <alignment horizontal="center" vertical="center" textRotation="255" wrapText="1"/>
    </xf>
    <xf numFmtId="0" fontId="70" fillId="0" borderId="36" xfId="0" applyBorder="1" applyAlignment="1">
      <alignment horizontal="center" vertical="center" textRotation="255" wrapText="1"/>
    </xf>
    <xf numFmtId="0" fontId="54" fillId="0" borderId="36" xfId="0" applyBorder="1" applyAlignment="1">
      <alignment horizontal="center" vertical="center" wrapText="1"/>
    </xf>
    <xf numFmtId="0" fontId="54" fillId="0" borderId="36" xfId="0" applyBorder="1" applyAlignment="1">
      <alignment horizontal="left" vertical="center" wrapText="1"/>
    </xf>
    <xf numFmtId="0" fontId="54" fillId="0" borderId="52" xfId="0" applyBorder="1" applyAlignment="1">
      <alignment horizontal="left" vertical="center" wrapText="1"/>
    </xf>
    <xf numFmtId="0" fontId="129" fillId="0" borderId="0" xfId="3113" applyAlignment="1">
      <alignment horizontal="center" vertical="top"/>
    </xf>
    <xf numFmtId="0" fontId="130" fillId="0" borderId="0" xfId="3113" applyAlignment="1">
      <alignment horizontal="left" vertical="center"/>
    </xf>
    <xf numFmtId="245" fontId="130" fillId="0" borderId="0" xfId="3113" applyNumberFormat="1" applyAlignment="1">
      <alignment horizontal="left" vertical="center" shrinkToFit="1"/>
    </xf>
    <xf numFmtId="0" fontId="7" fillId="0" borderId="0" xfId="3113" applyAlignment="1">
      <alignment horizontal="left" vertical="center" shrinkToFit="1"/>
    </xf>
    <xf numFmtId="0" fontId="128" fillId="0" borderId="0" xfId="3113" applyAlignment="1">
      <alignment horizontal="center" vertical="center" shrinkToFit="1"/>
    </xf>
    <xf numFmtId="0" fontId="126" fillId="0" borderId="0" xfId="3113" applyAlignment="1">
      <alignment horizontal="center" vertical="center"/>
    </xf>
    <xf numFmtId="0" fontId="33" fillId="0" borderId="0" xfId="3113" applyAlignment="1">
      <alignment horizontal="center" vertical="center" shrinkToFit="1"/>
    </xf>
    <xf numFmtId="246" fontId="7" fillId="0" borderId="0" xfId="3113" applyNumberFormat="1" applyAlignment="1">
      <alignment horizontal="left" vertical="center"/>
    </xf>
    <xf numFmtId="0" fontId="73" fillId="0" borderId="90" xfId="3102" applyBorder="1" applyAlignment="1">
      <alignment horizontal="center" vertical="center"/>
    </xf>
    <xf numFmtId="0" fontId="73" fillId="0" borderId="50" xfId="3102" applyBorder="1" applyAlignment="1">
      <alignment horizontal="center" vertical="center"/>
    </xf>
    <xf numFmtId="0" fontId="71" fillId="0" borderId="49" xfId="3102" applyBorder="1" applyAlignment="1">
      <alignment horizontal="center" vertical="center"/>
    </xf>
    <xf numFmtId="0" fontId="71" fillId="0" borderId="7" xfId="3102" applyBorder="1" applyAlignment="1">
      <alignment horizontal="center" vertical="center"/>
    </xf>
    <xf numFmtId="0" fontId="72" fillId="8" borderId="88" xfId="3102" applyFill="1" applyBorder="1" applyAlignment="1">
      <alignment horizontal="center" vertical="center"/>
    </xf>
    <xf numFmtId="0" fontId="72" fillId="8" borderId="89" xfId="3102" applyFill="1" applyBorder="1" applyAlignment="1">
      <alignment horizontal="center" vertical="center"/>
    </xf>
    <xf numFmtId="0" fontId="71" fillId="8" borderId="72" xfId="3102" applyFill="1" applyBorder="1" applyAlignment="1">
      <alignment horizontal="center" vertical="center"/>
    </xf>
    <xf numFmtId="0" fontId="71" fillId="8" borderId="73" xfId="3102" applyFill="1" applyBorder="1" applyAlignment="1">
      <alignment horizontal="center" vertical="center"/>
    </xf>
    <xf numFmtId="0" fontId="71" fillId="8" borderId="89" xfId="3102" applyFill="1" applyBorder="1" applyAlignment="1">
      <alignment horizontal="center" vertical="center"/>
    </xf>
    <xf numFmtId="0" fontId="74" fillId="2" borderId="21" xfId="3102" applyFill="1" applyBorder="1" applyAlignment="1">
      <alignment horizontal="center" vertical="center"/>
    </xf>
    <xf numFmtId="0" fontId="74" fillId="2" borderId="22" xfId="3102" applyFill="1" applyBorder="1" applyAlignment="1">
      <alignment horizontal="center" vertical="center"/>
    </xf>
    <xf numFmtId="0" fontId="74" fillId="2" borderId="24" xfId="3102" applyFill="1" applyBorder="1" applyAlignment="1">
      <alignment horizontal="center" vertical="center"/>
    </xf>
    <xf numFmtId="0" fontId="74" fillId="2" borderId="0" xfId="3102" applyFill="1" applyAlignment="1">
      <alignment horizontal="center" vertical="center"/>
    </xf>
    <xf numFmtId="0" fontId="74" fillId="2" borderId="26" xfId="3102" applyFill="1" applyBorder="1" applyAlignment="1">
      <alignment horizontal="center" vertical="center"/>
    </xf>
    <xf numFmtId="0" fontId="74" fillId="2" borderId="8" xfId="3102" applyFill="1" applyBorder="1" applyAlignment="1">
      <alignment horizontal="center" vertical="center"/>
    </xf>
    <xf numFmtId="0" fontId="77" fillId="0" borderId="22" xfId="3102" applyBorder="1" applyAlignment="1">
      <alignment horizontal="center" vertical="center" wrapText="1"/>
    </xf>
    <xf numFmtId="0" fontId="71" fillId="0" borderId="0" xfId="3102" applyAlignment="1">
      <alignment horizontal="center" vertical="center" wrapText="1"/>
    </xf>
    <xf numFmtId="0" fontId="71" fillId="0" borderId="0" xfId="3102" applyAlignment="1">
      <alignment horizontal="center" vertical="center" shrinkToFit="1"/>
    </xf>
    <xf numFmtId="0" fontId="71" fillId="0" borderId="8" xfId="3102" applyBorder="1" applyAlignment="1">
      <alignment horizontal="center" vertical="center" shrinkToFit="1"/>
    </xf>
    <xf numFmtId="0" fontId="73" fillId="8" borderId="90" xfId="3102" applyFill="1" applyBorder="1" applyAlignment="1">
      <alignment horizontal="center" vertical="center"/>
    </xf>
    <xf numFmtId="0" fontId="73" fillId="8" borderId="50" xfId="3102" applyFill="1" applyBorder="1" applyAlignment="1">
      <alignment horizontal="center" vertical="center"/>
    </xf>
    <xf numFmtId="0" fontId="71" fillId="8" borderId="49" xfId="3102" applyFill="1" applyBorder="1" applyAlignment="1">
      <alignment horizontal="center" vertical="center"/>
    </xf>
    <xf numFmtId="0" fontId="71" fillId="8" borderId="7" xfId="3102" applyFill="1" applyBorder="1" applyAlignment="1">
      <alignment horizontal="center" vertical="center"/>
    </xf>
    <xf numFmtId="0" fontId="71" fillId="2" borderId="90" xfId="3102" applyFill="1" applyBorder="1" applyAlignment="1">
      <alignment horizontal="left" vertical="center"/>
    </xf>
    <xf numFmtId="0" fontId="71" fillId="2" borderId="50" xfId="3102" applyFill="1" applyBorder="1" applyAlignment="1">
      <alignment horizontal="left" vertical="center"/>
    </xf>
    <xf numFmtId="0" fontId="73" fillId="2" borderId="90" xfId="3102" applyFill="1" applyBorder="1" applyAlignment="1">
      <alignment horizontal="left" vertical="center"/>
    </xf>
    <xf numFmtId="0" fontId="73" fillId="2" borderId="50" xfId="3102" applyFill="1" applyBorder="1" applyAlignment="1">
      <alignment horizontal="left" vertical="center"/>
    </xf>
    <xf numFmtId="0" fontId="73" fillId="0" borderId="90" xfId="3102" applyBorder="1" applyAlignment="1">
      <alignment horizontal="left" vertical="center"/>
    </xf>
    <xf numFmtId="0" fontId="73" fillId="0" borderId="50" xfId="3102" applyBorder="1" applyAlignment="1">
      <alignment horizontal="left" vertical="center"/>
    </xf>
    <xf numFmtId="0" fontId="72" fillId="7" borderId="88" xfId="3102" applyFill="1" applyBorder="1" applyAlignment="1">
      <alignment horizontal="center" vertical="center"/>
    </xf>
    <xf numFmtId="0" fontId="72" fillId="7" borderId="89" xfId="3102" applyFill="1" applyBorder="1" applyAlignment="1">
      <alignment horizontal="center" vertical="center"/>
    </xf>
    <xf numFmtId="182" fontId="72" fillId="7" borderId="72" xfId="3102" applyNumberFormat="1" applyFill="1" applyBorder="1" applyAlignment="1">
      <alignment horizontal="left" vertical="center" shrinkToFit="1"/>
    </xf>
    <xf numFmtId="182" fontId="72" fillId="7" borderId="73" xfId="3102" applyNumberFormat="1" applyFill="1" applyBorder="1" applyAlignment="1">
      <alignment horizontal="left" vertical="center" shrinkToFit="1"/>
    </xf>
    <xf numFmtId="182" fontId="72" fillId="7" borderId="74" xfId="3102" applyNumberFormat="1" applyFill="1" applyBorder="1" applyAlignment="1">
      <alignment horizontal="left" vertical="center" shrinkToFit="1"/>
    </xf>
    <xf numFmtId="0" fontId="81" fillId="0" borderId="86" xfId="3102" applyBorder="1" applyAlignment="1">
      <alignment horizontal="center" vertical="center"/>
    </xf>
    <xf numFmtId="0" fontId="81" fillId="0" borderId="6" xfId="3102" applyBorder="1" applyAlignment="1">
      <alignment horizontal="center" vertical="center"/>
    </xf>
    <xf numFmtId="0" fontId="81" fillId="0" borderId="54" xfId="3102" applyBorder="1" applyAlignment="1">
      <alignment horizontal="center" vertical="center"/>
    </xf>
    <xf numFmtId="0" fontId="71" fillId="0" borderId="86" xfId="2637" applyFill="1" applyBorder="1" applyAlignment="1">
      <alignment horizontal="center" vertical="center"/>
    </xf>
    <xf numFmtId="0" fontId="71" fillId="0" borderId="87" xfId="2637" applyFill="1" applyBorder="1" applyAlignment="1">
      <alignment horizontal="center" vertical="center"/>
    </xf>
    <xf numFmtId="0" fontId="71" fillId="2" borderId="59" xfId="2637" applyFill="1" applyBorder="1" applyAlignment="1">
      <alignment horizontal="left" vertical="center"/>
    </xf>
    <xf numFmtId="0" fontId="71" fillId="2" borderId="60" xfId="2637" applyFill="1" applyBorder="1" applyAlignment="1">
      <alignment horizontal="left" vertical="center"/>
    </xf>
    <xf numFmtId="0" fontId="83" fillId="8" borderId="0" xfId="3102" quotePrefix="1" applyFill="1" applyAlignment="1">
      <alignment horizontal="center" vertical="center" shrinkToFit="1"/>
    </xf>
    <xf numFmtId="0" fontId="71" fillId="0" borderId="8" xfId="3102" applyBorder="1" applyAlignment="1">
      <alignment horizontal="right" vertical="center" shrinkToFit="1"/>
    </xf>
    <xf numFmtId="0" fontId="72" fillId="8" borderId="86" xfId="3102" applyFill="1" applyBorder="1" applyAlignment="1">
      <alignment horizontal="center" vertical="center"/>
    </xf>
    <xf numFmtId="0" fontId="72" fillId="8" borderId="87" xfId="3102" applyFill="1" applyBorder="1" applyAlignment="1">
      <alignment horizontal="center" vertical="center"/>
    </xf>
    <xf numFmtId="177" fontId="72" fillId="8" borderId="56" xfId="3102" applyNumberFormat="1" applyFill="1" applyBorder="1" applyAlignment="1">
      <alignment horizontal="center" vertical="center" shrinkToFit="1"/>
    </xf>
    <xf numFmtId="182" fontId="72" fillId="8" borderId="6" xfId="3102" applyNumberFormat="1" applyFill="1" applyBorder="1" applyAlignment="1">
      <alignment horizontal="center" vertical="center" shrinkToFit="1"/>
    </xf>
    <xf numFmtId="182" fontId="72" fillId="8" borderId="54" xfId="3102" applyNumberFormat="1" applyFill="1" applyBorder="1" applyAlignment="1">
      <alignment horizontal="center" vertical="center" shrinkToFit="1"/>
    </xf>
    <xf numFmtId="0" fontId="72" fillId="7" borderId="59" xfId="3102" applyFill="1" applyBorder="1" applyAlignment="1">
      <alignment horizontal="center" vertical="center"/>
    </xf>
    <xf numFmtId="0" fontId="72" fillId="7" borderId="60" xfId="3102" applyFill="1" applyBorder="1" applyAlignment="1">
      <alignment horizontal="center" vertical="center"/>
    </xf>
    <xf numFmtId="182" fontId="72" fillId="7" borderId="65" xfId="3102" applyNumberFormat="1" applyFill="1" applyBorder="1" applyAlignment="1">
      <alignment horizontal="left" vertical="center" shrinkToFit="1"/>
    </xf>
    <xf numFmtId="182" fontId="72" fillId="7" borderId="66" xfId="3102" applyNumberFormat="1" applyFill="1" applyBorder="1" applyAlignment="1">
      <alignment horizontal="left" vertical="center" shrinkToFit="1"/>
    </xf>
    <xf numFmtId="182" fontId="72" fillId="7" borderId="67" xfId="3102" applyNumberFormat="1" applyFill="1" applyBorder="1" applyAlignment="1">
      <alignment horizontal="left" vertical="center" shrinkToFit="1"/>
    </xf>
    <xf numFmtId="0" fontId="103" fillId="13" borderId="94" xfId="3119" applyFill="1" applyBorder="1" applyAlignment="1">
      <alignment horizontal="center" vertical="center" wrapText="1"/>
    </xf>
    <xf numFmtId="0" fontId="101" fillId="0" borderId="55" xfId="3119" applyBorder="1" applyAlignment="1">
      <alignment horizontal="center" vertical="center" wrapText="1"/>
    </xf>
    <xf numFmtId="0" fontId="101" fillId="0" borderId="2" xfId="3119" applyBorder="1" applyAlignment="1">
      <alignment horizontal="center" vertical="center" wrapText="1"/>
    </xf>
    <xf numFmtId="0" fontId="101" fillId="0" borderId="57" xfId="3119" applyBorder="1" applyAlignment="1">
      <alignment horizontal="center" vertical="center" wrapText="1"/>
    </xf>
    <xf numFmtId="0" fontId="101" fillId="0" borderId="1" xfId="3119" applyBorder="1" applyAlignment="1">
      <alignment horizontal="center" vertical="center" wrapText="1"/>
    </xf>
    <xf numFmtId="0" fontId="100" fillId="0" borderId="1" xfId="3119" applyBorder="1" applyAlignment="1">
      <alignment horizontal="center" vertical="center" wrapText="1"/>
    </xf>
    <xf numFmtId="0" fontId="100" fillId="0" borderId="58" xfId="3119" applyBorder="1" applyAlignment="1">
      <alignment horizontal="center" vertical="center" wrapText="1"/>
    </xf>
    <xf numFmtId="0" fontId="101" fillId="13" borderId="59" xfId="3119" applyFill="1" applyBorder="1" applyAlignment="1">
      <alignment horizontal="left" vertical="center" wrapText="1"/>
    </xf>
    <xf numFmtId="0" fontId="101" fillId="13" borderId="66" xfId="3119" applyFill="1" applyBorder="1" applyAlignment="1">
      <alignment horizontal="left" vertical="center" wrapText="1"/>
    </xf>
    <xf numFmtId="0" fontId="101" fillId="13" borderId="67" xfId="3119" applyFill="1" applyBorder="1" applyAlignment="1">
      <alignment horizontal="left" vertical="center" wrapText="1"/>
    </xf>
    <xf numFmtId="0" fontId="100" fillId="0" borderId="26" xfId="3119" applyBorder="1" applyAlignment="1">
      <alignment horizontal="center" vertical="center" wrapText="1"/>
    </xf>
    <xf numFmtId="0" fontId="100" fillId="0" borderId="8" xfId="3119" applyBorder="1" applyAlignment="1">
      <alignment horizontal="center" vertical="center" wrapText="1"/>
    </xf>
    <xf numFmtId="0" fontId="100" fillId="0" borderId="92" xfId="3119" applyBorder="1" applyAlignment="1">
      <alignment horizontal="center" vertical="center" wrapText="1"/>
    </xf>
    <xf numFmtId="0" fontId="100" fillId="0" borderId="91" xfId="3119" applyBorder="1" applyAlignment="1">
      <alignment horizontal="center" vertical="center" wrapText="1"/>
    </xf>
    <xf numFmtId="0" fontId="100" fillId="0" borderId="91" xfId="3119" applyBorder="1" applyAlignment="1">
      <alignment horizontal="center" vertical="center" shrinkToFit="1"/>
    </xf>
    <xf numFmtId="0" fontId="100" fillId="0" borderId="8" xfId="3119" applyBorder="1" applyAlignment="1">
      <alignment horizontal="center" vertical="center" shrinkToFit="1"/>
    </xf>
    <xf numFmtId="0" fontId="100" fillId="0" borderId="92" xfId="3119" applyBorder="1" applyAlignment="1">
      <alignment horizontal="center" vertical="center" shrinkToFit="1"/>
    </xf>
    <xf numFmtId="0" fontId="100" fillId="0" borderId="27" xfId="3119" applyBorder="1" applyAlignment="1">
      <alignment horizontal="center" vertical="center" wrapText="1"/>
    </xf>
    <xf numFmtId="0" fontId="101" fillId="13" borderId="86" xfId="3119" applyFill="1" applyBorder="1" applyAlignment="1">
      <alignment horizontal="left" vertical="center" wrapText="1"/>
    </xf>
    <xf numFmtId="0" fontId="101" fillId="13" borderId="6" xfId="3119" applyFill="1" applyBorder="1" applyAlignment="1">
      <alignment horizontal="left" vertical="center" wrapText="1"/>
    </xf>
    <xf numFmtId="0" fontId="101" fillId="13" borderId="54" xfId="3119" applyFill="1" applyBorder="1" applyAlignment="1">
      <alignment horizontal="left" vertical="center" wrapText="1"/>
    </xf>
    <xf numFmtId="0" fontId="101" fillId="0" borderId="61" xfId="3119" applyBorder="1" applyAlignment="1">
      <alignment horizontal="center" vertical="center" wrapText="1"/>
    </xf>
    <xf numFmtId="0" fontId="101" fillId="0" borderId="36" xfId="3119" applyBorder="1" applyAlignment="1">
      <alignment horizontal="center" vertical="center" wrapText="1"/>
    </xf>
    <xf numFmtId="0" fontId="100" fillId="0" borderId="36" xfId="3119" applyBorder="1" applyAlignment="1">
      <alignment horizontal="center" vertical="center" wrapText="1"/>
    </xf>
    <xf numFmtId="0" fontId="100" fillId="0" borderId="52" xfId="3119" applyBorder="1" applyAlignment="1">
      <alignment horizontal="center" vertical="center" wrapText="1"/>
    </xf>
    <xf numFmtId="0" fontId="100" fillId="0" borderId="91" xfId="3119" applyBorder="1" applyAlignment="1">
      <alignment horizontal="justify" vertical="center" wrapText="1"/>
    </xf>
    <xf numFmtId="0" fontId="100" fillId="0" borderId="8" xfId="3119" applyBorder="1" applyAlignment="1">
      <alignment horizontal="justify" vertical="center" wrapText="1"/>
    </xf>
    <xf numFmtId="0" fontId="100" fillId="0" borderId="27" xfId="3119" applyBorder="1" applyAlignment="1">
      <alignment horizontal="justify" vertical="center" wrapText="1"/>
    </xf>
    <xf numFmtId="0" fontId="101" fillId="13" borderId="65" xfId="3119" applyFill="1" applyBorder="1" applyAlignment="1">
      <alignment horizontal="center" vertical="center" wrapText="1"/>
    </xf>
    <xf numFmtId="0" fontId="101" fillId="13" borderId="66" xfId="3119" applyFill="1" applyBorder="1" applyAlignment="1">
      <alignment horizontal="center" vertical="center" wrapText="1"/>
    </xf>
    <xf numFmtId="0" fontId="101" fillId="13" borderId="67" xfId="3119" applyFill="1" applyBorder="1" applyAlignment="1">
      <alignment horizontal="center" vertical="center" wrapText="1"/>
    </xf>
    <xf numFmtId="0" fontId="100" fillId="13" borderId="49" xfId="3119" applyFill="1" applyBorder="1" applyAlignment="1">
      <alignment horizontal="center" vertical="center" wrapText="1"/>
    </xf>
    <xf numFmtId="0" fontId="100" fillId="13" borderId="7" xfId="3119" applyFill="1" applyBorder="1" applyAlignment="1">
      <alignment horizontal="center" vertical="center" wrapText="1"/>
    </xf>
    <xf numFmtId="0" fontId="100" fillId="13" borderId="69" xfId="3119" applyFill="1" applyBorder="1" applyAlignment="1">
      <alignment horizontal="center" vertical="center" wrapText="1"/>
    </xf>
    <xf numFmtId="0" fontId="100" fillId="13" borderId="63" xfId="3119" applyFill="1" applyBorder="1" applyAlignment="1">
      <alignment horizontal="center" vertical="center" wrapText="1"/>
    </xf>
    <xf numFmtId="0" fontId="100" fillId="0" borderId="64" xfId="3119" applyBorder="1" applyAlignment="1">
      <alignment horizontal="left" vertical="top" wrapText="1"/>
    </xf>
    <xf numFmtId="0" fontId="100" fillId="0" borderId="94" xfId="3119" applyBorder="1" applyAlignment="1">
      <alignment horizontal="left" vertical="top" wrapText="1"/>
    </xf>
    <xf numFmtId="0" fontId="100" fillId="0" borderId="93" xfId="3119" applyBorder="1" applyAlignment="1">
      <alignment horizontal="left" vertical="top" wrapText="1"/>
    </xf>
    <xf numFmtId="0" fontId="100" fillId="14" borderId="49" xfId="3119" applyFill="1" applyBorder="1" applyAlignment="1">
      <alignment horizontal="center" vertical="center" wrapText="1"/>
    </xf>
    <xf numFmtId="0" fontId="100" fillId="14" borderId="7" xfId="3119" applyFill="1" applyBorder="1" applyAlignment="1">
      <alignment horizontal="center" vertical="center" wrapText="1"/>
    </xf>
    <xf numFmtId="0" fontId="100" fillId="14" borderId="50" xfId="3119" applyFill="1" applyBorder="1" applyAlignment="1">
      <alignment horizontal="center" vertical="center" wrapText="1"/>
    </xf>
    <xf numFmtId="0" fontId="100" fillId="0" borderId="7" xfId="3119" applyBorder="1" applyAlignment="1">
      <alignment horizontal="center" vertical="center" wrapText="1"/>
    </xf>
    <xf numFmtId="0" fontId="100" fillId="0" borderId="14" xfId="3119" applyBorder="1" applyAlignment="1">
      <alignment horizontal="center" vertical="center" wrapText="1"/>
    </xf>
    <xf numFmtId="0" fontId="100" fillId="0" borderId="50" xfId="3119" applyBorder="1" applyAlignment="1">
      <alignment horizontal="center" vertical="center" wrapText="1"/>
    </xf>
    <xf numFmtId="0" fontId="100" fillId="0" borderId="72" xfId="3119" applyBorder="1" applyAlignment="1">
      <alignment horizontal="center" vertical="center" wrapText="1"/>
    </xf>
    <xf numFmtId="0" fontId="100" fillId="0" borderId="73" xfId="3119" applyBorder="1" applyAlignment="1">
      <alignment horizontal="center" vertical="center" wrapText="1"/>
    </xf>
    <xf numFmtId="0" fontId="100" fillId="0" borderId="89" xfId="3119" applyBorder="1" applyAlignment="1">
      <alignment horizontal="center" vertical="center" wrapText="1"/>
    </xf>
    <xf numFmtId="0" fontId="100" fillId="0" borderId="68" xfId="3119" applyBorder="1" applyAlignment="1">
      <alignment horizontal="center" vertical="center" wrapText="1"/>
    </xf>
    <xf numFmtId="0" fontId="100" fillId="0" borderId="96" xfId="3119" applyBorder="1" applyAlignment="1">
      <alignment horizontal="center" vertical="center" wrapText="1"/>
    </xf>
    <xf numFmtId="0" fontId="100" fillId="0" borderId="53" xfId="3119" applyBorder="1" applyAlignment="1">
      <alignment horizontal="center" vertical="center" wrapText="1"/>
    </xf>
    <xf numFmtId="0" fontId="100" fillId="0" borderId="95" xfId="3119" applyBorder="1" applyAlignment="1">
      <alignment horizontal="center" vertical="center" wrapText="1"/>
    </xf>
    <xf numFmtId="0" fontId="100" fillId="0" borderId="0" xfId="3119" applyAlignment="1">
      <alignment horizontal="center" vertical="center" wrapText="1"/>
    </xf>
    <xf numFmtId="0" fontId="100" fillId="13" borderId="2" xfId="3119" applyFill="1" applyBorder="1" applyAlignment="1">
      <alignment horizontal="center" vertical="center" wrapText="1"/>
    </xf>
    <xf numFmtId="0" fontId="1" fillId="0" borderId="2" xfId="3119" applyBorder="1" applyAlignment="1">
      <alignment horizontal="center" vertical="center"/>
    </xf>
    <xf numFmtId="0" fontId="102" fillId="15" borderId="2" xfId="3119" applyFill="1" applyBorder="1" applyAlignment="1">
      <alignment horizontal="center" vertical="center" wrapText="1"/>
    </xf>
    <xf numFmtId="0" fontId="100" fillId="15" borderId="49" xfId="3119" applyFill="1" applyBorder="1" applyAlignment="1">
      <alignment horizontal="center" vertical="center" wrapText="1"/>
    </xf>
    <xf numFmtId="0" fontId="100" fillId="15" borderId="7" xfId="3119" applyFill="1" applyBorder="1" applyAlignment="1">
      <alignment horizontal="center" vertical="center" wrapText="1"/>
    </xf>
    <xf numFmtId="0" fontId="100" fillId="15" borderId="50" xfId="3119" applyFill="1" applyBorder="1" applyAlignment="1">
      <alignment horizontal="center" vertical="center" wrapText="1"/>
    </xf>
    <xf numFmtId="0" fontId="100" fillId="15" borderId="63" xfId="3119" applyFill="1" applyBorder="1" applyAlignment="1">
      <alignment horizontal="center" vertical="center" wrapText="1"/>
    </xf>
    <xf numFmtId="0" fontId="100" fillId="13" borderId="97" xfId="3119" applyFill="1" applyBorder="1" applyAlignment="1">
      <alignment horizontal="center" vertical="center" wrapText="1"/>
    </xf>
    <xf numFmtId="0" fontId="100" fillId="0" borderId="49" xfId="3119" applyBorder="1" applyAlignment="1">
      <alignment horizontal="center" vertical="center" shrinkToFit="1"/>
    </xf>
    <xf numFmtId="0" fontId="100" fillId="0" borderId="50" xfId="3119" applyBorder="1" applyAlignment="1">
      <alignment horizontal="center" vertical="center" shrinkToFit="1"/>
    </xf>
    <xf numFmtId="0" fontId="100" fillId="0" borderId="69" xfId="3119" applyBorder="1" applyAlignment="1">
      <alignment horizontal="center" vertical="center" wrapText="1"/>
    </xf>
    <xf numFmtId="0" fontId="100" fillId="0" borderId="2" xfId="3119" applyBorder="1" applyAlignment="1">
      <alignment horizontal="center" vertical="center"/>
    </xf>
    <xf numFmtId="0" fontId="100" fillId="0" borderId="71" xfId="3119" applyBorder="1" applyAlignment="1">
      <alignment horizontal="center" vertical="center" wrapText="1"/>
    </xf>
    <xf numFmtId="0" fontId="100" fillId="0" borderId="13" xfId="3119" applyBorder="1" applyAlignment="1">
      <alignment horizontal="center" vertical="center" wrapText="1"/>
    </xf>
    <xf numFmtId="0" fontId="100" fillId="0" borderId="7" xfId="3119" applyBorder="1" applyAlignment="1">
      <alignment horizontal="center" vertical="center" shrinkToFit="1"/>
    </xf>
    <xf numFmtId="0" fontId="100" fillId="0" borderId="70" xfId="3119" applyBorder="1" applyAlignment="1">
      <alignment horizontal="center" vertical="center" wrapText="1"/>
    </xf>
    <xf numFmtId="0" fontId="100" fillId="0" borderId="62" xfId="3119" applyBorder="1" applyAlignment="1">
      <alignment horizontal="center" vertical="center" wrapText="1"/>
    </xf>
    <xf numFmtId="0" fontId="103" fillId="0" borderId="71" xfId="3119" applyBorder="1" applyAlignment="1">
      <alignment horizontal="center" vertical="center" wrapText="1"/>
    </xf>
    <xf numFmtId="0" fontId="103" fillId="0" borderId="14" xfId="3119" applyBorder="1" applyAlignment="1">
      <alignment horizontal="center" vertical="center" wrapText="1"/>
    </xf>
    <xf numFmtId="0" fontId="103" fillId="0" borderId="13" xfId="3119" applyBorder="1" applyAlignment="1">
      <alignment horizontal="center" vertical="center" wrapText="1"/>
    </xf>
    <xf numFmtId="0" fontId="103" fillId="0" borderId="71" xfId="3119" applyBorder="1" applyAlignment="1">
      <alignment horizontal="center" vertical="center" shrinkToFit="1"/>
    </xf>
    <xf numFmtId="0" fontId="103" fillId="0" borderId="13" xfId="3119" applyBorder="1" applyAlignment="1">
      <alignment horizontal="center" vertical="center" shrinkToFit="1"/>
    </xf>
    <xf numFmtId="0" fontId="103" fillId="0" borderId="14" xfId="3119" applyBorder="1" applyAlignment="1">
      <alignment horizontal="center" vertical="center" shrinkToFit="1"/>
    </xf>
    <xf numFmtId="0" fontId="104" fillId="13" borderId="59" xfId="3119" applyFill="1" applyBorder="1" applyAlignment="1">
      <alignment horizontal="center" vertical="center" wrapText="1"/>
    </xf>
    <xf numFmtId="0" fontId="104" fillId="13" borderId="66" xfId="3119" applyFill="1" applyBorder="1" applyAlignment="1">
      <alignment horizontal="center" vertical="center" wrapText="1"/>
    </xf>
    <xf numFmtId="0" fontId="104" fillId="13" borderId="67" xfId="3119" applyFill="1" applyBorder="1" applyAlignment="1">
      <alignment horizontal="center" vertical="center" wrapText="1"/>
    </xf>
    <xf numFmtId="0" fontId="124" fillId="0" borderId="49" xfId="3119" applyBorder="1" applyAlignment="1">
      <alignment horizontal="center" vertical="center" wrapText="1"/>
    </xf>
    <xf numFmtId="0" fontId="124" fillId="0" borderId="7" xfId="3119" applyBorder="1" applyAlignment="1">
      <alignment horizontal="center" vertical="center" wrapText="1"/>
    </xf>
    <xf numFmtId="0" fontId="124" fillId="0" borderId="50" xfId="3119" applyBorder="1" applyAlignment="1">
      <alignment horizontal="center" vertical="center" wrapText="1"/>
    </xf>
    <xf numFmtId="0" fontId="102" fillId="0" borderId="49" xfId="3119" applyBorder="1" applyAlignment="1">
      <alignment horizontal="center" vertical="center" wrapText="1"/>
    </xf>
    <xf numFmtId="0" fontId="102" fillId="0" borderId="7" xfId="3119" applyBorder="1" applyAlignment="1">
      <alignment horizontal="center" vertical="center" wrapText="1"/>
    </xf>
    <xf numFmtId="0" fontId="102" fillId="0" borderId="50" xfId="3119" applyBorder="1" applyAlignment="1">
      <alignment horizontal="center" vertical="center" wrapText="1"/>
    </xf>
    <xf numFmtId="0" fontId="125" fillId="0" borderId="49" xfId="3119" applyBorder="1" applyAlignment="1">
      <alignment horizontal="center" vertical="center" wrapText="1"/>
    </xf>
    <xf numFmtId="0" fontId="125" fillId="0" borderId="7" xfId="3119" applyBorder="1" applyAlignment="1">
      <alignment horizontal="center" vertical="center" wrapText="1"/>
    </xf>
    <xf numFmtId="0" fontId="125" fillId="0" borderId="63" xfId="3119" applyBorder="1" applyAlignment="1">
      <alignment horizontal="center" vertical="center" wrapText="1"/>
    </xf>
    <xf numFmtId="0" fontId="124" fillId="0" borderId="63" xfId="3119" applyBorder="1" applyAlignment="1">
      <alignment horizontal="center" vertical="center" wrapText="1"/>
    </xf>
    <xf numFmtId="0" fontId="62" fillId="0" borderId="2" xfId="0" applyBorder="1" applyAlignment="1">
      <alignment horizontal="left" vertical="center" wrapText="1"/>
    </xf>
    <xf numFmtId="0" fontId="62" fillId="0" borderId="112" xfId="0" applyBorder="1" applyAlignment="1">
      <alignment horizontal="left" vertical="center" wrapText="1"/>
    </xf>
    <xf numFmtId="0" fontId="62" fillId="0" borderId="111" xfId="0" applyBorder="1" applyAlignment="1">
      <alignment horizontal="center" vertical="center"/>
    </xf>
    <xf numFmtId="0" fontId="62" fillId="0" borderId="2" xfId="0" applyBorder="1" applyAlignment="1">
      <alignment horizontal="left" vertical="center"/>
    </xf>
    <xf numFmtId="0" fontId="117" fillId="0" borderId="103" xfId="0" applyBorder="1" applyAlignment="1">
      <alignment horizontal="center" vertical="center" wrapText="1"/>
    </xf>
    <xf numFmtId="0" fontId="117" fillId="0" borderId="104" xfId="0" applyBorder="1" applyAlignment="1">
      <alignment horizontal="center" vertical="center" wrapText="1"/>
    </xf>
    <xf numFmtId="0" fontId="109" fillId="0" borderId="106" xfId="0" applyBorder="1" applyAlignment="1">
      <alignment horizontal="center" vertical="center" wrapText="1"/>
    </xf>
    <xf numFmtId="0" fontId="109" fillId="0" borderId="7" xfId="0" applyBorder="1" applyAlignment="1">
      <alignment horizontal="center" vertical="center" wrapText="1"/>
    </xf>
    <xf numFmtId="0" fontId="109" fillId="0" borderId="108" xfId="0" applyBorder="1" applyAlignment="1">
      <alignment horizontal="center" vertical="center" wrapText="1"/>
    </xf>
    <xf numFmtId="0" fontId="109" fillId="0" borderId="109" xfId="0" applyBorder="1" applyAlignment="1">
      <alignment horizontal="center" vertical="center" wrapText="1"/>
    </xf>
    <xf numFmtId="0" fontId="109" fillId="0" borderId="0" xfId="0" applyAlignment="1">
      <alignment wrapText="1"/>
    </xf>
    <xf numFmtId="0" fontId="109" fillId="0" borderId="0" xfId="0" applyAlignment="1">
      <alignment horizontal="left" vertical="center" wrapText="1"/>
    </xf>
    <xf numFmtId="0" fontId="62" fillId="0" borderId="104" xfId="0" applyBorder="1" applyAlignment="1">
      <alignment horizontal="center" vertical="center"/>
    </xf>
    <xf numFmtId="0" fontId="62" fillId="0" borderId="105" xfId="0" applyBorder="1" applyAlignment="1">
      <alignment horizontal="center" vertical="center"/>
    </xf>
    <xf numFmtId="0" fontId="62" fillId="0" borderId="7" xfId="0" applyBorder="1" applyAlignment="1">
      <alignment horizontal="center" vertical="center"/>
    </xf>
    <xf numFmtId="0" fontId="62" fillId="0" borderId="107" xfId="0" applyBorder="1" applyAlignment="1">
      <alignment horizontal="center" vertical="center"/>
    </xf>
    <xf numFmtId="0" fontId="2" fillId="0" borderId="7" xfId="0" applyBorder="1" applyAlignment="1">
      <alignment horizontal="left" vertical="center" wrapText="1"/>
    </xf>
    <xf numFmtId="0" fontId="2" fillId="0" borderId="107" xfId="0" applyBorder="1" applyAlignment="1">
      <alignment horizontal="left" vertical="center" wrapText="1"/>
    </xf>
    <xf numFmtId="0" fontId="2" fillId="0" borderId="109" xfId="0" applyBorder="1" applyAlignment="1">
      <alignment horizontal="left" vertical="center" wrapText="1"/>
    </xf>
    <xf numFmtId="0" fontId="2" fillId="0" borderId="110" xfId="0" applyBorder="1" applyAlignment="1">
      <alignment horizontal="left" vertical="center" wrapText="1"/>
    </xf>
    <xf numFmtId="0" fontId="62" fillId="0" borderId="112" xfId="0" applyBorder="1" applyAlignment="1">
      <alignment horizontal="left" vertical="center"/>
    </xf>
    <xf numFmtId="0" fontId="5" fillId="0" borderId="13" xfId="0" applyBorder="1" applyAlignment="1">
      <alignment horizontal="justify" vertical="center"/>
    </xf>
    <xf numFmtId="0" fontId="5" fillId="0" borderId="0" xfId="0" applyAlignment="1">
      <alignment horizontal="justify" vertical="center"/>
    </xf>
    <xf numFmtId="0" fontId="114" fillId="13" borderId="18" xfId="0" applyFill="1" applyBorder="1" applyAlignment="1">
      <alignment horizontal="center" vertical="center" wrapText="1"/>
    </xf>
    <xf numFmtId="0" fontId="114" fillId="13" borderId="17" xfId="0" applyFill="1" applyBorder="1" applyAlignment="1">
      <alignment horizontal="center" vertical="center" wrapText="1"/>
    </xf>
    <xf numFmtId="0" fontId="112" fillId="0" borderId="71" xfId="0" applyBorder="1" applyAlignment="1">
      <alignment horizontal="justify" vertical="center" wrapText="1"/>
    </xf>
    <xf numFmtId="0" fontId="112" fillId="0" borderId="14" xfId="0" applyBorder="1" applyAlignment="1">
      <alignment horizontal="justify" vertical="center" wrapText="1"/>
    </xf>
    <xf numFmtId="0" fontId="112" fillId="0" borderId="17" xfId="0" applyBorder="1" applyAlignment="1">
      <alignment horizontal="center" vertical="center" wrapText="1"/>
    </xf>
    <xf numFmtId="0" fontId="115" fillId="13" borderId="18" xfId="0" applyFill="1" applyBorder="1" applyAlignment="1">
      <alignment horizontal="center" vertical="center" wrapText="1"/>
    </xf>
    <xf numFmtId="0" fontId="115" fillId="13" borderId="17" xfId="0" applyFill="1" applyBorder="1" applyAlignment="1">
      <alignment horizontal="center" vertical="center" wrapText="1"/>
    </xf>
    <xf numFmtId="0" fontId="115" fillId="13" borderId="11" xfId="0" applyFill="1" applyBorder="1" applyAlignment="1">
      <alignment horizontal="center" vertical="center" wrapText="1"/>
    </xf>
    <xf numFmtId="0" fontId="113" fillId="13" borderId="18" xfId="0" applyFill="1" applyBorder="1" applyAlignment="1">
      <alignment horizontal="center" vertical="center" wrapText="1"/>
    </xf>
    <xf numFmtId="0" fontId="113" fillId="13" borderId="17" xfId="0" applyFill="1" applyBorder="1" applyAlignment="1">
      <alignment horizontal="center" vertical="center" wrapText="1"/>
    </xf>
    <xf numFmtId="0" fontId="112" fillId="0" borderId="68" xfId="0" applyBorder="1" applyAlignment="1">
      <alignment horizontal="justify" vertical="center" wrapText="1"/>
    </xf>
    <xf numFmtId="0" fontId="112" fillId="0" borderId="96" xfId="0" applyBorder="1" applyAlignment="1">
      <alignment horizontal="justify" vertical="center" wrapText="1"/>
    </xf>
    <xf numFmtId="0" fontId="5" fillId="0" borderId="0" xfId="0" applyFill="1" applyAlignment="1">
      <alignment vertical="center" wrapText="1"/>
    </xf>
    <xf numFmtId="0" fontId="5" fillId="0" borderId="0" xfId="0" applyFill="1" applyBorder="1" applyAlignment="1">
      <alignment horizontal="center" vertical="center" wrapText="1"/>
    </xf>
    <xf numFmtId="0" fontId="5" fillId="0" borderId="0" xfId="0" applyFill="1" applyBorder="1" applyAlignment="1">
      <alignment horizontal="left" vertical="center" wrapText="1"/>
    </xf>
    <xf numFmtId="0" fontId="90" fillId="0" borderId="0" xfId="0" applyAlignment="1">
      <alignment vertical="center" wrapText="1"/>
    </xf>
    <xf numFmtId="0" fontId="90" fillId="0" borderId="0" xfId="0" applyFill="1" applyAlignment="1">
      <alignment vertical="center" wrapText="1"/>
    </xf>
    <xf numFmtId="0" fontId="90" fillId="0" borderId="0" xfId="0" applyFill="1" applyBorder="1" applyAlignment="1">
      <alignment horizontal="center" vertical="center" wrapText="1"/>
    </xf>
    <xf numFmtId="0" fontId="70" fillId="0" borderId="65" xfId="0" applyBorder="1" applyAlignment="1">
      <alignment vertical="center" wrapText="1"/>
    </xf>
    <xf numFmtId="0" fontId="70" fillId="0" borderId="66" xfId="0" applyBorder="1" applyAlignment="1">
      <alignment vertical="center" wrapText="1"/>
    </xf>
    <xf numFmtId="0" fontId="70" fillId="0" borderId="67" xfId="0" applyBorder="1" applyAlignment="1">
      <alignment vertical="center" wrapText="1"/>
    </xf>
    <xf numFmtId="0" fontId="70" fillId="0" borderId="65" xfId="0" applyFill="1" applyBorder="1" applyAlignment="1">
      <alignment vertical="center" wrapText="1"/>
    </xf>
    <xf numFmtId="0" fontId="70" fillId="0" borderId="66" xfId="0" applyFill="1" applyBorder="1" applyAlignment="1">
      <alignment vertical="center" wrapText="1"/>
    </xf>
    <xf numFmtId="0" fontId="70" fillId="0" borderId="67" xfId="0" applyFill="1" applyBorder="1" applyAlignment="1">
      <alignment vertical="center" wrapText="1"/>
    </xf>
    <xf numFmtId="0" fontId="70" fillId="0" borderId="66" xfId="0" applyFill="1" applyBorder="1" applyAlignment="1">
      <alignment horizontal="center" vertical="center" wrapText="1"/>
    </xf>
    <xf numFmtId="0" fontId="70" fillId="0" borderId="67" xfId="0" applyFill="1" applyBorder="1" applyAlignment="1">
      <alignment horizontal="center" vertical="center" wrapText="1"/>
    </xf>
    <xf numFmtId="0" fontId="70" fillId="0" borderId="65" xfId="0" applyFill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63" xfId="0" applyBorder="1" applyAlignment="1">
      <alignment vertical="center" wrapText="1"/>
    </xf>
    <xf numFmtId="0" fontId="0" fillId="0" borderId="68" xfId="0" applyBorder="1" applyAlignment="1">
      <alignment vertical="center" wrapText="1"/>
    </xf>
    <xf numFmtId="0" fontId="0" fillId="0" borderId="69" xfId="0" applyBorder="1" applyAlignment="1">
      <alignment vertical="center" wrapText="1"/>
    </xf>
    <xf numFmtId="0" fontId="0" fillId="0" borderId="70" xfId="0" applyBorder="1" applyAlignment="1">
      <alignment vertical="center" wrapText="1"/>
    </xf>
    <xf numFmtId="0" fontId="0" fillId="0" borderId="53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71" xfId="0" applyBorder="1" applyAlignment="1">
      <alignment vertical="center" wrapText="1"/>
    </xf>
    <xf numFmtId="0" fontId="0" fillId="0" borderId="13" xfId="0" applyBorder="1" applyAlignment="1">
      <alignment vertical="center" wrapText="1"/>
    </xf>
    <xf numFmtId="0" fontId="0" fillId="0" borderId="62" xfId="0" applyBorder="1" applyAlignment="1">
      <alignment vertical="center" wrapText="1"/>
    </xf>
    <xf numFmtId="0" fontId="0" fillId="0" borderId="72" xfId="0" applyBorder="1" applyAlignment="1">
      <alignment vertical="center" wrapText="1"/>
    </xf>
    <xf numFmtId="0" fontId="0" fillId="0" borderId="73" xfId="0" applyBorder="1" applyAlignment="1">
      <alignment vertical="center" wrapText="1"/>
    </xf>
    <xf numFmtId="0" fontId="0" fillId="0" borderId="74" xfId="0" applyBorder="1" applyAlignment="1">
      <alignment vertical="center" wrapText="1"/>
    </xf>
    <xf numFmtId="0" fontId="0" fillId="0" borderId="72" xfId="0" applyFill="1" applyBorder="1" applyAlignment="1">
      <alignment vertical="center" wrapText="1"/>
    </xf>
    <xf numFmtId="0" fontId="0" fillId="0" borderId="73" xfId="0" applyFill="1" applyBorder="1" applyAlignment="1">
      <alignment vertical="center" wrapText="1"/>
    </xf>
    <xf numFmtId="0" fontId="0" fillId="0" borderId="74" xfId="0" applyFill="1" applyBorder="1" applyAlignment="1">
      <alignment vertical="center" wrapText="1"/>
    </xf>
    <xf numFmtId="0" fontId="0" fillId="0" borderId="49" xfId="0" applyFill="1" applyBorder="1" applyAlignment="1">
      <alignment vertical="center" wrapText="1"/>
    </xf>
    <xf numFmtId="0" fontId="0" fillId="0" borderId="7" xfId="0" applyFill="1" applyBorder="1" applyAlignment="1">
      <alignment vertical="center" wrapText="1"/>
    </xf>
    <xf numFmtId="0" fontId="0" fillId="0" borderId="63" xfId="0" applyFill="1" applyBorder="1" applyAlignment="1">
      <alignment vertical="center" wrapText="1"/>
    </xf>
    <xf numFmtId="0" fontId="0" fillId="0" borderId="68" xfId="0" applyFill="1" applyBorder="1" applyAlignment="1">
      <alignment vertical="center" wrapText="1"/>
    </xf>
    <xf numFmtId="0" fontId="0" fillId="0" borderId="69" xfId="0" applyFill="1" applyBorder="1" applyAlignment="1">
      <alignment vertical="center" wrapText="1"/>
    </xf>
    <xf numFmtId="0" fontId="0" fillId="0" borderId="70" xfId="0" applyFill="1" applyBorder="1" applyAlignment="1">
      <alignment vertical="center" wrapText="1"/>
    </xf>
    <xf numFmtId="0" fontId="0" fillId="0" borderId="53" xfId="0" applyFill="1" applyBorder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25" xfId="0" applyFill="1" applyBorder="1" applyAlignment="1">
      <alignment vertical="center" wrapText="1"/>
    </xf>
    <xf numFmtId="0" fontId="0" fillId="0" borderId="71" xfId="0" applyFill="1" applyBorder="1" applyAlignment="1">
      <alignment vertical="center" wrapText="1"/>
    </xf>
    <xf numFmtId="0" fontId="0" fillId="0" borderId="13" xfId="0" applyFill="1" applyBorder="1" applyAlignment="1">
      <alignment vertical="center" wrapText="1"/>
    </xf>
    <xf numFmtId="0" fontId="0" fillId="0" borderId="62" xfId="0" applyFill="1" applyBorder="1" applyAlignment="1">
      <alignment vertical="center" wrapText="1"/>
    </xf>
    <xf numFmtId="0" fontId="0" fillId="0" borderId="49" xfId="0" applyFill="1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0" fontId="0" fillId="0" borderId="63" xfId="0" applyFill="1" applyBorder="1" applyAlignment="1">
      <alignment horizontal="center" vertical="center" wrapText="1"/>
    </xf>
    <xf numFmtId="0" fontId="0" fillId="0" borderId="68" xfId="0" applyFill="1" applyBorder="1" applyAlignment="1">
      <alignment horizontal="center" vertical="center" wrapText="1"/>
    </xf>
    <xf numFmtId="0" fontId="0" fillId="0" borderId="69" xfId="0" applyFill="1" applyBorder="1" applyAlignment="1">
      <alignment horizontal="center" vertical="center" wrapText="1"/>
    </xf>
    <xf numFmtId="0" fontId="0" fillId="0" borderId="70" xfId="0" applyFill="1" applyBorder="1" applyAlignment="1">
      <alignment horizontal="center" vertical="center" wrapText="1"/>
    </xf>
    <xf numFmtId="0" fontId="0" fillId="0" borderId="72" xfId="0" applyFill="1" applyBorder="1" applyAlignment="1">
      <alignment horizontal="center" vertical="center" wrapText="1"/>
    </xf>
    <xf numFmtId="0" fontId="0" fillId="0" borderId="73" xfId="0" applyFill="1" applyBorder="1" applyAlignment="1">
      <alignment horizontal="center" vertical="center" wrapText="1"/>
    </xf>
    <xf numFmtId="0" fontId="0" fillId="0" borderId="74" xfId="0" applyFill="1" applyBorder="1" applyAlignment="1">
      <alignment horizontal="center" vertical="center" wrapText="1"/>
    </xf>
    <xf numFmtId="0" fontId="0" fillId="0" borderId="55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57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55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0" fillId="0" borderId="57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90" xfId="0" applyFill="1" applyBorder="1" applyAlignment="1">
      <alignment horizontal="center" vertical="center" wrapText="1"/>
    </xf>
    <xf numFmtId="0" fontId="0" fillId="0" borderId="50" xfId="0" applyFill="1" applyBorder="1" applyAlignment="1">
      <alignment horizontal="center" vertical="center" wrapText="1"/>
    </xf>
    <xf numFmtId="0" fontId="0" fillId="0" borderId="88" xfId="0" applyFill="1" applyBorder="1" applyAlignment="1">
      <alignment horizontal="center" vertical="center" wrapText="1"/>
    </xf>
    <xf numFmtId="0" fontId="0" fillId="0" borderId="89" xfId="0" applyFill="1" applyBorder="1" applyAlignment="1">
      <alignment horizontal="center" vertical="center" wrapText="1"/>
    </xf>
    <xf numFmtId="0" fontId="54" fillId="0" borderId="2" xfId="0" applyBorder="1" applyAlignment="1">
      <alignment vertical="center" wrapText="1"/>
    </xf>
    <xf numFmtId="0" fontId="54" fillId="0" borderId="2" xfId="0" applyFill="1" applyBorder="1" applyAlignment="1">
      <alignment vertical="center" wrapText="1"/>
    </xf>
    <xf numFmtId="0" fontId="0" fillId="0" borderId="99" xfId="0" applyFill="1" applyBorder="1" applyAlignment="1">
      <alignment horizontal="center" vertical="center" wrapText="1"/>
    </xf>
    <xf numFmtId="0" fontId="54" fillId="0" borderId="69" xfId="0" applyFill="1" applyBorder="1" applyAlignment="1">
      <alignment horizontal="center" vertical="center" wrapText="1"/>
    </xf>
    <xf numFmtId="0" fontId="54" fillId="0" borderId="96" xfId="0" applyFill="1" applyBorder="1" applyAlignment="1">
      <alignment horizontal="center" vertical="center" wrapText="1"/>
    </xf>
    <xf numFmtId="0" fontId="0" fillId="0" borderId="24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54" fillId="0" borderId="0" xfId="0" applyFill="1" applyBorder="1" applyAlignment="1">
      <alignment horizontal="center" vertical="center" wrapText="1"/>
    </xf>
    <xf numFmtId="0" fontId="54" fillId="0" borderId="95" xfId="0" applyFill="1" applyBorder="1" applyAlignment="1">
      <alignment horizontal="center" vertical="center" wrapText="1"/>
    </xf>
    <xf numFmtId="0" fontId="0" fillId="0" borderId="98" xfId="0" applyFill="1" applyBorder="1" applyAlignment="1">
      <alignment horizontal="center" vertical="center" wrapText="1"/>
    </xf>
    <xf numFmtId="0" fontId="0" fillId="0" borderId="13" xfId="0" applyFill="1" applyBorder="1" applyAlignment="1">
      <alignment horizontal="center" vertical="center" wrapText="1"/>
    </xf>
    <xf numFmtId="0" fontId="54" fillId="0" borderId="13" xfId="0" applyFill="1" applyBorder="1" applyAlignment="1">
      <alignment horizontal="center" vertical="center" wrapText="1"/>
    </xf>
    <xf numFmtId="0" fontId="54" fillId="0" borderId="14" xfId="0" applyFill="1" applyBorder="1" applyAlignment="1">
      <alignment horizontal="center" vertical="center" wrapText="1"/>
    </xf>
    <xf numFmtId="0" fontId="54" fillId="0" borderId="99" xfId="0" applyFill="1" applyBorder="1" applyAlignment="1">
      <alignment horizontal="center" vertical="center" wrapText="1"/>
    </xf>
    <xf numFmtId="0" fontId="0" fillId="0" borderId="96" xfId="0" applyFill="1" applyBorder="1" applyAlignment="1">
      <alignment horizontal="center" vertical="center" wrapText="1"/>
    </xf>
    <xf numFmtId="0" fontId="0" fillId="0" borderId="95" xfId="0" applyFill="1" applyBorder="1" applyAlignment="1">
      <alignment horizontal="center" vertical="center" wrapText="1"/>
    </xf>
    <xf numFmtId="0" fontId="0" fillId="0" borderId="14" xfId="0" applyFill="1" applyBorder="1" applyAlignment="1">
      <alignment horizontal="center" vertical="center" wrapText="1"/>
    </xf>
    <xf numFmtId="0" fontId="70" fillId="0" borderId="59" xfId="0" applyFill="1" applyBorder="1" applyAlignment="1">
      <alignment horizontal="center" vertical="center" wrapText="1"/>
    </xf>
    <xf numFmtId="0" fontId="0" fillId="0" borderId="24" xfId="0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0" fillId="0" borderId="98" xfId="0" applyFill="1" applyBorder="1" applyAlignment="1">
      <alignment vertical="center" wrapText="1"/>
    </xf>
    <xf numFmtId="0" fontId="0" fillId="0" borderId="53" xfId="0" applyFill="1" applyBorder="1" applyAlignment="1">
      <alignment horizontal="center" vertical="center" wrapText="1"/>
    </xf>
    <xf numFmtId="0" fontId="0" fillId="0" borderId="71" xfId="0" applyFill="1" applyBorder="1" applyAlignment="1">
      <alignment horizontal="center" vertical="center" wrapText="1"/>
    </xf>
    <xf numFmtId="0" fontId="0" fillId="0" borderId="68" xfId="0" applyFill="1" applyBorder="1" applyAlignment="1">
      <alignment horizontal="left" vertical="center" wrapText="1"/>
    </xf>
    <xf numFmtId="0" fontId="0" fillId="0" borderId="69" xfId="0" applyFill="1" applyBorder="1" applyAlignment="1">
      <alignment horizontal="left" vertical="center" wrapText="1"/>
    </xf>
    <xf numFmtId="0" fontId="0" fillId="0" borderId="96" xfId="0" applyFill="1" applyBorder="1" applyAlignment="1">
      <alignment horizontal="left" vertical="center" wrapText="1"/>
    </xf>
    <xf numFmtId="0" fontId="0" fillId="0" borderId="53" xfId="0" applyFill="1" applyBorder="1" applyAlignment="1">
      <alignment horizontal="left" vertical="center" wrapText="1"/>
    </xf>
    <xf numFmtId="0" fontId="0" fillId="0" borderId="0" xfId="0" applyFill="1" applyBorder="1" applyAlignment="1">
      <alignment horizontal="left" vertical="center" wrapText="1"/>
    </xf>
    <xf numFmtId="0" fontId="0" fillId="0" borderId="95" xfId="0" applyFill="1" applyBorder="1" applyAlignment="1">
      <alignment horizontal="left" vertical="center" wrapText="1"/>
    </xf>
    <xf numFmtId="0" fontId="0" fillId="0" borderId="71" xfId="0" applyFill="1" applyBorder="1" applyAlignment="1">
      <alignment horizontal="left" vertical="center" wrapText="1"/>
    </xf>
    <xf numFmtId="0" fontId="0" fillId="0" borderId="13" xfId="0" applyFill="1" applyBorder="1" applyAlignment="1">
      <alignment horizontal="left" vertical="center" wrapText="1"/>
    </xf>
    <xf numFmtId="0" fontId="0" fillId="0" borderId="14" xfId="0" applyFill="1" applyBorder="1" applyAlignment="1">
      <alignment horizontal="left" vertical="center" wrapText="1"/>
    </xf>
    <xf numFmtId="0" fontId="0" fillId="0" borderId="66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96" xfId="0" applyFill="1" applyBorder="1" applyAlignment="1">
      <alignment vertical="center" wrapText="1"/>
    </xf>
    <xf numFmtId="0" fontId="0" fillId="0" borderId="95" xfId="0" applyFill="1" applyBorder="1" applyAlignment="1">
      <alignment vertical="center" wrapText="1"/>
    </xf>
    <xf numFmtId="0" fontId="0" fillId="0" borderId="14" xfId="0" applyFill="1" applyBorder="1" applyAlignment="1">
      <alignment vertical="center" wrapText="1"/>
    </xf>
    <xf numFmtId="0" fontId="0" fillId="0" borderId="25" xfId="0" applyFill="1" applyBorder="1" applyAlignment="1">
      <alignment horizontal="center" vertical="center" wrapText="1"/>
    </xf>
    <xf numFmtId="0" fontId="0" fillId="0" borderId="62" xfId="0" applyFill="1" applyBorder="1" applyAlignment="1">
      <alignment horizontal="center" vertical="center" wrapText="1"/>
    </xf>
    <xf numFmtId="0" fontId="0" fillId="0" borderId="66" xfId="0" applyBorder="1" applyAlignment="1">
      <alignment vertical="center" wrapText="1"/>
    </xf>
    <xf numFmtId="0" fontId="0" fillId="0" borderId="60" xfId="0" applyBorder="1" applyAlignment="1">
      <alignment vertical="center" wrapText="1"/>
    </xf>
    <xf numFmtId="0" fontId="0" fillId="0" borderId="66" xfId="0" applyFill="1" applyBorder="1" applyAlignment="1">
      <alignment vertical="center" wrapText="1"/>
    </xf>
    <xf numFmtId="0" fontId="0" fillId="0" borderId="60" xfId="0" applyFill="1" applyBorder="1" applyAlignment="1">
      <alignment vertical="center" wrapText="1"/>
    </xf>
    <xf numFmtId="0" fontId="0" fillId="0" borderId="66" xfId="0" applyFill="1" applyBorder="1" applyAlignment="1">
      <alignment horizontal="center" vertical="center" wrapText="1"/>
    </xf>
    <xf numFmtId="0" fontId="179" fillId="0" borderId="122" xfId="0" applyNumberFormat="1" applyFill="1" applyBorder="1" applyAlignment="1">
      <alignment vertical="center"/>
    </xf>
    <xf numFmtId="0" fontId="62" fillId="0" borderId="122" xfId="0" applyNumberForma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70" fillId="0" borderId="123" xfId="0" applyFill="1" applyBorder="1" applyAlignment="1">
      <alignment horizontal="center" vertical="center" wrapText="1"/>
    </xf>
    <xf numFmtId="0" fontId="0" fillId="0" borderId="0" xfId="0" applyBorder="1" applyAlignment="1"/>
    <xf numFmtId="0" fontId="0" fillId="0" borderId="124" xfId="0" applyFill="1" applyBorder="1" applyAlignment="1">
      <alignment horizontal="center" vertical="center" wrapText="1"/>
    </xf>
    <xf numFmtId="0" fontId="0" fillId="0" borderId="125" xfId="0" applyFill="1" applyBorder="1" applyAlignment="1">
      <alignment horizontal="center" vertical="center" wrapText="1"/>
    </xf>
    <xf numFmtId="0" fontId="0" fillId="0" borderId="126" xfId="0" applyFill="1" applyBorder="1" applyAlignment="1">
      <alignment horizontal="center" vertical="center" wrapText="1"/>
    </xf>
    <xf numFmtId="0" fontId="0" fillId="0" borderId="125" xfId="0" applyFill="1" applyBorder="1" applyAlignment="1">
      <alignment vertical="center" wrapText="1"/>
    </xf>
    <xf numFmtId="0" fontId="0" fillId="0" borderId="126" xfId="0" applyFill="1" applyBorder="1" applyAlignment="1">
      <alignment vertical="center" wrapText="1"/>
    </xf>
    <xf numFmtId="0" fontId="0" fillId="0" borderId="127" xfId="0" applyFill="1" applyBorder="1" applyAlignment="1">
      <alignment horizontal="center" vertical="center" wrapText="1"/>
    </xf>
    <xf numFmtId="0" fontId="0" fillId="0" borderId="99" xfId="0" applyFill="1" applyBorder="1" applyAlignment="1">
      <alignment horizontal="center" vertical="center" wrapText="1"/>
    </xf>
    <xf numFmtId="0" fontId="0" fillId="0" borderId="69" xfId="0" applyFill="1" applyBorder="1" applyAlignment="1">
      <alignment horizontal="center" vertical="center" wrapText="1"/>
    </xf>
    <xf numFmtId="0" fontId="0" fillId="0" borderId="96" xfId="0" applyFill="1" applyBorder="1" applyAlignment="1">
      <alignment horizontal="center" vertical="center" wrapText="1"/>
    </xf>
    <xf numFmtId="0" fontId="0" fillId="0" borderId="24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95" xfId="0" applyFill="1" applyBorder="1" applyAlignment="1">
      <alignment horizontal="center" vertical="center" wrapText="1"/>
    </xf>
    <xf numFmtId="0" fontId="0" fillId="0" borderId="98" xfId="0" applyFill="1" applyBorder="1" applyAlignment="1">
      <alignment horizontal="center" vertical="center" wrapText="1"/>
    </xf>
    <xf numFmtId="0" fontId="0" fillId="0" borderId="13" xfId="0" applyFill="1" applyBorder="1" applyAlignment="1">
      <alignment horizontal="center" vertical="center" wrapText="1"/>
    </xf>
    <xf numFmtId="0" fontId="0" fillId="0" borderId="14" xfId="0" applyFill="1" applyBorder="1" applyAlignment="1">
      <alignment horizontal="center" vertical="center" wrapText="1"/>
    </xf>
    <xf numFmtId="0" fontId="0" fillId="0" borderId="49" xfId="0" applyFill="1" applyBorder="1" applyAlignment="1">
      <alignment horizontal="left" vertical="center" wrapText="1"/>
    </xf>
    <xf numFmtId="0" fontId="0" fillId="0" borderId="7" xfId="0" applyFill="1" applyBorder="1" applyAlignment="1">
      <alignment horizontal="left" vertical="center" wrapText="1"/>
    </xf>
    <xf numFmtId="0" fontId="0" fillId="0" borderId="72" xfId="0" applyFill="1" applyBorder="1" applyAlignment="1">
      <alignment horizontal="left" vertical="center" wrapText="1"/>
    </xf>
    <xf numFmtId="0" fontId="0" fillId="0" borderId="73" xfId="0" applyFill="1" applyBorder="1" applyAlignment="1">
      <alignment horizontal="left" vertical="center" wrapText="1"/>
    </xf>
    <xf numFmtId="0" fontId="0" fillId="0" borderId="99" xfId="0" applyFill="1" applyBorder="1" applyAlignment="1">
      <alignment horizontal="center" vertical="distributed" wrapText="1"/>
    </xf>
    <xf numFmtId="0" fontId="0" fillId="0" borderId="69" xfId="0" applyFill="1" applyBorder="1" applyAlignment="1">
      <alignment horizontal="center" vertical="distributed" wrapText="1"/>
    </xf>
    <xf numFmtId="0" fontId="0" fillId="0" borderId="96" xfId="0" applyFill="1" applyBorder="1" applyAlignment="1">
      <alignment horizontal="center" vertical="distributed" wrapText="1"/>
    </xf>
    <xf numFmtId="0" fontId="0" fillId="0" borderId="68" xfId="0" applyFill="1" applyBorder="1" applyAlignment="1">
      <alignment horizontal="left" vertical="distributed" wrapText="1"/>
    </xf>
    <xf numFmtId="0" fontId="0" fillId="0" borderId="69" xfId="0" applyFill="1" applyBorder="1" applyAlignment="1">
      <alignment horizontal="left" vertical="distributed" wrapText="1"/>
    </xf>
    <xf numFmtId="0" fontId="0" fillId="0" borderId="24" xfId="0" applyFill="1" applyBorder="1" applyAlignment="1">
      <alignment horizontal="center" vertical="distributed" wrapText="1"/>
    </xf>
    <xf numFmtId="0" fontId="0" fillId="0" borderId="0" xfId="0" applyFill="1" applyBorder="1" applyAlignment="1">
      <alignment horizontal="center" vertical="distributed" wrapText="1"/>
    </xf>
    <xf numFmtId="0" fontId="0" fillId="0" borderId="95" xfId="0" applyFill="1" applyBorder="1" applyAlignment="1">
      <alignment horizontal="center" vertical="distributed" wrapText="1"/>
    </xf>
    <xf numFmtId="0" fontId="0" fillId="0" borderId="53" xfId="0" applyFill="1" applyBorder="1" applyAlignment="1">
      <alignment horizontal="left" vertical="distributed" wrapText="1"/>
    </xf>
    <xf numFmtId="0" fontId="0" fillId="0" borderId="0" xfId="0" applyFill="1" applyBorder="1" applyAlignment="1">
      <alignment horizontal="left" vertical="distributed" wrapText="1"/>
    </xf>
    <xf numFmtId="0" fontId="0" fillId="0" borderId="98" xfId="0" applyFill="1" applyBorder="1" applyAlignment="1">
      <alignment horizontal="center" vertical="distributed" wrapText="1"/>
    </xf>
    <xf numFmtId="0" fontId="0" fillId="0" borderId="13" xfId="0" applyFill="1" applyBorder="1" applyAlignment="1">
      <alignment horizontal="center" vertical="distributed" wrapText="1"/>
    </xf>
    <xf numFmtId="0" fontId="0" fillId="0" borderId="14" xfId="0" applyFill="1" applyBorder="1" applyAlignment="1">
      <alignment horizontal="center" vertical="distributed" wrapText="1"/>
    </xf>
    <xf numFmtId="0" fontId="0" fillId="0" borderId="71" xfId="0" applyFill="1" applyBorder="1" applyAlignment="1">
      <alignment horizontal="left" vertical="distributed" wrapText="1"/>
    </xf>
    <xf numFmtId="0" fontId="0" fillId="0" borderId="13" xfId="0" applyFill="1" applyBorder="1" applyAlignment="1">
      <alignment horizontal="left" vertical="distributed" wrapText="1"/>
    </xf>
    <xf numFmtId="0" fontId="54" fillId="0" borderId="13" xfId="0" applyFill="1" applyBorder="1" applyAlignment="1">
      <alignment horizontal="center" vertical="distributed" wrapText="1"/>
    </xf>
    <xf numFmtId="0" fontId="54" fillId="0" borderId="14" xfId="0" applyFill="1" applyBorder="1" applyAlignment="1">
      <alignment horizontal="center" vertical="distributed" wrapText="1"/>
    </xf>
    <xf numFmtId="0" fontId="54" fillId="0" borderId="69" xfId="0" applyFill="1" applyBorder="1" applyAlignment="1">
      <alignment horizontal="center" vertical="distributed" wrapText="1"/>
    </xf>
    <xf numFmtId="0" fontId="54" fillId="0" borderId="96" xfId="0" applyFill="1" applyBorder="1" applyAlignment="1">
      <alignment horizontal="center" vertical="distributed" wrapText="1"/>
    </xf>
    <xf numFmtId="0" fontId="0" fillId="0" borderId="99" xfId="0" applyFill="1" applyBorder="1" applyAlignment="1">
      <alignment horizontal="center" vertical="distributed" wrapText="1"/>
    </xf>
    <xf numFmtId="0" fontId="0" fillId="0" borderId="69" xfId="0" applyFill="1" applyBorder="1" applyAlignment="1">
      <alignment horizontal="center" vertical="distributed" wrapText="1"/>
    </xf>
    <xf numFmtId="0" fontId="0" fillId="0" borderId="96" xfId="0" applyFill="1" applyBorder="1" applyAlignment="1">
      <alignment horizontal="center" vertical="distributed" wrapText="1"/>
    </xf>
    <xf numFmtId="0" fontId="0" fillId="0" borderId="24" xfId="0" applyFill="1" applyBorder="1" applyAlignment="1">
      <alignment horizontal="center" vertical="distributed" wrapText="1"/>
    </xf>
    <xf numFmtId="0" fontId="0" fillId="0" borderId="0" xfId="0" applyFill="1" applyBorder="1" applyAlignment="1">
      <alignment horizontal="center" vertical="distributed" wrapText="1"/>
    </xf>
    <xf numFmtId="0" fontId="0" fillId="0" borderId="95" xfId="0" applyFill="1" applyBorder="1" applyAlignment="1">
      <alignment horizontal="center" vertical="distributed" wrapText="1"/>
    </xf>
    <xf numFmtId="0" fontId="0" fillId="0" borderId="98" xfId="0" applyFill="1" applyBorder="1" applyAlignment="1">
      <alignment horizontal="center" vertical="distributed" wrapText="1"/>
    </xf>
    <xf numFmtId="0" fontId="0" fillId="0" borderId="13" xfId="0" applyFill="1" applyBorder="1" applyAlignment="1">
      <alignment horizontal="center" vertical="distributed" wrapText="1"/>
    </xf>
    <xf numFmtId="0" fontId="0" fillId="0" borderId="14" xfId="0" applyFill="1" applyBorder="1" applyAlignment="1">
      <alignment horizontal="center" vertical="distributed" wrapText="1"/>
    </xf>
    <xf numFmtId="0" fontId="0" fillId="0" borderId="90" xfId="0" applyFill="1" applyBorder="1" applyAlignment="1">
      <alignment horizontal="center" vertical="distributed" wrapText="1"/>
    </xf>
    <xf numFmtId="0" fontId="0" fillId="0" borderId="7" xfId="0" applyFill="1" applyBorder="1" applyAlignment="1">
      <alignment horizontal="center" vertical="distributed" wrapText="1"/>
    </xf>
    <xf numFmtId="0" fontId="0" fillId="0" borderId="50" xfId="0" applyFill="1" applyBorder="1" applyAlignment="1">
      <alignment horizontal="center" vertical="distributed" wrapText="1"/>
    </xf>
    <xf numFmtId="0" fontId="0" fillId="0" borderId="49" xfId="0" applyFill="1" applyBorder="1" applyAlignment="1">
      <alignment horizontal="left" vertical="distributed" wrapText="1"/>
    </xf>
    <xf numFmtId="0" fontId="0" fillId="0" borderId="7" xfId="0" applyFill="1" applyBorder="1" applyAlignment="1">
      <alignment horizontal="left" vertical="distributed" wrapText="1"/>
    </xf>
    <xf numFmtId="0" fontId="0" fillId="0" borderId="88" xfId="0" applyFill="1" applyBorder="1" applyAlignment="1">
      <alignment horizontal="center" vertical="distributed" wrapText="1"/>
    </xf>
    <xf numFmtId="0" fontId="0" fillId="0" borderId="73" xfId="0" applyFill="1" applyBorder="1" applyAlignment="1">
      <alignment horizontal="center" vertical="distributed" wrapText="1"/>
    </xf>
    <xf numFmtId="0" fontId="0" fillId="0" borderId="89" xfId="0" applyFill="1" applyBorder="1" applyAlignment="1">
      <alignment horizontal="center" vertical="distributed" wrapText="1"/>
    </xf>
    <xf numFmtId="0" fontId="0" fillId="0" borderId="72" xfId="0" applyFill="1" applyBorder="1" applyAlignment="1">
      <alignment horizontal="left" vertical="distributed" wrapText="1"/>
    </xf>
    <xf numFmtId="0" fontId="0" fillId="0" borderId="73" xfId="0" applyFill="1" applyBorder="1" applyAlignment="1">
      <alignment horizontal="left" vertical="distributed" wrapText="1"/>
    </xf>
    <xf numFmtId="0" fontId="0" fillId="0" borderId="99" xfId="0" applyFill="1" applyBorder="1" applyAlignment="1">
      <alignment horizontal="centerContinuous" vertical="center" wrapText="1"/>
    </xf>
    <xf numFmtId="0" fontId="0" fillId="0" borderId="69" xfId="0" applyFill="1" applyBorder="1" applyAlignment="1">
      <alignment horizontal="centerContinuous" vertical="center" wrapText="1"/>
    </xf>
    <xf numFmtId="0" fontId="0" fillId="0" borderId="96" xfId="0" applyFill="1" applyBorder="1" applyAlignment="1">
      <alignment horizontal="centerContinuous" vertical="center" wrapText="1"/>
    </xf>
    <xf numFmtId="0" fontId="0" fillId="0" borderId="68" xfId="0" applyFill="1" applyBorder="1" applyAlignment="1">
      <alignment horizontal="centerContinuous" vertical="center" wrapText="1"/>
    </xf>
    <xf numFmtId="0" fontId="0" fillId="0" borderId="24" xfId="0" applyFill="1" applyBorder="1" applyAlignment="1">
      <alignment horizontal="centerContinuous" vertical="center" wrapText="1"/>
    </xf>
    <xf numFmtId="0" fontId="0" fillId="0" borderId="0" xfId="0" applyFill="1" applyBorder="1" applyAlignment="1">
      <alignment horizontal="centerContinuous" vertical="center" wrapText="1"/>
    </xf>
    <xf numFmtId="0" fontId="0" fillId="0" borderId="95" xfId="0" applyFill="1" applyBorder="1" applyAlignment="1">
      <alignment horizontal="centerContinuous" vertical="center" wrapText="1"/>
    </xf>
    <xf numFmtId="0" fontId="0" fillId="0" borderId="53" xfId="0" applyFill="1" applyBorder="1" applyAlignment="1">
      <alignment horizontal="centerContinuous" vertical="center" wrapText="1"/>
    </xf>
    <xf numFmtId="0" fontId="0" fillId="0" borderId="98" xfId="0" applyFill="1" applyBorder="1" applyAlignment="1">
      <alignment horizontal="centerContinuous" vertical="center" wrapText="1"/>
    </xf>
    <xf numFmtId="0" fontId="0" fillId="0" borderId="13" xfId="0" applyFill="1" applyBorder="1" applyAlignment="1">
      <alignment horizontal="centerContinuous" vertical="center" wrapText="1"/>
    </xf>
    <xf numFmtId="0" fontId="0" fillId="0" borderId="14" xfId="0" applyFill="1" applyBorder="1" applyAlignment="1">
      <alignment horizontal="centerContinuous" vertical="center" wrapText="1"/>
    </xf>
    <xf numFmtId="0" fontId="0" fillId="0" borderId="71" xfId="0" applyFill="1" applyBorder="1" applyAlignment="1">
      <alignment horizontal="centerContinuous" vertical="center" wrapText="1"/>
    </xf>
    <xf numFmtId="0" fontId="54" fillId="0" borderId="13" xfId="0" applyFill="1" applyBorder="1" applyAlignment="1">
      <alignment horizontal="centerContinuous" vertical="center" wrapText="1"/>
    </xf>
    <xf numFmtId="0" fontId="54" fillId="0" borderId="14" xfId="0" applyFill="1" applyBorder="1" applyAlignment="1">
      <alignment horizontal="centerContinuous" vertical="center" wrapText="1"/>
    </xf>
    <xf numFmtId="0" fontId="54" fillId="0" borderId="69" xfId="0" applyFill="1" applyBorder="1" applyAlignment="1">
      <alignment horizontal="centerContinuous" vertical="center" wrapText="1"/>
    </xf>
    <xf numFmtId="0" fontId="54" fillId="0" borderId="96" xfId="0" applyFill="1" applyBorder="1" applyAlignment="1">
      <alignment horizontal="centerContinuous" vertical="center" wrapText="1"/>
    </xf>
    <xf numFmtId="0" fontId="0" fillId="0" borderId="99" xfId="0" applyFill="1" applyBorder="1" applyAlignment="1">
      <alignment horizontal="centerContinuous" vertical="center" wrapText="1"/>
    </xf>
    <xf numFmtId="0" fontId="0" fillId="0" borderId="69" xfId="0" applyFill="1" applyBorder="1" applyAlignment="1">
      <alignment horizontal="centerContinuous" vertical="center" wrapText="1"/>
    </xf>
    <xf numFmtId="0" fontId="0" fillId="0" borderId="96" xfId="0" applyFill="1" applyBorder="1" applyAlignment="1">
      <alignment horizontal="centerContinuous" vertical="center" wrapText="1"/>
    </xf>
    <xf numFmtId="0" fontId="0" fillId="0" borderId="24" xfId="0" applyFill="1" applyBorder="1" applyAlignment="1">
      <alignment horizontal="centerContinuous" vertical="center" wrapText="1"/>
    </xf>
    <xf numFmtId="0" fontId="0" fillId="0" borderId="0" xfId="0" applyFill="1" applyBorder="1" applyAlignment="1">
      <alignment horizontal="centerContinuous" vertical="center" wrapText="1"/>
    </xf>
    <xf numFmtId="0" fontId="0" fillId="0" borderId="95" xfId="0" applyFill="1" applyBorder="1" applyAlignment="1">
      <alignment horizontal="centerContinuous" vertical="center" wrapText="1"/>
    </xf>
    <xf numFmtId="0" fontId="0" fillId="0" borderId="98" xfId="0" applyFill="1" applyBorder="1" applyAlignment="1">
      <alignment horizontal="centerContinuous" vertical="center" wrapText="1"/>
    </xf>
    <xf numFmtId="0" fontId="0" fillId="0" borderId="13" xfId="0" applyFill="1" applyBorder="1" applyAlignment="1">
      <alignment horizontal="centerContinuous" vertical="center" wrapText="1"/>
    </xf>
    <xf numFmtId="0" fontId="0" fillId="0" borderId="14" xfId="0" applyFill="1" applyBorder="1" applyAlignment="1">
      <alignment horizontal="centerContinuous" vertical="center" wrapText="1"/>
    </xf>
    <xf numFmtId="0" fontId="0" fillId="0" borderId="90" xfId="0" applyFill="1" applyBorder="1" applyAlignment="1">
      <alignment horizontal="centerContinuous" vertical="center" wrapText="1"/>
    </xf>
    <xf numFmtId="0" fontId="0" fillId="0" borderId="7" xfId="0" applyFill="1" applyBorder="1" applyAlignment="1">
      <alignment horizontal="centerContinuous" vertical="center" wrapText="1"/>
    </xf>
    <xf numFmtId="0" fontId="0" fillId="0" borderId="50" xfId="0" applyFill="1" applyBorder="1" applyAlignment="1">
      <alignment horizontal="centerContinuous" vertical="center" wrapText="1"/>
    </xf>
    <xf numFmtId="0" fontId="0" fillId="0" borderId="49" xfId="0" applyFill="1" applyBorder="1" applyAlignment="1">
      <alignment horizontal="centerContinuous" vertical="center" wrapText="1"/>
    </xf>
    <xf numFmtId="0" fontId="0" fillId="0" borderId="88" xfId="0" applyFill="1" applyBorder="1" applyAlignment="1">
      <alignment horizontal="centerContinuous" vertical="center" wrapText="1"/>
    </xf>
    <xf numFmtId="0" fontId="0" fillId="0" borderId="73" xfId="0" applyFill="1" applyBorder="1" applyAlignment="1">
      <alignment horizontal="centerContinuous" vertical="center" wrapText="1"/>
    </xf>
    <xf numFmtId="0" fontId="0" fillId="0" borderId="89" xfId="0" applyFill="1" applyBorder="1" applyAlignment="1">
      <alignment horizontal="centerContinuous" vertical="center" wrapText="1"/>
    </xf>
    <xf numFmtId="0" fontId="0" fillId="0" borderId="72" xfId="0" applyFill="1" applyBorder="1" applyAlignment="1">
      <alignment horizontal="centerContinuous" vertical="center" wrapText="1"/>
    </xf>
    <xf numFmtId="0" fontId="0" fillId="0" borderId="99" xfId="0" applyFill="1" applyBorder="1" applyAlignment="1">
      <alignment vertical="center" wrapText="1"/>
    </xf>
    <xf numFmtId="0" fontId="54" fillId="0" borderId="13" xfId="0" applyFill="1" applyBorder="1" applyAlignment="1">
      <alignment vertical="center" wrapText="1"/>
    </xf>
    <xf numFmtId="0" fontId="54" fillId="0" borderId="14" xfId="0" applyFill="1" applyBorder="1" applyAlignment="1">
      <alignment vertical="center" wrapText="1"/>
    </xf>
    <xf numFmtId="0" fontId="54" fillId="0" borderId="69" xfId="0" applyFill="1" applyBorder="1" applyAlignment="1">
      <alignment vertical="center" wrapText="1"/>
    </xf>
    <xf numFmtId="0" fontId="54" fillId="0" borderId="96" xfId="0" applyFill="1" applyBorder="1" applyAlignment="1">
      <alignment vertical="center" wrapText="1"/>
    </xf>
    <xf numFmtId="0" fontId="0" fillId="0" borderId="99" xfId="0" applyFill="1" applyBorder="1" applyAlignment="1">
      <alignment vertical="center" wrapText="1"/>
    </xf>
    <xf numFmtId="0" fontId="0" fillId="0" borderId="69" xfId="0" applyFill="1" applyBorder="1" applyAlignment="1">
      <alignment vertical="center" wrapText="1"/>
    </xf>
    <xf numFmtId="0" fontId="0" fillId="0" borderId="96" xfId="0" applyFill="1" applyBorder="1" applyAlignment="1">
      <alignment vertical="center" wrapText="1"/>
    </xf>
    <xf numFmtId="0" fontId="0" fillId="0" borderId="24" xfId="0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0" fillId="0" borderId="95" xfId="0" applyFill="1" applyBorder="1" applyAlignment="1">
      <alignment vertical="center" wrapText="1"/>
    </xf>
    <xf numFmtId="0" fontId="0" fillId="0" borderId="98" xfId="0" applyFill="1" applyBorder="1" applyAlignment="1">
      <alignment vertical="center" wrapText="1"/>
    </xf>
    <xf numFmtId="0" fontId="0" fillId="0" borderId="13" xfId="0" applyFill="1" applyBorder="1" applyAlignment="1">
      <alignment vertical="center" wrapText="1"/>
    </xf>
    <xf numFmtId="0" fontId="0" fillId="0" borderId="14" xfId="0" applyFill="1" applyBorder="1" applyAlignment="1">
      <alignment vertical="center" wrapText="1"/>
    </xf>
    <xf numFmtId="0" fontId="0" fillId="0" borderId="90" xfId="0" applyFill="1" applyBorder="1" applyAlignment="1">
      <alignment vertical="center" wrapText="1"/>
    </xf>
    <xf numFmtId="0" fontId="0" fillId="0" borderId="50" xfId="0" applyFill="1" applyBorder="1" applyAlignment="1">
      <alignment vertical="center" wrapText="1"/>
    </xf>
    <xf numFmtId="0" fontId="0" fillId="0" borderId="88" xfId="0" applyFill="1" applyBorder="1" applyAlignment="1">
      <alignment vertical="center" wrapText="1"/>
    </xf>
    <xf numFmtId="0" fontId="0" fillId="0" borderId="89" xfId="0" applyFill="1" applyBorder="1" applyAlignment="1">
      <alignment vertical="center" wrapText="1"/>
    </xf>
    <xf numFmtId="0" fontId="0" fillId="0" borderId="99" xfId="0" applyFill="1" applyBorder="1" applyAlignment="1">
      <alignment horizontal="center" vertical="justify" wrapText="1"/>
    </xf>
    <xf numFmtId="0" fontId="0" fillId="0" borderId="69" xfId="0" applyFill="1" applyBorder="1" applyAlignment="1">
      <alignment horizontal="center" vertical="justify" wrapText="1"/>
    </xf>
    <xf numFmtId="0" fontId="0" fillId="0" borderId="96" xfId="0" applyFill="1" applyBorder="1" applyAlignment="1">
      <alignment horizontal="center" vertical="justify" wrapText="1"/>
    </xf>
    <xf numFmtId="0" fontId="0" fillId="0" borderId="68" xfId="0" applyFill="1" applyBorder="1" applyAlignment="1">
      <alignment horizontal="left" vertical="justify" wrapText="1"/>
    </xf>
    <xf numFmtId="0" fontId="0" fillId="0" borderId="69" xfId="0" applyFill="1" applyBorder="1" applyAlignment="1">
      <alignment horizontal="left" vertical="justify" wrapText="1"/>
    </xf>
    <xf numFmtId="0" fontId="0" fillId="0" borderId="24" xfId="0" applyFill="1" applyBorder="1" applyAlignment="1">
      <alignment horizontal="center" vertical="justify" wrapText="1"/>
    </xf>
    <xf numFmtId="0" fontId="0" fillId="0" borderId="0" xfId="0" applyFill="1" applyBorder="1" applyAlignment="1">
      <alignment horizontal="center" vertical="justify" wrapText="1"/>
    </xf>
    <xf numFmtId="0" fontId="0" fillId="0" borderId="95" xfId="0" applyFill="1" applyBorder="1" applyAlignment="1">
      <alignment horizontal="center" vertical="justify" wrapText="1"/>
    </xf>
    <xf numFmtId="0" fontId="0" fillId="0" borderId="53" xfId="0" applyFill="1" applyBorder="1" applyAlignment="1">
      <alignment horizontal="left" vertical="justify" wrapText="1"/>
    </xf>
    <xf numFmtId="0" fontId="0" fillId="0" borderId="0" xfId="0" applyFill="1" applyBorder="1" applyAlignment="1">
      <alignment horizontal="left" vertical="justify" wrapText="1"/>
    </xf>
    <xf numFmtId="0" fontId="0" fillId="0" borderId="98" xfId="0" applyFill="1" applyBorder="1" applyAlignment="1">
      <alignment horizontal="center" vertical="justify" wrapText="1"/>
    </xf>
    <xf numFmtId="0" fontId="0" fillId="0" borderId="13" xfId="0" applyFill="1" applyBorder="1" applyAlignment="1">
      <alignment horizontal="center" vertical="justify" wrapText="1"/>
    </xf>
    <xf numFmtId="0" fontId="0" fillId="0" borderId="14" xfId="0" applyFill="1" applyBorder="1" applyAlignment="1">
      <alignment horizontal="center" vertical="justify" wrapText="1"/>
    </xf>
    <xf numFmtId="0" fontId="0" fillId="0" borderId="71" xfId="0" applyFill="1" applyBorder="1" applyAlignment="1">
      <alignment horizontal="left" vertical="justify" wrapText="1"/>
    </xf>
    <xf numFmtId="0" fontId="0" fillId="0" borderId="13" xfId="0" applyFill="1" applyBorder="1" applyAlignment="1">
      <alignment horizontal="left" vertical="justify" wrapText="1"/>
    </xf>
    <xf numFmtId="0" fontId="54" fillId="0" borderId="13" xfId="0" applyFill="1" applyBorder="1" applyAlignment="1">
      <alignment horizontal="center" vertical="justify" wrapText="1"/>
    </xf>
    <xf numFmtId="0" fontId="54" fillId="0" borderId="14" xfId="0" applyFill="1" applyBorder="1" applyAlignment="1">
      <alignment horizontal="center" vertical="justify" wrapText="1"/>
    </xf>
    <xf numFmtId="0" fontId="54" fillId="0" borderId="69" xfId="0" applyFill="1" applyBorder="1" applyAlignment="1">
      <alignment horizontal="center" vertical="justify" wrapText="1"/>
    </xf>
    <xf numFmtId="0" fontId="54" fillId="0" borderId="96" xfId="0" applyFill="1" applyBorder="1" applyAlignment="1">
      <alignment horizontal="center" vertical="justify" wrapText="1"/>
    </xf>
    <xf numFmtId="0" fontId="0" fillId="0" borderId="99" xfId="0" applyFill="1" applyBorder="1" applyAlignment="1">
      <alignment horizontal="center" vertical="justify" wrapText="1"/>
    </xf>
    <xf numFmtId="0" fontId="0" fillId="0" borderId="69" xfId="0" applyFill="1" applyBorder="1" applyAlignment="1">
      <alignment horizontal="center" vertical="justify" wrapText="1"/>
    </xf>
    <xf numFmtId="0" fontId="0" fillId="0" borderId="96" xfId="0" applyFill="1" applyBorder="1" applyAlignment="1">
      <alignment horizontal="center" vertical="justify" wrapText="1"/>
    </xf>
    <xf numFmtId="0" fontId="0" fillId="0" borderId="24" xfId="0" applyFill="1" applyBorder="1" applyAlignment="1">
      <alignment horizontal="center" vertical="justify" wrapText="1"/>
    </xf>
    <xf numFmtId="0" fontId="0" fillId="0" borderId="0" xfId="0" applyFill="1" applyBorder="1" applyAlignment="1">
      <alignment horizontal="center" vertical="justify" wrapText="1"/>
    </xf>
    <xf numFmtId="0" fontId="0" fillId="0" borderId="95" xfId="0" applyFill="1" applyBorder="1" applyAlignment="1">
      <alignment horizontal="center" vertical="justify" wrapText="1"/>
    </xf>
    <xf numFmtId="0" fontId="0" fillId="0" borderId="98" xfId="0" applyFill="1" applyBorder="1" applyAlignment="1">
      <alignment horizontal="center" vertical="justify" wrapText="1"/>
    </xf>
    <xf numFmtId="0" fontId="0" fillId="0" borderId="13" xfId="0" applyFill="1" applyBorder="1" applyAlignment="1">
      <alignment horizontal="center" vertical="justify" wrapText="1"/>
    </xf>
    <xf numFmtId="0" fontId="0" fillId="0" borderId="14" xfId="0" applyFill="1" applyBorder="1" applyAlignment="1">
      <alignment horizontal="center" vertical="justify" wrapText="1"/>
    </xf>
    <xf numFmtId="0" fontId="0" fillId="0" borderId="90" xfId="0" applyFill="1" applyBorder="1" applyAlignment="1">
      <alignment horizontal="center" vertical="justify" wrapText="1"/>
    </xf>
    <xf numFmtId="0" fontId="0" fillId="0" borderId="7" xfId="0" applyFill="1" applyBorder="1" applyAlignment="1">
      <alignment horizontal="center" vertical="justify" wrapText="1"/>
    </xf>
    <xf numFmtId="0" fontId="0" fillId="0" borderId="50" xfId="0" applyFill="1" applyBorder="1" applyAlignment="1">
      <alignment horizontal="center" vertical="justify" wrapText="1"/>
    </xf>
    <xf numFmtId="0" fontId="0" fillId="0" borderId="49" xfId="0" applyFill="1" applyBorder="1" applyAlignment="1">
      <alignment horizontal="left" vertical="justify" wrapText="1"/>
    </xf>
    <xf numFmtId="0" fontId="0" fillId="0" borderId="7" xfId="0" applyFill="1" applyBorder="1" applyAlignment="1">
      <alignment horizontal="left" vertical="justify" wrapText="1"/>
    </xf>
    <xf numFmtId="0" fontId="0" fillId="0" borderId="88" xfId="0" applyFill="1" applyBorder="1" applyAlignment="1">
      <alignment horizontal="center" vertical="justify" wrapText="1"/>
    </xf>
    <xf numFmtId="0" fontId="0" fillId="0" borderId="73" xfId="0" applyFill="1" applyBorder="1" applyAlignment="1">
      <alignment horizontal="center" vertical="justify" wrapText="1"/>
    </xf>
    <xf numFmtId="0" fontId="0" fillId="0" borderId="89" xfId="0" applyFill="1" applyBorder="1" applyAlignment="1">
      <alignment horizontal="center" vertical="justify" wrapText="1"/>
    </xf>
    <xf numFmtId="0" fontId="0" fillId="0" borderId="72" xfId="0" applyFill="1" applyBorder="1" applyAlignment="1">
      <alignment horizontal="left" vertical="justify" wrapText="1"/>
    </xf>
    <xf numFmtId="0" fontId="0" fillId="0" borderId="73" xfId="0" applyFill="1" applyBorder="1" applyAlignment="1">
      <alignment horizontal="left" vertical="justify" wrapText="1"/>
    </xf>
  </cellXfs>
  <cellStyles count="3168">
    <cellStyle name="20% - 강조색1" xfId="3143" builtinId="30"/>
    <cellStyle name="20% - 강조색2" xfId="3147" builtinId="34"/>
    <cellStyle name="20% - 강조색3" xfId="3151" builtinId="38"/>
    <cellStyle name="20% - 강조색4" xfId="3155" builtinId="42"/>
    <cellStyle name="20% - 강조색5" xfId="3159" builtinId="46"/>
    <cellStyle name="20% - 강조색6" xfId="3163" builtinId="50"/>
    <cellStyle name="40% - 강조색1" xfId="3144" builtinId="31"/>
    <cellStyle name="40% - 강조색2" xfId="3148" builtinId="35"/>
    <cellStyle name="40% - 강조색3" xfId="3152" builtinId="39"/>
    <cellStyle name="40% - 강조색4" xfId="3156" builtinId="43"/>
    <cellStyle name="40% - 강조색5" xfId="3160" builtinId="47"/>
    <cellStyle name="40% - 강조색6" xfId="3164" builtinId="51"/>
    <cellStyle name="60% - 강조색1" xfId="3145" builtinId="32"/>
    <cellStyle name="60% - 강조색2" xfId="3149" builtinId="36"/>
    <cellStyle name="60% - 강조색3" xfId="3153" builtinId="40"/>
    <cellStyle name="60% - 강조색4" xfId="3157" builtinId="44"/>
    <cellStyle name="60% - 강조색5" xfId="3161" builtinId="48"/>
    <cellStyle name="60% - 강조색6" xfId="3165" builtinId="52"/>
    <cellStyle name="강조색1" xfId="3142" builtinId="29"/>
    <cellStyle name="강조색2" xfId="3146" builtinId="33"/>
    <cellStyle name="강조색3" xfId="3150" builtinId="37"/>
    <cellStyle name="강조색4" xfId="3154" builtinId="41"/>
    <cellStyle name="강조색5" xfId="3158" builtinId="45"/>
    <cellStyle name="강조색6" xfId="3162" builtinId="49"/>
    <cellStyle name="경고문" xfId="3127" builtinId="11"/>
    <cellStyle name="계산" xfId="3135" builtinId="22"/>
    <cellStyle name="나쁨" xfId="3140" builtinId="27"/>
    <cellStyle name="메모" xfId="3126" builtinId="10"/>
    <cellStyle name="백분율" xfId="3124" builtinId="5"/>
    <cellStyle name="보통" xfId="3141" builtinId="28"/>
    <cellStyle name="설명텍스트" xfId="3166" builtinId="53"/>
    <cellStyle name="셀 확인" xfId="3136" builtinId="23"/>
    <cellStyle name="쉼표" xfId="3122" builtinId="3"/>
    <cellStyle name="쉼표 [0]" xfId="2794" builtinId="6"/>
    <cellStyle name="연결된 셀" xfId="3137" builtinId="24"/>
    <cellStyle name="열어 본 하이퍼링크" xfId="3121" builtinId="9" hidden="1"/>
    <cellStyle name="요약" xfId="3138" builtinId="25"/>
    <cellStyle name="입력" xfId="3133" builtinId="20"/>
    <cellStyle name="제목" xfId="3128" builtinId="15"/>
    <cellStyle name="제목1" xfId="3129" builtinId="16"/>
    <cellStyle name="제목2" xfId="3130" builtinId="17"/>
    <cellStyle name="제목3" xfId="3131" builtinId="18"/>
    <cellStyle name="제목4" xfId="3132" builtinId="19"/>
    <cellStyle name="좋음" xfId="3139" builtinId="26"/>
    <cellStyle name="출력" xfId="3134" builtinId="21"/>
    <cellStyle name="통화" xfId="3123" builtinId="4"/>
    <cellStyle name="통화[0]" xfId="3125" builtinId="7"/>
    <cellStyle name="표준" xfId="0" builtinId="0"/>
    <cellStyle name="하이퍼링크" xfId="3120" builtinId="8" hidden="1"/>
    <cellStyle name=" " xfId="1"/>
    <cellStyle name=" _97연말" xfId="3"/>
    <cellStyle name=" _97연말1" xfId="4"/>
    <cellStyle name=" _Book1" xfId="5"/>
    <cellStyle name="&quot;" xfId="6"/>
    <cellStyle name="#,##0" xfId="7"/>
    <cellStyle name="' '" xfId="2"/>
    <cellStyle name="(##.00)" xfId="8"/>
    <cellStyle name="(△콤마)" xfId="9"/>
    <cellStyle name="(백분율)" xfId="10"/>
    <cellStyle name="(콤마)" xfId="11"/>
    <cellStyle name="+,-,0" xfId="1096"/>
    <cellStyle name="0" xfId="1104"/>
    <cellStyle name="0.0" xfId="1105"/>
    <cellStyle name="0.00" xfId="1106"/>
    <cellStyle name="00" xfId="1107"/>
    <cellStyle name="1" xfId="1108"/>
    <cellStyle name="11" xfId="2595"/>
    <cellStyle name="111" xfId="2596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2" xfId="2597"/>
    <cellStyle name="2)" xfId="2598"/>
    <cellStyle name="20% - 강조색1 2" xfId="2637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자리" xfId="2638"/>
    <cellStyle name="??&amp;O?&amp;H?_x0008_??_x0007__x0001__x0001_" xfId="13"/>
    <cellStyle name="??&amp;O?&amp;H?_x0008__x000f__x0007_?_x0007__x0001__x0001_" xfId="12"/>
    <cellStyle name="?W?_laroux" xfId="14"/>
    <cellStyle name="?曹%U?&amp;H?_x0008_?s_x000a__x0007__x0001__x0001_" xfId="15"/>
    <cellStyle name="ALIGNMENT" xfId="2653"/>
    <cellStyle name="AeE¡ⓒ [0]_AO¨uRCN¡¾U " xfId="2651"/>
    <cellStyle name="AeE¡ⓒ_AO¨uRCN¡¾U " xfId="2652"/>
    <cellStyle name="AeE­ [0]_ 2ÆAAþº° " xfId="2641"/>
    <cellStyle name="AeE­ [0]_95³aAN°y¼o·R " xfId="2643"/>
    <cellStyle name="AeE­ [0]_A¾CO½A¼³ " xfId="2645"/>
    <cellStyle name="AeE­_ 2ÆAAþº° " xfId="2646"/>
    <cellStyle name="AeE­_95³aAN°y¼o·R " xfId="2648"/>
    <cellStyle name="AeE­_A¾CO½A¼³ " xfId="2650"/>
    <cellStyle name="A¨­￠￢￠O [0]_AO¨uRCN¡¾U " xfId="2639"/>
    <cellStyle name="A¨­￠￢￠O_AO¨uRCN¡¾U " xfId="2640"/>
    <cellStyle name="AÞ¸¶ [0]_ 2ÆAAþº° " xfId="2655"/>
    <cellStyle name="AÞ¸¶ [0]_95³aAN°y¼o·R " xfId="2657"/>
    <cellStyle name="AÞ¸¶ [0]_A¾CO½A¼³ " xfId="2659"/>
    <cellStyle name="AÞ¸¶_ 2ÆAAþº° " xfId="2660"/>
    <cellStyle name="AÞ¸¶_95³aAN°y¼o·R " xfId="2662"/>
    <cellStyle name="AÞ¸¶_A¾CO½A¼³ " xfId="2664"/>
    <cellStyle name="CIAIÆU¸μAⓒ" xfId="2675"/>
    <cellStyle name="COST1" xfId="2679"/>
    <cellStyle name="Calc Currency (0)" xfId="2673"/>
    <cellStyle name="Comma [0] 2" xfId="3115"/>
    <cellStyle name="Comma0" xfId="2677"/>
    <cellStyle name="Copied" xfId="2678"/>
    <cellStyle name="Curren?_x0012_퐀_x0017_?" xfId="2681"/>
    <cellStyle name="Currency [0] 2" xfId="3116"/>
    <cellStyle name="Currency [0]͢laroux_1" xfId="2682"/>
    <cellStyle name="Currency0" xfId="2684"/>
    <cellStyle name="Currency1" xfId="2685"/>
    <cellStyle name="Curre~cy [0]_MATERAL2" xfId="2680"/>
    <cellStyle name="C¡IA¨ª_¡ic¨u¡A¨￢I¨￢¡Æ AN¡Æe " xfId="2665"/>
    <cellStyle name="C￥AØ_ °u¸R½CCa1" xfId="2666"/>
    <cellStyle name="C￥AØ_95³aAN°y¼o·R " xfId="2672"/>
    <cellStyle name="C￥AØ_°­´c (2)" xfId="2668"/>
    <cellStyle name="C￥AØ_¼³°e¿e¿ª" xfId="2670"/>
    <cellStyle name="Date" xfId="2686"/>
    <cellStyle name="Dezimal [0]_laroux" xfId="2687"/>
    <cellStyle name="Dezimal_laroux" xfId="2688"/>
    <cellStyle name="Dollar (zero dec)" xfId="2689"/>
    <cellStyle name="EA" xfId="2690"/>
    <cellStyle name="Entered" xfId="2691"/>
    <cellStyle name="F2" xfId="2692"/>
    <cellStyle name="F3" xfId="2693"/>
    <cellStyle name="F4" xfId="2694"/>
    <cellStyle name="F5" xfId="2695"/>
    <cellStyle name="F6" xfId="2696"/>
    <cellStyle name="F7" xfId="2697"/>
    <cellStyle name="F8" xfId="2698"/>
    <cellStyle name="Fixed" xfId="2699"/>
    <cellStyle name="Grey" xfId="2700"/>
    <cellStyle name="H1" xfId="2701"/>
    <cellStyle name="H2" xfId="2702"/>
    <cellStyle name="HEADER" xfId="2703"/>
    <cellStyle name="Header1" xfId="2704"/>
    <cellStyle name="Header2" xfId="2705"/>
    <cellStyle name="Heading 1" xfId="2706"/>
    <cellStyle name="Heading 2" xfId="2707"/>
    <cellStyle name="Heading1" xfId="2708"/>
    <cellStyle name="Heading2" xfId="2709"/>
    <cellStyle name="Input Cells" xfId="2711"/>
    <cellStyle name="Input [yellow]" xfId="2710"/>
    <cellStyle name="Linked Cells" xfId="2713"/>
    <cellStyle name="M" xfId="2714"/>
    <cellStyle name="M2" xfId="2715"/>
    <cellStyle name="M3" xfId="2716"/>
    <cellStyle name="Milliers [0]_Arabian Spec" xfId="2717"/>
    <cellStyle name="Milliers_Arabian Spec" xfId="2718"/>
    <cellStyle name="Model" xfId="2720"/>
    <cellStyle name="Mon?aire [0]_Arabian Spec" xfId="2721"/>
    <cellStyle name="Mon?aire_Arabian Spec" xfId="2722"/>
    <cellStyle name="Monétaire [0]_CTC" xfId="2723"/>
    <cellStyle name="Monétaire_CTC" xfId="2724"/>
    <cellStyle name="Normal - Style1" xfId="2726"/>
    <cellStyle name="Normal - 유형1" xfId="2727"/>
    <cellStyle name="Normal 2" xfId="3117"/>
    <cellStyle name="PSChar" xfId="2735"/>
    <cellStyle name="Percent [2]" xfId="2733"/>
    <cellStyle name="RevList" xfId="2736"/>
    <cellStyle name="STANDARD" xfId="2740"/>
    <cellStyle name="STD" xfId="2741"/>
    <cellStyle name="Subtotal" xfId="2743"/>
    <cellStyle name="Title" xfId="2744"/>
    <cellStyle name="Total" xfId="2747"/>
    <cellStyle name="UM" xfId="2748"/>
    <cellStyle name="W?rung [0]_laroux" xfId="2749"/>
    <cellStyle name="W?rung_laroux" xfId="2750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연안권역특화거리조성을위한음악분수대설치_00-설계서,원가계산,내역서" xfId="861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args.style" xfId="2654"/>
    <cellStyle name="category" xfId="2674"/>
    <cellStyle name="comma zerodec" xfId="2676"/>
    <cellStyle name="currency-$" xfId="2683"/>
    <cellStyle name="kg" xfId="2712"/>
    <cellStyle name="mma_CASH &amp; DSO" xfId="2719"/>
    <cellStyle name="no dec" xfId="2725"/>
    <cellStyle name="oft Excel]_x000d__x000a_Comment=The open=/f lines load custom functions into the Paste Function list._x000d__x000a_Maximized=3_x000d__x000a_AutoFormat=" xfId="2730"/>
    <cellStyle name="oh" xfId="2731"/>
    <cellStyle name="per.style" xfId="2732"/>
    <cellStyle name="pricing" xfId="2734"/>
    <cellStyle name="s]_x000d__x000a_run=c:\Hedgehog\app31.exe_x000d__x000a_spooler=yes_x000d__x000a_load=_x000d__x000a_run=_x000d__x000a_Beep=yes_x000d__x000a_NullPort=None_x000d__x000a_BorderWidth=3_x000d__x000a_CursorBlinkRate=530_x000d__x000a_D" xfId="2737"/>
    <cellStyle name="sh" xfId="2738"/>
    <cellStyle name="ssh" xfId="2739"/>
    <cellStyle name="subhead" xfId="2742"/>
    <cellStyle name="title [1]" xfId="2745"/>
    <cellStyle name="title [2]" xfId="2746"/>
    <cellStyle name="ÊÝ [0.00]_Region Orders (2)" xfId="1101"/>
    <cellStyle name="ÊÝ_Region Orders (2)" xfId="1102"/>
    <cellStyle name="W_Pacific Region P&amp;L" xfId="1103"/>
    <cellStyle name="¤@?e_TEST-1 " xfId="1095"/>
    <cellStyle name="ÄÞ¸¶ [0]_¸ðÇü¸·" xfId="2656"/>
    <cellStyle name="ÄÞ¸¶ [0]_Á¤»ê¼­°©Áö" xfId="2658"/>
    <cellStyle name="ÄÞ¸¶_¸ðÇü¸·" xfId="2661"/>
    <cellStyle name="ÄÞ¸¶_Á¤»ê¼­°©Áö" xfId="2663"/>
    <cellStyle name="ÅëÈ­ [0]_¸ðÇü¸·" xfId="2642"/>
    <cellStyle name="ÅëÈ­ [0]_Á¤»ê¼­°©Áö" xfId="2644"/>
    <cellStyle name="ÅëÈ­_¸ðÇü¸·" xfId="2647"/>
    <cellStyle name="ÅëÈ­_Á¤»ê¼­°©Áö" xfId="2649"/>
    <cellStyle name="Ç¥ÁØ_°­´ç (2)" xfId="2669"/>
    <cellStyle name="Ç¥ÁØ_»óºÎ¼ö·®Áý°è " xfId="2667"/>
    <cellStyle name="Ç¥ÁØ_¼öÀÍ¼º " xfId="2671"/>
    <cellStyle name="Œ…?æ맖?e [0.00]_laroux" xfId="2728"/>
    <cellStyle name="Œ…?æ맖?e_laroux" xfId="2729"/>
    <cellStyle name="μU¿¡ ¿A´A CIAIÆU¸μAⓒ" xfId="2751"/>
    <cellStyle name="’E‰Y [0.00]_laroux" xfId="1093"/>
    <cellStyle name="’E‰Y_laroux" xfId="1094"/>
    <cellStyle name="△ [0]" xfId="1098"/>
    <cellStyle name="△ []" xfId="1097"/>
    <cellStyle name="△백분율" xfId="1099"/>
    <cellStyle name="△콤마" xfId="1100"/>
    <cellStyle name="標準_Akia(F）-8" xfId="3106"/>
    <cellStyle name="가운데" xfId="2752"/>
    <cellStyle name="고정소숫점" xfId="2753"/>
    <cellStyle name="고정출력1" xfId="2754"/>
    <cellStyle name="고정출력2" xfId="2755"/>
    <cellStyle name="공사원가계산서(조경)" xfId="2756"/>
    <cellStyle name="공종" xfId="2757"/>
    <cellStyle name="괘선" xfId="2758"/>
    <cellStyle name="괘선1" xfId="2759"/>
    <cellStyle name="기계" xfId="2760"/>
    <cellStyle name="기본숫자" xfId="2761"/>
    <cellStyle name="날짜" xfId="2762"/>
    <cellStyle name="내역서" xfId="2763"/>
    <cellStyle name="네모제목" xfId="2764"/>
    <cellStyle name="달러" xfId="2765"/>
    <cellStyle name="뒤에 오는 하이퍼링크" xfId="2766"/>
    <cellStyle name="똿뗦먛귟 [0.00]_laroux" xfId="2767"/>
    <cellStyle name="똿뗦먛귟_laroux" xfId="2768"/>
    <cellStyle name="마이너스키" xfId="2769"/>
    <cellStyle name="믅됞 [0.00]_laroux" xfId="2770"/>
    <cellStyle name="믅됞_laroux" xfId="2771"/>
    <cellStyle name="배분" xfId="2772"/>
    <cellStyle name="백" xfId="2773"/>
    <cellStyle name="백_22bl3lot수량산출" xfId="2774"/>
    <cellStyle name="백_22수량산출서(총괄)" xfId="2775"/>
    <cellStyle name="백분율 [0]" xfId="2778"/>
    <cellStyle name="백분율 [2]" xfId="2779"/>
    <cellStyle name="백분율 [△1]" xfId="2776"/>
    <cellStyle name="백분율 [△2]" xfId="2777"/>
    <cellStyle name="백분율［△1］" xfId="2780"/>
    <cellStyle name="백분율［△2］" xfId="2781"/>
    <cellStyle name="병합 후 가운데 맞춤" xfId="2782"/>
    <cellStyle name="병합 후 가운데 정열" xfId="2783"/>
    <cellStyle name="분수" xfId="2784"/>
    <cellStyle name="뷭?" xfId="2785"/>
    <cellStyle name="빨간색" xfId="2786"/>
    <cellStyle name="선택영역의 가운데로" xfId="2787"/>
    <cellStyle name="설계서" xfId="2788"/>
    <cellStyle name="수량1" xfId="2789"/>
    <cellStyle name="수목명" xfId="2790"/>
    <cellStyle name="숫자(R)" xfId="2791"/>
    <cellStyle name="쉼표 [0] 2" xfId="2792"/>
    <cellStyle name="쉼표 [0] 2 2" xfId="2793"/>
    <cellStyle name="쉼표 [0] 2 3" xfId="2794"/>
    <cellStyle name="쉼표 [0] 3" xfId="2795"/>
    <cellStyle name="쉼표 [0] 3 2" xfId="2796"/>
    <cellStyle name="쉼표 [0] 3 3" xfId="2797"/>
    <cellStyle name="쉼표 [0] 4" xfId="3114"/>
    <cellStyle name="쉼표 [0] 5" xfId="3118"/>
    <cellStyle name="스타일 1" xfId="2798"/>
    <cellStyle name="스타일 1 2" xfId="2799"/>
    <cellStyle name="스타일 10" xfId="2800"/>
    <cellStyle name="스타일 100" xfId="2801"/>
    <cellStyle name="스타일 101" xfId="2802"/>
    <cellStyle name="스타일 102" xfId="2803"/>
    <cellStyle name="스타일 103" xfId="2804"/>
    <cellStyle name="스타일 104" xfId="2805"/>
    <cellStyle name="스타일 105" xfId="2806"/>
    <cellStyle name="스타일 106" xfId="2807"/>
    <cellStyle name="스타일 107" xfId="2808"/>
    <cellStyle name="스타일 108" xfId="2809"/>
    <cellStyle name="스타일 109" xfId="2810"/>
    <cellStyle name="스타일 11" xfId="2811"/>
    <cellStyle name="스타일 110" xfId="2812"/>
    <cellStyle name="스타일 111" xfId="2813"/>
    <cellStyle name="스타일 112" xfId="2814"/>
    <cellStyle name="스타일 113" xfId="2815"/>
    <cellStyle name="스타일 114" xfId="2816"/>
    <cellStyle name="스타일 115" xfId="2817"/>
    <cellStyle name="스타일 116" xfId="2818"/>
    <cellStyle name="스타일 117" xfId="2819"/>
    <cellStyle name="스타일 118" xfId="2820"/>
    <cellStyle name="스타일 119" xfId="2821"/>
    <cellStyle name="스타일 12" xfId="2822"/>
    <cellStyle name="스타일 120" xfId="2823"/>
    <cellStyle name="스타일 121" xfId="2824"/>
    <cellStyle name="스타일 122" xfId="2825"/>
    <cellStyle name="스타일 123" xfId="2826"/>
    <cellStyle name="스타일 124" xfId="2827"/>
    <cellStyle name="스타일 125" xfId="2828"/>
    <cellStyle name="스타일 126" xfId="2829"/>
    <cellStyle name="스타일 127" xfId="2830"/>
    <cellStyle name="스타일 128" xfId="2831"/>
    <cellStyle name="스타일 129" xfId="2832"/>
    <cellStyle name="스타일 13" xfId="2833"/>
    <cellStyle name="스타일 130" xfId="2834"/>
    <cellStyle name="스타일 131" xfId="2835"/>
    <cellStyle name="스타일 132" xfId="2836"/>
    <cellStyle name="스타일 133" xfId="2837"/>
    <cellStyle name="스타일 134" xfId="2838"/>
    <cellStyle name="스타일 135" xfId="2839"/>
    <cellStyle name="스타일 136" xfId="2840"/>
    <cellStyle name="스타일 137" xfId="2841"/>
    <cellStyle name="스타일 138" xfId="2842"/>
    <cellStyle name="스타일 139" xfId="2843"/>
    <cellStyle name="스타일 14" xfId="2844"/>
    <cellStyle name="스타일 140" xfId="2845"/>
    <cellStyle name="스타일 141" xfId="2846"/>
    <cellStyle name="스타일 142" xfId="2847"/>
    <cellStyle name="스타일 143" xfId="2848"/>
    <cellStyle name="스타일 144" xfId="2849"/>
    <cellStyle name="스타일 145" xfId="2850"/>
    <cellStyle name="스타일 146" xfId="2851"/>
    <cellStyle name="스타일 147" xfId="2852"/>
    <cellStyle name="스타일 148" xfId="2853"/>
    <cellStyle name="스타일 149" xfId="2854"/>
    <cellStyle name="스타일 15" xfId="2855"/>
    <cellStyle name="스타일 150" xfId="2856"/>
    <cellStyle name="스타일 151" xfId="2857"/>
    <cellStyle name="스타일 152" xfId="2858"/>
    <cellStyle name="스타일 153" xfId="2859"/>
    <cellStyle name="스타일 154" xfId="2860"/>
    <cellStyle name="스타일 155" xfId="2861"/>
    <cellStyle name="스타일 156" xfId="2862"/>
    <cellStyle name="스타일 157" xfId="2863"/>
    <cellStyle name="스타일 158" xfId="2864"/>
    <cellStyle name="스타일 159" xfId="2865"/>
    <cellStyle name="스타일 16" xfId="2866"/>
    <cellStyle name="스타일 160" xfId="2867"/>
    <cellStyle name="스타일 161" xfId="2868"/>
    <cellStyle name="스타일 162" xfId="2869"/>
    <cellStyle name="스타일 163" xfId="2870"/>
    <cellStyle name="스타일 164" xfId="2871"/>
    <cellStyle name="스타일 165" xfId="2872"/>
    <cellStyle name="스타일 166" xfId="2873"/>
    <cellStyle name="스타일 167" xfId="2874"/>
    <cellStyle name="스타일 168" xfId="2875"/>
    <cellStyle name="스타일 169" xfId="2876"/>
    <cellStyle name="스타일 17" xfId="2877"/>
    <cellStyle name="스타일 170" xfId="2878"/>
    <cellStyle name="스타일 171" xfId="2879"/>
    <cellStyle name="스타일 172" xfId="2880"/>
    <cellStyle name="스타일 173" xfId="2881"/>
    <cellStyle name="스타일 174" xfId="2882"/>
    <cellStyle name="스타일 175" xfId="2883"/>
    <cellStyle name="스타일 176" xfId="2884"/>
    <cellStyle name="스타일 177" xfId="2885"/>
    <cellStyle name="스타일 178" xfId="2886"/>
    <cellStyle name="스타일 179" xfId="2887"/>
    <cellStyle name="스타일 18" xfId="2888"/>
    <cellStyle name="스타일 180" xfId="2889"/>
    <cellStyle name="스타일 181" xfId="2890"/>
    <cellStyle name="스타일 182" xfId="2891"/>
    <cellStyle name="스타일 183" xfId="2892"/>
    <cellStyle name="스타일 184" xfId="2893"/>
    <cellStyle name="스타일 185" xfId="2894"/>
    <cellStyle name="스타일 186" xfId="2895"/>
    <cellStyle name="스타일 187" xfId="2896"/>
    <cellStyle name="스타일 188" xfId="2897"/>
    <cellStyle name="스타일 189" xfId="2898"/>
    <cellStyle name="스타일 19" xfId="2899"/>
    <cellStyle name="스타일 190" xfId="2900"/>
    <cellStyle name="스타일 191" xfId="2901"/>
    <cellStyle name="스타일 192" xfId="2902"/>
    <cellStyle name="스타일 193" xfId="2903"/>
    <cellStyle name="스타일 194" xfId="2904"/>
    <cellStyle name="스타일 195" xfId="2905"/>
    <cellStyle name="스타일 196" xfId="2906"/>
    <cellStyle name="스타일 197" xfId="2907"/>
    <cellStyle name="스타일 198" xfId="2908"/>
    <cellStyle name="스타일 199" xfId="2909"/>
    <cellStyle name="스타일 2" xfId="2910"/>
    <cellStyle name="스타일 20" xfId="2911"/>
    <cellStyle name="스타일 200" xfId="2912"/>
    <cellStyle name="스타일 201" xfId="2913"/>
    <cellStyle name="스타일 202" xfId="2914"/>
    <cellStyle name="스타일 203" xfId="2915"/>
    <cellStyle name="스타일 204" xfId="2916"/>
    <cellStyle name="스타일 205" xfId="2917"/>
    <cellStyle name="스타일 206" xfId="2918"/>
    <cellStyle name="스타일 207" xfId="2919"/>
    <cellStyle name="스타일 208" xfId="2920"/>
    <cellStyle name="스타일 209" xfId="2921"/>
    <cellStyle name="스타일 21" xfId="2922"/>
    <cellStyle name="스타일 210" xfId="2923"/>
    <cellStyle name="스타일 211" xfId="2924"/>
    <cellStyle name="스타일 212" xfId="2925"/>
    <cellStyle name="스타일 213" xfId="2926"/>
    <cellStyle name="스타일 214" xfId="2927"/>
    <cellStyle name="스타일 215" xfId="2928"/>
    <cellStyle name="스타일 216" xfId="2929"/>
    <cellStyle name="스타일 217" xfId="2930"/>
    <cellStyle name="스타일 218" xfId="2931"/>
    <cellStyle name="스타일 219" xfId="2932"/>
    <cellStyle name="스타일 22" xfId="2933"/>
    <cellStyle name="스타일 220" xfId="2934"/>
    <cellStyle name="스타일 221" xfId="2935"/>
    <cellStyle name="스타일 222" xfId="2936"/>
    <cellStyle name="스타일 223" xfId="2937"/>
    <cellStyle name="스타일 224" xfId="2938"/>
    <cellStyle name="스타일 225" xfId="2939"/>
    <cellStyle name="스타일 226" xfId="2940"/>
    <cellStyle name="스타일 227" xfId="2941"/>
    <cellStyle name="스타일 228" xfId="2942"/>
    <cellStyle name="스타일 229" xfId="2943"/>
    <cellStyle name="스타일 23" xfId="2944"/>
    <cellStyle name="스타일 230" xfId="2945"/>
    <cellStyle name="스타일 231" xfId="2946"/>
    <cellStyle name="스타일 232" xfId="2947"/>
    <cellStyle name="스타일 233" xfId="2948"/>
    <cellStyle name="스타일 234" xfId="2949"/>
    <cellStyle name="스타일 235" xfId="2950"/>
    <cellStyle name="스타일 236" xfId="2951"/>
    <cellStyle name="스타일 237" xfId="2952"/>
    <cellStyle name="스타일 238" xfId="2953"/>
    <cellStyle name="스타일 239" xfId="2954"/>
    <cellStyle name="스타일 24" xfId="2955"/>
    <cellStyle name="스타일 240" xfId="2956"/>
    <cellStyle name="스타일 241" xfId="2957"/>
    <cellStyle name="스타일 242" xfId="2958"/>
    <cellStyle name="스타일 243" xfId="2959"/>
    <cellStyle name="스타일 244" xfId="2960"/>
    <cellStyle name="스타일 245" xfId="2961"/>
    <cellStyle name="스타일 246" xfId="2962"/>
    <cellStyle name="스타일 247" xfId="2963"/>
    <cellStyle name="스타일 248" xfId="2964"/>
    <cellStyle name="스타일 249" xfId="2965"/>
    <cellStyle name="스타일 25" xfId="2966"/>
    <cellStyle name="스타일 250" xfId="2967"/>
    <cellStyle name="스타일 251" xfId="2968"/>
    <cellStyle name="스타일 252" xfId="2969"/>
    <cellStyle name="스타일 253" xfId="2970"/>
    <cellStyle name="스타일 254" xfId="2971"/>
    <cellStyle name="스타일 255" xfId="2972"/>
    <cellStyle name="스타일 26" xfId="2973"/>
    <cellStyle name="스타일 27" xfId="2974"/>
    <cellStyle name="스타일 28" xfId="2975"/>
    <cellStyle name="스타일 29" xfId="2976"/>
    <cellStyle name="스타일 3" xfId="2977"/>
    <cellStyle name="스타일 30" xfId="2978"/>
    <cellStyle name="스타일 31" xfId="2979"/>
    <cellStyle name="스타일 32" xfId="2980"/>
    <cellStyle name="스타일 33" xfId="2981"/>
    <cellStyle name="스타일 34" xfId="2982"/>
    <cellStyle name="스타일 35" xfId="2983"/>
    <cellStyle name="스타일 36" xfId="2984"/>
    <cellStyle name="스타일 37" xfId="2985"/>
    <cellStyle name="스타일 38" xfId="2986"/>
    <cellStyle name="스타일 39" xfId="2987"/>
    <cellStyle name="스타일 4" xfId="2988"/>
    <cellStyle name="스타일 40" xfId="2989"/>
    <cellStyle name="스타일 41" xfId="2990"/>
    <cellStyle name="스타일 42" xfId="2991"/>
    <cellStyle name="스타일 43" xfId="2992"/>
    <cellStyle name="스타일 44" xfId="2993"/>
    <cellStyle name="스타일 45" xfId="2994"/>
    <cellStyle name="스타일 46" xfId="2995"/>
    <cellStyle name="스타일 47" xfId="2996"/>
    <cellStyle name="스타일 48" xfId="2997"/>
    <cellStyle name="스타일 49" xfId="2998"/>
    <cellStyle name="스타일 5" xfId="2999"/>
    <cellStyle name="스타일 50" xfId="3000"/>
    <cellStyle name="스타일 51" xfId="3001"/>
    <cellStyle name="스타일 52" xfId="3002"/>
    <cellStyle name="스타일 53" xfId="3003"/>
    <cellStyle name="스타일 54" xfId="3004"/>
    <cellStyle name="스타일 55" xfId="3005"/>
    <cellStyle name="스타일 56" xfId="3006"/>
    <cellStyle name="스타일 57" xfId="3007"/>
    <cellStyle name="스타일 58" xfId="3008"/>
    <cellStyle name="스타일 59" xfId="3009"/>
    <cellStyle name="스타일 6" xfId="3010"/>
    <cellStyle name="스타일 60" xfId="3011"/>
    <cellStyle name="스타일 61" xfId="3012"/>
    <cellStyle name="스타일 62" xfId="3013"/>
    <cellStyle name="스타일 63" xfId="3014"/>
    <cellStyle name="스타일 64" xfId="3015"/>
    <cellStyle name="스타일 65" xfId="3016"/>
    <cellStyle name="스타일 66" xfId="3017"/>
    <cellStyle name="스타일 67" xfId="3018"/>
    <cellStyle name="스타일 68" xfId="3019"/>
    <cellStyle name="스타일 69" xfId="3020"/>
    <cellStyle name="스타일 7" xfId="3021"/>
    <cellStyle name="스타일 70" xfId="3022"/>
    <cellStyle name="스타일 71" xfId="3023"/>
    <cellStyle name="스타일 72" xfId="3024"/>
    <cellStyle name="스타일 73" xfId="3025"/>
    <cellStyle name="스타일 74" xfId="3026"/>
    <cellStyle name="스타일 75" xfId="3027"/>
    <cellStyle name="스타일 76" xfId="3028"/>
    <cellStyle name="스타일 77" xfId="3029"/>
    <cellStyle name="스타일 78" xfId="3030"/>
    <cellStyle name="스타일 79" xfId="3031"/>
    <cellStyle name="스타일 8" xfId="3032"/>
    <cellStyle name="스타일 80" xfId="3033"/>
    <cellStyle name="스타일 81" xfId="3034"/>
    <cellStyle name="스타일 82" xfId="3035"/>
    <cellStyle name="스타일 83" xfId="3036"/>
    <cellStyle name="스타일 84" xfId="3037"/>
    <cellStyle name="스타일 85" xfId="3038"/>
    <cellStyle name="스타일 86" xfId="3039"/>
    <cellStyle name="스타일 87" xfId="3040"/>
    <cellStyle name="스타일 88" xfId="3041"/>
    <cellStyle name="스타일 89" xfId="3042"/>
    <cellStyle name="스타일 9" xfId="3043"/>
    <cellStyle name="스타일 90" xfId="3044"/>
    <cellStyle name="스타일 91" xfId="3045"/>
    <cellStyle name="스타일 92" xfId="3046"/>
    <cellStyle name="스타일 93" xfId="3047"/>
    <cellStyle name="스타일 94" xfId="3048"/>
    <cellStyle name="스타일 95" xfId="3049"/>
    <cellStyle name="스타일 96" xfId="3050"/>
    <cellStyle name="스타일 97" xfId="3051"/>
    <cellStyle name="스타일 98" xfId="3052"/>
    <cellStyle name="스타일 99" xfId="3053"/>
    <cellStyle name="안건회계법인" xfId="3054"/>
    <cellStyle name="왼쪽2" xfId="3055"/>
    <cellStyle name="원" xfId="3056"/>
    <cellStyle name="유1" xfId="3057"/>
    <cellStyle name="유영" xfId="3058"/>
    <cellStyle name="자리수" xfId="3059"/>
    <cellStyle name="자리수 - 유형1" xfId="3060"/>
    <cellStyle name="자리수0" xfId="3062"/>
    <cellStyle name="자리수_~MGaE" xfId="3061"/>
    <cellStyle name="정기수 - 유형1" xfId="3063"/>
    <cellStyle name="제목 1(中)" xfId="3065"/>
    <cellStyle name="제목 1(左)" xfId="3064"/>
    <cellStyle name="제목1" xfId="3069"/>
    <cellStyle name="제목2" xfId="3070"/>
    <cellStyle name="제목[1 줄]" xfId="3066"/>
    <cellStyle name="제목[2줄 아래]" xfId="3067"/>
    <cellStyle name="제목[2줄 위]" xfId="3068"/>
    <cellStyle name="좋음 2" xfId="3071"/>
    <cellStyle name="지정되지 않음" xfId="3072"/>
    <cellStyle name="콤" xfId="3073"/>
    <cellStyle name="콤마 1" xfId="3083"/>
    <cellStyle name="콤마 [" xfId="3074"/>
    <cellStyle name="콤마 [#]" xfId="3075"/>
    <cellStyle name="콤마 [0]" xfId="3077"/>
    <cellStyle name="콤마 [1]" xfId="3078"/>
    <cellStyle name="콤마 [2]" xfId="3079"/>
    <cellStyle name="콤마 []" xfId="3076"/>
    <cellStyle name="콤마 [금액]" xfId="3080"/>
    <cellStyle name="콤마 [소수]" xfId="3081"/>
    <cellStyle name="콤마 [수량]" xfId="3082"/>
    <cellStyle name="콤마[ ]" xfId="3084"/>
    <cellStyle name="콤마[*]" xfId="3085"/>
    <cellStyle name="콤마[,]" xfId="3086"/>
    <cellStyle name="콤마[.]" xfId="3087"/>
    <cellStyle name="콤마[0]" xfId="3088"/>
    <cellStyle name="콤마_  종  합  " xfId="3089"/>
    <cellStyle name="통" xfId="3090"/>
    <cellStyle name="통화 [" xfId="3091"/>
    <cellStyle name="통화 [0㉝〸" xfId="3092"/>
    <cellStyle name="퍼센트" xfId="3093"/>
    <cellStyle name="표" xfId="3094"/>
    <cellStyle name="표(가는선,가운데,중앙)" xfId="3095"/>
    <cellStyle name="표(가는선,왼쪽,중앙)" xfId="3096"/>
    <cellStyle name="표(세로쓰기)" xfId="3097"/>
    <cellStyle name="표머릿글(上)" xfId="3098"/>
    <cellStyle name="표머릿글(下)" xfId="3100"/>
    <cellStyle name="표머릿글(中)" xfId="3099"/>
    <cellStyle name="표준 2" xfId="3101"/>
    <cellStyle name="표준 2 2" xfId="3102"/>
    <cellStyle name="표준 3" xfId="3103"/>
    <cellStyle name="표준 4" xfId="3104"/>
    <cellStyle name="표준 5" xfId="3105"/>
    <cellStyle name="표준 6" xfId="3113"/>
    <cellStyle name="표준 7" xfId="3119"/>
    <cellStyle name="표준1" xfId="3107"/>
    <cellStyle name="표준2" xfId="3108"/>
    <cellStyle name="표준℘Sheet8 (3)" xfId="3109"/>
    <cellStyle name="합산" xfId="3110"/>
    <cellStyle name="화폐기호" xfId="3111"/>
    <cellStyle name="화폐기호0" xfId="3112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worksheet" Target="worksheets/sheet4.xml"></Relationship><Relationship Id="rId5" Type="http://schemas.openxmlformats.org/officeDocument/2006/relationships/worksheet" Target="worksheets/sheet5.xml"></Relationship><Relationship Id="rId6" Type="http://schemas.openxmlformats.org/officeDocument/2006/relationships/worksheet" Target="worksheets/sheet6.xml"></Relationship><Relationship Id="rId7" Type="http://schemas.openxmlformats.org/officeDocument/2006/relationships/externalLink" Target="externalLinks/externalLink1.xml"></Relationship><Relationship Id="rId8" Type="http://schemas.openxmlformats.org/officeDocument/2006/relationships/theme" Target="theme/theme1.xml"></Relationship><Relationship Id="rId9" Type="http://schemas.openxmlformats.org/officeDocument/2006/relationships/styles" Target="styles.xml"></Relationship><Relationship Id="rId10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_rels/drawing4.xml.rels><?xml version="1.0" encoding="UTF-8"?>
<Relationships xmlns="http://schemas.openxmlformats.org/package/2006/relationships"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225425</xdr:colOff>
      <xdr:row>0</xdr:row>
      <xdr:rowOff>0</xdr:rowOff>
    </xdr:from>
    <xdr:to>
      <xdr:col>2</xdr:col>
      <xdr:colOff>228600</xdr:colOff>
      <xdr:row>0</xdr:row>
      <xdr:rowOff>0</xdr:rowOff>
    </xdr:to>
    <xdr:sp>
      <xdr:nvSpPr>
        <xdr:cNvPr id="2" name="Text Box 1"/>
        <xdr:cNvSpPr txBox="1">
          <a:spLocks/>
        </xdr:cNvSpPr>
      </xdr:nvSpPr>
      <xdr:spPr>
        <a:xfrm>
          <a:off x="919480" y="0"/>
          <a:ext cx="288925" cy="0"/>
        </a:xfrm>
        <a:prstGeom prst="rect"/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wrap="square" lIns="54610" tIns="41275" rIns="54610" bIns="41275" anchor="ctr" vertOverflow="clip" horzOverflow="overflow">
          <a:noAutofit/>
        </a:bodyPr>
        <a:p>
          <a:pPr algn="ctr"/>
          <a:r>
            <a:rPr lang="ko-KR" altLang="en-US" sz="2400" kern="1200" b="1">
              <a:solidFill>
                <a:srgbClr val="000000"/>
              </a:solidFill>
              <a:latin typeface="바탕"/>
              <a:ea typeface="바탕"/>
            </a:rPr>
            <a:t>見 積 書</a:t>
          </a:r>
          <a:endParaRPr lang="ko-KR" altLang="en-US" sz="2400" kern="1200" b="1">
            <a:solidFill>
              <a:srgbClr val="000000"/>
            </a:solidFill>
            <a:latin typeface="바탕"/>
            <a:ea typeface="바탕"/>
          </a:endParaRPr>
        </a:p>
      </xdr:txBody>
    </xdr:sp>
    <xdr:clientData/>
  </xdr:twoCellAnchor>
  <xdr:twoCellAnchor editAs="oneCell">
    <xdr:from>
      <xdr:col>22</xdr:col>
      <xdr:colOff>136525</xdr:colOff>
      <xdr:row>35</xdr:row>
      <xdr:rowOff>161925</xdr:rowOff>
    </xdr:from>
    <xdr:to>
      <xdr:col>25</xdr:col>
      <xdr:colOff>159385</xdr:colOff>
      <xdr:row>37</xdr:row>
      <xdr:rowOff>577215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831330" y="8528685"/>
          <a:ext cx="880110" cy="86296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grpSp>
      <xdr:nvGrpSpPr>
        <xdr:cNvPr id="2" name="Group 36"/>
        <xdr:cNvGrpSpPr/>
      </xdr:nvGrpSpPr>
      <xdr:grpSpPr>
        <a:xfrm>
          <a:off x="0" y="8281035"/>
          <a:ext cx="0" cy="0"/>
          <a:chOff x="0" y="8281035"/>
          <a:chExt cx="0" cy="0"/>
        </a:xfrm>
      </xdr:grpSpPr>
      <xdr:sp>
        <xdr:nvSpPr>
          <xdr:cNvPr id="3" name="Text Box 37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4" name="Text Box 38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  <a:endParaRPr lang="ko-KR" altLang="en-US" sz="10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5" name="Text Box 39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  <a:endParaRPr lang="ko-KR" altLang="en-US" sz="11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6" name="Text Box 40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</xdr:grpSp>
    <xdr:clientData/>
  </xdr:twoCellAnchor>
  <xdr:twoCellAnchor editAs="oneCell">
    <xdr:from>
      <xdr:col>6</xdr:col>
      <xdr:colOff>701675</xdr:colOff>
      <xdr:row>32</xdr:row>
      <xdr:rowOff>152400</xdr:rowOff>
    </xdr:from>
    <xdr:to>
      <xdr:col>7</xdr:col>
      <xdr:colOff>688340</xdr:colOff>
      <xdr:row>35</xdr:row>
      <xdr:rowOff>176530</xdr:rowOff>
    </xdr:to>
    <xdr:pic>
      <xdr:nvPicPr>
        <xdr:cNvPr id="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72380" y="8725535"/>
          <a:ext cx="824865" cy="900430"/>
        </a:xfrm>
        <a:prstGeom prst="rect"/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32</xdr:row>
      <xdr:rowOff>0</xdr:rowOff>
    </xdr:from>
    <xdr:to>
      <xdr:col>2</xdr:col>
      <xdr:colOff>508000</xdr:colOff>
      <xdr:row>35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73135"/>
          <a:ext cx="1190625" cy="9779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xl/media/image4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862455" y="7893685"/>
          <a:ext cx="14986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29</xdr:col>
      <xdr:colOff>0</xdr:colOff>
      <xdr:row>2</xdr:row>
      <xdr:rowOff>238125</xdr:rowOff>
    </xdr:to>
    <xdr:sp>
      <xdr:nvSpPr>
        <xdr:cNvPr id="4097" name="_x553730080"/>
        <xdr:cNvSpPr>
          <a:spLocks/>
        </xdr:cNvSpPr>
      </xdr:nvSpPr>
      <xdr:spPr>
        <a:xfrm>
          <a:off x="0" y="0"/>
          <a:ext cx="6305550" cy="720725"/>
        </a:xfrm>
        <a:prstGeom prst="rect"/>
        <a:solidFill>
          <a:srgbClr val="FFFFFF"/>
        </a:solidFill>
        <a:ln w="17780" cap="flat" cmpd="sng">
          <a:solidFill>
            <a:srgbClr val="000000">
              <a:alpha val="100000"/>
            </a:srgbClr>
          </a:solidFill>
          <a:prstDash val="solid"/>
          <a:miter lim="800000"/>
          <a:headEnd type="none" w="med" len="med"/>
          <a:tailEnd type="none" w="med" len="med"/>
        </a:ln>
      </xdr:spPr>
      <xdr:txBody>
        <a:bodyPr wrap="square" lIns="91440" tIns="45720" rIns="91440" bIns="45720" anchor="ctr" vertOverflow="clip" horzOverflow="overflow">
          <a:noAutofit/>
        </a:bodyPr>
        <a:p>
          <a:pPr algn="ctr"/>
          <a:r>
            <a:rPr lang="ko-KR" altLang="en-US" sz="1900" kern="1200" b="1">
              <a:solidFill>
                <a:srgbClr val="000000"/>
              </a:solidFill>
              <a:latin typeface="함초롬바탕"/>
              <a:ea typeface="함초롬바탕"/>
            </a:rPr>
            <a:t>정밀안전점검 과업수행계획서</a:t>
          </a:r>
          <a:endParaRPr lang="ko-KR" altLang="en-US" sz="1900" kern="1200" b="1">
            <a:solidFill>
              <a:srgbClr val="000000"/>
            </a:solidFill>
            <a:latin typeface="함초롬바탕"/>
            <a:ea typeface="함초롬바탕"/>
          </a:endParaRPr>
        </a:p>
      </xdr:txBody>
    </xdr:sp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_rels/sheet4.xml.rels><?xml version="1.0" encoding="UTF-8"?>
<Relationships xmlns="http://schemas.openxmlformats.org/package/2006/relationships"></Relationships>
</file>

<file path=xl/worksheets/_rels/sheet5.xml.rels><?xml version="1.0" encoding="UTF-8"?>
<Relationships xmlns="http://schemas.openxmlformats.org/package/2006/relationships"></Relationships>
</file>

<file path=xl/worksheets/_rels/sheet6.xml.rels><?xml version="1.0" encoding="UTF-8"?>
<Relationships xmlns="http://schemas.openxmlformats.org/package/2006/relationships"><Relationship Id="rId1" Type="http://schemas.openxmlformats.org/officeDocument/2006/relationships/drawing" Target="../drawings/drawing4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F1591"/>
  <sheetViews>
    <sheetView topLeftCell="A14" view="pageBreakPreview" zoomScaleNormal="100" zoomScaleSheetLayoutView="100" workbookViewId="0">
      <selection activeCell="L22" sqref="L22:AC22"/>
    </sheetView>
  </sheetViews>
  <sheetFormatPr defaultColWidth="8.83203125" defaultRowHeight="13.500000"/>
  <cols>
    <col min="1" max="1" style="64" width="8.78277800" customWidth="1" outlineLevel="0"/>
    <col min="2" max="3" style="66" width="3.33833334" customWidth="1" outlineLevel="0"/>
    <col min="4" max="10" style="65" width="3.33833334" customWidth="1" outlineLevel="0"/>
    <col min="11" max="29" style="64" width="3.33833334" customWidth="1" outlineLevel="0"/>
    <col min="30" max="30" style="64" width="2.33833334" customWidth="1" outlineLevel="0"/>
    <col min="31" max="257" style="64" width="6.78277800" customWidth="1" outlineLevel="0"/>
    <col min="258" max="16384" style="64" width="8.78277800" customWidth="1" outlineLevel="0"/>
  </cols>
  <sheetData>
    <row r="1" spans="2:29" s="70" customFormat="1" ht="42.000000" customHeight="1">
      <c r="B1" s="361" t="s">
        <v>114</v>
      </c>
      <c r="C1" s="361"/>
      <c r="D1" s="361"/>
      <c r="E1" s="361"/>
      <c r="F1" s="361"/>
      <c r="G1" s="361"/>
      <c r="H1" s="361"/>
      <c r="I1" s="361"/>
      <c r="J1" s="361"/>
      <c r="K1" s="361"/>
      <c r="L1" s="361"/>
      <c r="M1" s="361"/>
      <c r="N1" s="361"/>
      <c r="O1" s="361"/>
      <c r="P1" s="361"/>
      <c r="Q1" s="361"/>
      <c r="R1" s="361"/>
      <c r="S1" s="361"/>
      <c r="T1" s="361"/>
      <c r="U1" s="361"/>
      <c r="V1" s="361"/>
      <c r="W1" s="361"/>
      <c r="X1" s="361"/>
      <c r="Y1" s="361"/>
      <c r="Z1" s="361"/>
      <c r="AA1" s="361"/>
      <c r="AB1" s="361"/>
      <c r="AC1" s="361"/>
    </row>
    <row r="2" spans="2:29" s="70" customFormat="1" ht="12.000000" customHeight="1">
      <c r="B2" s="209"/>
      <c r="C2" s="209"/>
      <c r="D2" s="209"/>
      <c r="E2" s="209"/>
      <c r="F2" s="209"/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209"/>
      <c r="U2" s="209"/>
      <c r="V2" s="209"/>
      <c r="W2" s="209"/>
      <c r="X2" s="209"/>
      <c r="Y2" s="209"/>
      <c r="Z2" s="210"/>
      <c r="AA2" s="210"/>
      <c r="AB2" s="210"/>
      <c r="AC2" s="210"/>
    </row>
    <row r="3" spans="2:29" s="70" customFormat="1" ht="18.000000" customHeight="1">
      <c r="B3" s="362" t="s">
        <v>409</v>
      </c>
      <c r="C3" s="362"/>
      <c r="D3" s="362"/>
      <c r="E3" s="362"/>
      <c r="F3" s="362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2"/>
      <c r="V3" s="362"/>
      <c r="W3" s="362"/>
      <c r="X3" s="362"/>
      <c r="Y3" s="362"/>
      <c r="Z3" s="362"/>
      <c r="AA3" s="362"/>
      <c r="AB3" s="362"/>
      <c r="AC3" s="362"/>
    </row>
    <row r="4" spans="2:29" s="70" customFormat="1" ht="7.500000" customHeight="1">
      <c r="B4" s="211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1"/>
      <c r="O4" s="211"/>
      <c r="P4" s="211"/>
      <c r="Q4" s="211"/>
      <c r="R4" s="211"/>
      <c r="S4" s="211"/>
      <c r="T4" s="211"/>
      <c r="U4" s="211"/>
      <c r="V4" s="211"/>
      <c r="W4" s="211"/>
      <c r="X4" s="211"/>
      <c r="Y4" s="211"/>
      <c r="Z4" s="212"/>
      <c r="AA4" s="212"/>
      <c r="AB4" s="212"/>
      <c r="AC4" s="212"/>
    </row>
    <row r="5" spans="2:29" s="70" customFormat="1" ht="5.000000" customHeight="1">
      <c r="B5" s="209"/>
      <c r="C5" s="209"/>
      <c r="D5" s="209"/>
      <c r="E5" s="209"/>
      <c r="F5" s="209"/>
      <c r="G5" s="209"/>
      <c r="H5" s="209"/>
      <c r="I5" s="209"/>
      <c r="J5" s="209"/>
      <c r="K5" s="209"/>
      <c r="L5" s="209"/>
      <c r="M5" s="209"/>
      <c r="N5" s="209"/>
      <c r="O5" s="209"/>
      <c r="P5" s="209"/>
      <c r="Q5" s="209"/>
      <c r="R5" s="209"/>
      <c r="S5" s="209"/>
      <c r="T5" s="209"/>
      <c r="U5" s="209"/>
      <c r="V5" s="209"/>
      <c r="W5" s="209"/>
      <c r="X5" s="209"/>
      <c r="Y5" s="209"/>
      <c r="Z5" s="210"/>
      <c r="AA5" s="210"/>
      <c r="AB5" s="210"/>
      <c r="AC5" s="210"/>
    </row>
    <row r="6" spans="2:29" s="70" customFormat="1" ht="20.000000" customHeight="1">
      <c r="B6" s="360" t="s">
        <v>113</v>
      </c>
      <c r="C6" s="360"/>
      <c r="D6" s="360"/>
      <c r="E6" s="360"/>
      <c r="F6" s="213" t="s">
        <v>112</v>
      </c>
      <c r="G6" s="213"/>
      <c r="H6" s="213"/>
      <c r="I6" s="213"/>
      <c r="J6" s="213"/>
      <c r="K6" s="213"/>
      <c r="L6" s="209"/>
      <c r="M6" s="209"/>
      <c r="N6" s="209"/>
      <c r="O6" s="209"/>
      <c r="P6" s="209"/>
      <c r="Q6" s="209"/>
      <c r="R6" s="209"/>
      <c r="S6" s="209"/>
      <c r="T6" s="209"/>
      <c r="U6" s="209"/>
      <c r="V6" s="209"/>
      <c r="W6" s="209"/>
      <c r="X6" s="209"/>
      <c r="Y6" s="209"/>
      <c r="Z6" s="209"/>
      <c r="AA6" s="209"/>
      <c r="AB6" s="209"/>
      <c r="AC6" s="209"/>
    </row>
    <row r="7" spans="2:29" s="70" customFormat="1" ht="20.000000" customHeight="1">
      <c r="B7" s="360" t="s">
        <v>111</v>
      </c>
      <c r="C7" s="360"/>
      <c r="D7" s="360"/>
      <c r="E7" s="360"/>
      <c r="F7" s="363">
        <v>46072</v>
      </c>
      <c r="G7" s="363"/>
      <c r="H7" s="363"/>
      <c r="I7" s="363"/>
      <c r="J7" s="363"/>
      <c r="K7" s="363"/>
      <c r="L7" s="363"/>
      <c r="M7" s="363"/>
      <c r="N7" s="209"/>
      <c r="O7" s="209"/>
      <c r="P7" s="209"/>
      <c r="Q7" s="209"/>
      <c r="R7" s="209"/>
      <c r="S7" s="209"/>
      <c r="T7" s="209"/>
      <c r="U7" s="209"/>
      <c r="V7" s="209"/>
      <c r="W7" s="209"/>
      <c r="X7" s="209"/>
      <c r="Y7" s="209"/>
      <c r="Z7" s="209"/>
      <c r="AA7" s="209"/>
      <c r="AB7" s="209"/>
      <c r="AC7" s="209"/>
    </row>
    <row r="8" spans="2:29" s="70" customFormat="1" ht="20.000000" customHeight="1">
      <c r="B8" s="360" t="s">
        <v>110</v>
      </c>
      <c r="C8" s="360"/>
      <c r="D8" s="360"/>
      <c r="E8" s="360"/>
      <c r="F8" s="213" t="s">
        <v>418</v>
      </c>
      <c r="G8" s="213"/>
      <c r="H8" s="213"/>
      <c r="I8" s="213"/>
      <c r="J8" s="213"/>
      <c r="K8" s="213"/>
      <c r="L8" s="213"/>
      <c r="M8" s="213"/>
      <c r="N8" s="213"/>
      <c r="O8" s="213"/>
      <c r="P8" s="213"/>
      <c r="Q8" s="213"/>
      <c r="R8" s="213"/>
      <c r="S8" s="213"/>
      <c r="T8" s="213"/>
      <c r="U8" s="213"/>
      <c r="V8" s="213"/>
      <c r="W8" s="213"/>
      <c r="X8" s="213"/>
      <c r="Y8" s="213"/>
      <c r="Z8" s="213"/>
      <c r="AA8" s="213"/>
      <c r="AB8" s="213"/>
      <c r="AC8" s="213"/>
    </row>
    <row r="9" spans="2:29" s="70" customFormat="1" ht="20.000000" customHeight="1">
      <c r="B9" s="360" t="s">
        <v>109</v>
      </c>
      <c r="C9" s="360"/>
      <c r="D9" s="360"/>
      <c r="E9" s="360"/>
      <c r="F9" s="209" t="s">
        <v>108</v>
      </c>
      <c r="G9" s="209"/>
      <c r="H9" s="209"/>
      <c r="I9" s="209"/>
    </row>
    <row r="10" spans="2:29" s="70" customFormat="1" ht="20.000000" customHeight="1">
      <c r="B10" s="360" t="s">
        <v>107</v>
      </c>
      <c r="C10" s="360"/>
      <c r="D10" s="360"/>
      <c r="E10" s="360"/>
      <c r="F10" s="213" t="s">
        <v>420</v>
      </c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</row>
    <row r="11" spans="2:29" s="70" customFormat="1" ht="13.500000" hidden="1" customHeight="1">
      <c r="B11" s="214"/>
      <c r="C11" s="214"/>
      <c r="D11" s="214"/>
      <c r="E11" s="214"/>
      <c r="F11" s="214"/>
      <c r="G11" s="214"/>
      <c r="H11" s="214"/>
      <c r="I11" s="214"/>
      <c r="J11" s="214"/>
      <c r="K11" s="214"/>
      <c r="L11" s="214"/>
      <c r="M11" s="214"/>
      <c r="N11" s="214"/>
      <c r="O11" s="214"/>
      <c r="P11" s="214"/>
      <c r="Q11" s="214"/>
      <c r="R11" s="214"/>
      <c r="S11" s="214"/>
      <c r="T11" s="214"/>
      <c r="U11" s="214"/>
      <c r="V11" s="214"/>
      <c r="W11" s="214"/>
      <c r="X11" s="214"/>
      <c r="Y11" s="214"/>
      <c r="Z11" s="214"/>
      <c r="AA11" s="214"/>
      <c r="AB11" s="214"/>
      <c r="AC11" s="214"/>
    </row>
    <row r="12" spans="2:29" s="70" customFormat="1" ht="7.500000" customHeight="1">
      <c r="B12" s="211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1"/>
      <c r="O12" s="211"/>
      <c r="P12" s="211"/>
      <c r="Q12" s="211"/>
      <c r="R12" s="211"/>
      <c r="S12" s="211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</row>
    <row r="13" spans="2:29" s="70" customFormat="1" ht="5.000000" customHeight="1">
      <c r="B13" s="209"/>
      <c r="C13" s="209"/>
      <c r="D13" s="209"/>
      <c r="E13" s="209"/>
      <c r="F13" s="209"/>
      <c r="G13" s="209"/>
      <c r="H13" s="209"/>
      <c r="I13" s="209"/>
      <c r="J13" s="209"/>
      <c r="K13" s="209"/>
      <c r="L13" s="209"/>
      <c r="M13" s="209"/>
      <c r="N13" s="209"/>
      <c r="O13" s="209"/>
      <c r="P13" s="209"/>
      <c r="Q13" s="209"/>
      <c r="R13" s="209"/>
      <c r="S13" s="209"/>
      <c r="T13" s="209"/>
      <c r="U13" s="209"/>
      <c r="V13" s="209"/>
      <c r="W13" s="209"/>
      <c r="X13" s="209"/>
      <c r="Y13" s="209"/>
      <c r="Z13" s="209"/>
      <c r="AA13" s="209"/>
      <c r="AB13" s="209"/>
      <c r="AC13" s="209"/>
    </row>
    <row r="14" spans="2:29" s="70" customFormat="1" ht="20.000000" customHeight="1">
      <c r="B14" s="213" t="s">
        <v>426</v>
      </c>
      <c r="C14" s="213"/>
      <c r="D14" s="213"/>
      <c r="E14" s="213"/>
      <c r="F14" s="213"/>
      <c r="G14" s="213"/>
      <c r="H14" s="213"/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  <c r="AC14" s="213"/>
    </row>
    <row r="15" spans="2:29" s="70" customFormat="1" ht="10.000000" customHeight="1">
      <c r="B15" s="209"/>
      <c r="C15" s="209"/>
      <c r="D15" s="209"/>
      <c r="E15" s="209"/>
      <c r="F15" s="209"/>
      <c r="G15" s="209"/>
      <c r="H15" s="209"/>
      <c r="I15" s="209"/>
      <c r="J15" s="209"/>
      <c r="K15" s="209"/>
      <c r="L15" s="209"/>
      <c r="M15" s="209"/>
      <c r="N15" s="209"/>
      <c r="O15" s="209"/>
      <c r="P15" s="209"/>
      <c r="Q15" s="209"/>
      <c r="R15" s="209"/>
      <c r="S15" s="209"/>
      <c r="T15" s="209"/>
      <c r="U15" s="209"/>
      <c r="V15" s="209"/>
      <c r="W15" s="209"/>
      <c r="X15" s="209"/>
      <c r="Y15" s="209"/>
      <c r="Z15" s="209"/>
      <c r="AA15" s="209"/>
      <c r="AB15" s="209"/>
      <c r="AC15" s="209"/>
    </row>
    <row r="16" spans="2:29" s="70" customFormat="1" ht="72.000000" customHeight="1">
      <c r="B16" s="215" t="s">
        <v>427</v>
      </c>
      <c r="C16" s="215"/>
      <c r="D16" s="215"/>
      <c r="E16" s="215"/>
      <c r="F16" s="215"/>
      <c r="G16" s="215"/>
      <c r="H16" s="215"/>
      <c r="I16" s="215"/>
      <c r="J16" s="215"/>
      <c r="K16" s="215"/>
      <c r="L16" s="215"/>
      <c r="M16" s="215"/>
      <c r="N16" s="215"/>
      <c r="O16" s="215"/>
      <c r="P16" s="215"/>
      <c r="Q16" s="215"/>
      <c r="R16" s="215"/>
      <c r="S16" s="215"/>
      <c r="T16" s="215"/>
      <c r="U16" s="215"/>
      <c r="V16" s="215"/>
      <c r="W16" s="215"/>
      <c r="X16" s="215"/>
      <c r="Y16" s="215"/>
      <c r="Z16" s="215"/>
      <c r="AA16" s="215"/>
      <c r="AB16" s="215"/>
      <c r="AC16" s="215"/>
    </row>
    <row r="17" spans="2:32" s="70" customFormat="1" ht="5.000000" customHeight="1">
      <c r="B17" s="209"/>
      <c r="C17" s="209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209"/>
      <c r="AB17" s="209"/>
      <c r="AC17" s="209"/>
    </row>
    <row r="18" spans="2:32" s="70" customFormat="1" ht="33.750000" customHeight="1">
      <c r="B18" s="216" t="s">
        <v>428</v>
      </c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09"/>
      <c r="S18" s="209"/>
      <c r="T18" s="209"/>
      <c r="U18" s="209"/>
      <c r="V18" s="209"/>
      <c r="W18" s="209"/>
      <c r="X18" s="209"/>
      <c r="Y18" s="209"/>
      <c r="Z18" s="209"/>
      <c r="AA18" s="209"/>
      <c r="AB18" s="209"/>
      <c r="AC18" s="209"/>
    </row>
    <row r="19" spans="2:32" s="70" customFormat="1" ht="10.000000" customHeight="1"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209"/>
    </row>
    <row r="20" spans="2:32" s="70" customFormat="1" ht="20.000000" customHeight="1">
      <c r="B20" s="213" t="s">
        <v>429</v>
      </c>
      <c r="C20" s="213"/>
      <c r="D20" s="213"/>
      <c r="E20" s="213"/>
      <c r="F20" s="213"/>
      <c r="G20" s="213"/>
      <c r="H20" s="213"/>
      <c r="I20" s="213"/>
      <c r="J20" s="213"/>
      <c r="K20" s="213"/>
      <c r="L20" s="209"/>
      <c r="M20" s="209"/>
      <c r="N20" s="209"/>
      <c r="O20" s="209"/>
      <c r="P20" s="209"/>
      <c r="Q20" s="209"/>
      <c r="R20" s="209"/>
      <c r="S20" s="209"/>
      <c r="T20" s="209"/>
      <c r="U20" s="209"/>
      <c r="V20" s="209"/>
      <c r="W20" s="209"/>
      <c r="X20" s="209"/>
      <c r="Y20" s="209"/>
      <c r="Z20" s="209"/>
      <c r="AA20" s="209"/>
      <c r="AB20" s="209"/>
      <c r="AC20" s="209"/>
    </row>
    <row r="21" spans="2:32" s="70" customFormat="1" ht="20.000000" customHeight="1">
      <c r="B21" s="209"/>
      <c r="C21" s="209"/>
      <c r="D21" s="209"/>
      <c r="E21" s="209"/>
      <c r="F21" s="213" t="s">
        <v>433</v>
      </c>
      <c r="G21" s="213"/>
      <c r="H21" s="213"/>
      <c r="I21" s="213"/>
      <c r="J21" s="213"/>
      <c r="K21" s="213"/>
      <c r="L21" s="213" t="s">
        <v>418</v>
      </c>
      <c r="M21" s="213"/>
      <c r="N21" s="213"/>
      <c r="O21" s="213"/>
      <c r="P21" s="213"/>
      <c r="Q21" s="213"/>
      <c r="R21" s="213"/>
      <c r="S21" s="213"/>
      <c r="T21" s="213"/>
      <c r="U21" s="213"/>
      <c r="V21" s="213"/>
      <c r="W21" s="213"/>
      <c r="X21" s="213"/>
      <c r="Y21" s="213"/>
      <c r="Z21" s="213"/>
      <c r="AA21" s="213"/>
      <c r="AB21" s="213"/>
      <c r="AC21" s="213"/>
    </row>
    <row r="22" spans="2:32" s="70" customFormat="1" ht="20.000000" customHeight="1">
      <c r="B22" s="209"/>
      <c r="C22" s="209"/>
      <c r="D22" s="209"/>
      <c r="E22" s="209"/>
      <c r="F22" s="213" t="s">
        <v>443</v>
      </c>
      <c r="G22" s="213"/>
      <c r="H22" s="213"/>
      <c r="I22" s="213"/>
      <c r="J22" s="213"/>
      <c r="K22" s="213"/>
      <c r="L22" s="213" t="s">
        <v>116</v>
      </c>
      <c r="M22" s="213"/>
      <c r="N22" s="213"/>
      <c r="O22" s="213"/>
      <c r="P22" s="213"/>
      <c r="Q22" s="213"/>
      <c r="R22" s="213"/>
      <c r="S22" s="213"/>
      <c r="T22" s="213"/>
      <c r="U22" s="213"/>
      <c r="V22" s="213"/>
      <c r="W22" s="213"/>
      <c r="X22" s="213"/>
      <c r="Y22" s="213"/>
      <c r="Z22" s="213"/>
      <c r="AA22" s="213"/>
      <c r="AB22" s="213"/>
      <c r="AC22" s="213"/>
    </row>
    <row r="23" spans="2:32" s="70" customFormat="1" ht="20.000000" customHeight="1">
      <c r="B23" s="209"/>
      <c r="C23" s="209"/>
      <c r="D23" s="209"/>
      <c r="E23" s="209"/>
      <c r="F23" s="213" t="s">
        <v>444</v>
      </c>
      <c r="G23" s="213"/>
      <c r="H23" s="213"/>
      <c r="I23" s="213"/>
      <c r="J23" s="213"/>
      <c r="K23" s="213"/>
      <c r="L23" s="213" t="s">
        <v>115</v>
      </c>
      <c r="M23" s="213"/>
      <c r="N23" s="213"/>
      <c r="O23" s="213"/>
      <c r="P23" s="213"/>
      <c r="Q23" s="213"/>
      <c r="R23" s="213"/>
      <c r="S23" s="213"/>
      <c r="T23" s="213"/>
      <c r="U23" s="213"/>
      <c r="V23" s="213"/>
      <c r="W23" s="213"/>
      <c r="X23" s="213"/>
      <c r="Y23" s="213"/>
      <c r="Z23" s="213"/>
      <c r="AA23" s="213"/>
      <c r="AB23" s="213"/>
      <c r="AC23" s="213"/>
    </row>
    <row r="24" spans="2:32" s="70" customFormat="1" ht="20.000000" customHeight="1">
      <c r="B24" s="209"/>
      <c r="C24" s="209"/>
      <c r="D24" s="209"/>
      <c r="E24" s="209"/>
      <c r="F24" s="213" t="s">
        <v>414</v>
      </c>
      <c r="G24" s="213"/>
      <c r="H24" s="213"/>
      <c r="I24" s="213"/>
      <c r="J24" s="213"/>
      <c r="K24" s="213"/>
      <c r="L24" s="213" t="s">
        <v>117</v>
      </c>
      <c r="M24" s="213"/>
      <c r="N24" s="213"/>
      <c r="O24" s="213"/>
      <c r="P24" s="213"/>
      <c r="Q24" s="213"/>
      <c r="R24" s="213"/>
      <c r="S24" s="213"/>
      <c r="T24" s="213"/>
      <c r="U24" s="213"/>
      <c r="V24" s="213"/>
      <c r="W24" s="213"/>
      <c r="X24" s="213"/>
      <c r="Y24" s="213"/>
      <c r="Z24" s="213"/>
      <c r="AA24" s="213"/>
      <c r="AB24" s="213"/>
      <c r="AC24" s="213"/>
    </row>
    <row r="25" spans="2:32" s="70" customFormat="1" ht="20.000000" customHeight="1">
      <c r="B25" s="209"/>
      <c r="C25" s="209"/>
      <c r="D25" s="209"/>
      <c r="E25" s="209"/>
      <c r="F25" s="213" t="s">
        <v>415</v>
      </c>
      <c r="G25" s="213"/>
      <c r="H25" s="213"/>
      <c r="I25" s="213"/>
      <c r="J25" s="213"/>
      <c r="K25" s="213"/>
      <c r="L25" s="213" t="s">
        <v>405</v>
      </c>
      <c r="M25" s="213"/>
      <c r="N25" s="213"/>
      <c r="O25" s="213"/>
      <c r="P25" s="213"/>
      <c r="Q25" s="213"/>
      <c r="R25" s="213"/>
      <c r="S25" s="213"/>
      <c r="T25" s="213"/>
      <c r="U25" s="213"/>
      <c r="V25" s="209"/>
      <c r="W25" s="209"/>
      <c r="X25" s="209"/>
      <c r="Y25" s="209"/>
      <c r="Z25" s="209"/>
      <c r="AA25" s="209"/>
      <c r="AB25" s="213"/>
      <c r="AC25" s="213"/>
      <c r="AD25" s="137"/>
      <c r="AE25" s="137"/>
      <c r="AF25" s="137"/>
    </row>
    <row r="26" spans="2:32" s="70" customFormat="1" ht="10.000000" customHeight="1">
      <c r="B26" s="209"/>
      <c r="C26" s="209"/>
      <c r="D26" s="209"/>
      <c r="E26" s="209"/>
      <c r="F26" s="209"/>
      <c r="G26" s="209"/>
      <c r="H26" s="209"/>
      <c r="I26" s="209"/>
      <c r="J26" s="209"/>
      <c r="K26" s="209"/>
      <c r="L26" s="209"/>
      <c r="M26" s="209"/>
      <c r="N26" s="209"/>
      <c r="O26" s="209"/>
      <c r="P26" s="209"/>
      <c r="Q26" s="209"/>
      <c r="R26" s="209"/>
      <c r="S26" s="209"/>
      <c r="T26" s="209"/>
      <c r="U26" s="209"/>
      <c r="V26" s="209"/>
      <c r="W26" s="209"/>
      <c r="X26" s="209"/>
      <c r="Y26" s="209"/>
      <c r="Z26" s="209"/>
      <c r="AA26" s="209"/>
      <c r="AB26" s="209"/>
      <c r="AC26" s="209"/>
    </row>
    <row r="27" spans="2:32" s="70" customFormat="1" ht="20.000000" customHeight="1">
      <c r="B27" s="213" t="s">
        <v>430</v>
      </c>
      <c r="C27" s="213"/>
      <c r="D27" s="213"/>
      <c r="E27" s="213"/>
      <c r="F27" s="213"/>
      <c r="G27" s="213"/>
      <c r="H27" s="213"/>
      <c r="I27" s="213"/>
      <c r="J27" s="213"/>
      <c r="K27" s="213"/>
      <c r="L27" s="209"/>
      <c r="M27" s="209"/>
      <c r="N27" s="209"/>
      <c r="O27" s="209"/>
      <c r="P27" s="209"/>
      <c r="Q27" s="209"/>
      <c r="R27" s="209"/>
      <c r="S27" s="209"/>
      <c r="T27" s="209"/>
      <c r="U27" s="209"/>
      <c r="V27" s="209"/>
      <c r="W27" s="209"/>
      <c r="X27" s="209"/>
      <c r="Y27" s="209"/>
      <c r="Z27" s="209"/>
      <c r="AA27" s="209"/>
      <c r="AB27" s="209"/>
      <c r="AC27" s="209"/>
    </row>
    <row r="28" spans="2:32" s="70" customFormat="1" ht="20.000000" customHeight="1">
      <c r="B28" s="209"/>
      <c r="C28" s="209"/>
      <c r="D28" s="209"/>
      <c r="E28" s="209"/>
      <c r="F28" s="359" t="s">
        <v>296</v>
      </c>
      <c r="G28" s="359"/>
      <c r="H28" s="359"/>
      <c r="I28" s="359"/>
      <c r="J28" s="359"/>
      <c r="K28" s="359"/>
      <c r="L28" s="359"/>
      <c r="M28" s="359"/>
      <c r="N28" s="359"/>
      <c r="O28" s="359"/>
      <c r="P28" s="359"/>
      <c r="Q28" s="359"/>
      <c r="R28" s="359"/>
      <c r="S28" s="359"/>
      <c r="T28" s="359"/>
      <c r="U28" s="359"/>
      <c r="V28" s="359"/>
      <c r="W28" s="359"/>
      <c r="X28" s="359"/>
      <c r="Y28" s="359"/>
      <c r="Z28" s="359"/>
      <c r="AA28" s="359"/>
      <c r="AB28" s="359"/>
      <c r="AC28" s="359"/>
    </row>
    <row r="29" spans="2:32" s="70" customFormat="1" ht="20.000000" customHeight="1">
      <c r="B29" s="209"/>
      <c r="C29" s="209"/>
      <c r="D29" s="209"/>
      <c r="E29" s="209"/>
      <c r="F29" s="359" t="s">
        <v>157</v>
      </c>
      <c r="G29" s="359"/>
      <c r="H29" s="359"/>
      <c r="I29" s="359"/>
      <c r="J29" s="359"/>
      <c r="K29" s="359"/>
      <c r="L29" s="359"/>
      <c r="M29" s="359"/>
      <c r="N29" s="359"/>
      <c r="O29" s="359"/>
      <c r="P29" s="359"/>
      <c r="Q29" s="359"/>
      <c r="R29" s="359"/>
      <c r="S29" s="359"/>
      <c r="T29" s="359"/>
      <c r="U29" s="359"/>
      <c r="V29" s="359"/>
      <c r="W29" s="359"/>
      <c r="X29" s="359"/>
      <c r="Y29" s="359"/>
      <c r="Z29" s="359"/>
      <c r="AA29" s="359"/>
      <c r="AB29" s="359"/>
      <c r="AC29" s="359"/>
    </row>
    <row r="30" spans="2:32" s="70" customFormat="1" ht="10.000000" customHeight="1">
      <c r="B30" s="209"/>
      <c r="C30" s="209"/>
      <c r="D30" s="209"/>
      <c r="E30" s="209"/>
      <c r="F30" s="209"/>
      <c r="G30" s="209"/>
      <c r="H30" s="209"/>
      <c r="I30" s="209"/>
      <c r="J30" s="209"/>
      <c r="K30" s="209"/>
      <c r="L30" s="209"/>
      <c r="M30" s="209"/>
      <c r="N30" s="209"/>
      <c r="O30" s="209"/>
      <c r="P30" s="209"/>
      <c r="Q30" s="209"/>
      <c r="R30" s="209"/>
      <c r="S30" s="209"/>
      <c r="T30" s="209"/>
      <c r="U30" s="209"/>
      <c r="V30" s="209"/>
      <c r="W30" s="209"/>
      <c r="X30" s="209"/>
      <c r="Y30" s="209"/>
      <c r="Z30" s="209"/>
      <c r="AA30" s="209"/>
      <c r="AB30" s="209"/>
      <c r="AC30" s="209"/>
    </row>
    <row r="31" spans="2:32" s="70" customFormat="1" ht="20.000000" customHeight="1">
      <c r="B31" s="357" t="s">
        <v>432</v>
      </c>
      <c r="C31" s="357"/>
      <c r="D31" s="357"/>
      <c r="E31" s="357"/>
      <c r="F31" s="357"/>
      <c r="G31" s="357"/>
      <c r="H31" s="357"/>
      <c r="I31" s="357"/>
      <c r="J31" s="357"/>
      <c r="K31" s="357"/>
      <c r="L31" s="358" t="str">
        <f>대가산출!D3</f>
        <v>일금일백팔십만원정 (₩1,800,000) - VAT별도</v>
      </c>
      <c r="M31" s="358"/>
      <c r="N31" s="358"/>
      <c r="O31" s="358"/>
      <c r="P31" s="358"/>
      <c r="Q31" s="358"/>
      <c r="R31" s="358"/>
      <c r="S31" s="358"/>
      <c r="T31" s="358"/>
      <c r="U31" s="358"/>
      <c r="V31" s="358"/>
      <c r="W31" s="358"/>
      <c r="X31" s="358"/>
      <c r="Y31" s="358"/>
      <c r="Z31" s="358"/>
      <c r="AA31" s="358"/>
      <c r="AB31" s="358"/>
      <c r="AC31" s="358"/>
    </row>
    <row r="32" spans="2:32" s="70" customFormat="1" ht="10.000000" customHeight="1">
      <c r="B32" s="209"/>
      <c r="C32" s="209"/>
      <c r="D32" s="209"/>
      <c r="E32" s="209"/>
      <c r="F32" s="209"/>
      <c r="G32" s="209"/>
      <c r="H32" s="209"/>
      <c r="I32" s="209"/>
      <c r="J32" s="209"/>
      <c r="K32" s="209"/>
      <c r="L32" s="209"/>
      <c r="M32" s="209"/>
      <c r="N32" s="209"/>
      <c r="O32" s="209"/>
      <c r="P32" s="209"/>
      <c r="Q32" s="209"/>
      <c r="R32" s="209"/>
      <c r="S32" s="209"/>
      <c r="T32" s="209"/>
      <c r="U32" s="209"/>
      <c r="V32" s="209"/>
      <c r="W32" s="209"/>
      <c r="X32" s="209"/>
      <c r="Y32" s="209"/>
      <c r="Z32" s="209"/>
      <c r="AA32" s="209"/>
      <c r="AB32" s="209"/>
      <c r="AC32" s="209"/>
    </row>
    <row r="33" spans="2:30" s="70" customFormat="1" ht="20.000000" customHeight="1">
      <c r="B33" s="213" t="s">
        <v>431</v>
      </c>
      <c r="C33" s="213"/>
      <c r="D33" s="213"/>
      <c r="E33" s="213"/>
      <c r="F33" s="213"/>
      <c r="G33" s="213"/>
      <c r="H33" s="213"/>
      <c r="I33" s="213"/>
      <c r="J33" s="213"/>
      <c r="K33" s="213"/>
      <c r="L33" s="209"/>
      <c r="M33" s="209"/>
      <c r="N33" s="209"/>
      <c r="O33" s="209"/>
      <c r="P33" s="209"/>
      <c r="Q33" s="209"/>
      <c r="R33" s="209"/>
      <c r="S33" s="209"/>
      <c r="T33" s="209"/>
      <c r="U33" s="209"/>
      <c r="V33" s="209"/>
      <c r="W33" s="209"/>
      <c r="X33" s="209"/>
      <c r="Y33" s="209"/>
      <c r="Z33" s="209"/>
      <c r="AA33" s="209"/>
      <c r="AB33" s="209"/>
      <c r="AC33" s="209"/>
    </row>
    <row r="34" spans="2:30" s="70" customFormat="1" ht="54.000000" customHeight="1">
      <c r="B34" s="216"/>
      <c r="C34" s="216"/>
      <c r="D34" s="216"/>
      <c r="E34" s="216"/>
      <c r="F34" s="215" t="s">
        <v>375</v>
      </c>
      <c r="G34" s="215"/>
      <c r="H34" s="215"/>
      <c r="I34" s="215"/>
      <c r="J34" s="215"/>
      <c r="K34" s="215"/>
      <c r="L34" s="215"/>
      <c r="M34" s="215"/>
      <c r="N34" s="215"/>
      <c r="O34" s="215"/>
      <c r="P34" s="215"/>
      <c r="Q34" s="215"/>
      <c r="R34" s="215"/>
      <c r="S34" s="215"/>
      <c r="T34" s="215"/>
      <c r="U34" s="215"/>
      <c r="V34" s="215"/>
      <c r="W34" s="215"/>
      <c r="X34" s="215"/>
      <c r="Y34" s="215"/>
      <c r="Z34" s="215"/>
      <c r="AA34" s="215"/>
      <c r="AB34" s="215"/>
      <c r="AC34" s="215"/>
    </row>
    <row r="35" spans="2:30" s="70" customFormat="1" ht="10.000000" customHeight="1">
      <c r="B35" s="215"/>
      <c r="C35" s="215"/>
      <c r="D35" s="215"/>
      <c r="E35" s="215"/>
      <c r="F35" s="215"/>
      <c r="G35" s="215"/>
      <c r="H35" s="215"/>
      <c r="I35" s="215"/>
      <c r="J35" s="215"/>
      <c r="K35" s="215"/>
      <c r="L35" s="215"/>
      <c r="M35" s="215"/>
      <c r="N35" s="215"/>
      <c r="O35" s="215"/>
      <c r="P35" s="215"/>
      <c r="Q35" s="215"/>
      <c r="R35" s="215"/>
      <c r="S35" s="215"/>
      <c r="T35" s="215"/>
      <c r="U35" s="215"/>
      <c r="V35" s="215"/>
      <c r="W35" s="215"/>
      <c r="X35" s="215"/>
      <c r="Y35" s="215"/>
      <c r="Z35" s="215"/>
      <c r="AA35" s="215"/>
      <c r="AB35" s="215"/>
      <c r="AC35" s="215"/>
    </row>
    <row r="36" spans="2:30" s="70" customFormat="1" ht="19.500000" customHeight="1">
      <c r="B36" s="213" t="s">
        <v>408</v>
      </c>
      <c r="C36" s="213"/>
      <c r="D36" s="213"/>
      <c r="E36" s="213"/>
      <c r="F36" s="213"/>
      <c r="G36" s="213"/>
      <c r="H36" s="213"/>
      <c r="I36" s="213"/>
      <c r="J36" s="213"/>
      <c r="K36" s="213"/>
      <c r="L36" s="213"/>
      <c r="M36" s="213"/>
      <c r="N36" s="213"/>
      <c r="O36" s="213"/>
      <c r="P36" s="213"/>
      <c r="Q36" s="213"/>
      <c r="R36" s="213"/>
      <c r="S36" s="213"/>
      <c r="T36" s="213"/>
      <c r="U36" s="213"/>
      <c r="V36" s="213"/>
      <c r="W36" s="213"/>
      <c r="X36" s="213"/>
      <c r="Y36" s="213"/>
      <c r="Z36" s="213"/>
      <c r="AA36" s="213"/>
      <c r="AB36" s="213"/>
      <c r="AC36" s="213"/>
    </row>
    <row r="37" spans="2:30" s="70" customFormat="1" ht="15.750000" customHeight="1">
      <c r="B37" s="209"/>
      <c r="C37" s="209"/>
      <c r="D37" s="209"/>
      <c r="E37" s="209"/>
      <c r="F37" s="209"/>
      <c r="G37" s="209"/>
      <c r="H37" s="217"/>
      <c r="I37" s="217"/>
      <c r="J37" s="209"/>
      <c r="K37" s="209"/>
      <c r="L37" s="209"/>
      <c r="M37" s="209"/>
      <c r="N37" s="209"/>
      <c r="O37" s="209"/>
      <c r="P37" s="209"/>
      <c r="Q37" s="209"/>
      <c r="R37" s="209"/>
      <c r="S37" s="209"/>
      <c r="T37" s="209"/>
      <c r="U37" s="209"/>
      <c r="V37" s="209"/>
      <c r="W37" s="209"/>
      <c r="X37" s="209"/>
      <c r="Y37" s="209"/>
      <c r="Z37" s="209"/>
      <c r="AA37" s="209"/>
      <c r="AB37" s="209"/>
      <c r="AC37" s="209"/>
    </row>
    <row r="38" spans="2:30" s="70" customFormat="1" ht="46.500000" customHeight="1">
      <c r="B38" s="356" t="s">
        <v>106</v>
      </c>
      <c r="C38" s="356"/>
      <c r="D38" s="356"/>
      <c r="E38" s="356"/>
      <c r="F38" s="356"/>
      <c r="G38" s="356"/>
      <c r="H38" s="356"/>
      <c r="I38" s="356"/>
      <c r="J38" s="356"/>
      <c r="K38" s="356"/>
      <c r="L38" s="356"/>
      <c r="M38" s="356"/>
      <c r="N38" s="356"/>
      <c r="O38" s="356"/>
      <c r="P38" s="356"/>
      <c r="Q38" s="356"/>
      <c r="R38" s="356"/>
      <c r="S38" s="356"/>
      <c r="T38" s="356"/>
      <c r="U38" s="356"/>
      <c r="V38" s="356"/>
      <c r="W38" s="356"/>
      <c r="X38" s="356"/>
      <c r="Y38" s="356"/>
      <c r="Z38" s="356"/>
      <c r="AA38" s="356"/>
      <c r="AB38" s="356"/>
      <c r="AC38" s="356"/>
      <c r="AD38" s="71"/>
    </row>
    <row r="39" spans="2:30">
      <c r="B39" s="218"/>
      <c r="C39" s="218"/>
      <c r="D39" s="219"/>
      <c r="E39" s="219"/>
      <c r="F39" s="219"/>
      <c r="G39" s="219"/>
      <c r="H39" s="219"/>
      <c r="I39" s="219"/>
      <c r="J39" s="219"/>
      <c r="K39" s="218"/>
      <c r="L39" s="218"/>
      <c r="M39" s="218"/>
      <c r="N39" s="218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  <c r="AA39" s="218"/>
      <c r="AB39" s="218"/>
      <c r="AC39" s="218"/>
    </row>
    <row r="40" spans="2:30">
      <c r="B40" s="64"/>
      <c r="C40" s="64"/>
      <c r="D40" s="69"/>
      <c r="E40" s="69"/>
      <c r="F40" s="69"/>
      <c r="G40" s="69"/>
      <c r="H40" s="69"/>
      <c r="I40" s="69"/>
      <c r="J40" s="69"/>
    </row>
    <row r="41" spans="2:30">
      <c r="B41" s="64"/>
      <c r="C41" s="64"/>
      <c r="D41" s="69"/>
      <c r="E41" s="69"/>
      <c r="F41" s="69"/>
      <c r="G41" s="69"/>
      <c r="H41" s="69"/>
      <c r="I41" s="69"/>
      <c r="J41" s="69"/>
    </row>
    <row r="42" spans="2:30">
      <c r="B42" s="64"/>
      <c r="C42" s="64"/>
      <c r="D42" s="69"/>
      <c r="E42" s="69"/>
      <c r="F42" s="69"/>
      <c r="G42" s="69"/>
      <c r="H42" s="69"/>
      <c r="I42" s="69"/>
      <c r="J42" s="69"/>
    </row>
    <row r="43" spans="2:30">
      <c r="B43" s="64"/>
      <c r="C43" s="64"/>
      <c r="D43" s="69"/>
      <c r="E43" s="69"/>
      <c r="F43" s="69"/>
      <c r="G43" s="69"/>
      <c r="H43" s="69"/>
      <c r="I43" s="69"/>
      <c r="J43" s="69"/>
    </row>
    <row r="44" spans="2:30">
      <c r="B44" s="64"/>
      <c r="C44" s="64"/>
      <c r="D44" s="69"/>
      <c r="E44" s="69"/>
      <c r="F44" s="69"/>
      <c r="G44" s="69"/>
      <c r="H44" s="69"/>
      <c r="I44" s="69"/>
      <c r="J44" s="69"/>
    </row>
    <row r="45" spans="2:30">
      <c r="B45" s="64"/>
      <c r="C45" s="64"/>
      <c r="D45" s="69"/>
      <c r="E45" s="69"/>
      <c r="F45" s="69"/>
      <c r="G45" s="69"/>
      <c r="H45" s="69"/>
      <c r="I45" s="69"/>
      <c r="J45" s="69"/>
    </row>
    <row r="46" spans="2:30">
      <c r="B46" s="64"/>
      <c r="C46" s="64"/>
      <c r="D46" s="69"/>
      <c r="E46" s="69"/>
      <c r="F46" s="69"/>
      <c r="G46" s="69"/>
      <c r="H46" s="69"/>
      <c r="I46" s="69"/>
      <c r="J46" s="69"/>
    </row>
    <row r="47" spans="2:30">
      <c r="B47" s="64"/>
      <c r="C47" s="64"/>
      <c r="D47" s="69"/>
      <c r="E47" s="69"/>
      <c r="F47" s="69"/>
      <c r="G47" s="69"/>
      <c r="H47" s="69"/>
      <c r="I47" s="69"/>
      <c r="J47" s="69"/>
    </row>
    <row r="48" spans="2:30">
      <c r="B48" s="64"/>
      <c r="C48" s="64"/>
      <c r="D48" s="69"/>
      <c r="E48" s="69"/>
      <c r="F48" s="69"/>
      <c r="G48" s="69"/>
      <c r="H48" s="69"/>
      <c r="I48" s="69"/>
      <c r="J48" s="69"/>
    </row>
    <row r="49" spans="4:10" s="64" customFormat="1" ht="12.000000">
      <c r="D49" s="69"/>
      <c r="E49" s="69"/>
      <c r="F49" s="69"/>
      <c r="G49" s="69"/>
      <c r="H49" s="69"/>
      <c r="I49" s="69"/>
      <c r="J49" s="69"/>
    </row>
    <row r="50" spans="4:10" s="64" customFormat="1" ht="12.000000">
      <c r="D50" s="69"/>
      <c r="E50" s="69"/>
      <c r="F50" s="69"/>
      <c r="G50" s="69"/>
      <c r="H50" s="69"/>
      <c r="I50" s="69"/>
      <c r="J50" s="69"/>
    </row>
    <row r="51" spans="4:10" s="64" customFormat="1" ht="12.000000">
      <c r="D51" s="69"/>
      <c r="E51" s="69"/>
      <c r="F51" s="69"/>
      <c r="G51" s="69"/>
      <c r="H51" s="69"/>
      <c r="I51" s="69"/>
      <c r="J51" s="69"/>
    </row>
    <row r="52" spans="4:10" s="64" customFormat="1" ht="12.000000">
      <c r="D52" s="69"/>
      <c r="E52" s="69"/>
      <c r="F52" s="69"/>
      <c r="G52" s="69"/>
      <c r="H52" s="69"/>
      <c r="I52" s="69"/>
      <c r="J52" s="69"/>
    </row>
    <row r="53" spans="4:10" s="64" customFormat="1" ht="12.000000">
      <c r="D53" s="69"/>
      <c r="E53" s="69"/>
      <c r="F53" s="69"/>
      <c r="G53" s="69"/>
      <c r="H53" s="69"/>
      <c r="I53" s="69"/>
      <c r="J53" s="69"/>
    </row>
    <row r="54" spans="4:10" s="64" customFormat="1" ht="12.000000">
      <c r="D54" s="69"/>
      <c r="E54" s="69"/>
      <c r="F54" s="69"/>
      <c r="G54" s="69"/>
      <c r="H54" s="69"/>
      <c r="I54" s="69"/>
      <c r="J54" s="69"/>
    </row>
    <row r="55" spans="4:10" s="64" customFormat="1" ht="12.000000">
      <c r="D55" s="69"/>
      <c r="E55" s="69"/>
      <c r="F55" s="69"/>
      <c r="G55" s="69"/>
      <c r="H55" s="69"/>
      <c r="I55" s="69"/>
      <c r="J55" s="69"/>
    </row>
    <row r="56" spans="4:10" s="64" customFormat="1" ht="12.000000">
      <c r="D56" s="69"/>
      <c r="E56" s="69"/>
      <c r="F56" s="69"/>
      <c r="G56" s="69"/>
      <c r="H56" s="69"/>
      <c r="I56" s="69"/>
      <c r="J56" s="69"/>
    </row>
    <row r="57" spans="4:10" s="64" customFormat="1" ht="12.000000">
      <c r="D57" s="69"/>
      <c r="E57" s="69"/>
      <c r="F57" s="69"/>
      <c r="G57" s="69"/>
      <c r="H57" s="69"/>
      <c r="I57" s="69"/>
      <c r="J57" s="69"/>
    </row>
    <row r="58" spans="4:10" s="64" customFormat="1" ht="12.000000">
      <c r="D58" s="69"/>
      <c r="E58" s="69"/>
      <c r="F58" s="69"/>
      <c r="G58" s="69"/>
      <c r="H58" s="69"/>
      <c r="I58" s="69"/>
      <c r="J58" s="69"/>
    </row>
    <row r="59" spans="4:10" s="64" customFormat="1" ht="12.000000">
      <c r="D59" s="69"/>
      <c r="E59" s="69"/>
      <c r="F59" s="69"/>
      <c r="G59" s="69"/>
      <c r="H59" s="69"/>
      <c r="I59" s="69"/>
      <c r="J59" s="69"/>
    </row>
    <row r="60" spans="4:10" s="64" customFormat="1" ht="12.000000">
      <c r="D60" s="69"/>
      <c r="E60" s="69"/>
      <c r="F60" s="69"/>
      <c r="G60" s="69"/>
      <c r="H60" s="69"/>
      <c r="I60" s="69"/>
      <c r="J60" s="69"/>
    </row>
    <row r="61" spans="4:10" s="64" customFormat="1" ht="12.000000">
      <c r="D61" s="69"/>
      <c r="E61" s="69"/>
      <c r="F61" s="69"/>
      <c r="G61" s="69"/>
      <c r="H61" s="69"/>
      <c r="I61" s="69"/>
      <c r="J61" s="69"/>
    </row>
    <row r="62" spans="4:10" s="64" customFormat="1" ht="12.000000">
      <c r="D62" s="69"/>
      <c r="E62" s="69"/>
      <c r="F62" s="69"/>
      <c r="G62" s="69"/>
      <c r="H62" s="69"/>
      <c r="I62" s="69"/>
      <c r="J62" s="69"/>
    </row>
    <row r="63" spans="4:10" s="64" customFormat="1" ht="12.000000">
      <c r="D63" s="69"/>
      <c r="E63" s="69"/>
      <c r="F63" s="69"/>
      <c r="G63" s="69"/>
      <c r="H63" s="69"/>
      <c r="I63" s="69"/>
      <c r="J63" s="69"/>
    </row>
    <row r="64" spans="4:10" s="64" customFormat="1" ht="12.000000">
      <c r="D64" s="69"/>
      <c r="E64" s="69"/>
      <c r="F64" s="69"/>
      <c r="G64" s="69"/>
      <c r="H64" s="69"/>
      <c r="I64" s="69"/>
      <c r="J64" s="69"/>
    </row>
    <row r="65" spans="4:10" s="64" customFormat="1" ht="12.000000">
      <c r="D65" s="69"/>
      <c r="E65" s="69"/>
      <c r="F65" s="69"/>
      <c r="G65" s="69"/>
      <c r="H65" s="69"/>
      <c r="I65" s="69"/>
      <c r="J65" s="69"/>
    </row>
    <row r="66" spans="4:10" s="64" customFormat="1" ht="12.000000">
      <c r="D66" s="69"/>
      <c r="E66" s="69"/>
      <c r="F66" s="69"/>
      <c r="G66" s="69"/>
      <c r="H66" s="69"/>
      <c r="I66" s="69"/>
      <c r="J66" s="69"/>
    </row>
    <row r="67" spans="4:10" s="64" customFormat="1" ht="12.000000">
      <c r="D67" s="69"/>
      <c r="E67" s="69"/>
      <c r="F67" s="69"/>
      <c r="G67" s="69"/>
      <c r="H67" s="69"/>
      <c r="I67" s="69"/>
      <c r="J67" s="69"/>
    </row>
    <row r="68" spans="4:10" s="64" customFormat="1" ht="12.000000">
      <c r="D68" s="69"/>
      <c r="E68" s="69"/>
      <c r="F68" s="69"/>
      <c r="G68" s="69"/>
      <c r="H68" s="69"/>
      <c r="I68" s="69"/>
      <c r="J68" s="69"/>
    </row>
    <row r="69" spans="4:10" s="64" customFormat="1" ht="12.000000">
      <c r="D69" s="69"/>
      <c r="E69" s="69"/>
      <c r="F69" s="69"/>
      <c r="G69" s="69"/>
      <c r="H69" s="69"/>
      <c r="I69" s="69"/>
      <c r="J69" s="69"/>
    </row>
    <row r="70" spans="4:10" s="64" customFormat="1" ht="12.000000">
      <c r="D70" s="69"/>
      <c r="E70" s="69"/>
      <c r="F70" s="69"/>
      <c r="G70" s="69"/>
      <c r="H70" s="69"/>
      <c r="I70" s="69"/>
      <c r="J70" s="69"/>
    </row>
    <row r="71" spans="4:10" s="64" customFormat="1" ht="12.000000">
      <c r="D71" s="69"/>
      <c r="E71" s="69"/>
      <c r="F71" s="69"/>
      <c r="G71" s="69"/>
      <c r="H71" s="69"/>
      <c r="I71" s="69"/>
      <c r="J71" s="69"/>
    </row>
    <row r="72" spans="4:10" s="64" customFormat="1" ht="12.000000">
      <c r="D72" s="69"/>
      <c r="E72" s="69"/>
      <c r="F72" s="69"/>
      <c r="G72" s="69"/>
      <c r="H72" s="69"/>
      <c r="I72" s="69"/>
      <c r="J72" s="69"/>
    </row>
    <row r="73" spans="4:10" s="64" customFormat="1" ht="12.000000">
      <c r="D73" s="69"/>
      <c r="E73" s="69"/>
      <c r="F73" s="69"/>
      <c r="G73" s="69"/>
      <c r="H73" s="69"/>
      <c r="I73" s="69"/>
      <c r="J73" s="69"/>
    </row>
    <row r="74" spans="4:10" s="64" customFormat="1" ht="12.000000">
      <c r="D74" s="69"/>
      <c r="E74" s="69"/>
      <c r="F74" s="69"/>
      <c r="G74" s="69"/>
      <c r="H74" s="69"/>
      <c r="I74" s="69"/>
      <c r="J74" s="69"/>
    </row>
    <row r="75" spans="4:10" s="64" customFormat="1" ht="12.000000">
      <c r="D75" s="69"/>
      <c r="E75" s="69"/>
      <c r="F75" s="69"/>
      <c r="G75" s="69"/>
      <c r="H75" s="69"/>
      <c r="I75" s="69"/>
      <c r="J75" s="69"/>
    </row>
    <row r="76" spans="4:10" s="64" customFormat="1" ht="12.000000">
      <c r="D76" s="69"/>
      <c r="E76" s="69"/>
      <c r="F76" s="69"/>
      <c r="G76" s="69"/>
      <c r="H76" s="69"/>
      <c r="I76" s="69"/>
      <c r="J76" s="69"/>
    </row>
    <row r="77" spans="4:10" s="64" customFormat="1" ht="12.000000">
      <c r="D77" s="69"/>
      <c r="E77" s="69"/>
      <c r="F77" s="69"/>
      <c r="G77" s="69"/>
      <c r="H77" s="69"/>
      <c r="I77" s="69"/>
      <c r="J77" s="69"/>
    </row>
    <row r="78" spans="4:10" s="64" customFormat="1" ht="12.000000">
      <c r="D78" s="69"/>
      <c r="E78" s="69"/>
      <c r="F78" s="69"/>
      <c r="G78" s="69"/>
      <c r="H78" s="69"/>
      <c r="I78" s="69"/>
      <c r="J78" s="69"/>
    </row>
    <row r="79" spans="4:10" s="64" customFormat="1" ht="12.000000">
      <c r="D79" s="69"/>
      <c r="E79" s="69"/>
      <c r="F79" s="69"/>
      <c r="G79" s="69"/>
      <c r="H79" s="69"/>
      <c r="I79" s="69"/>
      <c r="J79" s="69"/>
    </row>
    <row r="80" spans="4:10" s="64" customFormat="1" ht="12.000000">
      <c r="D80" s="69"/>
      <c r="E80" s="69"/>
      <c r="F80" s="69"/>
      <c r="G80" s="69"/>
      <c r="H80" s="69"/>
      <c r="I80" s="69"/>
      <c r="J80" s="69"/>
    </row>
    <row r="81" spans="4:10" s="64" customFormat="1" ht="12.000000">
      <c r="D81" s="69"/>
      <c r="E81" s="69"/>
      <c r="F81" s="69"/>
      <c r="G81" s="69"/>
      <c r="H81" s="69"/>
      <c r="I81" s="69"/>
      <c r="J81" s="69"/>
    </row>
    <row r="82" spans="4:10" s="64" customFormat="1" ht="12.000000">
      <c r="D82" s="69"/>
      <c r="E82" s="69"/>
      <c r="F82" s="69"/>
      <c r="G82" s="69"/>
      <c r="H82" s="69"/>
      <c r="I82" s="69"/>
      <c r="J82" s="69"/>
    </row>
    <row r="83" spans="4:10" s="64" customFormat="1" ht="12.000000">
      <c r="D83" s="69"/>
      <c r="E83" s="69"/>
      <c r="F83" s="69"/>
      <c r="G83" s="69"/>
      <c r="H83" s="69"/>
      <c r="I83" s="69"/>
      <c r="J83" s="69"/>
    </row>
    <row r="84" spans="4:10" s="64" customFormat="1" ht="12.000000">
      <c r="D84" s="69"/>
      <c r="E84" s="69"/>
      <c r="F84" s="69"/>
      <c r="G84" s="69"/>
      <c r="H84" s="69"/>
      <c r="I84" s="69"/>
      <c r="J84" s="69"/>
    </row>
    <row r="85" spans="4:10" s="64" customFormat="1" ht="12.000000">
      <c r="D85" s="69"/>
      <c r="E85" s="69"/>
      <c r="F85" s="69"/>
      <c r="G85" s="69"/>
      <c r="H85" s="69"/>
      <c r="I85" s="69"/>
      <c r="J85" s="69"/>
    </row>
    <row r="86" spans="4:10" s="64" customFormat="1" ht="12.000000">
      <c r="D86" s="69"/>
      <c r="E86" s="69"/>
      <c r="F86" s="69"/>
      <c r="G86" s="69"/>
      <c r="H86" s="69"/>
      <c r="I86" s="69"/>
      <c r="J86" s="69"/>
    </row>
    <row r="87" spans="4:10" s="64" customFormat="1" ht="12.000000">
      <c r="D87" s="69"/>
      <c r="E87" s="69"/>
      <c r="F87" s="69"/>
      <c r="G87" s="69"/>
      <c r="H87" s="69"/>
      <c r="I87" s="69"/>
      <c r="J87" s="69"/>
    </row>
    <row r="88" spans="4:10" s="64" customFormat="1" ht="12.000000">
      <c r="D88" s="69"/>
      <c r="E88" s="69"/>
      <c r="F88" s="69"/>
      <c r="G88" s="69"/>
      <c r="H88" s="69"/>
      <c r="I88" s="69"/>
      <c r="J88" s="69"/>
    </row>
    <row r="89" spans="4:10" s="64" customFormat="1" ht="12.000000">
      <c r="D89" s="69"/>
      <c r="E89" s="69"/>
      <c r="F89" s="69"/>
      <c r="G89" s="69"/>
      <c r="H89" s="69"/>
      <c r="I89" s="69"/>
      <c r="J89" s="69"/>
    </row>
    <row r="90" spans="4:10" s="64" customFormat="1" ht="12.000000">
      <c r="D90" s="69"/>
      <c r="E90" s="69"/>
      <c r="F90" s="69"/>
      <c r="G90" s="69"/>
      <c r="H90" s="69"/>
      <c r="I90" s="69"/>
      <c r="J90" s="69"/>
    </row>
    <row r="91" spans="4:10" s="64" customFormat="1" ht="12.000000">
      <c r="D91" s="69"/>
      <c r="E91" s="69"/>
      <c r="F91" s="69"/>
      <c r="G91" s="69"/>
      <c r="H91" s="69"/>
      <c r="I91" s="69"/>
      <c r="J91" s="69"/>
    </row>
    <row r="92" spans="4:10" s="64" customFormat="1" ht="12.000000">
      <c r="D92" s="69"/>
      <c r="E92" s="69"/>
      <c r="F92" s="69"/>
      <c r="G92" s="69"/>
      <c r="H92" s="69"/>
      <c r="I92" s="69"/>
      <c r="J92" s="69"/>
    </row>
    <row r="93" spans="4:10" s="64" customFormat="1" ht="12.000000">
      <c r="D93" s="69"/>
      <c r="E93" s="69"/>
      <c r="F93" s="69"/>
      <c r="G93" s="69"/>
      <c r="H93" s="69"/>
      <c r="I93" s="69"/>
      <c r="J93" s="69"/>
    </row>
    <row r="94" spans="4:10" s="64" customFormat="1" ht="12.000000">
      <c r="D94" s="69"/>
      <c r="E94" s="69"/>
      <c r="F94" s="69"/>
      <c r="G94" s="69"/>
      <c r="H94" s="69"/>
      <c r="I94" s="69"/>
      <c r="J94" s="69"/>
    </row>
    <row r="95" spans="4:10" s="64" customFormat="1" ht="12.000000">
      <c r="D95" s="69"/>
      <c r="E95" s="69"/>
      <c r="F95" s="69"/>
      <c r="G95" s="69"/>
      <c r="H95" s="69"/>
      <c r="I95" s="69"/>
      <c r="J95" s="69"/>
    </row>
    <row r="96" spans="4:10" s="64" customFormat="1" ht="12.000000">
      <c r="D96" s="69"/>
      <c r="E96" s="69"/>
      <c r="F96" s="69"/>
      <c r="G96" s="69"/>
      <c r="H96" s="69"/>
      <c r="I96" s="69"/>
      <c r="J96" s="69"/>
    </row>
    <row r="97" spans="4:10" s="64" customFormat="1" ht="12.000000">
      <c r="D97" s="69"/>
      <c r="E97" s="69"/>
      <c r="F97" s="69"/>
      <c r="G97" s="69"/>
      <c r="H97" s="69"/>
      <c r="I97" s="69"/>
      <c r="J97" s="69"/>
    </row>
    <row r="98" spans="4:10" s="64" customFormat="1" ht="12.000000">
      <c r="D98" s="69"/>
      <c r="E98" s="69"/>
      <c r="F98" s="69"/>
      <c r="G98" s="69"/>
      <c r="H98" s="69"/>
      <c r="I98" s="69"/>
      <c r="J98" s="69"/>
    </row>
    <row r="99" spans="4:10" s="64" customFormat="1" ht="12.000000">
      <c r="D99" s="69"/>
      <c r="E99" s="69"/>
      <c r="F99" s="69"/>
      <c r="G99" s="69"/>
      <c r="H99" s="69"/>
      <c r="I99" s="69"/>
      <c r="J99" s="69"/>
    </row>
    <row r="100" spans="4:10" s="64" customFormat="1" ht="12.000000">
      <c r="D100" s="69"/>
      <c r="E100" s="69"/>
      <c r="F100" s="69"/>
      <c r="G100" s="69"/>
      <c r="H100" s="69"/>
      <c r="I100" s="69"/>
      <c r="J100" s="69"/>
    </row>
    <row r="101" spans="4:10" s="64" customFormat="1" ht="12.000000">
      <c r="D101" s="69"/>
      <c r="E101" s="69"/>
      <c r="F101" s="69"/>
      <c r="G101" s="69"/>
      <c r="H101" s="69"/>
      <c r="I101" s="69"/>
      <c r="J101" s="69"/>
    </row>
    <row r="102" spans="4:10" s="64" customFormat="1" ht="12.000000">
      <c r="D102" s="69"/>
      <c r="E102" s="69"/>
      <c r="F102" s="69"/>
      <c r="G102" s="69"/>
      <c r="H102" s="69"/>
      <c r="I102" s="69"/>
      <c r="J102" s="69"/>
    </row>
    <row r="103" spans="4:10" s="64" customFormat="1" ht="12.000000">
      <c r="D103" s="69"/>
      <c r="E103" s="69"/>
      <c r="F103" s="69"/>
      <c r="G103" s="69"/>
      <c r="H103" s="69"/>
      <c r="I103" s="69"/>
      <c r="J103" s="69"/>
    </row>
    <row r="104" spans="4:10" s="64" customFormat="1" ht="12.000000">
      <c r="D104" s="69"/>
      <c r="E104" s="69"/>
      <c r="F104" s="69"/>
      <c r="G104" s="69"/>
      <c r="H104" s="69"/>
      <c r="I104" s="69"/>
      <c r="J104" s="69"/>
    </row>
    <row r="105" spans="4:10" s="64" customFormat="1" ht="12.000000">
      <c r="D105" s="69"/>
      <c r="E105" s="69"/>
      <c r="F105" s="69"/>
      <c r="G105" s="69"/>
      <c r="H105" s="69"/>
      <c r="I105" s="69"/>
      <c r="J105" s="69"/>
    </row>
    <row r="106" spans="4:10" s="64" customFormat="1" ht="12.000000">
      <c r="D106" s="69"/>
      <c r="E106" s="69"/>
      <c r="F106" s="69"/>
      <c r="G106" s="69"/>
      <c r="H106" s="69"/>
      <c r="I106" s="69"/>
      <c r="J106" s="69"/>
    </row>
    <row r="107" spans="4:10" s="64" customFormat="1" ht="12.000000">
      <c r="D107" s="69"/>
      <c r="E107" s="69"/>
      <c r="F107" s="69"/>
      <c r="G107" s="69"/>
      <c r="H107" s="69"/>
      <c r="I107" s="69"/>
      <c r="J107" s="69"/>
    </row>
    <row r="108" spans="4:10" s="64" customFormat="1" ht="12.000000">
      <c r="D108" s="69"/>
      <c r="E108" s="69"/>
      <c r="F108" s="69"/>
      <c r="G108" s="69"/>
      <c r="H108" s="69"/>
      <c r="I108" s="69"/>
      <c r="J108" s="69"/>
    </row>
    <row r="109" spans="4:10" s="64" customFormat="1" ht="12.000000">
      <c r="D109" s="69"/>
      <c r="E109" s="69"/>
      <c r="F109" s="69"/>
      <c r="G109" s="69"/>
      <c r="H109" s="69"/>
      <c r="I109" s="69"/>
      <c r="J109" s="69"/>
    </row>
    <row r="110" spans="4:10" s="64" customFormat="1" ht="12.000000">
      <c r="D110" s="69"/>
      <c r="E110" s="69"/>
      <c r="F110" s="69"/>
      <c r="G110" s="69"/>
      <c r="H110" s="69"/>
      <c r="I110" s="69"/>
      <c r="J110" s="69"/>
    </row>
    <row r="111" spans="4:10" s="64" customFormat="1" ht="12.000000">
      <c r="D111" s="69"/>
      <c r="E111" s="69"/>
      <c r="F111" s="69"/>
      <c r="G111" s="69"/>
      <c r="H111" s="69"/>
      <c r="I111" s="69"/>
      <c r="J111" s="69"/>
    </row>
    <row r="112" spans="4:10" s="64" customFormat="1" ht="12.000000">
      <c r="D112" s="69"/>
      <c r="E112" s="69"/>
      <c r="F112" s="69"/>
      <c r="G112" s="69"/>
      <c r="H112" s="69"/>
      <c r="I112" s="69"/>
      <c r="J112" s="69"/>
    </row>
    <row r="113" spans="4:10" s="64" customFormat="1" ht="12.000000">
      <c r="D113" s="69"/>
      <c r="E113" s="69"/>
      <c r="F113" s="69"/>
      <c r="G113" s="69"/>
      <c r="H113" s="69"/>
      <c r="I113" s="69"/>
      <c r="J113" s="69"/>
    </row>
    <row r="114" spans="4:10" s="64" customFormat="1" ht="12.000000">
      <c r="D114" s="69"/>
      <c r="E114" s="69"/>
      <c r="F114" s="69"/>
      <c r="G114" s="69"/>
      <c r="H114" s="69"/>
      <c r="I114" s="69"/>
      <c r="J114" s="69"/>
    </row>
    <row r="115" spans="4:10" s="64" customFormat="1" ht="12.000000">
      <c r="D115" s="69"/>
      <c r="E115" s="69"/>
      <c r="F115" s="69"/>
      <c r="G115" s="69"/>
      <c r="H115" s="69"/>
      <c r="I115" s="69"/>
      <c r="J115" s="69"/>
    </row>
    <row r="116" spans="4:10" s="64" customFormat="1" ht="12.000000">
      <c r="D116" s="69"/>
      <c r="E116" s="69"/>
      <c r="F116" s="69"/>
      <c r="G116" s="69"/>
      <c r="H116" s="69"/>
      <c r="I116" s="69"/>
      <c r="J116" s="69"/>
    </row>
    <row r="117" spans="4:10" s="64" customFormat="1" ht="12.000000">
      <c r="D117" s="69"/>
      <c r="E117" s="69"/>
      <c r="F117" s="69"/>
      <c r="G117" s="69"/>
      <c r="H117" s="69"/>
      <c r="I117" s="69"/>
      <c r="J117" s="69"/>
    </row>
    <row r="118" spans="4:10" s="64" customFormat="1" ht="12.000000">
      <c r="D118" s="69"/>
      <c r="E118" s="69"/>
      <c r="F118" s="69"/>
      <c r="G118" s="69"/>
      <c r="H118" s="69"/>
      <c r="I118" s="69"/>
      <c r="J118" s="69"/>
    </row>
    <row r="119" spans="4:10" s="64" customFormat="1" ht="12.000000">
      <c r="D119" s="69"/>
      <c r="E119" s="69"/>
      <c r="F119" s="69"/>
      <c r="G119" s="69"/>
      <c r="H119" s="69"/>
      <c r="I119" s="69"/>
      <c r="J119" s="69"/>
    </row>
    <row r="120" spans="4:10" s="64" customFormat="1" ht="12.000000">
      <c r="D120" s="69"/>
      <c r="E120" s="69"/>
      <c r="F120" s="69"/>
      <c r="G120" s="69"/>
      <c r="H120" s="69"/>
      <c r="I120" s="69"/>
      <c r="J120" s="69"/>
    </row>
    <row r="121" spans="4:10" s="64" customFormat="1" ht="12.000000">
      <c r="D121" s="69"/>
      <c r="E121" s="69"/>
      <c r="F121" s="69"/>
      <c r="G121" s="69"/>
      <c r="H121" s="69"/>
      <c r="I121" s="69"/>
      <c r="J121" s="69"/>
    </row>
    <row r="122" spans="4:10" s="64" customFormat="1" ht="12.000000">
      <c r="D122" s="69"/>
      <c r="E122" s="69"/>
      <c r="F122" s="69"/>
      <c r="G122" s="69"/>
      <c r="H122" s="69"/>
      <c r="I122" s="69"/>
      <c r="J122" s="69"/>
    </row>
    <row r="123" spans="4:10" s="64" customFormat="1" ht="12.000000">
      <c r="D123" s="69"/>
      <c r="E123" s="69"/>
      <c r="F123" s="69"/>
      <c r="G123" s="69"/>
      <c r="H123" s="69"/>
      <c r="I123" s="69"/>
      <c r="J123" s="69"/>
    </row>
    <row r="124" spans="4:10" s="64" customFormat="1" ht="12.000000">
      <c r="D124" s="69"/>
      <c r="E124" s="69"/>
      <c r="F124" s="69"/>
      <c r="G124" s="69"/>
      <c r="H124" s="69"/>
      <c r="I124" s="69"/>
      <c r="J124" s="69"/>
    </row>
    <row r="125" spans="4:10" s="64" customFormat="1" ht="12.000000">
      <c r="D125" s="69"/>
      <c r="E125" s="69"/>
      <c r="F125" s="69"/>
      <c r="G125" s="69"/>
      <c r="H125" s="69"/>
      <c r="I125" s="69"/>
      <c r="J125" s="69"/>
    </row>
    <row r="126" spans="4:10" s="64" customFormat="1" ht="12.000000">
      <c r="D126" s="69"/>
      <c r="E126" s="69"/>
      <c r="F126" s="69"/>
      <c r="G126" s="69"/>
      <c r="H126" s="69"/>
      <c r="I126" s="69"/>
      <c r="J126" s="69"/>
    </row>
    <row r="127" spans="4:10" s="64" customFormat="1" ht="12.000000">
      <c r="D127" s="69"/>
      <c r="E127" s="69"/>
      <c r="F127" s="69"/>
      <c r="G127" s="69"/>
      <c r="H127" s="69"/>
      <c r="I127" s="69"/>
      <c r="J127" s="69"/>
    </row>
    <row r="128" spans="4:10" s="64" customFormat="1" ht="12.000000">
      <c r="D128" s="69"/>
      <c r="E128" s="69"/>
      <c r="F128" s="69"/>
      <c r="G128" s="69"/>
      <c r="H128" s="69"/>
      <c r="I128" s="69"/>
      <c r="J128" s="69"/>
    </row>
    <row r="129" spans="4:10" s="64" customFormat="1" ht="12.000000">
      <c r="D129" s="69"/>
      <c r="E129" s="69"/>
      <c r="F129" s="69"/>
      <c r="G129" s="69"/>
      <c r="H129" s="69"/>
      <c r="I129" s="69"/>
      <c r="J129" s="69"/>
    </row>
    <row r="130" spans="4:10" s="64" customFormat="1" ht="12.000000">
      <c r="D130" s="69"/>
      <c r="E130" s="69"/>
      <c r="F130" s="69"/>
      <c r="G130" s="69"/>
      <c r="H130" s="69"/>
      <c r="I130" s="69"/>
      <c r="J130" s="69"/>
    </row>
    <row r="131" spans="4:10" s="64" customFormat="1" ht="12.000000">
      <c r="D131" s="69"/>
      <c r="E131" s="69"/>
      <c r="F131" s="69"/>
      <c r="G131" s="69"/>
      <c r="H131" s="69"/>
      <c r="I131" s="69"/>
      <c r="J131" s="69"/>
    </row>
    <row r="132" spans="4:10" s="64" customFormat="1" ht="12.000000">
      <c r="D132" s="69"/>
      <c r="E132" s="69"/>
      <c r="F132" s="69"/>
      <c r="G132" s="69"/>
      <c r="H132" s="69"/>
      <c r="I132" s="69"/>
      <c r="J132" s="69"/>
    </row>
    <row r="133" spans="4:10" s="64" customFormat="1" ht="12.000000">
      <c r="D133" s="69"/>
      <c r="E133" s="69"/>
      <c r="F133" s="69"/>
      <c r="G133" s="69"/>
      <c r="H133" s="69"/>
      <c r="I133" s="69"/>
      <c r="J133" s="69"/>
    </row>
    <row r="134" spans="4:10" s="64" customFormat="1" ht="12.000000">
      <c r="D134" s="69"/>
      <c r="E134" s="69"/>
      <c r="F134" s="69"/>
      <c r="G134" s="69"/>
      <c r="H134" s="69"/>
      <c r="I134" s="69"/>
      <c r="J134" s="69"/>
    </row>
    <row r="135" spans="4:10" s="64" customFormat="1" ht="12.000000">
      <c r="D135" s="69"/>
      <c r="E135" s="69"/>
      <c r="F135" s="69"/>
      <c r="G135" s="69"/>
      <c r="H135" s="69"/>
      <c r="I135" s="69"/>
      <c r="J135" s="69"/>
    </row>
    <row r="136" spans="4:10" s="64" customFormat="1" ht="12.000000">
      <c r="D136" s="69"/>
      <c r="E136" s="69"/>
      <c r="F136" s="69"/>
      <c r="G136" s="69"/>
      <c r="H136" s="69"/>
      <c r="I136" s="69"/>
      <c r="J136" s="69"/>
    </row>
    <row r="137" spans="4:10" s="64" customFormat="1" ht="12.000000">
      <c r="D137" s="69"/>
      <c r="E137" s="69"/>
      <c r="F137" s="69"/>
      <c r="G137" s="69"/>
      <c r="H137" s="69"/>
      <c r="I137" s="69"/>
      <c r="J137" s="69"/>
    </row>
    <row r="138" spans="4:10" s="64" customFormat="1" ht="12.000000">
      <c r="D138" s="69"/>
      <c r="E138" s="69"/>
      <c r="F138" s="69"/>
      <c r="G138" s="69"/>
      <c r="H138" s="69"/>
      <c r="I138" s="69"/>
      <c r="J138" s="69"/>
    </row>
    <row r="139" spans="4:10" s="64" customFormat="1" ht="12.000000">
      <c r="D139" s="69"/>
      <c r="E139" s="69"/>
      <c r="F139" s="69"/>
      <c r="G139" s="69"/>
      <c r="H139" s="69"/>
      <c r="I139" s="69"/>
      <c r="J139" s="69"/>
    </row>
    <row r="140" spans="4:10" s="64" customFormat="1" ht="12.000000">
      <c r="D140" s="69"/>
      <c r="E140" s="69"/>
      <c r="F140" s="69"/>
      <c r="G140" s="69"/>
      <c r="H140" s="69"/>
      <c r="I140" s="69"/>
      <c r="J140" s="69"/>
    </row>
    <row r="141" spans="4:10" s="64" customFormat="1" ht="12.000000">
      <c r="D141" s="69"/>
      <c r="E141" s="69"/>
      <c r="F141" s="69"/>
      <c r="G141" s="69"/>
      <c r="H141" s="69"/>
      <c r="I141" s="69"/>
      <c r="J141" s="69"/>
    </row>
    <row r="142" spans="4:10" s="64" customFormat="1" ht="12.000000">
      <c r="D142" s="69"/>
      <c r="E142" s="69"/>
      <c r="F142" s="69"/>
      <c r="G142" s="69"/>
      <c r="H142" s="69"/>
      <c r="I142" s="69"/>
      <c r="J142" s="69"/>
    </row>
    <row r="143" spans="4:10" s="64" customFormat="1" ht="12.000000">
      <c r="D143" s="69"/>
      <c r="E143" s="69"/>
      <c r="F143" s="69"/>
      <c r="G143" s="69"/>
      <c r="H143" s="69"/>
      <c r="I143" s="69"/>
      <c r="J143" s="69"/>
    </row>
    <row r="144" spans="4:10" s="64" customFormat="1" ht="12.000000">
      <c r="D144" s="69"/>
      <c r="E144" s="69"/>
      <c r="F144" s="69"/>
      <c r="G144" s="69"/>
      <c r="H144" s="69"/>
      <c r="I144" s="69"/>
      <c r="J144" s="69"/>
    </row>
    <row r="145" spans="4:10" s="64" customFormat="1" ht="12.000000">
      <c r="D145" s="69"/>
      <c r="E145" s="69"/>
      <c r="F145" s="69"/>
      <c r="G145" s="69"/>
      <c r="H145" s="69"/>
      <c r="I145" s="69"/>
      <c r="J145" s="69"/>
    </row>
    <row r="146" spans="4:10" s="64" customFormat="1" ht="12.000000">
      <c r="D146" s="69"/>
      <c r="E146" s="69"/>
      <c r="F146" s="69"/>
      <c r="G146" s="69"/>
      <c r="H146" s="69"/>
      <c r="I146" s="69"/>
      <c r="J146" s="69"/>
    </row>
    <row r="147" spans="4:10" s="64" customFormat="1" ht="12.000000">
      <c r="D147" s="69"/>
      <c r="E147" s="69"/>
      <c r="F147" s="69"/>
      <c r="G147" s="69"/>
      <c r="H147" s="69"/>
      <c r="I147" s="69"/>
      <c r="J147" s="69"/>
    </row>
    <row r="148" spans="4:10" s="64" customFormat="1" ht="12.000000">
      <c r="D148" s="69"/>
      <c r="E148" s="69"/>
      <c r="F148" s="69"/>
      <c r="G148" s="69"/>
      <c r="H148" s="69"/>
      <c r="I148" s="69"/>
      <c r="J148" s="69"/>
    </row>
    <row r="149" spans="4:10" s="64" customFormat="1" ht="12.000000">
      <c r="D149" s="69"/>
      <c r="E149" s="69"/>
      <c r="F149" s="69"/>
      <c r="G149" s="69"/>
      <c r="H149" s="69"/>
      <c r="I149" s="69"/>
      <c r="J149" s="69"/>
    </row>
    <row r="150" spans="4:10" s="64" customFormat="1" ht="12.000000">
      <c r="D150" s="69"/>
      <c r="E150" s="69"/>
      <c r="F150" s="69"/>
      <c r="G150" s="69"/>
      <c r="H150" s="69"/>
      <c r="I150" s="69"/>
      <c r="J150" s="69"/>
    </row>
    <row r="151" spans="4:10" s="64" customFormat="1" ht="12.000000">
      <c r="D151" s="69"/>
      <c r="E151" s="69"/>
      <c r="F151" s="69"/>
      <c r="G151" s="69"/>
      <c r="H151" s="69"/>
      <c r="I151" s="69"/>
      <c r="J151" s="69"/>
    </row>
    <row r="152" spans="4:10" s="64" customFormat="1" ht="12.000000">
      <c r="D152" s="69"/>
      <c r="E152" s="69"/>
      <c r="F152" s="69"/>
      <c r="G152" s="69"/>
      <c r="H152" s="69"/>
      <c r="I152" s="69"/>
      <c r="J152" s="69"/>
    </row>
    <row r="153" spans="4:10" s="64" customFormat="1" ht="12.000000">
      <c r="D153" s="69"/>
      <c r="E153" s="69"/>
      <c r="F153" s="69"/>
      <c r="G153" s="69"/>
      <c r="H153" s="69"/>
      <c r="I153" s="69"/>
      <c r="J153" s="69"/>
    </row>
    <row r="154" spans="4:10" s="64" customFormat="1" ht="12.000000">
      <c r="D154" s="69"/>
      <c r="E154" s="69"/>
      <c r="F154" s="69"/>
      <c r="G154" s="69"/>
      <c r="H154" s="69"/>
      <c r="I154" s="69"/>
      <c r="J154" s="69"/>
    </row>
    <row r="155" spans="4:10" s="64" customFormat="1" ht="12.000000">
      <c r="D155" s="69"/>
      <c r="E155" s="69"/>
      <c r="F155" s="69"/>
      <c r="G155" s="69"/>
      <c r="H155" s="69"/>
      <c r="I155" s="69"/>
      <c r="J155" s="69"/>
    </row>
    <row r="156" spans="4:10" s="64" customFormat="1" ht="12.000000">
      <c r="D156" s="69"/>
      <c r="E156" s="69"/>
      <c r="F156" s="69"/>
      <c r="G156" s="69"/>
      <c r="H156" s="69"/>
      <c r="I156" s="69"/>
      <c r="J156" s="69"/>
    </row>
    <row r="157" spans="4:10" s="64" customFormat="1" ht="12.000000">
      <c r="D157" s="69"/>
      <c r="E157" s="69"/>
      <c r="F157" s="69"/>
      <c r="G157" s="69"/>
      <c r="H157" s="69"/>
      <c r="I157" s="69"/>
      <c r="J157" s="69"/>
    </row>
    <row r="158" spans="4:10" s="64" customFormat="1" ht="12.000000">
      <c r="D158" s="69"/>
      <c r="E158" s="69"/>
      <c r="F158" s="69"/>
      <c r="G158" s="69"/>
      <c r="H158" s="69"/>
      <c r="I158" s="69"/>
      <c r="J158" s="69"/>
    </row>
    <row r="159" spans="4:10" s="64" customFormat="1" ht="12.000000">
      <c r="D159" s="69"/>
      <c r="E159" s="69"/>
      <c r="F159" s="69"/>
      <c r="G159" s="69"/>
      <c r="H159" s="69"/>
      <c r="I159" s="69"/>
      <c r="J159" s="69"/>
    </row>
    <row r="160" spans="4:10" s="64" customFormat="1" ht="12.000000">
      <c r="D160" s="69"/>
      <c r="E160" s="69"/>
      <c r="F160" s="69"/>
      <c r="G160" s="69"/>
      <c r="H160" s="69"/>
      <c r="I160" s="69"/>
      <c r="J160" s="69"/>
    </row>
    <row r="161" spans="4:10" s="64" customFormat="1" ht="12.000000">
      <c r="D161" s="69"/>
      <c r="E161" s="69"/>
      <c r="F161" s="69"/>
      <c r="G161" s="69"/>
      <c r="H161" s="69"/>
      <c r="I161" s="69"/>
      <c r="J161" s="69"/>
    </row>
    <row r="162" spans="4:10" s="64" customFormat="1" ht="12.000000">
      <c r="D162" s="69"/>
      <c r="E162" s="69"/>
      <c r="F162" s="69"/>
      <c r="G162" s="69"/>
      <c r="H162" s="69"/>
      <c r="I162" s="69"/>
      <c r="J162" s="69"/>
    </row>
    <row r="163" spans="4:10" s="64" customFormat="1" ht="12.000000">
      <c r="D163" s="69"/>
      <c r="E163" s="69"/>
      <c r="F163" s="69"/>
      <c r="G163" s="69"/>
      <c r="H163" s="69"/>
      <c r="I163" s="69"/>
      <c r="J163" s="69"/>
    </row>
    <row r="164" spans="4:10" s="64" customFormat="1" ht="12.000000">
      <c r="D164" s="69"/>
      <c r="E164" s="69"/>
      <c r="F164" s="69"/>
      <c r="G164" s="69"/>
      <c r="H164" s="69"/>
      <c r="I164" s="69"/>
      <c r="J164" s="69"/>
    </row>
    <row r="165" spans="4:10" s="64" customFormat="1" ht="12.000000">
      <c r="D165" s="69"/>
      <c r="E165" s="69"/>
      <c r="F165" s="69"/>
      <c r="G165" s="69"/>
      <c r="H165" s="69"/>
      <c r="I165" s="69"/>
      <c r="J165" s="69"/>
    </row>
    <row r="166" spans="4:10" s="64" customFormat="1" ht="12.000000">
      <c r="D166" s="69"/>
      <c r="E166" s="69"/>
      <c r="F166" s="69"/>
      <c r="G166" s="69"/>
      <c r="H166" s="69"/>
      <c r="I166" s="69"/>
      <c r="J166" s="69"/>
    </row>
    <row r="167" spans="4:10" s="64" customFormat="1" ht="12.000000">
      <c r="D167" s="69"/>
      <c r="E167" s="69"/>
      <c r="F167" s="69"/>
      <c r="G167" s="69"/>
      <c r="H167" s="69"/>
      <c r="I167" s="69"/>
      <c r="J167" s="69"/>
    </row>
    <row r="168" spans="4:10" s="64" customFormat="1" ht="12.000000">
      <c r="D168" s="69"/>
      <c r="E168" s="69"/>
      <c r="F168" s="69"/>
      <c r="G168" s="69"/>
      <c r="H168" s="69"/>
      <c r="I168" s="69"/>
      <c r="J168" s="69"/>
    </row>
    <row r="169" spans="4:10" s="64" customFormat="1" ht="12.000000">
      <c r="D169" s="69"/>
      <c r="E169" s="69"/>
      <c r="F169" s="69"/>
      <c r="G169" s="69"/>
      <c r="H169" s="69"/>
      <c r="I169" s="69"/>
      <c r="J169" s="69"/>
    </row>
    <row r="170" spans="4:10" s="64" customFormat="1" ht="12.000000">
      <c r="D170" s="69"/>
      <c r="E170" s="69"/>
      <c r="F170" s="69"/>
      <c r="G170" s="69"/>
      <c r="H170" s="69"/>
      <c r="I170" s="69"/>
      <c r="J170" s="69"/>
    </row>
    <row r="171" spans="4:10" s="64" customFormat="1" ht="12.000000">
      <c r="D171" s="69"/>
      <c r="E171" s="69"/>
      <c r="F171" s="69"/>
      <c r="G171" s="69"/>
      <c r="H171" s="69"/>
      <c r="I171" s="69"/>
      <c r="J171" s="69"/>
    </row>
    <row r="172" spans="4:10" s="64" customFormat="1" ht="12.000000">
      <c r="D172" s="69"/>
      <c r="E172" s="69"/>
      <c r="F172" s="69"/>
      <c r="G172" s="69"/>
      <c r="H172" s="69"/>
      <c r="I172" s="69"/>
      <c r="J172" s="69"/>
    </row>
    <row r="173" spans="4:10" s="64" customFormat="1" ht="12.000000">
      <c r="D173" s="69"/>
      <c r="E173" s="69"/>
      <c r="F173" s="69"/>
      <c r="G173" s="69"/>
      <c r="H173" s="69"/>
      <c r="I173" s="69"/>
      <c r="J173" s="69"/>
    </row>
    <row r="174" spans="4:10" s="64" customFormat="1" ht="12.000000">
      <c r="D174" s="69"/>
      <c r="E174" s="69"/>
      <c r="F174" s="69"/>
      <c r="G174" s="69"/>
      <c r="H174" s="69"/>
      <c r="I174" s="69"/>
      <c r="J174" s="69"/>
    </row>
    <row r="175" spans="4:10" s="64" customFormat="1" ht="12.000000">
      <c r="D175" s="69"/>
      <c r="E175" s="69"/>
      <c r="F175" s="69"/>
      <c r="G175" s="69"/>
      <c r="H175" s="69"/>
      <c r="I175" s="69"/>
      <c r="J175" s="69"/>
    </row>
    <row r="176" spans="4:10" s="64" customFormat="1" ht="12.000000">
      <c r="D176" s="69"/>
      <c r="E176" s="69"/>
      <c r="F176" s="69"/>
      <c r="G176" s="69"/>
      <c r="H176" s="69"/>
      <c r="I176" s="69"/>
      <c r="J176" s="69"/>
    </row>
    <row r="177" spans="4:10" s="64" customFormat="1" ht="12.000000">
      <c r="D177" s="69"/>
      <c r="E177" s="69"/>
      <c r="F177" s="69"/>
      <c r="G177" s="69"/>
      <c r="H177" s="69"/>
      <c r="I177" s="69"/>
      <c r="J177" s="69"/>
    </row>
    <row r="178" spans="4:10" s="64" customFormat="1" ht="12.000000">
      <c r="D178" s="69"/>
      <c r="E178" s="69"/>
      <c r="F178" s="69"/>
      <c r="G178" s="69"/>
      <c r="H178" s="69"/>
      <c r="I178" s="69"/>
      <c r="J178" s="69"/>
    </row>
    <row r="179" spans="4:10" s="64" customFormat="1" ht="12.000000">
      <c r="D179" s="69"/>
      <c r="E179" s="69"/>
      <c r="F179" s="69"/>
      <c r="G179" s="69"/>
      <c r="H179" s="69"/>
      <c r="I179" s="69"/>
      <c r="J179" s="69"/>
    </row>
    <row r="180" spans="4:10" s="64" customFormat="1" ht="12.000000">
      <c r="D180" s="69"/>
      <c r="E180" s="69"/>
      <c r="F180" s="69"/>
      <c r="G180" s="69"/>
      <c r="H180" s="69"/>
      <c r="I180" s="69"/>
      <c r="J180" s="69"/>
    </row>
    <row r="181" spans="4:10" s="64" customFormat="1" ht="12.000000">
      <c r="D181" s="69"/>
      <c r="E181" s="69"/>
      <c r="F181" s="69"/>
      <c r="G181" s="69"/>
      <c r="H181" s="69"/>
      <c r="I181" s="69"/>
      <c r="J181" s="69"/>
    </row>
    <row r="182" spans="4:10" s="64" customFormat="1" ht="12.000000">
      <c r="D182" s="69"/>
      <c r="E182" s="69"/>
      <c r="F182" s="69"/>
      <c r="G182" s="69"/>
      <c r="H182" s="69"/>
      <c r="I182" s="69"/>
      <c r="J182" s="69"/>
    </row>
    <row r="183" spans="4:10" s="64" customFormat="1" ht="12.000000">
      <c r="D183" s="69"/>
      <c r="E183" s="69"/>
      <c r="F183" s="69"/>
      <c r="G183" s="69"/>
      <c r="H183" s="69"/>
      <c r="I183" s="69"/>
      <c r="J183" s="69"/>
    </row>
    <row r="184" spans="4:10" s="64" customFormat="1" ht="12.000000">
      <c r="D184" s="69"/>
      <c r="E184" s="69"/>
      <c r="F184" s="69"/>
      <c r="G184" s="69"/>
      <c r="H184" s="69"/>
      <c r="I184" s="69"/>
      <c r="J184" s="69"/>
    </row>
    <row r="185" spans="4:10" s="64" customFormat="1" ht="12.000000">
      <c r="D185" s="69"/>
      <c r="E185" s="69"/>
      <c r="F185" s="69"/>
      <c r="G185" s="69"/>
      <c r="H185" s="69"/>
      <c r="I185" s="69"/>
      <c r="J185" s="69"/>
    </row>
    <row r="186" spans="4:10" s="64" customFormat="1" ht="12.000000">
      <c r="D186" s="69"/>
      <c r="E186" s="69"/>
      <c r="F186" s="69"/>
      <c r="G186" s="69"/>
      <c r="H186" s="69"/>
      <c r="I186" s="69"/>
      <c r="J186" s="69"/>
    </row>
    <row r="187" spans="4:10" s="64" customFormat="1" ht="12.000000">
      <c r="D187" s="69"/>
      <c r="E187" s="69"/>
      <c r="F187" s="69"/>
      <c r="G187" s="69"/>
      <c r="H187" s="69"/>
      <c r="I187" s="69"/>
      <c r="J187" s="69"/>
    </row>
    <row r="188" spans="4:10" s="64" customFormat="1" ht="12.000000">
      <c r="D188" s="69"/>
      <c r="E188" s="69"/>
      <c r="F188" s="69"/>
      <c r="G188" s="69"/>
      <c r="H188" s="69"/>
      <c r="I188" s="69"/>
      <c r="J188" s="69"/>
    </row>
    <row r="189" spans="4:10" s="64" customFormat="1" ht="12.000000">
      <c r="D189" s="69"/>
      <c r="E189" s="69"/>
      <c r="F189" s="69"/>
      <c r="G189" s="69"/>
      <c r="H189" s="69"/>
      <c r="I189" s="69"/>
      <c r="J189" s="69"/>
    </row>
    <row r="190" spans="4:10" s="64" customFormat="1" ht="12.000000">
      <c r="D190" s="69"/>
      <c r="E190" s="69"/>
      <c r="F190" s="69"/>
      <c r="G190" s="69"/>
      <c r="H190" s="69"/>
      <c r="I190" s="69"/>
      <c r="J190" s="69"/>
    </row>
    <row r="191" spans="4:10" s="64" customFormat="1" ht="12.000000">
      <c r="D191" s="69"/>
      <c r="E191" s="69"/>
      <c r="F191" s="69"/>
      <c r="G191" s="69"/>
      <c r="H191" s="69"/>
      <c r="I191" s="69"/>
      <c r="J191" s="69"/>
    </row>
    <row r="192" spans="4:10" s="64" customFormat="1" ht="12.000000">
      <c r="D192" s="69"/>
      <c r="E192" s="69"/>
      <c r="F192" s="69"/>
      <c r="G192" s="69"/>
      <c r="H192" s="69"/>
      <c r="I192" s="69"/>
      <c r="J192" s="69"/>
    </row>
    <row r="193" spans="4:10" s="64" customFormat="1" ht="12.000000">
      <c r="D193" s="69"/>
      <c r="E193" s="69"/>
      <c r="F193" s="69"/>
      <c r="G193" s="69"/>
      <c r="H193" s="69"/>
      <c r="I193" s="69"/>
      <c r="J193" s="69"/>
    </row>
    <row r="194" spans="4:10" s="64" customFormat="1" ht="12.000000">
      <c r="D194" s="69"/>
      <c r="E194" s="69"/>
      <c r="F194" s="69"/>
      <c r="G194" s="69"/>
      <c r="H194" s="69"/>
      <c r="I194" s="69"/>
      <c r="J194" s="69"/>
    </row>
    <row r="195" spans="4:10" s="64" customFormat="1" ht="12.000000">
      <c r="D195" s="69"/>
      <c r="E195" s="69"/>
      <c r="F195" s="69"/>
      <c r="G195" s="69"/>
      <c r="H195" s="69"/>
      <c r="I195" s="69"/>
      <c r="J195" s="69"/>
    </row>
    <row r="196" spans="4:10" s="64" customFormat="1" ht="12.000000">
      <c r="D196" s="69"/>
      <c r="E196" s="69"/>
      <c r="F196" s="69"/>
      <c r="G196" s="69"/>
      <c r="H196" s="69"/>
      <c r="I196" s="69"/>
      <c r="J196" s="69"/>
    </row>
    <row r="197" spans="4:10" s="64" customFormat="1" ht="12.000000">
      <c r="D197" s="69"/>
      <c r="E197" s="69"/>
      <c r="F197" s="69"/>
      <c r="G197" s="69"/>
      <c r="H197" s="69"/>
      <c r="I197" s="69"/>
      <c r="J197" s="69"/>
    </row>
    <row r="198" spans="4:10" s="64" customFormat="1" ht="12.000000">
      <c r="D198" s="69"/>
      <c r="E198" s="69"/>
      <c r="F198" s="69"/>
      <c r="G198" s="69"/>
      <c r="H198" s="69"/>
      <c r="I198" s="69"/>
      <c r="J198" s="69"/>
    </row>
    <row r="199" spans="4:10" s="64" customFormat="1" ht="12.000000">
      <c r="D199" s="69"/>
      <c r="E199" s="69"/>
      <c r="F199" s="69"/>
      <c r="G199" s="69"/>
      <c r="H199" s="69"/>
      <c r="I199" s="69"/>
      <c r="J199" s="69"/>
    </row>
    <row r="200" spans="4:10" s="64" customFormat="1" ht="12.000000">
      <c r="D200" s="69"/>
      <c r="E200" s="69"/>
      <c r="F200" s="69"/>
      <c r="G200" s="69"/>
      <c r="H200" s="69"/>
      <c r="I200" s="69"/>
      <c r="J200" s="69"/>
    </row>
    <row r="201" spans="4:10" s="64" customFormat="1" ht="12.000000">
      <c r="D201" s="69"/>
      <c r="E201" s="69"/>
      <c r="F201" s="69"/>
      <c r="G201" s="69"/>
      <c r="H201" s="69"/>
      <c r="I201" s="69"/>
      <c r="J201" s="69"/>
    </row>
    <row r="202" spans="4:10" s="64" customFormat="1" ht="12.000000">
      <c r="D202" s="69"/>
      <c r="E202" s="69"/>
      <c r="F202" s="69"/>
      <c r="G202" s="69"/>
      <c r="H202" s="69"/>
      <c r="I202" s="69"/>
      <c r="J202" s="69"/>
    </row>
    <row r="203" spans="4:10" s="64" customFormat="1" ht="12.000000">
      <c r="D203" s="69"/>
      <c r="E203" s="69"/>
      <c r="F203" s="69"/>
      <c r="G203" s="69"/>
      <c r="H203" s="69"/>
      <c r="I203" s="69"/>
      <c r="J203" s="69"/>
    </row>
    <row r="204" spans="4:10" s="64" customFormat="1" ht="12.000000">
      <c r="D204" s="69"/>
      <c r="E204" s="69"/>
      <c r="F204" s="69"/>
      <c r="G204" s="69"/>
      <c r="H204" s="69"/>
      <c r="I204" s="69"/>
      <c r="J204" s="69"/>
    </row>
    <row r="205" spans="4:10" s="64" customFormat="1" ht="12.000000">
      <c r="D205" s="69"/>
      <c r="E205" s="69"/>
      <c r="F205" s="69"/>
      <c r="G205" s="69"/>
      <c r="H205" s="69"/>
      <c r="I205" s="69"/>
      <c r="J205" s="69"/>
    </row>
    <row r="206" spans="4:10" s="64" customFormat="1" ht="12.000000">
      <c r="D206" s="69"/>
      <c r="E206" s="69"/>
      <c r="F206" s="69"/>
      <c r="G206" s="69"/>
      <c r="H206" s="69"/>
      <c r="I206" s="69"/>
      <c r="J206" s="69"/>
    </row>
    <row r="207" spans="4:10" s="64" customFormat="1" ht="12.000000">
      <c r="D207" s="69"/>
      <c r="E207" s="69"/>
      <c r="F207" s="69"/>
      <c r="G207" s="69"/>
      <c r="H207" s="69"/>
      <c r="I207" s="69"/>
      <c r="J207" s="69"/>
    </row>
    <row r="208" spans="4:10" s="64" customFormat="1" ht="12.000000">
      <c r="D208" s="69"/>
      <c r="E208" s="69"/>
      <c r="F208" s="69"/>
      <c r="G208" s="69"/>
      <c r="H208" s="69"/>
      <c r="I208" s="69"/>
      <c r="J208" s="69"/>
    </row>
    <row r="209" spans="4:10" s="64" customFormat="1" ht="12.000000">
      <c r="D209" s="69"/>
      <c r="E209" s="69"/>
      <c r="F209" s="69"/>
      <c r="G209" s="69"/>
      <c r="H209" s="69"/>
      <c r="I209" s="69"/>
      <c r="J209" s="69"/>
    </row>
    <row r="210" spans="4:10" s="64" customFormat="1" ht="12.000000">
      <c r="D210" s="69"/>
      <c r="E210" s="69"/>
      <c r="F210" s="69"/>
      <c r="G210" s="69"/>
      <c r="H210" s="69"/>
      <c r="I210" s="69"/>
      <c r="J210" s="69"/>
    </row>
    <row r="211" spans="4:10" s="64" customFormat="1" ht="12.000000">
      <c r="D211" s="69"/>
      <c r="E211" s="69"/>
      <c r="F211" s="69"/>
      <c r="G211" s="69"/>
      <c r="H211" s="69"/>
      <c r="I211" s="69"/>
      <c r="J211" s="69"/>
    </row>
    <row r="212" spans="4:10" s="64" customFormat="1" ht="12.000000">
      <c r="D212" s="69"/>
      <c r="E212" s="69"/>
      <c r="F212" s="69"/>
      <c r="G212" s="69"/>
      <c r="H212" s="69"/>
      <c r="I212" s="69"/>
      <c r="J212" s="69"/>
    </row>
    <row r="213" spans="4:10" s="64" customFormat="1" ht="12.000000">
      <c r="D213" s="69"/>
      <c r="E213" s="69"/>
      <c r="F213" s="69"/>
      <c r="G213" s="69"/>
      <c r="H213" s="69"/>
      <c r="I213" s="69"/>
      <c r="J213" s="69"/>
    </row>
    <row r="214" spans="4:10" s="64" customFormat="1" ht="12.000000">
      <c r="D214" s="69"/>
      <c r="E214" s="69"/>
      <c r="F214" s="69"/>
      <c r="G214" s="69"/>
      <c r="H214" s="69"/>
      <c r="I214" s="69"/>
      <c r="J214" s="69"/>
    </row>
    <row r="215" spans="4:10" s="64" customFormat="1" ht="12.000000">
      <c r="D215" s="69"/>
      <c r="E215" s="69"/>
      <c r="F215" s="69"/>
      <c r="G215" s="69"/>
      <c r="H215" s="69"/>
      <c r="I215" s="69"/>
      <c r="J215" s="69"/>
    </row>
    <row r="216" spans="4:10" s="64" customFormat="1" ht="12.000000">
      <c r="D216" s="69"/>
      <c r="E216" s="69"/>
      <c r="F216" s="69"/>
      <c r="G216" s="69"/>
      <c r="H216" s="69"/>
      <c r="I216" s="69"/>
      <c r="J216" s="69"/>
    </row>
    <row r="217" spans="4:10" s="64" customFormat="1" ht="12.000000">
      <c r="D217" s="69"/>
      <c r="E217" s="69"/>
      <c r="F217" s="69"/>
      <c r="G217" s="69"/>
      <c r="H217" s="69"/>
      <c r="I217" s="69"/>
      <c r="J217" s="69"/>
    </row>
    <row r="218" spans="4:10" s="64" customFormat="1" ht="12.000000">
      <c r="D218" s="69"/>
      <c r="E218" s="69"/>
      <c r="F218" s="69"/>
      <c r="G218" s="69"/>
      <c r="H218" s="69"/>
      <c r="I218" s="69"/>
      <c r="J218" s="69"/>
    </row>
    <row r="219" spans="4:10" s="64" customFormat="1" ht="12.000000">
      <c r="D219" s="69"/>
      <c r="E219" s="69"/>
      <c r="F219" s="69"/>
      <c r="G219" s="69"/>
      <c r="H219" s="69"/>
      <c r="I219" s="69"/>
      <c r="J219" s="69"/>
    </row>
    <row r="220" spans="4:10" s="64" customFormat="1" ht="12.000000">
      <c r="D220" s="69"/>
      <c r="E220" s="69"/>
      <c r="F220" s="69"/>
      <c r="G220" s="69"/>
      <c r="H220" s="69"/>
      <c r="I220" s="69"/>
      <c r="J220" s="69"/>
    </row>
    <row r="221" spans="4:10" s="64" customFormat="1" ht="12.000000">
      <c r="D221" s="69"/>
      <c r="E221" s="69"/>
      <c r="F221" s="69"/>
      <c r="G221" s="69"/>
      <c r="H221" s="69"/>
      <c r="I221" s="69"/>
      <c r="J221" s="69"/>
    </row>
    <row r="222" spans="4:10" s="64" customFormat="1" ht="12.000000">
      <c r="D222" s="69"/>
      <c r="E222" s="69"/>
      <c r="F222" s="69"/>
      <c r="G222" s="69"/>
      <c r="H222" s="69"/>
      <c r="I222" s="69"/>
      <c r="J222" s="69"/>
    </row>
    <row r="223" spans="4:10" s="64" customFormat="1" ht="12.000000">
      <c r="D223" s="69"/>
      <c r="E223" s="69"/>
      <c r="F223" s="69"/>
      <c r="G223" s="69"/>
      <c r="H223" s="69"/>
      <c r="I223" s="69"/>
      <c r="J223" s="69"/>
    </row>
    <row r="224" spans="4:10" s="64" customFormat="1" ht="12.000000">
      <c r="D224" s="69"/>
      <c r="E224" s="69"/>
      <c r="F224" s="69"/>
      <c r="G224" s="69"/>
      <c r="H224" s="69"/>
      <c r="I224" s="69"/>
      <c r="J224" s="69"/>
    </row>
    <row r="225" spans="4:10" s="64" customFormat="1" ht="12.000000">
      <c r="D225" s="69"/>
      <c r="E225" s="69"/>
      <c r="F225" s="69"/>
      <c r="G225" s="69"/>
      <c r="H225" s="69"/>
      <c r="I225" s="69"/>
      <c r="J225" s="69"/>
    </row>
    <row r="226" spans="4:10" s="64" customFormat="1" ht="12.000000">
      <c r="D226" s="69"/>
      <c r="E226" s="69"/>
      <c r="F226" s="69"/>
      <c r="G226" s="69"/>
      <c r="H226" s="69"/>
      <c r="I226" s="69"/>
      <c r="J226" s="69"/>
    </row>
    <row r="227" spans="4:10" s="64" customFormat="1" ht="12.000000">
      <c r="D227" s="69"/>
      <c r="E227" s="69"/>
      <c r="F227" s="69"/>
      <c r="G227" s="69"/>
      <c r="H227" s="69"/>
      <c r="I227" s="69"/>
      <c r="J227" s="69"/>
    </row>
    <row r="228" spans="4:10" s="64" customFormat="1" ht="12.000000">
      <c r="D228" s="69"/>
      <c r="E228" s="69"/>
      <c r="F228" s="69"/>
      <c r="G228" s="69"/>
      <c r="H228" s="69"/>
      <c r="I228" s="69"/>
      <c r="J228" s="69"/>
    </row>
    <row r="229" spans="4:10" s="64" customFormat="1" ht="12.000000">
      <c r="D229" s="69"/>
      <c r="E229" s="69"/>
      <c r="F229" s="69"/>
      <c r="G229" s="69"/>
      <c r="H229" s="69"/>
      <c r="I229" s="69"/>
      <c r="J229" s="69"/>
    </row>
    <row r="230" spans="4:10" s="64" customFormat="1" ht="12.000000">
      <c r="D230" s="69"/>
      <c r="E230" s="69"/>
      <c r="F230" s="69"/>
      <c r="G230" s="69"/>
      <c r="H230" s="69"/>
      <c r="I230" s="69"/>
      <c r="J230" s="69"/>
    </row>
    <row r="231" spans="4:10" s="64" customFormat="1" ht="12.000000">
      <c r="D231" s="69"/>
      <c r="E231" s="69"/>
      <c r="F231" s="69"/>
      <c r="G231" s="69"/>
      <c r="H231" s="69"/>
      <c r="I231" s="69"/>
      <c r="J231" s="69"/>
    </row>
    <row r="232" spans="4:10" s="64" customFormat="1" ht="12.000000">
      <c r="D232" s="69"/>
      <c r="E232" s="69"/>
      <c r="F232" s="69"/>
      <c r="G232" s="69"/>
      <c r="H232" s="69"/>
      <c r="I232" s="69"/>
      <c r="J232" s="69"/>
    </row>
    <row r="233" spans="4:10" s="64" customFormat="1" ht="12.000000">
      <c r="D233" s="69"/>
      <c r="E233" s="69"/>
      <c r="F233" s="69"/>
      <c r="G233" s="69"/>
      <c r="H233" s="69"/>
      <c r="I233" s="69"/>
      <c r="J233" s="69"/>
    </row>
    <row r="234" spans="4:10" s="64" customFormat="1" ht="12.000000">
      <c r="D234" s="69"/>
      <c r="E234" s="69"/>
      <c r="F234" s="69"/>
      <c r="G234" s="69"/>
      <c r="H234" s="69"/>
      <c r="I234" s="69"/>
      <c r="J234" s="69"/>
    </row>
    <row r="235" spans="4:10" s="64" customFormat="1" ht="12.000000">
      <c r="D235" s="69"/>
      <c r="E235" s="69"/>
      <c r="F235" s="69"/>
      <c r="G235" s="69"/>
      <c r="H235" s="69"/>
      <c r="I235" s="69"/>
      <c r="J235" s="69"/>
    </row>
    <row r="236" spans="4:10" s="64" customFormat="1" ht="12.000000">
      <c r="D236" s="69"/>
      <c r="E236" s="69"/>
      <c r="F236" s="69"/>
      <c r="G236" s="69"/>
      <c r="H236" s="69"/>
      <c r="I236" s="69"/>
      <c r="J236" s="69"/>
    </row>
    <row r="237" spans="4:10" s="64" customFormat="1" ht="12.000000">
      <c r="D237" s="69"/>
      <c r="E237" s="69"/>
      <c r="F237" s="69"/>
      <c r="G237" s="69"/>
      <c r="H237" s="69"/>
      <c r="I237" s="69"/>
      <c r="J237" s="69"/>
    </row>
    <row r="238" spans="4:10" s="64" customFormat="1" ht="12.000000">
      <c r="D238" s="69"/>
      <c r="E238" s="69"/>
      <c r="F238" s="69"/>
      <c r="G238" s="69"/>
      <c r="H238" s="69"/>
      <c r="I238" s="69"/>
      <c r="J238" s="69"/>
    </row>
    <row r="239" spans="4:10" s="64" customFormat="1" ht="12.000000">
      <c r="D239" s="69"/>
      <c r="E239" s="69"/>
      <c r="F239" s="69"/>
      <c r="G239" s="69"/>
      <c r="H239" s="69"/>
      <c r="I239" s="69"/>
      <c r="J239" s="69"/>
    </row>
    <row r="240" spans="4:10" s="64" customFormat="1" ht="12.000000">
      <c r="D240" s="69"/>
      <c r="E240" s="69"/>
      <c r="F240" s="69"/>
      <c r="G240" s="69"/>
      <c r="H240" s="69"/>
      <c r="I240" s="69"/>
      <c r="J240" s="69"/>
    </row>
    <row r="241" spans="4:10" s="64" customFormat="1" ht="12.000000">
      <c r="D241" s="69"/>
      <c r="E241" s="69"/>
      <c r="F241" s="69"/>
      <c r="G241" s="69"/>
      <c r="H241" s="69"/>
      <c r="I241" s="69"/>
      <c r="J241" s="69"/>
    </row>
    <row r="242" spans="4:10" s="64" customFormat="1" ht="12.000000">
      <c r="D242" s="69"/>
      <c r="E242" s="69"/>
      <c r="F242" s="69"/>
      <c r="G242" s="69"/>
      <c r="H242" s="69"/>
      <c r="I242" s="69"/>
      <c r="J242" s="69"/>
    </row>
    <row r="243" spans="4:10" s="64" customFormat="1" ht="12.000000">
      <c r="D243" s="69"/>
      <c r="E243" s="69"/>
      <c r="F243" s="69"/>
      <c r="G243" s="69"/>
      <c r="H243" s="69"/>
      <c r="I243" s="69"/>
      <c r="J243" s="69"/>
    </row>
    <row r="244" spans="4:10" s="64" customFormat="1" ht="12.000000">
      <c r="D244" s="69"/>
      <c r="E244" s="69"/>
      <c r="F244" s="69"/>
      <c r="G244" s="69"/>
      <c r="H244" s="69"/>
      <c r="I244" s="69"/>
      <c r="J244" s="69"/>
    </row>
    <row r="245" spans="4:10" s="64" customFormat="1" ht="12.000000">
      <c r="D245" s="69"/>
      <c r="E245" s="69"/>
      <c r="F245" s="69"/>
      <c r="G245" s="69"/>
      <c r="H245" s="69"/>
      <c r="I245" s="69"/>
      <c r="J245" s="69"/>
    </row>
    <row r="246" spans="4:10" s="64" customFormat="1" ht="12.000000">
      <c r="D246" s="69"/>
      <c r="E246" s="69"/>
      <c r="F246" s="69"/>
      <c r="G246" s="69"/>
      <c r="H246" s="69"/>
      <c r="I246" s="69"/>
      <c r="J246" s="69"/>
    </row>
    <row r="247" spans="4:10" s="64" customFormat="1" ht="12.000000">
      <c r="D247" s="69"/>
      <c r="E247" s="69"/>
      <c r="F247" s="69"/>
      <c r="G247" s="69"/>
      <c r="H247" s="69"/>
      <c r="I247" s="69"/>
      <c r="J247" s="69"/>
    </row>
    <row r="248" spans="4:10" s="64" customFormat="1" ht="12.000000">
      <c r="D248" s="69"/>
      <c r="E248" s="69"/>
      <c r="F248" s="69"/>
      <c r="G248" s="69"/>
      <c r="H248" s="69"/>
      <c r="I248" s="69"/>
      <c r="J248" s="69"/>
    </row>
    <row r="249" spans="4:10" s="64" customFormat="1" ht="12.000000">
      <c r="D249" s="69"/>
      <c r="E249" s="69"/>
      <c r="F249" s="69"/>
      <c r="G249" s="69"/>
      <c r="H249" s="69"/>
      <c r="I249" s="69"/>
      <c r="J249" s="69"/>
    </row>
    <row r="250" spans="4:10" s="64" customFormat="1" ht="12.000000">
      <c r="D250" s="69"/>
      <c r="E250" s="69"/>
      <c r="F250" s="69"/>
      <c r="G250" s="69"/>
      <c r="H250" s="69"/>
      <c r="I250" s="69"/>
      <c r="J250" s="69"/>
    </row>
    <row r="251" spans="4:10" s="64" customFormat="1" ht="12.000000">
      <c r="D251" s="69"/>
      <c r="E251" s="69"/>
      <c r="F251" s="69"/>
      <c r="G251" s="69"/>
      <c r="H251" s="69"/>
      <c r="I251" s="69"/>
      <c r="J251" s="69"/>
    </row>
    <row r="252" spans="4:10" s="64" customFormat="1" ht="12.000000">
      <c r="D252" s="69"/>
      <c r="E252" s="69"/>
      <c r="F252" s="69"/>
      <c r="G252" s="69"/>
      <c r="H252" s="69"/>
      <c r="I252" s="69"/>
      <c r="J252" s="69"/>
    </row>
    <row r="253" spans="4:10" s="64" customFormat="1" ht="12.000000">
      <c r="D253" s="69"/>
      <c r="E253" s="69"/>
      <c r="F253" s="69"/>
      <c r="G253" s="69"/>
      <c r="H253" s="69"/>
      <c r="I253" s="69"/>
      <c r="J253" s="69"/>
    </row>
    <row r="254" spans="4:10" s="64" customFormat="1" ht="12.000000">
      <c r="D254" s="69"/>
      <c r="E254" s="69"/>
      <c r="F254" s="69"/>
      <c r="G254" s="69"/>
      <c r="H254" s="69"/>
      <c r="I254" s="69"/>
      <c r="J254" s="69"/>
    </row>
    <row r="255" spans="4:10" s="64" customFormat="1" ht="12.000000">
      <c r="D255" s="69"/>
      <c r="E255" s="69"/>
      <c r="F255" s="69"/>
      <c r="G255" s="69"/>
      <c r="H255" s="69"/>
      <c r="I255" s="69"/>
      <c r="J255" s="69"/>
    </row>
    <row r="256" spans="4:10" s="64" customFormat="1" ht="12.000000">
      <c r="D256" s="69"/>
      <c r="E256" s="69"/>
      <c r="F256" s="69"/>
      <c r="G256" s="69"/>
      <c r="H256" s="69"/>
      <c r="I256" s="69"/>
      <c r="J256" s="69"/>
    </row>
    <row r="257" spans="4:10" s="64" customFormat="1" ht="12.000000">
      <c r="D257" s="69"/>
      <c r="E257" s="69"/>
      <c r="F257" s="69"/>
      <c r="G257" s="69"/>
      <c r="H257" s="69"/>
      <c r="I257" s="69"/>
      <c r="J257" s="69"/>
    </row>
    <row r="258" spans="4:10" s="64" customFormat="1" ht="12.000000">
      <c r="D258" s="69"/>
      <c r="E258" s="69"/>
      <c r="F258" s="69"/>
      <c r="G258" s="69"/>
      <c r="H258" s="69"/>
      <c r="I258" s="69"/>
      <c r="J258" s="69"/>
    </row>
    <row r="259" spans="4:10" s="64" customFormat="1" ht="12.000000">
      <c r="D259" s="69"/>
      <c r="E259" s="69"/>
      <c r="F259" s="69"/>
      <c r="G259" s="69"/>
      <c r="H259" s="69"/>
      <c r="I259" s="69"/>
      <c r="J259" s="69"/>
    </row>
    <row r="260" spans="4:10" s="64" customFormat="1" ht="12.000000">
      <c r="D260" s="69"/>
      <c r="E260" s="69"/>
      <c r="F260" s="69"/>
      <c r="G260" s="69"/>
      <c r="H260" s="69"/>
      <c r="I260" s="69"/>
      <c r="J260" s="69"/>
    </row>
    <row r="261" spans="4:10" s="64" customFormat="1" ht="12.000000">
      <c r="D261" s="69"/>
      <c r="E261" s="69"/>
      <c r="F261" s="69"/>
      <c r="G261" s="69"/>
      <c r="H261" s="69"/>
      <c r="I261" s="69"/>
      <c r="J261" s="69"/>
    </row>
    <row r="262" spans="4:10" s="64" customFormat="1" ht="12.000000">
      <c r="D262" s="69"/>
      <c r="E262" s="69"/>
      <c r="F262" s="69"/>
      <c r="G262" s="69"/>
      <c r="H262" s="69"/>
      <c r="I262" s="69"/>
      <c r="J262" s="69"/>
    </row>
    <row r="263" spans="4:10" s="64" customFormat="1" ht="12.000000">
      <c r="D263" s="69"/>
      <c r="E263" s="69"/>
      <c r="F263" s="69"/>
      <c r="G263" s="69"/>
      <c r="H263" s="69"/>
      <c r="I263" s="69"/>
      <c r="J263" s="69"/>
    </row>
    <row r="264" spans="4:10" s="64" customFormat="1" ht="12.000000">
      <c r="D264" s="69"/>
      <c r="E264" s="69"/>
      <c r="F264" s="69"/>
      <c r="G264" s="69"/>
      <c r="H264" s="69"/>
      <c r="I264" s="69"/>
      <c r="J264" s="69"/>
    </row>
    <row r="265" spans="4:10" s="64" customFormat="1" ht="12.000000">
      <c r="D265" s="69"/>
      <c r="E265" s="69"/>
      <c r="F265" s="69"/>
      <c r="G265" s="69"/>
      <c r="H265" s="69"/>
      <c r="I265" s="69"/>
      <c r="J265" s="69"/>
    </row>
    <row r="266" spans="4:10" s="64" customFormat="1" ht="12.000000">
      <c r="D266" s="69"/>
      <c r="E266" s="69"/>
      <c r="F266" s="69"/>
      <c r="G266" s="69"/>
      <c r="H266" s="69"/>
      <c r="I266" s="69"/>
      <c r="J266" s="69"/>
    </row>
    <row r="267" spans="4:10" s="64" customFormat="1" ht="12.000000">
      <c r="D267" s="69"/>
      <c r="E267" s="69"/>
      <c r="F267" s="69"/>
      <c r="G267" s="69"/>
      <c r="H267" s="69"/>
      <c r="I267" s="69"/>
      <c r="J267" s="69"/>
    </row>
    <row r="268" spans="4:10" s="64" customFormat="1" ht="12.000000">
      <c r="D268" s="69"/>
      <c r="E268" s="69"/>
      <c r="F268" s="69"/>
      <c r="G268" s="69"/>
      <c r="H268" s="69"/>
      <c r="I268" s="69"/>
      <c r="J268" s="69"/>
    </row>
    <row r="269" spans="4:10" s="64" customFormat="1" ht="12.000000">
      <c r="D269" s="69"/>
      <c r="E269" s="69"/>
      <c r="F269" s="69"/>
      <c r="G269" s="69"/>
      <c r="H269" s="69"/>
      <c r="I269" s="69"/>
      <c r="J269" s="69"/>
    </row>
    <row r="270" spans="4:10" s="64" customFormat="1" ht="12.000000">
      <c r="D270" s="69"/>
      <c r="E270" s="69"/>
      <c r="F270" s="69"/>
      <c r="G270" s="69"/>
      <c r="H270" s="69"/>
      <c r="I270" s="69"/>
      <c r="J270" s="69"/>
    </row>
    <row r="271" spans="4:10" s="64" customFormat="1" ht="12.000000">
      <c r="D271" s="69"/>
      <c r="E271" s="69"/>
      <c r="F271" s="69"/>
      <c r="G271" s="69"/>
      <c r="H271" s="69"/>
      <c r="I271" s="69"/>
      <c r="J271" s="69"/>
    </row>
    <row r="272" spans="4:10" s="64" customFormat="1" ht="12.000000">
      <c r="D272" s="69"/>
      <c r="E272" s="69"/>
      <c r="F272" s="69"/>
      <c r="G272" s="69"/>
      <c r="H272" s="69"/>
      <c r="I272" s="69"/>
      <c r="J272" s="69"/>
    </row>
    <row r="273" spans="4:10" s="64" customFormat="1" ht="12.000000">
      <c r="D273" s="69"/>
      <c r="E273" s="69"/>
      <c r="F273" s="69"/>
      <c r="G273" s="69"/>
      <c r="H273" s="69"/>
      <c r="I273" s="69"/>
      <c r="J273" s="69"/>
    </row>
    <row r="274" spans="4:10" s="64" customFormat="1" ht="12.000000">
      <c r="D274" s="69"/>
      <c r="E274" s="69"/>
      <c r="F274" s="69"/>
      <c r="G274" s="69"/>
      <c r="H274" s="69"/>
      <c r="I274" s="69"/>
      <c r="J274" s="69"/>
    </row>
    <row r="275" spans="4:10" s="64" customFormat="1" ht="12.000000">
      <c r="D275" s="69"/>
      <c r="E275" s="69"/>
      <c r="F275" s="69"/>
      <c r="G275" s="69"/>
      <c r="H275" s="69"/>
      <c r="I275" s="69"/>
      <c r="J275" s="69"/>
    </row>
    <row r="276" spans="4:10" s="64" customFormat="1" ht="12.000000">
      <c r="D276" s="69"/>
      <c r="E276" s="69"/>
      <c r="F276" s="69"/>
      <c r="G276" s="69"/>
      <c r="H276" s="69"/>
      <c r="I276" s="69"/>
      <c r="J276" s="69"/>
    </row>
    <row r="277" spans="4:10" s="64" customFormat="1" ht="12.000000">
      <c r="D277" s="69"/>
      <c r="E277" s="69"/>
      <c r="F277" s="69"/>
      <c r="G277" s="69"/>
      <c r="H277" s="69"/>
      <c r="I277" s="69"/>
      <c r="J277" s="69"/>
    </row>
    <row r="278" spans="4:10" s="64" customFormat="1" ht="12.000000">
      <c r="D278" s="69"/>
      <c r="E278" s="69"/>
      <c r="F278" s="69"/>
      <c r="G278" s="69"/>
      <c r="H278" s="69"/>
      <c r="I278" s="69"/>
      <c r="J278" s="69"/>
    </row>
    <row r="279" spans="4:10" s="64" customFormat="1" ht="12.000000">
      <c r="D279" s="69"/>
      <c r="E279" s="69"/>
      <c r="F279" s="69"/>
      <c r="G279" s="69"/>
      <c r="H279" s="69"/>
      <c r="I279" s="69"/>
      <c r="J279" s="69"/>
    </row>
    <row r="280" spans="4:10" s="64" customFormat="1" ht="12.000000">
      <c r="D280" s="69"/>
      <c r="E280" s="69"/>
      <c r="F280" s="69"/>
      <c r="G280" s="69"/>
      <c r="H280" s="69"/>
      <c r="I280" s="69"/>
      <c r="J280" s="69"/>
    </row>
    <row r="281" spans="4:10" s="64" customFormat="1" ht="12.000000">
      <c r="D281" s="69"/>
      <c r="E281" s="69"/>
      <c r="F281" s="69"/>
      <c r="G281" s="69"/>
      <c r="H281" s="69"/>
      <c r="I281" s="69"/>
      <c r="J281" s="69"/>
    </row>
    <row r="282" spans="4:10" s="64" customFormat="1" ht="12.000000">
      <c r="D282" s="69"/>
      <c r="E282" s="69"/>
      <c r="F282" s="69"/>
      <c r="G282" s="69"/>
      <c r="H282" s="69"/>
      <c r="I282" s="69"/>
      <c r="J282" s="69"/>
    </row>
    <row r="283" spans="4:10" s="64" customFormat="1" ht="12.000000">
      <c r="D283" s="69"/>
      <c r="E283" s="69"/>
      <c r="F283" s="69"/>
      <c r="G283" s="69"/>
      <c r="H283" s="69"/>
      <c r="I283" s="69"/>
      <c r="J283" s="69"/>
    </row>
    <row r="284" spans="4:10" s="64" customFormat="1" ht="12.000000">
      <c r="D284" s="69"/>
      <c r="E284" s="69"/>
      <c r="F284" s="69"/>
      <c r="G284" s="69"/>
      <c r="H284" s="69"/>
      <c r="I284" s="69"/>
      <c r="J284" s="69"/>
    </row>
    <row r="285" spans="4:10" s="64" customFormat="1" ht="12.000000">
      <c r="D285" s="69"/>
      <c r="E285" s="69"/>
      <c r="F285" s="69"/>
      <c r="G285" s="69"/>
      <c r="H285" s="69"/>
      <c r="I285" s="69"/>
      <c r="J285" s="69"/>
    </row>
    <row r="286" spans="4:10" s="64" customFormat="1" ht="12.000000">
      <c r="D286" s="69"/>
      <c r="E286" s="69"/>
      <c r="F286" s="69"/>
      <c r="G286" s="69"/>
      <c r="H286" s="69"/>
      <c r="I286" s="69"/>
      <c r="J286" s="69"/>
    </row>
    <row r="287" spans="4:10" s="64" customFormat="1" ht="12.000000">
      <c r="D287" s="69"/>
      <c r="E287" s="69"/>
      <c r="F287" s="69"/>
      <c r="G287" s="69"/>
      <c r="H287" s="69"/>
      <c r="I287" s="69"/>
      <c r="J287" s="69"/>
    </row>
    <row r="288" spans="4:10" s="64" customFormat="1" ht="12.000000">
      <c r="D288" s="69"/>
      <c r="E288" s="69"/>
      <c r="F288" s="69"/>
      <c r="G288" s="69"/>
      <c r="H288" s="69"/>
      <c r="I288" s="69"/>
      <c r="J288" s="69"/>
    </row>
    <row r="289" spans="4:10" s="64" customFormat="1" ht="12.000000">
      <c r="D289" s="69"/>
      <c r="E289" s="69"/>
      <c r="F289" s="69"/>
      <c r="G289" s="69"/>
      <c r="H289" s="69"/>
      <c r="I289" s="69"/>
      <c r="J289" s="69"/>
    </row>
    <row r="290" spans="4:10" s="64" customFormat="1" ht="12.000000">
      <c r="D290" s="69"/>
      <c r="E290" s="69"/>
      <c r="F290" s="69"/>
      <c r="G290" s="69"/>
      <c r="H290" s="69"/>
      <c r="I290" s="69"/>
      <c r="J290" s="69"/>
    </row>
    <row r="291" spans="4:10" s="64" customFormat="1" ht="12.000000">
      <c r="D291" s="69"/>
      <c r="E291" s="69"/>
      <c r="F291" s="69"/>
      <c r="G291" s="69"/>
      <c r="H291" s="69"/>
      <c r="I291" s="69"/>
      <c r="J291" s="69"/>
    </row>
    <row r="292" spans="4:10" s="64" customFormat="1" ht="12.000000">
      <c r="D292" s="69"/>
      <c r="E292" s="69"/>
      <c r="F292" s="69"/>
      <c r="G292" s="69"/>
      <c r="H292" s="69"/>
      <c r="I292" s="69"/>
      <c r="J292" s="69"/>
    </row>
    <row r="293" spans="4:10" s="64" customFormat="1" ht="12.000000">
      <c r="D293" s="69"/>
      <c r="E293" s="69"/>
      <c r="F293" s="69"/>
      <c r="G293" s="69"/>
      <c r="H293" s="69"/>
      <c r="I293" s="69"/>
      <c r="J293" s="69"/>
    </row>
    <row r="294" spans="4:10" s="64" customFormat="1" ht="12.000000">
      <c r="D294" s="69"/>
      <c r="E294" s="69"/>
      <c r="F294" s="69"/>
      <c r="G294" s="69"/>
      <c r="H294" s="69"/>
      <c r="I294" s="69"/>
      <c r="J294" s="69"/>
    </row>
    <row r="295" spans="4:10" s="64" customFormat="1" ht="12.000000">
      <c r="D295" s="69"/>
      <c r="E295" s="69"/>
      <c r="F295" s="69"/>
      <c r="G295" s="69"/>
      <c r="H295" s="69"/>
      <c r="I295" s="69"/>
      <c r="J295" s="69"/>
    </row>
    <row r="296" spans="4:10" s="64" customFormat="1" ht="12.000000">
      <c r="D296" s="69"/>
      <c r="E296" s="69"/>
      <c r="F296" s="69"/>
      <c r="G296" s="69"/>
      <c r="H296" s="69"/>
      <c r="I296" s="69"/>
      <c r="J296" s="69"/>
    </row>
    <row r="297" spans="4:10" s="64" customFormat="1" ht="12.000000">
      <c r="D297" s="69"/>
      <c r="E297" s="69"/>
      <c r="F297" s="69"/>
      <c r="G297" s="69"/>
      <c r="H297" s="69"/>
      <c r="I297" s="69"/>
      <c r="J297" s="69"/>
    </row>
    <row r="298" spans="4:10" s="64" customFormat="1" ht="12.000000">
      <c r="D298" s="69"/>
      <c r="E298" s="69"/>
      <c r="F298" s="69"/>
      <c r="G298" s="69"/>
      <c r="H298" s="69"/>
      <c r="I298" s="69"/>
      <c r="J298" s="69"/>
    </row>
    <row r="299" spans="4:10" s="64" customFormat="1" ht="12.000000">
      <c r="D299" s="69"/>
      <c r="E299" s="69"/>
      <c r="F299" s="69"/>
      <c r="G299" s="69"/>
      <c r="H299" s="69"/>
      <c r="I299" s="69"/>
      <c r="J299" s="69"/>
    </row>
    <row r="300" spans="4:10" s="64" customFormat="1" ht="12.000000">
      <c r="D300" s="69"/>
      <c r="E300" s="69"/>
      <c r="F300" s="69"/>
      <c r="G300" s="69"/>
      <c r="H300" s="69"/>
      <c r="I300" s="69"/>
      <c r="J300" s="69"/>
    </row>
    <row r="301" spans="4:10" s="64" customFormat="1" ht="12.000000">
      <c r="D301" s="69"/>
      <c r="E301" s="69"/>
      <c r="F301" s="69"/>
      <c r="G301" s="69"/>
      <c r="H301" s="69"/>
      <c r="I301" s="69"/>
      <c r="J301" s="69"/>
    </row>
    <row r="302" spans="4:10" s="64" customFormat="1" ht="12.000000">
      <c r="D302" s="69"/>
      <c r="E302" s="69"/>
      <c r="F302" s="69"/>
      <c r="G302" s="69"/>
      <c r="H302" s="69"/>
      <c r="I302" s="69"/>
      <c r="J302" s="69"/>
    </row>
    <row r="303" spans="4:10" s="64" customFormat="1" ht="12.000000">
      <c r="D303" s="69"/>
      <c r="E303" s="69"/>
      <c r="F303" s="69"/>
      <c r="G303" s="69"/>
      <c r="H303" s="69"/>
      <c r="I303" s="69"/>
      <c r="J303" s="69"/>
    </row>
    <row r="304" spans="4:10" s="64" customFormat="1" ht="12.000000">
      <c r="D304" s="69"/>
      <c r="E304" s="69"/>
      <c r="F304" s="69"/>
      <c r="G304" s="69"/>
      <c r="H304" s="69"/>
      <c r="I304" s="69"/>
      <c r="J304" s="69"/>
    </row>
    <row r="305" spans="4:10" s="64" customFormat="1" ht="12.000000">
      <c r="D305" s="69"/>
      <c r="E305" s="69"/>
      <c r="F305" s="69"/>
      <c r="G305" s="69"/>
      <c r="H305" s="69"/>
      <c r="I305" s="69"/>
      <c r="J305" s="69"/>
    </row>
    <row r="306" spans="4:10" s="64" customFormat="1" ht="12.000000">
      <c r="D306" s="69"/>
      <c r="E306" s="69"/>
      <c r="F306" s="69"/>
      <c r="G306" s="69"/>
      <c r="H306" s="69"/>
      <c r="I306" s="69"/>
      <c r="J306" s="69"/>
    </row>
    <row r="307" spans="4:10" s="64" customFormat="1" ht="12.000000">
      <c r="D307" s="69"/>
      <c r="E307" s="69"/>
      <c r="F307" s="69"/>
      <c r="G307" s="69"/>
      <c r="H307" s="69"/>
      <c r="I307" s="69"/>
      <c r="J307" s="69"/>
    </row>
    <row r="308" spans="4:10" s="64" customFormat="1" ht="12.000000">
      <c r="D308" s="69"/>
      <c r="E308" s="69"/>
      <c r="F308" s="69"/>
      <c r="G308" s="69"/>
      <c r="H308" s="69"/>
      <c r="I308" s="69"/>
      <c r="J308" s="69"/>
    </row>
    <row r="309" spans="4:10" s="64" customFormat="1" ht="12.000000">
      <c r="D309" s="69"/>
      <c r="E309" s="69"/>
      <c r="F309" s="69"/>
      <c r="G309" s="69"/>
      <c r="H309" s="69"/>
      <c r="I309" s="69"/>
      <c r="J309" s="69"/>
    </row>
    <row r="310" spans="4:10" s="64" customFormat="1" ht="12.000000">
      <c r="D310" s="69"/>
      <c r="E310" s="69"/>
      <c r="F310" s="69"/>
      <c r="G310" s="69"/>
      <c r="H310" s="69"/>
      <c r="I310" s="69"/>
      <c r="J310" s="69"/>
    </row>
    <row r="311" spans="4:10" s="64" customFormat="1" ht="12.000000">
      <c r="D311" s="69"/>
      <c r="E311" s="69"/>
      <c r="F311" s="69"/>
      <c r="G311" s="69"/>
      <c r="H311" s="69"/>
      <c r="I311" s="69"/>
      <c r="J311" s="69"/>
    </row>
    <row r="312" spans="4:10" s="64" customFormat="1" ht="12.000000">
      <c r="D312" s="69"/>
      <c r="E312" s="69"/>
      <c r="F312" s="69"/>
      <c r="G312" s="69"/>
      <c r="H312" s="69"/>
      <c r="I312" s="69"/>
      <c r="J312" s="69"/>
    </row>
    <row r="313" spans="4:10" s="64" customFormat="1" ht="12.000000">
      <c r="D313" s="69"/>
      <c r="E313" s="69"/>
      <c r="F313" s="69"/>
      <c r="G313" s="69"/>
      <c r="H313" s="69"/>
      <c r="I313" s="69"/>
      <c r="J313" s="69"/>
    </row>
    <row r="314" spans="4:10" s="64" customFormat="1" ht="12.000000">
      <c r="D314" s="69"/>
      <c r="E314" s="69"/>
      <c r="F314" s="69"/>
      <c r="G314" s="69"/>
      <c r="H314" s="69"/>
      <c r="I314" s="69"/>
      <c r="J314" s="69"/>
    </row>
    <row r="315" spans="4:10" s="64" customFormat="1" ht="12.000000">
      <c r="D315" s="69"/>
      <c r="E315" s="69"/>
      <c r="F315" s="69"/>
      <c r="G315" s="69"/>
      <c r="H315" s="69"/>
      <c r="I315" s="69"/>
      <c r="J315" s="69"/>
    </row>
    <row r="316" spans="4:10" s="64" customFormat="1" ht="12.000000">
      <c r="D316" s="69"/>
      <c r="E316" s="69"/>
      <c r="F316" s="69"/>
      <c r="G316" s="69"/>
      <c r="H316" s="69"/>
      <c r="I316" s="69"/>
      <c r="J316" s="69"/>
    </row>
    <row r="317" spans="4:10" s="64" customFormat="1" ht="12.000000">
      <c r="D317" s="69"/>
      <c r="E317" s="69"/>
      <c r="F317" s="69"/>
      <c r="G317" s="69"/>
      <c r="H317" s="69"/>
      <c r="I317" s="69"/>
      <c r="J317" s="69"/>
    </row>
    <row r="318" spans="4:10" s="64" customFormat="1" ht="12.000000">
      <c r="D318" s="69"/>
      <c r="E318" s="69"/>
      <c r="F318" s="69"/>
      <c r="G318" s="69"/>
      <c r="H318" s="69"/>
      <c r="I318" s="69"/>
      <c r="J318" s="69"/>
    </row>
    <row r="319" spans="4:10" s="64" customFormat="1" ht="12.000000">
      <c r="D319" s="69"/>
      <c r="E319" s="69"/>
      <c r="F319" s="69"/>
      <c r="G319" s="69"/>
      <c r="H319" s="69"/>
      <c r="I319" s="69"/>
      <c r="J319" s="69"/>
    </row>
    <row r="320" spans="4:10" s="64" customFormat="1" ht="12.000000">
      <c r="D320" s="69"/>
      <c r="E320" s="69"/>
      <c r="F320" s="69"/>
      <c r="G320" s="69"/>
      <c r="H320" s="69"/>
      <c r="I320" s="69"/>
      <c r="J320" s="69"/>
    </row>
    <row r="321" spans="4:10" s="64" customFormat="1" ht="12.000000">
      <c r="D321" s="69"/>
      <c r="E321" s="69"/>
      <c r="F321" s="69"/>
      <c r="G321" s="69"/>
      <c r="H321" s="69"/>
      <c r="I321" s="69"/>
      <c r="J321" s="69"/>
    </row>
    <row r="322" spans="4:10" s="64" customFormat="1" ht="12.000000">
      <c r="D322" s="69"/>
      <c r="E322" s="69"/>
      <c r="F322" s="69"/>
      <c r="G322" s="69"/>
      <c r="H322" s="69"/>
      <c r="I322" s="69"/>
      <c r="J322" s="69"/>
    </row>
    <row r="323" spans="4:10" s="64" customFormat="1" ht="12.000000">
      <c r="D323" s="69"/>
      <c r="E323" s="69"/>
      <c r="F323" s="69"/>
      <c r="G323" s="69"/>
      <c r="H323" s="69"/>
      <c r="I323" s="69"/>
      <c r="J323" s="69"/>
    </row>
    <row r="324" spans="4:10" s="64" customFormat="1" ht="12.000000">
      <c r="D324" s="69"/>
      <c r="E324" s="69"/>
      <c r="F324" s="69"/>
      <c r="G324" s="69"/>
      <c r="H324" s="69"/>
      <c r="I324" s="69"/>
      <c r="J324" s="69"/>
    </row>
    <row r="325" spans="4:10" s="64" customFormat="1" ht="12.000000">
      <c r="D325" s="69"/>
      <c r="E325" s="69"/>
      <c r="F325" s="69"/>
      <c r="G325" s="69"/>
      <c r="H325" s="69"/>
      <c r="I325" s="69"/>
      <c r="J325" s="69"/>
    </row>
    <row r="326" spans="4:10" s="64" customFormat="1" ht="12.000000">
      <c r="D326" s="69"/>
      <c r="E326" s="69"/>
      <c r="F326" s="69"/>
      <c r="G326" s="69"/>
      <c r="H326" s="69"/>
      <c r="I326" s="69"/>
      <c r="J326" s="69"/>
    </row>
    <row r="327" spans="4:10" s="64" customFormat="1" ht="12.000000">
      <c r="D327" s="69"/>
      <c r="E327" s="69"/>
      <c r="F327" s="69"/>
      <c r="G327" s="69"/>
      <c r="H327" s="69"/>
      <c r="I327" s="69"/>
      <c r="J327" s="69"/>
    </row>
    <row r="328" spans="4:10" s="64" customFormat="1" ht="12.000000">
      <c r="D328" s="69"/>
      <c r="E328" s="69"/>
      <c r="F328" s="69"/>
      <c r="G328" s="69"/>
      <c r="H328" s="69"/>
      <c r="I328" s="69"/>
      <c r="J328" s="69"/>
    </row>
    <row r="329" spans="4:10" s="64" customFormat="1" ht="12.000000">
      <c r="D329" s="69"/>
      <c r="E329" s="69"/>
      <c r="F329" s="69"/>
      <c r="G329" s="69"/>
      <c r="H329" s="69"/>
      <c r="I329" s="69"/>
      <c r="J329" s="69"/>
    </row>
    <row r="330" spans="4:10" s="64" customFormat="1" ht="12.000000">
      <c r="D330" s="69"/>
      <c r="E330" s="69"/>
      <c r="F330" s="69"/>
      <c r="G330" s="69"/>
      <c r="H330" s="69"/>
      <c r="I330" s="69"/>
      <c r="J330" s="69"/>
    </row>
    <row r="331" spans="4:10" s="64" customFormat="1" ht="12.000000">
      <c r="D331" s="69"/>
      <c r="E331" s="69"/>
      <c r="F331" s="69"/>
      <c r="G331" s="69"/>
      <c r="H331" s="69"/>
      <c r="I331" s="69"/>
      <c r="J331" s="69"/>
    </row>
    <row r="332" spans="4:10" s="64" customFormat="1" ht="12.000000">
      <c r="D332" s="69"/>
      <c r="E332" s="69"/>
      <c r="F332" s="69"/>
      <c r="G332" s="69"/>
      <c r="H332" s="69"/>
      <c r="I332" s="69"/>
      <c r="J332" s="69"/>
    </row>
    <row r="333" spans="4:10" s="64" customFormat="1" ht="12.000000">
      <c r="D333" s="69"/>
      <c r="E333" s="69"/>
      <c r="F333" s="69"/>
      <c r="G333" s="69"/>
      <c r="H333" s="69"/>
      <c r="I333" s="69"/>
      <c r="J333" s="69"/>
    </row>
    <row r="334" spans="4:10" s="64" customFormat="1" ht="12.000000">
      <c r="D334" s="69"/>
      <c r="E334" s="69"/>
      <c r="F334" s="69"/>
      <c r="G334" s="69"/>
      <c r="H334" s="69"/>
      <c r="I334" s="69"/>
      <c r="J334" s="69"/>
    </row>
    <row r="335" spans="4:10" s="64" customFormat="1" ht="12.000000">
      <c r="D335" s="69"/>
      <c r="E335" s="69"/>
      <c r="F335" s="69"/>
      <c r="G335" s="69"/>
      <c r="H335" s="69"/>
      <c r="I335" s="69"/>
      <c r="J335" s="69"/>
    </row>
    <row r="336" spans="4:10" s="64" customFormat="1" ht="12.000000">
      <c r="D336" s="69"/>
      <c r="E336" s="69"/>
      <c r="F336" s="69"/>
      <c r="G336" s="69"/>
      <c r="H336" s="69"/>
      <c r="I336" s="69"/>
      <c r="J336" s="69"/>
    </row>
    <row r="337" spans="4:10" s="64" customFormat="1" ht="12.000000">
      <c r="D337" s="69"/>
      <c r="E337" s="69"/>
      <c r="F337" s="69"/>
      <c r="G337" s="69"/>
      <c r="H337" s="69"/>
      <c r="I337" s="69"/>
      <c r="J337" s="69"/>
    </row>
    <row r="338" spans="4:10" s="64" customFormat="1" ht="12.000000">
      <c r="D338" s="69"/>
      <c r="E338" s="69"/>
      <c r="F338" s="69"/>
      <c r="G338" s="69"/>
      <c r="H338" s="69"/>
      <c r="I338" s="69"/>
      <c r="J338" s="69"/>
    </row>
    <row r="339" spans="4:10" s="64" customFormat="1" ht="12.000000">
      <c r="D339" s="69"/>
      <c r="E339" s="69"/>
      <c r="F339" s="69"/>
      <c r="G339" s="69"/>
      <c r="H339" s="69"/>
      <c r="I339" s="69"/>
      <c r="J339" s="69"/>
    </row>
    <row r="340" spans="4:10" s="64" customFormat="1" ht="12.000000">
      <c r="D340" s="69"/>
      <c r="E340" s="69"/>
      <c r="F340" s="69"/>
      <c r="G340" s="69"/>
      <c r="H340" s="69"/>
      <c r="I340" s="69"/>
      <c r="J340" s="69"/>
    </row>
    <row r="341" spans="4:10" s="64" customFormat="1" ht="12.000000">
      <c r="D341" s="69"/>
      <c r="E341" s="69"/>
      <c r="F341" s="69"/>
      <c r="G341" s="69"/>
      <c r="H341" s="69"/>
      <c r="I341" s="69"/>
      <c r="J341" s="69"/>
    </row>
    <row r="342" spans="4:10" s="64" customFormat="1" ht="12.000000">
      <c r="D342" s="69"/>
      <c r="E342" s="69"/>
      <c r="F342" s="69"/>
      <c r="G342" s="69"/>
      <c r="H342" s="69"/>
      <c r="I342" s="69"/>
      <c r="J342" s="69"/>
    </row>
    <row r="343" spans="4:10" s="64" customFormat="1" ht="12.000000">
      <c r="D343" s="69"/>
      <c r="E343" s="69"/>
      <c r="F343" s="69"/>
      <c r="G343" s="69"/>
      <c r="H343" s="69"/>
      <c r="I343" s="69"/>
      <c r="J343" s="69"/>
    </row>
    <row r="344" spans="4:10" s="64" customFormat="1" ht="12.000000">
      <c r="D344" s="69"/>
      <c r="E344" s="69"/>
      <c r="F344" s="69"/>
      <c r="G344" s="69"/>
      <c r="H344" s="69"/>
      <c r="I344" s="69"/>
      <c r="J344" s="69"/>
    </row>
    <row r="345" spans="4:10" s="64" customFormat="1" ht="12.000000">
      <c r="D345" s="69"/>
      <c r="E345" s="69"/>
      <c r="F345" s="69"/>
      <c r="G345" s="69"/>
      <c r="H345" s="69"/>
      <c r="I345" s="69"/>
      <c r="J345" s="69"/>
    </row>
    <row r="346" spans="4:10" s="64" customFormat="1" ht="12.000000">
      <c r="D346" s="69"/>
      <c r="E346" s="69"/>
      <c r="F346" s="69"/>
      <c r="G346" s="69"/>
      <c r="H346" s="69"/>
      <c r="I346" s="69"/>
      <c r="J346" s="69"/>
    </row>
    <row r="347" spans="4:10" s="64" customFormat="1" ht="12.000000">
      <c r="D347" s="69"/>
      <c r="E347" s="69"/>
      <c r="F347" s="69"/>
      <c r="G347" s="69"/>
      <c r="H347" s="69"/>
      <c r="I347" s="69"/>
      <c r="J347" s="69"/>
    </row>
    <row r="348" spans="4:10" s="64" customFormat="1" ht="12.000000">
      <c r="D348" s="69"/>
      <c r="E348" s="69"/>
      <c r="F348" s="69"/>
      <c r="G348" s="69"/>
      <c r="H348" s="69"/>
      <c r="I348" s="69"/>
      <c r="J348" s="69"/>
    </row>
    <row r="349" spans="4:10" s="64" customFormat="1" ht="12.000000">
      <c r="D349" s="69"/>
      <c r="E349" s="69"/>
      <c r="F349" s="69"/>
      <c r="G349" s="69"/>
      <c r="H349" s="69"/>
      <c r="I349" s="69"/>
      <c r="J349" s="69"/>
    </row>
    <row r="350" spans="4:10" s="64" customFormat="1" ht="12.000000">
      <c r="D350" s="69"/>
      <c r="E350" s="69"/>
      <c r="F350" s="69"/>
      <c r="G350" s="69"/>
      <c r="H350" s="69"/>
      <c r="I350" s="69"/>
      <c r="J350" s="69"/>
    </row>
    <row r="351" spans="4:10" s="64" customFormat="1" ht="12.000000">
      <c r="D351" s="69"/>
      <c r="E351" s="69"/>
      <c r="F351" s="69"/>
      <c r="G351" s="69"/>
      <c r="H351" s="69"/>
      <c r="I351" s="69"/>
      <c r="J351" s="69"/>
    </row>
    <row r="352" spans="4:10" s="64" customFormat="1" ht="12.000000">
      <c r="D352" s="69"/>
      <c r="E352" s="69"/>
      <c r="F352" s="69"/>
      <c r="G352" s="69"/>
      <c r="H352" s="69"/>
      <c r="I352" s="69"/>
      <c r="J352" s="69"/>
    </row>
    <row r="353" spans="4:10" s="64" customFormat="1" ht="12.000000">
      <c r="D353" s="69"/>
      <c r="E353" s="69"/>
      <c r="F353" s="69"/>
      <c r="G353" s="69"/>
      <c r="H353" s="69"/>
      <c r="I353" s="69"/>
      <c r="J353" s="69"/>
    </row>
    <row r="354" spans="4:10" s="64" customFormat="1" ht="12.000000">
      <c r="D354" s="69"/>
      <c r="E354" s="69"/>
      <c r="F354" s="69"/>
      <c r="G354" s="69"/>
      <c r="H354" s="69"/>
      <c r="I354" s="69"/>
      <c r="J354" s="69"/>
    </row>
    <row r="355" spans="4:10" s="64" customFormat="1" ht="12.000000">
      <c r="D355" s="69"/>
      <c r="E355" s="69"/>
      <c r="F355" s="69"/>
      <c r="G355" s="69"/>
      <c r="H355" s="69"/>
      <c r="I355" s="69"/>
      <c r="J355" s="69"/>
    </row>
    <row r="356" spans="4:10" s="64" customFormat="1" ht="12.000000">
      <c r="D356" s="69"/>
      <c r="E356" s="69"/>
      <c r="F356" s="69"/>
      <c r="G356" s="69"/>
      <c r="H356" s="69"/>
      <c r="I356" s="69"/>
      <c r="J356" s="69"/>
    </row>
    <row r="357" spans="4:10" s="64" customFormat="1" ht="12.000000">
      <c r="D357" s="69"/>
      <c r="E357" s="69"/>
      <c r="F357" s="69"/>
      <c r="G357" s="69"/>
      <c r="H357" s="69"/>
      <c r="I357" s="69"/>
      <c r="J357" s="69"/>
    </row>
    <row r="358" spans="4:10" s="64" customFormat="1" ht="12.000000">
      <c r="D358" s="69"/>
      <c r="E358" s="69"/>
      <c r="F358" s="69"/>
      <c r="G358" s="69"/>
      <c r="H358" s="69"/>
      <c r="I358" s="69"/>
      <c r="J358" s="69"/>
    </row>
    <row r="359" spans="4:10" s="64" customFormat="1" ht="12.000000">
      <c r="D359" s="69"/>
      <c r="E359" s="69"/>
      <c r="F359" s="69"/>
      <c r="G359" s="69"/>
      <c r="H359" s="69"/>
      <c r="I359" s="69"/>
      <c r="J359" s="69"/>
    </row>
    <row r="360" spans="4:10" s="64" customFormat="1" ht="12.000000">
      <c r="D360" s="69"/>
      <c r="E360" s="69"/>
      <c r="F360" s="69"/>
      <c r="G360" s="69"/>
      <c r="H360" s="69"/>
      <c r="I360" s="69"/>
      <c r="J360" s="69"/>
    </row>
    <row r="361" spans="4:10" s="64" customFormat="1" ht="12.000000">
      <c r="D361" s="69"/>
      <c r="E361" s="69"/>
      <c r="F361" s="69"/>
      <c r="G361" s="69"/>
      <c r="H361" s="69"/>
      <c r="I361" s="69"/>
      <c r="J361" s="69"/>
    </row>
    <row r="362" spans="4:10" s="64" customFormat="1" ht="12.000000">
      <c r="D362" s="69"/>
      <c r="E362" s="69"/>
      <c r="F362" s="69"/>
      <c r="G362" s="69"/>
      <c r="H362" s="69"/>
      <c r="I362" s="69"/>
      <c r="J362" s="69"/>
    </row>
    <row r="363" spans="4:10" s="64" customFormat="1" ht="12.000000">
      <c r="D363" s="69"/>
      <c r="E363" s="69"/>
      <c r="F363" s="69"/>
      <c r="G363" s="69"/>
      <c r="H363" s="69"/>
      <c r="I363" s="69"/>
      <c r="J363" s="69"/>
    </row>
    <row r="364" spans="4:10" s="64" customFormat="1" ht="12.000000">
      <c r="D364" s="69"/>
      <c r="E364" s="69"/>
      <c r="F364" s="69"/>
      <c r="G364" s="69"/>
      <c r="H364" s="69"/>
      <c r="I364" s="69"/>
      <c r="J364" s="69"/>
    </row>
    <row r="365" spans="4:10" s="64" customFormat="1" ht="12.000000">
      <c r="D365" s="69"/>
      <c r="E365" s="69"/>
      <c r="F365" s="69"/>
      <c r="G365" s="69"/>
      <c r="H365" s="69"/>
      <c r="I365" s="69"/>
      <c r="J365" s="69"/>
    </row>
    <row r="366" spans="4:10" s="64" customFormat="1" ht="12.000000">
      <c r="D366" s="69"/>
      <c r="E366" s="69"/>
      <c r="F366" s="69"/>
      <c r="G366" s="69"/>
      <c r="H366" s="69"/>
      <c r="I366" s="69"/>
      <c r="J366" s="69"/>
    </row>
    <row r="367" spans="4:10" s="64" customFormat="1" ht="12.000000">
      <c r="D367" s="69"/>
      <c r="E367" s="69"/>
      <c r="F367" s="69"/>
      <c r="G367" s="69"/>
      <c r="H367" s="69"/>
      <c r="I367" s="69"/>
      <c r="J367" s="69"/>
    </row>
    <row r="368" spans="4:10" s="64" customFormat="1" ht="12.000000">
      <c r="D368" s="69"/>
      <c r="E368" s="69"/>
      <c r="F368" s="69"/>
      <c r="G368" s="69"/>
      <c r="H368" s="69"/>
      <c r="I368" s="69"/>
      <c r="J368" s="69"/>
    </row>
    <row r="369" spans="4:10" s="64" customFormat="1" ht="12.000000">
      <c r="D369" s="69"/>
      <c r="E369" s="69"/>
      <c r="F369" s="69"/>
      <c r="G369" s="69"/>
      <c r="H369" s="69"/>
      <c r="I369" s="69"/>
      <c r="J369" s="69"/>
    </row>
    <row r="370" spans="4:10" s="64" customFormat="1" ht="12.000000">
      <c r="D370" s="69"/>
      <c r="E370" s="69"/>
      <c r="F370" s="69"/>
      <c r="G370" s="69"/>
      <c r="H370" s="69"/>
      <c r="I370" s="69"/>
      <c r="J370" s="69"/>
    </row>
    <row r="371" spans="4:10" s="64" customFormat="1" ht="12.000000">
      <c r="D371" s="69"/>
      <c r="E371" s="69"/>
      <c r="F371" s="69"/>
      <c r="G371" s="69"/>
      <c r="H371" s="69"/>
      <c r="I371" s="69"/>
      <c r="J371" s="69"/>
    </row>
    <row r="372" spans="4:10" s="64" customFormat="1" ht="12.000000">
      <c r="D372" s="69"/>
      <c r="E372" s="69"/>
      <c r="F372" s="69"/>
      <c r="G372" s="69"/>
      <c r="H372" s="69"/>
      <c r="I372" s="69"/>
      <c r="J372" s="69"/>
    </row>
    <row r="373" spans="4:10" s="64" customFormat="1" ht="12.000000">
      <c r="D373" s="69"/>
      <c r="E373" s="69"/>
      <c r="F373" s="69"/>
      <c r="G373" s="69"/>
      <c r="H373" s="69"/>
      <c r="I373" s="69"/>
      <c r="J373" s="69"/>
    </row>
    <row r="374" spans="4:10" s="64" customFormat="1" ht="12.000000">
      <c r="D374" s="69"/>
      <c r="E374" s="69"/>
      <c r="F374" s="69"/>
      <c r="G374" s="69"/>
      <c r="H374" s="69"/>
      <c r="I374" s="69"/>
      <c r="J374" s="69"/>
    </row>
    <row r="375" spans="4:10" s="64" customFormat="1" ht="12.000000">
      <c r="D375" s="69"/>
      <c r="E375" s="69"/>
      <c r="F375" s="69"/>
      <c r="G375" s="69"/>
      <c r="H375" s="69"/>
      <c r="I375" s="69"/>
      <c r="J375" s="69"/>
    </row>
    <row r="376" spans="4:10" s="64" customFormat="1" ht="12.000000">
      <c r="D376" s="69"/>
      <c r="E376" s="69"/>
      <c r="F376" s="69"/>
      <c r="G376" s="69"/>
      <c r="H376" s="69"/>
      <c r="I376" s="69"/>
      <c r="J376" s="69"/>
    </row>
    <row r="377" spans="4:10" s="64" customFormat="1" ht="12.000000">
      <c r="D377" s="69"/>
      <c r="E377" s="69"/>
      <c r="F377" s="69"/>
      <c r="G377" s="69"/>
      <c r="H377" s="69"/>
      <c r="I377" s="69"/>
      <c r="J377" s="69"/>
    </row>
    <row r="378" spans="4:10" s="64" customFormat="1" ht="12.000000">
      <c r="D378" s="69"/>
      <c r="E378" s="69"/>
      <c r="F378" s="69"/>
      <c r="G378" s="69"/>
      <c r="H378" s="69"/>
      <c r="I378" s="69"/>
      <c r="J378" s="69"/>
    </row>
    <row r="379" spans="4:10" s="64" customFormat="1" ht="12.000000">
      <c r="D379" s="69"/>
      <c r="E379" s="69"/>
      <c r="F379" s="69"/>
      <c r="G379" s="69"/>
      <c r="H379" s="69"/>
      <c r="I379" s="69"/>
      <c r="J379" s="69"/>
    </row>
    <row r="380" spans="4:10" s="64" customFormat="1" ht="12.000000">
      <c r="D380" s="69"/>
      <c r="E380" s="69"/>
      <c r="F380" s="69"/>
      <c r="G380" s="69"/>
      <c r="H380" s="69"/>
      <c r="I380" s="69"/>
      <c r="J380" s="69"/>
    </row>
    <row r="381" spans="4:10" s="64" customFormat="1" ht="12.000000">
      <c r="D381" s="69"/>
      <c r="E381" s="69"/>
      <c r="F381" s="69"/>
      <c r="G381" s="69"/>
      <c r="H381" s="69"/>
      <c r="I381" s="69"/>
      <c r="J381" s="69"/>
    </row>
    <row r="382" spans="4:10" s="64" customFormat="1" ht="12.000000">
      <c r="D382" s="69"/>
      <c r="E382" s="69"/>
      <c r="F382" s="69"/>
      <c r="G382" s="69"/>
      <c r="H382" s="69"/>
      <c r="I382" s="69"/>
      <c r="J382" s="69"/>
    </row>
    <row r="383" spans="4:10" s="64" customFormat="1" ht="12.000000">
      <c r="D383" s="69"/>
      <c r="E383" s="69"/>
      <c r="F383" s="69"/>
      <c r="G383" s="69"/>
      <c r="H383" s="69"/>
      <c r="I383" s="69"/>
      <c r="J383" s="69"/>
    </row>
    <row r="384" spans="4:10" s="64" customFormat="1" ht="12.000000">
      <c r="D384" s="69"/>
      <c r="E384" s="69"/>
      <c r="F384" s="69"/>
      <c r="G384" s="69"/>
      <c r="H384" s="69"/>
      <c r="I384" s="69"/>
      <c r="J384" s="69"/>
    </row>
    <row r="385" spans="4:10" s="64" customFormat="1" ht="12.000000">
      <c r="D385" s="69"/>
      <c r="E385" s="69"/>
      <c r="F385" s="69"/>
      <c r="G385" s="69"/>
      <c r="H385" s="69"/>
      <c r="I385" s="69"/>
      <c r="J385" s="69"/>
    </row>
    <row r="386" spans="4:10" s="64" customFormat="1" ht="12.000000">
      <c r="D386" s="69"/>
      <c r="E386" s="69"/>
      <c r="F386" s="69"/>
      <c r="G386" s="69"/>
      <c r="H386" s="69"/>
      <c r="I386" s="69"/>
      <c r="J386" s="69"/>
    </row>
    <row r="387" spans="4:10" s="64" customFormat="1" ht="12.000000">
      <c r="D387" s="69"/>
      <c r="E387" s="69"/>
      <c r="F387" s="69"/>
      <c r="G387" s="69"/>
      <c r="H387" s="69"/>
      <c r="I387" s="69"/>
      <c r="J387" s="69"/>
    </row>
    <row r="388" spans="4:10" s="64" customFormat="1" ht="12.000000">
      <c r="D388" s="69"/>
      <c r="E388" s="69"/>
      <c r="F388" s="69"/>
      <c r="G388" s="69"/>
      <c r="H388" s="69"/>
      <c r="I388" s="69"/>
      <c r="J388" s="69"/>
    </row>
    <row r="389" spans="4:10" s="64" customFormat="1" ht="12.000000">
      <c r="D389" s="69"/>
      <c r="E389" s="69"/>
      <c r="F389" s="69"/>
      <c r="G389" s="69"/>
      <c r="H389" s="69"/>
      <c r="I389" s="69"/>
      <c r="J389" s="69"/>
    </row>
    <row r="390" spans="4:10" s="64" customFormat="1" ht="12.000000">
      <c r="D390" s="69"/>
      <c r="E390" s="69"/>
      <c r="F390" s="69"/>
      <c r="G390" s="69"/>
      <c r="H390" s="69"/>
      <c r="I390" s="69"/>
      <c r="J390" s="69"/>
    </row>
    <row r="391" spans="4:10" s="64" customFormat="1" ht="12.000000">
      <c r="D391" s="69"/>
      <c r="E391" s="69"/>
      <c r="F391" s="69"/>
      <c r="G391" s="69"/>
      <c r="H391" s="69"/>
      <c r="I391" s="69"/>
      <c r="J391" s="69"/>
    </row>
    <row r="392" spans="4:10" s="64" customFormat="1" ht="12.000000">
      <c r="D392" s="69"/>
      <c r="E392" s="69"/>
      <c r="F392" s="69"/>
      <c r="G392" s="69"/>
      <c r="H392" s="69"/>
      <c r="I392" s="69"/>
      <c r="J392" s="69"/>
    </row>
    <row r="393" spans="4:10" s="64" customFormat="1" ht="12.000000">
      <c r="D393" s="69"/>
      <c r="E393" s="69"/>
      <c r="F393" s="69"/>
      <c r="G393" s="69"/>
      <c r="H393" s="69"/>
      <c r="I393" s="69"/>
      <c r="J393" s="69"/>
    </row>
    <row r="394" spans="4:10" s="64" customFormat="1" ht="12.000000">
      <c r="D394" s="69"/>
      <c r="E394" s="69"/>
      <c r="F394" s="69"/>
      <c r="G394" s="69"/>
      <c r="H394" s="69"/>
      <c r="I394" s="69"/>
      <c r="J394" s="69"/>
    </row>
    <row r="395" spans="4:10" s="64" customFormat="1" ht="12.000000">
      <c r="D395" s="69"/>
      <c r="E395" s="69"/>
      <c r="F395" s="69"/>
      <c r="G395" s="69"/>
      <c r="H395" s="69"/>
      <c r="I395" s="69"/>
      <c r="J395" s="69"/>
    </row>
    <row r="396" spans="4:10" s="64" customFormat="1" ht="12.000000">
      <c r="D396" s="69"/>
      <c r="E396" s="69"/>
      <c r="F396" s="69"/>
      <c r="G396" s="69"/>
      <c r="H396" s="69"/>
      <c r="I396" s="69"/>
      <c r="J396" s="69"/>
    </row>
    <row r="397" spans="4:10" s="64" customFormat="1" ht="12.000000">
      <c r="D397" s="69"/>
      <c r="E397" s="69"/>
      <c r="F397" s="69"/>
      <c r="G397" s="69"/>
      <c r="H397" s="69"/>
      <c r="I397" s="69"/>
      <c r="J397" s="69"/>
    </row>
    <row r="398" spans="4:10" s="64" customFormat="1" ht="12.000000">
      <c r="D398" s="69"/>
      <c r="E398" s="69"/>
      <c r="F398" s="69"/>
      <c r="G398" s="69"/>
      <c r="H398" s="69"/>
      <c r="I398" s="69"/>
      <c r="J398" s="69"/>
    </row>
    <row r="399" spans="4:10" s="64" customFormat="1" ht="12.000000">
      <c r="D399" s="69"/>
      <c r="E399" s="69"/>
      <c r="F399" s="69"/>
      <c r="G399" s="69"/>
      <c r="H399" s="69"/>
      <c r="I399" s="69"/>
      <c r="J399" s="69"/>
    </row>
    <row r="400" spans="4:10" s="64" customFormat="1" ht="12.000000">
      <c r="D400" s="69"/>
      <c r="E400" s="69"/>
      <c r="F400" s="69"/>
      <c r="G400" s="69"/>
      <c r="H400" s="69"/>
      <c r="I400" s="69"/>
      <c r="J400" s="69"/>
    </row>
    <row r="401" spans="4:10" s="64" customFormat="1" ht="12.000000">
      <c r="D401" s="69"/>
      <c r="E401" s="69"/>
      <c r="F401" s="69"/>
      <c r="G401" s="69"/>
      <c r="H401" s="69"/>
      <c r="I401" s="69"/>
      <c r="J401" s="69"/>
    </row>
    <row r="402" spans="4:10" s="64" customFormat="1" ht="12.000000">
      <c r="D402" s="69"/>
      <c r="E402" s="69"/>
      <c r="F402" s="69"/>
      <c r="G402" s="69"/>
      <c r="H402" s="69"/>
      <c r="I402" s="69"/>
      <c r="J402" s="69"/>
    </row>
    <row r="403" spans="4:10" s="64" customFormat="1" ht="12.000000">
      <c r="D403" s="69"/>
      <c r="E403" s="69"/>
      <c r="F403" s="69"/>
      <c r="G403" s="69"/>
      <c r="H403" s="69"/>
      <c r="I403" s="69"/>
      <c r="J403" s="69"/>
    </row>
    <row r="404" spans="4:10" s="64" customFormat="1" ht="12.000000">
      <c r="D404" s="69"/>
      <c r="E404" s="69"/>
      <c r="F404" s="69"/>
      <c r="G404" s="69"/>
      <c r="H404" s="69"/>
      <c r="I404" s="69"/>
      <c r="J404" s="69"/>
    </row>
    <row r="405" spans="4:10" s="64" customFormat="1" ht="12.000000">
      <c r="D405" s="69"/>
      <c r="E405" s="69"/>
      <c r="F405" s="69"/>
      <c r="G405" s="69"/>
      <c r="H405" s="69"/>
      <c r="I405" s="69"/>
      <c r="J405" s="69"/>
    </row>
    <row r="406" spans="4:10" s="64" customFormat="1" ht="12.000000">
      <c r="D406" s="69"/>
      <c r="E406" s="69"/>
      <c r="F406" s="69"/>
      <c r="G406" s="69"/>
      <c r="H406" s="69"/>
      <c r="I406" s="69"/>
      <c r="J406" s="69"/>
    </row>
    <row r="407" spans="4:10" s="64" customFormat="1" ht="12.000000">
      <c r="D407" s="69"/>
      <c r="E407" s="69"/>
      <c r="F407" s="69"/>
      <c r="G407" s="69"/>
      <c r="H407" s="69"/>
      <c r="I407" s="69"/>
      <c r="J407" s="69"/>
    </row>
    <row r="408" spans="4:10" s="64" customFormat="1" ht="12.000000">
      <c r="D408" s="69"/>
      <c r="E408" s="69"/>
      <c r="F408" s="69"/>
      <c r="G408" s="69"/>
      <c r="H408" s="69"/>
      <c r="I408" s="69"/>
      <c r="J408" s="69"/>
    </row>
    <row r="409" spans="4:10" s="64" customFormat="1" ht="12.000000">
      <c r="D409" s="69"/>
      <c r="E409" s="69"/>
      <c r="F409" s="69"/>
      <c r="G409" s="69"/>
      <c r="H409" s="69"/>
      <c r="I409" s="69"/>
      <c r="J409" s="69"/>
    </row>
    <row r="410" spans="4:10" s="64" customFormat="1" ht="12.000000">
      <c r="D410" s="69"/>
      <c r="E410" s="69"/>
      <c r="F410" s="69"/>
      <c r="G410" s="69"/>
      <c r="H410" s="69"/>
      <c r="I410" s="69"/>
      <c r="J410" s="69"/>
    </row>
    <row r="411" spans="4:10" s="64" customFormat="1" ht="12.000000">
      <c r="D411" s="69"/>
      <c r="E411" s="69"/>
      <c r="F411" s="69"/>
      <c r="G411" s="69"/>
      <c r="H411" s="69"/>
      <c r="I411" s="69"/>
      <c r="J411" s="69"/>
    </row>
    <row r="412" spans="4:10" s="64" customFormat="1" ht="12.000000">
      <c r="D412" s="69"/>
      <c r="E412" s="69"/>
      <c r="F412" s="69"/>
      <c r="G412" s="69"/>
      <c r="H412" s="69"/>
      <c r="I412" s="69"/>
      <c r="J412" s="69"/>
    </row>
    <row r="413" spans="4:10" s="64" customFormat="1" ht="12.000000">
      <c r="D413" s="69"/>
      <c r="E413" s="69"/>
      <c r="F413" s="69"/>
      <c r="G413" s="69"/>
      <c r="H413" s="69"/>
      <c r="I413" s="69"/>
      <c r="J413" s="69"/>
    </row>
    <row r="414" spans="4:10" s="64" customFormat="1" ht="12.000000">
      <c r="D414" s="69"/>
      <c r="E414" s="69"/>
      <c r="F414" s="69"/>
      <c r="G414" s="69"/>
      <c r="H414" s="69"/>
      <c r="I414" s="69"/>
      <c r="J414" s="69"/>
    </row>
    <row r="415" spans="4:10" s="64" customFormat="1" ht="12.000000">
      <c r="D415" s="69"/>
      <c r="E415" s="69"/>
      <c r="F415" s="69"/>
      <c r="G415" s="69"/>
      <c r="H415" s="69"/>
      <c r="I415" s="69"/>
      <c r="J415" s="69"/>
    </row>
    <row r="416" spans="4:10" s="64" customFormat="1" ht="12.000000">
      <c r="D416" s="69"/>
      <c r="E416" s="69"/>
      <c r="F416" s="69"/>
      <c r="G416" s="69"/>
      <c r="H416" s="69"/>
      <c r="I416" s="69"/>
      <c r="J416" s="69"/>
    </row>
    <row r="417" spans="4:10" s="64" customFormat="1" ht="12.000000">
      <c r="D417" s="69"/>
      <c r="E417" s="69"/>
      <c r="F417" s="69"/>
      <c r="G417" s="69"/>
      <c r="H417" s="69"/>
      <c r="I417" s="69"/>
      <c r="J417" s="69"/>
    </row>
    <row r="418" spans="4:10" s="64" customFormat="1" ht="12.000000">
      <c r="D418" s="69"/>
      <c r="E418" s="69"/>
      <c r="F418" s="69"/>
      <c r="G418" s="69"/>
      <c r="H418" s="69"/>
      <c r="I418" s="69"/>
      <c r="J418" s="69"/>
    </row>
    <row r="419" spans="4:10" s="64" customFormat="1" ht="12.000000">
      <c r="D419" s="69"/>
      <c r="E419" s="69"/>
      <c r="F419" s="69"/>
      <c r="G419" s="69"/>
      <c r="H419" s="69"/>
      <c r="I419" s="69"/>
      <c r="J419" s="69"/>
    </row>
    <row r="420" spans="4:10" s="64" customFormat="1" ht="12.000000">
      <c r="D420" s="69"/>
      <c r="E420" s="69"/>
      <c r="F420" s="69"/>
      <c r="G420" s="69"/>
      <c r="H420" s="69"/>
      <c r="I420" s="69"/>
      <c r="J420" s="69"/>
    </row>
    <row r="421" spans="4:10" s="64" customFormat="1" ht="12.000000">
      <c r="D421" s="69"/>
      <c r="E421" s="69"/>
      <c r="F421" s="69"/>
      <c r="G421" s="69"/>
      <c r="H421" s="69"/>
      <c r="I421" s="69"/>
      <c r="J421" s="69"/>
    </row>
    <row r="422" spans="4:10" s="64" customFormat="1" ht="12.000000">
      <c r="D422" s="69"/>
      <c r="E422" s="69"/>
      <c r="F422" s="69"/>
      <c r="G422" s="69"/>
      <c r="H422" s="69"/>
      <c r="I422" s="69"/>
      <c r="J422" s="69"/>
    </row>
    <row r="423" spans="4:10" s="64" customFormat="1" ht="12.000000">
      <c r="D423" s="69"/>
      <c r="E423" s="69"/>
      <c r="F423" s="69"/>
      <c r="G423" s="69"/>
      <c r="H423" s="69"/>
      <c r="I423" s="69"/>
      <c r="J423" s="69"/>
    </row>
    <row r="424" spans="4:10" s="64" customFormat="1" ht="12.000000">
      <c r="D424" s="69"/>
      <c r="E424" s="69"/>
      <c r="F424" s="69"/>
      <c r="G424" s="69"/>
      <c r="H424" s="69"/>
      <c r="I424" s="69"/>
      <c r="J424" s="69"/>
    </row>
    <row r="425" spans="4:10" s="64" customFormat="1" ht="12.000000">
      <c r="D425" s="69"/>
      <c r="E425" s="69"/>
      <c r="F425" s="69"/>
      <c r="G425" s="69"/>
      <c r="H425" s="69"/>
      <c r="I425" s="69"/>
      <c r="J425" s="69"/>
    </row>
    <row r="426" spans="4:10" s="64" customFormat="1" ht="12.000000">
      <c r="D426" s="69"/>
      <c r="E426" s="69"/>
      <c r="F426" s="69"/>
      <c r="G426" s="69"/>
      <c r="H426" s="69"/>
      <c r="I426" s="69"/>
      <c r="J426" s="69"/>
    </row>
    <row r="427" spans="4:10" s="64" customFormat="1" ht="12.000000">
      <c r="D427" s="69"/>
      <c r="E427" s="69"/>
      <c r="F427" s="69"/>
      <c r="G427" s="69"/>
      <c r="H427" s="69"/>
      <c r="I427" s="69"/>
      <c r="J427" s="69"/>
    </row>
    <row r="428" spans="4:10" s="64" customFormat="1" ht="12.000000">
      <c r="D428" s="69"/>
      <c r="E428" s="69"/>
      <c r="F428" s="69"/>
      <c r="G428" s="69"/>
      <c r="H428" s="69"/>
      <c r="I428" s="69"/>
      <c r="J428" s="69"/>
    </row>
    <row r="429" spans="4:10" s="64" customFormat="1" ht="12.000000">
      <c r="D429" s="69"/>
      <c r="E429" s="69"/>
      <c r="F429" s="69"/>
      <c r="G429" s="69"/>
      <c r="H429" s="69"/>
      <c r="I429" s="69"/>
      <c r="J429" s="69"/>
    </row>
    <row r="430" spans="4:10" s="64" customFormat="1" ht="12.000000">
      <c r="D430" s="69"/>
      <c r="E430" s="69"/>
      <c r="F430" s="69"/>
      <c r="G430" s="69"/>
      <c r="H430" s="69"/>
      <c r="I430" s="69"/>
      <c r="J430" s="69"/>
    </row>
    <row r="431" spans="4:10" s="64" customFormat="1" ht="12.000000">
      <c r="D431" s="69"/>
      <c r="E431" s="69"/>
      <c r="F431" s="69"/>
      <c r="G431" s="69"/>
      <c r="H431" s="69"/>
      <c r="I431" s="69"/>
      <c r="J431" s="69"/>
    </row>
    <row r="432" spans="4:10" s="64" customFormat="1" ht="12.000000">
      <c r="D432" s="69"/>
      <c r="E432" s="69"/>
      <c r="F432" s="69"/>
      <c r="G432" s="69"/>
      <c r="H432" s="69"/>
      <c r="I432" s="69"/>
      <c r="J432" s="69"/>
    </row>
    <row r="433" spans="4:10" s="64" customFormat="1" ht="12.000000">
      <c r="D433" s="69"/>
      <c r="E433" s="69"/>
      <c r="F433" s="69"/>
      <c r="G433" s="69"/>
      <c r="H433" s="69"/>
      <c r="I433" s="69"/>
      <c r="J433" s="69"/>
    </row>
    <row r="434" spans="4:10" s="64" customFormat="1" ht="12.000000">
      <c r="D434" s="69"/>
      <c r="E434" s="69"/>
      <c r="F434" s="69"/>
      <c r="G434" s="69"/>
      <c r="H434" s="69"/>
      <c r="I434" s="69"/>
      <c r="J434" s="69"/>
    </row>
    <row r="435" spans="4:10" s="64" customFormat="1" ht="12.000000">
      <c r="D435" s="69"/>
      <c r="E435" s="69"/>
      <c r="F435" s="69"/>
      <c r="G435" s="69"/>
      <c r="H435" s="69"/>
      <c r="I435" s="69"/>
      <c r="J435" s="69"/>
    </row>
    <row r="436" spans="4:10" s="64" customFormat="1" ht="12.000000">
      <c r="D436" s="69"/>
      <c r="E436" s="69"/>
      <c r="F436" s="69"/>
      <c r="G436" s="69"/>
      <c r="H436" s="69"/>
      <c r="I436" s="69"/>
      <c r="J436" s="69"/>
    </row>
    <row r="437" spans="4:10" s="64" customFormat="1" ht="12.000000">
      <c r="D437" s="69"/>
      <c r="E437" s="69"/>
      <c r="F437" s="69"/>
      <c r="G437" s="69"/>
      <c r="H437" s="69"/>
      <c r="I437" s="69"/>
      <c r="J437" s="69"/>
    </row>
    <row r="438" spans="4:10" s="64" customFormat="1" ht="12.000000">
      <c r="D438" s="69"/>
      <c r="E438" s="69"/>
      <c r="F438" s="69"/>
      <c r="G438" s="69"/>
      <c r="H438" s="69"/>
      <c r="I438" s="69"/>
      <c r="J438" s="69"/>
    </row>
    <row r="439" spans="4:10" s="64" customFormat="1" ht="12.000000">
      <c r="D439" s="69"/>
      <c r="E439" s="69"/>
      <c r="F439" s="69"/>
      <c r="G439" s="69"/>
      <c r="H439" s="69"/>
      <c r="I439" s="69"/>
      <c r="J439" s="69"/>
    </row>
    <row r="440" spans="4:10" s="64" customFormat="1" ht="12.000000">
      <c r="D440" s="69"/>
      <c r="E440" s="69"/>
      <c r="F440" s="69"/>
      <c r="G440" s="69"/>
      <c r="H440" s="69"/>
      <c r="I440" s="69"/>
      <c r="J440" s="69"/>
    </row>
    <row r="441" spans="4:10" s="64" customFormat="1" ht="12.000000">
      <c r="D441" s="69"/>
      <c r="E441" s="69"/>
      <c r="F441" s="69"/>
      <c r="G441" s="69"/>
      <c r="H441" s="69"/>
      <c r="I441" s="69"/>
      <c r="J441" s="69"/>
    </row>
    <row r="442" spans="4:10" s="64" customFormat="1" ht="12.000000">
      <c r="D442" s="69"/>
      <c r="E442" s="69"/>
      <c r="F442" s="69"/>
      <c r="G442" s="69"/>
      <c r="H442" s="69"/>
      <c r="I442" s="69"/>
      <c r="J442" s="69"/>
    </row>
    <row r="443" spans="4:10" s="64" customFormat="1" ht="12.000000">
      <c r="D443" s="69"/>
      <c r="E443" s="69"/>
      <c r="F443" s="69"/>
      <c r="G443" s="69"/>
      <c r="H443" s="69"/>
      <c r="I443" s="69"/>
      <c r="J443" s="69"/>
    </row>
    <row r="444" spans="4:10" s="64" customFormat="1" ht="12.000000">
      <c r="D444" s="69"/>
      <c r="E444" s="69"/>
      <c r="F444" s="69"/>
      <c r="G444" s="69"/>
      <c r="H444" s="69"/>
      <c r="I444" s="69"/>
      <c r="J444" s="69"/>
    </row>
    <row r="445" spans="4:10" s="64" customFormat="1" ht="12.000000">
      <c r="D445" s="69"/>
      <c r="E445" s="69"/>
      <c r="F445" s="69"/>
      <c r="G445" s="69"/>
      <c r="H445" s="69"/>
      <c r="I445" s="69"/>
      <c r="J445" s="69"/>
    </row>
    <row r="446" spans="4:10" s="64" customFormat="1" ht="12.000000">
      <c r="D446" s="69"/>
      <c r="E446" s="69"/>
      <c r="F446" s="69"/>
      <c r="G446" s="69"/>
      <c r="H446" s="69"/>
      <c r="I446" s="69"/>
      <c r="J446" s="69"/>
    </row>
    <row r="447" spans="4:10" s="64" customFormat="1" ht="12.000000">
      <c r="D447" s="69"/>
      <c r="E447" s="69"/>
      <c r="F447" s="69"/>
      <c r="G447" s="69"/>
      <c r="H447" s="69"/>
      <c r="I447" s="69"/>
      <c r="J447" s="69"/>
    </row>
    <row r="448" spans="4:10" s="64" customFormat="1" ht="12.000000">
      <c r="D448" s="69"/>
      <c r="E448" s="69"/>
      <c r="F448" s="69"/>
      <c r="G448" s="69"/>
      <c r="H448" s="69"/>
      <c r="I448" s="69"/>
      <c r="J448" s="69"/>
    </row>
    <row r="449" spans="4:10" s="64" customFormat="1" ht="12.000000">
      <c r="D449" s="69"/>
      <c r="E449" s="69"/>
      <c r="F449" s="69"/>
      <c r="G449" s="69"/>
      <c r="H449" s="69"/>
      <c r="I449" s="69"/>
      <c r="J449" s="69"/>
    </row>
    <row r="450" spans="4:10" s="64" customFormat="1" ht="12.000000">
      <c r="D450" s="69"/>
      <c r="E450" s="69"/>
      <c r="F450" s="69"/>
      <c r="G450" s="69"/>
      <c r="H450" s="69"/>
      <c r="I450" s="69"/>
      <c r="J450" s="69"/>
    </row>
    <row r="451" spans="4:10" s="64" customFormat="1" ht="12.000000">
      <c r="D451" s="69"/>
      <c r="E451" s="69"/>
      <c r="F451" s="69"/>
      <c r="G451" s="69"/>
      <c r="H451" s="69"/>
      <c r="I451" s="69"/>
      <c r="J451" s="69"/>
    </row>
    <row r="452" spans="4:10" s="64" customFormat="1" ht="12.000000">
      <c r="D452" s="69"/>
      <c r="E452" s="69"/>
      <c r="F452" s="69"/>
      <c r="G452" s="69"/>
      <c r="H452" s="69"/>
      <c r="I452" s="69"/>
      <c r="J452" s="69"/>
    </row>
    <row r="453" spans="4:10" s="64" customFormat="1" ht="12.000000">
      <c r="D453" s="69"/>
      <c r="E453" s="69"/>
      <c r="F453" s="69"/>
      <c r="G453" s="69"/>
      <c r="H453" s="69"/>
      <c r="I453" s="69"/>
      <c r="J453" s="69"/>
    </row>
    <row r="454" spans="4:10" s="64" customFormat="1" ht="12.000000">
      <c r="D454" s="69"/>
      <c r="E454" s="69"/>
      <c r="F454" s="69"/>
      <c r="G454" s="69"/>
      <c r="H454" s="69"/>
      <c r="I454" s="69"/>
      <c r="J454" s="69"/>
    </row>
    <row r="455" spans="4:10" s="64" customFormat="1" ht="12.000000">
      <c r="D455" s="69"/>
      <c r="E455" s="69"/>
      <c r="F455" s="69"/>
      <c r="G455" s="69"/>
      <c r="H455" s="69"/>
      <c r="I455" s="69"/>
      <c r="J455" s="69"/>
    </row>
    <row r="456" spans="4:10" s="64" customFormat="1" ht="12.000000">
      <c r="D456" s="69"/>
      <c r="E456" s="69"/>
      <c r="F456" s="69"/>
      <c r="G456" s="69"/>
      <c r="H456" s="69"/>
      <c r="I456" s="69"/>
      <c r="J456" s="69"/>
    </row>
    <row r="457" spans="4:10" s="64" customFormat="1" ht="12.000000">
      <c r="D457" s="69"/>
      <c r="E457" s="69"/>
      <c r="F457" s="69"/>
      <c r="G457" s="69"/>
      <c r="H457" s="69"/>
      <c r="I457" s="69"/>
      <c r="J457" s="69"/>
    </row>
    <row r="458" spans="4:10" s="64" customFormat="1" ht="12.000000">
      <c r="D458" s="69"/>
      <c r="E458" s="69"/>
      <c r="F458" s="69"/>
      <c r="G458" s="69"/>
      <c r="H458" s="69"/>
      <c r="I458" s="69"/>
      <c r="J458" s="69"/>
    </row>
    <row r="459" spans="4:10" s="64" customFormat="1" ht="12.000000">
      <c r="D459" s="69"/>
      <c r="E459" s="69"/>
      <c r="F459" s="69"/>
      <c r="G459" s="69"/>
      <c r="H459" s="69"/>
      <c r="I459" s="69"/>
      <c r="J459" s="69"/>
    </row>
    <row r="460" spans="4:10" s="64" customFormat="1" ht="12.000000">
      <c r="D460" s="69"/>
      <c r="E460" s="69"/>
      <c r="F460" s="69"/>
      <c r="G460" s="69"/>
      <c r="H460" s="69"/>
      <c r="I460" s="69"/>
      <c r="J460" s="69"/>
    </row>
    <row r="461" spans="4:10" s="64" customFormat="1" ht="12.000000">
      <c r="D461" s="69"/>
      <c r="E461" s="69"/>
      <c r="F461" s="69"/>
      <c r="G461" s="69"/>
      <c r="H461" s="69"/>
      <c r="I461" s="69"/>
      <c r="J461" s="69"/>
    </row>
    <row r="462" spans="4:10" s="64" customFormat="1" ht="12.000000">
      <c r="D462" s="69"/>
      <c r="E462" s="69"/>
      <c r="F462" s="69"/>
      <c r="G462" s="69"/>
      <c r="H462" s="69"/>
      <c r="I462" s="69"/>
      <c r="J462" s="69"/>
    </row>
    <row r="463" spans="4:10" s="64" customFormat="1" ht="12.000000">
      <c r="D463" s="69"/>
      <c r="E463" s="69"/>
      <c r="F463" s="69"/>
      <c r="G463" s="69"/>
      <c r="H463" s="69"/>
      <c r="I463" s="69"/>
      <c r="J463" s="69"/>
    </row>
    <row r="464" spans="4:10" s="64" customFormat="1" ht="12.000000">
      <c r="D464" s="69"/>
      <c r="E464" s="69"/>
      <c r="F464" s="69"/>
      <c r="G464" s="69"/>
      <c r="H464" s="69"/>
      <c r="I464" s="69"/>
      <c r="J464" s="69"/>
    </row>
    <row r="465" spans="4:10" s="64" customFormat="1" ht="12.000000">
      <c r="D465" s="69"/>
      <c r="E465" s="69"/>
      <c r="F465" s="69"/>
      <c r="G465" s="69"/>
      <c r="H465" s="69"/>
      <c r="I465" s="69"/>
      <c r="J465" s="69"/>
    </row>
    <row r="466" spans="4:10" s="64" customFormat="1" ht="12.000000">
      <c r="D466" s="69"/>
      <c r="E466" s="69"/>
      <c r="F466" s="69"/>
      <c r="G466" s="69"/>
      <c r="H466" s="69"/>
      <c r="I466" s="69"/>
      <c r="J466" s="69"/>
    </row>
    <row r="467" spans="4:10" s="64" customFormat="1" ht="12.000000">
      <c r="D467" s="69"/>
      <c r="E467" s="69"/>
      <c r="F467" s="69"/>
      <c r="G467" s="69"/>
      <c r="H467" s="69"/>
      <c r="I467" s="69"/>
      <c r="J467" s="69"/>
    </row>
    <row r="468" spans="4:10" s="64" customFormat="1" ht="12.000000">
      <c r="D468" s="69"/>
      <c r="E468" s="69"/>
      <c r="F468" s="69"/>
      <c r="G468" s="69"/>
      <c r="H468" s="69"/>
      <c r="I468" s="69"/>
      <c r="J468" s="69"/>
    </row>
    <row r="469" spans="4:10" s="64" customFormat="1" ht="12.000000">
      <c r="D469" s="69"/>
      <c r="E469" s="69"/>
      <c r="F469" s="69"/>
      <c r="G469" s="69"/>
      <c r="H469" s="69"/>
      <c r="I469" s="69"/>
      <c r="J469" s="69"/>
    </row>
    <row r="470" spans="4:10" s="64" customFormat="1" ht="12.000000">
      <c r="D470" s="69"/>
      <c r="E470" s="69"/>
      <c r="F470" s="69"/>
      <c r="G470" s="69"/>
      <c r="H470" s="69"/>
      <c r="I470" s="69"/>
      <c r="J470" s="69"/>
    </row>
    <row r="471" spans="4:10" s="64" customFormat="1" ht="12.000000">
      <c r="D471" s="69"/>
      <c r="E471" s="69"/>
      <c r="F471" s="69"/>
      <c r="G471" s="69"/>
      <c r="H471" s="69"/>
      <c r="I471" s="69"/>
      <c r="J471" s="69"/>
    </row>
    <row r="472" spans="4:10" s="64" customFormat="1" ht="12.000000">
      <c r="D472" s="69"/>
      <c r="E472" s="69"/>
      <c r="F472" s="69"/>
      <c r="G472" s="69"/>
      <c r="H472" s="69"/>
      <c r="I472" s="69"/>
      <c r="J472" s="69"/>
    </row>
    <row r="473" spans="4:10" s="64" customFormat="1" ht="12.000000">
      <c r="D473" s="69"/>
      <c r="E473" s="69"/>
      <c r="F473" s="69"/>
      <c r="G473" s="69"/>
      <c r="H473" s="69"/>
      <c r="I473" s="69"/>
      <c r="J473" s="69"/>
    </row>
    <row r="474" spans="4:10" s="64" customFormat="1" ht="12.000000">
      <c r="D474" s="69"/>
      <c r="E474" s="69"/>
      <c r="F474" s="69"/>
      <c r="G474" s="69"/>
      <c r="H474" s="69"/>
      <c r="I474" s="69"/>
      <c r="J474" s="69"/>
    </row>
    <row r="475" spans="4:10" s="64" customFormat="1" ht="12.000000">
      <c r="D475" s="69"/>
      <c r="E475" s="69"/>
      <c r="F475" s="69"/>
      <c r="G475" s="69"/>
      <c r="H475" s="69"/>
      <c r="I475" s="69"/>
      <c r="J475" s="69"/>
    </row>
    <row r="476" spans="4:10" s="64" customFormat="1" ht="12.000000">
      <c r="D476" s="69"/>
      <c r="E476" s="69"/>
      <c r="F476" s="69"/>
      <c r="G476" s="69"/>
      <c r="H476" s="69"/>
      <c r="I476" s="69"/>
      <c r="J476" s="69"/>
    </row>
    <row r="477" spans="4:10" s="64" customFormat="1" ht="12.000000">
      <c r="D477" s="69"/>
      <c r="E477" s="69"/>
      <c r="F477" s="69"/>
      <c r="G477" s="69"/>
      <c r="H477" s="69"/>
      <c r="I477" s="69"/>
      <c r="J477" s="69"/>
    </row>
    <row r="478" spans="4:10" s="64" customFormat="1" ht="12.000000">
      <c r="D478" s="69"/>
      <c r="E478" s="69"/>
      <c r="F478" s="69"/>
      <c r="G478" s="69"/>
      <c r="H478" s="69"/>
      <c r="I478" s="69"/>
      <c r="J478" s="69"/>
    </row>
    <row r="479" spans="4:10" s="64" customFormat="1" ht="12.000000">
      <c r="D479" s="69"/>
      <c r="E479" s="69"/>
      <c r="F479" s="69"/>
      <c r="G479" s="69"/>
      <c r="H479" s="69"/>
      <c r="I479" s="69"/>
      <c r="J479" s="69"/>
    </row>
    <row r="480" spans="4:10" s="64" customFormat="1" ht="12.000000">
      <c r="D480" s="69"/>
      <c r="E480" s="69"/>
      <c r="F480" s="69"/>
      <c r="G480" s="69"/>
      <c r="H480" s="69"/>
      <c r="I480" s="69"/>
      <c r="J480" s="69"/>
    </row>
    <row r="481" spans="4:10" s="64" customFormat="1" ht="12.000000">
      <c r="D481" s="69"/>
      <c r="E481" s="69"/>
      <c r="F481" s="69"/>
      <c r="G481" s="69"/>
      <c r="H481" s="69"/>
      <c r="I481" s="69"/>
      <c r="J481" s="69"/>
    </row>
    <row r="482" spans="4:10" s="64" customFormat="1" ht="12.000000">
      <c r="D482" s="69"/>
      <c r="E482" s="69"/>
      <c r="F482" s="69"/>
      <c r="G482" s="69"/>
      <c r="H482" s="69"/>
      <c r="I482" s="69"/>
      <c r="J482" s="69"/>
    </row>
    <row r="483" spans="4:10" s="64" customFormat="1" ht="12.000000">
      <c r="D483" s="69"/>
      <c r="E483" s="69"/>
      <c r="F483" s="69"/>
      <c r="G483" s="69"/>
      <c r="H483" s="69"/>
      <c r="I483" s="69"/>
      <c r="J483" s="69"/>
    </row>
    <row r="484" spans="4:10" s="64" customFormat="1" ht="12.000000">
      <c r="D484" s="69"/>
      <c r="E484" s="69"/>
      <c r="F484" s="69"/>
      <c r="G484" s="69"/>
      <c r="H484" s="69"/>
      <c r="I484" s="69"/>
      <c r="J484" s="69"/>
    </row>
    <row r="485" spans="4:10" s="64" customFormat="1" ht="12.000000">
      <c r="D485" s="69"/>
      <c r="E485" s="69"/>
      <c r="F485" s="69"/>
      <c r="G485" s="69"/>
      <c r="H485" s="69"/>
      <c r="I485" s="69"/>
      <c r="J485" s="69"/>
    </row>
    <row r="486" spans="4:10" s="64" customFormat="1" ht="12.000000">
      <c r="D486" s="69"/>
      <c r="E486" s="69"/>
      <c r="F486" s="69"/>
      <c r="G486" s="69"/>
      <c r="H486" s="69"/>
      <c r="I486" s="69"/>
      <c r="J486" s="69"/>
    </row>
    <row r="487" spans="4:10" s="64" customFormat="1" ht="12.000000">
      <c r="D487" s="69"/>
      <c r="E487" s="69"/>
      <c r="F487" s="69"/>
      <c r="G487" s="69"/>
      <c r="H487" s="69"/>
      <c r="I487" s="69"/>
      <c r="J487" s="69"/>
    </row>
    <row r="488" spans="4:10" s="64" customFormat="1" ht="12.000000">
      <c r="D488" s="69"/>
      <c r="E488" s="69"/>
      <c r="F488" s="69"/>
      <c r="G488" s="69"/>
      <c r="H488" s="69"/>
      <c r="I488" s="69"/>
      <c r="J488" s="69"/>
    </row>
    <row r="489" spans="4:10" s="64" customFormat="1" ht="12.000000">
      <c r="D489" s="69"/>
      <c r="E489" s="69"/>
      <c r="F489" s="69"/>
      <c r="G489" s="69"/>
      <c r="H489" s="69"/>
      <c r="I489" s="69"/>
      <c r="J489" s="69"/>
    </row>
    <row r="490" spans="4:10" s="64" customFormat="1" ht="12.000000">
      <c r="D490" s="69"/>
      <c r="E490" s="69"/>
      <c r="F490" s="69"/>
      <c r="G490" s="69"/>
      <c r="H490" s="69"/>
      <c r="I490" s="69"/>
      <c r="J490" s="69"/>
    </row>
    <row r="491" spans="4:10" s="64" customFormat="1" ht="12.000000">
      <c r="D491" s="69"/>
      <c r="E491" s="69"/>
      <c r="F491" s="69"/>
      <c r="G491" s="69"/>
      <c r="H491" s="69"/>
      <c r="I491" s="69"/>
      <c r="J491" s="69"/>
    </row>
    <row r="492" spans="4:10" s="64" customFormat="1" ht="12.000000">
      <c r="D492" s="69"/>
      <c r="E492" s="69"/>
      <c r="F492" s="69"/>
      <c r="G492" s="69"/>
      <c r="H492" s="69"/>
      <c r="I492" s="69"/>
      <c r="J492" s="69"/>
    </row>
    <row r="493" spans="4:10" s="64" customFormat="1" ht="12.000000">
      <c r="D493" s="69"/>
      <c r="E493" s="69"/>
      <c r="F493" s="69"/>
      <c r="G493" s="69"/>
      <c r="H493" s="69"/>
      <c r="I493" s="69"/>
      <c r="J493" s="69"/>
    </row>
    <row r="494" spans="4:10" s="64" customFormat="1" ht="12.000000">
      <c r="D494" s="69"/>
      <c r="E494" s="69"/>
      <c r="F494" s="69"/>
      <c r="G494" s="69"/>
      <c r="H494" s="69"/>
      <c r="I494" s="69"/>
      <c r="J494" s="69"/>
    </row>
    <row r="495" spans="4:10" s="64" customFormat="1" ht="12.000000">
      <c r="D495" s="69"/>
      <c r="E495" s="69"/>
      <c r="F495" s="69"/>
      <c r="G495" s="69"/>
      <c r="H495" s="69"/>
      <c r="I495" s="69"/>
      <c r="J495" s="69"/>
    </row>
    <row r="496" spans="4:10" s="64" customFormat="1" ht="12.000000">
      <c r="D496" s="69"/>
      <c r="E496" s="69"/>
      <c r="F496" s="69"/>
      <c r="G496" s="69"/>
      <c r="H496" s="69"/>
      <c r="I496" s="69"/>
      <c r="J496" s="69"/>
    </row>
    <row r="497" spans="4:10" s="64" customFormat="1" ht="12.000000">
      <c r="D497" s="69"/>
      <c r="E497" s="69"/>
      <c r="F497" s="69"/>
      <c r="G497" s="69"/>
      <c r="H497" s="69"/>
      <c r="I497" s="69"/>
      <c r="J497" s="69"/>
    </row>
    <row r="498" spans="4:10" s="64" customFormat="1" ht="12.000000">
      <c r="D498" s="69"/>
      <c r="E498" s="69"/>
      <c r="F498" s="69"/>
      <c r="G498" s="69"/>
      <c r="H498" s="69"/>
      <c r="I498" s="69"/>
      <c r="J498" s="69"/>
    </row>
    <row r="499" spans="4:10" s="64" customFormat="1" ht="12.000000">
      <c r="D499" s="69"/>
      <c r="E499" s="69"/>
      <c r="F499" s="69"/>
      <c r="G499" s="69"/>
      <c r="H499" s="69"/>
      <c r="I499" s="69"/>
      <c r="J499" s="69"/>
    </row>
    <row r="500" spans="4:10" s="64" customFormat="1" ht="12.000000">
      <c r="D500" s="69"/>
      <c r="E500" s="69"/>
      <c r="F500" s="69"/>
      <c r="G500" s="69"/>
      <c r="H500" s="69"/>
      <c r="I500" s="69"/>
      <c r="J500" s="69"/>
    </row>
    <row r="501" spans="4:10" s="64" customFormat="1" ht="12.000000">
      <c r="D501" s="69"/>
      <c r="E501" s="69"/>
      <c r="F501" s="69"/>
      <c r="G501" s="69"/>
      <c r="H501" s="69"/>
      <c r="I501" s="69"/>
      <c r="J501" s="69"/>
    </row>
    <row r="502" spans="4:10" s="64" customFormat="1" ht="12.000000">
      <c r="D502" s="69"/>
      <c r="E502" s="69"/>
      <c r="F502" s="69"/>
      <c r="G502" s="69"/>
      <c r="H502" s="69"/>
      <c r="I502" s="69"/>
      <c r="J502" s="69"/>
    </row>
    <row r="503" spans="4:10" s="64" customFormat="1" ht="12.000000">
      <c r="D503" s="69"/>
      <c r="E503" s="69"/>
      <c r="F503" s="69"/>
      <c r="G503" s="69"/>
      <c r="H503" s="69"/>
      <c r="I503" s="69"/>
      <c r="J503" s="69"/>
    </row>
    <row r="504" spans="4:10" s="64" customFormat="1" ht="12.000000">
      <c r="D504" s="69"/>
      <c r="E504" s="69"/>
      <c r="F504" s="69"/>
      <c r="G504" s="69"/>
      <c r="H504" s="69"/>
      <c r="I504" s="69"/>
      <c r="J504" s="69"/>
    </row>
    <row r="505" spans="4:10" s="64" customFormat="1" ht="12.000000">
      <c r="D505" s="69"/>
      <c r="E505" s="69"/>
      <c r="F505" s="69"/>
      <c r="G505" s="69"/>
      <c r="H505" s="69"/>
      <c r="I505" s="69"/>
      <c r="J505" s="69"/>
    </row>
    <row r="506" spans="4:10" s="64" customFormat="1" ht="12.000000">
      <c r="D506" s="69"/>
      <c r="E506" s="69"/>
      <c r="F506" s="69"/>
      <c r="G506" s="69"/>
      <c r="H506" s="69"/>
      <c r="I506" s="69"/>
      <c r="J506" s="69"/>
    </row>
    <row r="507" spans="4:10" s="64" customFormat="1" ht="12.000000">
      <c r="D507" s="69"/>
      <c r="E507" s="69"/>
      <c r="F507" s="69"/>
      <c r="G507" s="69"/>
      <c r="H507" s="69"/>
      <c r="I507" s="69"/>
      <c r="J507" s="69"/>
    </row>
    <row r="508" spans="4:10" s="64" customFormat="1" ht="12.000000">
      <c r="D508" s="69"/>
      <c r="E508" s="69"/>
      <c r="F508" s="69"/>
      <c r="G508" s="69"/>
      <c r="H508" s="69"/>
      <c r="I508" s="69"/>
      <c r="J508" s="69"/>
    </row>
    <row r="509" spans="4:10" s="64" customFormat="1" ht="12.000000">
      <c r="D509" s="69"/>
      <c r="E509" s="69"/>
      <c r="F509" s="69"/>
      <c r="G509" s="69"/>
      <c r="H509" s="69"/>
      <c r="I509" s="69"/>
      <c r="J509" s="69"/>
    </row>
    <row r="510" spans="4:10" s="64" customFormat="1" ht="12.000000">
      <c r="D510" s="69"/>
      <c r="E510" s="69"/>
      <c r="F510" s="69"/>
      <c r="G510" s="69"/>
      <c r="H510" s="69"/>
      <c r="I510" s="69"/>
      <c r="J510" s="69"/>
    </row>
    <row r="511" spans="4:10" s="64" customFormat="1" ht="12.000000">
      <c r="D511" s="69"/>
      <c r="E511" s="69"/>
      <c r="F511" s="69"/>
      <c r="G511" s="69"/>
      <c r="H511" s="69"/>
      <c r="I511" s="69"/>
      <c r="J511" s="69"/>
    </row>
    <row r="512" spans="4:10" s="64" customFormat="1" ht="12.000000">
      <c r="D512" s="69"/>
      <c r="E512" s="69"/>
      <c r="F512" s="69"/>
      <c r="G512" s="69"/>
      <c r="H512" s="69"/>
      <c r="I512" s="69"/>
      <c r="J512" s="69"/>
    </row>
    <row r="513" spans="4:10" s="64" customFormat="1" ht="12.000000">
      <c r="D513" s="69"/>
      <c r="E513" s="69"/>
      <c r="F513" s="69"/>
      <c r="G513" s="69"/>
      <c r="H513" s="69"/>
      <c r="I513" s="69"/>
      <c r="J513" s="69"/>
    </row>
    <row r="514" spans="4:10" s="64" customFormat="1" ht="12.000000">
      <c r="D514" s="69"/>
      <c r="E514" s="69"/>
      <c r="F514" s="69"/>
      <c r="G514" s="69"/>
      <c r="H514" s="69"/>
      <c r="I514" s="69"/>
      <c r="J514" s="69"/>
    </row>
    <row r="515" spans="4:10" s="64" customFormat="1" ht="12.000000">
      <c r="D515" s="69"/>
      <c r="E515" s="69"/>
      <c r="F515" s="69"/>
      <c r="G515" s="69"/>
      <c r="H515" s="69"/>
      <c r="I515" s="69"/>
      <c r="J515" s="69"/>
    </row>
    <row r="516" spans="4:10" s="64" customFormat="1" ht="12.000000">
      <c r="D516" s="69"/>
      <c r="E516" s="69"/>
      <c r="F516" s="69"/>
      <c r="G516" s="69"/>
      <c r="H516" s="69"/>
      <c r="I516" s="69"/>
      <c r="J516" s="69"/>
    </row>
    <row r="517" spans="4:10" s="64" customFormat="1" ht="12.000000">
      <c r="D517" s="69"/>
      <c r="E517" s="69"/>
      <c r="F517" s="69"/>
      <c r="G517" s="69"/>
      <c r="H517" s="69"/>
      <c r="I517" s="69"/>
      <c r="J517" s="69"/>
    </row>
    <row r="518" spans="4:10" s="64" customFormat="1" ht="12.000000">
      <c r="D518" s="69"/>
      <c r="E518" s="69"/>
      <c r="F518" s="69"/>
      <c r="G518" s="69"/>
      <c r="H518" s="69"/>
      <c r="I518" s="69"/>
      <c r="J518" s="69"/>
    </row>
    <row r="519" spans="4:10" s="64" customFormat="1" ht="12.000000">
      <c r="D519" s="69"/>
      <c r="E519" s="69"/>
      <c r="F519" s="69"/>
      <c r="G519" s="69"/>
      <c r="H519" s="69"/>
      <c r="I519" s="69"/>
      <c r="J519" s="69"/>
    </row>
    <row r="520" spans="4:10" s="64" customFormat="1" ht="12.000000">
      <c r="D520" s="69"/>
      <c r="E520" s="69"/>
      <c r="F520" s="69"/>
      <c r="G520" s="69"/>
      <c r="H520" s="69"/>
      <c r="I520" s="69"/>
      <c r="J520" s="69"/>
    </row>
    <row r="521" spans="4:10" s="64" customFormat="1" ht="12.000000">
      <c r="D521" s="69"/>
      <c r="E521" s="69"/>
      <c r="F521" s="69"/>
      <c r="G521" s="69"/>
      <c r="H521" s="69"/>
      <c r="I521" s="69"/>
      <c r="J521" s="69"/>
    </row>
    <row r="522" spans="4:10" s="64" customFormat="1" ht="12.000000">
      <c r="D522" s="69"/>
      <c r="E522" s="69"/>
      <c r="F522" s="69"/>
      <c r="G522" s="69"/>
      <c r="H522" s="69"/>
      <c r="I522" s="69"/>
      <c r="J522" s="69"/>
    </row>
    <row r="523" spans="4:10" s="64" customFormat="1" ht="12.000000">
      <c r="D523" s="69"/>
      <c r="E523" s="69"/>
      <c r="F523" s="69"/>
      <c r="G523" s="69"/>
      <c r="H523" s="69"/>
      <c r="I523" s="69"/>
      <c r="J523" s="69"/>
    </row>
    <row r="524" spans="4:10" s="64" customFormat="1" ht="12.000000">
      <c r="D524" s="69"/>
      <c r="E524" s="69"/>
      <c r="F524" s="69"/>
      <c r="G524" s="69"/>
      <c r="H524" s="69"/>
      <c r="I524" s="69"/>
      <c r="J524" s="69"/>
    </row>
    <row r="525" spans="4:10" s="64" customFormat="1" ht="12.000000">
      <c r="D525" s="69"/>
      <c r="E525" s="69"/>
      <c r="F525" s="69"/>
      <c r="G525" s="69"/>
      <c r="H525" s="69"/>
      <c r="I525" s="69"/>
      <c r="J525" s="69"/>
    </row>
    <row r="526" spans="4:10" s="64" customFormat="1" ht="12.000000">
      <c r="D526" s="69"/>
      <c r="E526" s="69"/>
      <c r="F526" s="69"/>
      <c r="G526" s="69"/>
      <c r="H526" s="69"/>
      <c r="I526" s="69"/>
      <c r="J526" s="69"/>
    </row>
    <row r="527" spans="4:10" s="64" customFormat="1" ht="12.000000">
      <c r="D527" s="69"/>
      <c r="E527" s="69"/>
      <c r="F527" s="69"/>
      <c r="G527" s="69"/>
      <c r="H527" s="69"/>
      <c r="I527" s="69"/>
      <c r="J527" s="69"/>
    </row>
    <row r="528" spans="4:10" s="64" customFormat="1" ht="12.000000">
      <c r="D528" s="69"/>
      <c r="E528" s="69"/>
      <c r="F528" s="69"/>
      <c r="G528" s="69"/>
      <c r="H528" s="69"/>
      <c r="I528" s="69"/>
      <c r="J528" s="69"/>
    </row>
    <row r="529" spans="4:10" s="64" customFormat="1" ht="12.000000">
      <c r="D529" s="69"/>
      <c r="E529" s="69"/>
      <c r="F529" s="69"/>
      <c r="G529" s="69"/>
      <c r="H529" s="69"/>
      <c r="I529" s="69"/>
      <c r="J529" s="69"/>
    </row>
    <row r="530" spans="4:10" s="64" customFormat="1" ht="12.000000">
      <c r="D530" s="69"/>
      <c r="E530" s="69"/>
      <c r="F530" s="69"/>
      <c r="G530" s="69"/>
      <c r="H530" s="69"/>
      <c r="I530" s="69"/>
      <c r="J530" s="69"/>
    </row>
    <row r="531" spans="4:10" s="64" customFormat="1" ht="12.000000">
      <c r="D531" s="69"/>
      <c r="E531" s="69"/>
      <c r="F531" s="69"/>
      <c r="G531" s="69"/>
      <c r="H531" s="69"/>
      <c r="I531" s="69"/>
      <c r="J531" s="69"/>
    </row>
    <row r="532" spans="4:10" s="64" customFormat="1" ht="12.000000">
      <c r="D532" s="69"/>
      <c r="E532" s="69"/>
      <c r="F532" s="69"/>
      <c r="G532" s="69"/>
      <c r="H532" s="69"/>
      <c r="I532" s="69"/>
      <c r="J532" s="69"/>
    </row>
    <row r="533" spans="4:10" s="64" customFormat="1" ht="12.000000">
      <c r="D533" s="69"/>
      <c r="E533" s="69"/>
      <c r="F533" s="69"/>
      <c r="G533" s="69"/>
      <c r="H533" s="69"/>
      <c r="I533" s="69"/>
      <c r="J533" s="69"/>
    </row>
    <row r="534" spans="4:10" s="64" customFormat="1" ht="12.000000">
      <c r="D534" s="69"/>
      <c r="E534" s="69"/>
      <c r="F534" s="69"/>
      <c r="G534" s="69"/>
      <c r="H534" s="69"/>
      <c r="I534" s="69"/>
      <c r="J534" s="69"/>
    </row>
    <row r="535" spans="4:10" s="64" customFormat="1" ht="12.000000">
      <c r="D535" s="69"/>
      <c r="E535" s="69"/>
      <c r="F535" s="69"/>
      <c r="G535" s="69"/>
      <c r="H535" s="69"/>
      <c r="I535" s="69"/>
      <c r="J535" s="69"/>
    </row>
    <row r="536" spans="4:10" s="64" customFormat="1" ht="12.000000">
      <c r="D536" s="69"/>
      <c r="E536" s="69"/>
      <c r="F536" s="69"/>
      <c r="G536" s="69"/>
      <c r="H536" s="69"/>
      <c r="I536" s="69"/>
      <c r="J536" s="69"/>
    </row>
    <row r="537" spans="4:10" s="64" customFormat="1" ht="12.000000">
      <c r="D537" s="69"/>
      <c r="E537" s="69"/>
      <c r="F537" s="69"/>
      <c r="G537" s="69"/>
      <c r="H537" s="69"/>
      <c r="I537" s="69"/>
      <c r="J537" s="69"/>
    </row>
    <row r="538" spans="4:10" s="64" customFormat="1" ht="12.000000">
      <c r="D538" s="69"/>
      <c r="E538" s="69"/>
      <c r="F538" s="69"/>
      <c r="G538" s="69"/>
      <c r="H538" s="69"/>
      <c r="I538" s="69"/>
      <c r="J538" s="69"/>
    </row>
    <row r="539" spans="4:10" s="64" customFormat="1" ht="12.000000">
      <c r="D539" s="69"/>
      <c r="E539" s="69"/>
      <c r="F539" s="69"/>
      <c r="G539" s="69"/>
      <c r="H539" s="69"/>
      <c r="I539" s="69"/>
      <c r="J539" s="69"/>
    </row>
    <row r="540" spans="4:10" s="64" customFormat="1" ht="12.000000">
      <c r="D540" s="69"/>
      <c r="E540" s="69"/>
      <c r="F540" s="69"/>
      <c r="G540" s="69"/>
      <c r="H540" s="69"/>
      <c r="I540" s="69"/>
      <c r="J540" s="69"/>
    </row>
    <row r="541" spans="4:10" s="64" customFormat="1" ht="12.000000">
      <c r="D541" s="69"/>
      <c r="E541" s="69"/>
      <c r="F541" s="69"/>
      <c r="G541" s="69"/>
      <c r="H541" s="69"/>
      <c r="I541" s="69"/>
      <c r="J541" s="69"/>
    </row>
    <row r="542" spans="4:10" s="64" customFormat="1" ht="12.000000">
      <c r="D542" s="69"/>
      <c r="E542" s="69"/>
      <c r="F542" s="69"/>
      <c r="G542" s="69"/>
      <c r="H542" s="69"/>
      <c r="I542" s="69"/>
      <c r="J542" s="69"/>
    </row>
    <row r="543" spans="4:10" s="64" customFormat="1" ht="12.000000">
      <c r="D543" s="69"/>
      <c r="E543" s="69"/>
      <c r="F543" s="69"/>
      <c r="G543" s="69"/>
      <c r="H543" s="69"/>
      <c r="I543" s="69"/>
      <c r="J543" s="69"/>
    </row>
    <row r="544" spans="4:10" s="64" customFormat="1" ht="12.000000">
      <c r="D544" s="69"/>
      <c r="E544" s="69"/>
      <c r="F544" s="69"/>
      <c r="G544" s="69"/>
      <c r="H544" s="69"/>
      <c r="I544" s="69"/>
      <c r="J544" s="69"/>
    </row>
    <row r="545" spans="4:10" s="64" customFormat="1" ht="12.000000">
      <c r="D545" s="69"/>
      <c r="E545" s="69"/>
      <c r="F545" s="69"/>
      <c r="G545" s="69"/>
      <c r="H545" s="69"/>
      <c r="I545" s="69"/>
      <c r="J545" s="69"/>
    </row>
    <row r="546" spans="4:10" s="64" customFormat="1" ht="12.000000">
      <c r="D546" s="69"/>
      <c r="E546" s="69"/>
      <c r="F546" s="69"/>
      <c r="G546" s="69"/>
      <c r="H546" s="69"/>
      <c r="I546" s="69"/>
      <c r="J546" s="69"/>
    </row>
    <row r="547" spans="4:10" s="64" customFormat="1" ht="12.000000">
      <c r="D547" s="69"/>
      <c r="E547" s="69"/>
      <c r="F547" s="69"/>
      <c r="G547" s="69"/>
      <c r="H547" s="69"/>
      <c r="I547" s="69"/>
      <c r="J547" s="69"/>
    </row>
    <row r="548" spans="4:10" s="64" customFormat="1" ht="12.000000">
      <c r="D548" s="69"/>
      <c r="E548" s="69"/>
      <c r="F548" s="69"/>
      <c r="G548" s="69"/>
      <c r="H548" s="69"/>
      <c r="I548" s="69"/>
      <c r="J548" s="69"/>
    </row>
    <row r="549" spans="4:10" s="64" customFormat="1" ht="12.000000">
      <c r="D549" s="69"/>
      <c r="E549" s="69"/>
      <c r="F549" s="69"/>
      <c r="G549" s="69"/>
      <c r="H549" s="69"/>
      <c r="I549" s="69"/>
      <c r="J549" s="69"/>
    </row>
    <row r="550" spans="4:10" s="64" customFormat="1" ht="12.000000">
      <c r="D550" s="69"/>
      <c r="E550" s="69"/>
      <c r="F550" s="69"/>
      <c r="G550" s="69"/>
      <c r="H550" s="69"/>
      <c r="I550" s="69"/>
      <c r="J550" s="69"/>
    </row>
    <row r="551" spans="4:10" s="64" customFormat="1" ht="12.000000">
      <c r="D551" s="69"/>
      <c r="E551" s="69"/>
      <c r="F551" s="69"/>
      <c r="G551" s="69"/>
      <c r="H551" s="69"/>
      <c r="I551" s="69"/>
      <c r="J551" s="69"/>
    </row>
    <row r="552" spans="4:10" s="64" customFormat="1" ht="12.000000">
      <c r="D552" s="69"/>
      <c r="E552" s="69"/>
      <c r="F552" s="69"/>
      <c r="G552" s="69"/>
      <c r="H552" s="69"/>
      <c r="I552" s="69"/>
      <c r="J552" s="69"/>
    </row>
    <row r="553" spans="4:10" s="64" customFormat="1" ht="12.000000">
      <c r="D553" s="69"/>
      <c r="E553" s="69"/>
      <c r="F553" s="69"/>
      <c r="G553" s="69"/>
      <c r="H553" s="69"/>
      <c r="I553" s="69"/>
      <c r="J553" s="69"/>
    </row>
    <row r="554" spans="4:10" s="64" customFormat="1" ht="12.000000">
      <c r="D554" s="69"/>
      <c r="E554" s="69"/>
      <c r="F554" s="69"/>
      <c r="G554" s="69"/>
      <c r="H554" s="69"/>
      <c r="I554" s="69"/>
      <c r="J554" s="69"/>
    </row>
    <row r="555" spans="4:10" s="64" customFormat="1" ht="12.000000">
      <c r="D555" s="69"/>
      <c r="E555" s="69"/>
      <c r="F555" s="69"/>
      <c r="G555" s="69"/>
      <c r="H555" s="69"/>
      <c r="I555" s="69"/>
      <c r="J555" s="69"/>
    </row>
    <row r="556" spans="4:10" s="64" customFormat="1" ht="12.000000">
      <c r="D556" s="69"/>
      <c r="E556" s="69"/>
      <c r="F556" s="69"/>
      <c r="G556" s="69"/>
      <c r="H556" s="69"/>
      <c r="I556" s="69"/>
      <c r="J556" s="69"/>
    </row>
    <row r="557" spans="4:10" s="64" customFormat="1" ht="12.000000">
      <c r="D557" s="69"/>
      <c r="E557" s="69"/>
      <c r="F557" s="69"/>
      <c r="G557" s="69"/>
      <c r="H557" s="69"/>
      <c r="I557" s="69"/>
      <c r="J557" s="69"/>
    </row>
    <row r="558" spans="4:10" s="64" customFormat="1" ht="12.000000">
      <c r="D558" s="69"/>
      <c r="E558" s="69"/>
      <c r="F558" s="69"/>
      <c r="G558" s="69"/>
      <c r="H558" s="69"/>
      <c r="I558" s="69"/>
      <c r="J558" s="69"/>
    </row>
    <row r="559" spans="4:10" s="64" customFormat="1" ht="12.000000">
      <c r="D559" s="69"/>
      <c r="E559" s="69"/>
      <c r="F559" s="69"/>
      <c r="G559" s="69"/>
      <c r="H559" s="69"/>
      <c r="I559" s="69"/>
      <c r="J559" s="69"/>
    </row>
    <row r="560" spans="4:10" s="64" customFormat="1" ht="12.000000">
      <c r="D560" s="69"/>
      <c r="E560" s="69"/>
      <c r="F560" s="69"/>
      <c r="G560" s="69"/>
      <c r="H560" s="69"/>
      <c r="I560" s="69"/>
      <c r="J560" s="69"/>
    </row>
    <row r="561" spans="4:10" s="64" customFormat="1" ht="12.000000">
      <c r="D561" s="69"/>
      <c r="E561" s="69"/>
      <c r="F561" s="69"/>
      <c r="G561" s="69"/>
      <c r="H561" s="69"/>
      <c r="I561" s="69"/>
      <c r="J561" s="69"/>
    </row>
    <row r="562" spans="4:10" s="64" customFormat="1" ht="12.000000">
      <c r="D562" s="69"/>
      <c r="E562" s="69"/>
      <c r="F562" s="69"/>
      <c r="G562" s="69"/>
      <c r="H562" s="69"/>
      <c r="I562" s="69"/>
      <c r="J562" s="69"/>
    </row>
    <row r="563" spans="4:10" s="64" customFormat="1" ht="12.000000">
      <c r="D563" s="69"/>
      <c r="E563" s="69"/>
      <c r="F563" s="69"/>
      <c r="G563" s="69"/>
      <c r="H563" s="69"/>
      <c r="I563" s="69"/>
      <c r="J563" s="69"/>
    </row>
    <row r="564" spans="4:10" s="64" customFormat="1" ht="12.000000">
      <c r="D564" s="69"/>
      <c r="E564" s="69"/>
      <c r="F564" s="69"/>
      <c r="G564" s="69"/>
      <c r="H564" s="69"/>
      <c r="I564" s="69"/>
      <c r="J564" s="69"/>
    </row>
    <row r="565" spans="4:10" s="64" customFormat="1" ht="12.000000">
      <c r="D565" s="69"/>
      <c r="E565" s="69"/>
      <c r="F565" s="69"/>
      <c r="G565" s="69"/>
      <c r="H565" s="69"/>
      <c r="I565" s="69"/>
      <c r="J565" s="69"/>
    </row>
    <row r="566" spans="4:10" s="64" customFormat="1" ht="12.000000">
      <c r="D566" s="69"/>
      <c r="E566" s="69"/>
      <c r="F566" s="69"/>
      <c r="G566" s="69"/>
      <c r="H566" s="69"/>
      <c r="I566" s="69"/>
      <c r="J566" s="69"/>
    </row>
    <row r="567" spans="4:10" s="64" customFormat="1" ht="12.000000">
      <c r="D567" s="69"/>
      <c r="E567" s="69"/>
      <c r="F567" s="69"/>
      <c r="G567" s="69"/>
      <c r="H567" s="69"/>
      <c r="I567" s="69"/>
      <c r="J567" s="69"/>
    </row>
    <row r="568" spans="4:10" s="64" customFormat="1" ht="12.000000">
      <c r="D568" s="69"/>
      <c r="E568" s="69"/>
      <c r="F568" s="69"/>
      <c r="G568" s="69"/>
      <c r="H568" s="69"/>
      <c r="I568" s="69"/>
      <c r="J568" s="69"/>
    </row>
    <row r="569" spans="4:10" s="64" customFormat="1" ht="12.000000">
      <c r="D569" s="69"/>
      <c r="E569" s="69"/>
      <c r="F569" s="69"/>
      <c r="G569" s="69"/>
      <c r="H569" s="69"/>
      <c r="I569" s="69"/>
      <c r="J569" s="69"/>
    </row>
    <row r="570" spans="4:10" s="64" customFormat="1" ht="12.000000">
      <c r="D570" s="69"/>
      <c r="E570" s="69"/>
      <c r="F570" s="69"/>
      <c r="G570" s="69"/>
      <c r="H570" s="69"/>
      <c r="I570" s="69"/>
      <c r="J570" s="69"/>
    </row>
    <row r="571" spans="4:10" s="64" customFormat="1" ht="12.000000">
      <c r="D571" s="69"/>
      <c r="E571" s="69"/>
      <c r="F571" s="69"/>
      <c r="G571" s="69"/>
      <c r="H571" s="69"/>
      <c r="I571" s="69"/>
      <c r="J571" s="69"/>
    </row>
    <row r="572" spans="4:10" s="64" customFormat="1" ht="12.000000">
      <c r="D572" s="69"/>
      <c r="E572" s="69"/>
      <c r="F572" s="69"/>
      <c r="G572" s="69"/>
      <c r="H572" s="69"/>
      <c r="I572" s="69"/>
      <c r="J572" s="69"/>
    </row>
    <row r="573" spans="4:10" s="64" customFormat="1" ht="12.000000">
      <c r="D573" s="69"/>
      <c r="E573" s="69"/>
      <c r="F573" s="69"/>
      <c r="G573" s="69"/>
      <c r="H573" s="69"/>
      <c r="I573" s="69"/>
      <c r="J573" s="69"/>
    </row>
    <row r="574" spans="4:10" s="64" customFormat="1" ht="12.000000">
      <c r="D574" s="69"/>
      <c r="E574" s="69"/>
      <c r="F574" s="69"/>
      <c r="G574" s="69"/>
      <c r="H574" s="69"/>
      <c r="I574" s="69"/>
      <c r="J574" s="69"/>
    </row>
    <row r="575" spans="4:10" s="64" customFormat="1" ht="12.000000">
      <c r="D575" s="69"/>
      <c r="E575" s="69"/>
      <c r="F575" s="69"/>
      <c r="G575" s="69"/>
      <c r="H575" s="69"/>
      <c r="I575" s="69"/>
      <c r="J575" s="69"/>
    </row>
    <row r="576" spans="4:10" s="64" customFormat="1" ht="12.000000">
      <c r="D576" s="69"/>
      <c r="E576" s="69"/>
      <c r="F576" s="69"/>
      <c r="G576" s="69"/>
      <c r="H576" s="69"/>
      <c r="I576" s="69"/>
      <c r="J576" s="69"/>
    </row>
    <row r="577" spans="4:10" s="64" customFormat="1" ht="12.000000">
      <c r="D577" s="69"/>
      <c r="E577" s="69"/>
      <c r="F577" s="69"/>
      <c r="G577" s="69"/>
      <c r="H577" s="69"/>
      <c r="I577" s="69"/>
      <c r="J577" s="69"/>
    </row>
    <row r="578" spans="4:10" s="64" customFormat="1" ht="12.000000">
      <c r="D578" s="69"/>
      <c r="E578" s="69"/>
      <c r="F578" s="69"/>
      <c r="G578" s="69"/>
      <c r="H578" s="69"/>
      <c r="I578" s="69"/>
      <c r="J578" s="69"/>
    </row>
    <row r="579" spans="4:10" s="64" customFormat="1" ht="12.000000">
      <c r="D579" s="69"/>
      <c r="E579" s="69"/>
      <c r="F579" s="69"/>
      <c r="G579" s="69"/>
      <c r="H579" s="69"/>
      <c r="I579" s="69"/>
      <c r="J579" s="69"/>
    </row>
    <row r="580" spans="4:10" s="64" customFormat="1" ht="12.000000">
      <c r="D580" s="69"/>
      <c r="E580" s="69"/>
      <c r="F580" s="69"/>
      <c r="G580" s="69"/>
      <c r="H580" s="69"/>
      <c r="I580" s="69"/>
      <c r="J580" s="69"/>
    </row>
    <row r="581" spans="4:10" s="64" customFormat="1" ht="12.000000">
      <c r="D581" s="69"/>
      <c r="E581" s="69"/>
      <c r="F581" s="69"/>
      <c r="G581" s="69"/>
      <c r="H581" s="69"/>
      <c r="I581" s="69"/>
      <c r="J581" s="69"/>
    </row>
    <row r="582" spans="4:10" s="64" customFormat="1" ht="12.000000">
      <c r="D582" s="69"/>
      <c r="E582" s="69"/>
      <c r="F582" s="69"/>
      <c r="G582" s="69"/>
      <c r="H582" s="69"/>
      <c r="I582" s="69"/>
      <c r="J582" s="69"/>
    </row>
    <row r="583" spans="4:10" s="64" customFormat="1" ht="12.000000">
      <c r="D583" s="69"/>
      <c r="E583" s="69"/>
      <c r="F583" s="69"/>
      <c r="G583" s="69"/>
      <c r="H583" s="69"/>
      <c r="I583" s="69"/>
      <c r="J583" s="69"/>
    </row>
    <row r="584" spans="4:10" s="64" customFormat="1" ht="12.000000">
      <c r="D584" s="69"/>
      <c r="E584" s="69"/>
      <c r="F584" s="69"/>
      <c r="G584" s="69"/>
      <c r="H584" s="69"/>
      <c r="I584" s="69"/>
      <c r="J584" s="69"/>
    </row>
    <row r="585" spans="4:10" s="64" customFormat="1" ht="12.000000">
      <c r="D585" s="69"/>
      <c r="E585" s="69"/>
      <c r="F585" s="69"/>
      <c r="G585" s="69"/>
      <c r="H585" s="69"/>
      <c r="I585" s="69"/>
      <c r="J585" s="69"/>
    </row>
    <row r="586" spans="4:10" s="64" customFormat="1" ht="12.000000">
      <c r="D586" s="69"/>
      <c r="E586" s="69"/>
      <c r="F586" s="69"/>
      <c r="G586" s="69"/>
      <c r="H586" s="69"/>
      <c r="I586" s="69"/>
      <c r="J586" s="69"/>
    </row>
    <row r="587" spans="4:10" s="64" customFormat="1" ht="12.000000">
      <c r="D587" s="69"/>
      <c r="E587" s="69"/>
      <c r="F587" s="69"/>
      <c r="G587" s="69"/>
      <c r="H587" s="69"/>
      <c r="I587" s="69"/>
      <c r="J587" s="69"/>
    </row>
    <row r="588" spans="4:10" s="64" customFormat="1" ht="12.000000">
      <c r="D588" s="69"/>
      <c r="E588" s="69"/>
      <c r="F588" s="69"/>
      <c r="G588" s="69"/>
      <c r="H588" s="69"/>
      <c r="I588" s="69"/>
      <c r="J588" s="69"/>
    </row>
    <row r="589" spans="4:10" s="64" customFormat="1" ht="12.000000">
      <c r="D589" s="69"/>
      <c r="E589" s="69"/>
      <c r="F589" s="69"/>
      <c r="G589" s="69"/>
      <c r="H589" s="69"/>
      <c r="I589" s="69"/>
      <c r="J589" s="69"/>
    </row>
    <row r="590" spans="4:10" s="64" customFormat="1" ht="12.000000">
      <c r="D590" s="69"/>
      <c r="E590" s="69"/>
      <c r="F590" s="69"/>
      <c r="G590" s="69"/>
      <c r="H590" s="69"/>
      <c r="I590" s="69"/>
      <c r="J590" s="69"/>
    </row>
    <row r="591" spans="4:10" s="64" customFormat="1" ht="12.000000">
      <c r="D591" s="69"/>
      <c r="E591" s="69"/>
      <c r="F591" s="69"/>
      <c r="G591" s="69"/>
      <c r="H591" s="69"/>
      <c r="I591" s="69"/>
      <c r="J591" s="69"/>
    </row>
    <row r="592" spans="4:10" s="64" customFormat="1" ht="12.000000">
      <c r="D592" s="69"/>
      <c r="E592" s="69"/>
      <c r="F592" s="69"/>
      <c r="G592" s="69"/>
      <c r="H592" s="69"/>
      <c r="I592" s="69"/>
      <c r="J592" s="69"/>
    </row>
    <row r="593" spans="4:10" s="64" customFormat="1" ht="12.000000">
      <c r="D593" s="69"/>
      <c r="E593" s="69"/>
      <c r="F593" s="69"/>
      <c r="G593" s="69"/>
      <c r="H593" s="69"/>
      <c r="I593" s="69"/>
      <c r="J593" s="69"/>
    </row>
    <row r="594" spans="4:10" s="64" customFormat="1" ht="12.000000">
      <c r="D594" s="69"/>
      <c r="E594" s="69"/>
      <c r="F594" s="69"/>
      <c r="G594" s="69"/>
      <c r="H594" s="69"/>
      <c r="I594" s="69"/>
      <c r="J594" s="69"/>
    </row>
    <row r="595" spans="4:10" s="64" customFormat="1" ht="12.000000">
      <c r="D595" s="69"/>
      <c r="E595" s="69"/>
      <c r="F595" s="69"/>
      <c r="G595" s="69"/>
      <c r="H595" s="69"/>
      <c r="I595" s="69"/>
      <c r="J595" s="69"/>
    </row>
    <row r="596" spans="4:10" s="64" customFormat="1" ht="12.000000">
      <c r="D596" s="69"/>
      <c r="E596" s="69"/>
      <c r="F596" s="69"/>
      <c r="G596" s="69"/>
      <c r="H596" s="69"/>
      <c r="I596" s="69"/>
      <c r="J596" s="69"/>
    </row>
    <row r="597" spans="4:10" s="64" customFormat="1" ht="12.000000">
      <c r="D597" s="69"/>
      <c r="E597" s="69"/>
      <c r="F597" s="69"/>
      <c r="G597" s="69"/>
      <c r="H597" s="69"/>
      <c r="I597" s="69"/>
      <c r="J597" s="69"/>
    </row>
    <row r="598" spans="4:10" s="64" customFormat="1" ht="12.000000">
      <c r="D598" s="69"/>
      <c r="E598" s="69"/>
      <c r="F598" s="69"/>
      <c r="G598" s="69"/>
      <c r="H598" s="69"/>
      <c r="I598" s="69"/>
      <c r="J598" s="69"/>
    </row>
    <row r="599" spans="4:10" s="64" customFormat="1" ht="12.000000">
      <c r="D599" s="69"/>
      <c r="E599" s="69"/>
      <c r="F599" s="69"/>
      <c r="G599" s="69"/>
      <c r="H599" s="69"/>
      <c r="I599" s="69"/>
      <c r="J599" s="69"/>
    </row>
    <row r="600" spans="4:10" s="64" customFormat="1" ht="12.000000">
      <c r="D600" s="69"/>
      <c r="E600" s="69"/>
      <c r="F600" s="69"/>
      <c r="G600" s="69"/>
      <c r="H600" s="69"/>
      <c r="I600" s="69"/>
      <c r="J600" s="69"/>
    </row>
    <row r="601" spans="4:10" s="64" customFormat="1" ht="12.000000">
      <c r="D601" s="69"/>
      <c r="E601" s="69"/>
      <c r="F601" s="69"/>
      <c r="G601" s="69"/>
      <c r="H601" s="69"/>
      <c r="I601" s="69"/>
      <c r="J601" s="69"/>
    </row>
    <row r="602" spans="4:10" s="64" customFormat="1" ht="12.000000">
      <c r="D602" s="69"/>
      <c r="E602" s="69"/>
      <c r="F602" s="69"/>
      <c r="G602" s="69"/>
      <c r="H602" s="69"/>
      <c r="I602" s="69"/>
      <c r="J602" s="69"/>
    </row>
    <row r="603" spans="4:10" s="64" customFormat="1" ht="12.000000">
      <c r="D603" s="69"/>
      <c r="E603" s="69"/>
      <c r="F603" s="69"/>
      <c r="G603" s="69"/>
      <c r="H603" s="69"/>
      <c r="I603" s="69"/>
      <c r="J603" s="69"/>
    </row>
    <row r="604" spans="4:10" s="64" customFormat="1" ht="12.000000">
      <c r="D604" s="69"/>
      <c r="E604" s="69"/>
      <c r="F604" s="69"/>
      <c r="G604" s="69"/>
      <c r="H604" s="69"/>
      <c r="I604" s="69"/>
      <c r="J604" s="69"/>
    </row>
    <row r="605" spans="4:10" s="64" customFormat="1" ht="12.000000">
      <c r="D605" s="69"/>
      <c r="E605" s="69"/>
      <c r="F605" s="69"/>
      <c r="G605" s="69"/>
      <c r="H605" s="69"/>
      <c r="I605" s="69"/>
      <c r="J605" s="69"/>
    </row>
    <row r="606" spans="4:10" s="64" customFormat="1" ht="12.000000">
      <c r="D606" s="69"/>
      <c r="E606" s="69"/>
      <c r="F606" s="69"/>
      <c r="G606" s="69"/>
      <c r="H606" s="69"/>
      <c r="I606" s="69"/>
      <c r="J606" s="69"/>
    </row>
    <row r="607" spans="4:10" s="64" customFormat="1" ht="12.000000">
      <c r="D607" s="69"/>
      <c r="E607" s="69"/>
      <c r="F607" s="69"/>
      <c r="G607" s="69"/>
      <c r="H607" s="69"/>
      <c r="I607" s="69"/>
      <c r="J607" s="69"/>
    </row>
    <row r="608" spans="4:10" s="64" customFormat="1" ht="12.000000">
      <c r="D608" s="69"/>
      <c r="E608" s="69"/>
      <c r="F608" s="69"/>
      <c r="G608" s="69"/>
      <c r="H608" s="69"/>
      <c r="I608" s="69"/>
      <c r="J608" s="69"/>
    </row>
    <row r="609" spans="4:10" s="64" customFormat="1" ht="12.000000">
      <c r="D609" s="69"/>
      <c r="E609" s="69"/>
      <c r="F609" s="69"/>
      <c r="G609" s="69"/>
      <c r="H609" s="69"/>
      <c r="I609" s="69"/>
      <c r="J609" s="69"/>
    </row>
    <row r="610" spans="4:10" s="64" customFormat="1" ht="12.000000">
      <c r="D610" s="69"/>
      <c r="E610" s="69"/>
      <c r="F610" s="69"/>
      <c r="G610" s="69"/>
      <c r="H610" s="69"/>
      <c r="I610" s="69"/>
      <c r="J610" s="69"/>
    </row>
    <row r="611" spans="4:10" s="64" customFormat="1" ht="12.000000">
      <c r="D611" s="69"/>
      <c r="E611" s="69"/>
      <c r="F611" s="69"/>
      <c r="G611" s="69"/>
      <c r="H611" s="69"/>
      <c r="I611" s="69"/>
      <c r="J611" s="69"/>
    </row>
    <row r="612" spans="4:10" s="64" customFormat="1" ht="12.000000">
      <c r="D612" s="69"/>
      <c r="E612" s="69"/>
      <c r="F612" s="69"/>
      <c r="G612" s="69"/>
      <c r="H612" s="69"/>
      <c r="I612" s="69"/>
      <c r="J612" s="69"/>
    </row>
    <row r="613" spans="4:10" s="64" customFormat="1" ht="12.000000">
      <c r="D613" s="69"/>
      <c r="E613" s="69"/>
      <c r="F613" s="69"/>
      <c r="G613" s="69"/>
      <c r="H613" s="69"/>
      <c r="I613" s="69"/>
      <c r="J613" s="69"/>
    </row>
    <row r="614" spans="4:10" s="64" customFormat="1" ht="12.000000">
      <c r="D614" s="69"/>
      <c r="E614" s="69"/>
      <c r="F614" s="69"/>
      <c r="G614" s="69"/>
      <c r="H614" s="69"/>
      <c r="I614" s="69"/>
      <c r="J614" s="69"/>
    </row>
    <row r="615" spans="4:10" s="64" customFormat="1" ht="12.000000">
      <c r="D615" s="69"/>
      <c r="E615" s="69"/>
      <c r="F615" s="69"/>
      <c r="G615" s="69"/>
      <c r="H615" s="69"/>
      <c r="I615" s="69"/>
      <c r="J615" s="69"/>
    </row>
    <row r="616" spans="4:10" s="64" customFormat="1" ht="12.000000">
      <c r="D616" s="69"/>
      <c r="E616" s="69"/>
      <c r="F616" s="69"/>
      <c r="G616" s="69"/>
      <c r="H616" s="69"/>
      <c r="I616" s="69"/>
      <c r="J616" s="69"/>
    </row>
    <row r="617" spans="4:10" s="64" customFormat="1" ht="12.000000">
      <c r="D617" s="69"/>
      <c r="E617" s="69"/>
      <c r="F617" s="69"/>
      <c r="G617" s="69"/>
      <c r="H617" s="69"/>
      <c r="I617" s="69"/>
      <c r="J617" s="69"/>
    </row>
    <row r="618" spans="4:10" s="64" customFormat="1" ht="12.000000">
      <c r="D618" s="69"/>
      <c r="E618" s="69"/>
      <c r="F618" s="69"/>
      <c r="G618" s="69"/>
      <c r="H618" s="69"/>
      <c r="I618" s="69"/>
      <c r="J618" s="69"/>
    </row>
    <row r="619" spans="4:10" s="64" customFormat="1" ht="12.000000">
      <c r="D619" s="69"/>
      <c r="E619" s="69"/>
      <c r="F619" s="69"/>
      <c r="G619" s="69"/>
      <c r="H619" s="69"/>
      <c r="I619" s="69"/>
      <c r="J619" s="69"/>
    </row>
    <row r="620" spans="4:10" s="64" customFormat="1" ht="12.000000">
      <c r="D620" s="69"/>
      <c r="E620" s="69"/>
      <c r="F620" s="69"/>
      <c r="G620" s="69"/>
      <c r="H620" s="69"/>
      <c r="I620" s="69"/>
      <c r="J620" s="69"/>
    </row>
    <row r="621" spans="4:10" s="64" customFormat="1" ht="12.000000">
      <c r="D621" s="69"/>
      <c r="E621" s="69"/>
      <c r="F621" s="69"/>
      <c r="G621" s="69"/>
      <c r="H621" s="69"/>
      <c r="I621" s="69"/>
      <c r="J621" s="69"/>
    </row>
    <row r="622" spans="4:10" s="64" customFormat="1" ht="12.000000">
      <c r="D622" s="69"/>
      <c r="E622" s="69"/>
      <c r="F622" s="69"/>
      <c r="G622" s="69"/>
      <c r="H622" s="69"/>
      <c r="I622" s="69"/>
      <c r="J622" s="69"/>
    </row>
    <row r="623" spans="4:10" s="64" customFormat="1" ht="12.000000">
      <c r="D623" s="69"/>
      <c r="E623" s="69"/>
      <c r="F623" s="69"/>
      <c r="G623" s="69"/>
      <c r="H623" s="69"/>
      <c r="I623" s="69"/>
      <c r="J623" s="69"/>
    </row>
    <row r="624" spans="4:10" s="64" customFormat="1" ht="12.000000">
      <c r="D624" s="69"/>
      <c r="E624" s="69"/>
      <c r="F624" s="69"/>
      <c r="G624" s="69"/>
      <c r="H624" s="69"/>
      <c r="I624" s="69"/>
      <c r="J624" s="69"/>
    </row>
    <row r="625" spans="4:10" s="64" customFormat="1" ht="12.000000">
      <c r="D625" s="69"/>
      <c r="E625" s="69"/>
      <c r="F625" s="69"/>
      <c r="G625" s="69"/>
      <c r="H625" s="69"/>
      <c r="I625" s="69"/>
      <c r="J625" s="69"/>
    </row>
    <row r="626" spans="4:10" s="64" customFormat="1" ht="12.000000">
      <c r="D626" s="69"/>
      <c r="E626" s="69"/>
      <c r="F626" s="69"/>
      <c r="G626" s="69"/>
      <c r="H626" s="69"/>
      <c r="I626" s="69"/>
      <c r="J626" s="69"/>
    </row>
    <row r="627" spans="4:10" s="64" customFormat="1" ht="12.000000">
      <c r="D627" s="69"/>
      <c r="E627" s="69"/>
      <c r="F627" s="69"/>
      <c r="G627" s="69"/>
      <c r="H627" s="69"/>
      <c r="I627" s="69"/>
      <c r="J627" s="69"/>
    </row>
    <row r="628" spans="4:10" s="64" customFormat="1" ht="12.000000">
      <c r="D628" s="69"/>
      <c r="E628" s="69"/>
      <c r="F628" s="69"/>
      <c r="G628" s="69"/>
      <c r="H628" s="69"/>
      <c r="I628" s="69"/>
      <c r="J628" s="69"/>
    </row>
    <row r="629" spans="4:10" s="64" customFormat="1" ht="12.000000">
      <c r="D629" s="69"/>
      <c r="E629" s="69"/>
      <c r="F629" s="69"/>
      <c r="G629" s="69"/>
      <c r="H629" s="69"/>
      <c r="I629" s="69"/>
      <c r="J629" s="69"/>
    </row>
    <row r="630" spans="4:10" s="64" customFormat="1" ht="12.000000">
      <c r="D630" s="69"/>
      <c r="E630" s="69"/>
      <c r="F630" s="69"/>
      <c r="G630" s="69"/>
      <c r="H630" s="69"/>
      <c r="I630" s="69"/>
      <c r="J630" s="69"/>
    </row>
    <row r="631" spans="4:10" s="64" customFormat="1" ht="12.000000">
      <c r="D631" s="69"/>
      <c r="E631" s="69"/>
      <c r="F631" s="69"/>
      <c r="G631" s="69"/>
      <c r="H631" s="69"/>
      <c r="I631" s="69"/>
      <c r="J631" s="69"/>
    </row>
    <row r="632" spans="4:10" s="64" customFormat="1" ht="12.000000">
      <c r="D632" s="69"/>
      <c r="E632" s="69"/>
      <c r="F632" s="69"/>
      <c r="G632" s="69"/>
      <c r="H632" s="69"/>
      <c r="I632" s="69"/>
      <c r="J632" s="69"/>
    </row>
    <row r="633" spans="4:10" s="64" customFormat="1" ht="12.000000">
      <c r="D633" s="69"/>
      <c r="E633" s="69"/>
      <c r="F633" s="69"/>
      <c r="G633" s="69"/>
      <c r="H633" s="69"/>
      <c r="I633" s="69"/>
      <c r="J633" s="69"/>
    </row>
    <row r="634" spans="4:10" s="64" customFormat="1" ht="12.000000">
      <c r="D634" s="69"/>
      <c r="E634" s="69"/>
      <c r="F634" s="69"/>
      <c r="G634" s="69"/>
      <c r="H634" s="69"/>
      <c r="I634" s="69"/>
      <c r="J634" s="69"/>
    </row>
    <row r="635" spans="4:10" s="64" customFormat="1" ht="12.000000">
      <c r="D635" s="69"/>
      <c r="E635" s="69"/>
      <c r="F635" s="69"/>
      <c r="G635" s="69"/>
      <c r="H635" s="69"/>
      <c r="I635" s="69"/>
      <c r="J635" s="69"/>
    </row>
    <row r="636" spans="4:10" s="64" customFormat="1" ht="12.000000">
      <c r="D636" s="69"/>
      <c r="E636" s="69"/>
      <c r="F636" s="69"/>
      <c r="G636" s="69"/>
      <c r="H636" s="69"/>
      <c r="I636" s="69"/>
      <c r="J636" s="69"/>
    </row>
    <row r="637" spans="4:10" s="64" customFormat="1" ht="12.000000">
      <c r="D637" s="69"/>
      <c r="E637" s="69"/>
      <c r="F637" s="69"/>
      <c r="G637" s="69"/>
      <c r="H637" s="69"/>
      <c r="I637" s="69"/>
      <c r="J637" s="69"/>
    </row>
    <row r="638" spans="4:10" s="64" customFormat="1" ht="12.000000">
      <c r="D638" s="69"/>
      <c r="E638" s="69"/>
      <c r="F638" s="69"/>
      <c r="G638" s="69"/>
      <c r="H638" s="69"/>
      <c r="I638" s="69"/>
      <c r="J638" s="69"/>
    </row>
    <row r="639" spans="4:10" s="64" customFormat="1" ht="12.000000">
      <c r="D639" s="69"/>
      <c r="E639" s="69"/>
      <c r="F639" s="69"/>
      <c r="G639" s="69"/>
      <c r="H639" s="69"/>
      <c r="I639" s="69"/>
      <c r="J639" s="69"/>
    </row>
    <row r="640" spans="4:10" s="64" customFormat="1" ht="12.000000">
      <c r="D640" s="69"/>
      <c r="E640" s="69"/>
      <c r="F640" s="69"/>
      <c r="G640" s="69"/>
      <c r="H640" s="69"/>
      <c r="I640" s="69"/>
      <c r="J640" s="69"/>
    </row>
    <row r="641" spans="4:10" s="64" customFormat="1" ht="12.000000">
      <c r="D641" s="69"/>
      <c r="E641" s="69"/>
      <c r="F641" s="69"/>
      <c r="G641" s="69"/>
      <c r="H641" s="69"/>
      <c r="I641" s="69"/>
      <c r="J641" s="69"/>
    </row>
    <row r="642" spans="4:10" s="64" customFormat="1" ht="12.000000">
      <c r="D642" s="69"/>
      <c r="E642" s="69"/>
      <c r="F642" s="69"/>
      <c r="G642" s="69"/>
      <c r="H642" s="69"/>
      <c r="I642" s="69"/>
      <c r="J642" s="69"/>
    </row>
    <row r="643" spans="4:10" s="64" customFormat="1" ht="12.000000">
      <c r="D643" s="69"/>
      <c r="E643" s="69"/>
      <c r="F643" s="69"/>
      <c r="G643" s="69"/>
      <c r="H643" s="69"/>
      <c r="I643" s="69"/>
      <c r="J643" s="69"/>
    </row>
    <row r="644" spans="4:10" s="64" customFormat="1" ht="12.000000">
      <c r="D644" s="69"/>
      <c r="E644" s="69"/>
      <c r="F644" s="69"/>
      <c r="G644" s="69"/>
      <c r="H644" s="69"/>
      <c r="I644" s="69"/>
      <c r="J644" s="69"/>
    </row>
    <row r="645" spans="4:10" s="64" customFormat="1" ht="12.000000">
      <c r="D645" s="69"/>
      <c r="E645" s="69"/>
      <c r="F645" s="69"/>
      <c r="G645" s="69"/>
      <c r="H645" s="69"/>
      <c r="I645" s="69"/>
      <c r="J645" s="69"/>
    </row>
    <row r="646" spans="4:10" s="64" customFormat="1" ht="12.000000">
      <c r="D646" s="69"/>
      <c r="E646" s="69"/>
      <c r="F646" s="69"/>
      <c r="G646" s="69"/>
      <c r="H646" s="69"/>
      <c r="I646" s="69"/>
      <c r="J646" s="69"/>
    </row>
    <row r="647" spans="4:10" s="64" customFormat="1" ht="12.000000">
      <c r="D647" s="69"/>
      <c r="E647" s="69"/>
      <c r="F647" s="69"/>
      <c r="G647" s="69"/>
      <c r="H647" s="69"/>
      <c r="I647" s="69"/>
      <c r="J647" s="69"/>
    </row>
    <row r="648" spans="4:10" s="64" customFormat="1" ht="12.000000">
      <c r="D648" s="69"/>
      <c r="E648" s="69"/>
      <c r="F648" s="69"/>
      <c r="G648" s="69"/>
      <c r="H648" s="69"/>
      <c r="I648" s="69"/>
      <c r="J648" s="69"/>
    </row>
    <row r="649" spans="4:10" s="64" customFormat="1" ht="12.000000">
      <c r="D649" s="69"/>
      <c r="E649" s="69"/>
      <c r="F649" s="69"/>
      <c r="G649" s="69"/>
      <c r="H649" s="69"/>
      <c r="I649" s="69"/>
      <c r="J649" s="69"/>
    </row>
    <row r="650" spans="4:10" s="64" customFormat="1" ht="12.000000">
      <c r="D650" s="69"/>
      <c r="E650" s="69"/>
      <c r="F650" s="69"/>
      <c r="G650" s="69"/>
      <c r="H650" s="69"/>
      <c r="I650" s="69"/>
      <c r="J650" s="69"/>
    </row>
    <row r="651" spans="4:10" s="64" customFormat="1" ht="12.000000">
      <c r="D651" s="69"/>
      <c r="E651" s="69"/>
      <c r="F651" s="69"/>
      <c r="G651" s="69"/>
      <c r="H651" s="69"/>
      <c r="I651" s="69"/>
      <c r="J651" s="69"/>
    </row>
    <row r="652" spans="4:10" s="64" customFormat="1" ht="12.000000">
      <c r="D652" s="69"/>
      <c r="E652" s="69"/>
      <c r="F652" s="69"/>
      <c r="G652" s="69"/>
      <c r="H652" s="69"/>
      <c r="I652" s="69"/>
      <c r="J652" s="69"/>
    </row>
    <row r="653" spans="4:10" s="64" customFormat="1" ht="12.000000">
      <c r="D653" s="69"/>
      <c r="E653" s="69"/>
      <c r="F653" s="69"/>
      <c r="G653" s="69"/>
      <c r="H653" s="69"/>
      <c r="I653" s="69"/>
      <c r="J653" s="69"/>
    </row>
    <row r="654" spans="4:10" s="64" customFormat="1" ht="12.000000">
      <c r="D654" s="69"/>
      <c r="E654" s="69"/>
      <c r="F654" s="69"/>
      <c r="G654" s="69"/>
      <c r="H654" s="69"/>
      <c r="I654" s="69"/>
      <c r="J654" s="69"/>
    </row>
    <row r="655" spans="4:10" s="64" customFormat="1" ht="12.000000">
      <c r="D655" s="69"/>
      <c r="E655" s="69"/>
      <c r="F655" s="69"/>
      <c r="G655" s="69"/>
      <c r="H655" s="69"/>
      <c r="I655" s="69"/>
      <c r="J655" s="69"/>
    </row>
    <row r="656" spans="4:10" s="64" customFormat="1" ht="12.000000">
      <c r="D656" s="69"/>
      <c r="E656" s="69"/>
      <c r="F656" s="69"/>
      <c r="G656" s="69"/>
      <c r="H656" s="69"/>
      <c r="I656" s="69"/>
      <c r="J656" s="69"/>
    </row>
    <row r="657" spans="4:10" s="64" customFormat="1" ht="12.000000">
      <c r="D657" s="69"/>
      <c r="E657" s="69"/>
      <c r="F657" s="69"/>
      <c r="G657" s="69"/>
      <c r="H657" s="69"/>
      <c r="I657" s="69"/>
      <c r="J657" s="69"/>
    </row>
    <row r="658" spans="4:10" s="64" customFormat="1" ht="12.000000">
      <c r="D658" s="69"/>
      <c r="E658" s="69"/>
      <c r="F658" s="69"/>
      <c r="G658" s="69"/>
      <c r="H658" s="69"/>
      <c r="I658" s="69"/>
      <c r="J658" s="69"/>
    </row>
    <row r="659" spans="4:10" s="64" customFormat="1" ht="12.000000">
      <c r="D659" s="69"/>
      <c r="E659" s="69"/>
      <c r="F659" s="69"/>
      <c r="G659" s="69"/>
      <c r="H659" s="69"/>
      <c r="I659" s="69"/>
      <c r="J659" s="69"/>
    </row>
    <row r="660" spans="4:10" s="64" customFormat="1" ht="12.000000">
      <c r="D660" s="69"/>
      <c r="E660" s="69"/>
      <c r="F660" s="69"/>
      <c r="G660" s="69"/>
      <c r="H660" s="69"/>
      <c r="I660" s="69"/>
      <c r="J660" s="69"/>
    </row>
    <row r="661" spans="4:10" s="64" customFormat="1" ht="12.000000">
      <c r="D661" s="69"/>
      <c r="E661" s="69"/>
      <c r="F661" s="69"/>
      <c r="G661" s="69"/>
      <c r="H661" s="69"/>
      <c r="I661" s="69"/>
      <c r="J661" s="69"/>
    </row>
    <row r="662" spans="4:10" s="64" customFormat="1" ht="12.000000">
      <c r="D662" s="69"/>
      <c r="E662" s="69"/>
      <c r="F662" s="69"/>
      <c r="G662" s="69"/>
      <c r="H662" s="69"/>
      <c r="I662" s="69"/>
      <c r="J662" s="69"/>
    </row>
    <row r="663" spans="4:10" s="64" customFormat="1" ht="12.000000">
      <c r="D663" s="69"/>
      <c r="E663" s="69"/>
      <c r="F663" s="69"/>
      <c r="G663" s="69"/>
      <c r="H663" s="69"/>
      <c r="I663" s="69"/>
      <c r="J663" s="69"/>
    </row>
    <row r="664" spans="4:10" s="64" customFormat="1" ht="12.000000">
      <c r="D664" s="69"/>
      <c r="E664" s="69"/>
      <c r="F664" s="69"/>
      <c r="G664" s="69"/>
      <c r="H664" s="69"/>
      <c r="I664" s="69"/>
      <c r="J664" s="69"/>
    </row>
    <row r="665" spans="4:10" s="64" customFormat="1" ht="12.000000">
      <c r="D665" s="69"/>
      <c r="E665" s="69"/>
      <c r="F665" s="69"/>
      <c r="G665" s="69"/>
      <c r="H665" s="69"/>
      <c r="I665" s="69"/>
      <c r="J665" s="69"/>
    </row>
    <row r="666" spans="4:10" s="64" customFormat="1" ht="12.000000">
      <c r="D666" s="69"/>
      <c r="E666" s="69"/>
      <c r="F666" s="69"/>
      <c r="G666" s="69"/>
      <c r="H666" s="69"/>
      <c r="I666" s="69"/>
      <c r="J666" s="69"/>
    </row>
    <row r="667" spans="4:10" s="64" customFormat="1" ht="12.000000">
      <c r="D667" s="69"/>
      <c r="E667" s="69"/>
      <c r="F667" s="69"/>
      <c r="G667" s="69"/>
      <c r="H667" s="69"/>
      <c r="I667" s="69"/>
      <c r="J667" s="69"/>
    </row>
    <row r="668" spans="4:10" s="64" customFormat="1" ht="12.000000">
      <c r="D668" s="69"/>
      <c r="E668" s="69"/>
      <c r="F668" s="69"/>
      <c r="G668" s="69"/>
      <c r="H668" s="69"/>
      <c r="I668" s="69"/>
      <c r="J668" s="69"/>
    </row>
    <row r="669" spans="4:10" s="64" customFormat="1" ht="12.000000">
      <c r="D669" s="69"/>
      <c r="E669" s="69"/>
      <c r="F669" s="69"/>
      <c r="G669" s="69"/>
      <c r="H669" s="69"/>
      <c r="I669" s="69"/>
      <c r="J669" s="69"/>
    </row>
    <row r="670" spans="4:10" s="64" customFormat="1" ht="12.000000">
      <c r="D670" s="69"/>
      <c r="E670" s="69"/>
      <c r="F670" s="69"/>
      <c r="G670" s="69"/>
      <c r="H670" s="69"/>
      <c r="I670" s="69"/>
      <c r="J670" s="69"/>
    </row>
    <row r="671" spans="4:10" s="64" customFormat="1" ht="12.000000">
      <c r="D671" s="69"/>
      <c r="E671" s="69"/>
      <c r="F671" s="69"/>
      <c r="G671" s="69"/>
      <c r="H671" s="69"/>
      <c r="I671" s="69"/>
      <c r="J671" s="69"/>
    </row>
    <row r="672" spans="4:10" s="64" customFormat="1" ht="12.000000">
      <c r="D672" s="69"/>
      <c r="E672" s="69"/>
      <c r="F672" s="69"/>
      <c r="G672" s="69"/>
      <c r="H672" s="69"/>
      <c r="I672" s="69"/>
      <c r="J672" s="69"/>
    </row>
    <row r="673" spans="4:10" s="64" customFormat="1" ht="12.000000">
      <c r="D673" s="69"/>
      <c r="E673" s="69"/>
      <c r="F673" s="69"/>
      <c r="G673" s="69"/>
      <c r="H673" s="69"/>
      <c r="I673" s="69"/>
      <c r="J673" s="69"/>
    </row>
    <row r="674" spans="4:10" s="64" customFormat="1" ht="12.000000">
      <c r="D674" s="69"/>
      <c r="E674" s="69"/>
      <c r="F674" s="69"/>
      <c r="G674" s="69"/>
      <c r="H674" s="69"/>
      <c r="I674" s="69"/>
      <c r="J674" s="69"/>
    </row>
    <row r="675" spans="4:10" s="64" customFormat="1" ht="12.000000">
      <c r="D675" s="69"/>
      <c r="E675" s="69"/>
      <c r="F675" s="69"/>
      <c r="G675" s="69"/>
      <c r="H675" s="69"/>
      <c r="I675" s="69"/>
      <c r="J675" s="69"/>
    </row>
    <row r="676" spans="4:10" s="64" customFormat="1" ht="12.000000">
      <c r="D676" s="69"/>
      <c r="E676" s="69"/>
      <c r="F676" s="69"/>
      <c r="G676" s="69"/>
      <c r="H676" s="69"/>
      <c r="I676" s="69"/>
      <c r="J676" s="69"/>
    </row>
    <row r="677" spans="4:10" s="64" customFormat="1" ht="12.000000">
      <c r="D677" s="69"/>
      <c r="E677" s="69"/>
      <c r="F677" s="69"/>
      <c r="G677" s="69"/>
      <c r="H677" s="69"/>
      <c r="I677" s="69"/>
      <c r="J677" s="69"/>
    </row>
    <row r="678" spans="4:10" s="64" customFormat="1" ht="12.000000">
      <c r="D678" s="69"/>
      <c r="E678" s="69"/>
      <c r="F678" s="69"/>
      <c r="G678" s="69"/>
      <c r="H678" s="69"/>
      <c r="I678" s="69"/>
      <c r="J678" s="69"/>
    </row>
    <row r="679" spans="4:10" s="64" customFormat="1" ht="12.000000">
      <c r="D679" s="69"/>
      <c r="E679" s="69"/>
      <c r="F679" s="69"/>
      <c r="G679" s="69"/>
      <c r="H679" s="69"/>
      <c r="I679" s="69"/>
      <c r="J679" s="69"/>
    </row>
    <row r="680" spans="4:10" s="64" customFormat="1" ht="12.000000">
      <c r="D680" s="69"/>
      <c r="E680" s="69"/>
      <c r="F680" s="69"/>
      <c r="G680" s="69"/>
      <c r="H680" s="69"/>
      <c r="I680" s="69"/>
      <c r="J680" s="69"/>
    </row>
    <row r="681" spans="4:10" s="64" customFormat="1" ht="12.000000">
      <c r="D681" s="69"/>
      <c r="E681" s="69"/>
      <c r="F681" s="69"/>
      <c r="G681" s="69"/>
      <c r="H681" s="69"/>
      <c r="I681" s="69"/>
      <c r="J681" s="69"/>
    </row>
    <row r="682" spans="4:10" s="64" customFormat="1" ht="12.000000">
      <c r="D682" s="69"/>
      <c r="E682" s="69"/>
      <c r="F682" s="69"/>
      <c r="G682" s="69"/>
      <c r="H682" s="69"/>
      <c r="I682" s="69"/>
      <c r="J682" s="69"/>
    </row>
    <row r="683" spans="4:10" s="64" customFormat="1" ht="12.000000">
      <c r="D683" s="69"/>
      <c r="E683" s="69"/>
      <c r="F683" s="69"/>
      <c r="G683" s="69"/>
      <c r="H683" s="69"/>
      <c r="I683" s="69"/>
      <c r="J683" s="69"/>
    </row>
    <row r="684" spans="4:10" s="64" customFormat="1" ht="12.000000">
      <c r="D684" s="69"/>
      <c r="E684" s="69"/>
      <c r="F684" s="69"/>
      <c r="G684" s="69"/>
      <c r="H684" s="69"/>
      <c r="I684" s="69"/>
      <c r="J684" s="69"/>
    </row>
    <row r="685" spans="4:10" s="64" customFormat="1" ht="12.000000">
      <c r="D685" s="69"/>
      <c r="E685" s="69"/>
      <c r="F685" s="69"/>
      <c r="G685" s="69"/>
      <c r="H685" s="69"/>
      <c r="I685" s="69"/>
      <c r="J685" s="69"/>
    </row>
    <row r="686" spans="4:10" s="64" customFormat="1" ht="12.000000">
      <c r="D686" s="69"/>
      <c r="E686" s="69"/>
      <c r="F686" s="69"/>
      <c r="G686" s="69"/>
      <c r="H686" s="69"/>
      <c r="I686" s="69"/>
      <c r="J686" s="69"/>
    </row>
    <row r="687" spans="4:10" s="64" customFormat="1" ht="12.000000">
      <c r="D687" s="69"/>
      <c r="E687" s="69"/>
      <c r="F687" s="69"/>
      <c r="G687" s="69"/>
      <c r="H687" s="69"/>
      <c r="I687" s="69"/>
      <c r="J687" s="69"/>
    </row>
    <row r="688" spans="4:10" s="64" customFormat="1" ht="12.000000">
      <c r="D688" s="69"/>
      <c r="E688" s="69"/>
      <c r="F688" s="69"/>
      <c r="G688" s="69"/>
      <c r="H688" s="69"/>
      <c r="I688" s="69"/>
      <c r="J688" s="69"/>
    </row>
    <row r="689" spans="4:10" s="64" customFormat="1" ht="12.000000">
      <c r="D689" s="69"/>
      <c r="E689" s="69"/>
      <c r="F689" s="69"/>
      <c r="G689" s="69"/>
      <c r="H689" s="69"/>
      <c r="I689" s="69"/>
      <c r="J689" s="69"/>
    </row>
    <row r="690" spans="4:10" s="64" customFormat="1" ht="12.000000">
      <c r="D690" s="69"/>
      <c r="E690" s="69"/>
      <c r="F690" s="69"/>
      <c r="G690" s="69"/>
      <c r="H690" s="69"/>
      <c r="I690" s="69"/>
      <c r="J690" s="69"/>
    </row>
    <row r="691" spans="4:10" s="64" customFormat="1" ht="12.000000">
      <c r="D691" s="69"/>
      <c r="E691" s="69"/>
      <c r="F691" s="69"/>
      <c r="G691" s="69"/>
      <c r="H691" s="69"/>
      <c r="I691" s="69"/>
      <c r="J691" s="69"/>
    </row>
    <row r="692" spans="4:10" s="64" customFormat="1" ht="12.000000">
      <c r="D692" s="69"/>
      <c r="E692" s="69"/>
      <c r="F692" s="69"/>
      <c r="G692" s="69"/>
      <c r="H692" s="69"/>
      <c r="I692" s="69"/>
      <c r="J692" s="69"/>
    </row>
    <row r="693" spans="4:10" s="64" customFormat="1" ht="12.000000">
      <c r="D693" s="69"/>
      <c r="E693" s="69"/>
      <c r="F693" s="69"/>
      <c r="G693" s="69"/>
      <c r="H693" s="69"/>
      <c r="I693" s="69"/>
      <c r="J693" s="69"/>
    </row>
    <row r="694" spans="4:10" s="64" customFormat="1" ht="12.000000">
      <c r="D694" s="69"/>
      <c r="E694" s="69"/>
      <c r="F694" s="69"/>
      <c r="G694" s="69"/>
      <c r="H694" s="69"/>
      <c r="I694" s="69"/>
      <c r="J694" s="69"/>
    </row>
    <row r="695" spans="4:10" s="64" customFormat="1" ht="12.000000">
      <c r="D695" s="69"/>
      <c r="E695" s="69"/>
      <c r="F695" s="69"/>
      <c r="G695" s="69"/>
      <c r="H695" s="69"/>
      <c r="I695" s="69"/>
      <c r="J695" s="69"/>
    </row>
    <row r="696" spans="4:10" s="64" customFormat="1" ht="12.000000">
      <c r="D696" s="69"/>
      <c r="E696" s="69"/>
      <c r="F696" s="69"/>
      <c r="G696" s="69"/>
      <c r="H696" s="69"/>
      <c r="I696" s="69"/>
      <c r="J696" s="69"/>
    </row>
    <row r="697" spans="4:10" s="64" customFormat="1" ht="12.000000">
      <c r="D697" s="69"/>
      <c r="E697" s="69"/>
      <c r="F697" s="69"/>
      <c r="G697" s="69"/>
      <c r="H697" s="69"/>
      <c r="I697" s="69"/>
      <c r="J697" s="69"/>
    </row>
    <row r="698" spans="4:10" s="64" customFormat="1" ht="12.000000">
      <c r="D698" s="69"/>
      <c r="E698" s="69"/>
      <c r="F698" s="69"/>
      <c r="G698" s="69"/>
      <c r="H698" s="69"/>
      <c r="I698" s="69"/>
      <c r="J698" s="69"/>
    </row>
    <row r="699" spans="4:10" s="64" customFormat="1" ht="12.000000">
      <c r="D699" s="69"/>
      <c r="E699" s="69"/>
      <c r="F699" s="69"/>
      <c r="G699" s="69"/>
      <c r="H699" s="69"/>
      <c r="I699" s="69"/>
      <c r="J699" s="69"/>
    </row>
    <row r="700" spans="4:10" s="64" customFormat="1" ht="12.000000">
      <c r="D700" s="69"/>
      <c r="E700" s="69"/>
      <c r="F700" s="69"/>
      <c r="G700" s="69"/>
      <c r="H700" s="69"/>
      <c r="I700" s="69"/>
      <c r="J700" s="69"/>
    </row>
    <row r="701" spans="4:10" s="64" customFormat="1" ht="12.000000">
      <c r="D701" s="69"/>
      <c r="E701" s="69"/>
      <c r="F701" s="69"/>
      <c r="G701" s="69"/>
      <c r="H701" s="69"/>
      <c r="I701" s="69"/>
      <c r="J701" s="69"/>
    </row>
    <row r="702" spans="4:10" s="64" customFormat="1" ht="12.000000">
      <c r="D702" s="69"/>
      <c r="E702" s="69"/>
      <c r="F702" s="69"/>
      <c r="G702" s="69"/>
      <c r="H702" s="69"/>
      <c r="I702" s="69"/>
      <c r="J702" s="69"/>
    </row>
    <row r="703" spans="4:10" s="64" customFormat="1" ht="12.000000">
      <c r="D703" s="69"/>
      <c r="E703" s="69"/>
      <c r="F703" s="69"/>
      <c r="G703" s="69"/>
      <c r="H703" s="69"/>
      <c r="I703" s="69"/>
      <c r="J703" s="69"/>
    </row>
    <row r="704" spans="4:10" s="64" customFormat="1" ht="12.000000">
      <c r="D704" s="69"/>
      <c r="E704" s="69"/>
      <c r="F704" s="69"/>
      <c r="G704" s="69"/>
      <c r="H704" s="69"/>
      <c r="I704" s="69"/>
      <c r="J704" s="69"/>
    </row>
    <row r="705" spans="4:10" s="64" customFormat="1" ht="12.000000">
      <c r="D705" s="69"/>
      <c r="E705" s="69"/>
      <c r="F705" s="69"/>
      <c r="G705" s="69"/>
      <c r="H705" s="69"/>
      <c r="I705" s="69"/>
      <c r="J705" s="69"/>
    </row>
    <row r="706" spans="4:10" s="64" customFormat="1" ht="12.000000">
      <c r="D706" s="69"/>
      <c r="E706" s="69"/>
      <c r="F706" s="69"/>
      <c r="G706" s="69"/>
      <c r="H706" s="69"/>
      <c r="I706" s="69"/>
      <c r="J706" s="69"/>
    </row>
    <row r="707" spans="4:10" s="64" customFormat="1" ht="12.000000">
      <c r="D707" s="69"/>
      <c r="E707" s="69"/>
      <c r="F707" s="69"/>
      <c r="G707" s="69"/>
      <c r="H707" s="69"/>
      <c r="I707" s="69"/>
      <c r="J707" s="69"/>
    </row>
    <row r="708" spans="4:10" s="64" customFormat="1" ht="12.000000">
      <c r="D708" s="69"/>
      <c r="E708" s="69"/>
      <c r="F708" s="69"/>
      <c r="G708" s="69"/>
      <c r="H708" s="69"/>
      <c r="I708" s="69"/>
      <c r="J708" s="69"/>
    </row>
    <row r="709" spans="4:10" s="64" customFormat="1" ht="12.000000">
      <c r="D709" s="69"/>
      <c r="E709" s="69"/>
      <c r="F709" s="69"/>
      <c r="G709" s="69"/>
      <c r="H709" s="69"/>
      <c r="I709" s="69"/>
      <c r="J709" s="69"/>
    </row>
    <row r="710" spans="4:10" s="64" customFormat="1" ht="12.000000">
      <c r="D710" s="69"/>
      <c r="E710" s="69"/>
      <c r="F710" s="69"/>
      <c r="G710" s="69"/>
      <c r="H710" s="69"/>
      <c r="I710" s="69"/>
      <c r="J710" s="69"/>
    </row>
    <row r="711" spans="4:10" s="64" customFormat="1" ht="12.000000">
      <c r="D711" s="69"/>
      <c r="E711" s="69"/>
      <c r="F711" s="69"/>
      <c r="G711" s="69"/>
      <c r="H711" s="69"/>
      <c r="I711" s="69"/>
      <c r="J711" s="69"/>
    </row>
    <row r="712" spans="4:10" s="64" customFormat="1" ht="12.000000">
      <c r="D712" s="69"/>
      <c r="E712" s="69"/>
      <c r="F712" s="69"/>
      <c r="G712" s="69"/>
      <c r="H712" s="69"/>
      <c r="I712" s="69"/>
      <c r="J712" s="69"/>
    </row>
    <row r="713" spans="4:10" s="64" customFormat="1" ht="12.000000">
      <c r="D713" s="69"/>
      <c r="E713" s="69"/>
      <c r="F713" s="69"/>
      <c r="G713" s="69"/>
      <c r="H713" s="69"/>
      <c r="I713" s="69"/>
      <c r="J713" s="69"/>
    </row>
    <row r="714" spans="4:10" s="64" customFormat="1" ht="12.000000">
      <c r="D714" s="69"/>
      <c r="E714" s="69"/>
      <c r="F714" s="69"/>
      <c r="G714" s="69"/>
      <c r="H714" s="69"/>
      <c r="I714" s="69"/>
      <c r="J714" s="69"/>
    </row>
    <row r="715" spans="4:10" s="64" customFormat="1" ht="12.000000">
      <c r="D715" s="69"/>
      <c r="E715" s="69"/>
      <c r="F715" s="69"/>
      <c r="G715" s="69"/>
      <c r="H715" s="69"/>
      <c r="I715" s="69"/>
      <c r="J715" s="69"/>
    </row>
    <row r="716" spans="4:10" s="64" customFormat="1" ht="12.000000">
      <c r="D716" s="69"/>
      <c r="E716" s="69"/>
      <c r="F716" s="69"/>
      <c r="G716" s="69"/>
      <c r="H716" s="69"/>
      <c r="I716" s="69"/>
      <c r="J716" s="69"/>
    </row>
    <row r="717" spans="4:10" s="64" customFormat="1" ht="12.000000">
      <c r="D717" s="69"/>
      <c r="E717" s="69"/>
      <c r="F717" s="69"/>
      <c r="G717" s="69"/>
      <c r="H717" s="69"/>
      <c r="I717" s="69"/>
      <c r="J717" s="69"/>
    </row>
    <row r="718" spans="4:10" s="64" customFormat="1" ht="12.000000">
      <c r="D718" s="69"/>
      <c r="E718" s="69"/>
      <c r="F718" s="69"/>
      <c r="G718" s="69"/>
      <c r="H718" s="69"/>
      <c r="I718" s="69"/>
      <c r="J718" s="69"/>
    </row>
    <row r="719" spans="4:10" s="64" customFormat="1" ht="12.000000">
      <c r="D719" s="69"/>
      <c r="E719" s="69"/>
      <c r="F719" s="69"/>
      <c r="G719" s="69"/>
      <c r="H719" s="69"/>
      <c r="I719" s="69"/>
      <c r="J719" s="69"/>
    </row>
    <row r="720" spans="4:10" s="64" customFormat="1" ht="12.000000">
      <c r="D720" s="69"/>
      <c r="E720" s="69"/>
      <c r="F720" s="69"/>
      <c r="G720" s="69"/>
      <c r="H720" s="69"/>
      <c r="I720" s="69"/>
      <c r="J720" s="69"/>
    </row>
    <row r="721" spans="4:10" s="64" customFormat="1" ht="12.000000">
      <c r="D721" s="69"/>
      <c r="E721" s="69"/>
      <c r="F721" s="69"/>
      <c r="G721" s="69"/>
      <c r="H721" s="69"/>
      <c r="I721" s="69"/>
      <c r="J721" s="69"/>
    </row>
    <row r="722" spans="4:10" s="64" customFormat="1" ht="12.000000">
      <c r="D722" s="69"/>
      <c r="E722" s="69"/>
      <c r="F722" s="69"/>
      <c r="G722" s="69"/>
      <c r="H722" s="69"/>
      <c r="I722" s="69"/>
      <c r="J722" s="69"/>
    </row>
    <row r="723" spans="4:10" s="64" customFormat="1" ht="12.000000">
      <c r="D723" s="69"/>
      <c r="E723" s="69"/>
      <c r="F723" s="69"/>
      <c r="G723" s="69"/>
      <c r="H723" s="69"/>
      <c r="I723" s="69"/>
      <c r="J723" s="69"/>
    </row>
    <row r="724" spans="4:10" s="64" customFormat="1" ht="12.000000">
      <c r="D724" s="69"/>
      <c r="E724" s="69"/>
      <c r="F724" s="69"/>
      <c r="G724" s="69"/>
      <c r="H724" s="69"/>
      <c r="I724" s="69"/>
      <c r="J724" s="69"/>
    </row>
    <row r="725" spans="4:10" s="64" customFormat="1" ht="12.000000">
      <c r="D725" s="69"/>
      <c r="E725" s="69"/>
      <c r="F725" s="69"/>
      <c r="G725" s="69"/>
      <c r="H725" s="69"/>
      <c r="I725" s="69"/>
      <c r="J725" s="69"/>
    </row>
    <row r="726" spans="4:10" s="64" customFormat="1" ht="12.000000">
      <c r="D726" s="69"/>
      <c r="E726" s="69"/>
      <c r="F726" s="69"/>
      <c r="G726" s="69"/>
      <c r="H726" s="69"/>
      <c r="I726" s="69"/>
      <c r="J726" s="69"/>
    </row>
    <row r="727" spans="4:10" s="64" customFormat="1" ht="12.000000">
      <c r="D727" s="69"/>
      <c r="E727" s="69"/>
      <c r="F727" s="69"/>
      <c r="G727" s="69"/>
      <c r="H727" s="69"/>
      <c r="I727" s="69"/>
      <c r="J727" s="69"/>
    </row>
    <row r="728" spans="4:10" s="64" customFormat="1" ht="12.000000">
      <c r="D728" s="69"/>
      <c r="E728" s="69"/>
      <c r="F728" s="69"/>
      <c r="G728" s="69"/>
      <c r="H728" s="69"/>
      <c r="I728" s="69"/>
      <c r="J728" s="69"/>
    </row>
    <row r="729" spans="4:10" s="64" customFormat="1" ht="12.000000">
      <c r="D729" s="69"/>
      <c r="E729" s="69"/>
      <c r="F729" s="69"/>
      <c r="G729" s="69"/>
      <c r="H729" s="69"/>
      <c r="I729" s="69"/>
      <c r="J729" s="69"/>
    </row>
    <row r="730" spans="4:10" s="64" customFormat="1" ht="12.000000">
      <c r="D730" s="69"/>
      <c r="E730" s="69"/>
      <c r="F730" s="69"/>
      <c r="G730" s="69"/>
      <c r="H730" s="69"/>
      <c r="I730" s="69"/>
      <c r="J730" s="69"/>
    </row>
    <row r="731" spans="4:10" s="64" customFormat="1" ht="12.000000">
      <c r="D731" s="69"/>
      <c r="E731" s="69"/>
      <c r="F731" s="69"/>
      <c r="G731" s="69"/>
      <c r="H731" s="69"/>
      <c r="I731" s="69"/>
      <c r="J731" s="69"/>
    </row>
    <row r="732" spans="4:10" s="64" customFormat="1" ht="12.000000">
      <c r="D732" s="69"/>
      <c r="E732" s="69"/>
      <c r="F732" s="69"/>
      <c r="G732" s="69"/>
      <c r="H732" s="69"/>
      <c r="I732" s="69"/>
      <c r="J732" s="69"/>
    </row>
    <row r="733" spans="4:10" s="64" customFormat="1" ht="12.000000">
      <c r="D733" s="69"/>
      <c r="E733" s="69"/>
      <c r="F733" s="69"/>
      <c r="G733" s="69"/>
      <c r="H733" s="69"/>
      <c r="I733" s="69"/>
      <c r="J733" s="69"/>
    </row>
    <row r="734" spans="4:10" s="64" customFormat="1" ht="12.000000">
      <c r="D734" s="69"/>
      <c r="E734" s="69"/>
      <c r="F734" s="69"/>
      <c r="G734" s="69"/>
      <c r="H734" s="69"/>
      <c r="I734" s="69"/>
      <c r="J734" s="69"/>
    </row>
    <row r="735" spans="4:10" s="64" customFormat="1" ht="12.000000">
      <c r="D735" s="69"/>
      <c r="E735" s="69"/>
      <c r="F735" s="69"/>
      <c r="G735" s="69"/>
      <c r="H735" s="69"/>
      <c r="I735" s="69"/>
      <c r="J735" s="69"/>
    </row>
    <row r="736" spans="4:10" s="64" customFormat="1" ht="12.000000">
      <c r="D736" s="69"/>
      <c r="E736" s="69"/>
      <c r="F736" s="69"/>
      <c r="G736" s="69"/>
      <c r="H736" s="69"/>
      <c r="I736" s="69"/>
      <c r="J736" s="69"/>
    </row>
    <row r="737" spans="4:10" s="64" customFormat="1" ht="12.000000">
      <c r="D737" s="69"/>
      <c r="E737" s="69"/>
      <c r="F737" s="69"/>
      <c r="G737" s="69"/>
      <c r="H737" s="69"/>
      <c r="I737" s="69"/>
      <c r="J737" s="69"/>
    </row>
    <row r="738" spans="4:10" s="64" customFormat="1" ht="12.000000">
      <c r="D738" s="69"/>
      <c r="E738" s="69"/>
      <c r="F738" s="69"/>
      <c r="G738" s="69"/>
      <c r="H738" s="69"/>
      <c r="I738" s="69"/>
      <c r="J738" s="69"/>
    </row>
    <row r="739" spans="4:10" s="64" customFormat="1" ht="12.000000">
      <c r="D739" s="69"/>
      <c r="E739" s="69"/>
      <c r="F739" s="69"/>
      <c r="G739" s="69"/>
      <c r="H739" s="69"/>
      <c r="I739" s="69"/>
      <c r="J739" s="69"/>
    </row>
    <row r="740" spans="4:10" s="64" customFormat="1" ht="12.000000">
      <c r="D740" s="69"/>
      <c r="E740" s="69"/>
      <c r="F740" s="69"/>
      <c r="G740" s="69"/>
      <c r="H740" s="69"/>
      <c r="I740" s="69"/>
      <c r="J740" s="69"/>
    </row>
    <row r="741" spans="4:10" s="64" customFormat="1" ht="12.000000">
      <c r="D741" s="69"/>
      <c r="E741" s="69"/>
      <c r="F741" s="69"/>
      <c r="G741" s="69"/>
      <c r="H741" s="69"/>
      <c r="I741" s="69"/>
      <c r="J741" s="69"/>
    </row>
    <row r="742" spans="4:10" s="64" customFormat="1" ht="12.000000">
      <c r="D742" s="69"/>
      <c r="E742" s="69"/>
      <c r="F742" s="69"/>
      <c r="G742" s="69"/>
      <c r="H742" s="69"/>
      <c r="I742" s="69"/>
      <c r="J742" s="69"/>
    </row>
    <row r="743" spans="4:10" s="64" customFormat="1" ht="12.000000">
      <c r="D743" s="69"/>
      <c r="E743" s="69"/>
      <c r="F743" s="69"/>
      <c r="G743" s="69"/>
      <c r="H743" s="69"/>
      <c r="I743" s="69"/>
      <c r="J743" s="69"/>
    </row>
    <row r="744" spans="4:10" s="64" customFormat="1" ht="12.000000">
      <c r="D744" s="69"/>
      <c r="E744" s="69"/>
      <c r="F744" s="69"/>
      <c r="G744" s="69"/>
      <c r="H744" s="69"/>
      <c r="I744" s="69"/>
      <c r="J744" s="69"/>
    </row>
    <row r="745" spans="4:10" s="64" customFormat="1" ht="12.000000">
      <c r="D745" s="69"/>
      <c r="E745" s="69"/>
      <c r="F745" s="69"/>
      <c r="G745" s="69"/>
      <c r="H745" s="69"/>
      <c r="I745" s="69"/>
      <c r="J745" s="69"/>
    </row>
    <row r="746" spans="4:10" s="64" customFormat="1" ht="12.000000">
      <c r="D746" s="69"/>
      <c r="E746" s="69"/>
      <c r="F746" s="69"/>
      <c r="G746" s="69"/>
      <c r="H746" s="69"/>
      <c r="I746" s="69"/>
      <c r="J746" s="69"/>
    </row>
    <row r="747" spans="4:10" s="64" customFormat="1" ht="12.000000">
      <c r="D747" s="69"/>
      <c r="E747" s="69"/>
      <c r="F747" s="69"/>
      <c r="G747" s="69"/>
      <c r="H747" s="69"/>
      <c r="I747" s="69"/>
      <c r="J747" s="69"/>
    </row>
    <row r="748" spans="4:10" s="64" customFormat="1" ht="12.000000">
      <c r="D748" s="69"/>
      <c r="E748" s="69"/>
      <c r="F748" s="69"/>
      <c r="G748" s="69"/>
      <c r="H748" s="69"/>
      <c r="I748" s="69"/>
      <c r="J748" s="69"/>
    </row>
    <row r="749" spans="4:10" s="64" customFormat="1" ht="12.000000">
      <c r="D749" s="69"/>
      <c r="E749" s="69"/>
      <c r="F749" s="69"/>
      <c r="G749" s="69"/>
      <c r="H749" s="69"/>
      <c r="I749" s="69"/>
      <c r="J749" s="69"/>
    </row>
    <row r="750" spans="4:10" s="64" customFormat="1" ht="12.000000">
      <c r="D750" s="69"/>
      <c r="E750" s="69"/>
      <c r="F750" s="69"/>
      <c r="G750" s="69"/>
      <c r="H750" s="69"/>
      <c r="I750" s="69"/>
      <c r="J750" s="69"/>
    </row>
    <row r="751" spans="4:10" s="64" customFormat="1" ht="12.000000">
      <c r="D751" s="69"/>
      <c r="E751" s="69"/>
      <c r="F751" s="69"/>
      <c r="G751" s="69"/>
      <c r="H751" s="69"/>
      <c r="I751" s="69"/>
      <c r="J751" s="69"/>
    </row>
    <row r="752" spans="4:10" s="64" customFormat="1" ht="12.000000">
      <c r="D752" s="69"/>
      <c r="E752" s="69"/>
      <c r="F752" s="69"/>
      <c r="G752" s="69"/>
      <c r="H752" s="69"/>
      <c r="I752" s="69"/>
      <c r="J752" s="69"/>
    </row>
    <row r="753" spans="4:10" s="64" customFormat="1" ht="12.000000">
      <c r="D753" s="69"/>
      <c r="E753" s="69"/>
      <c r="F753" s="69"/>
      <c r="G753" s="69"/>
      <c r="H753" s="69"/>
      <c r="I753" s="69"/>
      <c r="J753" s="69"/>
    </row>
    <row r="754" spans="4:10" s="64" customFormat="1" ht="12.000000">
      <c r="D754" s="69"/>
      <c r="E754" s="69"/>
      <c r="F754" s="69"/>
      <c r="G754" s="69"/>
      <c r="H754" s="69"/>
      <c r="I754" s="69"/>
      <c r="J754" s="69"/>
    </row>
    <row r="755" spans="4:10" s="64" customFormat="1" ht="12.000000">
      <c r="D755" s="69"/>
      <c r="E755" s="69"/>
      <c r="F755" s="69"/>
      <c r="G755" s="69"/>
      <c r="H755" s="69"/>
      <c r="I755" s="69"/>
      <c r="J755" s="69"/>
    </row>
    <row r="756" spans="4:10" s="64" customFormat="1" ht="12.000000">
      <c r="D756" s="69"/>
      <c r="E756" s="69"/>
      <c r="F756" s="69"/>
      <c r="G756" s="69"/>
      <c r="H756" s="69"/>
      <c r="I756" s="69"/>
      <c r="J756" s="69"/>
    </row>
    <row r="757" spans="4:10" s="64" customFormat="1" ht="12.000000">
      <c r="D757" s="69"/>
      <c r="E757" s="69"/>
      <c r="F757" s="69"/>
      <c r="G757" s="69"/>
      <c r="H757" s="69"/>
      <c r="I757" s="69"/>
      <c r="J757" s="69"/>
    </row>
    <row r="758" spans="4:10" s="64" customFormat="1" ht="12.000000">
      <c r="D758" s="69"/>
      <c r="E758" s="69"/>
      <c r="F758" s="69"/>
      <c r="G758" s="69"/>
      <c r="H758" s="69"/>
      <c r="I758" s="69"/>
      <c r="J758" s="69"/>
    </row>
    <row r="759" spans="4:10" s="64" customFormat="1" ht="12.000000">
      <c r="D759" s="69"/>
      <c r="E759" s="69"/>
      <c r="F759" s="69"/>
      <c r="G759" s="69"/>
      <c r="H759" s="69"/>
      <c r="I759" s="69"/>
      <c r="J759" s="69"/>
    </row>
    <row r="760" spans="4:10" s="64" customFormat="1" ht="12.000000">
      <c r="D760" s="69"/>
      <c r="E760" s="69"/>
      <c r="F760" s="69"/>
      <c r="G760" s="69"/>
      <c r="H760" s="69"/>
      <c r="I760" s="69"/>
      <c r="J760" s="69"/>
    </row>
    <row r="761" spans="4:10" s="64" customFormat="1" ht="12.000000">
      <c r="D761" s="69"/>
      <c r="E761" s="69"/>
      <c r="F761" s="69"/>
      <c r="G761" s="69"/>
      <c r="H761" s="69"/>
      <c r="I761" s="69"/>
      <c r="J761" s="69"/>
    </row>
    <row r="762" spans="4:10" s="64" customFormat="1" ht="12.000000">
      <c r="D762" s="69"/>
      <c r="E762" s="69"/>
      <c r="F762" s="69"/>
      <c r="G762" s="69"/>
      <c r="H762" s="69"/>
      <c r="I762" s="69"/>
      <c r="J762" s="69"/>
    </row>
    <row r="763" spans="4:10" s="64" customFormat="1" ht="12.000000">
      <c r="D763" s="69"/>
      <c r="E763" s="69"/>
      <c r="F763" s="69"/>
      <c r="G763" s="69"/>
      <c r="H763" s="69"/>
      <c r="I763" s="69"/>
      <c r="J763" s="69"/>
    </row>
    <row r="764" spans="4:10" s="64" customFormat="1" ht="12.000000">
      <c r="D764" s="69"/>
      <c r="E764" s="69"/>
      <c r="F764" s="69"/>
      <c r="G764" s="69"/>
      <c r="H764" s="69"/>
      <c r="I764" s="69"/>
      <c r="J764" s="69"/>
    </row>
    <row r="765" spans="4:10" s="64" customFormat="1" ht="12.000000">
      <c r="D765" s="69"/>
      <c r="E765" s="69"/>
      <c r="F765" s="69"/>
      <c r="G765" s="69"/>
      <c r="H765" s="69"/>
      <c r="I765" s="69"/>
      <c r="J765" s="69"/>
    </row>
    <row r="766" spans="4:10" s="64" customFormat="1" ht="12.000000">
      <c r="D766" s="69"/>
      <c r="E766" s="69"/>
      <c r="F766" s="69"/>
      <c r="G766" s="69"/>
      <c r="H766" s="69"/>
      <c r="I766" s="69"/>
      <c r="J766" s="69"/>
    </row>
    <row r="767" spans="4:10" s="64" customFormat="1" ht="12.000000">
      <c r="D767" s="69"/>
      <c r="E767" s="69"/>
      <c r="F767" s="69"/>
      <c r="G767" s="69"/>
      <c r="H767" s="69"/>
      <c r="I767" s="69"/>
      <c r="J767" s="69"/>
    </row>
    <row r="768" spans="4:10" s="64" customFormat="1" ht="12.000000">
      <c r="D768" s="69"/>
      <c r="E768" s="69"/>
      <c r="F768" s="69"/>
      <c r="G768" s="69"/>
      <c r="H768" s="69"/>
      <c r="I768" s="69"/>
      <c r="J768" s="69"/>
    </row>
    <row r="769" spans="4:10" s="64" customFormat="1" ht="12.000000">
      <c r="D769" s="69"/>
      <c r="E769" s="69"/>
      <c r="F769" s="69"/>
      <c r="G769" s="69"/>
      <c r="H769" s="69"/>
      <c r="I769" s="69"/>
      <c r="J769" s="69"/>
    </row>
    <row r="770" spans="4:10" s="64" customFormat="1" ht="12.000000">
      <c r="D770" s="69"/>
      <c r="E770" s="69"/>
      <c r="F770" s="69"/>
      <c r="G770" s="69"/>
      <c r="H770" s="69"/>
      <c r="I770" s="69"/>
      <c r="J770" s="69"/>
    </row>
    <row r="771" spans="4:10" s="64" customFormat="1" ht="12.000000">
      <c r="D771" s="69"/>
      <c r="E771" s="69"/>
      <c r="F771" s="69"/>
      <c r="G771" s="69"/>
      <c r="H771" s="69"/>
      <c r="I771" s="69"/>
      <c r="J771" s="69"/>
    </row>
    <row r="772" spans="4:10" s="64" customFormat="1" ht="12.000000">
      <c r="D772" s="69"/>
      <c r="E772" s="69"/>
      <c r="F772" s="69"/>
      <c r="G772" s="69"/>
      <c r="H772" s="69"/>
      <c r="I772" s="69"/>
      <c r="J772" s="69"/>
    </row>
    <row r="773" spans="4:10" s="64" customFormat="1" ht="12.000000">
      <c r="D773" s="69"/>
      <c r="E773" s="69"/>
      <c r="F773" s="69"/>
      <c r="G773" s="69"/>
      <c r="H773" s="69"/>
      <c r="I773" s="69"/>
      <c r="J773" s="69"/>
    </row>
    <row r="774" spans="4:10" s="64" customFormat="1" ht="12.000000">
      <c r="D774" s="69"/>
      <c r="E774" s="69"/>
      <c r="F774" s="69"/>
      <c r="G774" s="69"/>
      <c r="H774" s="69"/>
      <c r="I774" s="69"/>
      <c r="J774" s="69"/>
    </row>
    <row r="775" spans="4:10" s="64" customFormat="1" ht="12.000000">
      <c r="D775" s="69"/>
      <c r="E775" s="69"/>
      <c r="F775" s="69"/>
      <c r="G775" s="69"/>
      <c r="H775" s="69"/>
      <c r="I775" s="69"/>
      <c r="J775" s="69"/>
    </row>
    <row r="776" spans="4:10" s="64" customFormat="1" ht="12.000000">
      <c r="D776" s="69"/>
      <c r="E776" s="69"/>
      <c r="F776" s="69"/>
      <c r="G776" s="69"/>
      <c r="H776" s="69"/>
      <c r="I776" s="69"/>
      <c r="J776" s="69"/>
    </row>
    <row r="777" spans="4:10" s="64" customFormat="1" ht="12.000000">
      <c r="D777" s="69"/>
      <c r="E777" s="69"/>
      <c r="F777" s="69"/>
      <c r="G777" s="69"/>
      <c r="H777" s="69"/>
      <c r="I777" s="69"/>
      <c r="J777" s="69"/>
    </row>
    <row r="778" spans="4:10" s="64" customFormat="1" ht="12.000000">
      <c r="D778" s="69"/>
      <c r="E778" s="69"/>
      <c r="F778" s="69"/>
      <c r="G778" s="69"/>
      <c r="H778" s="69"/>
      <c r="I778" s="69"/>
      <c r="J778" s="69"/>
    </row>
    <row r="779" spans="4:10" s="64" customFormat="1" ht="12.000000">
      <c r="D779" s="69"/>
      <c r="E779" s="69"/>
      <c r="F779" s="69"/>
      <c r="G779" s="69"/>
      <c r="H779" s="69"/>
      <c r="I779" s="69"/>
      <c r="J779" s="69"/>
    </row>
    <row r="780" spans="4:10" s="64" customFormat="1" ht="12.000000">
      <c r="D780" s="69"/>
      <c r="E780" s="69"/>
      <c r="F780" s="69"/>
      <c r="G780" s="69"/>
      <c r="H780" s="69"/>
      <c r="I780" s="69"/>
      <c r="J780" s="69"/>
    </row>
    <row r="781" spans="4:10" s="64" customFormat="1" ht="12.000000">
      <c r="D781" s="69"/>
      <c r="E781" s="69"/>
      <c r="F781" s="69"/>
      <c r="G781" s="69"/>
      <c r="H781" s="69"/>
      <c r="I781" s="69"/>
      <c r="J781" s="69"/>
    </row>
    <row r="782" spans="4:10" s="64" customFormat="1" ht="12.000000">
      <c r="D782" s="69"/>
      <c r="E782" s="69"/>
      <c r="F782" s="69"/>
      <c r="G782" s="69"/>
      <c r="H782" s="69"/>
      <c r="I782" s="69"/>
      <c r="J782" s="69"/>
    </row>
    <row r="783" spans="4:10" s="64" customFormat="1" ht="12.000000">
      <c r="D783" s="69"/>
      <c r="E783" s="69"/>
      <c r="F783" s="69"/>
      <c r="G783" s="69"/>
      <c r="H783" s="69"/>
      <c r="I783" s="69"/>
      <c r="J783" s="69"/>
    </row>
    <row r="784" spans="4:10" s="64" customFormat="1" ht="12.000000">
      <c r="D784" s="69"/>
      <c r="E784" s="69"/>
      <c r="F784" s="69"/>
      <c r="G784" s="69"/>
      <c r="H784" s="69"/>
      <c r="I784" s="69"/>
      <c r="J784" s="69"/>
    </row>
    <row r="785" spans="4:10" s="64" customFormat="1" ht="12.000000">
      <c r="D785" s="69"/>
      <c r="E785" s="69"/>
      <c r="F785" s="69"/>
      <c r="G785" s="69"/>
      <c r="H785" s="69"/>
      <c r="I785" s="69"/>
      <c r="J785" s="69"/>
    </row>
    <row r="786" spans="4:10" s="64" customFormat="1" ht="12.000000">
      <c r="D786" s="69"/>
      <c r="E786" s="69"/>
      <c r="F786" s="69"/>
      <c r="G786" s="69"/>
      <c r="H786" s="69"/>
      <c r="I786" s="69"/>
      <c r="J786" s="69"/>
    </row>
    <row r="787" spans="4:10" s="64" customFormat="1" ht="12.000000">
      <c r="D787" s="69"/>
      <c r="E787" s="69"/>
      <c r="F787" s="69"/>
      <c r="G787" s="69"/>
      <c r="H787" s="69"/>
      <c r="I787" s="69"/>
      <c r="J787" s="69"/>
    </row>
    <row r="788" spans="4:10" s="64" customFormat="1" ht="12.000000">
      <c r="D788" s="69"/>
      <c r="E788" s="69"/>
      <c r="F788" s="69"/>
      <c r="G788" s="69"/>
      <c r="H788" s="69"/>
      <c r="I788" s="69"/>
      <c r="J788" s="69"/>
    </row>
    <row r="789" spans="4:10" s="64" customFormat="1" ht="12.000000">
      <c r="D789" s="69"/>
      <c r="E789" s="69"/>
      <c r="F789" s="69"/>
      <c r="G789" s="69"/>
      <c r="H789" s="69"/>
      <c r="I789" s="69"/>
      <c r="J789" s="69"/>
    </row>
    <row r="790" spans="4:10" s="64" customFormat="1" ht="12.000000">
      <c r="D790" s="69"/>
      <c r="E790" s="69"/>
      <c r="F790" s="69"/>
      <c r="G790" s="69"/>
      <c r="H790" s="69"/>
      <c r="I790" s="69"/>
      <c r="J790" s="69"/>
    </row>
    <row r="791" spans="4:10" s="64" customFormat="1" ht="12.000000">
      <c r="D791" s="69"/>
      <c r="E791" s="69"/>
      <c r="F791" s="69"/>
      <c r="G791" s="69"/>
      <c r="H791" s="69"/>
      <c r="I791" s="69"/>
      <c r="J791" s="69"/>
    </row>
    <row r="792" spans="4:10" s="64" customFormat="1" ht="12.000000">
      <c r="D792" s="69"/>
      <c r="E792" s="69"/>
      <c r="F792" s="69"/>
      <c r="G792" s="69"/>
      <c r="H792" s="69"/>
      <c r="I792" s="69"/>
      <c r="J792" s="69"/>
    </row>
    <row r="793" spans="4:10" s="64" customFormat="1" ht="12.000000">
      <c r="D793" s="69"/>
      <c r="E793" s="69"/>
      <c r="F793" s="69"/>
      <c r="G793" s="69"/>
      <c r="H793" s="69"/>
      <c r="I793" s="69"/>
      <c r="J793" s="69"/>
    </row>
    <row r="794" spans="4:10" s="64" customFormat="1" ht="12.000000">
      <c r="D794" s="69"/>
      <c r="E794" s="69"/>
      <c r="F794" s="69"/>
      <c r="G794" s="69"/>
      <c r="H794" s="69"/>
      <c r="I794" s="69"/>
      <c r="J794" s="69"/>
    </row>
    <row r="795" spans="4:10" s="64" customFormat="1" ht="12.000000">
      <c r="D795" s="69"/>
      <c r="E795" s="69"/>
      <c r="F795" s="69"/>
      <c r="G795" s="69"/>
      <c r="H795" s="69"/>
      <c r="I795" s="69"/>
      <c r="J795" s="69"/>
    </row>
    <row r="796" spans="4:10" s="64" customFormat="1" ht="12.000000">
      <c r="D796" s="69"/>
      <c r="E796" s="69"/>
      <c r="F796" s="69"/>
      <c r="G796" s="69"/>
      <c r="H796" s="69"/>
      <c r="I796" s="69"/>
      <c r="J796" s="69"/>
    </row>
    <row r="797" spans="4:10" s="64" customFormat="1" ht="12.000000">
      <c r="D797" s="69"/>
      <c r="E797" s="69"/>
      <c r="F797" s="69"/>
      <c r="G797" s="69"/>
      <c r="H797" s="69"/>
      <c r="I797" s="69"/>
      <c r="J797" s="69"/>
    </row>
    <row r="798" spans="4:10" s="64" customFormat="1" ht="12.000000">
      <c r="D798" s="69"/>
      <c r="E798" s="69"/>
      <c r="F798" s="69"/>
      <c r="G798" s="69"/>
      <c r="H798" s="69"/>
      <c r="I798" s="69"/>
      <c r="J798" s="69"/>
    </row>
    <row r="799" spans="4:10" s="64" customFormat="1" ht="12.000000">
      <c r="D799" s="69"/>
      <c r="E799" s="69"/>
      <c r="F799" s="69"/>
      <c r="G799" s="69"/>
      <c r="H799" s="69"/>
      <c r="I799" s="69"/>
      <c r="J799" s="69"/>
    </row>
    <row r="800" spans="4:10" s="64" customFormat="1" ht="12.000000">
      <c r="D800" s="69"/>
      <c r="E800" s="69"/>
      <c r="F800" s="69"/>
      <c r="G800" s="69"/>
      <c r="H800" s="69"/>
      <c r="I800" s="69"/>
      <c r="J800" s="69"/>
    </row>
    <row r="801" spans="4:10" s="64" customFormat="1" ht="12.000000">
      <c r="D801" s="69"/>
      <c r="E801" s="69"/>
      <c r="F801" s="69"/>
      <c r="G801" s="69"/>
      <c r="H801" s="69"/>
      <c r="I801" s="69"/>
      <c r="J801" s="69"/>
    </row>
    <row r="802" spans="4:10" s="64" customFormat="1" ht="12.000000">
      <c r="D802" s="69"/>
      <c r="E802" s="69"/>
      <c r="F802" s="69"/>
      <c r="G802" s="69"/>
      <c r="H802" s="69"/>
      <c r="I802" s="69"/>
      <c r="J802" s="69"/>
    </row>
    <row r="803" spans="4:10" s="64" customFormat="1" ht="12.000000">
      <c r="D803" s="69"/>
      <c r="E803" s="69"/>
      <c r="F803" s="69"/>
      <c r="G803" s="69"/>
      <c r="H803" s="69"/>
      <c r="I803" s="69"/>
      <c r="J803" s="69"/>
    </row>
    <row r="804" spans="4:10" s="64" customFormat="1" ht="12.000000">
      <c r="D804" s="69"/>
      <c r="E804" s="69"/>
      <c r="F804" s="69"/>
      <c r="G804" s="69"/>
      <c r="H804" s="69"/>
      <c r="I804" s="69"/>
      <c r="J804" s="69"/>
    </row>
    <row r="805" spans="4:10" s="64" customFormat="1" ht="12.000000">
      <c r="D805" s="69"/>
      <c r="E805" s="69"/>
      <c r="F805" s="69"/>
      <c r="G805" s="69"/>
      <c r="H805" s="69"/>
      <c r="I805" s="69"/>
      <c r="J805" s="69"/>
    </row>
    <row r="806" spans="4:10" s="64" customFormat="1" ht="12.000000">
      <c r="D806" s="69"/>
      <c r="E806" s="69"/>
      <c r="F806" s="69"/>
      <c r="G806" s="69"/>
      <c r="H806" s="69"/>
      <c r="I806" s="69"/>
      <c r="J806" s="69"/>
    </row>
    <row r="807" spans="4:10" s="64" customFormat="1" ht="12.000000">
      <c r="D807" s="69"/>
      <c r="E807" s="69"/>
      <c r="F807" s="69"/>
      <c r="G807" s="69"/>
      <c r="H807" s="69"/>
      <c r="I807" s="69"/>
      <c r="J807" s="69"/>
    </row>
    <row r="808" spans="4:10" s="64" customFormat="1" ht="12.000000">
      <c r="D808" s="69"/>
      <c r="E808" s="69"/>
      <c r="F808" s="69"/>
      <c r="G808" s="69"/>
      <c r="H808" s="69"/>
      <c r="I808" s="69"/>
      <c r="J808" s="69"/>
    </row>
    <row r="809" spans="4:10" s="64" customFormat="1" ht="12.000000">
      <c r="D809" s="69"/>
      <c r="E809" s="69"/>
      <c r="F809" s="69"/>
      <c r="G809" s="69"/>
      <c r="H809" s="69"/>
      <c r="I809" s="69"/>
      <c r="J809" s="69"/>
    </row>
    <row r="810" spans="4:10" s="64" customFormat="1" ht="12.000000">
      <c r="D810" s="69"/>
      <c r="E810" s="69"/>
      <c r="F810" s="69"/>
      <c r="G810" s="69"/>
      <c r="H810" s="69"/>
      <c r="I810" s="69"/>
      <c r="J810" s="69"/>
    </row>
    <row r="811" spans="4:10" s="64" customFormat="1" ht="12.000000">
      <c r="D811" s="69"/>
      <c r="E811" s="69"/>
      <c r="F811" s="69"/>
      <c r="G811" s="69"/>
      <c r="H811" s="69"/>
      <c r="I811" s="69"/>
      <c r="J811" s="69"/>
    </row>
    <row r="812" spans="4:10" s="64" customFormat="1" ht="12.000000">
      <c r="D812" s="69"/>
      <c r="E812" s="69"/>
      <c r="F812" s="69"/>
      <c r="G812" s="69"/>
      <c r="H812" s="69"/>
      <c r="I812" s="69"/>
      <c r="J812" s="69"/>
    </row>
    <row r="813" spans="4:10" s="64" customFormat="1" ht="12.000000">
      <c r="D813" s="69"/>
      <c r="E813" s="69"/>
      <c r="F813" s="69"/>
      <c r="G813" s="69"/>
      <c r="H813" s="69"/>
      <c r="I813" s="69"/>
      <c r="J813" s="69"/>
    </row>
    <row r="814" spans="4:10" s="64" customFormat="1" ht="12.000000">
      <c r="D814" s="69"/>
      <c r="E814" s="69"/>
      <c r="F814" s="69"/>
      <c r="G814" s="69"/>
      <c r="H814" s="69"/>
      <c r="I814" s="69"/>
      <c r="J814" s="69"/>
    </row>
    <row r="815" spans="4:10" s="64" customFormat="1" ht="12.000000">
      <c r="D815" s="69"/>
      <c r="E815" s="69"/>
      <c r="F815" s="69"/>
      <c r="G815" s="69"/>
      <c r="H815" s="69"/>
      <c r="I815" s="69"/>
      <c r="J815" s="69"/>
    </row>
    <row r="816" spans="4:10" s="64" customFormat="1" ht="12.000000">
      <c r="D816" s="69"/>
      <c r="E816" s="69"/>
      <c r="F816" s="69"/>
      <c r="G816" s="69"/>
      <c r="H816" s="69"/>
      <c r="I816" s="69"/>
      <c r="J816" s="69"/>
    </row>
    <row r="817" spans="4:10" s="64" customFormat="1" ht="12.000000">
      <c r="D817" s="69"/>
      <c r="E817" s="69"/>
      <c r="F817" s="69"/>
      <c r="G817" s="69"/>
      <c r="H817" s="69"/>
      <c r="I817" s="69"/>
      <c r="J817" s="69"/>
    </row>
    <row r="818" spans="4:10" s="64" customFormat="1" ht="12.000000">
      <c r="D818" s="69"/>
      <c r="E818" s="69"/>
      <c r="F818" s="69"/>
      <c r="G818" s="69"/>
      <c r="H818" s="69"/>
      <c r="I818" s="69"/>
      <c r="J818" s="69"/>
    </row>
    <row r="819" spans="4:10" s="64" customFormat="1" ht="12.000000">
      <c r="D819" s="69"/>
      <c r="E819" s="69"/>
      <c r="F819" s="69"/>
      <c r="G819" s="69"/>
      <c r="H819" s="69"/>
      <c r="I819" s="69"/>
      <c r="J819" s="69"/>
    </row>
    <row r="820" spans="4:10" s="64" customFormat="1" ht="12.000000">
      <c r="D820" s="69"/>
      <c r="E820" s="69"/>
      <c r="F820" s="69"/>
      <c r="G820" s="69"/>
      <c r="H820" s="69"/>
      <c r="I820" s="69"/>
      <c r="J820" s="69"/>
    </row>
    <row r="821" spans="4:10" s="64" customFormat="1" ht="12.000000">
      <c r="D821" s="69"/>
      <c r="E821" s="69"/>
      <c r="F821" s="69"/>
      <c r="G821" s="69"/>
      <c r="H821" s="69"/>
      <c r="I821" s="69"/>
      <c r="J821" s="69"/>
    </row>
    <row r="822" spans="4:10" s="64" customFormat="1" ht="12.000000">
      <c r="D822" s="69"/>
      <c r="E822" s="69"/>
      <c r="F822" s="69"/>
      <c r="G822" s="69"/>
      <c r="H822" s="69"/>
      <c r="I822" s="69"/>
      <c r="J822" s="69"/>
    </row>
    <row r="823" spans="4:10" s="64" customFormat="1" ht="12.000000">
      <c r="D823" s="69"/>
      <c r="E823" s="69"/>
      <c r="F823" s="69"/>
      <c r="G823" s="69"/>
      <c r="H823" s="69"/>
      <c r="I823" s="69"/>
      <c r="J823" s="69"/>
    </row>
    <row r="824" spans="4:10" s="64" customFormat="1" ht="12.000000">
      <c r="D824" s="69"/>
      <c r="E824" s="69"/>
      <c r="F824" s="69"/>
      <c r="G824" s="69"/>
      <c r="H824" s="69"/>
      <c r="I824" s="69"/>
      <c r="J824" s="69"/>
    </row>
    <row r="825" spans="4:10" s="64" customFormat="1" ht="12.000000">
      <c r="D825" s="69"/>
      <c r="E825" s="69"/>
      <c r="F825" s="69"/>
      <c r="G825" s="69"/>
      <c r="H825" s="69"/>
      <c r="I825" s="69"/>
      <c r="J825" s="69"/>
    </row>
    <row r="826" spans="4:10" s="64" customFormat="1" ht="12.000000">
      <c r="D826" s="69"/>
      <c r="E826" s="69"/>
      <c r="F826" s="69"/>
      <c r="G826" s="69"/>
      <c r="H826" s="69"/>
      <c r="I826" s="69"/>
      <c r="J826" s="69"/>
    </row>
    <row r="827" spans="4:10" s="64" customFormat="1" ht="12.000000">
      <c r="D827" s="69"/>
      <c r="E827" s="69"/>
      <c r="F827" s="69"/>
      <c r="G827" s="69"/>
      <c r="H827" s="69"/>
      <c r="I827" s="69"/>
      <c r="J827" s="69"/>
    </row>
    <row r="828" spans="4:10" s="64" customFormat="1" ht="12.000000">
      <c r="D828" s="69"/>
      <c r="E828" s="69"/>
      <c r="F828" s="69"/>
      <c r="G828" s="69"/>
      <c r="H828" s="69"/>
      <c r="I828" s="69"/>
      <c r="J828" s="69"/>
    </row>
    <row r="829" spans="4:10" s="64" customFormat="1" ht="12.000000">
      <c r="D829" s="69"/>
      <c r="E829" s="69"/>
      <c r="F829" s="69"/>
      <c r="G829" s="69"/>
      <c r="H829" s="69"/>
      <c r="I829" s="69"/>
      <c r="J829" s="69"/>
    </row>
    <row r="830" spans="4:10" s="64" customFormat="1" ht="12.000000">
      <c r="D830" s="69"/>
      <c r="E830" s="69"/>
      <c r="F830" s="69"/>
      <c r="G830" s="69"/>
      <c r="H830" s="69"/>
      <c r="I830" s="69"/>
      <c r="J830" s="69"/>
    </row>
    <row r="831" spans="4:10" s="64" customFormat="1" ht="12.000000">
      <c r="D831" s="69"/>
      <c r="E831" s="69"/>
      <c r="F831" s="69"/>
      <c r="G831" s="69"/>
      <c r="H831" s="69"/>
      <c r="I831" s="69"/>
      <c r="J831" s="69"/>
    </row>
    <row r="832" spans="4:10" s="64" customFormat="1" ht="12.000000">
      <c r="D832" s="69"/>
      <c r="E832" s="69"/>
      <c r="F832" s="69"/>
      <c r="G832" s="69"/>
      <c r="H832" s="69"/>
      <c r="I832" s="69"/>
      <c r="J832" s="69"/>
    </row>
    <row r="833" spans="4:10" s="64" customFormat="1" ht="12.000000">
      <c r="D833" s="69"/>
      <c r="E833" s="69"/>
      <c r="F833" s="69"/>
      <c r="G833" s="69"/>
      <c r="H833" s="69"/>
      <c r="I833" s="69"/>
      <c r="J833" s="69"/>
    </row>
    <row r="834" spans="4:10" s="64" customFormat="1" ht="12.000000">
      <c r="D834" s="69"/>
      <c r="E834" s="69"/>
      <c r="F834" s="69"/>
      <c r="G834" s="69"/>
      <c r="H834" s="69"/>
      <c r="I834" s="69"/>
      <c r="J834" s="69"/>
    </row>
    <row r="835" spans="4:10" s="64" customFormat="1" ht="12.000000">
      <c r="D835" s="69"/>
      <c r="E835" s="69"/>
      <c r="F835" s="69"/>
      <c r="G835" s="69"/>
      <c r="H835" s="69"/>
      <c r="I835" s="69"/>
      <c r="J835" s="69"/>
    </row>
    <row r="836" spans="4:10" s="64" customFormat="1" ht="12.000000">
      <c r="D836" s="69"/>
      <c r="E836" s="69"/>
      <c r="F836" s="69"/>
      <c r="G836" s="69"/>
      <c r="H836" s="69"/>
      <c r="I836" s="69"/>
      <c r="J836" s="69"/>
    </row>
    <row r="837" spans="4:10" s="64" customFormat="1" ht="12.000000">
      <c r="D837" s="69"/>
      <c r="E837" s="69"/>
      <c r="F837" s="69"/>
      <c r="G837" s="69"/>
      <c r="H837" s="69"/>
      <c r="I837" s="69"/>
      <c r="J837" s="69"/>
    </row>
    <row r="838" spans="4:10" s="64" customFormat="1" ht="12.000000">
      <c r="D838" s="69"/>
      <c r="E838" s="69"/>
      <c r="F838" s="69"/>
      <c r="G838" s="69"/>
      <c r="H838" s="69"/>
      <c r="I838" s="69"/>
      <c r="J838" s="69"/>
    </row>
    <row r="839" spans="4:10" s="64" customFormat="1" ht="12.000000">
      <c r="D839" s="69"/>
      <c r="E839" s="69"/>
      <c r="F839" s="69"/>
      <c r="G839" s="69"/>
      <c r="H839" s="69"/>
      <c r="I839" s="69"/>
      <c r="J839" s="69"/>
    </row>
    <row r="840" spans="4:10" s="64" customFormat="1" ht="12.000000">
      <c r="D840" s="69"/>
      <c r="E840" s="69"/>
      <c r="F840" s="69"/>
      <c r="G840" s="69"/>
      <c r="H840" s="69"/>
      <c r="I840" s="69"/>
      <c r="J840" s="69"/>
    </row>
    <row r="841" spans="4:10" s="64" customFormat="1" ht="12.000000">
      <c r="D841" s="69"/>
      <c r="E841" s="69"/>
      <c r="F841" s="69"/>
      <c r="G841" s="69"/>
      <c r="H841" s="69"/>
      <c r="I841" s="69"/>
      <c r="J841" s="69"/>
    </row>
    <row r="842" spans="4:10" s="64" customFormat="1" ht="12.000000">
      <c r="D842" s="69"/>
      <c r="E842" s="69"/>
      <c r="F842" s="69"/>
      <c r="G842" s="69"/>
      <c r="H842" s="69"/>
      <c r="I842" s="69"/>
      <c r="J842" s="69"/>
    </row>
    <row r="843" spans="4:10" s="64" customFormat="1" ht="12.000000">
      <c r="D843" s="69"/>
      <c r="E843" s="69"/>
      <c r="F843" s="69"/>
      <c r="G843" s="69"/>
      <c r="H843" s="69"/>
      <c r="I843" s="69"/>
      <c r="J843" s="69"/>
    </row>
    <row r="844" spans="4:10" s="64" customFormat="1" ht="12.000000">
      <c r="D844" s="69"/>
      <c r="E844" s="69"/>
      <c r="F844" s="69"/>
      <c r="G844" s="69"/>
      <c r="H844" s="69"/>
      <c r="I844" s="69"/>
      <c r="J844" s="69"/>
    </row>
    <row r="845" spans="4:10" s="64" customFormat="1" ht="12.000000">
      <c r="D845" s="69"/>
      <c r="E845" s="69"/>
      <c r="F845" s="69"/>
      <c r="G845" s="69"/>
      <c r="H845" s="69"/>
      <c r="I845" s="69"/>
      <c r="J845" s="69"/>
    </row>
    <row r="846" spans="4:10" s="64" customFormat="1" ht="12.000000">
      <c r="D846" s="69"/>
      <c r="E846" s="69"/>
      <c r="F846" s="69"/>
      <c r="G846" s="69"/>
      <c r="H846" s="69"/>
      <c r="I846" s="69"/>
      <c r="J846" s="69"/>
    </row>
    <row r="847" spans="4:10" s="64" customFormat="1" ht="12.000000">
      <c r="D847" s="69"/>
      <c r="E847" s="69"/>
      <c r="F847" s="69"/>
      <c r="G847" s="69"/>
      <c r="H847" s="69"/>
      <c r="I847" s="69"/>
      <c r="J847" s="69"/>
    </row>
    <row r="848" spans="4:10" s="64" customFormat="1" ht="12.000000">
      <c r="D848" s="69"/>
      <c r="E848" s="69"/>
      <c r="F848" s="69"/>
      <c r="G848" s="69"/>
      <c r="H848" s="69"/>
      <c r="I848" s="69"/>
      <c r="J848" s="69"/>
    </row>
    <row r="849" spans="4:10" s="64" customFormat="1" ht="12.000000">
      <c r="D849" s="69"/>
      <c r="E849" s="69"/>
      <c r="F849" s="69"/>
      <c r="G849" s="69"/>
      <c r="H849" s="69"/>
      <c r="I849" s="69"/>
      <c r="J849" s="69"/>
    </row>
    <row r="850" spans="4:10" s="64" customFormat="1" ht="12.000000">
      <c r="D850" s="69"/>
      <c r="E850" s="69"/>
      <c r="F850" s="69"/>
      <c r="G850" s="69"/>
      <c r="H850" s="69"/>
      <c r="I850" s="69"/>
      <c r="J850" s="69"/>
    </row>
    <row r="851" spans="4:10" s="64" customFormat="1" ht="12.000000">
      <c r="D851" s="69"/>
      <c r="E851" s="69"/>
      <c r="F851" s="69"/>
      <c r="G851" s="69"/>
      <c r="H851" s="69"/>
      <c r="I851" s="69"/>
      <c r="J851" s="69"/>
    </row>
    <row r="852" spans="4:10" s="64" customFormat="1" ht="12.000000">
      <c r="D852" s="69"/>
      <c r="E852" s="69"/>
      <c r="F852" s="69"/>
      <c r="G852" s="69"/>
      <c r="H852" s="69"/>
      <c r="I852" s="69"/>
      <c r="J852" s="69"/>
    </row>
    <row r="853" spans="4:10" s="64" customFormat="1" ht="12.000000">
      <c r="D853" s="69"/>
      <c r="E853" s="69"/>
      <c r="F853" s="69"/>
      <c r="G853" s="69"/>
      <c r="H853" s="69"/>
      <c r="I853" s="69"/>
      <c r="J853" s="69"/>
    </row>
    <row r="854" spans="4:10" s="64" customFormat="1" ht="12.000000">
      <c r="D854" s="69"/>
      <c r="E854" s="69"/>
      <c r="F854" s="69"/>
      <c r="G854" s="69"/>
      <c r="H854" s="69"/>
      <c r="I854" s="69"/>
      <c r="J854" s="69"/>
    </row>
    <row r="855" spans="4:10" s="64" customFormat="1" ht="12.000000">
      <c r="D855" s="69"/>
      <c r="E855" s="69"/>
      <c r="F855" s="69"/>
      <c r="G855" s="69"/>
      <c r="H855" s="69"/>
      <c r="I855" s="69"/>
      <c r="J855" s="69"/>
    </row>
    <row r="856" spans="4:10" s="64" customFormat="1" ht="12.000000">
      <c r="D856" s="69"/>
      <c r="E856" s="69"/>
      <c r="F856" s="69"/>
      <c r="G856" s="69"/>
      <c r="H856" s="69"/>
      <c r="I856" s="69"/>
      <c r="J856" s="69"/>
    </row>
    <row r="857" spans="4:10" s="64" customFormat="1" ht="12.000000">
      <c r="D857" s="69"/>
      <c r="E857" s="69"/>
      <c r="F857" s="69"/>
      <c r="G857" s="69"/>
      <c r="H857" s="69"/>
      <c r="I857" s="69"/>
      <c r="J857" s="69"/>
    </row>
    <row r="858" spans="4:10" s="64" customFormat="1" ht="12.000000">
      <c r="D858" s="69"/>
      <c r="E858" s="69"/>
      <c r="F858" s="69"/>
      <c r="G858" s="69"/>
      <c r="H858" s="69"/>
      <c r="I858" s="69"/>
      <c r="J858" s="69"/>
    </row>
    <row r="859" spans="4:10" s="64" customFormat="1" ht="12.000000">
      <c r="D859" s="69"/>
      <c r="E859" s="69"/>
      <c r="F859" s="69"/>
      <c r="G859" s="69"/>
      <c r="H859" s="69"/>
      <c r="I859" s="69"/>
      <c r="J859" s="69"/>
    </row>
    <row r="860" spans="4:10" s="64" customFormat="1" ht="12.000000">
      <c r="D860" s="69"/>
      <c r="E860" s="69"/>
      <c r="F860" s="69"/>
      <c r="G860" s="69"/>
      <c r="H860" s="69"/>
      <c r="I860" s="69"/>
      <c r="J860" s="69"/>
    </row>
    <row r="861" spans="4:10" s="64" customFormat="1" ht="12.000000">
      <c r="D861" s="69"/>
      <c r="E861" s="69"/>
      <c r="F861" s="69"/>
      <c r="G861" s="69"/>
      <c r="H861" s="69"/>
      <c r="I861" s="69"/>
      <c r="J861" s="69"/>
    </row>
    <row r="862" spans="4:10" s="64" customFormat="1" ht="12.000000">
      <c r="D862" s="69"/>
      <c r="E862" s="69"/>
      <c r="F862" s="69"/>
      <c r="G862" s="69"/>
      <c r="H862" s="69"/>
      <c r="I862" s="69"/>
      <c r="J862" s="69"/>
    </row>
    <row r="863" spans="4:10" s="64" customFormat="1" ht="12.000000">
      <c r="D863" s="69"/>
      <c r="E863" s="69"/>
      <c r="F863" s="69"/>
      <c r="G863" s="69"/>
      <c r="H863" s="69"/>
      <c r="I863" s="69"/>
      <c r="J863" s="69"/>
    </row>
    <row r="864" spans="4:10" s="64" customFormat="1" ht="12.000000">
      <c r="D864" s="69"/>
      <c r="E864" s="69"/>
      <c r="F864" s="69"/>
      <c r="G864" s="69"/>
      <c r="H864" s="69"/>
      <c r="I864" s="69"/>
      <c r="J864" s="69"/>
    </row>
    <row r="865" spans="4:10" s="64" customFormat="1" ht="12.000000">
      <c r="D865" s="69"/>
      <c r="E865" s="69"/>
      <c r="F865" s="69"/>
      <c r="G865" s="69"/>
      <c r="H865" s="69"/>
      <c r="I865" s="69"/>
      <c r="J865" s="69"/>
    </row>
    <row r="866" spans="4:10" s="64" customFormat="1" ht="12.000000">
      <c r="D866" s="69"/>
      <c r="E866" s="69"/>
      <c r="F866" s="69"/>
      <c r="G866" s="69"/>
      <c r="H866" s="69"/>
      <c r="I866" s="69"/>
      <c r="J866" s="69"/>
    </row>
    <row r="867" spans="4:10" s="64" customFormat="1" ht="12.000000">
      <c r="D867" s="69"/>
      <c r="E867" s="69"/>
      <c r="F867" s="69"/>
      <c r="G867" s="69"/>
      <c r="H867" s="69"/>
      <c r="I867" s="69"/>
      <c r="J867" s="69"/>
    </row>
    <row r="868" spans="4:10" s="64" customFormat="1" ht="12.000000">
      <c r="D868" s="69"/>
      <c r="E868" s="69"/>
      <c r="F868" s="69"/>
      <c r="G868" s="69"/>
      <c r="H868" s="69"/>
      <c r="I868" s="69"/>
      <c r="J868" s="69"/>
    </row>
    <row r="869" spans="4:10" s="64" customFormat="1" ht="12.000000">
      <c r="D869" s="69"/>
      <c r="E869" s="69"/>
      <c r="F869" s="69"/>
      <c r="G869" s="69"/>
      <c r="H869" s="69"/>
      <c r="I869" s="69"/>
      <c r="J869" s="69"/>
    </row>
    <row r="870" spans="4:10" s="64" customFormat="1" ht="12.000000">
      <c r="D870" s="69"/>
      <c r="E870" s="69"/>
      <c r="F870" s="69"/>
      <c r="G870" s="69"/>
      <c r="H870" s="69"/>
      <c r="I870" s="69"/>
      <c r="J870" s="69"/>
    </row>
    <row r="871" spans="4:10" s="64" customFormat="1" ht="12.000000">
      <c r="D871" s="69"/>
      <c r="E871" s="69"/>
      <c r="F871" s="69"/>
      <c r="G871" s="69"/>
      <c r="H871" s="69"/>
      <c r="I871" s="69"/>
      <c r="J871" s="69"/>
    </row>
    <row r="872" spans="4:10" s="64" customFormat="1" ht="12.000000">
      <c r="D872" s="69"/>
      <c r="E872" s="69"/>
      <c r="F872" s="69"/>
      <c r="G872" s="69"/>
      <c r="H872" s="69"/>
      <c r="I872" s="69"/>
      <c r="J872" s="69"/>
    </row>
    <row r="873" spans="4:10" s="64" customFormat="1" ht="12.000000">
      <c r="D873" s="69"/>
      <c r="E873" s="69"/>
      <c r="F873" s="69"/>
      <c r="G873" s="69"/>
      <c r="H873" s="69"/>
      <c r="I873" s="69"/>
      <c r="J873" s="69"/>
    </row>
    <row r="874" spans="4:10" s="64" customFormat="1" ht="12.000000">
      <c r="D874" s="69"/>
      <c r="E874" s="69"/>
      <c r="F874" s="69"/>
      <c r="G874" s="69"/>
      <c r="H874" s="69"/>
      <c r="I874" s="69"/>
      <c r="J874" s="69"/>
    </row>
    <row r="875" spans="4:10" s="64" customFormat="1" ht="12.000000">
      <c r="D875" s="69"/>
      <c r="E875" s="69"/>
      <c r="F875" s="69"/>
      <c r="G875" s="69"/>
      <c r="H875" s="69"/>
      <c r="I875" s="69"/>
      <c r="J875" s="69"/>
    </row>
    <row r="876" spans="4:10" s="64" customFormat="1" ht="12.000000">
      <c r="D876" s="69"/>
      <c r="E876" s="69"/>
      <c r="F876" s="69"/>
      <c r="G876" s="69"/>
      <c r="H876" s="69"/>
      <c r="I876" s="69"/>
      <c r="J876" s="69"/>
    </row>
    <row r="877" spans="4:10" s="64" customFormat="1" ht="12.000000">
      <c r="D877" s="69"/>
      <c r="E877" s="69"/>
      <c r="F877" s="69"/>
      <c r="G877" s="69"/>
      <c r="H877" s="69"/>
      <c r="I877" s="69"/>
      <c r="J877" s="69"/>
    </row>
    <row r="878" spans="4:10" s="64" customFormat="1" ht="12.000000">
      <c r="D878" s="69"/>
      <c r="E878" s="69"/>
      <c r="F878" s="69"/>
      <c r="G878" s="69"/>
      <c r="H878" s="69"/>
      <c r="I878" s="69"/>
      <c r="J878" s="69"/>
    </row>
    <row r="879" spans="4:10" s="64" customFormat="1" ht="12.000000">
      <c r="D879" s="69"/>
      <c r="E879" s="69"/>
      <c r="F879" s="69"/>
      <c r="G879" s="69"/>
      <c r="H879" s="69"/>
      <c r="I879" s="69"/>
      <c r="J879" s="69"/>
    </row>
    <row r="880" spans="4:10" s="64" customFormat="1" ht="12.000000">
      <c r="D880" s="69"/>
      <c r="E880" s="69"/>
      <c r="F880" s="69"/>
      <c r="G880" s="69"/>
      <c r="H880" s="69"/>
      <c r="I880" s="69"/>
      <c r="J880" s="69"/>
    </row>
    <row r="881" spans="4:10" s="64" customFormat="1" ht="12.000000">
      <c r="D881" s="69"/>
      <c r="E881" s="69"/>
      <c r="F881" s="69"/>
      <c r="G881" s="69"/>
      <c r="H881" s="69"/>
      <c r="I881" s="69"/>
      <c r="J881" s="69"/>
    </row>
    <row r="882" spans="4:10" s="64" customFormat="1" ht="12.000000">
      <c r="D882" s="69"/>
      <c r="E882" s="69"/>
      <c r="F882" s="69"/>
      <c r="G882" s="69"/>
      <c r="H882" s="69"/>
      <c r="I882" s="69"/>
      <c r="J882" s="69"/>
    </row>
    <row r="883" spans="4:10" s="64" customFormat="1" ht="12.000000">
      <c r="D883" s="69"/>
      <c r="E883" s="69"/>
      <c r="F883" s="69"/>
      <c r="G883" s="69"/>
      <c r="H883" s="69"/>
      <c r="I883" s="69"/>
      <c r="J883" s="69"/>
    </row>
    <row r="884" spans="4:10" s="64" customFormat="1" ht="12.000000">
      <c r="D884" s="69"/>
      <c r="E884" s="69"/>
      <c r="F884" s="69"/>
      <c r="G884" s="69"/>
      <c r="H884" s="69"/>
      <c r="I884" s="69"/>
      <c r="J884" s="69"/>
    </row>
    <row r="885" spans="4:10" s="64" customFormat="1" ht="12.000000">
      <c r="D885" s="69"/>
      <c r="E885" s="69"/>
      <c r="F885" s="69"/>
      <c r="G885" s="69"/>
      <c r="H885" s="69"/>
      <c r="I885" s="69"/>
      <c r="J885" s="69"/>
    </row>
    <row r="886" spans="4:10" s="64" customFormat="1" ht="12.000000">
      <c r="D886" s="69"/>
      <c r="E886" s="69"/>
      <c r="F886" s="69"/>
      <c r="G886" s="69"/>
      <c r="H886" s="69"/>
      <c r="I886" s="69"/>
      <c r="J886" s="69"/>
    </row>
    <row r="887" spans="4:10" s="64" customFormat="1" ht="12.000000">
      <c r="D887" s="69"/>
      <c r="E887" s="69"/>
      <c r="F887" s="69"/>
      <c r="G887" s="69"/>
      <c r="H887" s="69"/>
      <c r="I887" s="69"/>
      <c r="J887" s="69"/>
    </row>
    <row r="888" spans="4:10" s="64" customFormat="1" ht="12.000000">
      <c r="D888" s="69"/>
      <c r="E888" s="69"/>
      <c r="F888" s="69"/>
      <c r="G888" s="69"/>
      <c r="H888" s="69"/>
      <c r="I888" s="69"/>
      <c r="J888" s="69"/>
    </row>
    <row r="889" spans="4:10" s="64" customFormat="1" ht="12.000000">
      <c r="D889" s="69"/>
      <c r="E889" s="69"/>
      <c r="F889" s="69"/>
      <c r="G889" s="69"/>
      <c r="H889" s="69"/>
      <c r="I889" s="69"/>
      <c r="J889" s="69"/>
    </row>
    <row r="890" spans="4:10" s="64" customFormat="1" ht="12.000000">
      <c r="D890" s="69"/>
      <c r="E890" s="69"/>
      <c r="F890" s="69"/>
      <c r="G890" s="69"/>
      <c r="H890" s="69"/>
      <c r="I890" s="69"/>
      <c r="J890" s="69"/>
    </row>
    <row r="891" spans="4:10" s="64" customFormat="1" ht="12.000000">
      <c r="D891" s="69"/>
      <c r="E891" s="69"/>
      <c r="F891" s="69"/>
      <c r="G891" s="69"/>
      <c r="H891" s="69"/>
      <c r="I891" s="69"/>
      <c r="J891" s="69"/>
    </row>
    <row r="892" spans="4:10" s="64" customFormat="1" ht="12.000000">
      <c r="D892" s="69"/>
      <c r="E892" s="69"/>
      <c r="F892" s="69"/>
      <c r="G892" s="69"/>
      <c r="H892" s="69"/>
      <c r="I892" s="69"/>
      <c r="J892" s="69"/>
    </row>
    <row r="893" spans="4:10" s="64" customFormat="1" ht="12.000000">
      <c r="D893" s="69"/>
      <c r="E893" s="69"/>
      <c r="F893" s="69"/>
      <c r="G893" s="69"/>
      <c r="H893" s="69"/>
      <c r="I893" s="69"/>
      <c r="J893" s="69"/>
    </row>
    <row r="894" spans="4:10" s="64" customFormat="1" ht="12.000000">
      <c r="D894" s="69"/>
      <c r="E894" s="69"/>
      <c r="F894" s="69"/>
      <c r="G894" s="69"/>
      <c r="H894" s="69"/>
      <c r="I894" s="69"/>
      <c r="J894" s="69"/>
    </row>
    <row r="895" spans="4:10" s="64" customFormat="1" ht="12.000000">
      <c r="D895" s="69"/>
      <c r="E895" s="69"/>
      <c r="F895" s="69"/>
      <c r="G895" s="69"/>
      <c r="H895" s="69"/>
      <c r="I895" s="69"/>
      <c r="J895" s="69"/>
    </row>
    <row r="896" spans="4:10" s="64" customFormat="1" ht="12.000000">
      <c r="D896" s="69"/>
      <c r="E896" s="69"/>
      <c r="F896" s="69"/>
      <c r="G896" s="69"/>
      <c r="H896" s="69"/>
      <c r="I896" s="69"/>
      <c r="J896" s="69"/>
    </row>
    <row r="897" spans="4:10" s="64" customFormat="1" ht="12.000000">
      <c r="D897" s="69"/>
      <c r="E897" s="69"/>
      <c r="F897" s="69"/>
      <c r="G897" s="69"/>
      <c r="H897" s="69"/>
      <c r="I897" s="69"/>
      <c r="J897" s="69"/>
    </row>
    <row r="898" spans="4:10" s="64" customFormat="1" ht="12.000000">
      <c r="D898" s="69"/>
      <c r="E898" s="69"/>
      <c r="F898" s="69"/>
      <c r="G898" s="69"/>
      <c r="H898" s="69"/>
      <c r="I898" s="69"/>
      <c r="J898" s="69"/>
    </row>
    <row r="899" spans="4:10" s="64" customFormat="1" ht="12.000000">
      <c r="D899" s="69"/>
      <c r="E899" s="69"/>
      <c r="F899" s="69"/>
      <c r="G899" s="69"/>
      <c r="H899" s="69"/>
      <c r="I899" s="69"/>
      <c r="J899" s="69"/>
    </row>
    <row r="900" spans="4:10" s="64" customFormat="1" ht="12.000000">
      <c r="D900" s="69"/>
      <c r="E900" s="69"/>
      <c r="F900" s="69"/>
      <c r="G900" s="69"/>
      <c r="H900" s="69"/>
      <c r="I900" s="69"/>
      <c r="J900" s="69"/>
    </row>
    <row r="901" spans="4:10" s="64" customFormat="1" ht="12.000000">
      <c r="D901" s="69"/>
      <c r="E901" s="69"/>
      <c r="F901" s="69"/>
      <c r="G901" s="69"/>
      <c r="H901" s="69"/>
      <c r="I901" s="69"/>
      <c r="J901" s="69"/>
    </row>
    <row r="902" spans="4:10" s="64" customFormat="1" ht="12.000000">
      <c r="D902" s="69"/>
      <c r="E902" s="69"/>
      <c r="F902" s="69"/>
      <c r="G902" s="69"/>
      <c r="H902" s="69"/>
      <c r="I902" s="69"/>
      <c r="J902" s="69"/>
    </row>
    <row r="903" spans="4:10" s="64" customFormat="1" ht="12.000000">
      <c r="D903" s="69"/>
      <c r="E903" s="69"/>
      <c r="F903" s="69"/>
      <c r="G903" s="69"/>
      <c r="H903" s="69"/>
      <c r="I903" s="69"/>
      <c r="J903" s="69"/>
    </row>
    <row r="904" spans="4:10" s="64" customFormat="1" ht="12.000000">
      <c r="D904" s="69"/>
      <c r="E904" s="69"/>
      <c r="F904" s="69"/>
      <c r="G904" s="69"/>
      <c r="H904" s="69"/>
      <c r="I904" s="69"/>
      <c r="J904" s="69"/>
    </row>
    <row r="905" spans="4:10" s="64" customFormat="1" ht="12.000000">
      <c r="D905" s="69"/>
      <c r="E905" s="69"/>
      <c r="F905" s="69"/>
      <c r="G905" s="69"/>
      <c r="H905" s="69"/>
      <c r="I905" s="69"/>
      <c r="J905" s="69"/>
    </row>
    <row r="906" spans="4:10" s="64" customFormat="1" ht="12.000000">
      <c r="D906" s="69"/>
      <c r="E906" s="69"/>
      <c r="F906" s="69"/>
      <c r="G906" s="69"/>
      <c r="H906" s="69"/>
      <c r="I906" s="69"/>
      <c r="J906" s="69"/>
    </row>
    <row r="907" spans="4:10" s="64" customFormat="1" ht="12.000000">
      <c r="D907" s="69"/>
      <c r="E907" s="69"/>
      <c r="F907" s="69"/>
      <c r="G907" s="69"/>
      <c r="H907" s="69"/>
      <c r="I907" s="69"/>
      <c r="J907" s="69"/>
    </row>
    <row r="908" spans="4:10" s="64" customFormat="1" ht="12.000000">
      <c r="D908" s="69"/>
      <c r="E908" s="69"/>
      <c r="F908" s="69"/>
      <c r="G908" s="69"/>
      <c r="H908" s="69"/>
      <c r="I908" s="69"/>
      <c r="J908" s="69"/>
    </row>
    <row r="909" spans="4:10" s="64" customFormat="1" ht="12.000000">
      <c r="D909" s="69"/>
      <c r="E909" s="69"/>
      <c r="F909" s="69"/>
      <c r="G909" s="69"/>
      <c r="H909" s="69"/>
      <c r="I909" s="69"/>
      <c r="J909" s="69"/>
    </row>
    <row r="910" spans="4:10" s="64" customFormat="1" ht="12.000000">
      <c r="D910" s="69"/>
      <c r="E910" s="69"/>
      <c r="F910" s="69"/>
      <c r="G910" s="69"/>
      <c r="H910" s="69"/>
      <c r="I910" s="69"/>
      <c r="J910" s="69"/>
    </row>
    <row r="911" spans="4:10" s="64" customFormat="1" ht="12.000000">
      <c r="D911" s="69"/>
      <c r="E911" s="69"/>
      <c r="F911" s="69"/>
      <c r="G911" s="69"/>
      <c r="H911" s="69"/>
      <c r="I911" s="69"/>
      <c r="J911" s="69"/>
    </row>
    <row r="912" spans="4:10" s="64" customFormat="1" ht="12.000000">
      <c r="D912" s="69"/>
      <c r="E912" s="69"/>
      <c r="F912" s="69"/>
      <c r="G912" s="69"/>
      <c r="H912" s="69"/>
      <c r="I912" s="69"/>
      <c r="J912" s="69"/>
    </row>
    <row r="913" spans="4:10" s="64" customFormat="1" ht="12.000000">
      <c r="D913" s="69"/>
      <c r="E913" s="69"/>
      <c r="F913" s="69"/>
      <c r="G913" s="69"/>
      <c r="H913" s="69"/>
      <c r="I913" s="69"/>
      <c r="J913" s="69"/>
    </row>
    <row r="914" spans="4:10" s="64" customFormat="1" ht="12.000000">
      <c r="D914" s="69"/>
      <c r="E914" s="69"/>
      <c r="F914" s="69"/>
      <c r="G914" s="69"/>
      <c r="H914" s="69"/>
      <c r="I914" s="69"/>
      <c r="J914" s="69"/>
    </row>
    <row r="915" spans="4:10" s="64" customFormat="1" ht="12.000000">
      <c r="D915" s="69"/>
      <c r="E915" s="69"/>
      <c r="F915" s="69"/>
      <c r="G915" s="69"/>
      <c r="H915" s="69"/>
      <c r="I915" s="69"/>
      <c r="J915" s="69"/>
    </row>
    <row r="916" spans="4:10" s="64" customFormat="1" ht="12.000000">
      <c r="D916" s="69"/>
      <c r="E916" s="69"/>
      <c r="F916" s="69"/>
      <c r="G916" s="69"/>
      <c r="H916" s="69"/>
      <c r="I916" s="69"/>
      <c r="J916" s="69"/>
    </row>
    <row r="917" spans="4:10" s="64" customFormat="1" ht="12.000000">
      <c r="D917" s="69"/>
      <c r="E917" s="69"/>
      <c r="F917" s="69"/>
      <c r="G917" s="69"/>
      <c r="H917" s="69"/>
      <c r="I917" s="69"/>
      <c r="J917" s="69"/>
    </row>
    <row r="918" spans="4:10" s="64" customFormat="1" ht="12.000000">
      <c r="D918" s="69"/>
      <c r="E918" s="69"/>
      <c r="F918" s="69"/>
      <c r="G918" s="69"/>
      <c r="H918" s="69"/>
      <c r="I918" s="69"/>
      <c r="J918" s="69"/>
    </row>
    <row r="919" spans="4:10" s="64" customFormat="1" ht="12.000000">
      <c r="D919" s="69"/>
      <c r="E919" s="69"/>
      <c r="F919" s="69"/>
      <c r="G919" s="69"/>
      <c r="H919" s="69"/>
      <c r="I919" s="69"/>
      <c r="J919" s="69"/>
    </row>
    <row r="920" spans="4:10" s="64" customFormat="1" ht="12.000000">
      <c r="D920" s="69"/>
      <c r="E920" s="69"/>
      <c r="F920" s="69"/>
      <c r="G920" s="69"/>
      <c r="H920" s="69"/>
      <c r="I920" s="69"/>
      <c r="J920" s="69"/>
    </row>
    <row r="921" spans="4:10" s="64" customFormat="1" ht="12.000000">
      <c r="D921" s="69"/>
      <c r="E921" s="69"/>
      <c r="F921" s="69"/>
      <c r="G921" s="69"/>
      <c r="H921" s="69"/>
      <c r="I921" s="69"/>
      <c r="J921" s="69"/>
    </row>
    <row r="922" spans="4:10" s="64" customFormat="1" ht="12.000000">
      <c r="D922" s="69"/>
      <c r="E922" s="69"/>
      <c r="F922" s="69"/>
      <c r="G922" s="69"/>
      <c r="H922" s="69"/>
      <c r="I922" s="69"/>
      <c r="J922" s="69"/>
    </row>
    <row r="923" spans="4:10" s="64" customFormat="1" ht="12.000000">
      <c r="D923" s="69"/>
      <c r="E923" s="69"/>
      <c r="F923" s="69"/>
      <c r="G923" s="69"/>
      <c r="H923" s="69"/>
      <c r="I923" s="69"/>
      <c r="J923" s="69"/>
    </row>
    <row r="924" spans="4:10" s="64" customFormat="1" ht="12.000000">
      <c r="D924" s="69"/>
      <c r="E924" s="69"/>
      <c r="F924" s="69"/>
      <c r="G924" s="69"/>
      <c r="H924" s="69"/>
      <c r="I924" s="69"/>
      <c r="J924" s="69"/>
    </row>
    <row r="925" spans="4:10" s="64" customFormat="1" ht="12.000000">
      <c r="D925" s="69"/>
      <c r="E925" s="69"/>
      <c r="F925" s="69"/>
      <c r="G925" s="69"/>
      <c r="H925" s="69"/>
      <c r="I925" s="69"/>
      <c r="J925" s="69"/>
    </row>
    <row r="926" spans="4:10" s="64" customFormat="1" ht="12.000000">
      <c r="D926" s="69"/>
      <c r="E926" s="69"/>
      <c r="F926" s="69"/>
      <c r="G926" s="69"/>
      <c r="H926" s="69"/>
      <c r="I926" s="69"/>
      <c r="J926" s="69"/>
    </row>
    <row r="927" spans="4:10" s="64" customFormat="1" ht="12.000000">
      <c r="D927" s="69"/>
      <c r="E927" s="69"/>
      <c r="F927" s="69"/>
      <c r="G927" s="69"/>
      <c r="H927" s="69"/>
      <c r="I927" s="69"/>
      <c r="J927" s="69"/>
    </row>
    <row r="928" spans="4:10" s="64" customFormat="1" ht="12.000000">
      <c r="D928" s="69"/>
      <c r="E928" s="69"/>
      <c r="F928" s="69"/>
      <c r="G928" s="69"/>
      <c r="H928" s="69"/>
      <c r="I928" s="69"/>
      <c r="J928" s="69"/>
    </row>
    <row r="929" spans="4:10" s="64" customFormat="1" ht="12.000000">
      <c r="D929" s="69"/>
      <c r="E929" s="69"/>
      <c r="F929" s="69"/>
      <c r="G929" s="69"/>
      <c r="H929" s="69"/>
      <c r="I929" s="69"/>
      <c r="J929" s="69"/>
    </row>
    <row r="930" spans="4:10" s="64" customFormat="1" ht="12.000000">
      <c r="D930" s="69"/>
      <c r="E930" s="69"/>
      <c r="F930" s="69"/>
      <c r="G930" s="69"/>
      <c r="H930" s="69"/>
      <c r="I930" s="69"/>
      <c r="J930" s="69"/>
    </row>
    <row r="931" spans="4:10" s="64" customFormat="1" ht="12.000000">
      <c r="D931" s="69"/>
      <c r="E931" s="69"/>
      <c r="F931" s="69"/>
      <c r="G931" s="69"/>
      <c r="H931" s="69"/>
      <c r="I931" s="69"/>
      <c r="J931" s="69"/>
    </row>
    <row r="932" spans="4:10" s="64" customFormat="1" ht="12.000000">
      <c r="D932" s="69"/>
      <c r="E932" s="69"/>
      <c r="F932" s="69"/>
      <c r="G932" s="69"/>
      <c r="H932" s="69"/>
      <c r="I932" s="69"/>
      <c r="J932" s="69"/>
    </row>
    <row r="933" spans="4:10" s="64" customFormat="1" ht="12.000000">
      <c r="D933" s="69"/>
      <c r="E933" s="69"/>
      <c r="F933" s="69"/>
      <c r="G933" s="69"/>
      <c r="H933" s="69"/>
      <c r="I933" s="69"/>
      <c r="J933" s="69"/>
    </row>
    <row r="934" spans="4:10" s="64" customFormat="1" ht="12.000000">
      <c r="D934" s="69"/>
      <c r="E934" s="69"/>
      <c r="F934" s="69"/>
      <c r="G934" s="69"/>
      <c r="H934" s="69"/>
      <c r="I934" s="69"/>
      <c r="J934" s="69"/>
    </row>
    <row r="935" spans="4:10" s="64" customFormat="1" ht="12.000000">
      <c r="D935" s="69"/>
      <c r="E935" s="69"/>
      <c r="F935" s="69"/>
      <c r="G935" s="69"/>
      <c r="H935" s="69"/>
      <c r="I935" s="69"/>
      <c r="J935" s="69"/>
    </row>
    <row r="936" spans="4:10" s="64" customFormat="1" ht="12.000000">
      <c r="D936" s="69"/>
      <c r="E936" s="69"/>
      <c r="F936" s="69"/>
      <c r="G936" s="69"/>
      <c r="H936" s="69"/>
      <c r="I936" s="69"/>
      <c r="J936" s="69"/>
    </row>
    <row r="937" spans="4:10" s="64" customFormat="1" ht="12.000000">
      <c r="D937" s="69"/>
      <c r="E937" s="69"/>
      <c r="F937" s="69"/>
      <c r="G937" s="69"/>
      <c r="H937" s="69"/>
      <c r="I937" s="69"/>
      <c r="J937" s="69"/>
    </row>
    <row r="938" spans="4:10" s="64" customFormat="1" ht="12.000000">
      <c r="D938" s="69"/>
      <c r="E938" s="69"/>
      <c r="F938" s="69"/>
      <c r="G938" s="69"/>
      <c r="H938" s="69"/>
      <c r="I938" s="69"/>
      <c r="J938" s="69"/>
    </row>
    <row r="939" spans="4:10" s="64" customFormat="1" ht="12.000000">
      <c r="D939" s="69"/>
      <c r="E939" s="69"/>
      <c r="F939" s="69"/>
      <c r="G939" s="69"/>
      <c r="H939" s="69"/>
      <c r="I939" s="69"/>
      <c r="J939" s="69"/>
    </row>
    <row r="940" spans="4:10" s="64" customFormat="1" ht="12.000000">
      <c r="D940" s="69"/>
      <c r="E940" s="69"/>
      <c r="F940" s="69"/>
      <c r="G940" s="69"/>
      <c r="H940" s="69"/>
      <c r="I940" s="69"/>
      <c r="J940" s="69"/>
    </row>
    <row r="941" spans="4:10" s="64" customFormat="1" ht="12.000000">
      <c r="D941" s="69"/>
      <c r="E941" s="69"/>
      <c r="F941" s="69"/>
      <c r="G941" s="69"/>
      <c r="H941" s="69"/>
      <c r="I941" s="69"/>
      <c r="J941" s="69"/>
    </row>
    <row r="942" spans="4:10" s="64" customFormat="1" ht="12.000000">
      <c r="D942" s="69"/>
      <c r="E942" s="69"/>
      <c r="F942" s="69"/>
      <c r="G942" s="69"/>
      <c r="H942" s="69"/>
      <c r="I942" s="69"/>
      <c r="J942" s="69"/>
    </row>
    <row r="943" spans="4:10" s="64" customFormat="1" ht="12.000000">
      <c r="D943" s="69"/>
      <c r="E943" s="69"/>
      <c r="F943" s="69"/>
      <c r="G943" s="69"/>
      <c r="H943" s="69"/>
      <c r="I943" s="69"/>
      <c r="J943" s="69"/>
    </row>
    <row r="944" spans="4:10" s="64" customFormat="1" ht="12.000000">
      <c r="D944" s="69"/>
      <c r="E944" s="69"/>
      <c r="F944" s="69"/>
      <c r="G944" s="69"/>
      <c r="H944" s="69"/>
      <c r="I944" s="69"/>
      <c r="J944" s="69"/>
    </row>
    <row r="945" spans="4:10" s="64" customFormat="1" ht="12.000000">
      <c r="D945" s="69"/>
      <c r="E945" s="69"/>
      <c r="F945" s="69"/>
      <c r="G945" s="69"/>
      <c r="H945" s="69"/>
      <c r="I945" s="69"/>
      <c r="J945" s="69"/>
    </row>
    <row r="946" spans="4:10" s="64" customFormat="1" ht="12.000000">
      <c r="D946" s="69"/>
      <c r="E946" s="69"/>
      <c r="F946" s="69"/>
      <c r="G946" s="69"/>
      <c r="H946" s="69"/>
      <c r="I946" s="69"/>
      <c r="J946" s="69"/>
    </row>
    <row r="947" spans="4:10" s="64" customFormat="1" ht="12.000000">
      <c r="D947" s="69"/>
      <c r="E947" s="69"/>
      <c r="F947" s="69"/>
      <c r="G947" s="69"/>
      <c r="H947" s="69"/>
      <c r="I947" s="69"/>
      <c r="J947" s="69"/>
    </row>
    <row r="948" spans="4:10" s="64" customFormat="1" ht="12.000000">
      <c r="D948" s="69"/>
      <c r="E948" s="69"/>
      <c r="F948" s="69"/>
      <c r="G948" s="69"/>
      <c r="H948" s="69"/>
      <c r="I948" s="69"/>
      <c r="J948" s="69"/>
    </row>
    <row r="949" spans="4:10" s="64" customFormat="1" ht="12.000000">
      <c r="D949" s="69"/>
      <c r="E949" s="69"/>
      <c r="F949" s="69"/>
      <c r="G949" s="69"/>
      <c r="H949" s="69"/>
      <c r="I949" s="69"/>
      <c r="J949" s="69"/>
    </row>
    <row r="950" spans="4:10" s="64" customFormat="1" ht="12.000000">
      <c r="D950" s="69"/>
      <c r="E950" s="69"/>
      <c r="F950" s="69"/>
      <c r="G950" s="69"/>
      <c r="H950" s="69"/>
      <c r="I950" s="69"/>
      <c r="J950" s="69"/>
    </row>
    <row r="951" spans="4:10" s="64" customFormat="1" ht="12.000000">
      <c r="D951" s="69"/>
      <c r="E951" s="69"/>
      <c r="F951" s="69"/>
      <c r="G951" s="69"/>
      <c r="H951" s="69"/>
      <c r="I951" s="69"/>
      <c r="J951" s="69"/>
    </row>
    <row r="952" spans="4:10" s="64" customFormat="1" ht="12.000000">
      <c r="D952" s="69"/>
      <c r="E952" s="69"/>
      <c r="F952" s="69"/>
      <c r="G952" s="69"/>
      <c r="H952" s="69"/>
      <c r="I952" s="69"/>
      <c r="J952" s="69"/>
    </row>
    <row r="953" spans="4:10" s="64" customFormat="1" ht="12.000000">
      <c r="D953" s="69"/>
      <c r="E953" s="69"/>
      <c r="F953" s="69"/>
      <c r="G953" s="69"/>
      <c r="H953" s="69"/>
      <c r="I953" s="69"/>
      <c r="J953" s="69"/>
    </row>
    <row r="954" spans="4:10" s="64" customFormat="1" ht="12.000000">
      <c r="D954" s="69"/>
      <c r="E954" s="69"/>
      <c r="F954" s="69"/>
      <c r="G954" s="69"/>
      <c r="H954" s="69"/>
      <c r="I954" s="69"/>
      <c r="J954" s="69"/>
    </row>
    <row r="955" spans="4:10" s="64" customFormat="1" ht="12.000000">
      <c r="D955" s="69"/>
      <c r="E955" s="69"/>
      <c r="F955" s="69"/>
      <c r="G955" s="69"/>
      <c r="H955" s="69"/>
      <c r="I955" s="69"/>
      <c r="J955" s="69"/>
    </row>
    <row r="956" spans="4:10" s="64" customFormat="1" ht="12.000000">
      <c r="D956" s="69"/>
      <c r="E956" s="69"/>
      <c r="F956" s="69"/>
      <c r="G956" s="69"/>
      <c r="H956" s="69"/>
      <c r="I956" s="69"/>
      <c r="J956" s="69"/>
    </row>
    <row r="957" spans="4:10" s="64" customFormat="1" ht="12.000000">
      <c r="D957" s="69"/>
      <c r="E957" s="69"/>
      <c r="F957" s="69"/>
      <c r="G957" s="69"/>
      <c r="H957" s="69"/>
      <c r="I957" s="69"/>
      <c r="J957" s="69"/>
    </row>
    <row r="958" spans="4:10" s="64" customFormat="1" ht="12.000000">
      <c r="D958" s="69"/>
      <c r="E958" s="69"/>
      <c r="F958" s="69"/>
      <c r="G958" s="69"/>
      <c r="H958" s="69"/>
      <c r="I958" s="69"/>
      <c r="J958" s="69"/>
    </row>
    <row r="959" spans="4:10" s="64" customFormat="1" ht="12.000000">
      <c r="D959" s="69"/>
      <c r="E959" s="69"/>
      <c r="F959" s="69"/>
      <c r="G959" s="69"/>
      <c r="H959" s="69"/>
      <c r="I959" s="69"/>
      <c r="J959" s="69"/>
    </row>
    <row r="960" spans="4:10" s="64" customFormat="1" ht="12.000000">
      <c r="D960" s="69"/>
      <c r="E960" s="69"/>
      <c r="F960" s="69"/>
      <c r="G960" s="69"/>
      <c r="H960" s="69"/>
      <c r="I960" s="69"/>
      <c r="J960" s="69"/>
    </row>
    <row r="961" spans="4:10" s="64" customFormat="1" ht="12.000000">
      <c r="D961" s="69"/>
      <c r="E961" s="69"/>
      <c r="F961" s="69"/>
      <c r="G961" s="69"/>
      <c r="H961" s="69"/>
      <c r="I961" s="69"/>
      <c r="J961" s="69"/>
    </row>
    <row r="962" spans="4:10" s="64" customFormat="1" ht="12.000000">
      <c r="D962" s="69"/>
      <c r="E962" s="69"/>
      <c r="F962" s="69"/>
      <c r="G962" s="69"/>
      <c r="H962" s="69"/>
      <c r="I962" s="69"/>
      <c r="J962" s="69"/>
    </row>
    <row r="963" spans="4:10" s="64" customFormat="1" ht="12.000000">
      <c r="D963" s="69"/>
      <c r="E963" s="69"/>
      <c r="F963" s="69"/>
      <c r="G963" s="69"/>
      <c r="H963" s="69"/>
      <c r="I963" s="69"/>
      <c r="J963" s="69"/>
    </row>
    <row r="964" spans="4:10" s="64" customFormat="1" ht="12.000000">
      <c r="D964" s="69"/>
      <c r="E964" s="69"/>
      <c r="F964" s="69"/>
      <c r="G964" s="69"/>
      <c r="H964" s="69"/>
      <c r="I964" s="69"/>
      <c r="J964" s="69"/>
    </row>
    <row r="965" spans="4:10" s="64" customFormat="1" ht="12.000000">
      <c r="D965" s="69"/>
      <c r="E965" s="69"/>
      <c r="F965" s="69"/>
      <c r="G965" s="69"/>
      <c r="H965" s="69"/>
      <c r="I965" s="69"/>
      <c r="J965" s="69"/>
    </row>
    <row r="966" spans="4:10" s="64" customFormat="1" ht="12.000000">
      <c r="D966" s="69"/>
      <c r="E966" s="69"/>
      <c r="F966" s="69"/>
      <c r="G966" s="69"/>
      <c r="H966" s="69"/>
      <c r="I966" s="69"/>
      <c r="J966" s="69"/>
    </row>
    <row r="967" spans="4:10" s="64" customFormat="1" ht="12.000000">
      <c r="D967" s="69"/>
      <c r="E967" s="69"/>
      <c r="F967" s="69"/>
      <c r="G967" s="69"/>
      <c r="H967" s="69"/>
      <c r="I967" s="69"/>
      <c r="J967" s="69"/>
    </row>
    <row r="968" spans="4:10" s="64" customFormat="1" ht="12.000000">
      <c r="D968" s="69"/>
      <c r="E968" s="69"/>
      <c r="F968" s="69"/>
      <c r="G968" s="69"/>
      <c r="H968" s="69"/>
      <c r="I968" s="69"/>
      <c r="J968" s="69"/>
    </row>
    <row r="969" spans="4:10" s="64" customFormat="1" ht="12.000000">
      <c r="D969" s="69"/>
      <c r="E969" s="69"/>
      <c r="F969" s="69"/>
      <c r="G969" s="69"/>
      <c r="H969" s="69"/>
      <c r="I969" s="69"/>
      <c r="J969" s="69"/>
    </row>
    <row r="970" spans="4:10" s="64" customFormat="1" ht="12.000000">
      <c r="D970" s="69"/>
      <c r="E970" s="69"/>
      <c r="F970" s="69"/>
      <c r="G970" s="69"/>
      <c r="H970" s="69"/>
      <c r="I970" s="69"/>
      <c r="J970" s="69"/>
    </row>
    <row r="971" spans="4:10" s="64" customFormat="1" ht="12.000000">
      <c r="D971" s="69"/>
      <c r="E971" s="69"/>
      <c r="F971" s="69"/>
      <c r="G971" s="69"/>
      <c r="H971" s="69"/>
      <c r="I971" s="69"/>
      <c r="J971" s="69"/>
    </row>
    <row r="972" spans="4:10" s="64" customFormat="1" ht="12.000000">
      <c r="D972" s="69"/>
      <c r="E972" s="69"/>
      <c r="F972" s="69"/>
      <c r="G972" s="69"/>
      <c r="H972" s="69"/>
      <c r="I972" s="69"/>
      <c r="J972" s="69"/>
    </row>
    <row r="973" spans="4:10" s="64" customFormat="1" ht="12.000000">
      <c r="D973" s="69"/>
      <c r="E973" s="69"/>
      <c r="F973" s="69"/>
      <c r="G973" s="69"/>
      <c r="H973" s="69"/>
      <c r="I973" s="69"/>
      <c r="J973" s="69"/>
    </row>
    <row r="974" spans="4:10" s="64" customFormat="1" ht="12.000000">
      <c r="D974" s="69"/>
      <c r="E974" s="69"/>
      <c r="F974" s="69"/>
      <c r="G974" s="69"/>
      <c r="H974" s="69"/>
      <c r="I974" s="69"/>
      <c r="J974" s="69"/>
    </row>
    <row r="975" spans="4:10" s="64" customFormat="1" ht="12.000000">
      <c r="D975" s="69"/>
      <c r="E975" s="69"/>
      <c r="F975" s="69"/>
      <c r="G975" s="69"/>
      <c r="H975" s="69"/>
      <c r="I975" s="69"/>
      <c r="J975" s="69"/>
    </row>
    <row r="976" spans="4:10" s="64" customFormat="1" ht="12.000000">
      <c r="D976" s="69"/>
      <c r="E976" s="69"/>
      <c r="F976" s="69"/>
      <c r="G976" s="69"/>
      <c r="H976" s="69"/>
      <c r="I976" s="69"/>
      <c r="J976" s="69"/>
    </row>
    <row r="977" spans="4:10" s="64" customFormat="1" ht="12.000000">
      <c r="D977" s="69"/>
      <c r="E977" s="69"/>
      <c r="F977" s="69"/>
      <c r="G977" s="69"/>
      <c r="H977" s="69"/>
      <c r="I977" s="69"/>
      <c r="J977" s="69"/>
    </row>
    <row r="978" spans="4:10" s="64" customFormat="1" ht="12.000000">
      <c r="D978" s="69"/>
      <c r="E978" s="69"/>
      <c r="F978" s="69"/>
      <c r="G978" s="69"/>
      <c r="H978" s="69"/>
      <c r="I978" s="69"/>
      <c r="J978" s="69"/>
    </row>
    <row r="979" spans="4:10" s="64" customFormat="1" ht="12.000000">
      <c r="D979" s="69"/>
      <c r="E979" s="69"/>
      <c r="F979" s="69"/>
      <c r="G979" s="69"/>
      <c r="H979" s="69"/>
      <c r="I979" s="69"/>
      <c r="J979" s="69"/>
    </row>
    <row r="980" spans="4:10" s="64" customFormat="1" ht="12.000000">
      <c r="D980" s="69"/>
      <c r="E980" s="69"/>
      <c r="F980" s="69"/>
      <c r="G980" s="69"/>
      <c r="H980" s="69"/>
      <c r="I980" s="69"/>
      <c r="J980" s="69"/>
    </row>
    <row r="981" spans="4:10" s="64" customFormat="1" ht="12.000000">
      <c r="D981" s="69"/>
      <c r="E981" s="69"/>
      <c r="F981" s="69"/>
      <c r="G981" s="69"/>
      <c r="H981" s="69"/>
      <c r="I981" s="69"/>
      <c r="J981" s="69"/>
    </row>
    <row r="982" spans="4:10" s="64" customFormat="1" ht="12.000000">
      <c r="D982" s="69"/>
      <c r="E982" s="69"/>
      <c r="F982" s="69"/>
      <c r="G982" s="69"/>
      <c r="H982" s="69"/>
      <c r="I982" s="69"/>
      <c r="J982" s="69"/>
    </row>
    <row r="983" spans="4:10" s="64" customFormat="1" ht="12.000000">
      <c r="D983" s="69"/>
      <c r="E983" s="69"/>
      <c r="F983" s="69"/>
      <c r="G983" s="69"/>
      <c r="H983" s="69"/>
      <c r="I983" s="69"/>
      <c r="J983" s="69"/>
    </row>
    <row r="984" spans="4:10" s="64" customFormat="1" ht="12.000000">
      <c r="D984" s="69"/>
      <c r="E984" s="69"/>
      <c r="F984" s="69"/>
      <c r="G984" s="69"/>
      <c r="H984" s="69"/>
      <c r="I984" s="69"/>
      <c r="J984" s="69"/>
    </row>
    <row r="985" spans="4:10" s="64" customFormat="1" ht="12.000000">
      <c r="D985" s="69"/>
      <c r="E985" s="69"/>
      <c r="F985" s="69"/>
      <c r="G985" s="69"/>
      <c r="H985" s="69"/>
      <c r="I985" s="69"/>
      <c r="J985" s="69"/>
    </row>
    <row r="986" spans="4:10" s="64" customFormat="1" ht="12.000000">
      <c r="D986" s="69"/>
      <c r="E986" s="69"/>
      <c r="F986" s="69"/>
      <c r="G986" s="69"/>
      <c r="H986" s="69"/>
      <c r="I986" s="69"/>
      <c r="J986" s="69"/>
    </row>
    <row r="987" spans="4:10" s="64" customFormat="1" ht="12.000000">
      <c r="D987" s="69"/>
      <c r="E987" s="69"/>
      <c r="F987" s="69"/>
      <c r="G987" s="69"/>
      <c r="H987" s="69"/>
      <c r="I987" s="69"/>
      <c r="J987" s="69"/>
    </row>
    <row r="988" spans="4:10" s="64" customFormat="1" ht="12.000000">
      <c r="D988" s="69"/>
      <c r="E988" s="69"/>
      <c r="F988" s="69"/>
      <c r="G988" s="69"/>
      <c r="H988" s="69"/>
      <c r="I988" s="69"/>
      <c r="J988" s="69"/>
    </row>
    <row r="989" spans="4:10" s="64" customFormat="1" ht="12.000000">
      <c r="D989" s="69"/>
      <c r="E989" s="69"/>
      <c r="F989" s="69"/>
      <c r="G989" s="69"/>
      <c r="H989" s="69"/>
      <c r="I989" s="69"/>
      <c r="J989" s="69"/>
    </row>
    <row r="990" spans="4:10" s="64" customFormat="1" ht="12.000000">
      <c r="D990" s="69"/>
      <c r="E990" s="69"/>
      <c r="F990" s="69"/>
      <c r="G990" s="69"/>
      <c r="H990" s="69"/>
      <c r="I990" s="69"/>
      <c r="J990" s="69"/>
    </row>
    <row r="991" spans="4:10" s="64" customFormat="1" ht="12.000000">
      <c r="D991" s="69"/>
      <c r="E991" s="69"/>
      <c r="F991" s="69"/>
      <c r="G991" s="69"/>
      <c r="H991" s="69"/>
      <c r="I991" s="69"/>
      <c r="J991" s="69"/>
    </row>
    <row r="992" spans="4:10" s="64" customFormat="1" ht="12.000000">
      <c r="D992" s="69"/>
      <c r="E992" s="69"/>
      <c r="F992" s="69"/>
      <c r="G992" s="69"/>
      <c r="H992" s="69"/>
      <c r="I992" s="69"/>
      <c r="J992" s="69"/>
    </row>
    <row r="993" spans="4:10" s="64" customFormat="1" ht="12.000000">
      <c r="D993" s="69"/>
      <c r="E993" s="69"/>
      <c r="F993" s="69"/>
      <c r="G993" s="69"/>
      <c r="H993" s="69"/>
      <c r="I993" s="69"/>
      <c r="J993" s="69"/>
    </row>
    <row r="994" spans="4:10" s="64" customFormat="1" ht="12.000000">
      <c r="D994" s="69"/>
      <c r="E994" s="69"/>
      <c r="F994" s="69"/>
      <c r="G994" s="69"/>
      <c r="H994" s="69"/>
      <c r="I994" s="69"/>
      <c r="J994" s="69"/>
    </row>
    <row r="995" spans="4:10" s="64" customFormat="1" ht="12.000000">
      <c r="D995" s="69"/>
      <c r="E995" s="69"/>
      <c r="F995" s="69"/>
      <c r="G995" s="69"/>
      <c r="H995" s="69"/>
      <c r="I995" s="69"/>
      <c r="J995" s="69"/>
    </row>
    <row r="996" spans="4:10" s="64" customFormat="1" ht="12.000000">
      <c r="D996" s="69"/>
      <c r="E996" s="69"/>
      <c r="F996" s="69"/>
      <c r="G996" s="69"/>
      <c r="H996" s="69"/>
      <c r="I996" s="69"/>
      <c r="J996" s="69"/>
    </row>
    <row r="997" spans="4:10" s="64" customFormat="1" ht="12.000000">
      <c r="D997" s="69"/>
      <c r="E997" s="69"/>
      <c r="F997" s="69"/>
      <c r="G997" s="69"/>
      <c r="H997" s="69"/>
      <c r="I997" s="69"/>
      <c r="J997" s="69"/>
    </row>
    <row r="998" spans="4:10" s="64" customFormat="1" ht="12.000000">
      <c r="D998" s="69"/>
      <c r="E998" s="69"/>
      <c r="F998" s="69"/>
      <c r="G998" s="69"/>
      <c r="H998" s="69"/>
      <c r="I998" s="69"/>
      <c r="J998" s="69"/>
    </row>
    <row r="999" spans="4:10" s="64" customFormat="1" ht="12.000000">
      <c r="D999" s="69"/>
      <c r="E999" s="69"/>
      <c r="F999" s="69"/>
      <c r="G999" s="69"/>
      <c r="H999" s="69"/>
      <c r="I999" s="69"/>
      <c r="J999" s="69"/>
    </row>
    <row r="1000" spans="4:10" s="64" customFormat="1" ht="12.000000">
      <c r="D1000" s="69"/>
      <c r="E1000" s="69"/>
      <c r="F1000" s="69"/>
      <c r="G1000" s="69"/>
      <c r="H1000" s="69"/>
      <c r="I1000" s="69"/>
      <c r="J1000" s="69"/>
    </row>
    <row r="1001" spans="4:10" s="64" customFormat="1" ht="12.000000">
      <c r="D1001" s="69"/>
      <c r="E1001" s="69"/>
      <c r="F1001" s="69"/>
      <c r="G1001" s="69"/>
      <c r="H1001" s="69"/>
      <c r="I1001" s="69"/>
      <c r="J1001" s="69"/>
    </row>
    <row r="1002" spans="4:10" s="64" customFormat="1" ht="12.000000">
      <c r="D1002" s="69"/>
      <c r="E1002" s="69"/>
      <c r="F1002" s="69"/>
      <c r="G1002" s="69"/>
      <c r="H1002" s="69"/>
      <c r="I1002" s="69"/>
      <c r="J1002" s="69"/>
    </row>
    <row r="1003" spans="4:10" s="64" customFormat="1" ht="12.000000">
      <c r="D1003" s="69"/>
      <c r="E1003" s="69"/>
      <c r="F1003" s="69"/>
      <c r="G1003" s="69"/>
      <c r="H1003" s="69"/>
      <c r="I1003" s="69"/>
      <c r="J1003" s="69"/>
    </row>
    <row r="1004" spans="4:10" s="64" customFormat="1" ht="12.000000">
      <c r="D1004" s="69"/>
      <c r="E1004" s="69"/>
      <c r="F1004" s="69"/>
      <c r="G1004" s="69"/>
      <c r="H1004" s="69"/>
      <c r="I1004" s="69"/>
      <c r="J1004" s="69"/>
    </row>
    <row r="1005" spans="4:10" s="64" customFormat="1" ht="12.000000">
      <c r="D1005" s="69"/>
      <c r="E1005" s="69"/>
      <c r="F1005" s="69"/>
      <c r="G1005" s="69"/>
      <c r="H1005" s="69"/>
      <c r="I1005" s="69"/>
      <c r="J1005" s="69"/>
    </row>
    <row r="1006" spans="4:10" s="64" customFormat="1" ht="12.000000">
      <c r="D1006" s="69"/>
      <c r="E1006" s="69"/>
      <c r="F1006" s="69"/>
      <c r="G1006" s="69"/>
      <c r="H1006" s="69"/>
      <c r="I1006" s="69"/>
      <c r="J1006" s="69"/>
    </row>
    <row r="1007" spans="4:10" s="64" customFormat="1" ht="12.000000">
      <c r="D1007" s="69"/>
      <c r="E1007" s="69"/>
      <c r="F1007" s="69"/>
      <c r="G1007" s="69"/>
      <c r="H1007" s="69"/>
      <c r="I1007" s="69"/>
      <c r="J1007" s="69"/>
    </row>
    <row r="1008" spans="4:10" s="64" customFormat="1" ht="12.000000">
      <c r="D1008" s="69"/>
      <c r="E1008" s="69"/>
      <c r="F1008" s="69"/>
      <c r="G1008" s="69"/>
      <c r="H1008" s="69"/>
      <c r="I1008" s="69"/>
      <c r="J1008" s="69"/>
    </row>
    <row r="1009" spans="4:10" s="64" customFormat="1" ht="12.000000">
      <c r="D1009" s="69"/>
      <c r="E1009" s="69"/>
      <c r="F1009" s="69"/>
      <c r="G1009" s="69"/>
      <c r="H1009" s="69"/>
      <c r="I1009" s="69"/>
      <c r="J1009" s="69"/>
    </row>
    <row r="1010" spans="4:10" s="64" customFormat="1" ht="12.000000">
      <c r="D1010" s="69"/>
      <c r="E1010" s="69"/>
      <c r="F1010" s="69"/>
      <c r="G1010" s="69"/>
      <c r="H1010" s="69"/>
      <c r="I1010" s="69"/>
      <c r="J1010" s="69"/>
    </row>
    <row r="1011" spans="4:10" s="64" customFormat="1" ht="12.000000">
      <c r="D1011" s="69"/>
      <c r="E1011" s="69"/>
      <c r="F1011" s="69"/>
      <c r="G1011" s="69"/>
      <c r="H1011" s="69"/>
      <c r="I1011" s="69"/>
      <c r="J1011" s="69"/>
    </row>
    <row r="1012" spans="4:10" s="64" customFormat="1" ht="12.000000">
      <c r="D1012" s="69"/>
      <c r="E1012" s="69"/>
      <c r="F1012" s="69"/>
      <c r="G1012" s="69"/>
      <c r="H1012" s="69"/>
      <c r="I1012" s="69"/>
      <c r="J1012" s="69"/>
    </row>
    <row r="1013" spans="4:10" s="64" customFormat="1" ht="12.000000">
      <c r="D1013" s="69"/>
      <c r="E1013" s="69"/>
      <c r="F1013" s="69"/>
      <c r="G1013" s="69"/>
      <c r="H1013" s="69"/>
      <c r="I1013" s="69"/>
      <c r="J1013" s="69"/>
    </row>
    <row r="1014" spans="4:10" s="64" customFormat="1" ht="12.000000">
      <c r="D1014" s="69"/>
      <c r="E1014" s="69"/>
      <c r="F1014" s="69"/>
      <c r="G1014" s="69"/>
      <c r="H1014" s="69"/>
      <c r="I1014" s="69"/>
      <c r="J1014" s="69"/>
    </row>
    <row r="1015" spans="4:10" s="64" customFormat="1" ht="12.000000">
      <c r="D1015" s="69"/>
      <c r="E1015" s="69"/>
      <c r="F1015" s="69"/>
      <c r="G1015" s="69"/>
      <c r="H1015" s="69"/>
      <c r="I1015" s="69"/>
      <c r="J1015" s="69"/>
    </row>
    <row r="1016" spans="4:10" s="64" customFormat="1" ht="12.000000">
      <c r="D1016" s="69"/>
      <c r="E1016" s="69"/>
      <c r="F1016" s="69"/>
      <c r="G1016" s="69"/>
      <c r="H1016" s="69"/>
      <c r="I1016" s="69"/>
      <c r="J1016" s="69"/>
    </row>
    <row r="1017" spans="4:10" s="64" customFormat="1" ht="12.000000">
      <c r="D1017" s="69"/>
      <c r="E1017" s="69"/>
      <c r="F1017" s="69"/>
      <c r="G1017" s="69"/>
      <c r="H1017" s="69"/>
      <c r="I1017" s="69"/>
      <c r="J1017" s="69"/>
    </row>
    <row r="1018" spans="4:10" s="64" customFormat="1" ht="12.000000">
      <c r="D1018" s="69"/>
      <c r="E1018" s="69"/>
      <c r="F1018" s="69"/>
      <c r="G1018" s="69"/>
      <c r="H1018" s="69"/>
      <c r="I1018" s="69"/>
      <c r="J1018" s="69"/>
    </row>
    <row r="1019" spans="4:10" s="64" customFormat="1" ht="12.000000">
      <c r="D1019" s="69"/>
      <c r="E1019" s="69"/>
      <c r="F1019" s="69"/>
      <c r="G1019" s="69"/>
      <c r="H1019" s="69"/>
      <c r="I1019" s="69"/>
      <c r="J1019" s="69"/>
    </row>
    <row r="1020" spans="4:10" s="64" customFormat="1" ht="12.000000">
      <c r="D1020" s="69"/>
      <c r="E1020" s="69"/>
      <c r="F1020" s="69"/>
      <c r="G1020" s="69"/>
      <c r="H1020" s="69"/>
      <c r="I1020" s="69"/>
      <c r="J1020" s="69"/>
    </row>
    <row r="1021" spans="4:10" s="64" customFormat="1" ht="12.000000">
      <c r="D1021" s="69"/>
      <c r="E1021" s="69"/>
      <c r="F1021" s="69"/>
      <c r="G1021" s="69"/>
      <c r="H1021" s="69"/>
      <c r="I1021" s="69"/>
      <c r="J1021" s="69"/>
    </row>
    <row r="1022" spans="4:10" s="64" customFormat="1" ht="12.000000">
      <c r="D1022" s="69"/>
      <c r="E1022" s="69"/>
      <c r="F1022" s="69"/>
      <c r="G1022" s="69"/>
      <c r="H1022" s="69"/>
      <c r="I1022" s="69"/>
      <c r="J1022" s="69"/>
    </row>
    <row r="1023" spans="4:10" s="64" customFormat="1" ht="12.000000">
      <c r="D1023" s="69"/>
      <c r="E1023" s="69"/>
      <c r="F1023" s="69"/>
      <c r="G1023" s="69"/>
      <c r="H1023" s="69"/>
      <c r="I1023" s="69"/>
      <c r="J1023" s="69"/>
    </row>
    <row r="1024" spans="4:10" s="64" customFormat="1" ht="12.000000">
      <c r="D1024" s="69"/>
      <c r="E1024" s="69"/>
      <c r="F1024" s="69"/>
      <c r="G1024" s="69"/>
      <c r="H1024" s="69"/>
      <c r="I1024" s="69"/>
      <c r="J1024" s="69"/>
    </row>
    <row r="1025" spans="4:10" s="64" customFormat="1" ht="12.000000">
      <c r="D1025" s="69"/>
      <c r="E1025" s="69"/>
      <c r="F1025" s="69"/>
      <c r="G1025" s="69"/>
      <c r="H1025" s="69"/>
      <c r="I1025" s="69"/>
      <c r="J1025" s="69"/>
    </row>
    <row r="1026" spans="4:10" s="64" customFormat="1" ht="12.000000">
      <c r="D1026" s="69"/>
      <c r="E1026" s="69"/>
      <c r="F1026" s="69"/>
      <c r="G1026" s="69"/>
      <c r="H1026" s="69"/>
      <c r="I1026" s="69"/>
      <c r="J1026" s="69"/>
    </row>
    <row r="1027" spans="4:10" s="64" customFormat="1" ht="12.000000">
      <c r="D1027" s="69"/>
      <c r="E1027" s="69"/>
      <c r="F1027" s="69"/>
      <c r="G1027" s="69"/>
      <c r="H1027" s="69"/>
      <c r="I1027" s="69"/>
      <c r="J1027" s="69"/>
    </row>
    <row r="1028" spans="4:10" s="64" customFormat="1" ht="12.000000">
      <c r="D1028" s="69"/>
      <c r="E1028" s="69"/>
      <c r="F1028" s="69"/>
      <c r="G1028" s="69"/>
      <c r="H1028" s="69"/>
      <c r="I1028" s="69"/>
      <c r="J1028" s="69"/>
    </row>
    <row r="1029" spans="4:10" s="64" customFormat="1" ht="12.000000">
      <c r="D1029" s="69"/>
      <c r="E1029" s="69"/>
      <c r="F1029" s="69"/>
      <c r="G1029" s="69"/>
      <c r="H1029" s="69"/>
      <c r="I1029" s="69"/>
      <c r="J1029" s="69"/>
    </row>
    <row r="1030" spans="4:10" s="64" customFormat="1" ht="12.000000">
      <c r="D1030" s="69"/>
      <c r="E1030" s="69"/>
      <c r="F1030" s="69"/>
      <c r="G1030" s="69"/>
      <c r="H1030" s="69"/>
      <c r="I1030" s="69"/>
      <c r="J1030" s="69"/>
    </row>
    <row r="1031" spans="4:10" s="64" customFormat="1" ht="12.000000">
      <c r="D1031" s="69"/>
      <c r="E1031" s="69"/>
      <c r="F1031" s="69"/>
      <c r="G1031" s="69"/>
      <c r="H1031" s="69"/>
      <c r="I1031" s="69"/>
      <c r="J1031" s="69"/>
    </row>
    <row r="1032" spans="4:10" s="64" customFormat="1" ht="12.000000">
      <c r="D1032" s="69"/>
      <c r="E1032" s="69"/>
      <c r="F1032" s="69"/>
      <c r="G1032" s="69"/>
      <c r="H1032" s="69"/>
      <c r="I1032" s="69"/>
      <c r="J1032" s="69"/>
    </row>
    <row r="1033" spans="4:10" s="64" customFormat="1" ht="12.000000">
      <c r="D1033" s="69"/>
      <c r="E1033" s="69"/>
      <c r="F1033" s="69"/>
      <c r="G1033" s="69"/>
      <c r="H1033" s="69"/>
      <c r="I1033" s="69"/>
      <c r="J1033" s="69"/>
    </row>
    <row r="1034" spans="4:10" s="64" customFormat="1" ht="12.000000">
      <c r="D1034" s="69"/>
      <c r="E1034" s="69"/>
      <c r="F1034" s="69"/>
      <c r="G1034" s="69"/>
      <c r="H1034" s="69"/>
      <c r="I1034" s="69"/>
      <c r="J1034" s="69"/>
    </row>
    <row r="1035" spans="4:10" s="64" customFormat="1" ht="12.000000">
      <c r="D1035" s="69"/>
      <c r="E1035" s="69"/>
      <c r="F1035" s="69"/>
      <c r="G1035" s="69"/>
      <c r="H1035" s="69"/>
      <c r="I1035" s="69"/>
      <c r="J1035" s="69"/>
    </row>
    <row r="1036" spans="4:10" s="64" customFormat="1" ht="12.000000">
      <c r="D1036" s="69"/>
      <c r="E1036" s="69"/>
      <c r="F1036" s="69"/>
      <c r="G1036" s="69"/>
      <c r="H1036" s="69"/>
      <c r="I1036" s="69"/>
      <c r="J1036" s="69"/>
    </row>
    <row r="1037" spans="4:10" s="64" customFormat="1" ht="12.000000">
      <c r="D1037" s="69"/>
      <c r="E1037" s="69"/>
      <c r="F1037" s="69"/>
      <c r="G1037" s="69"/>
      <c r="H1037" s="69"/>
      <c r="I1037" s="69"/>
      <c r="J1037" s="69"/>
    </row>
    <row r="1038" spans="4:10" s="64" customFormat="1" ht="12.000000">
      <c r="D1038" s="69"/>
      <c r="E1038" s="69"/>
      <c r="F1038" s="69"/>
      <c r="G1038" s="69"/>
      <c r="H1038" s="69"/>
      <c r="I1038" s="69"/>
      <c r="J1038" s="69"/>
    </row>
    <row r="1039" spans="4:10" s="64" customFormat="1" ht="12.000000">
      <c r="D1039" s="69"/>
      <c r="E1039" s="69"/>
      <c r="F1039" s="69"/>
      <c r="G1039" s="69"/>
      <c r="H1039" s="69"/>
      <c r="I1039" s="69"/>
      <c r="J1039" s="69"/>
    </row>
    <row r="1040" spans="4:10" s="64" customFormat="1" ht="12.000000">
      <c r="D1040" s="69"/>
      <c r="E1040" s="69"/>
      <c r="F1040" s="69"/>
      <c r="G1040" s="69"/>
      <c r="H1040" s="69"/>
      <c r="I1040" s="69"/>
      <c r="J1040" s="69"/>
    </row>
    <row r="1041" spans="4:10" s="64" customFormat="1" ht="12.000000">
      <c r="D1041" s="69"/>
      <c r="E1041" s="69"/>
      <c r="F1041" s="69"/>
      <c r="G1041" s="69"/>
      <c r="H1041" s="69"/>
      <c r="I1041" s="69"/>
      <c r="J1041" s="69"/>
    </row>
    <row r="1042" spans="4:10" s="64" customFormat="1" ht="12.000000">
      <c r="D1042" s="69"/>
      <c r="E1042" s="69"/>
      <c r="F1042" s="69"/>
      <c r="G1042" s="69"/>
      <c r="H1042" s="69"/>
      <c r="I1042" s="69"/>
      <c r="J1042" s="69"/>
    </row>
    <row r="1043" spans="4:10" s="64" customFormat="1" ht="12.000000">
      <c r="D1043" s="69"/>
      <c r="E1043" s="69"/>
      <c r="F1043" s="69"/>
      <c r="G1043" s="69"/>
      <c r="H1043" s="69"/>
      <c r="I1043" s="69"/>
      <c r="J1043" s="69"/>
    </row>
    <row r="1044" spans="4:10" s="64" customFormat="1" ht="12.000000">
      <c r="D1044" s="69"/>
      <c r="E1044" s="69"/>
      <c r="F1044" s="69"/>
      <c r="G1044" s="69"/>
      <c r="H1044" s="69"/>
      <c r="I1044" s="69"/>
      <c r="J1044" s="69"/>
    </row>
    <row r="1045" spans="4:10" s="64" customFormat="1" ht="12.000000">
      <c r="D1045" s="69"/>
      <c r="E1045" s="69"/>
      <c r="F1045" s="69"/>
      <c r="G1045" s="69"/>
      <c r="H1045" s="69"/>
      <c r="I1045" s="69"/>
      <c r="J1045" s="69"/>
    </row>
    <row r="1046" spans="4:10" s="64" customFormat="1" ht="12.000000">
      <c r="D1046" s="69"/>
      <c r="E1046" s="69"/>
      <c r="F1046" s="69"/>
      <c r="G1046" s="69"/>
      <c r="H1046" s="69"/>
      <c r="I1046" s="69"/>
      <c r="J1046" s="69"/>
    </row>
    <row r="1047" spans="4:10" s="64" customFormat="1" ht="12.000000">
      <c r="D1047" s="69"/>
      <c r="E1047" s="69"/>
      <c r="F1047" s="69"/>
      <c r="G1047" s="69"/>
      <c r="H1047" s="69"/>
      <c r="I1047" s="69"/>
      <c r="J1047" s="69"/>
    </row>
    <row r="1048" spans="4:10" s="64" customFormat="1" ht="12.000000">
      <c r="D1048" s="69"/>
      <c r="E1048" s="69"/>
      <c r="F1048" s="69"/>
      <c r="G1048" s="69"/>
      <c r="H1048" s="69"/>
      <c r="I1048" s="69"/>
      <c r="J1048" s="69"/>
    </row>
    <row r="1049" spans="4:10" s="64" customFormat="1" ht="12.000000">
      <c r="D1049" s="69"/>
      <c r="E1049" s="69"/>
      <c r="F1049" s="69"/>
      <c r="G1049" s="69"/>
      <c r="H1049" s="69"/>
      <c r="I1049" s="69"/>
      <c r="J1049" s="69"/>
    </row>
    <row r="1050" spans="4:10" s="64" customFormat="1" ht="12.000000">
      <c r="D1050" s="69"/>
      <c r="E1050" s="69"/>
      <c r="F1050" s="69"/>
      <c r="G1050" s="69"/>
      <c r="H1050" s="69"/>
      <c r="I1050" s="69"/>
      <c r="J1050" s="69"/>
    </row>
    <row r="1051" spans="4:10" s="64" customFormat="1" ht="12.000000">
      <c r="D1051" s="69"/>
      <c r="E1051" s="69"/>
      <c r="F1051" s="69"/>
      <c r="G1051" s="69"/>
      <c r="H1051" s="69"/>
      <c r="I1051" s="69"/>
      <c r="J1051" s="69"/>
    </row>
    <row r="1052" spans="4:10" s="64" customFormat="1" ht="12.000000">
      <c r="D1052" s="69"/>
      <c r="E1052" s="69"/>
      <c r="F1052" s="69"/>
      <c r="G1052" s="69"/>
      <c r="H1052" s="69"/>
      <c r="I1052" s="69"/>
      <c r="J1052" s="69"/>
    </row>
    <row r="1053" spans="4:10" s="64" customFormat="1" ht="12.000000">
      <c r="D1053" s="69"/>
      <c r="E1053" s="69"/>
      <c r="F1053" s="69"/>
      <c r="G1053" s="69"/>
      <c r="H1053" s="69"/>
      <c r="I1053" s="69"/>
      <c r="J1053" s="69"/>
    </row>
    <row r="1054" spans="4:10" s="64" customFormat="1" ht="12.000000">
      <c r="D1054" s="69"/>
      <c r="E1054" s="69"/>
      <c r="F1054" s="69"/>
      <c r="G1054" s="69"/>
      <c r="H1054" s="69"/>
      <c r="I1054" s="69"/>
      <c r="J1054" s="69"/>
    </row>
    <row r="1055" spans="4:10" s="64" customFormat="1" ht="12.000000">
      <c r="D1055" s="69"/>
      <c r="E1055" s="69"/>
      <c r="F1055" s="69"/>
      <c r="G1055" s="69"/>
      <c r="H1055" s="69"/>
      <c r="I1055" s="69"/>
      <c r="J1055" s="69"/>
    </row>
    <row r="1056" spans="4:10" s="64" customFormat="1" ht="12.000000">
      <c r="D1056" s="69"/>
      <c r="E1056" s="69"/>
      <c r="F1056" s="69"/>
      <c r="G1056" s="69"/>
      <c r="H1056" s="69"/>
      <c r="I1056" s="69"/>
      <c r="J1056" s="69"/>
    </row>
    <row r="1057" spans="4:10" s="64" customFormat="1" ht="12.000000">
      <c r="D1057" s="69"/>
      <c r="E1057" s="69"/>
      <c r="F1057" s="69"/>
      <c r="G1057" s="69"/>
      <c r="H1057" s="69"/>
      <c r="I1057" s="69"/>
      <c r="J1057" s="69"/>
    </row>
    <row r="1058" spans="4:10" s="64" customFormat="1" ht="12.000000">
      <c r="D1058" s="69"/>
      <c r="E1058" s="69"/>
      <c r="F1058" s="69"/>
      <c r="G1058" s="69"/>
      <c r="H1058" s="69"/>
      <c r="I1058" s="69"/>
      <c r="J1058" s="69"/>
    </row>
    <row r="1059" spans="4:10" s="64" customFormat="1" ht="12.000000">
      <c r="D1059" s="69"/>
      <c r="E1059" s="69"/>
      <c r="F1059" s="69"/>
      <c r="G1059" s="69"/>
      <c r="H1059" s="69"/>
      <c r="I1059" s="69"/>
      <c r="J1059" s="69"/>
    </row>
    <row r="1060" spans="4:10" s="64" customFormat="1" ht="12.000000">
      <c r="D1060" s="69"/>
      <c r="E1060" s="69"/>
      <c r="F1060" s="69"/>
      <c r="G1060" s="69"/>
      <c r="H1060" s="69"/>
      <c r="I1060" s="69"/>
      <c r="J1060" s="69"/>
    </row>
    <row r="1061" spans="4:10" s="64" customFormat="1" ht="12.000000">
      <c r="D1061" s="69"/>
      <c r="E1061" s="69"/>
      <c r="F1061" s="69"/>
      <c r="G1061" s="69"/>
      <c r="H1061" s="69"/>
      <c r="I1061" s="69"/>
      <c r="J1061" s="69"/>
    </row>
    <row r="1062" spans="4:10" s="64" customFormat="1" ht="12.000000">
      <c r="D1062" s="69"/>
      <c r="E1062" s="69"/>
      <c r="F1062" s="69"/>
      <c r="G1062" s="69"/>
      <c r="H1062" s="69"/>
      <c r="I1062" s="69"/>
      <c r="J1062" s="69"/>
    </row>
    <row r="1063" spans="4:10" s="64" customFormat="1" ht="12.000000">
      <c r="D1063" s="69"/>
      <c r="E1063" s="69"/>
      <c r="F1063" s="69"/>
      <c r="G1063" s="69"/>
      <c r="H1063" s="69"/>
      <c r="I1063" s="69"/>
      <c r="J1063" s="69"/>
    </row>
    <row r="1064" spans="4:10" s="64" customFormat="1" ht="12.000000">
      <c r="D1064" s="69"/>
      <c r="E1064" s="69"/>
      <c r="F1064" s="69"/>
      <c r="G1064" s="69"/>
      <c r="H1064" s="69"/>
      <c r="I1064" s="69"/>
      <c r="J1064" s="69"/>
    </row>
    <row r="1065" spans="4:10" s="64" customFormat="1" ht="12.000000">
      <c r="D1065" s="69"/>
      <c r="E1065" s="69"/>
      <c r="F1065" s="69"/>
      <c r="G1065" s="69"/>
      <c r="H1065" s="69"/>
      <c r="I1065" s="69"/>
      <c r="J1065" s="69"/>
    </row>
    <row r="1066" spans="4:10" s="64" customFormat="1" ht="12.000000">
      <c r="D1066" s="69"/>
      <c r="E1066" s="69"/>
      <c r="F1066" s="69"/>
      <c r="G1066" s="69"/>
      <c r="H1066" s="69"/>
      <c r="I1066" s="69"/>
      <c r="J1066" s="69"/>
    </row>
    <row r="1067" spans="4:10" s="64" customFormat="1" ht="12.000000">
      <c r="D1067" s="69"/>
      <c r="E1067" s="69"/>
      <c r="F1067" s="69"/>
      <c r="G1067" s="69"/>
      <c r="H1067" s="69"/>
      <c r="I1067" s="69"/>
      <c r="J1067" s="69"/>
    </row>
    <row r="1068" spans="4:10" s="64" customFormat="1" ht="12.000000">
      <c r="D1068" s="69"/>
      <c r="E1068" s="69"/>
      <c r="F1068" s="69"/>
      <c r="G1068" s="69"/>
      <c r="H1068" s="69"/>
      <c r="I1068" s="69"/>
      <c r="J1068" s="69"/>
    </row>
    <row r="1069" spans="4:10" s="64" customFormat="1" ht="12.000000">
      <c r="D1069" s="69"/>
      <c r="E1069" s="69"/>
      <c r="F1069" s="69"/>
      <c r="G1069" s="69"/>
      <c r="H1069" s="69"/>
      <c r="I1069" s="69"/>
      <c r="J1069" s="69"/>
    </row>
    <row r="1070" spans="4:10" s="64" customFormat="1" ht="12.000000">
      <c r="D1070" s="69"/>
      <c r="E1070" s="69"/>
      <c r="F1070" s="69"/>
      <c r="G1070" s="69"/>
      <c r="H1070" s="69"/>
      <c r="I1070" s="69"/>
      <c r="J1070" s="69"/>
    </row>
    <row r="1071" spans="4:10" s="64" customFormat="1" ht="12.000000">
      <c r="D1071" s="69"/>
      <c r="E1071" s="69"/>
      <c r="F1071" s="69"/>
      <c r="G1071" s="69"/>
      <c r="H1071" s="69"/>
      <c r="I1071" s="69"/>
      <c r="J1071" s="69"/>
    </row>
    <row r="1072" spans="4:10" s="64" customFormat="1" ht="12.000000">
      <c r="D1072" s="69"/>
      <c r="E1072" s="69"/>
      <c r="F1072" s="69"/>
      <c r="G1072" s="69"/>
      <c r="H1072" s="69"/>
      <c r="I1072" s="69"/>
      <c r="J1072" s="69"/>
    </row>
    <row r="1073" spans="4:10" s="64" customFormat="1" ht="12.000000">
      <c r="D1073" s="69"/>
      <c r="E1073" s="69"/>
      <c r="F1073" s="69"/>
      <c r="G1073" s="69"/>
      <c r="H1073" s="69"/>
      <c r="I1073" s="69"/>
      <c r="J1073" s="69"/>
    </row>
    <row r="1074" spans="4:10" s="64" customFormat="1" ht="12.000000">
      <c r="D1074" s="69"/>
      <c r="E1074" s="69"/>
      <c r="F1074" s="69"/>
      <c r="G1074" s="69"/>
      <c r="H1074" s="69"/>
      <c r="I1074" s="69"/>
      <c r="J1074" s="69"/>
    </row>
    <row r="1075" spans="4:10" s="64" customFormat="1" ht="12.000000">
      <c r="D1075" s="69"/>
      <c r="E1075" s="69"/>
      <c r="F1075" s="69"/>
      <c r="G1075" s="69"/>
      <c r="H1075" s="69"/>
      <c r="I1075" s="69"/>
      <c r="J1075" s="69"/>
    </row>
    <row r="1076" spans="4:10" s="64" customFormat="1" ht="12.000000">
      <c r="D1076" s="69"/>
      <c r="E1076" s="69"/>
      <c r="F1076" s="69"/>
      <c r="G1076" s="69"/>
      <c r="H1076" s="69"/>
      <c r="I1076" s="69"/>
      <c r="J1076" s="69"/>
    </row>
    <row r="1077" spans="4:10" s="64" customFormat="1" ht="12.000000">
      <c r="D1077" s="69"/>
      <c r="E1077" s="69"/>
      <c r="F1077" s="69"/>
      <c r="G1077" s="69"/>
      <c r="H1077" s="69"/>
      <c r="I1077" s="69"/>
      <c r="J1077" s="69"/>
    </row>
    <row r="1078" spans="4:10" s="64" customFormat="1" ht="12.000000">
      <c r="D1078" s="69"/>
      <c r="E1078" s="69"/>
      <c r="F1078" s="69"/>
      <c r="G1078" s="69"/>
      <c r="H1078" s="69"/>
      <c r="I1078" s="69"/>
      <c r="J1078" s="69"/>
    </row>
    <row r="1079" spans="4:10" s="64" customFormat="1" ht="12.000000">
      <c r="D1079" s="69"/>
      <c r="E1079" s="69"/>
      <c r="F1079" s="69"/>
      <c r="G1079" s="69"/>
      <c r="H1079" s="69"/>
      <c r="I1079" s="69"/>
      <c r="J1079" s="69"/>
    </row>
    <row r="1080" spans="4:10" s="64" customFormat="1" ht="12.000000">
      <c r="D1080" s="69"/>
      <c r="E1080" s="69"/>
      <c r="F1080" s="69"/>
      <c r="G1080" s="69"/>
      <c r="H1080" s="69"/>
      <c r="I1080" s="69"/>
      <c r="J1080" s="69"/>
    </row>
    <row r="1081" spans="4:10" s="64" customFormat="1" ht="12.000000">
      <c r="D1081" s="69"/>
      <c r="E1081" s="69"/>
      <c r="F1081" s="69"/>
      <c r="G1081" s="69"/>
      <c r="H1081" s="69"/>
      <c r="I1081" s="69"/>
      <c r="J1081" s="69"/>
    </row>
    <row r="1082" spans="4:10" s="64" customFormat="1" ht="12.000000">
      <c r="D1082" s="69"/>
      <c r="E1082" s="69"/>
      <c r="F1082" s="69"/>
      <c r="G1082" s="69"/>
      <c r="H1082" s="69"/>
      <c r="I1082" s="69"/>
      <c r="J1082" s="69"/>
    </row>
    <row r="1083" spans="4:10" s="64" customFormat="1" ht="12.000000">
      <c r="D1083" s="69"/>
      <c r="E1083" s="69"/>
      <c r="F1083" s="69"/>
      <c r="G1083" s="69"/>
      <c r="H1083" s="69"/>
      <c r="I1083" s="69"/>
      <c r="J1083" s="69"/>
    </row>
    <row r="1084" spans="4:10" s="64" customFormat="1" ht="12.000000">
      <c r="D1084" s="69"/>
      <c r="E1084" s="69"/>
      <c r="F1084" s="69"/>
      <c r="G1084" s="69"/>
      <c r="H1084" s="69"/>
      <c r="I1084" s="69"/>
      <c r="J1084" s="69"/>
    </row>
    <row r="1085" spans="4:10" s="64" customFormat="1" ht="12.000000">
      <c r="D1085" s="69"/>
      <c r="E1085" s="69"/>
      <c r="F1085" s="69"/>
      <c r="G1085" s="69"/>
      <c r="H1085" s="69"/>
      <c r="I1085" s="69"/>
      <c r="J1085" s="69"/>
    </row>
    <row r="1086" spans="4:10" s="64" customFormat="1" ht="12.000000">
      <c r="D1086" s="69"/>
      <c r="E1086" s="69"/>
      <c r="F1086" s="69"/>
      <c r="G1086" s="69"/>
      <c r="H1086" s="69"/>
      <c r="I1086" s="69"/>
      <c r="J1086" s="69"/>
    </row>
    <row r="1087" spans="4:10" s="64" customFormat="1" ht="12.000000">
      <c r="D1087" s="69"/>
      <c r="E1087" s="69"/>
      <c r="F1087" s="69"/>
      <c r="G1087" s="69"/>
      <c r="H1087" s="69"/>
      <c r="I1087" s="69"/>
      <c r="J1087" s="69"/>
    </row>
    <row r="1088" spans="4:10" s="64" customFormat="1" ht="12.000000">
      <c r="D1088" s="69"/>
      <c r="E1088" s="69"/>
      <c r="F1088" s="69"/>
      <c r="G1088" s="69"/>
      <c r="H1088" s="69"/>
      <c r="I1088" s="69"/>
      <c r="J1088" s="69"/>
    </row>
    <row r="1089" spans="4:10" s="64" customFormat="1" ht="12.000000">
      <c r="D1089" s="69"/>
      <c r="E1089" s="69"/>
      <c r="F1089" s="69"/>
      <c r="G1089" s="69"/>
      <c r="H1089" s="69"/>
      <c r="I1089" s="69"/>
      <c r="J1089" s="69"/>
    </row>
    <row r="1090" spans="4:10" s="64" customFormat="1" ht="12.000000">
      <c r="D1090" s="69"/>
      <c r="E1090" s="69"/>
      <c r="F1090" s="69"/>
      <c r="G1090" s="69"/>
      <c r="H1090" s="69"/>
      <c r="I1090" s="69"/>
      <c r="J1090" s="69"/>
    </row>
    <row r="1091" spans="4:10" s="64" customFormat="1" ht="12.000000">
      <c r="D1091" s="69"/>
      <c r="E1091" s="69"/>
      <c r="F1091" s="69"/>
      <c r="G1091" s="69"/>
      <c r="H1091" s="69"/>
      <c r="I1091" s="69"/>
      <c r="J1091" s="69"/>
    </row>
    <row r="1092" spans="4:10" s="64" customFormat="1" ht="12.000000">
      <c r="D1092" s="69"/>
      <c r="E1092" s="69"/>
      <c r="F1092" s="69"/>
      <c r="G1092" s="69"/>
      <c r="H1092" s="69"/>
      <c r="I1092" s="69"/>
      <c r="J1092" s="69"/>
    </row>
    <row r="1093" spans="4:10" s="64" customFormat="1" ht="12.000000">
      <c r="D1093" s="69"/>
      <c r="E1093" s="69"/>
      <c r="F1093" s="69"/>
      <c r="G1093" s="69"/>
      <c r="H1093" s="69"/>
      <c r="I1093" s="69"/>
      <c r="J1093" s="69"/>
    </row>
    <row r="1094" spans="4:10" s="64" customFormat="1" ht="12.000000">
      <c r="D1094" s="69"/>
      <c r="E1094" s="69"/>
      <c r="F1094" s="69"/>
      <c r="G1094" s="69"/>
      <c r="H1094" s="69"/>
      <c r="I1094" s="69"/>
      <c r="J1094" s="69"/>
    </row>
    <row r="1095" spans="4:10" s="64" customFormat="1" ht="12.000000">
      <c r="D1095" s="69"/>
      <c r="E1095" s="69"/>
      <c r="F1095" s="69"/>
      <c r="G1095" s="69"/>
      <c r="H1095" s="69"/>
      <c r="I1095" s="69"/>
      <c r="J1095" s="69"/>
    </row>
    <row r="1096" spans="4:10" s="64" customFormat="1" ht="12.000000">
      <c r="D1096" s="69"/>
      <c r="E1096" s="69"/>
      <c r="F1096" s="69"/>
      <c r="G1096" s="69"/>
      <c r="H1096" s="69"/>
      <c r="I1096" s="69"/>
      <c r="J1096" s="69"/>
    </row>
    <row r="1097" spans="4:10" s="64" customFormat="1" ht="12.000000">
      <c r="D1097" s="69"/>
      <c r="E1097" s="69"/>
      <c r="F1097" s="69"/>
      <c r="G1097" s="69"/>
      <c r="H1097" s="69"/>
      <c r="I1097" s="69"/>
      <c r="J1097" s="69"/>
    </row>
    <row r="1098" spans="4:10" s="64" customFormat="1" ht="12.000000">
      <c r="D1098" s="69"/>
      <c r="E1098" s="69"/>
      <c r="F1098" s="69"/>
      <c r="G1098" s="69"/>
      <c r="H1098" s="69"/>
      <c r="I1098" s="69"/>
      <c r="J1098" s="69"/>
    </row>
    <row r="1099" spans="4:10" s="64" customFormat="1" ht="12.000000">
      <c r="D1099" s="69"/>
      <c r="E1099" s="69"/>
      <c r="F1099" s="69"/>
      <c r="G1099" s="69"/>
      <c r="H1099" s="69"/>
      <c r="I1099" s="69"/>
      <c r="J1099" s="69"/>
    </row>
    <row r="1100" spans="4:10" s="64" customFormat="1" ht="12.000000">
      <c r="D1100" s="69"/>
      <c r="E1100" s="69"/>
      <c r="F1100" s="69"/>
      <c r="G1100" s="69"/>
      <c r="H1100" s="69"/>
      <c r="I1100" s="69"/>
      <c r="J1100" s="69"/>
    </row>
    <row r="1101" spans="4:10" s="64" customFormat="1" ht="12.000000">
      <c r="D1101" s="69"/>
      <c r="E1101" s="69"/>
      <c r="F1101" s="69"/>
      <c r="G1101" s="69"/>
      <c r="H1101" s="69"/>
      <c r="I1101" s="69"/>
      <c r="J1101" s="69"/>
    </row>
    <row r="1102" spans="4:10" s="64" customFormat="1" ht="12.000000">
      <c r="D1102" s="69"/>
      <c r="E1102" s="69"/>
      <c r="F1102" s="69"/>
      <c r="G1102" s="69"/>
      <c r="H1102" s="69"/>
      <c r="I1102" s="69"/>
      <c r="J1102" s="69"/>
    </row>
    <row r="1103" spans="4:10" s="64" customFormat="1" ht="12.000000">
      <c r="D1103" s="69"/>
      <c r="E1103" s="69"/>
      <c r="F1103" s="69"/>
      <c r="G1103" s="69"/>
      <c r="H1103" s="69"/>
      <c r="I1103" s="69"/>
      <c r="J1103" s="69"/>
    </row>
    <row r="1104" spans="4:10" s="64" customFormat="1" ht="12.000000">
      <c r="D1104" s="69"/>
      <c r="E1104" s="69"/>
      <c r="F1104" s="69"/>
      <c r="G1104" s="69"/>
      <c r="H1104" s="69"/>
      <c r="I1104" s="69"/>
      <c r="J1104" s="69"/>
    </row>
    <row r="1105" spans="4:10" s="64" customFormat="1" ht="12.000000">
      <c r="D1105" s="69"/>
      <c r="E1105" s="69"/>
      <c r="F1105" s="69"/>
      <c r="G1105" s="69"/>
      <c r="H1105" s="69"/>
      <c r="I1105" s="69"/>
      <c r="J1105" s="69"/>
    </row>
    <row r="1106" spans="4:10" s="64" customFormat="1" ht="12.000000">
      <c r="D1106" s="69"/>
      <c r="E1106" s="69"/>
      <c r="F1106" s="69"/>
      <c r="G1106" s="69"/>
      <c r="H1106" s="69"/>
      <c r="I1106" s="69"/>
      <c r="J1106" s="69"/>
    </row>
    <row r="1107" spans="4:10" s="64" customFormat="1" ht="12.000000">
      <c r="D1107" s="69"/>
      <c r="E1107" s="69"/>
      <c r="F1107" s="69"/>
      <c r="G1107" s="69"/>
      <c r="H1107" s="69"/>
      <c r="I1107" s="69"/>
      <c r="J1107" s="69"/>
    </row>
    <row r="1108" spans="4:10" s="64" customFormat="1" ht="12.000000">
      <c r="D1108" s="69"/>
      <c r="E1108" s="69"/>
      <c r="F1108" s="69"/>
      <c r="G1108" s="69"/>
      <c r="H1108" s="69"/>
      <c r="I1108" s="69"/>
      <c r="J1108" s="69"/>
    </row>
    <row r="1109" spans="4:10" s="64" customFormat="1" ht="12.000000">
      <c r="D1109" s="69"/>
      <c r="E1109" s="69"/>
      <c r="F1109" s="69"/>
      <c r="G1109" s="69"/>
      <c r="H1109" s="69"/>
      <c r="I1109" s="69"/>
      <c r="J1109" s="69"/>
    </row>
    <row r="1110" spans="4:10" s="64" customFormat="1" ht="12.000000">
      <c r="D1110" s="69"/>
      <c r="E1110" s="69"/>
      <c r="F1110" s="69"/>
      <c r="G1110" s="69"/>
      <c r="H1110" s="69"/>
      <c r="I1110" s="69"/>
      <c r="J1110" s="69"/>
    </row>
    <row r="1111" spans="4:10" s="64" customFormat="1" ht="12.000000">
      <c r="D1111" s="69"/>
      <c r="E1111" s="69"/>
      <c r="F1111" s="69"/>
      <c r="G1111" s="69"/>
      <c r="H1111" s="69"/>
      <c r="I1111" s="69"/>
      <c r="J1111" s="69"/>
    </row>
    <row r="1112" spans="4:10" s="64" customFormat="1" ht="12.000000">
      <c r="D1112" s="69"/>
      <c r="E1112" s="69"/>
      <c r="F1112" s="69"/>
      <c r="G1112" s="69"/>
      <c r="H1112" s="69"/>
      <c r="I1112" s="69"/>
      <c r="J1112" s="69"/>
    </row>
    <row r="1113" spans="4:10" s="64" customFormat="1" ht="12.000000">
      <c r="D1113" s="69"/>
      <c r="E1113" s="69"/>
      <c r="F1113" s="69"/>
      <c r="G1113" s="69"/>
      <c r="H1113" s="69"/>
      <c r="I1113" s="69"/>
      <c r="J1113" s="69"/>
    </row>
    <row r="1114" spans="4:10" s="64" customFormat="1" ht="12.000000">
      <c r="D1114" s="69"/>
      <c r="E1114" s="69"/>
      <c r="F1114" s="69"/>
      <c r="G1114" s="69"/>
      <c r="H1114" s="69"/>
      <c r="I1114" s="69"/>
      <c r="J1114" s="69"/>
    </row>
    <row r="1115" spans="4:10" s="64" customFormat="1" ht="12.000000">
      <c r="D1115" s="69"/>
      <c r="E1115" s="69"/>
      <c r="F1115" s="69"/>
      <c r="G1115" s="69"/>
      <c r="H1115" s="69"/>
      <c r="I1115" s="69"/>
      <c r="J1115" s="69"/>
    </row>
    <row r="1116" spans="4:10" s="64" customFormat="1" ht="12.000000">
      <c r="D1116" s="69"/>
      <c r="E1116" s="69"/>
      <c r="F1116" s="69"/>
      <c r="G1116" s="69"/>
      <c r="H1116" s="69"/>
      <c r="I1116" s="69"/>
      <c r="J1116" s="69"/>
    </row>
    <row r="1117" spans="4:10" s="64" customFormat="1" ht="12.000000">
      <c r="D1117" s="69"/>
      <c r="E1117" s="69"/>
      <c r="F1117" s="69"/>
      <c r="G1117" s="69"/>
      <c r="H1117" s="69"/>
      <c r="I1117" s="69"/>
      <c r="J1117" s="69"/>
    </row>
    <row r="1118" spans="4:10" s="64" customFormat="1" ht="12.000000">
      <c r="D1118" s="69"/>
      <c r="E1118" s="69"/>
      <c r="F1118" s="69"/>
      <c r="G1118" s="69"/>
      <c r="H1118" s="69"/>
      <c r="I1118" s="69"/>
      <c r="J1118" s="69"/>
    </row>
    <row r="1119" spans="4:10" s="64" customFormat="1" ht="12.000000">
      <c r="D1119" s="69"/>
      <c r="E1119" s="69"/>
      <c r="F1119" s="69"/>
      <c r="G1119" s="69"/>
      <c r="H1119" s="69"/>
      <c r="I1119" s="69"/>
      <c r="J1119" s="69"/>
    </row>
    <row r="1120" spans="4:10" s="64" customFormat="1" ht="12.000000">
      <c r="D1120" s="69"/>
      <c r="E1120" s="69"/>
      <c r="F1120" s="69"/>
      <c r="G1120" s="69"/>
      <c r="H1120" s="69"/>
      <c r="I1120" s="69"/>
      <c r="J1120" s="69"/>
    </row>
    <row r="1121" spans="4:10" s="64" customFormat="1" ht="12.000000">
      <c r="D1121" s="69"/>
      <c r="E1121" s="69"/>
      <c r="F1121" s="69"/>
      <c r="G1121" s="69"/>
      <c r="H1121" s="69"/>
      <c r="I1121" s="69"/>
      <c r="J1121" s="69"/>
    </row>
    <row r="1122" spans="4:10" s="64" customFormat="1" ht="12.000000">
      <c r="D1122" s="69"/>
      <c r="E1122" s="69"/>
      <c r="F1122" s="69"/>
      <c r="G1122" s="69"/>
      <c r="H1122" s="69"/>
      <c r="I1122" s="69"/>
      <c r="J1122" s="69"/>
    </row>
    <row r="1123" spans="4:10" s="64" customFormat="1" ht="12.000000">
      <c r="D1123" s="69"/>
      <c r="E1123" s="69"/>
      <c r="F1123" s="69"/>
      <c r="G1123" s="69"/>
      <c r="H1123" s="69"/>
      <c r="I1123" s="69"/>
      <c r="J1123" s="69"/>
    </row>
    <row r="1124" spans="4:10" s="64" customFormat="1" ht="12.000000">
      <c r="D1124" s="69"/>
      <c r="E1124" s="69"/>
      <c r="F1124" s="69"/>
      <c r="G1124" s="69"/>
      <c r="H1124" s="69"/>
      <c r="I1124" s="69"/>
      <c r="J1124" s="69"/>
    </row>
    <row r="1125" spans="4:10" s="64" customFormat="1" ht="12.000000">
      <c r="D1125" s="69"/>
      <c r="E1125" s="69"/>
      <c r="F1125" s="69"/>
      <c r="G1125" s="69"/>
      <c r="H1125" s="69"/>
      <c r="I1125" s="69"/>
      <c r="J1125" s="69"/>
    </row>
    <row r="1126" spans="4:10" s="64" customFormat="1" ht="12.000000">
      <c r="D1126" s="69"/>
      <c r="E1126" s="69"/>
      <c r="F1126" s="69"/>
      <c r="G1126" s="69"/>
      <c r="H1126" s="69"/>
      <c r="I1126" s="69"/>
      <c r="J1126" s="69"/>
    </row>
    <row r="1127" spans="4:10" s="64" customFormat="1" ht="12.000000">
      <c r="D1127" s="69"/>
      <c r="E1127" s="69"/>
      <c r="F1127" s="69"/>
      <c r="G1127" s="69"/>
      <c r="H1127" s="69"/>
      <c r="I1127" s="69"/>
      <c r="J1127" s="69"/>
    </row>
    <row r="1128" spans="4:10" s="64" customFormat="1" ht="12.000000">
      <c r="D1128" s="69"/>
      <c r="E1128" s="69"/>
      <c r="F1128" s="69"/>
      <c r="G1128" s="69"/>
      <c r="H1128" s="69"/>
      <c r="I1128" s="69"/>
      <c r="J1128" s="69"/>
    </row>
    <row r="1129" spans="4:10" s="64" customFormat="1" ht="12.000000">
      <c r="D1129" s="69"/>
      <c r="E1129" s="69"/>
      <c r="F1129" s="69"/>
      <c r="G1129" s="69"/>
      <c r="H1129" s="69"/>
      <c r="I1129" s="69"/>
      <c r="J1129" s="69"/>
    </row>
    <row r="1130" spans="4:10" s="64" customFormat="1" ht="12.000000">
      <c r="D1130" s="69"/>
      <c r="E1130" s="69"/>
      <c r="F1130" s="69"/>
      <c r="G1130" s="69"/>
      <c r="H1130" s="69"/>
      <c r="I1130" s="69"/>
      <c r="J1130" s="69"/>
    </row>
    <row r="1131" spans="4:10" s="64" customFormat="1" ht="12.000000">
      <c r="D1131" s="69"/>
      <c r="E1131" s="69"/>
      <c r="F1131" s="69"/>
      <c r="G1131" s="69"/>
      <c r="H1131" s="69"/>
      <c r="I1131" s="69"/>
      <c r="J1131" s="69"/>
    </row>
    <row r="1132" spans="4:10" s="64" customFormat="1" ht="12.000000">
      <c r="D1132" s="69"/>
      <c r="E1132" s="69"/>
      <c r="F1132" s="69"/>
      <c r="G1132" s="69"/>
      <c r="H1132" s="69"/>
      <c r="I1132" s="69"/>
      <c r="J1132" s="69"/>
    </row>
    <row r="1133" spans="4:10" s="64" customFormat="1" ht="12.000000">
      <c r="D1133" s="69"/>
      <c r="E1133" s="69"/>
      <c r="F1133" s="69"/>
      <c r="G1133" s="69"/>
      <c r="H1133" s="69"/>
      <c r="I1133" s="69"/>
      <c r="J1133" s="69"/>
    </row>
    <row r="1134" spans="4:10" s="64" customFormat="1" ht="12.000000">
      <c r="D1134" s="69"/>
      <c r="E1134" s="69"/>
      <c r="F1134" s="69"/>
      <c r="G1134" s="69"/>
      <c r="H1134" s="69"/>
      <c r="I1134" s="69"/>
      <c r="J1134" s="69"/>
    </row>
    <row r="1135" spans="4:10" s="64" customFormat="1" ht="12.000000">
      <c r="D1135" s="69"/>
      <c r="E1135" s="69"/>
      <c r="F1135" s="69"/>
      <c r="G1135" s="69"/>
      <c r="H1135" s="69"/>
      <c r="I1135" s="69"/>
      <c r="J1135" s="69"/>
    </row>
    <row r="1136" spans="4:10" s="64" customFormat="1" ht="12.000000">
      <c r="D1136" s="69"/>
      <c r="E1136" s="69"/>
      <c r="F1136" s="69"/>
      <c r="G1136" s="69"/>
      <c r="H1136" s="69"/>
      <c r="I1136" s="69"/>
      <c r="J1136" s="69"/>
    </row>
    <row r="1137" spans="4:10" s="64" customFormat="1" ht="12.000000">
      <c r="D1137" s="69"/>
      <c r="E1137" s="69"/>
      <c r="F1137" s="69"/>
      <c r="G1137" s="69"/>
      <c r="H1137" s="69"/>
      <c r="I1137" s="69"/>
      <c r="J1137" s="69"/>
    </row>
    <row r="1138" spans="4:10" s="64" customFormat="1" ht="12.000000">
      <c r="D1138" s="69"/>
      <c r="E1138" s="69"/>
      <c r="F1138" s="69"/>
      <c r="G1138" s="69"/>
      <c r="H1138" s="69"/>
      <c r="I1138" s="69"/>
      <c r="J1138" s="69"/>
    </row>
    <row r="1139" spans="4:10" s="64" customFormat="1" ht="12.000000">
      <c r="D1139" s="69"/>
      <c r="E1139" s="69"/>
      <c r="F1139" s="69"/>
      <c r="G1139" s="69"/>
      <c r="H1139" s="69"/>
      <c r="I1139" s="69"/>
      <c r="J1139" s="69"/>
    </row>
    <row r="1140" spans="4:10" s="64" customFormat="1" ht="12.000000">
      <c r="D1140" s="69"/>
      <c r="E1140" s="69"/>
      <c r="F1140" s="69"/>
      <c r="G1140" s="69"/>
      <c r="H1140" s="69"/>
      <c r="I1140" s="69"/>
      <c r="J1140" s="69"/>
    </row>
    <row r="1141" spans="4:10" s="64" customFormat="1" ht="12.000000">
      <c r="D1141" s="69"/>
      <c r="E1141" s="69"/>
      <c r="F1141" s="69"/>
      <c r="G1141" s="69"/>
      <c r="H1141" s="69"/>
      <c r="I1141" s="69"/>
      <c r="J1141" s="69"/>
    </row>
    <row r="1142" spans="4:10" s="64" customFormat="1" ht="12.000000">
      <c r="D1142" s="69"/>
      <c r="E1142" s="69"/>
      <c r="F1142" s="69"/>
      <c r="G1142" s="69"/>
      <c r="H1142" s="69"/>
      <c r="I1142" s="69"/>
      <c r="J1142" s="69"/>
    </row>
    <row r="1143" spans="4:10" s="64" customFormat="1" ht="12.000000">
      <c r="D1143" s="69"/>
      <c r="E1143" s="69"/>
      <c r="F1143" s="69"/>
      <c r="G1143" s="69"/>
      <c r="H1143" s="69"/>
      <c r="I1143" s="69"/>
      <c r="J1143" s="69"/>
    </row>
    <row r="1144" spans="4:10" s="64" customFormat="1" ht="12.000000">
      <c r="D1144" s="69"/>
      <c r="E1144" s="69"/>
      <c r="F1144" s="69"/>
      <c r="G1144" s="69"/>
      <c r="H1144" s="69"/>
      <c r="I1144" s="69"/>
      <c r="J1144" s="69"/>
    </row>
    <row r="1145" spans="4:10" s="64" customFormat="1" ht="12.000000">
      <c r="D1145" s="69"/>
      <c r="E1145" s="69"/>
      <c r="F1145" s="69"/>
      <c r="G1145" s="69"/>
      <c r="H1145" s="69"/>
      <c r="I1145" s="69"/>
      <c r="J1145" s="69"/>
    </row>
    <row r="1146" spans="4:10" s="64" customFormat="1" ht="12.000000">
      <c r="D1146" s="69"/>
      <c r="E1146" s="69"/>
      <c r="F1146" s="69"/>
      <c r="G1146" s="69"/>
      <c r="H1146" s="69"/>
      <c r="I1146" s="69"/>
      <c r="J1146" s="69"/>
    </row>
    <row r="1147" spans="4:10" s="64" customFormat="1" ht="12.000000">
      <c r="D1147" s="69"/>
      <c r="E1147" s="69"/>
      <c r="F1147" s="69"/>
      <c r="G1147" s="69"/>
      <c r="H1147" s="69"/>
      <c r="I1147" s="69"/>
      <c r="J1147" s="69"/>
    </row>
    <row r="1148" spans="4:10" s="64" customFormat="1" ht="12.000000">
      <c r="D1148" s="69"/>
      <c r="E1148" s="69"/>
      <c r="F1148" s="69"/>
      <c r="G1148" s="69"/>
      <c r="H1148" s="69"/>
      <c r="I1148" s="69"/>
      <c r="J1148" s="69"/>
    </row>
    <row r="1149" spans="4:10" s="64" customFormat="1" ht="12.000000">
      <c r="D1149" s="69"/>
      <c r="E1149" s="69"/>
      <c r="F1149" s="69"/>
      <c r="G1149" s="69"/>
      <c r="H1149" s="69"/>
      <c r="I1149" s="69"/>
      <c r="J1149" s="69"/>
    </row>
    <row r="1150" spans="4:10" s="64" customFormat="1" ht="12.000000">
      <c r="D1150" s="69"/>
      <c r="E1150" s="69"/>
      <c r="F1150" s="69"/>
      <c r="G1150" s="69"/>
      <c r="H1150" s="69"/>
      <c r="I1150" s="69"/>
      <c r="J1150" s="69"/>
    </row>
    <row r="1151" spans="4:10" s="64" customFormat="1" ht="12.000000">
      <c r="D1151" s="69"/>
      <c r="E1151" s="69"/>
      <c r="F1151" s="69"/>
      <c r="G1151" s="69"/>
      <c r="H1151" s="69"/>
      <c r="I1151" s="69"/>
      <c r="J1151" s="69"/>
    </row>
    <row r="1152" spans="4:10" s="64" customFormat="1" ht="12.000000">
      <c r="D1152" s="69"/>
      <c r="E1152" s="69"/>
      <c r="F1152" s="69"/>
      <c r="G1152" s="69"/>
      <c r="H1152" s="69"/>
      <c r="I1152" s="69"/>
      <c r="J1152" s="69"/>
    </row>
    <row r="1153" spans="4:10" s="64" customFormat="1" ht="12.000000">
      <c r="D1153" s="69"/>
      <c r="E1153" s="69"/>
      <c r="F1153" s="69"/>
      <c r="G1153" s="69"/>
      <c r="H1153" s="69"/>
      <c r="I1153" s="69"/>
      <c r="J1153" s="69"/>
    </row>
    <row r="1154" spans="4:10" s="64" customFormat="1" ht="12.000000">
      <c r="D1154" s="69"/>
      <c r="E1154" s="69"/>
      <c r="F1154" s="69"/>
      <c r="G1154" s="69"/>
      <c r="H1154" s="69"/>
      <c r="I1154" s="69"/>
      <c r="J1154" s="69"/>
    </row>
    <row r="1155" spans="4:10" s="64" customFormat="1" ht="12.000000">
      <c r="D1155" s="69"/>
      <c r="E1155" s="69"/>
      <c r="F1155" s="69"/>
      <c r="G1155" s="69"/>
      <c r="H1155" s="69"/>
      <c r="I1155" s="69"/>
      <c r="J1155" s="69"/>
    </row>
    <row r="1156" spans="4:10" s="64" customFormat="1" ht="12.000000">
      <c r="D1156" s="69"/>
      <c r="E1156" s="69"/>
      <c r="F1156" s="69"/>
      <c r="G1156" s="69"/>
      <c r="H1156" s="69"/>
      <c r="I1156" s="69"/>
      <c r="J1156" s="69"/>
    </row>
    <row r="1157" spans="4:10" s="64" customFormat="1" ht="12.000000">
      <c r="D1157" s="69"/>
      <c r="E1157" s="69"/>
      <c r="F1157" s="69"/>
      <c r="G1157" s="69"/>
      <c r="H1157" s="69"/>
      <c r="I1157" s="69"/>
      <c r="J1157" s="69"/>
    </row>
    <row r="1158" spans="4:10" s="64" customFormat="1" ht="12.000000">
      <c r="D1158" s="69"/>
      <c r="E1158" s="69"/>
      <c r="F1158" s="69"/>
      <c r="G1158" s="69"/>
      <c r="H1158" s="69"/>
      <c r="I1158" s="69"/>
      <c r="J1158" s="69"/>
    </row>
    <row r="1159" spans="4:10" s="64" customFormat="1" ht="12.000000">
      <c r="D1159" s="69"/>
      <c r="E1159" s="69"/>
      <c r="F1159" s="69"/>
      <c r="G1159" s="69"/>
      <c r="H1159" s="69"/>
      <c r="I1159" s="69"/>
      <c r="J1159" s="69"/>
    </row>
    <row r="1160" spans="4:10" s="64" customFormat="1" ht="12.000000">
      <c r="D1160" s="69"/>
      <c r="E1160" s="69"/>
      <c r="F1160" s="69"/>
      <c r="G1160" s="69"/>
      <c r="H1160" s="69"/>
      <c r="I1160" s="69"/>
      <c r="J1160" s="69"/>
    </row>
    <row r="1161" spans="4:10" s="64" customFormat="1" ht="12.000000">
      <c r="D1161" s="69"/>
      <c r="E1161" s="69"/>
      <c r="F1161" s="69"/>
      <c r="G1161" s="69"/>
      <c r="H1161" s="69"/>
      <c r="I1161" s="69"/>
      <c r="J1161" s="69"/>
    </row>
    <row r="1162" spans="4:10" s="64" customFormat="1" ht="12.000000">
      <c r="D1162" s="69"/>
      <c r="E1162" s="69"/>
      <c r="F1162" s="69"/>
      <c r="G1162" s="69"/>
      <c r="H1162" s="69"/>
      <c r="I1162" s="69"/>
      <c r="J1162" s="69"/>
    </row>
    <row r="1163" spans="4:10" s="64" customFormat="1" ht="12.000000">
      <c r="D1163" s="69"/>
      <c r="E1163" s="69"/>
      <c r="F1163" s="69"/>
      <c r="G1163" s="69"/>
      <c r="H1163" s="69"/>
      <c r="I1163" s="69"/>
      <c r="J1163" s="69"/>
    </row>
    <row r="1164" spans="4:10" s="64" customFormat="1" ht="12.000000">
      <c r="D1164" s="69"/>
      <c r="E1164" s="69"/>
      <c r="F1164" s="69"/>
      <c r="G1164" s="69"/>
      <c r="H1164" s="69"/>
      <c r="I1164" s="69"/>
      <c r="J1164" s="69"/>
    </row>
    <row r="1165" spans="4:10" s="64" customFormat="1" ht="12.000000">
      <c r="D1165" s="69"/>
      <c r="E1165" s="69"/>
      <c r="F1165" s="69"/>
      <c r="G1165" s="69"/>
      <c r="H1165" s="69"/>
      <c r="I1165" s="69"/>
      <c r="J1165" s="69"/>
    </row>
    <row r="1166" spans="4:10" s="64" customFormat="1" ht="12.000000">
      <c r="D1166" s="69"/>
      <c r="E1166" s="69"/>
      <c r="F1166" s="69"/>
      <c r="G1166" s="69"/>
      <c r="H1166" s="69"/>
      <c r="I1166" s="69"/>
      <c r="J1166" s="69"/>
    </row>
    <row r="1167" spans="4:10" s="64" customFormat="1" ht="12.000000">
      <c r="D1167" s="69"/>
      <c r="E1167" s="69"/>
      <c r="F1167" s="69"/>
      <c r="G1167" s="69"/>
      <c r="H1167" s="69"/>
      <c r="I1167" s="69"/>
      <c r="J1167" s="69"/>
    </row>
    <row r="1168" spans="4:10" s="64" customFormat="1" ht="12.000000">
      <c r="D1168" s="69"/>
      <c r="E1168" s="69"/>
      <c r="F1168" s="69"/>
      <c r="G1168" s="69"/>
      <c r="H1168" s="69"/>
      <c r="I1168" s="69"/>
      <c r="J1168" s="69"/>
    </row>
    <row r="1169" spans="4:10" s="64" customFormat="1" ht="12.000000">
      <c r="D1169" s="69"/>
      <c r="E1169" s="69"/>
      <c r="F1169" s="69"/>
      <c r="G1169" s="69"/>
      <c r="H1169" s="69"/>
      <c r="I1169" s="69"/>
      <c r="J1169" s="69"/>
    </row>
    <row r="1170" spans="4:10" s="64" customFormat="1" ht="12.000000">
      <c r="D1170" s="69"/>
      <c r="E1170" s="69"/>
      <c r="F1170" s="69"/>
      <c r="G1170" s="69"/>
      <c r="H1170" s="69"/>
      <c r="I1170" s="69"/>
      <c r="J1170" s="69"/>
    </row>
    <row r="1171" spans="4:10" s="64" customFormat="1" ht="12.000000">
      <c r="D1171" s="69"/>
      <c r="E1171" s="69"/>
      <c r="F1171" s="69"/>
      <c r="G1171" s="69"/>
      <c r="H1171" s="69"/>
      <c r="I1171" s="69"/>
      <c r="J1171" s="69"/>
    </row>
    <row r="1172" spans="4:10" s="64" customFormat="1" ht="12.000000">
      <c r="D1172" s="69"/>
      <c r="E1172" s="69"/>
      <c r="F1172" s="69"/>
      <c r="G1172" s="69"/>
      <c r="H1172" s="69"/>
      <c r="I1172" s="69"/>
      <c r="J1172" s="69"/>
    </row>
    <row r="1173" spans="4:10" s="64" customFormat="1" ht="12.000000">
      <c r="D1173" s="69"/>
      <c r="E1173" s="69"/>
      <c r="F1173" s="69"/>
      <c r="G1173" s="69"/>
      <c r="H1173" s="69"/>
      <c r="I1173" s="69"/>
      <c r="J1173" s="69"/>
    </row>
    <row r="1174" spans="4:10" s="64" customFormat="1" ht="12.000000">
      <c r="D1174" s="69"/>
      <c r="E1174" s="69"/>
      <c r="F1174" s="69"/>
      <c r="G1174" s="69"/>
      <c r="H1174" s="69"/>
      <c r="I1174" s="69"/>
      <c r="J1174" s="69"/>
    </row>
    <row r="1175" spans="4:10" s="64" customFormat="1" ht="12.000000">
      <c r="D1175" s="69"/>
      <c r="E1175" s="69"/>
      <c r="F1175" s="69"/>
      <c r="G1175" s="69"/>
      <c r="H1175" s="69"/>
      <c r="I1175" s="69"/>
      <c r="J1175" s="69"/>
    </row>
    <row r="1176" spans="4:10" s="64" customFormat="1" ht="12.000000">
      <c r="D1176" s="69"/>
      <c r="E1176" s="69"/>
      <c r="F1176" s="69"/>
      <c r="G1176" s="69"/>
      <c r="H1176" s="69"/>
      <c r="I1176" s="69"/>
      <c r="J1176" s="69"/>
    </row>
    <row r="1177" spans="4:10" s="64" customFormat="1" ht="12.000000">
      <c r="D1177" s="69"/>
      <c r="E1177" s="69"/>
      <c r="F1177" s="69"/>
      <c r="G1177" s="69"/>
      <c r="H1177" s="69"/>
      <c r="I1177" s="69"/>
      <c r="J1177" s="69"/>
    </row>
    <row r="1178" spans="4:10" s="64" customFormat="1" ht="12.000000">
      <c r="D1178" s="69"/>
      <c r="E1178" s="69"/>
      <c r="F1178" s="69"/>
      <c r="G1178" s="69"/>
      <c r="H1178" s="69"/>
      <c r="I1178" s="69"/>
      <c r="J1178" s="69"/>
    </row>
    <row r="1179" spans="4:10" s="64" customFormat="1" ht="12.000000">
      <c r="D1179" s="69"/>
      <c r="E1179" s="69"/>
      <c r="F1179" s="69"/>
      <c r="G1179" s="69"/>
      <c r="H1179" s="69"/>
      <c r="I1179" s="69"/>
      <c r="J1179" s="69"/>
    </row>
    <row r="1180" spans="4:10" s="64" customFormat="1" ht="12.000000">
      <c r="D1180" s="69"/>
      <c r="E1180" s="69"/>
      <c r="F1180" s="69"/>
      <c r="G1180" s="69"/>
      <c r="H1180" s="69"/>
      <c r="I1180" s="69"/>
      <c r="J1180" s="69"/>
    </row>
    <row r="1181" spans="4:10" s="64" customFormat="1" ht="12.000000">
      <c r="D1181" s="69"/>
      <c r="E1181" s="69"/>
      <c r="F1181" s="69"/>
      <c r="G1181" s="69"/>
      <c r="H1181" s="69"/>
      <c r="I1181" s="69"/>
      <c r="J1181" s="69"/>
    </row>
    <row r="1182" spans="4:10" s="64" customFormat="1" ht="12.000000">
      <c r="D1182" s="69"/>
      <c r="E1182" s="69"/>
      <c r="F1182" s="69"/>
      <c r="G1182" s="69"/>
      <c r="H1182" s="69"/>
      <c r="I1182" s="69"/>
      <c r="J1182" s="69"/>
    </row>
    <row r="1183" spans="4:10" s="64" customFormat="1" ht="12.000000">
      <c r="D1183" s="69"/>
      <c r="E1183" s="69"/>
      <c r="F1183" s="69"/>
      <c r="G1183" s="69"/>
      <c r="H1183" s="69"/>
      <c r="I1183" s="69"/>
      <c r="J1183" s="69"/>
    </row>
    <row r="1184" spans="4:10" s="64" customFormat="1" ht="12.000000">
      <c r="D1184" s="69"/>
      <c r="E1184" s="69"/>
      <c r="F1184" s="69"/>
      <c r="G1184" s="69"/>
      <c r="H1184" s="69"/>
      <c r="I1184" s="69"/>
      <c r="J1184" s="69"/>
    </row>
    <row r="1185" spans="4:10" s="64" customFormat="1" ht="12.000000">
      <c r="D1185" s="69"/>
      <c r="E1185" s="69"/>
      <c r="F1185" s="69"/>
      <c r="G1185" s="69"/>
      <c r="H1185" s="69"/>
      <c r="I1185" s="69"/>
      <c r="J1185" s="69"/>
    </row>
    <row r="1186" spans="4:10" s="64" customFormat="1" ht="12.000000">
      <c r="D1186" s="69"/>
      <c r="E1186" s="69"/>
      <c r="F1186" s="69"/>
      <c r="G1186" s="69"/>
      <c r="H1186" s="69"/>
      <c r="I1186" s="69"/>
      <c r="J1186" s="69"/>
    </row>
    <row r="1187" spans="4:10" s="64" customFormat="1" ht="12.000000">
      <c r="D1187" s="69"/>
      <c r="E1187" s="69"/>
      <c r="F1187" s="69"/>
      <c r="G1187" s="69"/>
      <c r="H1187" s="69"/>
      <c r="I1187" s="69"/>
      <c r="J1187" s="69"/>
    </row>
    <row r="1188" spans="4:10" s="64" customFormat="1" ht="12.000000">
      <c r="D1188" s="69"/>
      <c r="E1188" s="69"/>
      <c r="F1188" s="69"/>
      <c r="G1188" s="69"/>
      <c r="H1188" s="69"/>
      <c r="I1188" s="69"/>
      <c r="J1188" s="69"/>
    </row>
    <row r="1189" spans="4:10" s="64" customFormat="1" ht="12.000000">
      <c r="D1189" s="69"/>
      <c r="E1189" s="69"/>
      <c r="F1189" s="69"/>
      <c r="G1189" s="69"/>
      <c r="H1189" s="69"/>
      <c r="I1189" s="69"/>
      <c r="J1189" s="69"/>
    </row>
    <row r="1190" spans="4:10" s="64" customFormat="1" ht="12.000000">
      <c r="D1190" s="69"/>
      <c r="E1190" s="69"/>
      <c r="F1190" s="69"/>
      <c r="G1190" s="69"/>
      <c r="H1190" s="69"/>
      <c r="I1190" s="69"/>
      <c r="J1190" s="69"/>
    </row>
    <row r="1191" spans="4:10" s="64" customFormat="1" ht="12.000000">
      <c r="D1191" s="69"/>
      <c r="E1191" s="69"/>
      <c r="F1191" s="69"/>
      <c r="G1191" s="69"/>
      <c r="H1191" s="69"/>
      <c r="I1191" s="69"/>
      <c r="J1191" s="69"/>
    </row>
    <row r="1192" spans="4:10" s="64" customFormat="1" ht="12.000000">
      <c r="D1192" s="69"/>
      <c r="E1192" s="69"/>
      <c r="F1192" s="69"/>
      <c r="G1192" s="69"/>
      <c r="H1192" s="69"/>
      <c r="I1192" s="69"/>
      <c r="J1192" s="69"/>
    </row>
    <row r="1193" spans="4:10" s="64" customFormat="1" ht="12.000000">
      <c r="D1193" s="69"/>
      <c r="E1193" s="69"/>
      <c r="F1193" s="69"/>
      <c r="G1193" s="69"/>
      <c r="H1193" s="69"/>
      <c r="I1193" s="69"/>
      <c r="J1193" s="69"/>
    </row>
    <row r="1194" spans="4:10" s="64" customFormat="1" ht="12.000000">
      <c r="D1194" s="69"/>
      <c r="E1194" s="69"/>
      <c r="F1194" s="69"/>
      <c r="G1194" s="69"/>
      <c r="H1194" s="69"/>
      <c r="I1194" s="69"/>
      <c r="J1194" s="69"/>
    </row>
    <row r="1195" spans="4:10" s="64" customFormat="1" ht="12.000000">
      <c r="D1195" s="69"/>
      <c r="E1195" s="69"/>
      <c r="F1195" s="69"/>
      <c r="G1195" s="69"/>
      <c r="H1195" s="69"/>
      <c r="I1195" s="69"/>
      <c r="J1195" s="69"/>
    </row>
    <row r="1196" spans="4:10" s="64" customFormat="1" ht="12.000000">
      <c r="D1196" s="69"/>
      <c r="E1196" s="69"/>
      <c r="F1196" s="69"/>
      <c r="G1196" s="69"/>
      <c r="H1196" s="69"/>
      <c r="I1196" s="69"/>
      <c r="J1196" s="69"/>
    </row>
    <row r="1197" spans="4:10" s="64" customFormat="1" ht="12.000000">
      <c r="D1197" s="69"/>
      <c r="E1197" s="69"/>
      <c r="F1197" s="69"/>
      <c r="G1197" s="69"/>
      <c r="H1197" s="69"/>
      <c r="I1197" s="69"/>
      <c r="J1197" s="69"/>
    </row>
    <row r="1198" spans="4:10" s="64" customFormat="1" ht="12.000000">
      <c r="D1198" s="69"/>
      <c r="E1198" s="69"/>
      <c r="F1198" s="69"/>
      <c r="G1198" s="69"/>
      <c r="H1198" s="69"/>
      <c r="I1198" s="69"/>
      <c r="J1198" s="69"/>
    </row>
    <row r="1199" spans="4:10" s="64" customFormat="1" ht="12.000000">
      <c r="D1199" s="69"/>
      <c r="E1199" s="69"/>
      <c r="F1199" s="69"/>
      <c r="G1199" s="69"/>
      <c r="H1199" s="69"/>
      <c r="I1199" s="69"/>
      <c r="J1199" s="69"/>
    </row>
    <row r="1200" spans="4:10" s="64" customFormat="1" ht="12.000000">
      <c r="D1200" s="69"/>
      <c r="E1200" s="69"/>
      <c r="F1200" s="69"/>
      <c r="G1200" s="69"/>
      <c r="H1200" s="69"/>
      <c r="I1200" s="69"/>
      <c r="J1200" s="69"/>
    </row>
    <row r="1201" spans="4:10" s="64" customFormat="1" ht="12.000000">
      <c r="D1201" s="69"/>
      <c r="E1201" s="69"/>
      <c r="F1201" s="69"/>
      <c r="G1201" s="69"/>
      <c r="H1201" s="69"/>
      <c r="I1201" s="69"/>
      <c r="J1201" s="69"/>
    </row>
    <row r="1202" spans="4:10" s="64" customFormat="1" ht="12.000000">
      <c r="D1202" s="69"/>
      <c r="E1202" s="69"/>
      <c r="F1202" s="69"/>
      <c r="G1202" s="69"/>
      <c r="H1202" s="69"/>
      <c r="I1202" s="69"/>
      <c r="J1202" s="69"/>
    </row>
    <row r="1203" spans="4:10" s="64" customFormat="1" ht="12.000000">
      <c r="D1203" s="69"/>
      <c r="E1203" s="69"/>
      <c r="F1203" s="69"/>
      <c r="G1203" s="69"/>
      <c r="H1203" s="69"/>
      <c r="I1203" s="69"/>
      <c r="J1203" s="69"/>
    </row>
    <row r="1204" spans="4:10" s="64" customFormat="1" ht="12.000000">
      <c r="D1204" s="69"/>
      <c r="E1204" s="69"/>
      <c r="F1204" s="69"/>
      <c r="G1204" s="69"/>
      <c r="H1204" s="69"/>
      <c r="I1204" s="69"/>
      <c r="J1204" s="69"/>
    </row>
    <row r="1205" spans="4:10" s="64" customFormat="1" ht="12.000000">
      <c r="D1205" s="69"/>
      <c r="E1205" s="69"/>
      <c r="F1205" s="69"/>
      <c r="G1205" s="69"/>
      <c r="H1205" s="69"/>
      <c r="I1205" s="69"/>
      <c r="J1205" s="69"/>
    </row>
    <row r="1206" spans="4:10" s="64" customFormat="1" ht="12.000000">
      <c r="D1206" s="69"/>
      <c r="E1206" s="69"/>
      <c r="F1206" s="69"/>
      <c r="G1206" s="69"/>
      <c r="H1206" s="69"/>
      <c r="I1206" s="69"/>
      <c r="J1206" s="69"/>
    </row>
    <row r="1207" spans="4:10" s="64" customFormat="1" ht="12.000000">
      <c r="D1207" s="69"/>
      <c r="E1207" s="69"/>
      <c r="F1207" s="69"/>
      <c r="G1207" s="69"/>
      <c r="H1207" s="69"/>
      <c r="I1207" s="69"/>
      <c r="J1207" s="69"/>
    </row>
    <row r="1208" spans="4:10" s="64" customFormat="1" ht="12.000000">
      <c r="D1208" s="69"/>
      <c r="E1208" s="69"/>
      <c r="F1208" s="69"/>
      <c r="G1208" s="69"/>
      <c r="H1208" s="69"/>
      <c r="I1208" s="69"/>
      <c r="J1208" s="69"/>
    </row>
    <row r="1209" spans="4:10" s="64" customFormat="1" ht="12.000000">
      <c r="D1209" s="69"/>
      <c r="E1209" s="69"/>
      <c r="F1209" s="69"/>
      <c r="G1209" s="69"/>
      <c r="H1209" s="69"/>
      <c r="I1209" s="69"/>
      <c r="J1209" s="69"/>
    </row>
    <row r="1210" spans="4:10" s="64" customFormat="1" ht="12.000000">
      <c r="D1210" s="69"/>
      <c r="E1210" s="69"/>
      <c r="F1210" s="69"/>
      <c r="G1210" s="69"/>
      <c r="H1210" s="69"/>
      <c r="I1210" s="69"/>
      <c r="J1210" s="69"/>
    </row>
    <row r="1211" spans="4:10" s="64" customFormat="1" ht="12.000000">
      <c r="D1211" s="69"/>
      <c r="E1211" s="69"/>
      <c r="F1211" s="69"/>
      <c r="G1211" s="69"/>
      <c r="H1211" s="69"/>
      <c r="I1211" s="69"/>
      <c r="J1211" s="69"/>
    </row>
    <row r="1212" spans="4:10" s="64" customFormat="1" ht="12.000000">
      <c r="D1212" s="69"/>
      <c r="E1212" s="69"/>
      <c r="F1212" s="69"/>
      <c r="G1212" s="69"/>
      <c r="H1212" s="69"/>
      <c r="I1212" s="69"/>
      <c r="J1212" s="69"/>
    </row>
    <row r="1213" spans="4:10" s="64" customFormat="1" ht="12.000000">
      <c r="D1213" s="69"/>
      <c r="E1213" s="69"/>
      <c r="F1213" s="69"/>
      <c r="G1213" s="69"/>
      <c r="H1213" s="69"/>
      <c r="I1213" s="69"/>
      <c r="J1213" s="69"/>
    </row>
    <row r="1214" spans="4:10" s="64" customFormat="1" ht="12.000000">
      <c r="D1214" s="69"/>
      <c r="E1214" s="69"/>
      <c r="F1214" s="69"/>
      <c r="G1214" s="69"/>
      <c r="H1214" s="69"/>
      <c r="I1214" s="69"/>
      <c r="J1214" s="69"/>
    </row>
    <row r="1215" spans="4:10" s="64" customFormat="1" ht="12.000000">
      <c r="D1215" s="69"/>
      <c r="E1215" s="69"/>
      <c r="F1215" s="69"/>
      <c r="G1215" s="69"/>
      <c r="H1215" s="69"/>
      <c r="I1215" s="69"/>
      <c r="J1215" s="69"/>
    </row>
    <row r="1216" spans="4:10" s="64" customFormat="1" ht="12.000000">
      <c r="D1216" s="69"/>
      <c r="E1216" s="69"/>
      <c r="F1216" s="69"/>
      <c r="G1216" s="69"/>
      <c r="H1216" s="69"/>
      <c r="I1216" s="69"/>
      <c r="J1216" s="69"/>
    </row>
    <row r="1217" spans="4:10" s="64" customFormat="1" ht="12.000000">
      <c r="D1217" s="69"/>
      <c r="E1217" s="69"/>
      <c r="F1217" s="69"/>
      <c r="G1217" s="69"/>
      <c r="H1217" s="69"/>
      <c r="I1217" s="69"/>
      <c r="J1217" s="69"/>
    </row>
    <row r="1218" spans="4:10" s="64" customFormat="1" ht="12.000000">
      <c r="D1218" s="69"/>
      <c r="E1218" s="69"/>
      <c r="F1218" s="69"/>
      <c r="G1218" s="69"/>
      <c r="H1218" s="69"/>
      <c r="I1218" s="69"/>
      <c r="J1218" s="69"/>
    </row>
    <row r="1219" spans="4:10" s="64" customFormat="1" ht="12.000000">
      <c r="D1219" s="69"/>
      <c r="E1219" s="69"/>
      <c r="F1219" s="69"/>
      <c r="G1219" s="69"/>
      <c r="H1219" s="69"/>
      <c r="I1219" s="69"/>
      <c r="J1219" s="69"/>
    </row>
    <row r="1220" spans="4:10" s="64" customFormat="1" ht="12.000000">
      <c r="D1220" s="69"/>
      <c r="E1220" s="69"/>
      <c r="F1220" s="69"/>
      <c r="G1220" s="69"/>
      <c r="H1220" s="69"/>
      <c r="I1220" s="69"/>
      <c r="J1220" s="69"/>
    </row>
    <row r="1221" spans="4:10" s="64" customFormat="1" ht="12.000000">
      <c r="D1221" s="69"/>
      <c r="E1221" s="69"/>
      <c r="F1221" s="69"/>
      <c r="G1221" s="69"/>
      <c r="H1221" s="69"/>
      <c r="I1221" s="69"/>
      <c r="J1221" s="69"/>
    </row>
    <row r="1222" spans="4:10" s="64" customFormat="1" ht="12.000000">
      <c r="D1222" s="69"/>
      <c r="E1222" s="69"/>
      <c r="F1222" s="69"/>
      <c r="G1222" s="69"/>
      <c r="H1222" s="69"/>
      <c r="I1222" s="69"/>
      <c r="J1222" s="69"/>
    </row>
    <row r="1223" spans="4:10" s="64" customFormat="1" ht="12.000000">
      <c r="D1223" s="69"/>
      <c r="E1223" s="69"/>
      <c r="F1223" s="69"/>
      <c r="G1223" s="69"/>
      <c r="H1223" s="69"/>
      <c r="I1223" s="69"/>
      <c r="J1223" s="69"/>
    </row>
    <row r="1224" spans="4:10" s="64" customFormat="1" ht="12.000000">
      <c r="D1224" s="69"/>
      <c r="E1224" s="69"/>
      <c r="F1224" s="69"/>
      <c r="G1224" s="69"/>
      <c r="H1224" s="69"/>
      <c r="I1224" s="69"/>
      <c r="J1224" s="69"/>
    </row>
    <row r="1225" spans="4:10" s="64" customFormat="1" ht="12.000000">
      <c r="D1225" s="69"/>
      <c r="E1225" s="69"/>
      <c r="F1225" s="69"/>
      <c r="G1225" s="69"/>
      <c r="H1225" s="69"/>
      <c r="I1225" s="69"/>
      <c r="J1225" s="69"/>
    </row>
    <row r="1226" spans="4:10" s="64" customFormat="1" ht="12.000000">
      <c r="D1226" s="69"/>
      <c r="E1226" s="69"/>
      <c r="F1226" s="69"/>
      <c r="G1226" s="69"/>
      <c r="H1226" s="69"/>
      <c r="I1226" s="69"/>
      <c r="J1226" s="69"/>
    </row>
    <row r="1227" spans="4:10" s="64" customFormat="1" ht="12.000000">
      <c r="D1227" s="69"/>
      <c r="E1227" s="69"/>
      <c r="F1227" s="69"/>
      <c r="G1227" s="69"/>
      <c r="H1227" s="69"/>
      <c r="I1227" s="69"/>
      <c r="J1227" s="69"/>
    </row>
    <row r="1228" spans="4:10" s="64" customFormat="1" ht="12.000000">
      <c r="D1228" s="69"/>
      <c r="E1228" s="69"/>
      <c r="F1228" s="69"/>
      <c r="G1228" s="69"/>
      <c r="H1228" s="69"/>
      <c r="I1228" s="69"/>
      <c r="J1228" s="69"/>
    </row>
    <row r="1229" spans="4:10" s="64" customFormat="1" ht="12.000000">
      <c r="D1229" s="69"/>
      <c r="E1229" s="69"/>
      <c r="F1229" s="69"/>
      <c r="G1229" s="69"/>
      <c r="H1229" s="69"/>
      <c r="I1229" s="69"/>
      <c r="J1229" s="69"/>
    </row>
    <row r="1230" spans="4:10" s="64" customFormat="1" ht="12.000000">
      <c r="D1230" s="69"/>
      <c r="E1230" s="69"/>
      <c r="F1230" s="69"/>
      <c r="G1230" s="69"/>
      <c r="H1230" s="69"/>
      <c r="I1230" s="69"/>
      <c r="J1230" s="69"/>
    </row>
    <row r="1231" spans="4:10" s="64" customFormat="1" ht="12.000000">
      <c r="D1231" s="69"/>
      <c r="E1231" s="69"/>
      <c r="F1231" s="69"/>
      <c r="G1231" s="69"/>
      <c r="H1231" s="69"/>
      <c r="I1231" s="69"/>
      <c r="J1231" s="69"/>
    </row>
    <row r="1232" spans="4:10" s="64" customFormat="1" ht="12.000000">
      <c r="D1232" s="69"/>
      <c r="E1232" s="69"/>
      <c r="F1232" s="69"/>
      <c r="G1232" s="69"/>
      <c r="H1232" s="69"/>
      <c r="I1232" s="69"/>
      <c r="J1232" s="69"/>
    </row>
    <row r="1233" spans="4:10" s="64" customFormat="1" ht="12.000000">
      <c r="D1233" s="69"/>
      <c r="E1233" s="69"/>
      <c r="F1233" s="69"/>
      <c r="G1233" s="69"/>
      <c r="H1233" s="69"/>
      <c r="I1233" s="69"/>
      <c r="J1233" s="69"/>
    </row>
    <row r="1234" spans="4:10" s="64" customFormat="1" ht="12.000000">
      <c r="D1234" s="69"/>
      <c r="E1234" s="69"/>
      <c r="F1234" s="69"/>
      <c r="G1234" s="69"/>
      <c r="H1234" s="69"/>
      <c r="I1234" s="69"/>
      <c r="J1234" s="69"/>
    </row>
    <row r="1235" spans="4:10" s="64" customFormat="1" ht="12.000000">
      <c r="D1235" s="69"/>
      <c r="E1235" s="69"/>
      <c r="F1235" s="69"/>
      <c r="G1235" s="69"/>
      <c r="H1235" s="69"/>
      <c r="I1235" s="69"/>
      <c r="J1235" s="69"/>
    </row>
    <row r="1236" spans="4:10" s="64" customFormat="1" ht="12.000000">
      <c r="D1236" s="69"/>
      <c r="E1236" s="69"/>
      <c r="F1236" s="69"/>
      <c r="G1236" s="69"/>
      <c r="H1236" s="69"/>
      <c r="I1236" s="69"/>
      <c r="J1236" s="69"/>
    </row>
    <row r="1237" spans="4:10" s="64" customFormat="1" ht="12.000000">
      <c r="D1237" s="69"/>
      <c r="E1237" s="69"/>
      <c r="F1237" s="69"/>
      <c r="G1237" s="69"/>
      <c r="H1237" s="69"/>
      <c r="I1237" s="69"/>
      <c r="J1237" s="69"/>
    </row>
    <row r="1238" spans="4:10" s="64" customFormat="1" ht="12.000000">
      <c r="D1238" s="69"/>
      <c r="E1238" s="69"/>
      <c r="F1238" s="69"/>
      <c r="G1238" s="69"/>
      <c r="H1238" s="69"/>
      <c r="I1238" s="69"/>
      <c r="J1238" s="69"/>
    </row>
    <row r="1239" spans="4:10" s="64" customFormat="1" ht="12.000000">
      <c r="D1239" s="69"/>
      <c r="E1239" s="69"/>
      <c r="F1239" s="69"/>
      <c r="G1239" s="69"/>
      <c r="H1239" s="69"/>
      <c r="I1239" s="69"/>
      <c r="J1239" s="69"/>
    </row>
    <row r="1240" spans="4:10" s="64" customFormat="1" ht="12.000000">
      <c r="D1240" s="69"/>
      <c r="E1240" s="69"/>
      <c r="F1240" s="69"/>
      <c r="G1240" s="69"/>
      <c r="H1240" s="69"/>
      <c r="I1240" s="69"/>
      <c r="J1240" s="69"/>
    </row>
    <row r="1241" spans="4:10" s="64" customFormat="1" ht="12.000000">
      <c r="D1241" s="69"/>
      <c r="E1241" s="69"/>
      <c r="F1241" s="69"/>
      <c r="G1241" s="69"/>
      <c r="H1241" s="69"/>
      <c r="I1241" s="69"/>
      <c r="J1241" s="69"/>
    </row>
    <row r="1242" spans="4:10" s="64" customFormat="1" ht="12.000000">
      <c r="D1242" s="69"/>
      <c r="E1242" s="69"/>
      <c r="F1242" s="69"/>
      <c r="G1242" s="69"/>
      <c r="H1242" s="69"/>
      <c r="I1242" s="69"/>
      <c r="J1242" s="69"/>
    </row>
    <row r="1243" spans="4:10" s="64" customFormat="1" ht="12.000000">
      <c r="D1243" s="69"/>
      <c r="E1243" s="69"/>
      <c r="F1243" s="69"/>
      <c r="G1243" s="69"/>
      <c r="H1243" s="69"/>
      <c r="I1243" s="69"/>
      <c r="J1243" s="69"/>
    </row>
    <row r="1244" spans="4:10" s="64" customFormat="1" ht="12.000000">
      <c r="D1244" s="69"/>
      <c r="E1244" s="69"/>
      <c r="F1244" s="69"/>
      <c r="G1244" s="69"/>
      <c r="H1244" s="69"/>
      <c r="I1244" s="69"/>
      <c r="J1244" s="69"/>
    </row>
    <row r="1245" spans="4:10" s="64" customFormat="1" ht="12.000000">
      <c r="D1245" s="69"/>
      <c r="E1245" s="69"/>
      <c r="F1245" s="69"/>
      <c r="G1245" s="69"/>
      <c r="H1245" s="69"/>
      <c r="I1245" s="69"/>
      <c r="J1245" s="69"/>
    </row>
    <row r="1246" spans="4:10" s="64" customFormat="1" ht="12.000000">
      <c r="D1246" s="69"/>
      <c r="E1246" s="69"/>
      <c r="F1246" s="69"/>
      <c r="G1246" s="69"/>
      <c r="H1246" s="69"/>
      <c r="I1246" s="69"/>
      <c r="J1246" s="69"/>
    </row>
    <row r="1247" spans="4:10" s="64" customFormat="1" ht="12.000000">
      <c r="D1247" s="69"/>
      <c r="E1247" s="69"/>
      <c r="F1247" s="69"/>
      <c r="G1247" s="69"/>
      <c r="H1247" s="69"/>
      <c r="I1247" s="69"/>
      <c r="J1247" s="69"/>
    </row>
    <row r="1248" spans="4:10" s="64" customFormat="1" ht="12.000000">
      <c r="D1248" s="69"/>
      <c r="E1248" s="69"/>
      <c r="F1248" s="69"/>
      <c r="G1248" s="69"/>
      <c r="H1248" s="69"/>
      <c r="I1248" s="69"/>
      <c r="J1248" s="69"/>
    </row>
    <row r="1249" spans="4:10" s="64" customFormat="1" ht="12.000000">
      <c r="D1249" s="69"/>
      <c r="E1249" s="69"/>
      <c r="F1249" s="69"/>
      <c r="G1249" s="69"/>
      <c r="H1249" s="69"/>
      <c r="I1249" s="69"/>
      <c r="J1249" s="69"/>
    </row>
    <row r="1250" spans="4:10" s="64" customFormat="1" ht="12.000000">
      <c r="D1250" s="69"/>
      <c r="E1250" s="69"/>
      <c r="F1250" s="69"/>
      <c r="G1250" s="69"/>
      <c r="H1250" s="69"/>
      <c r="I1250" s="69"/>
      <c r="J1250" s="69"/>
    </row>
    <row r="1251" spans="4:10" s="64" customFormat="1" ht="12.000000">
      <c r="D1251" s="69"/>
      <c r="E1251" s="69"/>
      <c r="F1251" s="69"/>
      <c r="G1251" s="69"/>
      <c r="H1251" s="69"/>
      <c r="I1251" s="69"/>
      <c r="J1251" s="69"/>
    </row>
    <row r="1252" spans="4:10" s="64" customFormat="1" ht="12.000000">
      <c r="D1252" s="69"/>
      <c r="E1252" s="69"/>
      <c r="F1252" s="69"/>
      <c r="G1252" s="69"/>
      <c r="H1252" s="69"/>
      <c r="I1252" s="69"/>
      <c r="J1252" s="69"/>
    </row>
    <row r="1253" spans="4:10" s="64" customFormat="1" ht="12.000000">
      <c r="D1253" s="69"/>
      <c r="E1253" s="69"/>
      <c r="F1253" s="69"/>
      <c r="G1253" s="69"/>
      <c r="H1253" s="69"/>
      <c r="I1253" s="69"/>
      <c r="J1253" s="69"/>
    </row>
    <row r="1254" spans="4:10" s="64" customFormat="1" ht="12.000000">
      <c r="D1254" s="69"/>
      <c r="E1254" s="69"/>
      <c r="F1254" s="69"/>
      <c r="G1254" s="69"/>
      <c r="H1254" s="69"/>
      <c r="I1254" s="69"/>
      <c r="J1254" s="69"/>
    </row>
    <row r="1255" spans="4:10" s="64" customFormat="1" ht="12.000000">
      <c r="D1255" s="69"/>
      <c r="E1255" s="69"/>
      <c r="F1255" s="69"/>
      <c r="G1255" s="69"/>
      <c r="H1255" s="69"/>
      <c r="I1255" s="69"/>
      <c r="J1255" s="69"/>
    </row>
    <row r="1256" spans="4:10" s="64" customFormat="1" ht="12.000000">
      <c r="D1256" s="69"/>
      <c r="E1256" s="69"/>
      <c r="F1256" s="69"/>
      <c r="G1256" s="69"/>
      <c r="H1256" s="69"/>
      <c r="I1256" s="69"/>
      <c r="J1256" s="69"/>
    </row>
    <row r="1257" spans="4:10" s="64" customFormat="1" ht="12.000000">
      <c r="D1257" s="69"/>
      <c r="E1257" s="69"/>
      <c r="F1257" s="69"/>
      <c r="G1257" s="69"/>
      <c r="H1257" s="69"/>
      <c r="I1257" s="69"/>
      <c r="J1257" s="69"/>
    </row>
    <row r="1258" spans="4:10" s="64" customFormat="1" ht="12.000000">
      <c r="D1258" s="69"/>
      <c r="E1258" s="69"/>
      <c r="F1258" s="69"/>
      <c r="G1258" s="69"/>
      <c r="H1258" s="69"/>
      <c r="I1258" s="69"/>
      <c r="J1258" s="69"/>
    </row>
    <row r="1259" spans="4:10" s="64" customFormat="1" ht="12.000000">
      <c r="D1259" s="69"/>
      <c r="E1259" s="69"/>
      <c r="F1259" s="69"/>
      <c r="G1259" s="69"/>
      <c r="H1259" s="69"/>
      <c r="I1259" s="69"/>
      <c r="J1259" s="69"/>
    </row>
    <row r="1260" spans="4:10" s="64" customFormat="1" ht="12.000000">
      <c r="D1260" s="69"/>
      <c r="E1260" s="69"/>
      <c r="F1260" s="69"/>
      <c r="G1260" s="69"/>
      <c r="H1260" s="69"/>
      <c r="I1260" s="69"/>
      <c r="J1260" s="69"/>
    </row>
    <row r="1261" spans="4:10" s="64" customFormat="1" ht="12.000000">
      <c r="D1261" s="69"/>
      <c r="E1261" s="69"/>
      <c r="F1261" s="69"/>
      <c r="G1261" s="69"/>
      <c r="H1261" s="69"/>
      <c r="I1261" s="69"/>
      <c r="J1261" s="69"/>
    </row>
    <row r="1262" spans="4:10" s="64" customFormat="1" ht="12.000000">
      <c r="D1262" s="69"/>
      <c r="E1262" s="69"/>
      <c r="F1262" s="69"/>
      <c r="G1262" s="69"/>
      <c r="H1262" s="69"/>
      <c r="I1262" s="69"/>
      <c r="J1262" s="69"/>
    </row>
    <row r="1263" spans="4:10" s="64" customFormat="1" ht="12.000000">
      <c r="D1263" s="69"/>
      <c r="E1263" s="69"/>
      <c r="F1263" s="69"/>
      <c r="G1263" s="69"/>
      <c r="H1263" s="69"/>
      <c r="I1263" s="69"/>
      <c r="J1263" s="69"/>
    </row>
    <row r="1264" spans="4:10" s="64" customFormat="1" ht="12.000000">
      <c r="D1264" s="69"/>
      <c r="E1264" s="69"/>
      <c r="F1264" s="69"/>
      <c r="G1264" s="69"/>
      <c r="H1264" s="69"/>
      <c r="I1264" s="69"/>
      <c r="J1264" s="69"/>
    </row>
    <row r="1265" spans="4:10" s="64" customFormat="1" ht="12.000000">
      <c r="D1265" s="69"/>
      <c r="E1265" s="69"/>
      <c r="F1265" s="69"/>
      <c r="G1265" s="69"/>
      <c r="H1265" s="69"/>
      <c r="I1265" s="69"/>
      <c r="J1265" s="69"/>
    </row>
    <row r="1266" spans="4:10" s="64" customFormat="1" ht="12.000000">
      <c r="D1266" s="69"/>
      <c r="E1266" s="69"/>
      <c r="F1266" s="69"/>
      <c r="G1266" s="69"/>
      <c r="H1266" s="69"/>
      <c r="I1266" s="69"/>
      <c r="J1266" s="69"/>
    </row>
    <row r="1267" spans="4:10" s="64" customFormat="1" ht="12.000000">
      <c r="D1267" s="69"/>
      <c r="E1267" s="69"/>
      <c r="F1267" s="69"/>
      <c r="G1267" s="69"/>
      <c r="H1267" s="69"/>
      <c r="I1267" s="69"/>
      <c r="J1267" s="69"/>
    </row>
    <row r="1268" spans="4:10" s="64" customFormat="1" ht="12.000000">
      <c r="D1268" s="69"/>
      <c r="E1268" s="69"/>
      <c r="F1268" s="69"/>
      <c r="G1268" s="69"/>
      <c r="H1268" s="69"/>
      <c r="I1268" s="69"/>
      <c r="J1268" s="69"/>
    </row>
    <row r="1269" spans="4:10" s="64" customFormat="1" ht="12.000000">
      <c r="D1269" s="69"/>
      <c r="E1269" s="69"/>
      <c r="F1269" s="69"/>
      <c r="G1269" s="69"/>
      <c r="H1269" s="69"/>
      <c r="I1269" s="69"/>
      <c r="J1269" s="69"/>
    </row>
    <row r="1270" spans="4:10" s="64" customFormat="1" ht="12.000000">
      <c r="D1270" s="69"/>
      <c r="E1270" s="69"/>
      <c r="F1270" s="69"/>
      <c r="G1270" s="69"/>
      <c r="H1270" s="69"/>
      <c r="I1270" s="69"/>
      <c r="J1270" s="69"/>
    </row>
    <row r="1271" spans="4:10" s="64" customFormat="1" ht="12.000000">
      <c r="D1271" s="69"/>
      <c r="E1271" s="69"/>
      <c r="F1271" s="69"/>
      <c r="G1271" s="69"/>
      <c r="H1271" s="69"/>
      <c r="I1271" s="69"/>
      <c r="J1271" s="69"/>
    </row>
    <row r="1272" spans="4:10" s="64" customFormat="1" ht="12.000000">
      <c r="D1272" s="69"/>
      <c r="E1272" s="69"/>
      <c r="F1272" s="69"/>
      <c r="G1272" s="69"/>
      <c r="H1272" s="69"/>
      <c r="I1272" s="69"/>
      <c r="J1272" s="69"/>
    </row>
    <row r="1273" spans="4:10" s="64" customFormat="1" ht="12.000000">
      <c r="D1273" s="69"/>
      <c r="E1273" s="69"/>
      <c r="F1273" s="69"/>
      <c r="G1273" s="69"/>
      <c r="H1273" s="69"/>
      <c r="I1273" s="69"/>
      <c r="J1273" s="69"/>
    </row>
    <row r="1274" spans="4:10" s="64" customFormat="1" ht="12.000000">
      <c r="D1274" s="69"/>
      <c r="E1274" s="69"/>
      <c r="F1274" s="69"/>
      <c r="G1274" s="69"/>
      <c r="H1274" s="69"/>
      <c r="I1274" s="69"/>
      <c r="J1274" s="69"/>
    </row>
    <row r="1275" spans="4:10" s="64" customFormat="1" ht="12.000000">
      <c r="D1275" s="69"/>
      <c r="E1275" s="69"/>
      <c r="F1275" s="69"/>
      <c r="G1275" s="69"/>
      <c r="H1275" s="69"/>
      <c r="I1275" s="69"/>
      <c r="J1275" s="69"/>
    </row>
    <row r="1276" spans="4:10" s="64" customFormat="1" ht="12.000000">
      <c r="D1276" s="69"/>
      <c r="E1276" s="69"/>
      <c r="F1276" s="69"/>
      <c r="G1276" s="69"/>
      <c r="H1276" s="69"/>
      <c r="I1276" s="69"/>
      <c r="J1276" s="69"/>
    </row>
    <row r="1277" spans="4:10" s="64" customFormat="1" ht="12.000000">
      <c r="D1277" s="69"/>
      <c r="E1277" s="69"/>
      <c r="F1277" s="69"/>
      <c r="G1277" s="69"/>
      <c r="H1277" s="69"/>
      <c r="I1277" s="69"/>
      <c r="J1277" s="69"/>
    </row>
    <row r="1278" spans="4:10" s="64" customFormat="1" ht="12.000000">
      <c r="D1278" s="69"/>
      <c r="E1278" s="69"/>
      <c r="F1278" s="69"/>
      <c r="G1278" s="69"/>
      <c r="H1278" s="69"/>
      <c r="I1278" s="69"/>
      <c r="J1278" s="69"/>
    </row>
    <row r="1279" spans="4:10" s="64" customFormat="1" ht="12.000000">
      <c r="D1279" s="69"/>
      <c r="E1279" s="69"/>
      <c r="F1279" s="69"/>
      <c r="G1279" s="69"/>
      <c r="H1279" s="69"/>
      <c r="I1279" s="69"/>
      <c r="J1279" s="69"/>
    </row>
    <row r="1280" spans="4:10" s="64" customFormat="1" ht="12.000000">
      <c r="D1280" s="69"/>
      <c r="E1280" s="69"/>
      <c r="F1280" s="69"/>
      <c r="G1280" s="69"/>
      <c r="H1280" s="69"/>
      <c r="I1280" s="69"/>
      <c r="J1280" s="69"/>
    </row>
    <row r="1281" spans="4:10" s="64" customFormat="1" ht="12.000000">
      <c r="D1281" s="69"/>
      <c r="E1281" s="69"/>
      <c r="F1281" s="69"/>
      <c r="G1281" s="69"/>
      <c r="H1281" s="69"/>
      <c r="I1281" s="69"/>
      <c r="J1281" s="69"/>
    </row>
    <row r="1282" spans="4:10" s="64" customFormat="1" ht="12.000000">
      <c r="D1282" s="69"/>
      <c r="E1282" s="69"/>
      <c r="F1282" s="69"/>
      <c r="G1282" s="69"/>
      <c r="H1282" s="69"/>
      <c r="I1282" s="69"/>
      <c r="J1282" s="69"/>
    </row>
    <row r="1283" spans="4:10" s="64" customFormat="1" ht="12.000000">
      <c r="D1283" s="69"/>
      <c r="E1283" s="69"/>
      <c r="F1283" s="69"/>
      <c r="G1283" s="69"/>
      <c r="H1283" s="69"/>
      <c r="I1283" s="69"/>
      <c r="J1283" s="69"/>
    </row>
    <row r="1284" spans="4:10" s="64" customFormat="1" ht="12.000000">
      <c r="D1284" s="69"/>
      <c r="E1284" s="69"/>
      <c r="F1284" s="69"/>
      <c r="G1284" s="69"/>
      <c r="H1284" s="69"/>
      <c r="I1284" s="69"/>
      <c r="J1284" s="69"/>
    </row>
    <row r="1285" spans="4:10" s="64" customFormat="1" ht="12.000000">
      <c r="D1285" s="69"/>
      <c r="E1285" s="69"/>
      <c r="F1285" s="69"/>
      <c r="G1285" s="69"/>
      <c r="H1285" s="69"/>
      <c r="I1285" s="69"/>
      <c r="J1285" s="69"/>
    </row>
    <row r="1286" spans="4:10" s="64" customFormat="1" ht="12.000000">
      <c r="D1286" s="69"/>
      <c r="E1286" s="69"/>
      <c r="F1286" s="69"/>
      <c r="G1286" s="69"/>
      <c r="H1286" s="69"/>
      <c r="I1286" s="69"/>
      <c r="J1286" s="69"/>
    </row>
    <row r="1287" spans="4:10" s="64" customFormat="1" ht="12.000000">
      <c r="D1287" s="69"/>
      <c r="E1287" s="69"/>
      <c r="F1287" s="69"/>
      <c r="G1287" s="69"/>
      <c r="H1287" s="69"/>
      <c r="I1287" s="69"/>
      <c r="J1287" s="69"/>
    </row>
    <row r="1288" spans="4:10" s="64" customFormat="1" ht="12.000000">
      <c r="D1288" s="69"/>
      <c r="E1288" s="69"/>
      <c r="F1288" s="69"/>
      <c r="G1288" s="69"/>
      <c r="H1288" s="69"/>
      <c r="I1288" s="69"/>
      <c r="J1288" s="69"/>
    </row>
    <row r="1289" spans="4:10" s="64" customFormat="1" ht="12.000000">
      <c r="D1289" s="69"/>
      <c r="E1289" s="69"/>
      <c r="F1289" s="69"/>
      <c r="G1289" s="69"/>
      <c r="H1289" s="69"/>
      <c r="I1289" s="69"/>
      <c r="J1289" s="69"/>
    </row>
    <row r="1290" spans="4:10" s="64" customFormat="1" ht="12.000000">
      <c r="D1290" s="69"/>
      <c r="E1290" s="69"/>
      <c r="F1290" s="69"/>
      <c r="G1290" s="69"/>
      <c r="H1290" s="69"/>
      <c r="I1290" s="69"/>
      <c r="J1290" s="69"/>
    </row>
    <row r="1291" spans="4:10" s="64" customFormat="1" ht="12.000000">
      <c r="D1291" s="69"/>
      <c r="E1291" s="69"/>
      <c r="F1291" s="69"/>
      <c r="G1291" s="69"/>
      <c r="H1291" s="69"/>
      <c r="I1291" s="69"/>
      <c r="J1291" s="69"/>
    </row>
    <row r="1292" spans="4:10" s="64" customFormat="1" ht="12.000000">
      <c r="D1292" s="69"/>
      <c r="E1292" s="69"/>
      <c r="F1292" s="69"/>
      <c r="G1292" s="69"/>
      <c r="H1292" s="69"/>
      <c r="I1292" s="69"/>
      <c r="J1292" s="69"/>
    </row>
    <row r="1293" spans="4:10" s="64" customFormat="1" ht="12.000000">
      <c r="D1293" s="69"/>
      <c r="E1293" s="69"/>
      <c r="F1293" s="69"/>
      <c r="G1293" s="69"/>
      <c r="H1293" s="69"/>
      <c r="I1293" s="69"/>
      <c r="J1293" s="69"/>
    </row>
    <row r="1294" spans="4:10" s="64" customFormat="1" ht="12.000000">
      <c r="D1294" s="69"/>
      <c r="E1294" s="69"/>
      <c r="F1294" s="69"/>
      <c r="G1294" s="69"/>
      <c r="H1294" s="69"/>
      <c r="I1294" s="69"/>
      <c r="J1294" s="69"/>
    </row>
    <row r="1295" spans="4:10" s="64" customFormat="1" ht="12.000000">
      <c r="D1295" s="69"/>
      <c r="E1295" s="69"/>
      <c r="F1295" s="69"/>
      <c r="G1295" s="69"/>
      <c r="H1295" s="69"/>
      <c r="I1295" s="69"/>
      <c r="J1295" s="69"/>
    </row>
    <row r="1296" spans="4:10" s="64" customFormat="1" ht="12.000000">
      <c r="D1296" s="69"/>
      <c r="E1296" s="69"/>
      <c r="F1296" s="69"/>
      <c r="G1296" s="69"/>
      <c r="H1296" s="69"/>
      <c r="I1296" s="69"/>
      <c r="J1296" s="69"/>
    </row>
    <row r="1297" spans="4:10" s="64" customFormat="1" ht="12.000000">
      <c r="D1297" s="69"/>
      <c r="E1297" s="69"/>
      <c r="F1297" s="69"/>
      <c r="G1297" s="69"/>
      <c r="H1297" s="69"/>
      <c r="I1297" s="69"/>
      <c r="J1297" s="69"/>
    </row>
    <row r="1298" spans="4:10" s="64" customFormat="1" ht="12.000000">
      <c r="D1298" s="69"/>
      <c r="E1298" s="69"/>
      <c r="F1298" s="69"/>
      <c r="G1298" s="69"/>
      <c r="H1298" s="69"/>
      <c r="I1298" s="69"/>
      <c r="J1298" s="69"/>
    </row>
    <row r="1299" spans="4:10" s="64" customFormat="1" ht="12.000000">
      <c r="D1299" s="69"/>
      <c r="E1299" s="69"/>
      <c r="F1299" s="69"/>
      <c r="G1299" s="69"/>
      <c r="H1299" s="69"/>
      <c r="I1299" s="69"/>
      <c r="J1299" s="69"/>
    </row>
    <row r="1300" spans="4:10" s="64" customFormat="1" ht="12.000000">
      <c r="D1300" s="69"/>
      <c r="E1300" s="69"/>
      <c r="F1300" s="69"/>
      <c r="G1300" s="69"/>
      <c r="H1300" s="69"/>
      <c r="I1300" s="69"/>
      <c r="J1300" s="69"/>
    </row>
    <row r="1301" spans="4:10" s="64" customFormat="1" ht="12.000000">
      <c r="D1301" s="69"/>
      <c r="E1301" s="69"/>
      <c r="F1301" s="69"/>
      <c r="G1301" s="69"/>
      <c r="H1301" s="69"/>
      <c r="I1301" s="69"/>
      <c r="J1301" s="69"/>
    </row>
    <row r="1302" spans="4:10" s="64" customFormat="1" ht="12.000000">
      <c r="D1302" s="69"/>
      <c r="E1302" s="69"/>
      <c r="F1302" s="69"/>
      <c r="G1302" s="69"/>
      <c r="H1302" s="69"/>
      <c r="I1302" s="69"/>
      <c r="J1302" s="69"/>
    </row>
    <row r="1303" spans="4:10" s="64" customFormat="1" ht="12.000000">
      <c r="D1303" s="69"/>
      <c r="E1303" s="69"/>
      <c r="F1303" s="69"/>
      <c r="G1303" s="69"/>
      <c r="H1303" s="69"/>
      <c r="I1303" s="69"/>
      <c r="J1303" s="69"/>
    </row>
    <row r="1304" spans="4:10" s="64" customFormat="1" ht="12.000000">
      <c r="D1304" s="69"/>
      <c r="E1304" s="69"/>
      <c r="F1304" s="69"/>
      <c r="G1304" s="69"/>
      <c r="H1304" s="69"/>
      <c r="I1304" s="69"/>
      <c r="J1304" s="69"/>
    </row>
    <row r="1305" spans="4:10" s="64" customFormat="1" ht="12.000000">
      <c r="D1305" s="69"/>
      <c r="E1305" s="69"/>
      <c r="F1305" s="69"/>
      <c r="G1305" s="69"/>
      <c r="H1305" s="69"/>
      <c r="I1305" s="69"/>
      <c r="J1305" s="69"/>
    </row>
    <row r="1306" spans="4:10" s="64" customFormat="1" ht="12.000000">
      <c r="D1306" s="69"/>
      <c r="E1306" s="69"/>
      <c r="F1306" s="69"/>
      <c r="G1306" s="69"/>
      <c r="H1306" s="69"/>
      <c r="I1306" s="69"/>
      <c r="J1306" s="69"/>
    </row>
    <row r="1307" spans="4:10" s="64" customFormat="1" ht="12.000000">
      <c r="D1307" s="69"/>
      <c r="E1307" s="69"/>
      <c r="F1307" s="69"/>
      <c r="G1307" s="69"/>
      <c r="H1307" s="69"/>
      <c r="I1307" s="69"/>
      <c r="J1307" s="69"/>
    </row>
    <row r="1308" spans="4:10" s="64" customFormat="1" ht="12.000000">
      <c r="D1308" s="69"/>
      <c r="E1308" s="69"/>
      <c r="F1308" s="69"/>
      <c r="G1308" s="69"/>
      <c r="H1308" s="69"/>
      <c r="I1308" s="69"/>
      <c r="J1308" s="69"/>
    </row>
    <row r="1309" spans="4:10" s="64" customFormat="1" ht="12.000000">
      <c r="D1309" s="69"/>
      <c r="E1309" s="69"/>
      <c r="F1309" s="69"/>
      <c r="G1309" s="69"/>
      <c r="H1309" s="69"/>
      <c r="I1309" s="69"/>
      <c r="J1309" s="69"/>
    </row>
    <row r="1310" spans="4:10" s="64" customFormat="1" ht="12.000000">
      <c r="D1310" s="69"/>
      <c r="E1310" s="69"/>
      <c r="F1310" s="69"/>
      <c r="G1310" s="69"/>
      <c r="H1310" s="69"/>
      <c r="I1310" s="69"/>
      <c r="J1310" s="69"/>
    </row>
    <row r="1311" spans="4:10" s="64" customFormat="1" ht="12.000000">
      <c r="D1311" s="69"/>
      <c r="E1311" s="69"/>
      <c r="F1311" s="69"/>
      <c r="G1311" s="69"/>
      <c r="H1311" s="69"/>
      <c r="I1311" s="69"/>
      <c r="J1311" s="69"/>
    </row>
    <row r="1312" spans="4:10" s="64" customFormat="1" ht="12.000000">
      <c r="D1312" s="69"/>
      <c r="E1312" s="69"/>
      <c r="F1312" s="69"/>
      <c r="G1312" s="69"/>
      <c r="H1312" s="69"/>
      <c r="I1312" s="69"/>
      <c r="J1312" s="69"/>
    </row>
    <row r="1313" spans="4:10" s="64" customFormat="1" ht="12.000000">
      <c r="D1313" s="69"/>
      <c r="E1313" s="69"/>
      <c r="F1313" s="69"/>
      <c r="G1313" s="69"/>
      <c r="H1313" s="69"/>
      <c r="I1313" s="69"/>
      <c r="J1313" s="69"/>
    </row>
    <row r="1314" spans="4:10" s="64" customFormat="1" ht="12.000000">
      <c r="D1314" s="69"/>
      <c r="E1314" s="69"/>
      <c r="F1314" s="69"/>
      <c r="G1314" s="69"/>
      <c r="H1314" s="69"/>
      <c r="I1314" s="69"/>
      <c r="J1314" s="69"/>
    </row>
    <row r="1315" spans="4:10" s="64" customFormat="1" ht="12.000000">
      <c r="D1315" s="69"/>
      <c r="E1315" s="69"/>
      <c r="F1315" s="69"/>
      <c r="G1315" s="69"/>
      <c r="H1315" s="69"/>
      <c r="I1315" s="69"/>
      <c r="J1315" s="69"/>
    </row>
    <row r="1316" spans="4:10" s="64" customFormat="1" ht="12.000000">
      <c r="D1316" s="69"/>
      <c r="E1316" s="69"/>
      <c r="F1316" s="69"/>
      <c r="G1316" s="69"/>
      <c r="H1316" s="69"/>
      <c r="I1316" s="69"/>
      <c r="J1316" s="69"/>
    </row>
    <row r="1317" spans="4:10" s="64" customFormat="1" ht="12.000000">
      <c r="D1317" s="69"/>
      <c r="E1317" s="69"/>
      <c r="F1317" s="69"/>
      <c r="G1317" s="69"/>
      <c r="H1317" s="69"/>
      <c r="I1317" s="69"/>
      <c r="J1317" s="69"/>
    </row>
    <row r="1318" spans="4:10" s="64" customFormat="1" ht="12.000000">
      <c r="D1318" s="69"/>
      <c r="E1318" s="69"/>
      <c r="F1318" s="69"/>
      <c r="G1318" s="69"/>
      <c r="H1318" s="69"/>
      <c r="I1318" s="69"/>
      <c r="J1318" s="69"/>
    </row>
    <row r="1319" spans="4:10" s="64" customFormat="1" ht="12.000000">
      <c r="D1319" s="69"/>
      <c r="E1319" s="69"/>
      <c r="F1319" s="69"/>
      <c r="G1319" s="69"/>
      <c r="H1319" s="69"/>
      <c r="I1319" s="69"/>
      <c r="J1319" s="69"/>
    </row>
    <row r="1320" spans="4:10" s="64" customFormat="1" ht="12.000000">
      <c r="D1320" s="69"/>
      <c r="E1320" s="69"/>
      <c r="F1320" s="69"/>
      <c r="G1320" s="69"/>
      <c r="H1320" s="69"/>
      <c r="I1320" s="69"/>
      <c r="J1320" s="69"/>
    </row>
    <row r="1321" spans="4:10" s="64" customFormat="1" ht="12.000000">
      <c r="D1321" s="69"/>
      <c r="E1321" s="69"/>
      <c r="F1321" s="69"/>
      <c r="G1321" s="69"/>
      <c r="H1321" s="69"/>
      <c r="I1321" s="69"/>
      <c r="J1321" s="69"/>
    </row>
    <row r="1322" spans="4:10" s="64" customFormat="1" ht="12.000000">
      <c r="D1322" s="69"/>
      <c r="E1322" s="69"/>
      <c r="F1322" s="69"/>
      <c r="G1322" s="69"/>
      <c r="H1322" s="69"/>
      <c r="I1322" s="69"/>
      <c r="J1322" s="69"/>
    </row>
    <row r="1323" spans="4:10" s="64" customFormat="1" ht="12.000000">
      <c r="D1323" s="69"/>
      <c r="E1323" s="69"/>
      <c r="F1323" s="69"/>
      <c r="G1323" s="69"/>
      <c r="H1323" s="69"/>
      <c r="I1323" s="69"/>
      <c r="J1323" s="69"/>
    </row>
    <row r="1324" spans="4:10" s="64" customFormat="1" ht="12.000000">
      <c r="D1324" s="69"/>
      <c r="E1324" s="69"/>
      <c r="F1324" s="69"/>
      <c r="G1324" s="69"/>
      <c r="H1324" s="69"/>
      <c r="I1324" s="69"/>
      <c r="J1324" s="69"/>
    </row>
    <row r="1325" spans="4:10" s="64" customFormat="1" ht="12.000000">
      <c r="D1325" s="69"/>
      <c r="E1325" s="69"/>
      <c r="F1325" s="69"/>
      <c r="G1325" s="69"/>
      <c r="H1325" s="69"/>
      <c r="I1325" s="69"/>
      <c r="J1325" s="69"/>
    </row>
    <row r="1326" spans="4:10" s="64" customFormat="1" ht="12.000000">
      <c r="D1326" s="69"/>
      <c r="E1326" s="69"/>
      <c r="F1326" s="69"/>
      <c r="G1326" s="69"/>
      <c r="H1326" s="69"/>
      <c r="I1326" s="69"/>
      <c r="J1326" s="69"/>
    </row>
    <row r="1327" spans="4:10" s="64" customFormat="1" ht="12.000000">
      <c r="D1327" s="69"/>
      <c r="E1327" s="69"/>
      <c r="F1327" s="69"/>
      <c r="G1327" s="69"/>
      <c r="H1327" s="69"/>
      <c r="I1327" s="69"/>
      <c r="J1327" s="69"/>
    </row>
    <row r="1328" spans="4:10" s="64" customFormat="1" ht="12.000000">
      <c r="D1328" s="69"/>
      <c r="E1328" s="69"/>
      <c r="F1328" s="69"/>
      <c r="G1328" s="69"/>
      <c r="H1328" s="69"/>
      <c r="I1328" s="69"/>
      <c r="J1328" s="69"/>
    </row>
    <row r="1329" spans="4:10" s="64" customFormat="1" ht="12.000000">
      <c r="D1329" s="69"/>
      <c r="E1329" s="69"/>
      <c r="F1329" s="69"/>
      <c r="G1329" s="69"/>
      <c r="H1329" s="69"/>
      <c r="I1329" s="69"/>
      <c r="J1329" s="69"/>
    </row>
    <row r="1330" spans="4:10" s="64" customFormat="1" ht="12.000000">
      <c r="D1330" s="69"/>
      <c r="E1330" s="69"/>
      <c r="F1330" s="69"/>
      <c r="G1330" s="69"/>
      <c r="H1330" s="69"/>
      <c r="I1330" s="69"/>
      <c r="J1330" s="69"/>
    </row>
    <row r="1331" spans="4:10" s="64" customFormat="1" ht="12.000000">
      <c r="D1331" s="69"/>
      <c r="E1331" s="69"/>
      <c r="F1331" s="69"/>
      <c r="G1331" s="69"/>
      <c r="H1331" s="69"/>
      <c r="I1331" s="69"/>
      <c r="J1331" s="69"/>
    </row>
    <row r="1332" spans="4:10" s="64" customFormat="1" ht="12.000000">
      <c r="D1332" s="69"/>
      <c r="E1332" s="69"/>
      <c r="F1332" s="69"/>
      <c r="G1332" s="69"/>
      <c r="H1332" s="69"/>
      <c r="I1332" s="69"/>
      <c r="J1332" s="69"/>
    </row>
    <row r="1333" spans="4:10" s="64" customFormat="1" ht="12.000000">
      <c r="D1333" s="69"/>
      <c r="E1333" s="69"/>
      <c r="F1333" s="69"/>
      <c r="G1333" s="69"/>
      <c r="H1333" s="69"/>
      <c r="I1333" s="69"/>
      <c r="J1333" s="69"/>
    </row>
    <row r="1334" spans="4:10" s="64" customFormat="1" ht="12.000000">
      <c r="D1334" s="69"/>
      <c r="E1334" s="69"/>
      <c r="F1334" s="69"/>
      <c r="G1334" s="69"/>
      <c r="H1334" s="69"/>
      <c r="I1334" s="69"/>
      <c r="J1334" s="69"/>
    </row>
    <row r="1335" spans="4:10" s="64" customFormat="1" ht="12.000000">
      <c r="D1335" s="69"/>
      <c r="E1335" s="69"/>
      <c r="F1335" s="69"/>
      <c r="G1335" s="69"/>
      <c r="H1335" s="69"/>
      <c r="I1335" s="69"/>
      <c r="J1335" s="69"/>
    </row>
    <row r="1336" spans="4:10" s="64" customFormat="1" ht="12.000000">
      <c r="D1336" s="69"/>
      <c r="E1336" s="69"/>
      <c r="F1336" s="69"/>
      <c r="G1336" s="69"/>
      <c r="H1336" s="69"/>
      <c r="I1336" s="69"/>
      <c r="J1336" s="69"/>
    </row>
    <row r="1337" spans="4:10" s="64" customFormat="1" ht="12.000000">
      <c r="D1337" s="69"/>
      <c r="E1337" s="69"/>
      <c r="F1337" s="69"/>
      <c r="G1337" s="69"/>
      <c r="H1337" s="69"/>
      <c r="I1337" s="69"/>
      <c r="J1337" s="69"/>
    </row>
    <row r="1338" spans="4:10" s="64" customFormat="1" ht="12.000000">
      <c r="D1338" s="69"/>
      <c r="E1338" s="69"/>
      <c r="F1338" s="69"/>
      <c r="G1338" s="69"/>
      <c r="H1338" s="69"/>
      <c r="I1338" s="69"/>
      <c r="J1338" s="69"/>
    </row>
    <row r="1339" spans="4:10" s="64" customFormat="1" ht="12.000000">
      <c r="D1339" s="69"/>
      <c r="E1339" s="69"/>
      <c r="F1339" s="69"/>
      <c r="G1339" s="69"/>
      <c r="H1339" s="69"/>
      <c r="I1339" s="69"/>
      <c r="J1339" s="69"/>
    </row>
    <row r="1340" spans="4:10" s="64" customFormat="1" ht="12.000000">
      <c r="D1340" s="69"/>
      <c r="E1340" s="69"/>
      <c r="F1340" s="69"/>
      <c r="G1340" s="69"/>
      <c r="H1340" s="69"/>
      <c r="I1340" s="69"/>
      <c r="J1340" s="69"/>
    </row>
    <row r="1341" spans="4:10" s="64" customFormat="1" ht="12.000000">
      <c r="D1341" s="69"/>
      <c r="E1341" s="69"/>
      <c r="F1341" s="69"/>
      <c r="G1341" s="69"/>
      <c r="H1341" s="69"/>
      <c r="I1341" s="69"/>
      <c r="J1341" s="69"/>
    </row>
    <row r="1342" spans="4:10" s="64" customFormat="1" ht="12.000000">
      <c r="D1342" s="69"/>
      <c r="E1342" s="69"/>
      <c r="F1342" s="69"/>
      <c r="G1342" s="69"/>
      <c r="H1342" s="69"/>
      <c r="I1342" s="69"/>
      <c r="J1342" s="69"/>
    </row>
    <row r="1343" spans="4:10" s="64" customFormat="1" ht="12.000000">
      <c r="D1343" s="69"/>
      <c r="E1343" s="69"/>
      <c r="F1343" s="69"/>
      <c r="G1343" s="69"/>
      <c r="H1343" s="69"/>
      <c r="I1343" s="69"/>
      <c r="J1343" s="69"/>
    </row>
    <row r="1344" spans="4:10" s="64" customFormat="1" ht="12.000000">
      <c r="D1344" s="69"/>
      <c r="E1344" s="69"/>
      <c r="F1344" s="69"/>
      <c r="G1344" s="69"/>
      <c r="H1344" s="69"/>
      <c r="I1344" s="69"/>
      <c r="J1344" s="69"/>
    </row>
    <row r="1345" spans="4:10" s="64" customFormat="1" ht="12.000000">
      <c r="D1345" s="69"/>
      <c r="E1345" s="69"/>
      <c r="F1345" s="69"/>
      <c r="G1345" s="69"/>
      <c r="H1345" s="69"/>
      <c r="I1345" s="69"/>
      <c r="J1345" s="69"/>
    </row>
    <row r="1346" spans="4:10" s="64" customFormat="1" ht="12.000000">
      <c r="D1346" s="69"/>
      <c r="E1346" s="69"/>
      <c r="F1346" s="69"/>
      <c r="G1346" s="69"/>
      <c r="H1346" s="69"/>
      <c r="I1346" s="69"/>
      <c r="J1346" s="69"/>
    </row>
    <row r="1347" spans="4:10" s="64" customFormat="1" ht="12.000000">
      <c r="D1347" s="69"/>
      <c r="E1347" s="69"/>
      <c r="F1347" s="69"/>
      <c r="G1347" s="69"/>
      <c r="H1347" s="69"/>
      <c r="I1347" s="69"/>
      <c r="J1347" s="69"/>
    </row>
    <row r="1348" spans="4:10" s="64" customFormat="1" ht="12.000000">
      <c r="D1348" s="69"/>
      <c r="E1348" s="69"/>
      <c r="F1348" s="69"/>
      <c r="G1348" s="69"/>
      <c r="H1348" s="69"/>
      <c r="I1348" s="69"/>
      <c r="J1348" s="69"/>
    </row>
    <row r="1349" spans="4:10" s="64" customFormat="1" ht="12.000000">
      <c r="D1349" s="69"/>
      <c r="E1349" s="69"/>
      <c r="F1349" s="69"/>
      <c r="G1349" s="69"/>
      <c r="H1349" s="69"/>
      <c r="I1349" s="69"/>
      <c r="J1349" s="69"/>
    </row>
    <row r="1350" spans="4:10" s="64" customFormat="1" ht="12.000000">
      <c r="D1350" s="69"/>
      <c r="E1350" s="69"/>
      <c r="F1350" s="69"/>
      <c r="G1350" s="69"/>
      <c r="H1350" s="69"/>
      <c r="I1350" s="69"/>
      <c r="J1350" s="69"/>
    </row>
    <row r="1351" spans="4:10" s="64" customFormat="1" ht="12.000000">
      <c r="D1351" s="69"/>
      <c r="E1351" s="69"/>
      <c r="F1351" s="69"/>
      <c r="G1351" s="69"/>
      <c r="H1351" s="69"/>
      <c r="I1351" s="69"/>
      <c r="J1351" s="69"/>
    </row>
    <row r="1352" spans="4:10" s="64" customFormat="1" ht="12.000000">
      <c r="D1352" s="69"/>
      <c r="E1352" s="69"/>
      <c r="F1352" s="69"/>
      <c r="G1352" s="69"/>
      <c r="H1352" s="69"/>
      <c r="I1352" s="69"/>
      <c r="J1352" s="69"/>
    </row>
    <row r="1353" spans="4:10" s="64" customFormat="1" ht="12.000000">
      <c r="D1353" s="69"/>
      <c r="E1353" s="69"/>
      <c r="F1353" s="69"/>
      <c r="G1353" s="69"/>
      <c r="H1353" s="69"/>
      <c r="I1353" s="69"/>
      <c r="J1353" s="69"/>
    </row>
    <row r="1354" spans="4:10" s="64" customFormat="1" ht="12.000000">
      <c r="D1354" s="69"/>
      <c r="E1354" s="69"/>
      <c r="F1354" s="69"/>
      <c r="G1354" s="69"/>
      <c r="H1354" s="69"/>
      <c r="I1354" s="69"/>
      <c r="J1354" s="69"/>
    </row>
    <row r="1355" spans="4:10" s="64" customFormat="1" ht="12.000000">
      <c r="D1355" s="69"/>
      <c r="E1355" s="69"/>
      <c r="F1355" s="69"/>
      <c r="G1355" s="69"/>
      <c r="H1355" s="69"/>
      <c r="I1355" s="69"/>
      <c r="J1355" s="69"/>
    </row>
    <row r="1356" spans="4:10" s="64" customFormat="1" ht="12.000000">
      <c r="D1356" s="69"/>
      <c r="E1356" s="69"/>
      <c r="F1356" s="69"/>
      <c r="G1356" s="69"/>
      <c r="H1356" s="69"/>
      <c r="I1356" s="69"/>
      <c r="J1356" s="69"/>
    </row>
    <row r="1357" spans="4:10" s="64" customFormat="1" ht="12.000000">
      <c r="D1357" s="69"/>
      <c r="E1357" s="69"/>
      <c r="F1357" s="69"/>
      <c r="G1357" s="69"/>
      <c r="H1357" s="69"/>
      <c r="I1357" s="69"/>
      <c r="J1357" s="69"/>
    </row>
    <row r="1358" spans="4:10" s="64" customFormat="1" ht="12.000000">
      <c r="D1358" s="69"/>
      <c r="E1358" s="69"/>
      <c r="F1358" s="69"/>
      <c r="G1358" s="69"/>
      <c r="H1358" s="69"/>
      <c r="I1358" s="69"/>
      <c r="J1358" s="69"/>
    </row>
    <row r="1359" spans="4:10" s="64" customFormat="1" ht="12.000000">
      <c r="D1359" s="69"/>
      <c r="E1359" s="69"/>
      <c r="F1359" s="69"/>
      <c r="G1359" s="69"/>
      <c r="H1359" s="69"/>
      <c r="I1359" s="69"/>
      <c r="J1359" s="69"/>
    </row>
    <row r="1360" spans="4:10" s="64" customFormat="1" ht="12.000000">
      <c r="D1360" s="69"/>
      <c r="E1360" s="69"/>
      <c r="F1360" s="69"/>
      <c r="G1360" s="69"/>
      <c r="H1360" s="69"/>
      <c r="I1360" s="69"/>
      <c r="J1360" s="69"/>
    </row>
    <row r="1361" spans="4:10" s="64" customFormat="1" ht="12.000000">
      <c r="D1361" s="69"/>
      <c r="E1361" s="69"/>
      <c r="F1361" s="69"/>
      <c r="G1361" s="69"/>
      <c r="H1361" s="69"/>
      <c r="I1361" s="69"/>
      <c r="J1361" s="69"/>
    </row>
    <row r="1362" spans="4:10" s="64" customFormat="1" ht="12.000000">
      <c r="D1362" s="69"/>
      <c r="E1362" s="69"/>
      <c r="F1362" s="69"/>
      <c r="G1362" s="69"/>
      <c r="H1362" s="69"/>
      <c r="I1362" s="69"/>
      <c r="J1362" s="69"/>
    </row>
    <row r="1363" spans="4:10" s="64" customFormat="1" ht="12.000000">
      <c r="D1363" s="69"/>
      <c r="E1363" s="69"/>
      <c r="F1363" s="69"/>
      <c r="G1363" s="69"/>
      <c r="H1363" s="69"/>
      <c r="I1363" s="69"/>
      <c r="J1363" s="69"/>
    </row>
    <row r="1364" spans="4:10" s="64" customFormat="1" ht="12.000000">
      <c r="D1364" s="69"/>
      <c r="E1364" s="69"/>
      <c r="F1364" s="69"/>
      <c r="G1364" s="69"/>
      <c r="H1364" s="69"/>
      <c r="I1364" s="69"/>
      <c r="J1364" s="69"/>
    </row>
    <row r="1365" spans="4:10" s="64" customFormat="1" ht="12.000000">
      <c r="D1365" s="69"/>
      <c r="E1365" s="69"/>
      <c r="F1365" s="69"/>
      <c r="G1365" s="69"/>
      <c r="H1365" s="69"/>
      <c r="I1365" s="69"/>
      <c r="J1365" s="69"/>
    </row>
    <row r="1366" spans="4:10" s="64" customFormat="1" ht="12.000000">
      <c r="D1366" s="69"/>
      <c r="E1366" s="69"/>
      <c r="F1366" s="69"/>
      <c r="G1366" s="69"/>
      <c r="H1366" s="69"/>
      <c r="I1366" s="69"/>
      <c r="J1366" s="69"/>
    </row>
    <row r="1367" spans="4:10" s="64" customFormat="1" ht="12.000000">
      <c r="D1367" s="69"/>
      <c r="E1367" s="69"/>
      <c r="F1367" s="69"/>
      <c r="G1367" s="69"/>
      <c r="H1367" s="69"/>
      <c r="I1367" s="69"/>
      <c r="J1367" s="69"/>
    </row>
    <row r="1368" spans="4:10" s="64" customFormat="1" ht="12.000000">
      <c r="D1368" s="69"/>
      <c r="E1368" s="69"/>
      <c r="F1368" s="69"/>
      <c r="G1368" s="69"/>
      <c r="H1368" s="69"/>
      <c r="I1368" s="69"/>
      <c r="J1368" s="69"/>
    </row>
    <row r="1369" spans="4:10" s="64" customFormat="1" ht="12.000000">
      <c r="D1369" s="69"/>
      <c r="E1369" s="69"/>
      <c r="F1369" s="69"/>
      <c r="G1369" s="69"/>
      <c r="H1369" s="69"/>
      <c r="I1369" s="69"/>
      <c r="J1369" s="69"/>
    </row>
    <row r="1370" spans="4:10" s="64" customFormat="1" ht="12.000000">
      <c r="D1370" s="69"/>
      <c r="E1370" s="69"/>
      <c r="F1370" s="69"/>
      <c r="G1370" s="69"/>
      <c r="H1370" s="69"/>
      <c r="I1370" s="69"/>
      <c r="J1370" s="69"/>
    </row>
    <row r="1371" spans="4:10" s="64" customFormat="1" ht="12.000000">
      <c r="D1371" s="69"/>
      <c r="E1371" s="69"/>
      <c r="F1371" s="69"/>
      <c r="G1371" s="69"/>
      <c r="H1371" s="69"/>
      <c r="I1371" s="69"/>
      <c r="J1371" s="69"/>
    </row>
    <row r="1372" spans="4:10" s="64" customFormat="1" ht="12.000000">
      <c r="D1372" s="69"/>
      <c r="E1372" s="69"/>
      <c r="F1372" s="69"/>
      <c r="G1372" s="69"/>
      <c r="H1372" s="69"/>
      <c r="I1372" s="69"/>
      <c r="J1372" s="69"/>
    </row>
    <row r="1373" spans="4:10" s="64" customFormat="1" ht="12.000000">
      <c r="D1373" s="69"/>
      <c r="E1373" s="69"/>
      <c r="F1373" s="69"/>
      <c r="G1373" s="69"/>
      <c r="H1373" s="69"/>
      <c r="I1373" s="69"/>
      <c r="J1373" s="69"/>
    </row>
    <row r="1374" spans="4:10" s="64" customFormat="1" ht="12.000000">
      <c r="D1374" s="69"/>
      <c r="E1374" s="69"/>
      <c r="F1374" s="69"/>
      <c r="G1374" s="69"/>
      <c r="H1374" s="69"/>
      <c r="I1374" s="69"/>
      <c r="J1374" s="69"/>
    </row>
    <row r="1375" spans="4:10" s="64" customFormat="1" ht="12.000000">
      <c r="D1375" s="69"/>
      <c r="E1375" s="69"/>
      <c r="F1375" s="69"/>
      <c r="G1375" s="69"/>
      <c r="H1375" s="69"/>
      <c r="I1375" s="69"/>
      <c r="J1375" s="69"/>
    </row>
    <row r="1376" spans="4:10" s="64" customFormat="1" ht="12.000000">
      <c r="D1376" s="69"/>
      <c r="E1376" s="69"/>
      <c r="F1376" s="69"/>
      <c r="G1376" s="69"/>
      <c r="H1376" s="69"/>
      <c r="I1376" s="69"/>
      <c r="J1376" s="69"/>
    </row>
    <row r="1377" spans="4:10" s="64" customFormat="1" ht="12.000000">
      <c r="D1377" s="69"/>
      <c r="E1377" s="69"/>
      <c r="F1377" s="69"/>
      <c r="G1377" s="69"/>
      <c r="H1377" s="69"/>
      <c r="I1377" s="69"/>
      <c r="J1377" s="69"/>
    </row>
    <row r="1378" spans="4:10" s="64" customFormat="1" ht="12.000000">
      <c r="D1378" s="69"/>
      <c r="E1378" s="69"/>
      <c r="F1378" s="69"/>
      <c r="G1378" s="69"/>
      <c r="H1378" s="69"/>
      <c r="I1378" s="69"/>
      <c r="J1378" s="69"/>
    </row>
    <row r="1379" spans="4:10" s="64" customFormat="1" ht="12.000000">
      <c r="D1379" s="69"/>
      <c r="E1379" s="69"/>
      <c r="F1379" s="69"/>
      <c r="G1379" s="69"/>
      <c r="H1379" s="69"/>
      <c r="I1379" s="69"/>
      <c r="J1379" s="69"/>
    </row>
    <row r="1380" spans="4:10" s="64" customFormat="1" ht="12.000000">
      <c r="D1380" s="69"/>
      <c r="E1380" s="69"/>
      <c r="F1380" s="69"/>
      <c r="G1380" s="69"/>
      <c r="H1380" s="69"/>
      <c r="I1380" s="69"/>
      <c r="J1380" s="69"/>
    </row>
    <row r="1381" spans="4:10" s="64" customFormat="1" ht="12.000000">
      <c r="D1381" s="69"/>
      <c r="E1381" s="69"/>
      <c r="F1381" s="69"/>
      <c r="G1381" s="69"/>
      <c r="H1381" s="69"/>
      <c r="I1381" s="69"/>
      <c r="J1381" s="69"/>
    </row>
    <row r="1382" spans="4:10" s="64" customFormat="1" ht="12.000000">
      <c r="D1382" s="69"/>
      <c r="E1382" s="69"/>
      <c r="F1382" s="69"/>
      <c r="G1382" s="69"/>
      <c r="H1382" s="69"/>
      <c r="I1382" s="69"/>
      <c r="J1382" s="69"/>
    </row>
    <row r="1383" spans="4:10" s="64" customFormat="1" ht="12.000000">
      <c r="D1383" s="69"/>
      <c r="E1383" s="69"/>
      <c r="F1383" s="69"/>
      <c r="G1383" s="69"/>
      <c r="H1383" s="69"/>
      <c r="I1383" s="69"/>
      <c r="J1383" s="69"/>
    </row>
    <row r="1384" spans="4:10" s="64" customFormat="1" ht="12.000000">
      <c r="D1384" s="69"/>
      <c r="E1384" s="69"/>
      <c r="F1384" s="69"/>
      <c r="G1384" s="69"/>
      <c r="H1384" s="69"/>
      <c r="I1384" s="69"/>
      <c r="J1384" s="69"/>
    </row>
    <row r="1385" spans="4:10" s="64" customFormat="1" ht="12.000000">
      <c r="D1385" s="69"/>
      <c r="E1385" s="69"/>
      <c r="F1385" s="69"/>
      <c r="G1385" s="69"/>
      <c r="H1385" s="69"/>
      <c r="I1385" s="69"/>
      <c r="J1385" s="69"/>
    </row>
    <row r="1386" spans="4:10" s="64" customFormat="1" ht="12.000000">
      <c r="D1386" s="69"/>
      <c r="E1386" s="69"/>
      <c r="F1386" s="69"/>
      <c r="G1386" s="69"/>
      <c r="H1386" s="69"/>
      <c r="I1386" s="69"/>
      <c r="J1386" s="69"/>
    </row>
    <row r="1387" spans="4:10" s="64" customFormat="1" ht="12.000000">
      <c r="D1387" s="69"/>
      <c r="E1387" s="69"/>
      <c r="F1387" s="69"/>
      <c r="G1387" s="69"/>
      <c r="H1387" s="69"/>
      <c r="I1387" s="69"/>
      <c r="J1387" s="69"/>
    </row>
    <row r="1388" spans="4:10" s="64" customFormat="1" ht="12.000000">
      <c r="D1388" s="69"/>
      <c r="E1388" s="69"/>
      <c r="F1388" s="69"/>
      <c r="G1388" s="69"/>
      <c r="H1388" s="69"/>
      <c r="I1388" s="69"/>
      <c r="J1388" s="69"/>
    </row>
    <row r="1389" spans="4:10" s="64" customFormat="1" ht="12.000000">
      <c r="D1389" s="69"/>
      <c r="E1389" s="69"/>
      <c r="F1389" s="69"/>
      <c r="G1389" s="69"/>
      <c r="H1389" s="69"/>
      <c r="I1389" s="69"/>
      <c r="J1389" s="69"/>
    </row>
    <row r="1390" spans="4:10" s="64" customFormat="1" ht="12.000000">
      <c r="D1390" s="69"/>
      <c r="E1390" s="69"/>
      <c r="F1390" s="69"/>
      <c r="G1390" s="69"/>
      <c r="H1390" s="69"/>
      <c r="I1390" s="69"/>
      <c r="J1390" s="69"/>
    </row>
    <row r="1391" spans="4:10" s="64" customFormat="1" ht="12.000000">
      <c r="D1391" s="69"/>
      <c r="E1391" s="69"/>
      <c r="F1391" s="69"/>
      <c r="G1391" s="69"/>
      <c r="H1391" s="69"/>
      <c r="I1391" s="69"/>
      <c r="J1391" s="69"/>
    </row>
    <row r="1392" spans="4:10" s="64" customFormat="1" ht="12.000000">
      <c r="D1392" s="69"/>
      <c r="E1392" s="69"/>
      <c r="F1392" s="69"/>
      <c r="G1392" s="69"/>
      <c r="H1392" s="69"/>
      <c r="I1392" s="69"/>
      <c r="J1392" s="69"/>
    </row>
    <row r="1393" spans="4:10" s="64" customFormat="1" ht="12.000000">
      <c r="D1393" s="69"/>
      <c r="E1393" s="69"/>
      <c r="F1393" s="69"/>
      <c r="G1393" s="69"/>
      <c r="H1393" s="69"/>
      <c r="I1393" s="69"/>
      <c r="J1393" s="69"/>
    </row>
    <row r="1394" spans="4:10" s="64" customFormat="1" ht="12.000000">
      <c r="D1394" s="69"/>
      <c r="E1394" s="69"/>
      <c r="F1394" s="69"/>
      <c r="G1394" s="69"/>
      <c r="H1394" s="69"/>
      <c r="I1394" s="69"/>
      <c r="J1394" s="69"/>
    </row>
    <row r="1395" spans="4:10" s="64" customFormat="1" ht="12.000000">
      <c r="D1395" s="69"/>
      <c r="E1395" s="69"/>
      <c r="F1395" s="69"/>
      <c r="G1395" s="69"/>
      <c r="H1395" s="69"/>
      <c r="I1395" s="69"/>
      <c r="J1395" s="69"/>
    </row>
    <row r="1396" spans="4:10" s="64" customFormat="1" ht="12.000000">
      <c r="D1396" s="69"/>
      <c r="E1396" s="69"/>
      <c r="F1396" s="69"/>
      <c r="G1396" s="69"/>
      <c r="H1396" s="69"/>
      <c r="I1396" s="69"/>
      <c r="J1396" s="69"/>
    </row>
    <row r="1397" spans="4:10" s="64" customFormat="1" ht="12.000000">
      <c r="D1397" s="69"/>
      <c r="E1397" s="69"/>
      <c r="F1397" s="69"/>
      <c r="G1397" s="69"/>
      <c r="H1397" s="69"/>
      <c r="I1397" s="69"/>
      <c r="J1397" s="69"/>
    </row>
    <row r="1398" spans="4:10" s="64" customFormat="1" ht="12.000000">
      <c r="D1398" s="69"/>
      <c r="E1398" s="69"/>
      <c r="F1398" s="69"/>
      <c r="G1398" s="69"/>
      <c r="H1398" s="69"/>
      <c r="I1398" s="69"/>
      <c r="J1398" s="69"/>
    </row>
    <row r="1399" spans="4:10" s="64" customFormat="1" ht="12.000000">
      <c r="D1399" s="69"/>
      <c r="E1399" s="69"/>
      <c r="F1399" s="69"/>
      <c r="G1399" s="69"/>
      <c r="H1399" s="69"/>
      <c r="I1399" s="69"/>
      <c r="J1399" s="69"/>
    </row>
    <row r="1400" spans="4:10" s="64" customFormat="1" ht="12.000000">
      <c r="D1400" s="69"/>
      <c r="E1400" s="69"/>
      <c r="F1400" s="69"/>
      <c r="G1400" s="69"/>
      <c r="H1400" s="69"/>
      <c r="I1400" s="69"/>
      <c r="J1400" s="69"/>
    </row>
    <row r="1401" spans="4:10" s="64" customFormat="1" ht="12.000000">
      <c r="D1401" s="69"/>
      <c r="E1401" s="69"/>
      <c r="F1401" s="69"/>
      <c r="G1401" s="69"/>
      <c r="H1401" s="69"/>
      <c r="I1401" s="69"/>
      <c r="J1401" s="69"/>
    </row>
    <row r="1402" spans="4:10" s="64" customFormat="1" ht="12.000000">
      <c r="D1402" s="69"/>
      <c r="E1402" s="69"/>
      <c r="F1402" s="69"/>
      <c r="G1402" s="69"/>
      <c r="H1402" s="69"/>
      <c r="I1402" s="69"/>
      <c r="J1402" s="69"/>
    </row>
    <row r="1403" spans="4:10" s="64" customFormat="1" ht="12.000000">
      <c r="D1403" s="69"/>
      <c r="E1403" s="69"/>
      <c r="F1403" s="69"/>
      <c r="G1403" s="69"/>
      <c r="H1403" s="69"/>
      <c r="I1403" s="69"/>
      <c r="J1403" s="69"/>
    </row>
    <row r="1404" spans="4:10" s="64" customFormat="1" ht="12.000000">
      <c r="D1404" s="69"/>
      <c r="E1404" s="69"/>
      <c r="F1404" s="69"/>
      <c r="G1404" s="69"/>
      <c r="H1404" s="69"/>
      <c r="I1404" s="69"/>
      <c r="J1404" s="69"/>
    </row>
    <row r="1405" spans="4:10" s="64" customFormat="1" ht="12.000000">
      <c r="D1405" s="69"/>
      <c r="E1405" s="69"/>
      <c r="F1405" s="69"/>
      <c r="G1405" s="69"/>
      <c r="H1405" s="69"/>
      <c r="I1405" s="69"/>
      <c r="J1405" s="69"/>
    </row>
    <row r="1406" spans="4:10" s="64" customFormat="1" ht="12.000000">
      <c r="D1406" s="69"/>
      <c r="E1406" s="69"/>
      <c r="F1406" s="69"/>
      <c r="G1406" s="69"/>
      <c r="H1406" s="69"/>
      <c r="I1406" s="69"/>
      <c r="J1406" s="69"/>
    </row>
    <row r="1407" spans="4:10" s="64" customFormat="1" ht="12.000000">
      <c r="D1407" s="69"/>
      <c r="E1407" s="69"/>
      <c r="F1407" s="69"/>
      <c r="G1407" s="69"/>
      <c r="H1407" s="69"/>
      <c r="I1407" s="69"/>
      <c r="J1407" s="69"/>
    </row>
    <row r="1408" spans="4:10" s="64" customFormat="1" ht="12.000000">
      <c r="D1408" s="69"/>
      <c r="E1408" s="69"/>
      <c r="F1408" s="69"/>
      <c r="G1408" s="69"/>
      <c r="H1408" s="69"/>
      <c r="I1408" s="69"/>
      <c r="J1408" s="69"/>
    </row>
    <row r="1409" spans="4:10" s="64" customFormat="1" ht="12.000000">
      <c r="D1409" s="69"/>
      <c r="E1409" s="69"/>
      <c r="F1409" s="69"/>
      <c r="G1409" s="69"/>
      <c r="H1409" s="69"/>
      <c r="I1409" s="69"/>
      <c r="J1409" s="69"/>
    </row>
    <row r="1410" spans="4:10" s="64" customFormat="1" ht="12.000000">
      <c r="D1410" s="69"/>
      <c r="E1410" s="69"/>
      <c r="F1410" s="69"/>
      <c r="G1410" s="69"/>
      <c r="H1410" s="69"/>
      <c r="I1410" s="69"/>
      <c r="J1410" s="69"/>
    </row>
    <row r="1411" spans="4:10" s="64" customFormat="1" ht="12.000000">
      <c r="D1411" s="69"/>
      <c r="E1411" s="69"/>
      <c r="F1411" s="69"/>
      <c r="G1411" s="69"/>
      <c r="H1411" s="69"/>
      <c r="I1411" s="69"/>
      <c r="J1411" s="69"/>
    </row>
    <row r="1412" spans="4:10" s="64" customFormat="1" ht="12.000000">
      <c r="D1412" s="69"/>
      <c r="E1412" s="69"/>
      <c r="F1412" s="69"/>
      <c r="G1412" s="69"/>
      <c r="H1412" s="69"/>
      <c r="I1412" s="69"/>
      <c r="J1412" s="69"/>
    </row>
    <row r="1413" spans="4:10" s="64" customFormat="1" ht="12.000000">
      <c r="D1413" s="69"/>
      <c r="E1413" s="69"/>
      <c r="F1413" s="69"/>
      <c r="G1413" s="69"/>
      <c r="H1413" s="69"/>
      <c r="I1413" s="69"/>
      <c r="J1413" s="69"/>
    </row>
    <row r="1414" spans="4:10" s="64" customFormat="1" ht="12.000000">
      <c r="D1414" s="69"/>
      <c r="E1414" s="69"/>
      <c r="F1414" s="69"/>
      <c r="G1414" s="69"/>
      <c r="H1414" s="69"/>
      <c r="I1414" s="69"/>
      <c r="J1414" s="69"/>
    </row>
    <row r="1415" spans="4:10" s="64" customFormat="1" ht="12.000000">
      <c r="D1415" s="69"/>
      <c r="E1415" s="69"/>
      <c r="F1415" s="69"/>
      <c r="G1415" s="69"/>
      <c r="H1415" s="69"/>
      <c r="I1415" s="69"/>
      <c r="J1415" s="69"/>
    </row>
    <row r="1416" spans="4:10" s="64" customFormat="1" ht="12.000000">
      <c r="D1416" s="69"/>
      <c r="E1416" s="69"/>
      <c r="F1416" s="69"/>
      <c r="G1416" s="69"/>
      <c r="H1416" s="69"/>
      <c r="I1416" s="69"/>
      <c r="J1416" s="69"/>
    </row>
    <row r="1417" spans="4:10" s="64" customFormat="1" ht="12.000000">
      <c r="D1417" s="69"/>
      <c r="E1417" s="69"/>
      <c r="F1417" s="69"/>
      <c r="G1417" s="69"/>
      <c r="H1417" s="69"/>
      <c r="I1417" s="69"/>
      <c r="J1417" s="69"/>
    </row>
    <row r="1418" spans="4:10" s="64" customFormat="1" ht="12.000000">
      <c r="D1418" s="69"/>
      <c r="E1418" s="69"/>
      <c r="F1418" s="69"/>
      <c r="G1418" s="69"/>
      <c r="H1418" s="69"/>
      <c r="I1418" s="69"/>
      <c r="J1418" s="69"/>
    </row>
    <row r="1419" spans="4:10" s="64" customFormat="1" ht="12.000000">
      <c r="D1419" s="69"/>
      <c r="E1419" s="69"/>
      <c r="F1419" s="69"/>
      <c r="G1419" s="69"/>
      <c r="H1419" s="69"/>
      <c r="I1419" s="69"/>
      <c r="J1419" s="69"/>
    </row>
    <row r="1420" spans="4:10" s="64" customFormat="1" ht="12.000000">
      <c r="D1420" s="69"/>
      <c r="E1420" s="69"/>
      <c r="F1420" s="69"/>
      <c r="G1420" s="69"/>
      <c r="H1420" s="69"/>
      <c r="I1420" s="69"/>
      <c r="J1420" s="69"/>
    </row>
    <row r="1421" spans="4:10" s="64" customFormat="1" ht="12.000000">
      <c r="D1421" s="69"/>
      <c r="E1421" s="69"/>
      <c r="F1421" s="69"/>
      <c r="G1421" s="69"/>
      <c r="H1421" s="69"/>
      <c r="I1421" s="69"/>
      <c r="J1421" s="69"/>
    </row>
    <row r="1422" spans="4:10" s="64" customFormat="1" ht="12.000000">
      <c r="D1422" s="69"/>
      <c r="E1422" s="69"/>
      <c r="F1422" s="69"/>
      <c r="G1422" s="69"/>
      <c r="H1422" s="69"/>
      <c r="I1422" s="69"/>
      <c r="J1422" s="69"/>
    </row>
    <row r="1423" spans="4:10" s="64" customFormat="1" ht="12.000000">
      <c r="D1423" s="69"/>
      <c r="E1423" s="69"/>
      <c r="F1423" s="69"/>
      <c r="G1423" s="69"/>
      <c r="H1423" s="69"/>
      <c r="I1423" s="69"/>
      <c r="J1423" s="69"/>
    </row>
    <row r="1424" spans="4:10" s="64" customFormat="1" ht="12.000000">
      <c r="D1424" s="69"/>
      <c r="E1424" s="69"/>
      <c r="F1424" s="69"/>
      <c r="G1424" s="69"/>
      <c r="H1424" s="69"/>
      <c r="I1424" s="69"/>
      <c r="J1424" s="69"/>
    </row>
    <row r="1425" spans="4:10" s="64" customFormat="1" ht="12.000000">
      <c r="D1425" s="69"/>
      <c r="E1425" s="69"/>
      <c r="F1425" s="69"/>
      <c r="G1425" s="69"/>
      <c r="H1425" s="69"/>
      <c r="I1425" s="69"/>
      <c r="J1425" s="69"/>
    </row>
    <row r="1426" spans="4:10" s="64" customFormat="1" ht="12.000000">
      <c r="D1426" s="69"/>
      <c r="E1426" s="69"/>
      <c r="F1426" s="69"/>
      <c r="G1426" s="69"/>
      <c r="H1426" s="69"/>
      <c r="I1426" s="69"/>
      <c r="J1426" s="69"/>
    </row>
    <row r="1427" spans="4:10" s="64" customFormat="1" ht="12.000000">
      <c r="D1427" s="69"/>
      <c r="E1427" s="69"/>
      <c r="F1427" s="69"/>
      <c r="G1427" s="69"/>
      <c r="H1427" s="69"/>
      <c r="I1427" s="69"/>
      <c r="J1427" s="69"/>
    </row>
    <row r="1428" spans="4:10" s="64" customFormat="1" ht="12.000000">
      <c r="D1428" s="69"/>
      <c r="E1428" s="69"/>
      <c r="F1428" s="69"/>
      <c r="G1428" s="69"/>
      <c r="H1428" s="69"/>
      <c r="I1428" s="69"/>
      <c r="J1428" s="69"/>
    </row>
    <row r="1429" spans="4:10" s="64" customFormat="1" ht="12.000000">
      <c r="D1429" s="69"/>
      <c r="E1429" s="69"/>
      <c r="F1429" s="69"/>
      <c r="G1429" s="69"/>
      <c r="H1429" s="69"/>
      <c r="I1429" s="69"/>
      <c r="J1429" s="69"/>
    </row>
    <row r="1430" spans="4:10" s="64" customFormat="1" ht="12.000000">
      <c r="D1430" s="69"/>
      <c r="E1430" s="69"/>
      <c r="F1430" s="69"/>
      <c r="G1430" s="69"/>
      <c r="H1430" s="69"/>
      <c r="I1430" s="69"/>
      <c r="J1430" s="69"/>
    </row>
    <row r="1431" spans="4:10" s="64" customFormat="1" ht="12.000000">
      <c r="D1431" s="69"/>
      <c r="E1431" s="69"/>
      <c r="F1431" s="69"/>
      <c r="G1431" s="69"/>
      <c r="H1431" s="69"/>
      <c r="I1431" s="69"/>
      <c r="J1431" s="69"/>
    </row>
    <row r="1432" spans="4:10" s="64" customFormat="1" ht="12.000000">
      <c r="D1432" s="69"/>
      <c r="E1432" s="69"/>
      <c r="F1432" s="69"/>
      <c r="G1432" s="69"/>
      <c r="H1432" s="69"/>
      <c r="I1432" s="69"/>
      <c r="J1432" s="69"/>
    </row>
    <row r="1433" spans="4:10" s="64" customFormat="1" ht="12.000000">
      <c r="D1433" s="69"/>
      <c r="E1433" s="69"/>
      <c r="F1433" s="69"/>
      <c r="G1433" s="69"/>
      <c r="H1433" s="69"/>
      <c r="I1433" s="69"/>
      <c r="J1433" s="69"/>
    </row>
    <row r="1434" spans="4:10" s="64" customFormat="1" ht="12.000000">
      <c r="D1434" s="69"/>
      <c r="E1434" s="69"/>
      <c r="F1434" s="69"/>
      <c r="G1434" s="69"/>
      <c r="H1434" s="69"/>
      <c r="I1434" s="69"/>
      <c r="J1434" s="69"/>
    </row>
    <row r="1435" spans="4:10" s="64" customFormat="1" ht="12.000000">
      <c r="D1435" s="69"/>
      <c r="E1435" s="69"/>
      <c r="F1435" s="69"/>
      <c r="G1435" s="69"/>
      <c r="H1435" s="69"/>
      <c r="I1435" s="69"/>
      <c r="J1435" s="69"/>
    </row>
    <row r="1436" spans="4:10" s="64" customFormat="1" ht="12.000000">
      <c r="D1436" s="69"/>
      <c r="E1436" s="69"/>
      <c r="F1436" s="69"/>
      <c r="G1436" s="69"/>
      <c r="H1436" s="69"/>
      <c r="I1436" s="69"/>
      <c r="J1436" s="69"/>
    </row>
    <row r="1437" spans="4:10" s="64" customFormat="1" ht="12.000000">
      <c r="D1437" s="69"/>
      <c r="E1437" s="69"/>
      <c r="F1437" s="69"/>
      <c r="G1437" s="69"/>
      <c r="H1437" s="69"/>
      <c r="I1437" s="69"/>
      <c r="J1437" s="69"/>
    </row>
    <row r="1438" spans="4:10" s="64" customFormat="1" ht="12.000000">
      <c r="D1438" s="69"/>
      <c r="E1438" s="69"/>
      <c r="F1438" s="69"/>
      <c r="G1438" s="69"/>
      <c r="H1438" s="69"/>
      <c r="I1438" s="69"/>
      <c r="J1438" s="69"/>
    </row>
    <row r="1439" spans="4:10" s="64" customFormat="1" ht="12.000000">
      <c r="D1439" s="69"/>
      <c r="E1439" s="69"/>
      <c r="F1439" s="69"/>
      <c r="G1439" s="69"/>
      <c r="H1439" s="69"/>
      <c r="I1439" s="69"/>
      <c r="J1439" s="69"/>
    </row>
    <row r="1440" spans="4:10" s="64" customFormat="1" ht="12.000000">
      <c r="D1440" s="69"/>
      <c r="E1440" s="69"/>
      <c r="F1440" s="69"/>
      <c r="G1440" s="69"/>
      <c r="H1440" s="69"/>
      <c r="I1440" s="69"/>
      <c r="J1440" s="69"/>
    </row>
    <row r="1441" spans="4:10" s="64" customFormat="1" ht="12.000000">
      <c r="D1441" s="69"/>
      <c r="E1441" s="69"/>
      <c r="F1441" s="69"/>
      <c r="G1441" s="69"/>
      <c r="H1441" s="69"/>
      <c r="I1441" s="69"/>
      <c r="J1441" s="69"/>
    </row>
    <row r="1442" spans="4:10" s="64" customFormat="1" ht="12.000000">
      <c r="D1442" s="69"/>
      <c r="E1442" s="69"/>
      <c r="F1442" s="69"/>
      <c r="G1442" s="69"/>
      <c r="H1442" s="69"/>
      <c r="I1442" s="69"/>
      <c r="J1442" s="69"/>
    </row>
    <row r="1443" spans="4:10" s="64" customFormat="1" ht="12.000000">
      <c r="D1443" s="69"/>
      <c r="E1443" s="69"/>
      <c r="F1443" s="69"/>
      <c r="G1443" s="69"/>
      <c r="H1443" s="69"/>
      <c r="I1443" s="69"/>
      <c r="J1443" s="69"/>
    </row>
    <row r="1444" spans="4:10" s="64" customFormat="1" ht="12.000000">
      <c r="D1444" s="69"/>
      <c r="E1444" s="69"/>
      <c r="F1444" s="69"/>
      <c r="G1444" s="69"/>
      <c r="H1444" s="69"/>
      <c r="I1444" s="69"/>
      <c r="J1444" s="69"/>
    </row>
    <row r="1445" spans="4:10" s="64" customFormat="1" ht="12.000000">
      <c r="D1445" s="69"/>
      <c r="E1445" s="69"/>
      <c r="F1445" s="69"/>
      <c r="G1445" s="69"/>
      <c r="H1445" s="69"/>
      <c r="I1445" s="69"/>
      <c r="J1445" s="69"/>
    </row>
    <row r="1446" spans="4:10" s="64" customFormat="1" ht="12.000000">
      <c r="D1446" s="69"/>
      <c r="E1446" s="69"/>
      <c r="F1446" s="69"/>
      <c r="G1446" s="69"/>
      <c r="H1446" s="69"/>
      <c r="I1446" s="69"/>
      <c r="J1446" s="69"/>
    </row>
    <row r="1447" spans="4:10" s="64" customFormat="1" ht="12.000000">
      <c r="D1447" s="69"/>
      <c r="E1447" s="69"/>
      <c r="F1447" s="69"/>
      <c r="G1447" s="69"/>
      <c r="H1447" s="69"/>
      <c r="I1447" s="69"/>
      <c r="J1447" s="69"/>
    </row>
    <row r="1448" spans="4:10" s="64" customFormat="1" ht="12.000000">
      <c r="D1448" s="69"/>
      <c r="E1448" s="69"/>
      <c r="F1448" s="69"/>
      <c r="G1448" s="69"/>
      <c r="H1448" s="69"/>
      <c r="I1448" s="69"/>
      <c r="J1448" s="69"/>
    </row>
    <row r="1449" spans="4:10" s="64" customFormat="1" ht="12.000000">
      <c r="D1449" s="69"/>
      <c r="E1449" s="69"/>
      <c r="F1449" s="69"/>
      <c r="G1449" s="69"/>
      <c r="H1449" s="69"/>
      <c r="I1449" s="69"/>
      <c r="J1449" s="69"/>
    </row>
    <row r="1450" spans="4:10" s="64" customFormat="1" ht="12.000000">
      <c r="D1450" s="69"/>
      <c r="E1450" s="69"/>
      <c r="F1450" s="69"/>
      <c r="G1450" s="69"/>
      <c r="H1450" s="69"/>
      <c r="I1450" s="69"/>
      <c r="J1450" s="69"/>
    </row>
    <row r="1451" spans="4:10" s="64" customFormat="1" ht="12.000000">
      <c r="D1451" s="69"/>
      <c r="E1451" s="69"/>
      <c r="F1451" s="69"/>
      <c r="G1451" s="69"/>
      <c r="H1451" s="69"/>
      <c r="I1451" s="69"/>
      <c r="J1451" s="69"/>
    </row>
    <row r="1452" spans="4:10" s="64" customFormat="1" ht="12.000000">
      <c r="D1452" s="69"/>
      <c r="E1452" s="69"/>
      <c r="F1452" s="69"/>
      <c r="G1452" s="69"/>
      <c r="H1452" s="69"/>
      <c r="I1452" s="69"/>
      <c r="J1452" s="69"/>
    </row>
    <row r="1453" spans="4:10" s="64" customFormat="1" ht="12.000000">
      <c r="D1453" s="69"/>
      <c r="E1453" s="69"/>
      <c r="F1453" s="69"/>
      <c r="G1453" s="69"/>
      <c r="H1453" s="69"/>
      <c r="I1453" s="69"/>
      <c r="J1453" s="69"/>
    </row>
    <row r="1454" spans="4:10" s="64" customFormat="1" ht="12.000000">
      <c r="D1454" s="69"/>
      <c r="E1454" s="69"/>
      <c r="F1454" s="69"/>
      <c r="G1454" s="69"/>
      <c r="H1454" s="69"/>
      <c r="I1454" s="69"/>
      <c r="J1454" s="69"/>
    </row>
    <row r="1455" spans="4:10" s="64" customFormat="1" ht="12.000000">
      <c r="D1455" s="69"/>
      <c r="E1455" s="69"/>
      <c r="F1455" s="69"/>
      <c r="G1455" s="69"/>
      <c r="H1455" s="69"/>
      <c r="I1455" s="69"/>
      <c r="J1455" s="69"/>
    </row>
    <row r="1456" spans="4:10" s="64" customFormat="1" ht="12.000000">
      <c r="D1456" s="69"/>
      <c r="E1456" s="69"/>
      <c r="F1456" s="69"/>
      <c r="G1456" s="69"/>
      <c r="H1456" s="69"/>
      <c r="I1456" s="69"/>
      <c r="J1456" s="69"/>
    </row>
    <row r="1457" spans="4:10" s="64" customFormat="1" ht="12.000000">
      <c r="D1457" s="69"/>
      <c r="E1457" s="69"/>
      <c r="F1457" s="69"/>
      <c r="G1457" s="69"/>
      <c r="H1457" s="69"/>
      <c r="I1457" s="69"/>
      <c r="J1457" s="69"/>
    </row>
    <row r="1458" spans="4:10" s="64" customFormat="1" ht="12.000000">
      <c r="D1458" s="69"/>
      <c r="E1458" s="69"/>
      <c r="F1458" s="69"/>
      <c r="G1458" s="69"/>
      <c r="H1458" s="69"/>
      <c r="I1458" s="69"/>
      <c r="J1458" s="69"/>
    </row>
    <row r="1459" spans="4:10" s="64" customFormat="1" ht="12.000000">
      <c r="D1459" s="69"/>
      <c r="E1459" s="69"/>
      <c r="F1459" s="69"/>
      <c r="G1459" s="69"/>
      <c r="H1459" s="69"/>
      <c r="I1459" s="69"/>
      <c r="J1459" s="69"/>
    </row>
    <row r="1460" spans="4:10" s="64" customFormat="1" ht="12.000000">
      <c r="D1460" s="69"/>
      <c r="E1460" s="69"/>
      <c r="F1460" s="69"/>
      <c r="G1460" s="69"/>
      <c r="H1460" s="69"/>
      <c r="I1460" s="69"/>
      <c r="J1460" s="69"/>
    </row>
    <row r="1461" spans="4:10" s="64" customFormat="1" ht="12.000000">
      <c r="D1461" s="69"/>
      <c r="E1461" s="69"/>
      <c r="F1461" s="69"/>
      <c r="G1461" s="69"/>
      <c r="H1461" s="69"/>
      <c r="I1461" s="69"/>
      <c r="J1461" s="69"/>
    </row>
    <row r="1462" spans="4:10" s="64" customFormat="1" ht="12.000000">
      <c r="D1462" s="69"/>
      <c r="E1462" s="69"/>
      <c r="F1462" s="69"/>
      <c r="G1462" s="69"/>
      <c r="H1462" s="69"/>
      <c r="I1462" s="69"/>
      <c r="J1462" s="69"/>
    </row>
    <row r="1463" spans="4:10" s="64" customFormat="1" ht="12.000000">
      <c r="D1463" s="69"/>
      <c r="E1463" s="69"/>
      <c r="F1463" s="69"/>
      <c r="G1463" s="69"/>
      <c r="H1463" s="69"/>
      <c r="I1463" s="69"/>
      <c r="J1463" s="69"/>
    </row>
    <row r="1464" spans="4:10" s="64" customFormat="1" ht="12.000000">
      <c r="D1464" s="69"/>
      <c r="E1464" s="69"/>
      <c r="F1464" s="69"/>
      <c r="G1464" s="69"/>
      <c r="H1464" s="69"/>
      <c r="I1464" s="69"/>
      <c r="J1464" s="69"/>
    </row>
    <row r="1465" spans="4:10" s="64" customFormat="1" ht="12.000000">
      <c r="D1465" s="69"/>
      <c r="E1465" s="69"/>
      <c r="F1465" s="69"/>
      <c r="G1465" s="69"/>
      <c r="H1465" s="69"/>
      <c r="I1465" s="69"/>
      <c r="J1465" s="69"/>
    </row>
    <row r="1466" spans="4:10" s="64" customFormat="1" ht="12.000000">
      <c r="D1466" s="69"/>
      <c r="E1466" s="69"/>
      <c r="F1466" s="69"/>
      <c r="G1466" s="69"/>
      <c r="H1466" s="69"/>
      <c r="I1466" s="69"/>
      <c r="J1466" s="69"/>
    </row>
    <row r="1467" spans="4:10" s="64" customFormat="1" ht="12.000000">
      <c r="D1467" s="69"/>
      <c r="E1467" s="69"/>
      <c r="F1467" s="69"/>
      <c r="G1467" s="69"/>
      <c r="H1467" s="69"/>
      <c r="I1467" s="69"/>
      <c r="J1467" s="69"/>
    </row>
    <row r="1468" spans="4:10" s="64" customFormat="1" ht="12.000000">
      <c r="D1468" s="69"/>
      <c r="E1468" s="69"/>
      <c r="F1468" s="69"/>
      <c r="G1468" s="69"/>
      <c r="H1468" s="69"/>
      <c r="I1468" s="69"/>
      <c r="J1468" s="69"/>
    </row>
    <row r="1469" spans="4:10" s="64" customFormat="1" ht="12.000000">
      <c r="D1469" s="69"/>
      <c r="E1469" s="69"/>
      <c r="F1469" s="69"/>
      <c r="G1469" s="69"/>
      <c r="H1469" s="69"/>
      <c r="I1469" s="69"/>
      <c r="J1469" s="69"/>
    </row>
    <row r="1470" spans="4:10" s="64" customFormat="1" ht="12.000000">
      <c r="D1470" s="69"/>
      <c r="E1470" s="69"/>
      <c r="F1470" s="69"/>
      <c r="G1470" s="69"/>
      <c r="H1470" s="69"/>
      <c r="I1470" s="69"/>
      <c r="J1470" s="69"/>
    </row>
    <row r="1471" spans="4:10" s="64" customFormat="1" ht="12.000000">
      <c r="D1471" s="69"/>
      <c r="E1471" s="69"/>
      <c r="F1471" s="69"/>
      <c r="G1471" s="69"/>
      <c r="H1471" s="69"/>
      <c r="I1471" s="69"/>
      <c r="J1471" s="69"/>
    </row>
    <row r="1472" spans="4:10" s="64" customFormat="1" ht="12.000000">
      <c r="D1472" s="69"/>
      <c r="E1472" s="69"/>
      <c r="F1472" s="69"/>
      <c r="G1472" s="69"/>
      <c r="H1472" s="69"/>
      <c r="I1472" s="69"/>
      <c r="J1472" s="69"/>
    </row>
    <row r="1473" spans="4:10" s="64" customFormat="1" ht="12.000000">
      <c r="D1473" s="69"/>
      <c r="E1473" s="69"/>
      <c r="F1473" s="69"/>
      <c r="G1473" s="69"/>
      <c r="H1473" s="69"/>
      <c r="I1473" s="69"/>
      <c r="J1473" s="69"/>
    </row>
    <row r="1474" spans="4:10" s="64" customFormat="1" ht="12.000000">
      <c r="D1474" s="69"/>
      <c r="E1474" s="69"/>
      <c r="F1474" s="69"/>
      <c r="G1474" s="69"/>
      <c r="H1474" s="69"/>
      <c r="I1474" s="69"/>
      <c r="J1474" s="69"/>
    </row>
    <row r="1475" spans="4:10" s="64" customFormat="1" ht="12.000000">
      <c r="D1475" s="69"/>
      <c r="E1475" s="69"/>
      <c r="F1475" s="69"/>
      <c r="G1475" s="69"/>
      <c r="H1475" s="69"/>
      <c r="I1475" s="69"/>
      <c r="J1475" s="69"/>
    </row>
    <row r="1476" spans="4:10" s="64" customFormat="1" ht="12.000000">
      <c r="D1476" s="69"/>
      <c r="E1476" s="69"/>
      <c r="F1476" s="69"/>
      <c r="G1476" s="69"/>
      <c r="H1476" s="69"/>
      <c r="I1476" s="69"/>
      <c r="J1476" s="69"/>
    </row>
    <row r="1477" spans="4:10" s="64" customFormat="1" ht="12.000000">
      <c r="D1477" s="69"/>
      <c r="E1477" s="69"/>
      <c r="F1477" s="69"/>
      <c r="G1477" s="69"/>
      <c r="H1477" s="69"/>
      <c r="I1477" s="69"/>
      <c r="J1477" s="69"/>
    </row>
    <row r="1478" spans="4:10" s="64" customFormat="1" ht="12.000000">
      <c r="D1478" s="69"/>
      <c r="E1478" s="69"/>
      <c r="F1478" s="69"/>
      <c r="G1478" s="69"/>
      <c r="H1478" s="69"/>
      <c r="I1478" s="69"/>
      <c r="J1478" s="69"/>
    </row>
    <row r="1479" spans="4:10" s="64" customFormat="1" ht="12.000000">
      <c r="D1479" s="69"/>
      <c r="E1479" s="69"/>
      <c r="F1479" s="69"/>
      <c r="G1479" s="69"/>
      <c r="H1479" s="69"/>
      <c r="I1479" s="69"/>
      <c r="J1479" s="69"/>
    </row>
    <row r="1480" spans="4:10" s="64" customFormat="1" ht="12.000000">
      <c r="D1480" s="69"/>
      <c r="E1480" s="69"/>
      <c r="F1480" s="69"/>
      <c r="G1480" s="69"/>
      <c r="H1480" s="69"/>
      <c r="I1480" s="69"/>
      <c r="J1480" s="69"/>
    </row>
    <row r="1481" spans="4:10" s="64" customFormat="1" ht="12.000000">
      <c r="D1481" s="69"/>
      <c r="E1481" s="69"/>
      <c r="F1481" s="69"/>
      <c r="G1481" s="69"/>
      <c r="H1481" s="69"/>
      <c r="I1481" s="69"/>
      <c r="J1481" s="69"/>
    </row>
    <row r="1482" spans="4:10" s="64" customFormat="1" ht="12.000000">
      <c r="D1482" s="69"/>
      <c r="E1482" s="69"/>
      <c r="F1482" s="69"/>
      <c r="G1482" s="69"/>
      <c r="H1482" s="69"/>
      <c r="I1482" s="69"/>
      <c r="J1482" s="69"/>
    </row>
    <row r="1483" spans="4:10" s="64" customFormat="1" ht="12.000000">
      <c r="D1483" s="69"/>
      <c r="E1483" s="69"/>
      <c r="F1483" s="69"/>
      <c r="G1483" s="69"/>
      <c r="H1483" s="69"/>
      <c r="I1483" s="69"/>
      <c r="J1483" s="69"/>
    </row>
    <row r="1484" spans="4:10" s="64" customFormat="1" ht="12.000000">
      <c r="D1484" s="69"/>
      <c r="E1484" s="69"/>
      <c r="F1484" s="69"/>
      <c r="G1484" s="69"/>
      <c r="H1484" s="69"/>
      <c r="I1484" s="69"/>
      <c r="J1484" s="69"/>
    </row>
    <row r="1485" spans="4:10" s="64" customFormat="1" ht="12.000000">
      <c r="D1485" s="69"/>
      <c r="E1485" s="69"/>
      <c r="F1485" s="69"/>
      <c r="G1485" s="69"/>
      <c r="H1485" s="69"/>
      <c r="I1485" s="69"/>
      <c r="J1485" s="69"/>
    </row>
    <row r="1486" spans="4:10" s="64" customFormat="1" ht="12.000000">
      <c r="D1486" s="69"/>
      <c r="E1486" s="69"/>
      <c r="F1486" s="69"/>
      <c r="G1486" s="69"/>
      <c r="H1486" s="69"/>
      <c r="I1486" s="69"/>
      <c r="J1486" s="69"/>
    </row>
    <row r="1487" spans="4:10" s="64" customFormat="1" ht="12.000000">
      <c r="D1487" s="69"/>
      <c r="E1487" s="69"/>
      <c r="F1487" s="69"/>
      <c r="G1487" s="69"/>
      <c r="H1487" s="69"/>
      <c r="I1487" s="69"/>
      <c r="J1487" s="69"/>
    </row>
    <row r="1488" spans="4:10" s="64" customFormat="1" ht="12.000000">
      <c r="D1488" s="69"/>
      <c r="E1488" s="69"/>
      <c r="F1488" s="69"/>
      <c r="G1488" s="69"/>
      <c r="H1488" s="69"/>
      <c r="I1488" s="69"/>
      <c r="J1488" s="69"/>
    </row>
    <row r="1489" spans="4:10" s="64" customFormat="1" ht="12.000000">
      <c r="D1489" s="69"/>
      <c r="E1489" s="69"/>
      <c r="F1489" s="69"/>
      <c r="G1489" s="69"/>
      <c r="H1489" s="69"/>
      <c r="I1489" s="69"/>
      <c r="J1489" s="69"/>
    </row>
    <row r="1490" spans="4:10" s="64" customFormat="1" ht="12.000000">
      <c r="D1490" s="69"/>
      <c r="E1490" s="69"/>
      <c r="F1490" s="69"/>
      <c r="G1490" s="69"/>
      <c r="H1490" s="69"/>
      <c r="I1490" s="69"/>
      <c r="J1490" s="69"/>
    </row>
    <row r="1491" spans="4:10" s="64" customFormat="1" ht="12.000000">
      <c r="D1491" s="69"/>
      <c r="E1491" s="69"/>
      <c r="F1491" s="69"/>
      <c r="G1491" s="69"/>
      <c r="H1491" s="69"/>
      <c r="I1491" s="69"/>
      <c r="J1491" s="69"/>
    </row>
    <row r="1492" spans="4:10" s="64" customFormat="1" ht="12.000000">
      <c r="D1492" s="69"/>
      <c r="E1492" s="69"/>
      <c r="F1492" s="69"/>
      <c r="G1492" s="69"/>
      <c r="H1492" s="69"/>
      <c r="I1492" s="69"/>
      <c r="J1492" s="69"/>
    </row>
    <row r="1493" spans="4:10" s="64" customFormat="1" ht="12.000000">
      <c r="D1493" s="69"/>
      <c r="E1493" s="69"/>
      <c r="F1493" s="69"/>
      <c r="G1493" s="69"/>
      <c r="H1493" s="69"/>
      <c r="I1493" s="69"/>
      <c r="J1493" s="69"/>
    </row>
    <row r="1494" spans="4:10" s="64" customFormat="1" ht="12.000000">
      <c r="D1494" s="69"/>
      <c r="E1494" s="69"/>
      <c r="F1494" s="69"/>
      <c r="G1494" s="69"/>
      <c r="H1494" s="69"/>
      <c r="I1494" s="69"/>
      <c r="J1494" s="69"/>
    </row>
    <row r="1495" spans="4:10" s="64" customFormat="1" ht="12.000000">
      <c r="D1495" s="69"/>
      <c r="E1495" s="69"/>
      <c r="F1495" s="69"/>
      <c r="G1495" s="69"/>
      <c r="H1495" s="69"/>
      <c r="I1495" s="69"/>
      <c r="J1495" s="69"/>
    </row>
    <row r="1496" spans="4:10" s="64" customFormat="1" ht="12.000000">
      <c r="D1496" s="69"/>
      <c r="E1496" s="69"/>
      <c r="F1496" s="69"/>
      <c r="G1496" s="69"/>
      <c r="H1496" s="69"/>
      <c r="I1496" s="69"/>
      <c r="J1496" s="69"/>
    </row>
    <row r="1497" spans="4:10" s="64" customFormat="1" ht="12.000000">
      <c r="D1497" s="69"/>
      <c r="E1497" s="69"/>
      <c r="F1497" s="69"/>
      <c r="G1497" s="69"/>
      <c r="H1497" s="69"/>
      <c r="I1497" s="69"/>
      <c r="J1497" s="69"/>
    </row>
    <row r="1498" spans="4:10" s="64" customFormat="1" ht="12.000000">
      <c r="D1498" s="69"/>
      <c r="E1498" s="69"/>
      <c r="F1498" s="69"/>
      <c r="G1498" s="69"/>
      <c r="H1498" s="69"/>
      <c r="I1498" s="69"/>
      <c r="J1498" s="69"/>
    </row>
    <row r="1499" spans="4:10" s="64" customFormat="1" ht="12.000000">
      <c r="D1499" s="69"/>
      <c r="E1499" s="69"/>
      <c r="F1499" s="69"/>
      <c r="G1499" s="69"/>
      <c r="H1499" s="69"/>
      <c r="I1499" s="69"/>
      <c r="J1499" s="69"/>
    </row>
    <row r="1500" spans="4:10" s="64" customFormat="1" ht="12.000000">
      <c r="D1500" s="69"/>
      <c r="E1500" s="69"/>
      <c r="F1500" s="69"/>
      <c r="G1500" s="69"/>
      <c r="H1500" s="69"/>
      <c r="I1500" s="69"/>
      <c r="J1500" s="69"/>
    </row>
    <row r="1501" spans="4:10" s="64" customFormat="1" ht="12.000000">
      <c r="D1501" s="69"/>
      <c r="E1501" s="69"/>
      <c r="F1501" s="69"/>
      <c r="G1501" s="69"/>
      <c r="H1501" s="69"/>
      <c r="I1501" s="69"/>
      <c r="J1501" s="69"/>
    </row>
    <row r="1502" spans="4:10" s="64" customFormat="1" ht="12.000000">
      <c r="D1502" s="69"/>
      <c r="E1502" s="69"/>
      <c r="F1502" s="69"/>
      <c r="G1502" s="69"/>
      <c r="H1502" s="69"/>
      <c r="I1502" s="69"/>
      <c r="J1502" s="69"/>
    </row>
    <row r="1503" spans="4:10" s="64" customFormat="1" ht="12.000000">
      <c r="D1503" s="69"/>
      <c r="E1503" s="69"/>
      <c r="F1503" s="69"/>
      <c r="G1503" s="69"/>
      <c r="H1503" s="69"/>
      <c r="I1503" s="69"/>
      <c r="J1503" s="69"/>
    </row>
    <row r="1504" spans="4:10" s="64" customFormat="1" ht="12.000000">
      <c r="D1504" s="69"/>
      <c r="E1504" s="69"/>
      <c r="F1504" s="69"/>
      <c r="G1504" s="69"/>
      <c r="H1504" s="69"/>
      <c r="I1504" s="69"/>
      <c r="J1504" s="69"/>
    </row>
    <row r="1505" spans="4:10" s="64" customFormat="1" ht="12.000000">
      <c r="D1505" s="69"/>
      <c r="E1505" s="69"/>
      <c r="F1505" s="69"/>
      <c r="G1505" s="69"/>
      <c r="H1505" s="69"/>
      <c r="I1505" s="69"/>
      <c r="J1505" s="69"/>
    </row>
    <row r="1506" spans="4:10" s="64" customFormat="1" ht="12.000000">
      <c r="D1506" s="69"/>
      <c r="E1506" s="69"/>
      <c r="F1506" s="69"/>
      <c r="G1506" s="69"/>
      <c r="H1506" s="69"/>
      <c r="I1506" s="69"/>
      <c r="J1506" s="69"/>
    </row>
    <row r="1507" spans="4:10" s="64" customFormat="1" ht="12.000000">
      <c r="D1507" s="69"/>
      <c r="E1507" s="69"/>
      <c r="F1507" s="69"/>
      <c r="G1507" s="69"/>
      <c r="H1507" s="69"/>
      <c r="I1507" s="69"/>
      <c r="J1507" s="69"/>
    </row>
    <row r="1508" spans="4:10" s="64" customFormat="1" ht="12.000000">
      <c r="D1508" s="69"/>
      <c r="E1508" s="69"/>
      <c r="F1508" s="69"/>
      <c r="G1508" s="69"/>
      <c r="H1508" s="69"/>
      <c r="I1508" s="69"/>
      <c r="J1508" s="69"/>
    </row>
    <row r="1509" spans="4:10" s="64" customFormat="1" ht="12.000000">
      <c r="D1509" s="69"/>
      <c r="E1509" s="69"/>
      <c r="F1509" s="69"/>
      <c r="G1509" s="69"/>
      <c r="H1509" s="69"/>
      <c r="I1509" s="69"/>
      <c r="J1509" s="69"/>
    </row>
    <row r="1510" spans="4:10" s="64" customFormat="1" ht="12.000000">
      <c r="D1510" s="69"/>
      <c r="E1510" s="69"/>
      <c r="F1510" s="69"/>
      <c r="G1510" s="69"/>
      <c r="H1510" s="69"/>
      <c r="I1510" s="69"/>
      <c r="J1510" s="69"/>
    </row>
    <row r="1511" spans="4:10" s="64" customFormat="1" ht="12.000000">
      <c r="D1511" s="69"/>
      <c r="E1511" s="69"/>
      <c r="F1511" s="69"/>
      <c r="G1511" s="69"/>
      <c r="H1511" s="69"/>
      <c r="I1511" s="69"/>
      <c r="J1511" s="69"/>
    </row>
    <row r="1512" spans="4:10" s="64" customFormat="1" ht="12.000000">
      <c r="D1512" s="69"/>
      <c r="E1512" s="69"/>
      <c r="F1512" s="69"/>
      <c r="G1512" s="69"/>
      <c r="H1512" s="69"/>
      <c r="I1512" s="69"/>
      <c r="J1512" s="69"/>
    </row>
    <row r="1513" spans="4:10" s="64" customFormat="1" ht="12.000000">
      <c r="D1513" s="69"/>
      <c r="E1513" s="69"/>
      <c r="F1513" s="69"/>
      <c r="G1513" s="69"/>
      <c r="H1513" s="69"/>
      <c r="I1513" s="69"/>
      <c r="J1513" s="69"/>
    </row>
    <row r="1514" spans="4:10" s="64" customFormat="1" ht="12.000000">
      <c r="D1514" s="69"/>
      <c r="E1514" s="69"/>
      <c r="F1514" s="69"/>
      <c r="G1514" s="69"/>
      <c r="H1514" s="69"/>
      <c r="I1514" s="69"/>
      <c r="J1514" s="69"/>
    </row>
    <row r="1515" spans="4:10" s="64" customFormat="1" ht="12.000000">
      <c r="D1515" s="69"/>
      <c r="E1515" s="69"/>
      <c r="F1515" s="69"/>
      <c r="G1515" s="69"/>
      <c r="H1515" s="69"/>
      <c r="I1515" s="69"/>
      <c r="J1515" s="69"/>
    </row>
    <row r="1516" spans="4:10" s="64" customFormat="1" ht="12.000000">
      <c r="D1516" s="69"/>
      <c r="E1516" s="69"/>
      <c r="F1516" s="69"/>
      <c r="G1516" s="69"/>
      <c r="H1516" s="69"/>
      <c r="I1516" s="69"/>
      <c r="J1516" s="69"/>
    </row>
    <row r="1517" spans="4:10" s="64" customFormat="1" ht="12.000000">
      <c r="D1517" s="69"/>
      <c r="E1517" s="69"/>
      <c r="F1517" s="69"/>
      <c r="G1517" s="69"/>
      <c r="H1517" s="69"/>
      <c r="I1517" s="69"/>
      <c r="J1517" s="69"/>
    </row>
    <row r="1518" spans="4:10" s="64" customFormat="1" ht="12.000000">
      <c r="D1518" s="69"/>
      <c r="E1518" s="69"/>
      <c r="F1518" s="69"/>
      <c r="G1518" s="69"/>
      <c r="H1518" s="69"/>
      <c r="I1518" s="69"/>
      <c r="J1518" s="69"/>
    </row>
    <row r="1519" spans="4:10" s="64" customFormat="1" ht="12.000000">
      <c r="D1519" s="69"/>
      <c r="E1519" s="69"/>
      <c r="F1519" s="69"/>
      <c r="G1519" s="69"/>
      <c r="H1519" s="69"/>
      <c r="I1519" s="69"/>
      <c r="J1519" s="69"/>
    </row>
    <row r="1520" spans="4:10" s="64" customFormat="1" ht="12.000000">
      <c r="D1520" s="69"/>
      <c r="E1520" s="69"/>
      <c r="F1520" s="69"/>
      <c r="G1520" s="69"/>
      <c r="H1520" s="69"/>
      <c r="I1520" s="69"/>
      <c r="J1520" s="69"/>
    </row>
    <row r="1521" spans="4:10" s="64" customFormat="1" ht="12.000000">
      <c r="D1521" s="69"/>
      <c r="E1521" s="69"/>
      <c r="F1521" s="69"/>
      <c r="G1521" s="69"/>
      <c r="H1521" s="69"/>
      <c r="I1521" s="69"/>
      <c r="J1521" s="69"/>
    </row>
    <row r="1522" spans="4:10" s="64" customFormat="1" ht="12.000000">
      <c r="D1522" s="69"/>
      <c r="E1522" s="69"/>
      <c r="F1522" s="69"/>
      <c r="G1522" s="69"/>
      <c r="H1522" s="69"/>
      <c r="I1522" s="69"/>
      <c r="J1522" s="69"/>
    </row>
    <row r="1523" spans="4:10" s="64" customFormat="1" ht="12.000000">
      <c r="D1523" s="69"/>
      <c r="E1523" s="69"/>
      <c r="F1523" s="69"/>
      <c r="G1523" s="69"/>
      <c r="H1523" s="69"/>
      <c r="I1523" s="69"/>
      <c r="J1523" s="69"/>
    </row>
    <row r="1524" spans="4:10" s="64" customFormat="1" ht="12.000000">
      <c r="D1524" s="69"/>
      <c r="E1524" s="69"/>
      <c r="F1524" s="69"/>
      <c r="G1524" s="69"/>
      <c r="H1524" s="69"/>
      <c r="I1524" s="69"/>
      <c r="J1524" s="69"/>
    </row>
    <row r="1525" spans="4:10" s="64" customFormat="1" ht="12.000000">
      <c r="D1525" s="69"/>
      <c r="E1525" s="69"/>
      <c r="F1525" s="69"/>
      <c r="G1525" s="69"/>
      <c r="H1525" s="69"/>
      <c r="I1525" s="69"/>
      <c r="J1525" s="69"/>
    </row>
    <row r="1526" spans="4:10" s="64" customFormat="1" ht="12.000000">
      <c r="D1526" s="69"/>
      <c r="E1526" s="69"/>
      <c r="F1526" s="69"/>
      <c r="G1526" s="69"/>
      <c r="H1526" s="69"/>
      <c r="I1526" s="69"/>
      <c r="J1526" s="69"/>
    </row>
    <row r="1527" spans="4:10" s="64" customFormat="1" ht="12.000000">
      <c r="D1527" s="69"/>
      <c r="E1527" s="69"/>
      <c r="F1527" s="69"/>
      <c r="G1527" s="69"/>
      <c r="H1527" s="69"/>
      <c r="I1527" s="69"/>
      <c r="J1527" s="69"/>
    </row>
    <row r="1528" spans="4:10" s="64" customFormat="1" ht="12.000000">
      <c r="D1528" s="69"/>
      <c r="E1528" s="69"/>
      <c r="F1528" s="69"/>
      <c r="G1528" s="69"/>
      <c r="H1528" s="69"/>
      <c r="I1528" s="69"/>
      <c r="J1528" s="69"/>
    </row>
    <row r="1529" spans="4:10" s="64" customFormat="1" ht="12.000000">
      <c r="D1529" s="69"/>
      <c r="E1529" s="69"/>
      <c r="F1529" s="69"/>
      <c r="G1529" s="69"/>
      <c r="H1529" s="69"/>
      <c r="I1529" s="69"/>
      <c r="J1529" s="69"/>
    </row>
    <row r="1530" spans="4:10" s="64" customFormat="1" ht="12.000000">
      <c r="D1530" s="69"/>
      <c r="E1530" s="69"/>
      <c r="F1530" s="69"/>
      <c r="G1530" s="69"/>
      <c r="H1530" s="69"/>
      <c r="I1530" s="69"/>
      <c r="J1530" s="69"/>
    </row>
    <row r="1531" spans="4:10" s="64" customFormat="1" ht="12.000000">
      <c r="D1531" s="69"/>
      <c r="E1531" s="69"/>
      <c r="F1531" s="69"/>
      <c r="G1531" s="69"/>
      <c r="H1531" s="69"/>
      <c r="I1531" s="69"/>
      <c r="J1531" s="69"/>
    </row>
    <row r="1532" spans="4:10" s="64" customFormat="1" ht="12.000000">
      <c r="D1532" s="69"/>
      <c r="E1532" s="69"/>
      <c r="F1532" s="69"/>
      <c r="G1532" s="69"/>
      <c r="H1532" s="69"/>
      <c r="I1532" s="69"/>
      <c r="J1532" s="69"/>
    </row>
    <row r="1533" spans="4:10" s="64" customFormat="1" ht="12.000000">
      <c r="D1533" s="69"/>
      <c r="E1533" s="69"/>
      <c r="F1533" s="69"/>
      <c r="G1533" s="69"/>
      <c r="H1533" s="69"/>
      <c r="I1533" s="69"/>
      <c r="J1533" s="69"/>
    </row>
    <row r="1534" spans="4:10" s="64" customFormat="1" ht="12.000000">
      <c r="D1534" s="69"/>
      <c r="E1534" s="69"/>
      <c r="F1534" s="69"/>
      <c r="G1534" s="69"/>
      <c r="H1534" s="69"/>
      <c r="I1534" s="69"/>
      <c r="J1534" s="69"/>
    </row>
    <row r="1535" spans="4:10" s="64" customFormat="1" ht="12.000000">
      <c r="D1535" s="69"/>
      <c r="E1535" s="69"/>
      <c r="F1535" s="69"/>
      <c r="G1535" s="69"/>
      <c r="H1535" s="69"/>
      <c r="I1535" s="69"/>
      <c r="J1535" s="69"/>
    </row>
    <row r="1536" spans="4:10" s="64" customFormat="1" ht="12.000000">
      <c r="D1536" s="69"/>
      <c r="E1536" s="69"/>
      <c r="F1536" s="69"/>
      <c r="G1536" s="69"/>
      <c r="H1536" s="69"/>
      <c r="I1536" s="69"/>
      <c r="J1536" s="69"/>
    </row>
    <row r="1537" spans="4:10" s="64" customFormat="1" ht="12.000000">
      <c r="D1537" s="69"/>
      <c r="E1537" s="69"/>
      <c r="F1537" s="69"/>
      <c r="G1537" s="69"/>
      <c r="H1537" s="69"/>
      <c r="I1537" s="69"/>
      <c r="J1537" s="69"/>
    </row>
    <row r="1538" spans="4:10" s="64" customFormat="1" ht="12.000000">
      <c r="D1538" s="69"/>
      <c r="E1538" s="69"/>
      <c r="F1538" s="69"/>
      <c r="G1538" s="69"/>
      <c r="H1538" s="69"/>
      <c r="I1538" s="69"/>
      <c r="J1538" s="69"/>
    </row>
    <row r="1539" spans="4:10" s="64" customFormat="1" ht="12.000000">
      <c r="D1539" s="69"/>
      <c r="E1539" s="69"/>
      <c r="F1539" s="69"/>
      <c r="G1539" s="69"/>
      <c r="H1539" s="69"/>
      <c r="I1539" s="69"/>
      <c r="J1539" s="69"/>
    </row>
    <row r="1540" spans="4:10" s="64" customFormat="1" ht="12.000000">
      <c r="D1540" s="69"/>
      <c r="E1540" s="69"/>
      <c r="F1540" s="69"/>
      <c r="G1540" s="69"/>
      <c r="H1540" s="69"/>
      <c r="I1540" s="69"/>
      <c r="J1540" s="69"/>
    </row>
    <row r="1541" spans="4:10" s="64" customFormat="1" ht="12.000000">
      <c r="D1541" s="69"/>
      <c r="E1541" s="69"/>
      <c r="F1541" s="69"/>
      <c r="G1541" s="69"/>
      <c r="H1541" s="69"/>
      <c r="I1541" s="69"/>
      <c r="J1541" s="69"/>
    </row>
    <row r="1542" spans="4:10" s="64" customFormat="1" ht="12.000000">
      <c r="D1542" s="69"/>
      <c r="E1542" s="69"/>
      <c r="F1542" s="69"/>
      <c r="G1542" s="69"/>
      <c r="H1542" s="69"/>
      <c r="I1542" s="69"/>
      <c r="J1542" s="69"/>
    </row>
    <row r="1543" spans="4:10" s="64" customFormat="1" ht="12.000000">
      <c r="D1543" s="69"/>
      <c r="E1543" s="69"/>
      <c r="F1543" s="69"/>
      <c r="G1543" s="69"/>
      <c r="H1543" s="69"/>
      <c r="I1543" s="69"/>
      <c r="J1543" s="69"/>
    </row>
    <row r="1544" spans="4:10" s="64" customFormat="1" ht="12.000000">
      <c r="D1544" s="69"/>
      <c r="E1544" s="69"/>
      <c r="F1544" s="69"/>
      <c r="G1544" s="69"/>
      <c r="H1544" s="69"/>
      <c r="I1544" s="69"/>
      <c r="J1544" s="69"/>
    </row>
    <row r="1545" spans="4:10" s="64" customFormat="1" ht="12.000000">
      <c r="D1545" s="69"/>
      <c r="E1545" s="69"/>
      <c r="F1545" s="69"/>
      <c r="G1545" s="69"/>
      <c r="H1545" s="69"/>
      <c r="I1545" s="69"/>
      <c r="J1545" s="69"/>
    </row>
    <row r="1546" spans="4:10" s="64" customFormat="1" ht="12.000000">
      <c r="D1546" s="69"/>
      <c r="E1546" s="69"/>
      <c r="F1546" s="69"/>
      <c r="G1546" s="69"/>
      <c r="H1546" s="69"/>
      <c r="I1546" s="69"/>
      <c r="J1546" s="69"/>
    </row>
    <row r="1547" spans="4:10" s="64" customFormat="1" ht="12.000000">
      <c r="D1547" s="69"/>
      <c r="E1547" s="69"/>
      <c r="F1547" s="69"/>
      <c r="G1547" s="69"/>
      <c r="H1547" s="69"/>
      <c r="I1547" s="69"/>
      <c r="J1547" s="69"/>
    </row>
    <row r="1548" spans="4:10" s="64" customFormat="1" ht="12.000000">
      <c r="D1548" s="69"/>
      <c r="E1548" s="69"/>
      <c r="F1548" s="69"/>
      <c r="G1548" s="69"/>
      <c r="H1548" s="69"/>
      <c r="I1548" s="69"/>
      <c r="J1548" s="69"/>
    </row>
    <row r="1549" spans="4:10" s="64" customFormat="1" ht="12.000000">
      <c r="D1549" s="69"/>
      <c r="E1549" s="69"/>
      <c r="F1549" s="69"/>
      <c r="G1549" s="69"/>
      <c r="H1549" s="69"/>
      <c r="I1549" s="69"/>
      <c r="J1549" s="69"/>
    </row>
    <row r="1550" spans="4:10" s="64" customFormat="1" ht="12.000000">
      <c r="D1550" s="69"/>
      <c r="E1550" s="69"/>
      <c r="F1550" s="69"/>
      <c r="G1550" s="69"/>
      <c r="H1550" s="69"/>
      <c r="I1550" s="69"/>
      <c r="J1550" s="69"/>
    </row>
    <row r="1551" spans="4:10" s="64" customFormat="1" ht="12.000000">
      <c r="D1551" s="69"/>
      <c r="E1551" s="69"/>
      <c r="F1551" s="69"/>
      <c r="G1551" s="69"/>
      <c r="H1551" s="69"/>
      <c r="I1551" s="69"/>
      <c r="J1551" s="69"/>
    </row>
    <row r="1552" spans="4:10" s="64" customFormat="1" ht="12.000000">
      <c r="D1552" s="69"/>
      <c r="E1552" s="69"/>
      <c r="F1552" s="69"/>
      <c r="G1552" s="69"/>
      <c r="H1552" s="69"/>
      <c r="I1552" s="69"/>
      <c r="J1552" s="69"/>
    </row>
    <row r="1553" spans="4:10" s="64" customFormat="1" ht="12.000000">
      <c r="D1553" s="69"/>
      <c r="E1553" s="69"/>
      <c r="F1553" s="69"/>
      <c r="G1553" s="69"/>
      <c r="H1553" s="69"/>
      <c r="I1553" s="69"/>
      <c r="J1553" s="69"/>
    </row>
    <row r="1554" spans="4:10" s="64" customFormat="1" ht="12.000000">
      <c r="D1554" s="69"/>
      <c r="E1554" s="69"/>
      <c r="F1554" s="69"/>
      <c r="G1554" s="69"/>
      <c r="H1554" s="69"/>
      <c r="I1554" s="69"/>
      <c r="J1554" s="69"/>
    </row>
    <row r="1555" spans="4:10" s="64" customFormat="1" ht="12.000000">
      <c r="D1555" s="69"/>
      <c r="E1555" s="69"/>
      <c r="F1555" s="69"/>
      <c r="G1555" s="69"/>
      <c r="H1555" s="69"/>
      <c r="I1555" s="69"/>
      <c r="J1555" s="69"/>
    </row>
    <row r="1556" spans="4:10" s="64" customFormat="1" ht="12.000000">
      <c r="D1556" s="69"/>
      <c r="E1556" s="69"/>
      <c r="F1556" s="69"/>
      <c r="G1556" s="69"/>
      <c r="H1556" s="69"/>
      <c r="I1556" s="69"/>
      <c r="J1556" s="69"/>
    </row>
    <row r="1557" spans="4:10" s="64" customFormat="1" ht="12.000000">
      <c r="D1557" s="69"/>
      <c r="E1557" s="69"/>
      <c r="F1557" s="69"/>
      <c r="G1557" s="69"/>
      <c r="H1557" s="69"/>
      <c r="I1557" s="69"/>
      <c r="J1557" s="69"/>
    </row>
    <row r="1558" spans="4:10" s="64" customFormat="1" ht="12.000000">
      <c r="D1558" s="69"/>
      <c r="E1558" s="69"/>
      <c r="F1558" s="69"/>
      <c r="G1558" s="69"/>
      <c r="H1558" s="69"/>
      <c r="I1558" s="69"/>
      <c r="J1558" s="69"/>
    </row>
    <row r="1559" spans="4:10" s="64" customFormat="1" ht="12.000000">
      <c r="D1559" s="69"/>
      <c r="E1559" s="69"/>
      <c r="F1559" s="69"/>
      <c r="G1559" s="69"/>
      <c r="H1559" s="69"/>
      <c r="I1559" s="69"/>
      <c r="J1559" s="69"/>
    </row>
    <row r="1560" spans="4:10" s="64" customFormat="1" ht="12.000000">
      <c r="D1560" s="69"/>
      <c r="E1560" s="69"/>
      <c r="F1560" s="69"/>
      <c r="G1560" s="69"/>
      <c r="H1560" s="69"/>
      <c r="I1560" s="69"/>
      <c r="J1560" s="69"/>
    </row>
    <row r="1561" spans="4:10" s="64" customFormat="1" ht="12.000000">
      <c r="D1561" s="69"/>
      <c r="E1561" s="69"/>
      <c r="F1561" s="69"/>
      <c r="G1561" s="69"/>
      <c r="H1561" s="69"/>
      <c r="I1561" s="69"/>
      <c r="J1561" s="69"/>
    </row>
    <row r="1562" spans="4:10" s="64" customFormat="1" ht="12.000000">
      <c r="D1562" s="69"/>
      <c r="E1562" s="69"/>
      <c r="F1562" s="69"/>
      <c r="G1562" s="69"/>
      <c r="H1562" s="69"/>
      <c r="I1562" s="69"/>
      <c r="J1562" s="69"/>
    </row>
    <row r="1563" spans="4:10" s="64" customFormat="1" ht="12.000000">
      <c r="D1563" s="69"/>
      <c r="E1563" s="69"/>
      <c r="F1563" s="69"/>
      <c r="G1563" s="69"/>
      <c r="H1563" s="69"/>
      <c r="I1563" s="69"/>
      <c r="J1563" s="69"/>
    </row>
    <row r="1564" spans="4:10" s="64" customFormat="1" ht="12.000000">
      <c r="D1564" s="69"/>
      <c r="E1564" s="69"/>
      <c r="F1564" s="69"/>
      <c r="G1564" s="69"/>
      <c r="H1564" s="69"/>
      <c r="I1564" s="69"/>
      <c r="J1564" s="69"/>
    </row>
    <row r="1565" spans="4:10" s="64" customFormat="1" ht="12.000000">
      <c r="D1565" s="69"/>
      <c r="E1565" s="69"/>
      <c r="F1565" s="69"/>
      <c r="G1565" s="69"/>
      <c r="H1565" s="69"/>
      <c r="I1565" s="69"/>
      <c r="J1565" s="69"/>
    </row>
    <row r="1566" spans="4:10" s="64" customFormat="1" ht="12.000000">
      <c r="D1566" s="69"/>
      <c r="E1566" s="69"/>
      <c r="F1566" s="69"/>
      <c r="G1566" s="69"/>
      <c r="H1566" s="69"/>
      <c r="I1566" s="69"/>
      <c r="J1566" s="69"/>
    </row>
    <row r="1567" spans="4:10" s="64" customFormat="1" ht="12.000000">
      <c r="D1567" s="69"/>
      <c r="E1567" s="69"/>
      <c r="F1567" s="69"/>
      <c r="G1567" s="69"/>
      <c r="H1567" s="69"/>
      <c r="I1567" s="69"/>
      <c r="J1567" s="69"/>
    </row>
    <row r="1568" spans="4:10" s="64" customFormat="1" ht="12.000000">
      <c r="D1568" s="69"/>
      <c r="E1568" s="69"/>
      <c r="F1568" s="69"/>
      <c r="G1568" s="69"/>
      <c r="H1568" s="69"/>
      <c r="I1568" s="69"/>
      <c r="J1568" s="69"/>
    </row>
    <row r="1569" spans="4:10" s="64" customFormat="1" ht="12.000000">
      <c r="D1569" s="69"/>
      <c r="E1569" s="69"/>
      <c r="F1569" s="69"/>
      <c r="G1569" s="69"/>
      <c r="H1569" s="69"/>
      <c r="I1569" s="69"/>
      <c r="J1569" s="69"/>
    </row>
    <row r="1570" spans="4:10" s="64" customFormat="1" ht="12.000000">
      <c r="D1570" s="69"/>
      <c r="E1570" s="69"/>
      <c r="F1570" s="69"/>
      <c r="G1570" s="69"/>
      <c r="H1570" s="69"/>
      <c r="I1570" s="69"/>
      <c r="J1570" s="69"/>
    </row>
    <row r="1571" spans="4:10" s="64" customFormat="1" ht="12.000000">
      <c r="D1571" s="69"/>
      <c r="E1571" s="69"/>
      <c r="F1571" s="69"/>
      <c r="G1571" s="69"/>
      <c r="H1571" s="69"/>
      <c r="I1571" s="69"/>
      <c r="J1571" s="69"/>
    </row>
    <row r="1572" spans="4:10" s="64" customFormat="1" ht="12.000000">
      <c r="D1572" s="69"/>
      <c r="E1572" s="69"/>
      <c r="F1572" s="69"/>
      <c r="G1572" s="69"/>
      <c r="H1572" s="69"/>
      <c r="I1572" s="69"/>
      <c r="J1572" s="69"/>
    </row>
    <row r="1573" spans="4:10" s="64" customFormat="1" ht="12.000000">
      <c r="D1573" s="69"/>
      <c r="E1573" s="69"/>
      <c r="F1573" s="69"/>
      <c r="G1573" s="69"/>
      <c r="H1573" s="69"/>
      <c r="I1573" s="69"/>
      <c r="J1573" s="69"/>
    </row>
    <row r="1574" spans="4:10" s="64" customFormat="1" ht="12.000000">
      <c r="D1574" s="69"/>
      <c r="E1574" s="69"/>
      <c r="F1574" s="69"/>
      <c r="G1574" s="69"/>
      <c r="H1574" s="69"/>
      <c r="I1574" s="69"/>
      <c r="J1574" s="69"/>
    </row>
    <row r="1575" spans="4:10" s="64" customFormat="1" ht="12.000000">
      <c r="D1575" s="69"/>
      <c r="E1575" s="69"/>
      <c r="F1575" s="69"/>
      <c r="G1575" s="69"/>
      <c r="H1575" s="69"/>
      <c r="I1575" s="69"/>
      <c r="J1575" s="69"/>
    </row>
    <row r="1576" spans="4:10" s="64" customFormat="1" ht="12.000000">
      <c r="D1576" s="69"/>
      <c r="E1576" s="69"/>
      <c r="F1576" s="69"/>
      <c r="G1576" s="69"/>
      <c r="H1576" s="69"/>
      <c r="I1576" s="69"/>
      <c r="J1576" s="69"/>
    </row>
    <row r="1577" spans="4:10" s="64" customFormat="1" ht="12.000000">
      <c r="D1577" s="69"/>
      <c r="E1577" s="69"/>
      <c r="F1577" s="69"/>
      <c r="G1577" s="69"/>
      <c r="H1577" s="69"/>
      <c r="I1577" s="69"/>
      <c r="J1577" s="69"/>
    </row>
    <row r="1578" spans="4:10" s="64" customFormat="1" ht="12.000000">
      <c r="D1578" s="69"/>
      <c r="E1578" s="69"/>
      <c r="F1578" s="69"/>
      <c r="G1578" s="69"/>
      <c r="H1578" s="69"/>
      <c r="I1578" s="69"/>
      <c r="J1578" s="69"/>
    </row>
    <row r="1579" spans="4:10" s="64" customFormat="1" ht="12.000000">
      <c r="D1579" s="69"/>
      <c r="E1579" s="69"/>
      <c r="F1579" s="69"/>
      <c r="G1579" s="69"/>
      <c r="H1579" s="69"/>
      <c r="I1579" s="69"/>
      <c r="J1579" s="69"/>
    </row>
    <row r="1580" spans="4:10" s="64" customFormat="1" ht="12.000000">
      <c r="D1580" s="69"/>
      <c r="E1580" s="69"/>
      <c r="F1580" s="69"/>
      <c r="G1580" s="69"/>
      <c r="H1580" s="69"/>
      <c r="I1580" s="69"/>
      <c r="J1580" s="69"/>
    </row>
    <row r="1581" spans="4:10" s="64" customFormat="1" ht="12.000000">
      <c r="D1581" s="69"/>
      <c r="E1581" s="69"/>
      <c r="F1581" s="69"/>
      <c r="G1581" s="69"/>
      <c r="H1581" s="69"/>
      <c r="I1581" s="69"/>
      <c r="J1581" s="69"/>
    </row>
    <row r="1582" spans="4:10" s="64" customFormat="1" ht="12.000000">
      <c r="D1582" s="69"/>
      <c r="E1582" s="69"/>
      <c r="F1582" s="69"/>
      <c r="G1582" s="69"/>
      <c r="H1582" s="69"/>
      <c r="I1582" s="69"/>
      <c r="J1582" s="69"/>
    </row>
    <row r="1583" spans="4:10" s="64" customFormat="1" ht="12.000000">
      <c r="D1583" s="69"/>
      <c r="E1583" s="69"/>
      <c r="F1583" s="69"/>
      <c r="G1583" s="69"/>
      <c r="H1583" s="69"/>
      <c r="I1583" s="69"/>
      <c r="J1583" s="69"/>
    </row>
    <row r="1584" spans="4:10" s="64" customFormat="1" ht="12.000000">
      <c r="D1584" s="69"/>
      <c r="E1584" s="69"/>
      <c r="F1584" s="69"/>
      <c r="G1584" s="69"/>
      <c r="H1584" s="69"/>
      <c r="I1584" s="69"/>
      <c r="J1584" s="69"/>
    </row>
    <row r="1585" spans="2:10">
      <c r="B1585" s="64"/>
      <c r="C1585" s="64"/>
      <c r="D1585" s="69"/>
      <c r="E1585" s="69"/>
      <c r="F1585" s="69"/>
      <c r="G1585" s="69"/>
      <c r="H1585" s="69"/>
      <c r="I1585" s="69"/>
      <c r="J1585" s="69"/>
    </row>
    <row r="1586" spans="2:10">
      <c r="B1586" s="64"/>
      <c r="C1586" s="64"/>
      <c r="D1586" s="69"/>
      <c r="E1586" s="69"/>
      <c r="F1586" s="69"/>
      <c r="G1586" s="69"/>
      <c r="H1586" s="69"/>
      <c r="I1586" s="69"/>
      <c r="J1586" s="69"/>
    </row>
    <row r="1587" spans="2:10">
      <c r="B1587" s="64"/>
      <c r="C1587" s="64"/>
      <c r="D1587" s="69"/>
      <c r="E1587" s="69"/>
      <c r="F1587" s="69"/>
      <c r="G1587" s="69"/>
      <c r="H1587" s="69"/>
      <c r="I1587" s="69"/>
      <c r="J1587" s="69"/>
    </row>
    <row r="1588" spans="2:10">
      <c r="B1588" s="64"/>
      <c r="C1588" s="64"/>
      <c r="D1588" s="69"/>
      <c r="E1588" s="69"/>
      <c r="F1588" s="69"/>
      <c r="G1588" s="69"/>
      <c r="H1588" s="69"/>
      <c r="I1588" s="69"/>
      <c r="J1588" s="69"/>
    </row>
    <row r="1589" spans="2:10">
      <c r="B1589" s="64"/>
      <c r="C1589" s="64"/>
      <c r="D1589" s="69"/>
      <c r="E1589" s="69"/>
      <c r="F1589" s="69"/>
      <c r="G1589" s="69"/>
      <c r="H1589" s="69"/>
      <c r="I1589" s="69"/>
      <c r="J1589" s="69"/>
    </row>
    <row r="1590" spans="2:10">
      <c r="B1590" s="64"/>
      <c r="C1590" s="64"/>
      <c r="D1590" s="69"/>
      <c r="E1590" s="69"/>
      <c r="F1590" s="69"/>
      <c r="G1590" s="69"/>
      <c r="H1590" s="69"/>
      <c r="I1590" s="69"/>
      <c r="J1590" s="69"/>
    </row>
    <row r="1591" spans="2:10">
      <c r="B1591" s="68"/>
      <c r="C1591" s="68"/>
      <c r="D1591" s="67"/>
      <c r="E1591" s="67"/>
      <c r="F1591" s="67"/>
      <c r="G1591" s="67"/>
      <c r="H1591" s="67"/>
      <c r="I1591" s="67"/>
      <c r="J1591" s="67"/>
    </row>
  </sheetData>
  <mergeCells count="34">
    <mergeCell ref="B1:AC1"/>
    <mergeCell ref="B3:AC3"/>
    <mergeCell ref="B6:E6"/>
    <mergeCell ref="F6:K6"/>
    <mergeCell ref="B7:E7"/>
    <mergeCell ref="F7:M7"/>
    <mergeCell ref="B8:E8"/>
    <mergeCell ref="F8:AC8"/>
    <mergeCell ref="B9:E9"/>
    <mergeCell ref="B10:E10"/>
    <mergeCell ref="F10:AC10"/>
    <mergeCell ref="B14:AC14"/>
    <mergeCell ref="B16:AC16"/>
    <mergeCell ref="B18:AC18"/>
    <mergeCell ref="B20:K20"/>
    <mergeCell ref="F21:K21"/>
    <mergeCell ref="L21:AC21"/>
    <mergeCell ref="F22:K22"/>
    <mergeCell ref="L22:AC22"/>
    <mergeCell ref="F23:K23"/>
    <mergeCell ref="L23:AC23"/>
    <mergeCell ref="F24:K24"/>
    <mergeCell ref="L24:AC24"/>
    <mergeCell ref="F25:K25"/>
    <mergeCell ref="L25:U25"/>
    <mergeCell ref="B27:K27"/>
    <mergeCell ref="F28:AC28"/>
    <mergeCell ref="F29:AC29"/>
    <mergeCell ref="B31:K31"/>
    <mergeCell ref="L31:AC31"/>
    <mergeCell ref="B33:K33"/>
    <mergeCell ref="F34:AC34"/>
    <mergeCell ref="B36:AC36"/>
    <mergeCell ref="B38:AC38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1" manualBreakCount="1">
    <brk id="29" max="3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M36"/>
  <sheetViews>
    <sheetView topLeftCell="A15" view="pageBreakPreview" zoomScaleNormal="100" zoomScaleSheetLayoutView="100" workbookViewId="0">
      <selection activeCell="H29" sqref="H29"/>
    </sheetView>
  </sheetViews>
  <sheetFormatPr defaultColWidth="11.50000000" defaultRowHeight="13.500000"/>
  <cols>
    <col min="1" max="1" style="130" width="8.78277800" customWidth="1" outlineLevel="0"/>
    <col min="2" max="3" style="130" width="10.78277800" customWidth="1" outlineLevel="0"/>
    <col min="4" max="4" style="130" width="9.78277800" customWidth="1" outlineLevel="0"/>
    <col min="5" max="6" style="131" width="5.78277800" customWidth="1" outlineLevel="0"/>
    <col min="7" max="7" style="130" width="9.78277800" customWidth="1" outlineLevel="0"/>
    <col min="8" max="8" style="130" width="12.78277800" customWidth="1" outlineLevel="0"/>
    <col min="9" max="9" style="132" width="14.78277800" customWidth="1" outlineLevel="0"/>
    <col min="10" max="256" style="130" width="8.78277800" customWidth="1" outlineLevel="0"/>
    <col min="257" max="16384" style="130" width="11.44944403" customWidth="1" outlineLevel="0"/>
  </cols>
  <sheetData>
    <row r="1" spans="2:9" s="1" customFormat="1" ht="39.000000" customHeight="1">
      <c r="B1" s="405" t="s">
        <v>101</v>
      </c>
      <c r="C1" s="405"/>
      <c r="D1" s="405"/>
      <c r="E1" s="405"/>
      <c r="F1" s="405"/>
      <c r="G1" s="405"/>
      <c r="H1" s="405"/>
      <c r="I1" s="405"/>
    </row>
    <row r="2" spans="2:9" s="1" customFormat="1" ht="18.000000" customHeight="1">
      <c r="B2" s="75"/>
      <c r="C2" s="75"/>
      <c r="D2" s="75"/>
      <c r="E2" s="75"/>
      <c r="F2" s="75"/>
      <c r="G2" s="75"/>
      <c r="H2" s="406"/>
      <c r="I2" s="406"/>
    </row>
    <row r="3" spans="2:9" s="76" customFormat="1" ht="34.500000" customHeight="1">
      <c r="B3" s="407" t="s">
        <v>119</v>
      </c>
      <c r="C3" s="408"/>
      <c r="D3" s="409" t="str">
        <f>"일금"&amp;NUMBERSTRING(H29,1)&amp;"원정 (₩"&amp;TEXT(H29,"#,##0")&amp;") - VAT별도"</f>
        <v>일금일백팔십만원정 (₩1,800,000) - VAT별도</v>
      </c>
      <c r="E3" s="410"/>
      <c r="F3" s="410"/>
      <c r="G3" s="410"/>
      <c r="H3" s="410"/>
      <c r="I3" s="411"/>
    </row>
    <row r="4" spans="2:9" s="76" customFormat="1" ht="38.250000" hidden="1" customHeight="1">
      <c r="B4" s="412" t="s">
        <v>120</v>
      </c>
      <c r="C4" s="413"/>
      <c r="D4" s="414" t="str">
        <f>"일금 "&amp;NUMBERSTRING(H29,1)&amp;"원정"&amp;TEXT(H29,"(￦ #,##0)")&amp;" "</f>
        <v xml:space="preserve">일금 일백팔십만원정(₩ 1,800,000) </v>
      </c>
      <c r="E4" s="415"/>
      <c r="F4" s="415"/>
      <c r="G4" s="415"/>
      <c r="H4" s="415"/>
      <c r="I4" s="416"/>
    </row>
    <row r="5" spans="2:9" s="76" customFormat="1" ht="38.250000" hidden="1" customHeight="1">
      <c r="B5" s="393" t="s">
        <v>121</v>
      </c>
      <c r="C5" s="394"/>
      <c r="D5" s="395">
        <f>"일금 "&amp;NUMBERSTRING(H30,1)&amp;"원정"&amp;TEXT(H30,"(￦ #,##0)")&amp;" "</f>
        <v/>
      </c>
      <c r="E5" s="396"/>
      <c r="F5" s="396"/>
      <c r="G5" s="396"/>
      <c r="H5" s="396"/>
      <c r="I5" s="397"/>
    </row>
    <row r="6" spans="2:9" s="76" customFormat="1" ht="31.500000" customHeight="1">
      <c r="B6" s="398" t="s">
        <v>122</v>
      </c>
      <c r="C6" s="399"/>
      <c r="D6" s="399"/>
      <c r="E6" s="399"/>
      <c r="F6" s="399"/>
      <c r="G6" s="399"/>
      <c r="H6" s="399"/>
      <c r="I6" s="400"/>
    </row>
    <row r="7" spans="2:9" s="77" customFormat="1" ht="30.000000" customHeight="1">
      <c r="B7" s="401" t="s">
        <v>123</v>
      </c>
      <c r="C7" s="402"/>
      <c r="D7" s="74" t="s">
        <v>124</v>
      </c>
      <c r="E7" s="74" t="s">
        <v>126</v>
      </c>
      <c r="F7" s="74" t="s">
        <v>99</v>
      </c>
      <c r="G7" s="74" t="s">
        <v>125</v>
      </c>
      <c r="H7" s="74" t="s">
        <v>127</v>
      </c>
      <c r="I7" s="9" t="s">
        <v>128</v>
      </c>
    </row>
    <row r="8" spans="2:9" s="77" customFormat="1" ht="28.000000" customHeight="1">
      <c r="B8" s="403" t="s">
        <v>277</v>
      </c>
      <c r="C8" s="404"/>
      <c r="D8" s="10"/>
      <c r="E8" s="10"/>
      <c r="F8" s="10"/>
      <c r="G8" s="10"/>
      <c r="H8" s="78">
        <f>INT(SUM(H9,H10,H11,H12,H13,H14,H15,H16))</f>
        <v>1328145</v>
      </c>
      <c r="I8" s="16" t="s">
        <v>129</v>
      </c>
    </row>
    <row r="9" spans="2:9" s="77" customFormat="1" ht="18.000000" customHeight="1">
      <c r="B9" s="79"/>
      <c r="C9" s="80" t="s">
        <v>416</v>
      </c>
      <c r="D9" s="81" t="s">
        <v>130</v>
      </c>
      <c r="E9" s="81" t="s">
        <v>131</v>
      </c>
      <c r="F9" s="81">
        <v>0</v>
      </c>
      <c r="G9" s="11">
        <v>373353</v>
      </c>
      <c r="H9" s="12">
        <f>G9*F9</f>
        <v>0</v>
      </c>
      <c r="I9" s="82"/>
    </row>
    <row r="10" spans="2:9" s="77" customFormat="1" ht="18.000000" customHeight="1">
      <c r="B10" s="83"/>
      <c r="C10" s="84"/>
      <c r="D10" s="85" t="s">
        <v>132</v>
      </c>
      <c r="E10" s="85" t="s">
        <v>131</v>
      </c>
      <c r="F10" s="86">
        <v>1</v>
      </c>
      <c r="G10" s="13">
        <v>310884</v>
      </c>
      <c r="H10" s="12">
        <f>G10*F10</f>
        <v>310884</v>
      </c>
      <c r="I10" s="82"/>
    </row>
    <row r="11" spans="2:9" s="77" customFormat="1" ht="18.000000" customHeight="1">
      <c r="B11" s="83"/>
      <c r="C11" s="84"/>
      <c r="D11" s="85" t="s">
        <v>133</v>
      </c>
      <c r="E11" s="85" t="s">
        <v>131</v>
      </c>
      <c r="F11" s="86">
        <v>0</v>
      </c>
      <c r="G11" s="13">
        <v>295138</v>
      </c>
      <c r="H11" s="12">
        <f>G11*F11</f>
        <v>0</v>
      </c>
      <c r="I11" s="82"/>
    </row>
    <row r="12" spans="2:9" s="77" customFormat="1" ht="18.000000" customHeight="1">
      <c r="B12" s="83"/>
      <c r="C12" s="84"/>
      <c r="D12" s="85" t="s">
        <v>134</v>
      </c>
      <c r="E12" s="85" t="s">
        <v>131</v>
      </c>
      <c r="F12" s="86">
        <v>1</v>
      </c>
      <c r="G12" s="13">
        <v>235459</v>
      </c>
      <c r="H12" s="12">
        <f>G12*F12</f>
        <v>235459</v>
      </c>
      <c r="I12" s="82"/>
    </row>
    <row r="13" spans="2:9" s="77" customFormat="1" ht="18.000000" customHeight="1">
      <c r="B13" s="87"/>
      <c r="C13" s="88" t="s">
        <v>417</v>
      </c>
      <c r="D13" s="85" t="s">
        <v>130</v>
      </c>
      <c r="E13" s="85" t="s">
        <v>131</v>
      </c>
      <c r="F13" s="86">
        <v>0</v>
      </c>
      <c r="G13" s="17">
        <v>373353</v>
      </c>
      <c r="H13" s="12">
        <f>G13*F13</f>
        <v>0</v>
      </c>
      <c r="I13" s="82"/>
    </row>
    <row r="14" spans="2:9" s="77" customFormat="1" ht="18.000000" customHeight="1">
      <c r="B14" s="83"/>
      <c r="C14" s="84"/>
      <c r="D14" s="85" t="s">
        <v>132</v>
      </c>
      <c r="E14" s="85" t="s">
        <v>131</v>
      </c>
      <c r="F14" s="86">
        <v>1</v>
      </c>
      <c r="G14" s="13">
        <v>310884</v>
      </c>
      <c r="H14" s="12">
        <f>G14*F14</f>
        <v>310884</v>
      </c>
      <c r="I14" s="82"/>
    </row>
    <row r="15" spans="2:9" s="77" customFormat="1" ht="18.000000" customHeight="1">
      <c r="B15" s="83"/>
      <c r="C15" s="84"/>
      <c r="D15" s="85" t="s">
        <v>133</v>
      </c>
      <c r="E15" s="85" t="s">
        <v>131</v>
      </c>
      <c r="F15" s="86">
        <v>0</v>
      </c>
      <c r="G15" s="13">
        <v>295138</v>
      </c>
      <c r="H15" s="12">
        <f>G15*F15</f>
        <v>0</v>
      </c>
      <c r="I15" s="82"/>
    </row>
    <row r="16" spans="2:9" s="77" customFormat="1" ht="18.000000" customHeight="1">
      <c r="B16" s="83"/>
      <c r="C16" s="84"/>
      <c r="D16" s="85" t="s">
        <v>134</v>
      </c>
      <c r="E16" s="85" t="s">
        <v>131</v>
      </c>
      <c r="F16" s="86">
        <v>2</v>
      </c>
      <c r="G16" s="13">
        <v>235459</v>
      </c>
      <c r="H16" s="12">
        <f>G16*F16</f>
        <v>470918</v>
      </c>
      <c r="I16" s="82"/>
    </row>
    <row r="17" spans="2:13" s="77" customFormat="1" ht="28.000000" customHeight="1">
      <c r="B17" s="387" t="s">
        <v>135</v>
      </c>
      <c r="C17" s="388"/>
      <c r="D17" s="89"/>
      <c r="E17" s="91" t="s">
        <v>136</v>
      </c>
      <c r="F17" s="91">
        <v>10</v>
      </c>
      <c r="G17" s="90"/>
      <c r="H17" s="7">
        <f>ROUND(H8*F17%,0)</f>
        <v>132815</v>
      </c>
      <c r="I17" s="92" t="s">
        <v>102</v>
      </c>
    </row>
    <row r="18" spans="2:13" s="77" customFormat="1" ht="28.000000" customHeight="1">
      <c r="B18" s="387" t="s">
        <v>137</v>
      </c>
      <c r="C18" s="388"/>
      <c r="D18" s="89"/>
      <c r="E18" s="91" t="s">
        <v>136</v>
      </c>
      <c r="F18" s="91">
        <v>10</v>
      </c>
      <c r="G18" s="90"/>
      <c r="H18" s="8">
        <f>ROUND((H8+H17)*F18%,0)</f>
        <v>146096</v>
      </c>
      <c r="I18" s="92" t="s">
        <v>156</v>
      </c>
    </row>
    <row r="19" spans="2:13" s="77" customFormat="1" ht="28.000000" customHeight="1">
      <c r="B19" s="387" t="s">
        <v>138</v>
      </c>
      <c r="C19" s="388"/>
      <c r="D19" s="93"/>
      <c r="E19" s="95"/>
      <c r="F19" s="95"/>
      <c r="G19" s="94"/>
      <c r="H19" s="8">
        <f>INT(SUM(H21,H22,H23,H24,H25,))</f>
        <v>231041</v>
      </c>
      <c r="I19" s="92"/>
    </row>
    <row r="20" spans="2:13" s="77" customFormat="1" ht="18.000000" customHeight="1">
      <c r="B20" s="96" t="s">
        <v>139</v>
      </c>
      <c r="C20" s="97"/>
      <c r="D20" s="97"/>
      <c r="E20" s="99"/>
      <c r="F20" s="99"/>
      <c r="G20" s="98"/>
      <c r="H20" s="14"/>
      <c r="I20" s="100"/>
    </row>
    <row r="21" spans="2:13" s="77" customFormat="1" ht="18.000000" customHeight="1">
      <c r="B21" s="101" t="s">
        <v>140</v>
      </c>
      <c r="C21" s="102"/>
      <c r="D21" s="102"/>
      <c r="E21" s="81">
        <v>1</v>
      </c>
      <c r="F21" s="81">
        <v>2</v>
      </c>
      <c r="G21" s="103">
        <v>20000</v>
      </c>
      <c r="H21" s="207">
        <f>G21*F21</f>
        <v>40000</v>
      </c>
      <c r="I21" s="104"/>
      <c r="M21" s="105"/>
    </row>
    <row r="22" spans="2:13" s="77" customFormat="1" ht="18.000000" customHeight="1">
      <c r="B22" s="106" t="s">
        <v>141</v>
      </c>
      <c r="C22" s="107"/>
      <c r="D22" s="107"/>
      <c r="E22" s="85">
        <v>1</v>
      </c>
      <c r="F22" s="81">
        <v>2</v>
      </c>
      <c r="G22" s="103">
        <v>20000</v>
      </c>
      <c r="H22" s="15">
        <f>G22*F22</f>
        <v>40000</v>
      </c>
      <c r="I22" s="104"/>
    </row>
    <row r="23" spans="2:13" s="77" customFormat="1" ht="18.000000" customHeight="1">
      <c r="B23" s="106" t="s">
        <v>142</v>
      </c>
      <c r="C23" s="85"/>
      <c r="D23" s="107"/>
      <c r="E23" s="85" t="s">
        <v>136</v>
      </c>
      <c r="F23" s="110">
        <v>10</v>
      </c>
      <c r="G23" s="109"/>
      <c r="H23" s="108">
        <f>ROUND((SUM(H9:H12))*F23%,0)</f>
        <v>54634</v>
      </c>
      <c r="I23" s="104" t="s">
        <v>143</v>
      </c>
    </row>
    <row r="24" spans="2:13" s="77" customFormat="1" ht="18.000000" customHeight="1">
      <c r="B24" s="106" t="s">
        <v>144</v>
      </c>
      <c r="C24" s="85"/>
      <c r="D24" s="107"/>
      <c r="E24" s="85" t="s">
        <v>136</v>
      </c>
      <c r="F24" s="111">
        <v>5</v>
      </c>
      <c r="G24" s="109"/>
      <c r="H24" s="108">
        <f>ROUND(H8*F24%,0)</f>
        <v>66407</v>
      </c>
      <c r="I24" s="104" t="s">
        <v>103</v>
      </c>
    </row>
    <row r="25" spans="2:13" s="77" customFormat="1" ht="18.000000" customHeight="1">
      <c r="B25" s="112" t="s">
        <v>145</v>
      </c>
      <c r="C25" s="113"/>
      <c r="D25" s="114"/>
      <c r="E25" s="86" t="s">
        <v>146</v>
      </c>
      <c r="F25" s="116">
        <v>1</v>
      </c>
      <c r="G25" s="115">
        <v>30000</v>
      </c>
      <c r="H25" s="117">
        <f>G25*F25</f>
        <v>30000</v>
      </c>
      <c r="I25" s="82"/>
    </row>
    <row r="26" spans="2:13" s="77" customFormat="1" ht="28.000000" customHeight="1">
      <c r="B26" s="389" t="s">
        <v>147</v>
      </c>
      <c r="C26" s="390"/>
      <c r="D26" s="89"/>
      <c r="E26" s="91"/>
      <c r="F26" s="91"/>
      <c r="G26" s="118"/>
      <c r="H26" s="119">
        <f>INT(SUM(H8,H17,H18,H19)*0)</f>
        <v>0</v>
      </c>
      <c r="I26" s="120" t="s">
        <v>148</v>
      </c>
    </row>
    <row r="27" spans="2:13" s="77" customFormat="1" ht="28.000000" customHeight="1">
      <c r="B27" s="391" t="s">
        <v>278</v>
      </c>
      <c r="C27" s="392"/>
      <c r="D27" s="366" t="s">
        <v>149</v>
      </c>
      <c r="E27" s="367"/>
      <c r="F27" s="133"/>
      <c r="G27" s="133"/>
      <c r="H27" s="121">
        <f>H8+H17+H18+H19</f>
        <v>1838097</v>
      </c>
      <c r="I27" s="122"/>
    </row>
    <row r="28" spans="2:13" s="77" customFormat="1" ht="18.000000" customHeight="1">
      <c r="B28" s="364" t="s">
        <v>150</v>
      </c>
      <c r="C28" s="365"/>
      <c r="D28" s="366"/>
      <c r="E28" s="367"/>
      <c r="F28" s="133"/>
      <c r="G28" s="133"/>
      <c r="H28" s="121">
        <v>38097</v>
      </c>
      <c r="I28" s="123"/>
    </row>
    <row r="29" spans="2:13" s="77" customFormat="1" ht="18.000000" customHeight="1">
      <c r="B29" s="383" t="s">
        <v>151</v>
      </c>
      <c r="C29" s="384"/>
      <c r="D29" s="385"/>
      <c r="E29" s="386"/>
      <c r="F29" s="134"/>
      <c r="G29" s="134"/>
      <c r="H29" s="124">
        <f>H27-H28</f>
        <v>1800000</v>
      </c>
      <c r="I29" s="125"/>
    </row>
    <row r="30" spans="2:13" s="77" customFormat="1" ht="18.000000" customHeight="1">
      <c r="B30" s="364" t="s">
        <v>152</v>
      </c>
      <c r="C30" s="365"/>
      <c r="D30" s="366"/>
      <c r="E30" s="367"/>
      <c r="F30" s="133"/>
      <c r="G30" s="133"/>
      <c r="H30" s="126" t="s">
        <v>153</v>
      </c>
      <c r="I30" s="123"/>
    </row>
    <row r="31" spans="2:13" s="77" customFormat="1" ht="28.000000" customHeight="1">
      <c r="B31" s="368" t="s">
        <v>154</v>
      </c>
      <c r="C31" s="369"/>
      <c r="D31" s="370"/>
      <c r="E31" s="371"/>
      <c r="F31" s="372"/>
      <c r="G31" s="135"/>
      <c r="H31" s="127">
        <f>H29</f>
        <v>1800000</v>
      </c>
      <c r="I31" s="128" t="s">
        <v>155</v>
      </c>
    </row>
    <row r="32" spans="2:13" s="129" customFormat="1" ht="23.000000" customHeight="1">
      <c r="B32" s="373"/>
      <c r="C32" s="374"/>
      <c r="D32" s="379" t="s">
        <v>17</v>
      </c>
      <c r="E32" s="379"/>
      <c r="F32" s="379"/>
      <c r="G32" s="379"/>
      <c r="H32" s="379"/>
      <c r="I32" s="191"/>
    </row>
    <row r="33" spans="2:9" s="129" customFormat="1" ht="23.000000" customHeight="1">
      <c r="B33" s="375"/>
      <c r="C33" s="376"/>
      <c r="D33" s="380" t="s">
        <v>18</v>
      </c>
      <c r="E33" s="380"/>
      <c r="F33" s="380"/>
      <c r="G33" s="380"/>
      <c r="H33" s="380"/>
      <c r="I33" s="192" t="s">
        <v>19</v>
      </c>
    </row>
    <row r="34" spans="2:9" s="129" customFormat="1" ht="23.000000" customHeight="1">
      <c r="B34" s="375"/>
      <c r="C34" s="376"/>
      <c r="D34" s="381" t="s">
        <v>20</v>
      </c>
      <c r="E34" s="381"/>
      <c r="F34" s="381"/>
      <c r="G34" s="381"/>
      <c r="H34" s="381"/>
      <c r="I34" s="192" t="s">
        <v>21</v>
      </c>
    </row>
    <row r="35" spans="2:9" s="129" customFormat="1" ht="23.000000" customHeight="1">
      <c r="B35" s="375"/>
      <c r="C35" s="376"/>
      <c r="D35" s="380" t="s">
        <v>22</v>
      </c>
      <c r="E35" s="380"/>
      <c r="F35" s="380"/>
      <c r="G35" s="380"/>
      <c r="H35" s="380"/>
      <c r="I35" s="192" t="s">
        <v>23</v>
      </c>
    </row>
    <row r="36" spans="2:9" s="129" customFormat="1" ht="23.000000" customHeight="1">
      <c r="B36" s="377"/>
      <c r="C36" s="378"/>
      <c r="D36" s="382" t="s">
        <v>24</v>
      </c>
      <c r="E36" s="382"/>
      <c r="F36" s="382"/>
      <c r="G36" s="382"/>
      <c r="H36" s="382"/>
      <c r="I36" s="193" t="s">
        <v>25</v>
      </c>
    </row>
  </sheetData>
  <mergeCells count="31">
    <mergeCell ref="B1:I1"/>
    <mergeCell ref="H2:I2"/>
    <mergeCell ref="B3:C3"/>
    <mergeCell ref="D3:I3"/>
    <mergeCell ref="B4:C4"/>
    <mergeCell ref="D4:I4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F27"/>
    <mergeCell ref="B28:C28"/>
    <mergeCell ref="D28:F28"/>
    <mergeCell ref="B29:C29"/>
    <mergeCell ref="D29:F29"/>
    <mergeCell ref="B30:C30"/>
    <mergeCell ref="D30:F30"/>
    <mergeCell ref="B31:C31"/>
    <mergeCell ref="D31:F31"/>
    <mergeCell ref="B32:C36"/>
    <mergeCell ref="D32:H32"/>
    <mergeCell ref="D33:H33"/>
    <mergeCell ref="D34:H34"/>
    <mergeCell ref="D35:H35"/>
    <mergeCell ref="D36:H36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2" manualBreakCount="2">
    <brk id="9" max="1048575" man="1"/>
    <brk id="9" max="3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B1:AUT164"/>
  <sheetViews>
    <sheetView topLeftCell="A122" tabSelected="1" view="pageBreakPreview" zoomScale="40" zoomScaleNormal="100" zoomScaleSheetLayoutView="40" workbookViewId="0">
      <selection activeCell="F138" sqref="F138:N138"/>
    </sheetView>
  </sheetViews>
  <sheetFormatPr defaultColWidth="8.83203125" defaultRowHeight="13.500000"/>
  <cols>
    <col min="2" max="6" width="4.44944451" customWidth="1" outlineLevel="0"/>
    <col min="7" max="7" style="5" width="4.44944451" customWidth="1" outlineLevel="0"/>
    <col min="8" max="9" style="19" width="4.44944451" customWidth="1" outlineLevel="0"/>
    <col min="10" max="10" width="4.44944451" customWidth="1" outlineLevel="0"/>
    <col min="11" max="11" style="4" width="4.44944451" customWidth="1" outlineLevel="0"/>
    <col min="12" max="21" width="4.44944451" customWidth="1" outlineLevel="0"/>
    <col min="24" max="24" width="11.44944403" customWidth="1" outlineLevel="0"/>
    <col min="258" max="263" width="3.78277776" customWidth="1" outlineLevel="0"/>
    <col min="264" max="264" width="7.00499985" customWidth="1" outlineLevel="0"/>
    <col min="265" max="268" width="3.78277776" customWidth="1" outlineLevel="0"/>
    <col min="269" max="269" width="4.44944451" customWidth="1" outlineLevel="0"/>
    <col min="270" max="275" width="3.78277776" customWidth="1" outlineLevel="0"/>
    <col min="276" max="276" width="1.67166671" customWidth="1" outlineLevel="0"/>
    <col min="277" max="277" width="3.78277776" customWidth="1" outlineLevel="0"/>
    <col min="514" max="519" width="3.78277776" customWidth="1" outlineLevel="0"/>
    <col min="520" max="520" width="7.00499985" customWidth="1" outlineLevel="0"/>
    <col min="521" max="524" width="3.78277776" customWidth="1" outlineLevel="0"/>
    <col min="525" max="525" width="4.44944451" customWidth="1" outlineLevel="0"/>
    <col min="526" max="531" width="3.78277776" customWidth="1" outlineLevel="0"/>
    <col min="532" max="532" width="1.67166671" customWidth="1" outlineLevel="0"/>
    <col min="533" max="533" width="3.78277776" customWidth="1" outlineLevel="0"/>
    <col min="770" max="775" width="3.78277776" customWidth="1" outlineLevel="0"/>
    <col min="776" max="776" width="7.00499985" customWidth="1" outlineLevel="0"/>
    <col min="777" max="780" width="3.78277776" customWidth="1" outlineLevel="0"/>
    <col min="781" max="781" width="4.44944451" customWidth="1" outlineLevel="0"/>
    <col min="782" max="787" width="3.78277776" customWidth="1" outlineLevel="0"/>
    <col min="788" max="788" width="1.67166671" customWidth="1" outlineLevel="0"/>
    <col min="789" max="789" width="3.78277776" customWidth="1" outlineLevel="0"/>
    <col min="1026" max="1031" width="3.78277776" customWidth="1" outlineLevel="0"/>
    <col min="1032" max="1032" width="7.00499985" customWidth="1" outlineLevel="0"/>
    <col min="1033" max="1036" width="3.78277776" customWidth="1" outlineLevel="0"/>
    <col min="1037" max="1037" width="4.44944451" customWidth="1" outlineLevel="0"/>
    <col min="1038" max="1043" width="3.78277776" customWidth="1" outlineLevel="0"/>
    <col min="1044" max="1044" width="1.67166671" customWidth="1" outlineLevel="0"/>
    <col min="1045" max="1045" width="3.78277776" customWidth="1" outlineLevel="0"/>
    <col min="1282" max="1287" width="3.78277776" customWidth="1" outlineLevel="0"/>
    <col min="1288" max="1288" width="7.00499985" customWidth="1" outlineLevel="0"/>
    <col min="1289" max="1292" width="3.78277776" customWidth="1" outlineLevel="0"/>
    <col min="1293" max="1293" width="4.44944451" customWidth="1" outlineLevel="0"/>
    <col min="1294" max="1299" width="3.78277776" customWidth="1" outlineLevel="0"/>
    <col min="1300" max="1300" width="1.67166671" customWidth="1" outlineLevel="0"/>
    <col min="1301" max="1301" width="3.78277776" customWidth="1" outlineLevel="0"/>
    <col min="1538" max="1543" width="3.78277776" customWidth="1" outlineLevel="0"/>
    <col min="1544" max="1544" width="7.00499985" customWidth="1" outlineLevel="0"/>
    <col min="1545" max="1548" width="3.78277776" customWidth="1" outlineLevel="0"/>
    <col min="1549" max="1549" width="4.44944451" customWidth="1" outlineLevel="0"/>
    <col min="1550" max="1555" width="3.78277776" customWidth="1" outlineLevel="0"/>
    <col min="1556" max="1556" width="1.67166671" customWidth="1" outlineLevel="0"/>
    <col min="1557" max="1557" width="3.78277776" customWidth="1" outlineLevel="0"/>
    <col min="1794" max="1799" width="3.78277776" customWidth="1" outlineLevel="0"/>
    <col min="1800" max="1800" width="7.00499985" customWidth="1" outlineLevel="0"/>
    <col min="1801" max="1804" width="3.78277776" customWidth="1" outlineLevel="0"/>
    <col min="1805" max="1805" width="4.44944451" customWidth="1" outlineLevel="0"/>
    <col min="1806" max="1811" width="3.78277776" customWidth="1" outlineLevel="0"/>
    <col min="1812" max="1812" width="1.67166671" customWidth="1" outlineLevel="0"/>
    <col min="1813" max="1813" width="3.78277776" customWidth="1" outlineLevel="0"/>
    <col min="2050" max="2055" width="3.78277776" customWidth="1" outlineLevel="0"/>
    <col min="2056" max="2056" width="7.00499985" customWidth="1" outlineLevel="0"/>
    <col min="2057" max="2060" width="3.78277776" customWidth="1" outlineLevel="0"/>
    <col min="2061" max="2061" width="4.44944451" customWidth="1" outlineLevel="0"/>
    <col min="2062" max="2067" width="3.78277776" customWidth="1" outlineLevel="0"/>
    <col min="2068" max="2068" width="1.67166671" customWidth="1" outlineLevel="0"/>
    <col min="2069" max="2069" width="3.78277776" customWidth="1" outlineLevel="0"/>
    <col min="2306" max="2311" width="3.78277776" customWidth="1" outlineLevel="0"/>
    <col min="2312" max="2312" width="7.00499985" customWidth="1" outlineLevel="0"/>
    <col min="2313" max="2316" width="3.78277776" customWidth="1" outlineLevel="0"/>
    <col min="2317" max="2317" width="4.44944451" customWidth="1" outlineLevel="0"/>
    <col min="2318" max="2323" width="3.78277776" customWidth="1" outlineLevel="0"/>
    <col min="2324" max="2324" width="1.67166671" customWidth="1" outlineLevel="0"/>
    <col min="2325" max="2325" width="3.78277776" customWidth="1" outlineLevel="0"/>
    <col min="2562" max="2567" width="3.78277776" customWidth="1" outlineLevel="0"/>
    <col min="2568" max="2568" width="7.00499985" customWidth="1" outlineLevel="0"/>
    <col min="2569" max="2572" width="3.78277776" customWidth="1" outlineLevel="0"/>
    <col min="2573" max="2573" width="4.44944451" customWidth="1" outlineLevel="0"/>
    <col min="2574" max="2579" width="3.78277776" customWidth="1" outlineLevel="0"/>
    <col min="2580" max="2580" width="1.67166671" customWidth="1" outlineLevel="0"/>
    <col min="2581" max="2581" width="3.78277776" customWidth="1" outlineLevel="0"/>
    <col min="2818" max="2823" width="3.78277776" customWidth="1" outlineLevel="0"/>
    <col min="2824" max="2824" width="7.00499985" customWidth="1" outlineLevel="0"/>
    <col min="2825" max="2828" width="3.78277776" customWidth="1" outlineLevel="0"/>
    <col min="2829" max="2829" width="4.44944451" customWidth="1" outlineLevel="0"/>
    <col min="2830" max="2835" width="3.78277776" customWidth="1" outlineLevel="0"/>
    <col min="2836" max="2836" width="1.67166671" customWidth="1" outlineLevel="0"/>
    <col min="2837" max="2837" width="3.78277776" customWidth="1" outlineLevel="0"/>
    <col min="3074" max="3079" width="3.78277776" customWidth="1" outlineLevel="0"/>
    <col min="3080" max="3080" width="7.00499985" customWidth="1" outlineLevel="0"/>
    <col min="3081" max="3084" width="3.78277776" customWidth="1" outlineLevel="0"/>
    <col min="3085" max="3085" width="4.44944451" customWidth="1" outlineLevel="0"/>
    <col min="3086" max="3091" width="3.78277776" customWidth="1" outlineLevel="0"/>
    <col min="3092" max="3092" width="1.67166671" customWidth="1" outlineLevel="0"/>
    <col min="3093" max="3093" width="3.78277776" customWidth="1" outlineLevel="0"/>
    <col min="3330" max="3335" width="3.78277776" customWidth="1" outlineLevel="0"/>
    <col min="3336" max="3336" width="7.00499985" customWidth="1" outlineLevel="0"/>
    <col min="3337" max="3340" width="3.78277776" customWidth="1" outlineLevel="0"/>
    <col min="3341" max="3341" width="4.44944451" customWidth="1" outlineLevel="0"/>
    <col min="3342" max="3347" width="3.78277776" customWidth="1" outlineLevel="0"/>
    <col min="3348" max="3348" width="1.67166671" customWidth="1" outlineLevel="0"/>
    <col min="3349" max="3349" width="3.78277776" customWidth="1" outlineLevel="0"/>
    <col min="3586" max="3591" width="3.78277776" customWidth="1" outlineLevel="0"/>
    <col min="3592" max="3592" width="7.00499985" customWidth="1" outlineLevel="0"/>
    <col min="3593" max="3596" width="3.78277776" customWidth="1" outlineLevel="0"/>
    <col min="3597" max="3597" width="4.44944451" customWidth="1" outlineLevel="0"/>
    <col min="3598" max="3603" width="3.78277776" customWidth="1" outlineLevel="0"/>
    <col min="3604" max="3604" width="1.67166671" customWidth="1" outlineLevel="0"/>
    <col min="3605" max="3605" width="3.78277776" customWidth="1" outlineLevel="0"/>
    <col min="3842" max="3847" width="3.78277776" customWidth="1" outlineLevel="0"/>
    <col min="3848" max="3848" width="7.00499985" customWidth="1" outlineLevel="0"/>
    <col min="3849" max="3852" width="3.78277776" customWidth="1" outlineLevel="0"/>
    <col min="3853" max="3853" width="4.44944451" customWidth="1" outlineLevel="0"/>
    <col min="3854" max="3859" width="3.78277776" customWidth="1" outlineLevel="0"/>
    <col min="3860" max="3860" width="1.67166671" customWidth="1" outlineLevel="0"/>
    <col min="3861" max="3861" width="3.78277776" customWidth="1" outlineLevel="0"/>
    <col min="4098" max="4103" width="3.78277776" customWidth="1" outlineLevel="0"/>
    <col min="4104" max="4104" width="7.00499985" customWidth="1" outlineLevel="0"/>
    <col min="4105" max="4108" width="3.78277776" customWidth="1" outlineLevel="0"/>
    <col min="4109" max="4109" width="4.44944451" customWidth="1" outlineLevel="0"/>
    <col min="4110" max="4115" width="3.78277776" customWidth="1" outlineLevel="0"/>
    <col min="4116" max="4116" width="1.67166671" customWidth="1" outlineLevel="0"/>
    <col min="4117" max="4117" width="3.78277776" customWidth="1" outlineLevel="0"/>
    <col min="4354" max="4359" width="3.78277776" customWidth="1" outlineLevel="0"/>
    <col min="4360" max="4360" width="7.00499985" customWidth="1" outlineLevel="0"/>
    <col min="4361" max="4364" width="3.78277776" customWidth="1" outlineLevel="0"/>
    <col min="4365" max="4365" width="4.44944451" customWidth="1" outlineLevel="0"/>
    <col min="4366" max="4371" width="3.78277776" customWidth="1" outlineLevel="0"/>
    <col min="4372" max="4372" width="1.67166671" customWidth="1" outlineLevel="0"/>
    <col min="4373" max="4373" width="3.78277776" customWidth="1" outlineLevel="0"/>
    <col min="4610" max="4615" width="3.78277776" customWidth="1" outlineLevel="0"/>
    <col min="4616" max="4616" width="7.00499985" customWidth="1" outlineLevel="0"/>
    <col min="4617" max="4620" width="3.78277776" customWidth="1" outlineLevel="0"/>
    <col min="4621" max="4621" width="4.44944451" customWidth="1" outlineLevel="0"/>
    <col min="4622" max="4627" width="3.78277776" customWidth="1" outlineLevel="0"/>
    <col min="4628" max="4628" width="1.67166671" customWidth="1" outlineLevel="0"/>
    <col min="4629" max="4629" width="3.78277776" customWidth="1" outlineLevel="0"/>
    <col min="4866" max="4871" width="3.78277776" customWidth="1" outlineLevel="0"/>
    <col min="4872" max="4872" width="7.00499985" customWidth="1" outlineLevel="0"/>
    <col min="4873" max="4876" width="3.78277776" customWidth="1" outlineLevel="0"/>
    <col min="4877" max="4877" width="4.44944451" customWidth="1" outlineLevel="0"/>
    <col min="4878" max="4883" width="3.78277776" customWidth="1" outlineLevel="0"/>
    <col min="4884" max="4884" width="1.67166671" customWidth="1" outlineLevel="0"/>
    <col min="4885" max="4885" width="3.78277776" customWidth="1" outlineLevel="0"/>
    <col min="5122" max="5127" width="3.78277776" customWidth="1" outlineLevel="0"/>
    <col min="5128" max="5128" width="7.00499985" customWidth="1" outlineLevel="0"/>
    <col min="5129" max="5132" width="3.78277776" customWidth="1" outlineLevel="0"/>
    <col min="5133" max="5133" width="4.44944451" customWidth="1" outlineLevel="0"/>
    <col min="5134" max="5139" width="3.78277776" customWidth="1" outlineLevel="0"/>
    <col min="5140" max="5140" width="1.67166671" customWidth="1" outlineLevel="0"/>
    <col min="5141" max="5141" width="3.78277776" customWidth="1" outlineLevel="0"/>
    <col min="5378" max="5383" width="3.78277776" customWidth="1" outlineLevel="0"/>
    <col min="5384" max="5384" width="7.00499985" customWidth="1" outlineLevel="0"/>
    <col min="5385" max="5388" width="3.78277776" customWidth="1" outlineLevel="0"/>
    <col min="5389" max="5389" width="4.44944451" customWidth="1" outlineLevel="0"/>
    <col min="5390" max="5395" width="3.78277776" customWidth="1" outlineLevel="0"/>
    <col min="5396" max="5396" width="1.67166671" customWidth="1" outlineLevel="0"/>
    <col min="5397" max="5397" width="3.78277776" customWidth="1" outlineLevel="0"/>
    <col min="5634" max="5639" width="3.78277776" customWidth="1" outlineLevel="0"/>
    <col min="5640" max="5640" width="7.00499985" customWidth="1" outlineLevel="0"/>
    <col min="5641" max="5644" width="3.78277776" customWidth="1" outlineLevel="0"/>
    <col min="5645" max="5645" width="4.44944451" customWidth="1" outlineLevel="0"/>
    <col min="5646" max="5651" width="3.78277776" customWidth="1" outlineLevel="0"/>
    <col min="5652" max="5652" width="1.67166671" customWidth="1" outlineLevel="0"/>
    <col min="5653" max="5653" width="3.78277776" customWidth="1" outlineLevel="0"/>
    <col min="5890" max="5895" width="3.78277776" customWidth="1" outlineLevel="0"/>
    <col min="5896" max="5896" width="7.00499985" customWidth="1" outlineLevel="0"/>
    <col min="5897" max="5900" width="3.78277776" customWidth="1" outlineLevel="0"/>
    <col min="5901" max="5901" width="4.44944451" customWidth="1" outlineLevel="0"/>
    <col min="5902" max="5907" width="3.78277776" customWidth="1" outlineLevel="0"/>
    <col min="5908" max="5908" width="1.67166671" customWidth="1" outlineLevel="0"/>
    <col min="5909" max="5909" width="3.78277776" customWidth="1" outlineLevel="0"/>
    <col min="6146" max="6151" width="3.78277776" customWidth="1" outlineLevel="0"/>
    <col min="6152" max="6152" width="7.00499985" customWidth="1" outlineLevel="0"/>
    <col min="6153" max="6156" width="3.78277776" customWidth="1" outlineLevel="0"/>
    <col min="6157" max="6157" width="4.44944451" customWidth="1" outlineLevel="0"/>
    <col min="6158" max="6163" width="3.78277776" customWidth="1" outlineLevel="0"/>
    <col min="6164" max="6164" width="1.67166671" customWidth="1" outlineLevel="0"/>
    <col min="6165" max="6165" width="3.78277776" customWidth="1" outlineLevel="0"/>
    <col min="6402" max="6407" width="3.78277776" customWidth="1" outlineLevel="0"/>
    <col min="6408" max="6408" width="7.00499985" customWidth="1" outlineLevel="0"/>
    <col min="6409" max="6412" width="3.78277776" customWidth="1" outlineLevel="0"/>
    <col min="6413" max="6413" width="4.44944451" customWidth="1" outlineLevel="0"/>
    <col min="6414" max="6419" width="3.78277776" customWidth="1" outlineLevel="0"/>
    <col min="6420" max="6420" width="1.67166671" customWidth="1" outlineLevel="0"/>
    <col min="6421" max="6421" width="3.78277776" customWidth="1" outlineLevel="0"/>
    <col min="6658" max="6663" width="3.78277776" customWidth="1" outlineLevel="0"/>
    <col min="6664" max="6664" width="7.00499985" customWidth="1" outlineLevel="0"/>
    <col min="6665" max="6668" width="3.78277776" customWidth="1" outlineLevel="0"/>
    <col min="6669" max="6669" width="4.44944451" customWidth="1" outlineLevel="0"/>
    <col min="6670" max="6675" width="3.78277776" customWidth="1" outlineLevel="0"/>
    <col min="6676" max="6676" width="1.67166671" customWidth="1" outlineLevel="0"/>
    <col min="6677" max="6677" width="3.78277776" customWidth="1" outlineLevel="0"/>
    <col min="6914" max="6919" width="3.78277776" customWidth="1" outlineLevel="0"/>
    <col min="6920" max="6920" width="7.00499985" customWidth="1" outlineLevel="0"/>
    <col min="6921" max="6924" width="3.78277776" customWidth="1" outlineLevel="0"/>
    <col min="6925" max="6925" width="4.44944451" customWidth="1" outlineLevel="0"/>
    <col min="6926" max="6931" width="3.78277776" customWidth="1" outlineLevel="0"/>
    <col min="6932" max="6932" width="1.67166671" customWidth="1" outlineLevel="0"/>
    <col min="6933" max="6933" width="3.78277776" customWidth="1" outlineLevel="0"/>
    <col min="7170" max="7175" width="3.78277776" customWidth="1" outlineLevel="0"/>
    <col min="7176" max="7176" width="7.00499985" customWidth="1" outlineLevel="0"/>
    <col min="7177" max="7180" width="3.78277776" customWidth="1" outlineLevel="0"/>
    <col min="7181" max="7181" width="4.44944451" customWidth="1" outlineLevel="0"/>
    <col min="7182" max="7187" width="3.78277776" customWidth="1" outlineLevel="0"/>
    <col min="7188" max="7188" width="1.67166671" customWidth="1" outlineLevel="0"/>
    <col min="7189" max="7189" width="3.78277776" customWidth="1" outlineLevel="0"/>
    <col min="7426" max="7431" width="3.78277776" customWidth="1" outlineLevel="0"/>
    <col min="7432" max="7432" width="7.00499985" customWidth="1" outlineLevel="0"/>
    <col min="7433" max="7436" width="3.78277776" customWidth="1" outlineLevel="0"/>
    <col min="7437" max="7437" width="4.44944451" customWidth="1" outlineLevel="0"/>
    <col min="7438" max="7443" width="3.78277776" customWidth="1" outlineLevel="0"/>
    <col min="7444" max="7444" width="1.67166671" customWidth="1" outlineLevel="0"/>
    <col min="7445" max="7445" width="3.78277776" customWidth="1" outlineLevel="0"/>
    <col min="7682" max="7687" width="3.78277776" customWidth="1" outlineLevel="0"/>
    <col min="7688" max="7688" width="7.00499985" customWidth="1" outlineLevel="0"/>
    <col min="7689" max="7692" width="3.78277776" customWidth="1" outlineLevel="0"/>
    <col min="7693" max="7693" width="4.44944451" customWidth="1" outlineLevel="0"/>
    <col min="7694" max="7699" width="3.78277776" customWidth="1" outlineLevel="0"/>
    <col min="7700" max="7700" width="1.67166671" customWidth="1" outlineLevel="0"/>
    <col min="7701" max="7701" width="3.78277776" customWidth="1" outlineLevel="0"/>
    <col min="7938" max="7943" width="3.78277776" customWidth="1" outlineLevel="0"/>
    <col min="7944" max="7944" width="7.00499985" customWidth="1" outlineLevel="0"/>
    <col min="7945" max="7948" width="3.78277776" customWidth="1" outlineLevel="0"/>
    <col min="7949" max="7949" width="4.44944451" customWidth="1" outlineLevel="0"/>
    <col min="7950" max="7955" width="3.78277776" customWidth="1" outlineLevel="0"/>
    <col min="7956" max="7956" width="1.67166671" customWidth="1" outlineLevel="0"/>
    <col min="7957" max="7957" width="3.78277776" customWidth="1" outlineLevel="0"/>
    <col min="8194" max="8199" width="3.78277776" customWidth="1" outlineLevel="0"/>
    <col min="8200" max="8200" width="7.00499985" customWidth="1" outlineLevel="0"/>
    <col min="8201" max="8204" width="3.78277776" customWidth="1" outlineLevel="0"/>
    <col min="8205" max="8205" width="4.44944451" customWidth="1" outlineLevel="0"/>
    <col min="8206" max="8211" width="3.78277776" customWidth="1" outlineLevel="0"/>
    <col min="8212" max="8212" width="1.67166671" customWidth="1" outlineLevel="0"/>
    <col min="8213" max="8213" width="3.78277776" customWidth="1" outlineLevel="0"/>
    <col min="8450" max="8455" width="3.78277776" customWidth="1" outlineLevel="0"/>
    <col min="8456" max="8456" width="7.00499985" customWidth="1" outlineLevel="0"/>
    <col min="8457" max="8460" width="3.78277776" customWidth="1" outlineLevel="0"/>
    <col min="8461" max="8461" width="4.44944451" customWidth="1" outlineLevel="0"/>
    <col min="8462" max="8467" width="3.78277776" customWidth="1" outlineLevel="0"/>
    <col min="8468" max="8468" width="1.67166671" customWidth="1" outlineLevel="0"/>
    <col min="8469" max="8469" width="3.78277776" customWidth="1" outlineLevel="0"/>
    <col min="8706" max="8711" width="3.78277776" customWidth="1" outlineLevel="0"/>
    <col min="8712" max="8712" width="7.00499985" customWidth="1" outlineLevel="0"/>
    <col min="8713" max="8716" width="3.78277776" customWidth="1" outlineLevel="0"/>
    <col min="8717" max="8717" width="4.44944451" customWidth="1" outlineLevel="0"/>
    <col min="8718" max="8723" width="3.78277776" customWidth="1" outlineLevel="0"/>
    <col min="8724" max="8724" width="1.67166671" customWidth="1" outlineLevel="0"/>
    <col min="8725" max="8725" width="3.78277776" customWidth="1" outlineLevel="0"/>
    <col min="8962" max="8967" width="3.78277776" customWidth="1" outlineLevel="0"/>
    <col min="8968" max="8968" width="7.00499985" customWidth="1" outlineLevel="0"/>
    <col min="8969" max="8972" width="3.78277776" customWidth="1" outlineLevel="0"/>
    <col min="8973" max="8973" width="4.44944451" customWidth="1" outlineLevel="0"/>
    <col min="8974" max="8979" width="3.78277776" customWidth="1" outlineLevel="0"/>
    <col min="8980" max="8980" width="1.67166671" customWidth="1" outlineLevel="0"/>
    <col min="8981" max="8981" width="3.78277776" customWidth="1" outlineLevel="0"/>
    <col min="9218" max="9223" width="3.78277776" customWidth="1" outlineLevel="0"/>
    <col min="9224" max="9224" width="7.00499985" customWidth="1" outlineLevel="0"/>
    <col min="9225" max="9228" width="3.78277776" customWidth="1" outlineLevel="0"/>
    <col min="9229" max="9229" width="4.44944451" customWidth="1" outlineLevel="0"/>
    <col min="9230" max="9235" width="3.78277776" customWidth="1" outlineLevel="0"/>
    <col min="9236" max="9236" width="1.67166671" customWidth="1" outlineLevel="0"/>
    <col min="9237" max="9237" width="3.78277776" customWidth="1" outlineLevel="0"/>
    <col min="9474" max="9479" width="3.78277776" customWidth="1" outlineLevel="0"/>
    <col min="9480" max="9480" width="7.00499985" customWidth="1" outlineLevel="0"/>
    <col min="9481" max="9484" width="3.78277776" customWidth="1" outlineLevel="0"/>
    <col min="9485" max="9485" width="4.44944451" customWidth="1" outlineLevel="0"/>
    <col min="9486" max="9491" width="3.78277776" customWidth="1" outlineLevel="0"/>
    <col min="9492" max="9492" width="1.67166671" customWidth="1" outlineLevel="0"/>
    <col min="9493" max="9493" width="3.78277776" customWidth="1" outlineLevel="0"/>
    <col min="9730" max="9735" width="3.78277776" customWidth="1" outlineLevel="0"/>
    <col min="9736" max="9736" width="7.00499985" customWidth="1" outlineLevel="0"/>
    <col min="9737" max="9740" width="3.78277776" customWidth="1" outlineLevel="0"/>
    <col min="9741" max="9741" width="4.44944451" customWidth="1" outlineLevel="0"/>
    <col min="9742" max="9747" width="3.78277776" customWidth="1" outlineLevel="0"/>
    <col min="9748" max="9748" width="1.67166671" customWidth="1" outlineLevel="0"/>
    <col min="9749" max="9749" width="3.78277776" customWidth="1" outlineLevel="0"/>
    <col min="9986" max="9991" width="3.78277776" customWidth="1" outlineLevel="0"/>
    <col min="9992" max="9992" width="7.00499985" customWidth="1" outlineLevel="0"/>
    <col min="9993" max="9996" width="3.78277776" customWidth="1" outlineLevel="0"/>
    <col min="9997" max="9997" width="4.44944451" customWidth="1" outlineLevel="0"/>
    <col min="9998" max="10003" width="3.78277776" customWidth="1" outlineLevel="0"/>
    <col min="10004" max="10004" width="1.67166671" customWidth="1" outlineLevel="0"/>
    <col min="10005" max="10005" width="3.78277776" customWidth="1" outlineLevel="0"/>
    <col min="10242" max="10247" width="3.78277776" customWidth="1" outlineLevel="0"/>
    <col min="10248" max="10248" width="7.00499985" customWidth="1" outlineLevel="0"/>
    <col min="10249" max="10252" width="3.78277776" customWidth="1" outlineLevel="0"/>
    <col min="10253" max="10253" width="4.44944451" customWidth="1" outlineLevel="0"/>
    <col min="10254" max="10259" width="3.78277776" customWidth="1" outlineLevel="0"/>
    <col min="10260" max="10260" width="1.67166671" customWidth="1" outlineLevel="0"/>
    <col min="10261" max="10261" width="3.78277776" customWidth="1" outlineLevel="0"/>
    <col min="10498" max="10503" width="3.78277776" customWidth="1" outlineLevel="0"/>
    <col min="10504" max="10504" width="7.00499985" customWidth="1" outlineLevel="0"/>
    <col min="10505" max="10508" width="3.78277776" customWidth="1" outlineLevel="0"/>
    <col min="10509" max="10509" width="4.44944451" customWidth="1" outlineLevel="0"/>
    <col min="10510" max="10515" width="3.78277776" customWidth="1" outlineLevel="0"/>
    <col min="10516" max="10516" width="1.67166671" customWidth="1" outlineLevel="0"/>
    <col min="10517" max="10517" width="3.78277776" customWidth="1" outlineLevel="0"/>
    <col min="10754" max="10759" width="3.78277776" customWidth="1" outlineLevel="0"/>
    <col min="10760" max="10760" width="7.00499985" customWidth="1" outlineLevel="0"/>
    <col min="10761" max="10764" width="3.78277776" customWidth="1" outlineLevel="0"/>
    <col min="10765" max="10765" width="4.44944451" customWidth="1" outlineLevel="0"/>
    <col min="10766" max="10771" width="3.78277776" customWidth="1" outlineLevel="0"/>
    <col min="10772" max="10772" width="1.67166671" customWidth="1" outlineLevel="0"/>
    <col min="10773" max="10773" width="3.78277776" customWidth="1" outlineLevel="0"/>
    <col min="11010" max="11015" width="3.78277776" customWidth="1" outlineLevel="0"/>
    <col min="11016" max="11016" width="7.00499985" customWidth="1" outlineLevel="0"/>
    <col min="11017" max="11020" width="3.78277776" customWidth="1" outlineLevel="0"/>
    <col min="11021" max="11021" width="4.44944451" customWidth="1" outlineLevel="0"/>
    <col min="11022" max="11027" width="3.78277776" customWidth="1" outlineLevel="0"/>
    <col min="11028" max="11028" width="1.67166671" customWidth="1" outlineLevel="0"/>
    <col min="11029" max="11029" width="3.78277776" customWidth="1" outlineLevel="0"/>
    <col min="11266" max="11271" width="3.78277776" customWidth="1" outlineLevel="0"/>
    <col min="11272" max="11272" width="7.00499985" customWidth="1" outlineLevel="0"/>
    <col min="11273" max="11276" width="3.78277776" customWidth="1" outlineLevel="0"/>
    <col min="11277" max="11277" width="4.44944451" customWidth="1" outlineLevel="0"/>
    <col min="11278" max="11283" width="3.78277776" customWidth="1" outlineLevel="0"/>
    <col min="11284" max="11284" width="1.67166671" customWidth="1" outlineLevel="0"/>
    <col min="11285" max="11285" width="3.78277776" customWidth="1" outlineLevel="0"/>
    <col min="11522" max="11527" width="3.78277776" customWidth="1" outlineLevel="0"/>
    <col min="11528" max="11528" width="7.00499985" customWidth="1" outlineLevel="0"/>
    <col min="11529" max="11532" width="3.78277776" customWidth="1" outlineLevel="0"/>
    <col min="11533" max="11533" width="4.44944451" customWidth="1" outlineLevel="0"/>
    <col min="11534" max="11539" width="3.78277776" customWidth="1" outlineLevel="0"/>
    <col min="11540" max="11540" width="1.67166671" customWidth="1" outlineLevel="0"/>
    <col min="11541" max="11541" width="3.78277776" customWidth="1" outlineLevel="0"/>
    <col min="11778" max="11783" width="3.78277776" customWidth="1" outlineLevel="0"/>
    <col min="11784" max="11784" width="7.00499985" customWidth="1" outlineLevel="0"/>
    <col min="11785" max="11788" width="3.78277776" customWidth="1" outlineLevel="0"/>
    <col min="11789" max="11789" width="4.44944451" customWidth="1" outlineLevel="0"/>
    <col min="11790" max="11795" width="3.78277776" customWidth="1" outlineLevel="0"/>
    <col min="11796" max="11796" width="1.67166671" customWidth="1" outlineLevel="0"/>
    <col min="11797" max="11797" width="3.78277776" customWidth="1" outlineLevel="0"/>
    <col min="12034" max="12039" width="3.78277776" customWidth="1" outlineLevel="0"/>
    <col min="12040" max="12040" width="7.00499985" customWidth="1" outlineLevel="0"/>
    <col min="12041" max="12044" width="3.78277776" customWidth="1" outlineLevel="0"/>
    <col min="12045" max="12045" width="4.44944451" customWidth="1" outlineLevel="0"/>
    <col min="12046" max="12051" width="3.78277776" customWidth="1" outlineLevel="0"/>
    <col min="12052" max="12052" width="1.67166671" customWidth="1" outlineLevel="0"/>
    <col min="12053" max="12053" width="3.78277776" customWidth="1" outlineLevel="0"/>
    <col min="12290" max="12295" width="3.78277776" customWidth="1" outlineLevel="0"/>
    <col min="12296" max="12296" width="7.00499985" customWidth="1" outlineLevel="0"/>
    <col min="12297" max="12300" width="3.78277776" customWidth="1" outlineLevel="0"/>
    <col min="12301" max="12301" width="4.44944451" customWidth="1" outlineLevel="0"/>
    <col min="12302" max="12307" width="3.78277776" customWidth="1" outlineLevel="0"/>
    <col min="12308" max="12308" width="1.67166671" customWidth="1" outlineLevel="0"/>
    <col min="12309" max="12309" width="3.78277776" customWidth="1" outlineLevel="0"/>
    <col min="12546" max="12551" width="3.78277776" customWidth="1" outlineLevel="0"/>
    <col min="12552" max="12552" width="7.00499985" customWidth="1" outlineLevel="0"/>
    <col min="12553" max="12556" width="3.78277776" customWidth="1" outlineLevel="0"/>
    <col min="12557" max="12557" width="4.44944451" customWidth="1" outlineLevel="0"/>
    <col min="12558" max="12563" width="3.78277776" customWidth="1" outlineLevel="0"/>
    <col min="12564" max="12564" width="1.67166671" customWidth="1" outlineLevel="0"/>
    <col min="12565" max="12565" width="3.78277776" customWidth="1" outlineLevel="0"/>
    <col min="12802" max="12807" width="3.78277776" customWidth="1" outlineLevel="0"/>
    <col min="12808" max="12808" width="7.00499985" customWidth="1" outlineLevel="0"/>
    <col min="12809" max="12812" width="3.78277776" customWidth="1" outlineLevel="0"/>
    <col min="12813" max="12813" width="4.44944451" customWidth="1" outlineLevel="0"/>
    <col min="12814" max="12819" width="3.78277776" customWidth="1" outlineLevel="0"/>
    <col min="12820" max="12820" width="1.67166671" customWidth="1" outlineLevel="0"/>
    <col min="12821" max="12821" width="3.78277776" customWidth="1" outlineLevel="0"/>
    <col min="13058" max="13063" width="3.78277776" customWidth="1" outlineLevel="0"/>
    <col min="13064" max="13064" width="7.00499985" customWidth="1" outlineLevel="0"/>
    <col min="13065" max="13068" width="3.78277776" customWidth="1" outlineLevel="0"/>
    <col min="13069" max="13069" width="4.44944451" customWidth="1" outlineLevel="0"/>
    <col min="13070" max="13075" width="3.78277776" customWidth="1" outlineLevel="0"/>
    <col min="13076" max="13076" width="1.67166671" customWidth="1" outlineLevel="0"/>
    <col min="13077" max="13077" width="3.78277776" customWidth="1" outlineLevel="0"/>
    <col min="13314" max="13319" width="3.78277776" customWidth="1" outlineLevel="0"/>
    <col min="13320" max="13320" width="7.00499985" customWidth="1" outlineLevel="0"/>
    <col min="13321" max="13324" width="3.78277776" customWidth="1" outlineLevel="0"/>
    <col min="13325" max="13325" width="4.44944451" customWidth="1" outlineLevel="0"/>
    <col min="13326" max="13331" width="3.78277776" customWidth="1" outlineLevel="0"/>
    <col min="13332" max="13332" width="1.67166671" customWidth="1" outlineLevel="0"/>
    <col min="13333" max="13333" width="3.78277776" customWidth="1" outlineLevel="0"/>
    <col min="13570" max="13575" width="3.78277776" customWidth="1" outlineLevel="0"/>
    <col min="13576" max="13576" width="7.00499985" customWidth="1" outlineLevel="0"/>
    <col min="13577" max="13580" width="3.78277776" customWidth="1" outlineLevel="0"/>
    <col min="13581" max="13581" width="4.44944451" customWidth="1" outlineLevel="0"/>
    <col min="13582" max="13587" width="3.78277776" customWidth="1" outlineLevel="0"/>
    <col min="13588" max="13588" width="1.67166671" customWidth="1" outlineLevel="0"/>
    <col min="13589" max="13589" width="3.78277776" customWidth="1" outlineLevel="0"/>
    <col min="13826" max="13831" width="3.78277776" customWidth="1" outlineLevel="0"/>
    <col min="13832" max="13832" width="7.00499985" customWidth="1" outlineLevel="0"/>
    <col min="13833" max="13836" width="3.78277776" customWidth="1" outlineLevel="0"/>
    <col min="13837" max="13837" width="4.44944451" customWidth="1" outlineLevel="0"/>
    <col min="13838" max="13843" width="3.78277776" customWidth="1" outlineLevel="0"/>
    <col min="13844" max="13844" width="1.67166671" customWidth="1" outlineLevel="0"/>
    <col min="13845" max="13845" width="3.78277776" customWidth="1" outlineLevel="0"/>
    <col min="14082" max="14087" width="3.78277776" customWidth="1" outlineLevel="0"/>
    <col min="14088" max="14088" width="7.00499985" customWidth="1" outlineLevel="0"/>
    <col min="14089" max="14092" width="3.78277776" customWidth="1" outlineLevel="0"/>
    <col min="14093" max="14093" width="4.44944451" customWidth="1" outlineLevel="0"/>
    <col min="14094" max="14099" width="3.78277776" customWidth="1" outlineLevel="0"/>
    <col min="14100" max="14100" width="1.67166671" customWidth="1" outlineLevel="0"/>
    <col min="14101" max="14101" width="3.78277776" customWidth="1" outlineLevel="0"/>
    <col min="14338" max="14343" width="3.78277776" customWidth="1" outlineLevel="0"/>
    <col min="14344" max="14344" width="7.00499985" customWidth="1" outlineLevel="0"/>
    <col min="14345" max="14348" width="3.78277776" customWidth="1" outlineLevel="0"/>
    <col min="14349" max="14349" width="4.44944451" customWidth="1" outlineLevel="0"/>
    <col min="14350" max="14355" width="3.78277776" customWidth="1" outlineLevel="0"/>
    <col min="14356" max="14356" width="1.67166671" customWidth="1" outlineLevel="0"/>
    <col min="14357" max="14357" width="3.78277776" customWidth="1" outlineLevel="0"/>
    <col min="14594" max="14599" width="3.78277776" customWidth="1" outlineLevel="0"/>
    <col min="14600" max="14600" width="7.00499985" customWidth="1" outlineLevel="0"/>
    <col min="14601" max="14604" width="3.78277776" customWidth="1" outlineLevel="0"/>
    <col min="14605" max="14605" width="4.44944451" customWidth="1" outlineLevel="0"/>
    <col min="14606" max="14611" width="3.78277776" customWidth="1" outlineLevel="0"/>
    <col min="14612" max="14612" width="1.67166671" customWidth="1" outlineLevel="0"/>
    <col min="14613" max="14613" width="3.78277776" customWidth="1" outlineLevel="0"/>
    <col min="14850" max="14855" width="3.78277776" customWidth="1" outlineLevel="0"/>
    <col min="14856" max="14856" width="7.00499985" customWidth="1" outlineLevel="0"/>
    <col min="14857" max="14860" width="3.78277776" customWidth="1" outlineLevel="0"/>
    <col min="14861" max="14861" width="4.44944451" customWidth="1" outlineLevel="0"/>
    <col min="14862" max="14867" width="3.78277776" customWidth="1" outlineLevel="0"/>
    <col min="14868" max="14868" width="1.67166671" customWidth="1" outlineLevel="0"/>
    <col min="14869" max="14869" width="3.78277776" customWidth="1" outlineLevel="0"/>
    <col min="15106" max="15111" width="3.78277776" customWidth="1" outlineLevel="0"/>
    <col min="15112" max="15112" width="7.00499985" customWidth="1" outlineLevel="0"/>
    <col min="15113" max="15116" width="3.78277776" customWidth="1" outlineLevel="0"/>
    <col min="15117" max="15117" width="4.44944451" customWidth="1" outlineLevel="0"/>
    <col min="15118" max="15123" width="3.78277776" customWidth="1" outlineLevel="0"/>
    <col min="15124" max="15124" width="1.67166671" customWidth="1" outlineLevel="0"/>
    <col min="15125" max="15125" width="3.78277776" customWidth="1" outlineLevel="0"/>
    <col min="15362" max="15367" width="3.78277776" customWidth="1" outlineLevel="0"/>
    <col min="15368" max="15368" width="7.00499985" customWidth="1" outlineLevel="0"/>
    <col min="15369" max="15372" width="3.78277776" customWidth="1" outlineLevel="0"/>
    <col min="15373" max="15373" width="4.44944451" customWidth="1" outlineLevel="0"/>
    <col min="15374" max="15379" width="3.78277776" customWidth="1" outlineLevel="0"/>
    <col min="15380" max="15380" width="1.67166671" customWidth="1" outlineLevel="0"/>
    <col min="15381" max="15381" width="3.78277776" customWidth="1" outlineLevel="0"/>
    <col min="15618" max="15623" width="3.78277776" customWidth="1" outlineLevel="0"/>
    <col min="15624" max="15624" width="7.00499985" customWidth="1" outlineLevel="0"/>
    <col min="15625" max="15628" width="3.78277776" customWidth="1" outlineLevel="0"/>
    <col min="15629" max="15629" width="4.44944451" customWidth="1" outlineLevel="0"/>
    <col min="15630" max="15635" width="3.78277776" customWidth="1" outlineLevel="0"/>
    <col min="15636" max="15636" width="1.67166671" customWidth="1" outlineLevel="0"/>
    <col min="15637" max="15637" width="3.78277776" customWidth="1" outlineLevel="0"/>
    <col min="15874" max="15879" width="3.78277776" customWidth="1" outlineLevel="0"/>
    <col min="15880" max="15880" width="7.00499985" customWidth="1" outlineLevel="0"/>
    <col min="15881" max="15884" width="3.78277776" customWidth="1" outlineLevel="0"/>
    <col min="15885" max="15885" width="4.44944451" customWidth="1" outlineLevel="0"/>
    <col min="15886" max="15891" width="3.78277776" customWidth="1" outlineLevel="0"/>
    <col min="15892" max="15892" width="1.67166671" customWidth="1" outlineLevel="0"/>
    <col min="15893" max="15893" width="3.78277776" customWidth="1" outlineLevel="0"/>
    <col min="16130" max="16135" width="3.78277776" customWidth="1" outlineLevel="0"/>
    <col min="16136" max="16136" width="7.00499985" customWidth="1" outlineLevel="0"/>
    <col min="16137" max="16140" width="3.78277776" customWidth="1" outlineLevel="0"/>
    <col min="16141" max="16141" width="4.44944451" customWidth="1" outlineLevel="0"/>
    <col min="16142" max="16147" width="3.78277776" customWidth="1" outlineLevel="0"/>
    <col min="16148" max="16148" width="1.67166671" customWidth="1" outlineLevel="0"/>
    <col min="16149" max="16149" width="3.78277776" customWidth="1" outlineLevel="0"/>
  </cols>
  <sheetData>
    <row r="1" spans="2:21">
      <c r="B1" s="18"/>
      <c r="C1" s="18"/>
    </row>
    <row r="2" spans="2:21">
      <c r="B2" s="18"/>
      <c r="C2" s="18"/>
    </row>
    <row r="3" spans="2:21">
      <c r="B3" s="18"/>
      <c r="C3" s="18"/>
    </row>
    <row r="4" spans="2:21">
      <c r="B4" s="18"/>
      <c r="C4" s="18"/>
    </row>
    <row r="5" spans="2:21">
      <c r="B5" s="18"/>
      <c r="C5" s="18"/>
    </row>
    <row r="6" spans="2:21">
      <c r="B6" s="18"/>
      <c r="C6" s="18"/>
    </row>
    <row r="7" spans="2:21" ht="4.000000" customHeight="1">
      <c r="B7" s="339" t="s">
        <v>26</v>
      </c>
      <c r="C7" s="340"/>
      <c r="D7" s="340"/>
      <c r="E7" s="340"/>
      <c r="F7" s="340"/>
      <c r="G7" s="340"/>
      <c r="H7" s="340"/>
      <c r="I7" s="340"/>
      <c r="J7" s="340"/>
      <c r="K7" s="340"/>
      <c r="L7" s="340"/>
      <c r="M7" s="340"/>
      <c r="N7" s="340"/>
      <c r="O7" s="340"/>
      <c r="P7" s="340"/>
      <c r="Q7" s="340"/>
      <c r="R7" s="340"/>
      <c r="S7" s="340"/>
      <c r="T7" s="340"/>
      <c r="U7" s="340"/>
    </row>
    <row r="8" spans="2:21" ht="66.000000" customHeight="1">
      <c r="B8" s="341" t="s">
        <v>27</v>
      </c>
      <c r="C8" s="341"/>
      <c r="D8" s="341"/>
      <c r="E8" s="341"/>
      <c r="F8" s="341"/>
      <c r="G8" s="341"/>
      <c r="H8" s="341"/>
      <c r="I8" s="341"/>
      <c r="J8" s="341"/>
      <c r="K8" s="341"/>
      <c r="L8" s="341"/>
      <c r="M8" s="341"/>
      <c r="N8" s="341"/>
      <c r="O8" s="341"/>
      <c r="P8" s="341"/>
      <c r="Q8" s="341"/>
      <c r="R8" s="341"/>
      <c r="S8" s="341"/>
      <c r="T8" s="341"/>
      <c r="U8" s="341"/>
    </row>
    <row r="9" spans="2:21" ht="44.000000" customHeight="1">
      <c r="B9" s="342" t="str">
        <f>갑지!L21</f>
        <v>효성뉴서울5차아파트</v>
      </c>
      <c r="C9" s="342"/>
      <c r="D9" s="342"/>
      <c r="E9" s="342"/>
      <c r="F9" s="342"/>
      <c r="G9" s="342"/>
      <c r="H9" s="342"/>
      <c r="I9" s="342"/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</row>
    <row r="10" spans="2:21" ht="4.000000" customHeight="1">
      <c r="B10" s="343"/>
      <c r="C10" s="344"/>
      <c r="D10" s="344"/>
      <c r="E10" s="344"/>
      <c r="F10" s="344"/>
      <c r="G10" s="344"/>
      <c r="H10" s="344"/>
      <c r="I10" s="344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</row>
    <row r="11" spans="2:21" ht="40.000000" customHeight="1">
      <c r="B11" s="20"/>
      <c r="C11" s="20"/>
    </row>
    <row r="12" spans="2:21" ht="40.000000" customHeight="1">
      <c r="B12" s="20"/>
      <c r="C12" s="20"/>
    </row>
    <row r="13" spans="2:21" ht="40.000000" customHeight="1">
      <c r="B13" s="20"/>
      <c r="C13" s="20"/>
    </row>
    <row r="14" spans="2:21" ht="40.000000" customHeight="1">
      <c r="B14" s="20"/>
      <c r="C14" s="20"/>
    </row>
    <row r="15" spans="2:21" ht="40.000000" customHeight="1">
      <c r="B15" s="20"/>
      <c r="C15" s="20"/>
    </row>
    <row r="16" spans="2:21" ht="22.500000">
      <c r="B16" s="345" t="str">
        <f>갑지!F10</f>
        <v xml:space="preserve">2026년 상반기 </v>
      </c>
      <c r="C16" s="345"/>
      <c r="D16" s="345"/>
      <c r="E16" s="345"/>
      <c r="F16" s="345"/>
      <c r="G16" s="345"/>
      <c r="H16" s="345"/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5"/>
      <c r="T16" s="345"/>
      <c r="U16" s="345"/>
    </row>
    <row r="17" spans="2:21" ht="40.000000" customHeight="1">
      <c r="B17" s="20"/>
      <c r="C17" s="20"/>
    </row>
    <row r="18" spans="2:21" ht="40.000000" customHeight="1">
      <c r="B18" s="20"/>
      <c r="C18" s="20"/>
    </row>
    <row r="19" spans="2:21" ht="40.000000" customHeight="1">
      <c r="B19" s="20"/>
      <c r="C19" s="20"/>
    </row>
    <row r="20" spans="2:21" ht="40.000000" customHeight="1">
      <c r="B20" s="20"/>
      <c r="C20" s="20"/>
    </row>
    <row r="21" spans="2:21" ht="40.000000" customHeight="1">
      <c r="B21" s="20"/>
      <c r="C21" s="20"/>
    </row>
    <row r="22" spans="2:21" ht="9.000000" hidden="1" customHeight="1">
      <c r="B22" s="346"/>
      <c r="C22" s="346"/>
      <c r="D22" s="346"/>
      <c r="E22" s="346"/>
      <c r="F22" s="346"/>
      <c r="G22" s="346"/>
      <c r="H22" s="346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</row>
    <row r="23" spans="2:21" ht="53.250000" customHeight="1">
      <c r="D23" s="72"/>
      <c r="E23" s="72"/>
      <c r="I23" s="347" t="s">
        <v>28</v>
      </c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73"/>
      <c r="U23" s="73"/>
    </row>
    <row r="24" spans="2:21" ht="24.000000" customHeight="1">
      <c r="D24" s="21"/>
      <c r="E24" s="21"/>
      <c r="F24" s="21"/>
      <c r="I24" s="23" t="s">
        <v>29</v>
      </c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1"/>
    </row>
    <row r="25" spans="2:21" ht="24.000000" customHeight="1">
      <c r="D25" s="21"/>
      <c r="E25" s="21"/>
      <c r="F25" s="21"/>
      <c r="I25" s="23" t="s">
        <v>118</v>
      </c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1"/>
    </row>
    <row r="26" spans="2:21" ht="24.000000" customHeight="1">
      <c r="D26" s="21"/>
      <c r="E26" s="21"/>
      <c r="F26" s="21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</row>
    <row r="27" spans="2:21" ht="24.000000" customHeight="1">
      <c r="D27" s="21"/>
      <c r="E27" s="21"/>
      <c r="F27" s="21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</row>
    <row r="28" spans="2:21" ht="43.500000" customHeight="1">
      <c r="B28" s="348" t="s">
        <v>30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50"/>
    </row>
    <row r="29" spans="2:21" ht="24.950000" customHeight="1">
      <c r="B29" s="351" t="s">
        <v>31</v>
      </c>
      <c r="C29" s="352"/>
      <c r="D29" s="353" t="s">
        <v>32</v>
      </c>
      <c r="E29" s="353"/>
      <c r="F29" s="353"/>
      <c r="G29" s="354" t="str">
        <f>B9</f>
        <v>효성뉴서울5차아파트</v>
      </c>
      <c r="H29" s="354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5"/>
    </row>
    <row r="30" spans="2:21" ht="24.950000" customHeight="1">
      <c r="B30" s="317"/>
      <c r="C30" s="318"/>
      <c r="D30" s="286" t="s">
        <v>33</v>
      </c>
      <c r="E30" s="286"/>
      <c r="F30" s="286"/>
      <c r="G30" s="281" t="s">
        <v>384</v>
      </c>
      <c r="H30" s="281"/>
      <c r="I30" s="281"/>
      <c r="J30" s="281"/>
      <c r="K30" s="281"/>
      <c r="L30" s="281"/>
      <c r="M30" s="281"/>
      <c r="N30" s="281"/>
      <c r="O30" s="281"/>
      <c r="P30" s="281"/>
      <c r="Q30" s="281"/>
      <c r="R30" s="281"/>
      <c r="S30" s="281"/>
      <c r="T30" s="281"/>
      <c r="U30" s="282"/>
    </row>
    <row r="31" spans="2:21" ht="24.950000" customHeight="1">
      <c r="B31" s="317"/>
      <c r="C31" s="318"/>
      <c r="D31" s="286"/>
      <c r="E31" s="286"/>
      <c r="F31" s="286"/>
      <c r="G31" s="281" t="s">
        <v>385</v>
      </c>
      <c r="H31" s="281"/>
      <c r="I31" s="281"/>
      <c r="J31" s="281"/>
      <c r="K31" s="281"/>
      <c r="L31" s="281"/>
      <c r="M31" s="281"/>
      <c r="N31" s="281"/>
      <c r="O31" s="281"/>
      <c r="P31" s="281"/>
      <c r="Q31" s="281"/>
      <c r="R31" s="281"/>
      <c r="S31" s="281"/>
      <c r="T31" s="281"/>
      <c r="U31" s="282"/>
    </row>
    <row r="32" spans="2:21" ht="24.950000" customHeight="1">
      <c r="B32" s="317"/>
      <c r="C32" s="318"/>
      <c r="D32" s="286"/>
      <c r="E32" s="286"/>
      <c r="F32" s="286"/>
      <c r="G32" s="281" t="s">
        <v>411</v>
      </c>
      <c r="H32" s="281"/>
      <c r="I32" s="281"/>
      <c r="J32" s="281"/>
      <c r="K32" s="281"/>
      <c r="L32" s="281"/>
      <c r="M32" s="281"/>
      <c r="N32" s="281"/>
      <c r="O32" s="281"/>
      <c r="P32" s="281"/>
      <c r="Q32" s="281"/>
      <c r="R32" s="281"/>
      <c r="S32" s="281"/>
      <c r="T32" s="281"/>
      <c r="U32" s="282"/>
    </row>
    <row r="33" spans="2:21 1242:1242" ht="24.950000" customHeight="1">
      <c r="B33" s="317"/>
      <c r="C33" s="318"/>
      <c r="D33" s="286"/>
      <c r="E33" s="286"/>
      <c r="F33" s="286"/>
      <c r="G33" s="281" t="s">
        <v>386</v>
      </c>
      <c r="H33" s="281"/>
      <c r="I33" s="281"/>
      <c r="J33" s="281"/>
      <c r="K33" s="281"/>
      <c r="L33" s="281"/>
      <c r="M33" s="281"/>
      <c r="N33" s="281"/>
      <c r="O33" s="281"/>
      <c r="P33" s="281"/>
      <c r="Q33" s="281"/>
      <c r="R33" s="281"/>
      <c r="S33" s="281"/>
      <c r="T33" s="281"/>
      <c r="U33" s="282"/>
    </row>
    <row r="34" spans="2:21 1242:1242" ht="24.950000" customHeight="1">
      <c r="B34" s="317"/>
      <c r="C34" s="318"/>
      <c r="D34" s="286"/>
      <c r="E34" s="286"/>
      <c r="F34" s="286"/>
      <c r="G34" s="284" t="s">
        <v>387</v>
      </c>
      <c r="H34" s="284"/>
      <c r="I34" s="284"/>
      <c r="J34" s="284"/>
      <c r="K34" s="284"/>
      <c r="L34" s="284"/>
      <c r="M34" s="284"/>
      <c r="N34" s="284"/>
      <c r="O34" s="284"/>
      <c r="P34" s="284"/>
      <c r="Q34" s="284"/>
      <c r="R34" s="284"/>
      <c r="S34" s="284"/>
      <c r="T34" s="284"/>
      <c r="U34" s="285"/>
    </row>
    <row r="35" spans="2:21 1242:1242" ht="24.950000" customHeight="1">
      <c r="B35" s="317" t="s">
        <v>34</v>
      </c>
      <c r="C35" s="318"/>
      <c r="D35" s="286" t="s">
        <v>35</v>
      </c>
      <c r="E35" s="286"/>
      <c r="F35" s="286"/>
      <c r="G35" s="336" t="str">
        <f>G29&amp;" 정밀안전점검 용역"</f>
        <v>효성뉴서울5차아파트 정밀안전점검 용역</v>
      </c>
      <c r="H35" s="337"/>
      <c r="I35" s="337"/>
      <c r="J35" s="337"/>
      <c r="K35" s="337"/>
      <c r="L35" s="337"/>
      <c r="M35" s="337"/>
      <c r="N35" s="337"/>
      <c r="O35" s="337"/>
      <c r="P35" s="337"/>
      <c r="Q35" s="337"/>
      <c r="R35" s="337"/>
      <c r="S35" s="337"/>
      <c r="T35" s="337"/>
      <c r="U35" s="338"/>
    </row>
    <row r="36" spans="2:21 1242:1242" ht="24.950000" customHeight="1">
      <c r="B36" s="317"/>
      <c r="C36" s="318"/>
      <c r="D36" s="286" t="s">
        <v>36</v>
      </c>
      <c r="E36" s="286"/>
      <c r="F36" s="286"/>
      <c r="G36" s="323" t="str">
        <f>갑지!L31</f>
        <v>일금일백팔십만원정 (₩1,800,000) - VAT별도</v>
      </c>
      <c r="H36" s="323"/>
      <c r="I36" s="323"/>
      <c r="J36" s="323"/>
      <c r="K36" s="323"/>
      <c r="L36" s="323"/>
      <c r="M36" s="323"/>
      <c r="N36" s="323"/>
      <c r="O36" s="323"/>
      <c r="P36" s="323"/>
      <c r="Q36" s="323"/>
      <c r="R36" s="323"/>
      <c r="S36" s="323"/>
      <c r="T36" s="323"/>
      <c r="U36" s="324"/>
    </row>
    <row r="37" spans="2:21 1242:1242" ht="24.950000" customHeight="1">
      <c r="B37" s="317"/>
      <c r="C37" s="318"/>
      <c r="D37" s="286" t="s">
        <v>16</v>
      </c>
      <c r="E37" s="286"/>
      <c r="F37" s="286"/>
      <c r="G37" s="325" t="str">
        <f>갑지!L31</f>
        <v>일금일백팔십만원정 (₩1,800,000) - VAT별도</v>
      </c>
      <c r="H37" s="325"/>
      <c r="I37" s="325"/>
      <c r="J37" s="325"/>
      <c r="K37" s="325"/>
      <c r="L37" s="325"/>
      <c r="M37" s="325"/>
      <c r="N37" s="325"/>
      <c r="O37" s="325"/>
      <c r="P37" s="325"/>
      <c r="Q37" s="325"/>
      <c r="R37" s="325"/>
      <c r="S37" s="325"/>
      <c r="T37" s="325"/>
      <c r="U37" s="326"/>
    </row>
    <row r="38" spans="2:21 1242:1242" ht="24.950000" customHeight="1">
      <c r="B38" s="317"/>
      <c r="C38" s="318"/>
      <c r="D38" s="286" t="s">
        <v>37</v>
      </c>
      <c r="E38" s="286"/>
      <c r="F38" s="286"/>
      <c r="G38" s="308" t="s">
        <v>38</v>
      </c>
      <c r="H38" s="308"/>
      <c r="I38" s="308"/>
      <c r="J38" s="308"/>
      <c r="K38" s="308"/>
      <c r="L38" s="308"/>
      <c r="M38" s="308"/>
      <c r="N38" s="308"/>
      <c r="O38" s="308"/>
      <c r="P38" s="308"/>
      <c r="Q38" s="308"/>
      <c r="R38" s="308"/>
      <c r="S38" s="308"/>
      <c r="T38" s="308"/>
      <c r="U38" s="309"/>
    </row>
    <row r="39" spans="2:21 1242:1242" ht="24.950000" customHeight="1">
      <c r="B39" s="317"/>
      <c r="C39" s="318"/>
      <c r="D39" s="286" t="s">
        <v>39</v>
      </c>
      <c r="E39" s="286"/>
      <c r="F39" s="286"/>
      <c r="G39" s="308" t="s">
        <v>104</v>
      </c>
      <c r="H39" s="308"/>
      <c r="I39" s="308"/>
      <c r="J39" s="308"/>
      <c r="K39" s="308"/>
      <c r="L39" s="308"/>
      <c r="M39" s="308"/>
      <c r="N39" s="308"/>
      <c r="O39" s="308"/>
      <c r="P39" s="308"/>
      <c r="Q39" s="308"/>
      <c r="R39" s="308"/>
      <c r="S39" s="308"/>
      <c r="T39" s="308"/>
      <c r="U39" s="309"/>
    </row>
    <row r="40" spans="2:21 1242:1242" ht="24.950000" customHeight="1">
      <c r="B40" s="317"/>
      <c r="C40" s="318"/>
      <c r="D40" s="286" t="s">
        <v>40</v>
      </c>
      <c r="E40" s="286"/>
      <c r="F40" s="286"/>
      <c r="G40" s="308" t="str">
        <f>갑지!L22</f>
        <v>인천 계양구 아나지로 199 (효성동)</v>
      </c>
      <c r="H40" s="308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  <c r="U40" s="309"/>
    </row>
    <row r="41" spans="2:21 1242:1242" ht="24.950000" customHeight="1">
      <c r="B41" s="317"/>
      <c r="C41" s="318"/>
      <c r="D41" s="286"/>
      <c r="E41" s="286"/>
      <c r="F41" s="286"/>
      <c r="G41" s="327" t="s">
        <v>158</v>
      </c>
      <c r="H41" s="328"/>
      <c r="I41" s="328" t="s">
        <v>406</v>
      </c>
      <c r="J41" s="328"/>
      <c r="K41" s="328"/>
      <c r="L41" s="328"/>
      <c r="M41" s="328"/>
      <c r="N41" s="222" t="s">
        <v>160</v>
      </c>
      <c r="O41" s="328" t="s">
        <v>159</v>
      </c>
      <c r="P41" s="328"/>
      <c r="Q41" s="328" t="s">
        <v>407</v>
      </c>
      <c r="R41" s="328"/>
      <c r="S41" s="328"/>
      <c r="T41" s="328"/>
      <c r="U41" s="329"/>
    </row>
    <row r="42" spans="2:21 1242:1242" ht="24.950000" customHeight="1">
      <c r="B42" s="319"/>
      <c r="C42" s="320"/>
      <c r="D42" s="330" t="s">
        <v>41</v>
      </c>
      <c r="E42" s="331"/>
      <c r="F42" s="332"/>
      <c r="G42" s="264" t="s">
        <v>410</v>
      </c>
      <c r="H42" s="265"/>
      <c r="I42" s="265"/>
      <c r="J42" s="265"/>
      <c r="K42" s="265"/>
      <c r="L42" s="265"/>
      <c r="M42" s="265"/>
      <c r="N42" s="265"/>
      <c r="O42" s="265"/>
      <c r="P42" s="265"/>
      <c r="Q42" s="265"/>
      <c r="R42" s="265"/>
      <c r="S42" s="265"/>
      <c r="T42" s="265"/>
      <c r="U42" s="266"/>
    </row>
    <row r="43" spans="2:21 1242:1242" ht="24.950000" customHeight="1">
      <c r="B43" s="321"/>
      <c r="C43" s="322"/>
      <c r="D43" s="333" t="s">
        <v>42</v>
      </c>
      <c r="E43" s="333"/>
      <c r="F43" s="333"/>
      <c r="G43" s="334" t="s">
        <v>105</v>
      </c>
      <c r="H43" s="334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5"/>
    </row>
    <row r="44" spans="2:21 1242:1242">
      <c r="B44" s="310"/>
      <c r="C44" s="311"/>
      <c r="D44" s="311"/>
      <c r="E44" s="311"/>
      <c r="U44" s="3"/>
      <c r="AUT44" s="0" t="s">
        <v>305</v>
      </c>
    </row>
    <row r="45" spans="2:21 1242:1242" ht="67.500000" customHeight="1">
      <c r="B45" s="312" t="s">
        <v>43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313"/>
    </row>
    <row r="46" spans="2:21 1242:1242">
      <c r="B46" s="24"/>
      <c r="C46" s="25"/>
      <c r="D46" s="25"/>
      <c r="E46" s="25"/>
      <c r="U46" s="3"/>
    </row>
    <row r="47" spans="2:21 1242:1242" ht="24.950000" customHeight="1">
      <c r="B47" s="314" t="s">
        <v>280</v>
      </c>
      <c r="C47" s="23"/>
      <c r="D47" s="23"/>
      <c r="E47" s="22" t="s">
        <v>44</v>
      </c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313"/>
    </row>
    <row r="48" spans="2:21 1242:1242" ht="24.950000" customHeight="1">
      <c r="B48" s="26"/>
      <c r="C48" s="21"/>
      <c r="D48" s="21"/>
      <c r="E48" s="22" t="s">
        <v>287</v>
      </c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313"/>
    </row>
    <row r="49" spans="2:21" ht="24.950000" customHeight="1">
      <c r="B49" s="26"/>
      <c r="C49" s="21"/>
      <c r="D49" s="21"/>
      <c r="E49" s="22" t="s">
        <v>288</v>
      </c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313"/>
    </row>
    <row r="50" spans="2:21">
      <c r="B50" s="310"/>
      <c r="C50" s="311"/>
      <c r="D50" s="311"/>
      <c r="E50" s="311"/>
      <c r="U50" s="3"/>
    </row>
    <row r="51" spans="2:21" ht="24.950000" customHeight="1">
      <c r="B51" s="314" t="s">
        <v>281</v>
      </c>
      <c r="C51" s="23"/>
      <c r="D51" s="23"/>
      <c r="E51" s="315" t="s">
        <v>289</v>
      </c>
      <c r="F51" s="315"/>
      <c r="G51" s="315"/>
      <c r="H51" s="315"/>
      <c r="I51" s="315"/>
      <c r="J51" s="315"/>
      <c r="K51" s="315"/>
      <c r="L51" s="315"/>
      <c r="M51" s="315"/>
      <c r="N51" s="315"/>
      <c r="O51" s="315"/>
      <c r="P51" s="315"/>
      <c r="Q51" s="315"/>
      <c r="R51" s="315"/>
      <c r="S51" s="315"/>
      <c r="T51" s="315"/>
      <c r="U51" s="316"/>
    </row>
    <row r="52" spans="2:21" ht="40.500000" customHeight="1">
      <c r="B52" s="302" t="s">
        <v>282</v>
      </c>
      <c r="C52" s="303"/>
      <c r="D52" s="303"/>
      <c r="E52" s="303"/>
      <c r="F52" s="303"/>
      <c r="G52" s="303"/>
      <c r="H52" s="303"/>
      <c r="I52" s="303"/>
      <c r="J52" s="303"/>
      <c r="K52" s="303"/>
      <c r="L52" s="303" t="s">
        <v>290</v>
      </c>
      <c r="M52" s="303"/>
      <c r="N52" s="303"/>
      <c r="O52" s="303"/>
      <c r="P52" s="303"/>
      <c r="Q52" s="303"/>
      <c r="R52" s="303"/>
      <c r="S52" s="303"/>
      <c r="T52" s="303"/>
      <c r="U52" s="304"/>
    </row>
    <row r="53" spans="2:21" ht="40.500000" customHeight="1">
      <c r="B53" s="302" t="s">
        <v>283</v>
      </c>
      <c r="C53" s="303"/>
      <c r="D53" s="303"/>
      <c r="E53" s="305" t="str">
        <f>G29</f>
        <v>효성뉴서울5차아파트</v>
      </c>
      <c r="F53" s="305"/>
      <c r="G53" s="305"/>
      <c r="H53" s="305"/>
      <c r="I53" s="305"/>
      <c r="J53" s="305"/>
      <c r="K53" s="305"/>
      <c r="L53" s="303" t="s">
        <v>291</v>
      </c>
      <c r="M53" s="303"/>
      <c r="N53" s="303"/>
      <c r="O53" s="306" t="s">
        <v>294</v>
      </c>
      <c r="P53" s="306"/>
      <c r="Q53" s="306"/>
      <c r="R53" s="306"/>
      <c r="S53" s="306"/>
      <c r="T53" s="306"/>
      <c r="U53" s="307"/>
    </row>
    <row r="54" spans="2:21" ht="40.500000" customHeight="1">
      <c r="B54" s="302" t="s">
        <v>284</v>
      </c>
      <c r="C54" s="303"/>
      <c r="D54" s="303"/>
      <c r="E54" s="306" t="str">
        <f>G40</f>
        <v>인천 계양구 아나지로 199 (효성동)</v>
      </c>
      <c r="F54" s="306"/>
      <c r="G54" s="306"/>
      <c r="H54" s="306"/>
      <c r="I54" s="306"/>
      <c r="J54" s="306"/>
      <c r="K54" s="306"/>
      <c r="L54" s="303" t="s">
        <v>292</v>
      </c>
      <c r="M54" s="303"/>
      <c r="N54" s="303"/>
      <c r="O54" s="308" t="s">
        <v>425</v>
      </c>
      <c r="P54" s="308"/>
      <c r="Q54" s="308"/>
      <c r="R54" s="308"/>
      <c r="S54" s="308"/>
      <c r="T54" s="308"/>
      <c r="U54" s="309"/>
    </row>
    <row r="55" spans="2:21" ht="40.500000" customHeight="1">
      <c r="B55" s="294" t="s">
        <v>285</v>
      </c>
      <c r="C55" s="295"/>
      <c r="D55" s="295"/>
      <c r="E55" s="296" t="s">
        <v>45</v>
      </c>
      <c r="F55" s="296"/>
      <c r="G55" s="296"/>
      <c r="H55" s="296"/>
      <c r="I55" s="296"/>
      <c r="J55" s="296"/>
      <c r="K55" s="296"/>
      <c r="L55" s="295" t="s">
        <v>293</v>
      </c>
      <c r="M55" s="295"/>
      <c r="N55" s="295"/>
      <c r="O55" s="297" t="s">
        <v>46</v>
      </c>
      <c r="P55" s="297"/>
      <c r="Q55" s="297"/>
      <c r="R55" s="297"/>
      <c r="S55" s="297"/>
      <c r="T55" s="297"/>
      <c r="U55" s="298"/>
    </row>
    <row r="56" spans="2:21" ht="16.500000">
      <c r="B56" s="299" t="s">
        <v>286</v>
      </c>
      <c r="C56" s="299"/>
      <c r="D56" s="299"/>
      <c r="E56" s="299"/>
      <c r="F56" s="299"/>
      <c r="G56" s="299"/>
      <c r="H56" s="299"/>
      <c r="I56" s="299"/>
      <c r="J56" s="299"/>
      <c r="K56" s="299"/>
      <c r="L56" s="299"/>
      <c r="M56" s="299"/>
      <c r="N56" s="299"/>
      <c r="O56" s="299"/>
      <c r="P56" s="299"/>
      <c r="Q56" s="299"/>
      <c r="R56" s="299"/>
      <c r="S56" s="299"/>
      <c r="T56" s="299"/>
      <c r="U56" s="299"/>
    </row>
    <row r="57" spans="2:21" ht="25.500000">
      <c r="B57" s="300" t="s">
        <v>47</v>
      </c>
      <c r="C57" s="300"/>
      <c r="D57" s="300"/>
      <c r="E57" s="300"/>
      <c r="F57" s="300"/>
      <c r="G57" s="300"/>
      <c r="H57" s="300"/>
      <c r="I57" s="300"/>
      <c r="J57" s="300"/>
      <c r="K57" s="300"/>
      <c r="L57" s="300"/>
      <c r="M57" s="300"/>
      <c r="N57" s="300"/>
      <c r="O57" s="300"/>
      <c r="P57" s="300"/>
      <c r="Q57" s="300"/>
      <c r="R57" s="300"/>
      <c r="S57" s="300"/>
      <c r="T57" s="300"/>
      <c r="U57" s="300"/>
    </row>
    <row r="58" spans="2:21" ht="14.250000">
      <c r="B58" s="27"/>
      <c r="F58" s="5"/>
      <c r="G58" s="19"/>
      <c r="I58" s="4"/>
    </row>
    <row r="59" spans="2:21" ht="24.950000" customHeight="1">
      <c r="B59" s="292" t="s">
        <v>445</v>
      </c>
      <c r="C59" s="292"/>
      <c r="D59" s="292"/>
      <c r="E59" s="292"/>
      <c r="F59" s="292"/>
      <c r="G59" s="292"/>
      <c r="H59" s="292"/>
      <c r="I59" s="292"/>
      <c r="J59" s="292"/>
      <c r="K59" s="292"/>
      <c r="L59" s="292"/>
      <c r="M59" s="292"/>
      <c r="N59" s="292"/>
      <c r="O59" s="292"/>
      <c r="P59" s="292"/>
      <c r="Q59" s="292"/>
      <c r="R59" s="292"/>
      <c r="S59" s="292"/>
      <c r="T59" s="292"/>
      <c r="U59" s="292"/>
    </row>
    <row r="60" spans="2:21" ht="24.950000" customHeight="1">
      <c r="B60" s="542" t="s">
        <v>446</v>
      </c>
      <c r="C60" s="542"/>
      <c r="D60" s="542"/>
      <c r="E60" s="542"/>
      <c r="F60" s="542"/>
      <c r="G60" s="542"/>
      <c r="H60" s="542"/>
      <c r="I60" s="545" t="str">
        <f>B9</f>
        <v>효성뉴서울5차아파트</v>
      </c>
      <c r="J60" s="545"/>
      <c r="K60" s="545"/>
      <c r="L60" s="545"/>
      <c r="M60" s="545"/>
      <c r="N60" s="545"/>
      <c r="O60" s="545"/>
      <c r="P60" s="23" t="s">
        <v>423</v>
      </c>
      <c r="Q60" s="23"/>
      <c r="R60" s="23"/>
      <c r="S60" s="23"/>
      <c r="T60" s="23"/>
      <c r="U60" s="23"/>
    </row>
    <row r="61" spans="2:21" ht="24.950000" customHeight="1">
      <c r="B61" s="292" t="s">
        <v>424</v>
      </c>
      <c r="C61" s="292"/>
      <c r="D61" s="292"/>
      <c r="E61" s="292"/>
      <c r="F61" s="292"/>
      <c r="G61" s="292"/>
      <c r="H61" s="292"/>
      <c r="I61" s="292"/>
      <c r="J61" s="292"/>
      <c r="K61" s="292"/>
      <c r="L61" s="292"/>
      <c r="M61" s="292"/>
      <c r="N61" s="292"/>
      <c r="O61" s="292"/>
      <c r="P61" s="292"/>
      <c r="Q61" s="292"/>
      <c r="R61" s="292"/>
      <c r="S61" s="292"/>
      <c r="T61" s="292"/>
      <c r="U61" s="292"/>
    </row>
    <row r="62" spans="2:21" ht="20.000000" customHeight="1">
      <c r="B62" s="22"/>
      <c r="C62" s="22"/>
      <c r="D62" s="22"/>
      <c r="E62" s="22"/>
      <c r="F62" s="22"/>
      <c r="G62" s="22"/>
      <c r="H62" s="22"/>
      <c r="I62" s="22"/>
      <c r="J62" s="22"/>
    </row>
    <row r="63" spans="2:21" ht="20.000000" customHeight="1">
      <c r="B63" s="221" t="s">
        <v>388</v>
      </c>
      <c r="C63" s="221"/>
      <c r="D63" s="221"/>
      <c r="E63" s="221"/>
      <c r="F63" s="221"/>
      <c r="G63" s="221"/>
      <c r="H63" s="221"/>
      <c r="I63" s="221"/>
      <c r="J63" s="221"/>
    </row>
    <row r="64" spans="2:21" ht="84.750000" customHeight="1">
      <c r="C64" s="22" t="s">
        <v>100</v>
      </c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</row>
    <row r="65" spans="2:21" ht="20.000000" customHeight="1">
      <c r="B65" s="28"/>
      <c r="F65" s="5"/>
      <c r="G65" s="19"/>
      <c r="I65" s="4"/>
    </row>
    <row r="66" spans="2:21" ht="20.000000" customHeight="1">
      <c r="B66" s="221" t="s">
        <v>389</v>
      </c>
      <c r="C66" s="221"/>
      <c r="D66" s="221"/>
      <c r="E66" s="221"/>
      <c r="F66" s="221"/>
      <c r="G66" s="221"/>
      <c r="H66" s="221"/>
      <c r="I66" s="221"/>
      <c r="J66" s="221"/>
      <c r="K66" s="221"/>
      <c r="L66" s="221"/>
      <c r="M66" s="221"/>
      <c r="N66" s="221"/>
      <c r="O66" s="221"/>
      <c r="P66" s="221"/>
      <c r="Q66" s="221"/>
      <c r="R66" s="221"/>
      <c r="S66" s="221"/>
      <c r="T66" s="221"/>
      <c r="U66" s="221"/>
    </row>
    <row r="67" spans="2:21" ht="24.950000" customHeight="1">
      <c r="C67" s="30" t="str">
        <f>"① 시설물명 : "&amp;E53</f>
        <v>① 시설물명 : 효성뉴서울5차아파트</v>
      </c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</row>
    <row r="68" spans="2:21" ht="24.950000" customHeight="1">
      <c r="C68" s="30" t="str">
        <f>"② 위      치 : "&amp;갑지!L22</f>
        <v>② 위      치 : 인천 계양구 아나지로 199 (효성동)</v>
      </c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</row>
    <row r="69" spans="2:21" ht="24.950000" customHeight="1">
      <c r="C69" s="30" t="s">
        <v>419</v>
      </c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</row>
    <row r="70" spans="2:21" ht="24.950000" customHeight="1">
      <c r="C70" s="30" t="str">
        <f>"④ 정밀안전점검 대상시설물의 범위 : "&amp;갑지!L23</f>
        <v xml:space="preserve">④ 정밀안전점검 대상시설물의 범위 : 아파트 6개동 648세대 (해당동 : 6개동) </v>
      </c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</row>
    <row r="71" spans="2:21" ht="20.000000" customHeight="1">
      <c r="B71" s="28"/>
      <c r="F71" s="5"/>
      <c r="G71" s="19"/>
      <c r="I71" s="4"/>
    </row>
    <row r="72" spans="2:21" ht="20.000000" customHeight="1">
      <c r="B72" s="221" t="s">
        <v>390</v>
      </c>
      <c r="C72" s="221"/>
      <c r="D72" s="221"/>
      <c r="E72" s="221"/>
      <c r="F72" s="221"/>
      <c r="G72" s="221"/>
      <c r="H72" s="221"/>
      <c r="I72" s="221"/>
      <c r="J72" s="221"/>
    </row>
    <row r="73" spans="2:21" ht="24.950000" customHeight="1">
      <c r="C73" s="29" t="s">
        <v>48</v>
      </c>
      <c r="D73" s="29"/>
      <c r="E73" s="29"/>
      <c r="F73" s="29"/>
      <c r="G73" s="29"/>
      <c r="H73" s="29"/>
      <c r="I73" s="29"/>
      <c r="J73" s="29"/>
    </row>
    <row r="74" spans="2:21" ht="39.750000" customHeight="1">
      <c r="C74" s="22" t="s">
        <v>49</v>
      </c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</row>
    <row r="75" spans="2:21" ht="20.000000" customHeight="1">
      <c r="B75" s="28"/>
      <c r="F75" s="5"/>
      <c r="G75" s="19"/>
      <c r="I75" s="4"/>
    </row>
    <row r="76" spans="2:21" ht="20.000000" customHeight="1">
      <c r="B76" s="221" t="s">
        <v>391</v>
      </c>
      <c r="C76" s="221"/>
      <c r="D76" s="221"/>
      <c r="E76" s="221"/>
      <c r="F76" s="221"/>
      <c r="G76" s="221"/>
      <c r="H76" s="221"/>
      <c r="I76" s="221"/>
      <c r="J76" s="221"/>
    </row>
    <row r="77" spans="2:21" ht="49.500000" customHeight="1">
      <c r="C77" s="22" t="s">
        <v>295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</row>
    <row r="78" spans="2:21" ht="44.250000" customHeight="1">
      <c r="B78" s="31"/>
      <c r="C78" s="22" t="s">
        <v>50</v>
      </c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</row>
    <row r="79" spans="2:21" ht="45.000000" customHeight="1">
      <c r="B79" s="32"/>
      <c r="C79" s="22" t="s">
        <v>51</v>
      </c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</row>
    <row r="80" spans="2:21" ht="20.000000" customHeight="1">
      <c r="C80" s="29"/>
      <c r="D80" s="29"/>
      <c r="E80" s="29"/>
      <c r="F80" s="29"/>
      <c r="G80" s="29"/>
      <c r="H80" s="29"/>
      <c r="I80" s="29"/>
      <c r="J80" s="29"/>
    </row>
    <row r="81" spans="2:21" ht="20.000000" customHeight="1">
      <c r="B81" s="221" t="s">
        <v>392</v>
      </c>
      <c r="C81" s="221"/>
      <c r="D81" s="221"/>
      <c r="E81" s="221"/>
      <c r="F81" s="221"/>
      <c r="G81" s="221"/>
      <c r="H81" s="221"/>
      <c r="I81" s="221"/>
      <c r="J81" s="221"/>
    </row>
    <row r="82" spans="2:21" ht="43.500000" customHeight="1">
      <c r="C82" s="22" t="s">
        <v>52</v>
      </c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</row>
    <row r="83" spans="2:21" ht="20.000000" customHeight="1"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</row>
    <row r="84" spans="2:21" ht="20.000000" customHeight="1">
      <c r="B84" s="221" t="s">
        <v>393</v>
      </c>
      <c r="C84" s="221"/>
      <c r="D84" s="221"/>
      <c r="E84" s="221"/>
      <c r="F84" s="221"/>
      <c r="G84" s="221"/>
      <c r="H84" s="221"/>
      <c r="I84" s="221"/>
      <c r="J84" s="221"/>
    </row>
    <row r="85" spans="2:21" ht="40.000000" customHeight="1">
      <c r="C85" s="22" t="s">
        <v>53</v>
      </c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</row>
    <row r="86" spans="2:21" ht="40.000000" customHeight="1">
      <c r="C86" s="22" t="s">
        <v>54</v>
      </c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</row>
    <row r="87" spans="2:21" ht="60.000000" customHeight="1">
      <c r="C87" s="22" t="s">
        <v>55</v>
      </c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</row>
    <row r="88" spans="2:21" ht="40.000000" customHeight="1">
      <c r="C88" s="22" t="s">
        <v>56</v>
      </c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</row>
    <row r="89" spans="2:21" ht="20.000000" customHeight="1">
      <c r="B89" s="28"/>
      <c r="F89" s="5"/>
      <c r="G89" s="19"/>
      <c r="I89" s="4"/>
    </row>
    <row r="90" spans="2:21" ht="20.000000" customHeight="1">
      <c r="B90" s="221" t="s">
        <v>394</v>
      </c>
      <c r="C90" s="221"/>
      <c r="D90" s="221"/>
      <c r="E90" s="221"/>
      <c r="F90" s="221"/>
      <c r="G90" s="221"/>
      <c r="H90" s="221"/>
      <c r="I90" s="221"/>
      <c r="J90" s="221"/>
    </row>
    <row r="91" spans="2:21" ht="40.000000" customHeight="1">
      <c r="C91" s="22" t="s">
        <v>376</v>
      </c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</row>
    <row r="92" spans="2:21" ht="40.000000" customHeight="1">
      <c r="C92" s="22" t="s">
        <v>57</v>
      </c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</row>
    <row r="93" spans="2:21" ht="40.000000" customHeight="1">
      <c r="C93" s="22" t="s">
        <v>58</v>
      </c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</row>
    <row r="94" spans="2:21" ht="20.000000" customHeight="1">
      <c r="B94" s="28"/>
      <c r="F94" s="5"/>
      <c r="G94" s="19"/>
      <c r="I94" s="4"/>
    </row>
    <row r="95" spans="2:21" ht="20.000000" customHeight="1">
      <c r="B95" s="221" t="s">
        <v>395</v>
      </c>
      <c r="C95" s="221"/>
      <c r="D95" s="221"/>
      <c r="E95" s="221"/>
      <c r="F95" s="221"/>
      <c r="G95" s="221"/>
      <c r="H95" s="221"/>
      <c r="I95" s="221"/>
      <c r="J95" s="221"/>
    </row>
    <row r="96" spans="2:21" ht="60.000000" customHeight="1">
      <c r="C96" s="22" t="s">
        <v>377</v>
      </c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</row>
    <row r="97" spans="2:21" ht="40.000000" customHeight="1">
      <c r="C97" s="22" t="s">
        <v>59</v>
      </c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</row>
    <row r="98" spans="2:21" ht="20.000000" customHeight="1">
      <c r="B98" s="28"/>
      <c r="F98" s="5"/>
      <c r="G98" s="19"/>
      <c r="I98" s="4"/>
    </row>
    <row r="99" spans="2:21" ht="20.000000" customHeight="1">
      <c r="B99" s="221" t="s">
        <v>396</v>
      </c>
      <c r="C99" s="221"/>
      <c r="D99" s="221"/>
      <c r="E99" s="221"/>
      <c r="F99" s="221"/>
      <c r="G99" s="221"/>
      <c r="H99" s="221"/>
      <c r="I99" s="221"/>
      <c r="J99" s="221"/>
    </row>
    <row r="100" spans="2:21" ht="40.000000" customHeight="1">
      <c r="B100" s="32"/>
      <c r="C100" s="22" t="s">
        <v>60</v>
      </c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</row>
    <row r="101" spans="2:21" ht="60.750000" customHeight="1">
      <c r="B101" s="32"/>
      <c r="C101" s="22" t="s">
        <v>279</v>
      </c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</row>
    <row r="102" spans="2:21" ht="40.000000" customHeight="1">
      <c r="B102" s="32"/>
      <c r="C102" s="22" t="s">
        <v>61</v>
      </c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</row>
    <row r="103" spans="2:21" ht="20.000000" customHeight="1">
      <c r="B103" s="28"/>
      <c r="F103" s="5"/>
      <c r="G103" s="19"/>
      <c r="I103" s="4"/>
    </row>
    <row r="104" spans="2:21" ht="20.000000" customHeight="1">
      <c r="B104" s="221" t="s">
        <v>397</v>
      </c>
      <c r="C104" s="221"/>
      <c r="D104" s="221"/>
      <c r="E104" s="221"/>
      <c r="F104" s="221"/>
      <c r="G104" s="221"/>
      <c r="H104" s="221"/>
      <c r="I104" s="221"/>
      <c r="J104" s="221"/>
    </row>
    <row r="105" spans="2:21" ht="40.000000" customHeight="1">
      <c r="C105" s="22" t="s">
        <v>62</v>
      </c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</row>
    <row r="106" spans="2:21" ht="20.000000" customHeight="1">
      <c r="B106" s="28"/>
      <c r="F106" s="5"/>
      <c r="G106" s="19"/>
      <c r="I106" s="4"/>
    </row>
    <row r="107" spans="2:21" ht="20.000000" customHeight="1">
      <c r="B107" s="221" t="s">
        <v>398</v>
      </c>
      <c r="C107" s="30"/>
      <c r="D107" s="30"/>
      <c r="E107" s="30"/>
      <c r="F107" s="30"/>
      <c r="G107" s="30"/>
      <c r="H107" s="30"/>
      <c r="I107" s="30"/>
      <c r="J107" s="30"/>
    </row>
    <row r="108" spans="2:21" ht="20.000000" customHeight="1">
      <c r="C108" s="30" t="s">
        <v>63</v>
      </c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</row>
    <row r="109" spans="2:21" ht="20.000000" customHeight="1">
      <c r="B109" s="33"/>
      <c r="C109" s="30" t="s">
        <v>301</v>
      </c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</row>
    <row r="110" spans="2:21" ht="20.000000" customHeight="1">
      <c r="B110" s="33"/>
      <c r="C110" s="292" t="s">
        <v>302</v>
      </c>
      <c r="D110" s="292"/>
      <c r="E110" s="292"/>
      <c r="F110" s="292"/>
      <c r="G110" s="292"/>
      <c r="H110" s="292"/>
      <c r="I110" s="292"/>
      <c r="J110" s="292"/>
      <c r="K110" s="292"/>
      <c r="L110" s="292"/>
      <c r="M110" s="292"/>
      <c r="N110" s="292"/>
      <c r="O110" s="292"/>
      <c r="P110" s="292"/>
      <c r="Q110" s="292"/>
      <c r="R110" s="292"/>
      <c r="S110" s="292"/>
      <c r="T110" s="292"/>
      <c r="U110" s="292"/>
    </row>
    <row r="111" spans="2:21" ht="20.000000" customHeight="1">
      <c r="B111" s="33"/>
      <c r="C111" s="292" t="s">
        <v>303</v>
      </c>
      <c r="D111" s="292"/>
      <c r="E111" s="292"/>
      <c r="F111" s="292"/>
      <c r="G111" s="292"/>
      <c r="H111" s="292"/>
      <c r="I111" s="292"/>
      <c r="J111" s="292"/>
      <c r="K111" s="292"/>
      <c r="L111" s="292"/>
      <c r="M111" s="292"/>
      <c r="N111" s="292"/>
      <c r="O111" s="292"/>
      <c r="P111" s="292"/>
      <c r="Q111" s="292"/>
      <c r="R111" s="292"/>
      <c r="S111" s="292"/>
      <c r="T111" s="292"/>
      <c r="U111" s="292"/>
    </row>
    <row r="112" spans="2:21" ht="20.000000" customHeight="1">
      <c r="B112" s="33"/>
      <c r="C112" s="30" t="s">
        <v>304</v>
      </c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</row>
    <row r="113" spans="2:22" ht="20.000000" customHeight="1">
      <c r="B113" s="28"/>
      <c r="F113" s="5"/>
      <c r="G113" s="19"/>
      <c r="I113" s="4"/>
    </row>
    <row r="114" spans="2:22" ht="20.000000" customHeight="1">
      <c r="B114" s="221" t="s">
        <v>399</v>
      </c>
      <c r="C114" s="30"/>
      <c r="D114" s="30"/>
      <c r="E114" s="30"/>
      <c r="F114" s="30"/>
      <c r="G114" s="30"/>
      <c r="H114" s="30"/>
      <c r="I114" s="30"/>
      <c r="J114" s="30"/>
    </row>
    <row r="115" spans="2:22" ht="40.000000" customHeight="1">
      <c r="C115" s="22" t="s">
        <v>64</v>
      </c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</row>
    <row r="116" spans="2:22" ht="20.000000" customHeight="1">
      <c r="B116" s="28"/>
      <c r="F116" s="5"/>
      <c r="G116" s="19"/>
      <c r="I116" s="4"/>
    </row>
    <row r="117" spans="2:22" ht="20.000000" customHeight="1">
      <c r="B117" s="221" t="s">
        <v>400</v>
      </c>
      <c r="C117" s="221"/>
      <c r="D117" s="221"/>
      <c r="E117" s="221"/>
      <c r="F117" s="221"/>
      <c r="G117" s="221"/>
      <c r="H117" s="221"/>
      <c r="I117" s="221"/>
      <c r="J117" s="221"/>
    </row>
    <row r="118" spans="2:22" ht="124.000000" customHeight="1">
      <c r="C118" s="293" t="s">
        <v>65</v>
      </c>
      <c r="D118" s="293"/>
      <c r="E118" s="293"/>
      <c r="F118" s="293"/>
      <c r="G118" s="293"/>
      <c r="H118" s="293"/>
      <c r="I118" s="293"/>
      <c r="J118" s="293"/>
      <c r="K118" s="293"/>
      <c r="L118" s="293"/>
      <c r="M118" s="293"/>
      <c r="N118" s="293"/>
      <c r="O118" s="293"/>
      <c r="P118" s="293"/>
      <c r="Q118" s="293"/>
      <c r="R118" s="293"/>
      <c r="S118" s="293"/>
      <c r="T118" s="293"/>
      <c r="U118" s="293"/>
    </row>
    <row r="119" ht="409.500000" customHeight="1"/>
    <row r="120" spans="2:22" ht="16.500000" customHeight="1">
      <c r="B120" s="270" t="s">
        <v>66</v>
      </c>
      <c r="C120" s="270"/>
      <c r="D120" s="270"/>
      <c r="E120" s="270"/>
      <c r="F120" s="270"/>
      <c r="G120" s="270"/>
      <c r="H120" s="270"/>
      <c r="I120" s="270"/>
    </row>
    <row r="121" spans="2:22" ht="33.750000" customHeight="1">
      <c r="B121" s="271" t="s">
        <v>67</v>
      </c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</row>
    <row r="122" spans="2:22" ht="55.000000" customHeight="1">
      <c r="B122" s="287" t="s">
        <v>68</v>
      </c>
      <c r="C122" s="288"/>
      <c r="D122" s="288"/>
      <c r="E122" s="288"/>
      <c r="F122" s="554" t="s">
        <v>69</v>
      </c>
      <c r="G122" s="552"/>
      <c r="H122" s="552"/>
      <c r="I122" s="552"/>
      <c r="J122" s="552"/>
      <c r="K122" s="552"/>
      <c r="L122" s="552"/>
      <c r="M122" s="552"/>
      <c r="N122" s="649"/>
      <c r="O122" s="653" t="s">
        <v>464</v>
      </c>
      <c r="P122" s="552"/>
      <c r="Q122" s="552"/>
      <c r="R122" s="552"/>
      <c r="S122" s="552"/>
      <c r="T122" s="552"/>
      <c r="U122" s="553"/>
      <c r="V122" s="654"/>
    </row>
    <row r="123" spans="2:22" ht="55.000000" customHeight="1">
      <c r="B123" s="674" t="s">
        <v>478</v>
      </c>
      <c r="C123" s="675"/>
      <c r="D123" s="675"/>
      <c r="E123" s="676"/>
      <c r="F123" s="677" t="s">
        <v>477</v>
      </c>
      <c r="G123" s="678"/>
      <c r="H123" s="678"/>
      <c r="I123" s="678"/>
      <c r="J123" s="678"/>
      <c r="K123" s="678"/>
      <c r="L123" s="678"/>
      <c r="M123" s="678"/>
      <c r="N123" s="678"/>
      <c r="O123" s="655"/>
      <c r="P123" s="589"/>
      <c r="Q123" s="589"/>
      <c r="R123" s="589"/>
      <c r="S123" s="589"/>
      <c r="T123" s="589"/>
      <c r="U123" s="590"/>
      <c r="V123" s="654"/>
    </row>
    <row r="124" spans="2:22" ht="55.000000" customHeight="1">
      <c r="B124" s="679"/>
      <c r="C124" s="680"/>
      <c r="D124" s="680"/>
      <c r="E124" s="681"/>
      <c r="F124" s="682"/>
      <c r="G124" s="683"/>
      <c r="H124" s="683"/>
      <c r="I124" s="683"/>
      <c r="J124" s="683"/>
      <c r="K124" s="683"/>
      <c r="L124" s="683"/>
      <c r="M124" s="683"/>
      <c r="N124" s="683"/>
      <c r="O124" s="656"/>
      <c r="P124" s="612"/>
      <c r="Q124" s="612"/>
      <c r="R124" s="612"/>
      <c r="S124" s="612"/>
      <c r="T124" s="612"/>
      <c r="U124" s="643"/>
      <c r="V124" s="654"/>
    </row>
    <row r="125" spans="2:22" ht="55.000000" customHeight="1">
      <c r="B125" s="684"/>
      <c r="C125" s="685"/>
      <c r="D125" s="685"/>
      <c r="E125" s="686"/>
      <c r="F125" s="687"/>
      <c r="G125" s="688"/>
      <c r="H125" s="688"/>
      <c r="I125" s="688"/>
      <c r="J125" s="688"/>
      <c r="K125" s="688"/>
      <c r="L125" s="688"/>
      <c r="M125" s="688"/>
      <c r="N125" s="688"/>
      <c r="O125" s="657"/>
      <c r="P125" s="616"/>
      <c r="Q125" s="616"/>
      <c r="R125" s="616"/>
      <c r="S125" s="616"/>
      <c r="T125" s="616"/>
      <c r="U125" s="644"/>
      <c r="V125" s="654"/>
    </row>
    <row r="126" spans="2:22" ht="55.000000" customHeight="1">
      <c r="B126" s="608" t="s">
        <v>453</v>
      </c>
      <c r="C126" s="589"/>
      <c r="D126" s="589"/>
      <c r="E126" s="620"/>
      <c r="F126" s="677" t="s">
        <v>480</v>
      </c>
      <c r="G126" s="678"/>
      <c r="H126" s="678"/>
      <c r="I126" s="678"/>
      <c r="J126" s="678"/>
      <c r="K126" s="678"/>
      <c r="L126" s="678"/>
      <c r="M126" s="678"/>
      <c r="N126" s="678"/>
      <c r="O126" s="655"/>
      <c r="P126" s="589"/>
      <c r="Q126" s="589"/>
      <c r="R126" s="589"/>
      <c r="S126" s="589"/>
      <c r="T126" s="589"/>
      <c r="U126" s="590"/>
      <c r="V126" s="654"/>
    </row>
    <row r="127" spans="2:22" ht="55.000000" customHeight="1">
      <c r="B127" s="611"/>
      <c r="C127" s="612"/>
      <c r="D127" s="612"/>
      <c r="E127" s="621"/>
      <c r="F127" s="682"/>
      <c r="G127" s="683"/>
      <c r="H127" s="683"/>
      <c r="I127" s="683"/>
      <c r="J127" s="683"/>
      <c r="K127" s="683"/>
      <c r="L127" s="683"/>
      <c r="M127" s="683"/>
      <c r="N127" s="683"/>
      <c r="O127" s="656"/>
      <c r="P127" s="612"/>
      <c r="Q127" s="612"/>
      <c r="R127" s="612"/>
      <c r="S127" s="612"/>
      <c r="T127" s="612"/>
      <c r="U127" s="643"/>
      <c r="V127" s="654"/>
    </row>
    <row r="128" spans="2:22" ht="55.000000" hidden="1" customHeight="1">
      <c r="B128" s="611"/>
      <c r="C128" s="612"/>
      <c r="D128" s="612"/>
      <c r="E128" s="621"/>
      <c r="F128" s="682"/>
      <c r="G128" s="683"/>
      <c r="H128" s="683"/>
      <c r="I128" s="683"/>
      <c r="J128" s="683"/>
      <c r="K128" s="683"/>
      <c r="L128" s="683"/>
      <c r="M128" s="683"/>
      <c r="N128" s="683"/>
      <c r="O128" s="656"/>
      <c r="P128" s="612"/>
      <c r="Q128" s="612"/>
      <c r="R128" s="612"/>
      <c r="S128" s="612"/>
      <c r="T128" s="612"/>
      <c r="U128" s="643"/>
      <c r="V128" s="654"/>
    </row>
    <row r="129" spans="2:22" ht="55.000000" hidden="1" customHeight="1">
      <c r="B129" s="611"/>
      <c r="C129" s="612"/>
      <c r="D129" s="612"/>
      <c r="E129" s="621"/>
      <c r="F129" s="682"/>
      <c r="G129" s="683"/>
      <c r="H129" s="683"/>
      <c r="I129" s="683"/>
      <c r="J129" s="683"/>
      <c r="K129" s="683"/>
      <c r="L129" s="683"/>
      <c r="M129" s="683"/>
      <c r="N129" s="683"/>
      <c r="O129" s="656"/>
      <c r="P129" s="612"/>
      <c r="Q129" s="612"/>
      <c r="R129" s="612"/>
      <c r="S129" s="612"/>
      <c r="T129" s="612"/>
      <c r="U129" s="643"/>
      <c r="V129" s="654"/>
    </row>
    <row r="130" spans="2:22" ht="55.000000" customHeight="1">
      <c r="B130" s="615"/>
      <c r="C130" s="616"/>
      <c r="D130" s="617"/>
      <c r="E130" s="618"/>
      <c r="F130" s="687"/>
      <c r="G130" s="688"/>
      <c r="H130" s="688"/>
      <c r="I130" s="688"/>
      <c r="J130" s="688"/>
      <c r="K130" s="688"/>
      <c r="L130" s="688"/>
      <c r="M130" s="688"/>
      <c r="N130" s="688"/>
      <c r="O130" s="657"/>
      <c r="P130" s="616"/>
      <c r="Q130" s="616"/>
      <c r="R130" s="616"/>
      <c r="S130" s="616"/>
      <c r="T130" s="616"/>
      <c r="U130" s="644"/>
      <c r="V130" s="654"/>
    </row>
    <row r="131" spans="2:22" ht="55.000000" customHeight="1">
      <c r="B131" s="608" t="s">
        <v>265</v>
      </c>
      <c r="C131" s="589"/>
      <c r="D131" s="609"/>
      <c r="E131" s="610"/>
      <c r="F131" s="677" t="s">
        <v>481</v>
      </c>
      <c r="G131" s="678"/>
      <c r="H131" s="678"/>
      <c r="I131" s="678"/>
      <c r="J131" s="678"/>
      <c r="K131" s="678"/>
      <c r="L131" s="678"/>
      <c r="M131" s="678"/>
      <c r="N131" s="678"/>
      <c r="O131" s="655"/>
      <c r="P131" s="589"/>
      <c r="Q131" s="589"/>
      <c r="R131" s="589"/>
      <c r="S131" s="589"/>
      <c r="T131" s="589"/>
      <c r="U131" s="590"/>
      <c r="V131" s="654"/>
    </row>
    <row r="132" spans="2:22" ht="55.000000" customHeight="1">
      <c r="B132" s="615"/>
      <c r="C132" s="616"/>
      <c r="D132" s="617"/>
      <c r="E132" s="618"/>
      <c r="F132" s="687"/>
      <c r="G132" s="688"/>
      <c r="H132" s="688"/>
      <c r="I132" s="688"/>
      <c r="J132" s="688"/>
      <c r="K132" s="688"/>
      <c r="L132" s="688"/>
      <c r="M132" s="688"/>
      <c r="N132" s="688"/>
      <c r="O132" s="657"/>
      <c r="P132" s="616"/>
      <c r="Q132" s="616"/>
      <c r="R132" s="616"/>
      <c r="S132" s="616"/>
      <c r="T132" s="616"/>
      <c r="U132" s="644"/>
      <c r="V132" s="654"/>
    </row>
    <row r="133" spans="2:22" ht="55.000000" customHeight="1">
      <c r="B133" s="661" t="s">
        <v>454</v>
      </c>
      <c r="C133" s="662"/>
      <c r="D133" s="662"/>
      <c r="E133" s="663"/>
      <c r="F133" s="629"/>
      <c r="G133" s="630"/>
      <c r="H133" s="630"/>
      <c r="I133" s="630"/>
      <c r="J133" s="630"/>
      <c r="K133" s="630"/>
      <c r="L133" s="630"/>
      <c r="M133" s="630"/>
      <c r="N133" s="630"/>
      <c r="O133" s="655"/>
      <c r="P133" s="589"/>
      <c r="Q133" s="589"/>
      <c r="R133" s="589"/>
      <c r="S133" s="589"/>
      <c r="T133" s="589"/>
      <c r="U133" s="590"/>
      <c r="V133" s="654"/>
    </row>
    <row r="134" spans="2:22" ht="55.000000" hidden="1" customHeight="1">
      <c r="B134" s="664"/>
      <c r="C134" s="665"/>
      <c r="D134" s="665"/>
      <c r="E134" s="666"/>
      <c r="F134" s="632"/>
      <c r="G134" s="633"/>
      <c r="H134" s="633"/>
      <c r="I134" s="633"/>
      <c r="J134" s="633"/>
      <c r="K134" s="633"/>
      <c r="L134" s="633"/>
      <c r="M134" s="633"/>
      <c r="N134" s="632"/>
      <c r="O134" s="658"/>
      <c r="P134" s="625"/>
      <c r="Q134" s="625"/>
      <c r="R134" s="625"/>
      <c r="S134" s="625"/>
      <c r="T134" s="625"/>
      <c r="U134" s="581"/>
      <c r="V134" s="654"/>
    </row>
    <row r="135" spans="2:22" ht="55.000000" hidden="1" customHeight="1">
      <c r="B135" s="667"/>
      <c r="C135" s="668"/>
      <c r="D135" s="668"/>
      <c r="E135" s="669"/>
      <c r="F135" s="635"/>
      <c r="G135" s="636"/>
      <c r="H135" s="636"/>
      <c r="I135" s="636"/>
      <c r="J135" s="636"/>
      <c r="K135" s="636"/>
      <c r="L135" s="636"/>
      <c r="M135" s="636"/>
      <c r="N135" s="635"/>
      <c r="O135" s="659"/>
      <c r="P135" s="583"/>
      <c r="Q135" s="583"/>
      <c r="R135" s="583"/>
      <c r="S135" s="583"/>
      <c r="T135" s="583"/>
      <c r="U135" s="584"/>
      <c r="V135" s="654"/>
    </row>
    <row r="136" spans="2:22" ht="55.000000" customHeight="1">
      <c r="B136" s="602" t="s">
        <v>455</v>
      </c>
      <c r="C136" s="586"/>
      <c r="D136" s="586"/>
      <c r="E136" s="603"/>
      <c r="F136" s="670" t="s">
        <v>476</v>
      </c>
      <c r="G136" s="671"/>
      <c r="H136" s="671"/>
      <c r="I136" s="671"/>
      <c r="J136" s="671"/>
      <c r="K136" s="671"/>
      <c r="L136" s="671"/>
      <c r="M136" s="671"/>
      <c r="N136" s="671"/>
      <c r="O136" s="660"/>
      <c r="P136" s="586"/>
      <c r="Q136" s="586"/>
      <c r="R136" s="586"/>
      <c r="S136" s="586"/>
      <c r="T136" s="586"/>
      <c r="U136" s="587"/>
      <c r="V136" s="654"/>
    </row>
    <row r="137" spans="2:22" ht="55.000000" customHeight="1">
      <c r="B137" s="602" t="s">
        <v>457</v>
      </c>
      <c r="C137" s="586"/>
      <c r="D137" s="586"/>
      <c r="E137" s="603"/>
      <c r="F137" s="670" t="s">
        <v>475</v>
      </c>
      <c r="G137" s="671"/>
      <c r="H137" s="671"/>
      <c r="I137" s="671"/>
      <c r="J137" s="671"/>
      <c r="K137" s="671"/>
      <c r="L137" s="671"/>
      <c r="M137" s="671"/>
      <c r="N137" s="671"/>
      <c r="O137" s="660"/>
      <c r="P137" s="586"/>
      <c r="Q137" s="586"/>
      <c r="R137" s="586"/>
      <c r="S137" s="586"/>
      <c r="T137" s="586"/>
      <c r="U137" s="587"/>
      <c r="V137" s="654"/>
    </row>
    <row r="138" spans="2:22" ht="55.000000" customHeight="1">
      <c r="B138" s="604" t="s">
        <v>458</v>
      </c>
      <c r="C138" s="592"/>
      <c r="D138" s="592"/>
      <c r="E138" s="605"/>
      <c r="F138" s="672"/>
      <c r="G138" s="673"/>
      <c r="H138" s="673"/>
      <c r="I138" s="673"/>
      <c r="J138" s="673"/>
      <c r="K138" s="673"/>
      <c r="L138" s="673"/>
      <c r="M138" s="673"/>
      <c r="N138" s="673"/>
      <c r="O138" s="656"/>
      <c r="P138" s="612"/>
      <c r="Q138" s="612"/>
      <c r="R138" s="612"/>
      <c r="S138" s="612"/>
      <c r="T138" s="612"/>
      <c r="U138" s="612"/>
      <c r="V138" s="652"/>
    </row>
    <row r="139" spans="2:22" ht="16.500000" customHeight="1">
      <c r="B139" s="270" t="s">
        <v>81</v>
      </c>
      <c r="C139" s="270"/>
      <c r="D139" s="270"/>
      <c r="E139" s="270"/>
      <c r="F139" s="270"/>
      <c r="G139" s="270"/>
      <c r="H139" s="270"/>
      <c r="I139" s="270"/>
      <c r="J139" s="270"/>
      <c r="K139" s="270"/>
      <c r="L139" s="270"/>
      <c r="M139" s="270"/>
      <c r="N139" s="270"/>
      <c r="O139" s="270"/>
      <c r="P139" s="270"/>
      <c r="Q139" s="270"/>
      <c r="R139" s="270"/>
      <c r="S139" s="270"/>
      <c r="T139" s="270"/>
      <c r="U139" s="270"/>
    </row>
    <row r="140" spans="2:22" ht="42.000000" customHeight="1">
      <c r="B140" s="271" t="s">
        <v>82</v>
      </c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</row>
    <row r="141" spans="2:22" ht="30.000000" customHeight="1">
      <c r="B141" s="272" t="s">
        <v>13</v>
      </c>
      <c r="C141" s="273"/>
      <c r="D141" s="273"/>
      <c r="E141" s="273"/>
      <c r="F141" s="273"/>
      <c r="G141" s="273"/>
      <c r="H141" s="273"/>
      <c r="I141" s="274"/>
      <c r="J141" s="274"/>
      <c r="K141" s="274"/>
      <c r="L141" s="274"/>
      <c r="M141" s="34" t="s">
        <v>83</v>
      </c>
      <c r="N141" s="34"/>
      <c r="O141" s="35"/>
      <c r="P141" s="34" t="s">
        <v>84</v>
      </c>
      <c r="Q141" s="35"/>
      <c r="R141" s="275">
        <f>INT(SUM(R142,R143,R144,R145,R146,R147,R148,R149))</f>
        <v>1328145</v>
      </c>
      <c r="S141" s="275"/>
      <c r="T141" s="275"/>
      <c r="U141" s="276"/>
    </row>
    <row r="142" spans="2:22" ht="30.000000" customHeight="1">
      <c r="B142" s="36"/>
      <c r="C142" s="37" t="s">
        <v>4</v>
      </c>
      <c r="D142" s="37"/>
      <c r="E142" s="37"/>
      <c r="F142" s="6" t="s">
        <v>92</v>
      </c>
      <c r="G142" s="6"/>
      <c r="H142" s="6"/>
      <c r="I142" s="252">
        <f>대가산출!G9</f>
        <v>373353</v>
      </c>
      <c r="J142" s="252"/>
      <c r="K142" s="252"/>
      <c r="L142" s="252"/>
      <c r="M142" s="6" t="s">
        <v>85</v>
      </c>
      <c r="N142" s="6"/>
      <c r="O142" s="6" t="s">
        <v>86</v>
      </c>
      <c r="P142" s="6">
        <f>대가산출!F9</f>
        <v>0</v>
      </c>
      <c r="Q142" s="2"/>
      <c r="R142" s="234">
        <f>P142*I142</f>
        <v>0</v>
      </c>
      <c r="S142" s="234"/>
      <c r="T142" s="234"/>
      <c r="U142" s="235"/>
    </row>
    <row r="143" spans="2:22" ht="30.000000" customHeight="1">
      <c r="B143" s="36"/>
      <c r="C143" s="37"/>
      <c r="F143" s="6" t="s">
        <v>93</v>
      </c>
      <c r="G143" s="6"/>
      <c r="H143" s="6"/>
      <c r="I143" s="252">
        <f>대가산출!G10</f>
        <v>310884</v>
      </c>
      <c r="J143" s="252"/>
      <c r="K143" s="252"/>
      <c r="L143" s="252"/>
      <c r="M143" s="6" t="s">
        <v>85</v>
      </c>
      <c r="N143" s="6"/>
      <c r="O143" s="6" t="s">
        <v>86</v>
      </c>
      <c r="P143" s="6">
        <f>대가산출!F10</f>
        <v>1</v>
      </c>
      <c r="Q143" s="2"/>
      <c r="R143" s="234">
        <f>P143*I143</f>
        <v>310884</v>
      </c>
      <c r="S143" s="234"/>
      <c r="T143" s="234"/>
      <c r="U143" s="235"/>
    </row>
    <row r="144" spans="2:22" ht="30.000000" customHeight="1">
      <c r="B144" s="36"/>
      <c r="C144" s="37"/>
      <c r="F144" s="6" t="s">
        <v>94</v>
      </c>
      <c r="G144" s="6"/>
      <c r="H144" s="6"/>
      <c r="I144" s="252">
        <f>대가산출!G11</f>
        <v>295138</v>
      </c>
      <c r="J144" s="252"/>
      <c r="K144" s="252"/>
      <c r="L144" s="252"/>
      <c r="M144" s="6" t="s">
        <v>87</v>
      </c>
      <c r="N144" s="6"/>
      <c r="O144" s="6" t="s">
        <v>86</v>
      </c>
      <c r="P144" s="6">
        <f>대가산출!F11</f>
        <v>0</v>
      </c>
      <c r="Q144" s="2"/>
      <c r="R144" s="234">
        <f>P144*I144</f>
        <v>0</v>
      </c>
      <c r="S144" s="234"/>
      <c r="T144" s="234"/>
      <c r="U144" s="235"/>
    </row>
    <row r="145" spans="2:24" ht="30.000000" customHeight="1">
      <c r="B145" s="36"/>
      <c r="C145" s="37"/>
      <c r="F145" s="6" t="s">
        <v>95</v>
      </c>
      <c r="G145" s="6"/>
      <c r="H145" s="6"/>
      <c r="I145" s="252">
        <f>대가산출!G12</f>
        <v>235459</v>
      </c>
      <c r="J145" s="252"/>
      <c r="K145" s="252"/>
      <c r="L145" s="252"/>
      <c r="M145" s="6" t="s">
        <v>87</v>
      </c>
      <c r="N145" s="6"/>
      <c r="O145" s="6" t="s">
        <v>86</v>
      </c>
      <c r="P145" s="6">
        <f>대가산출!F12</f>
        <v>1</v>
      </c>
      <c r="Q145" s="2"/>
      <c r="R145" s="234">
        <f>P145*I145</f>
        <v>235459</v>
      </c>
      <c r="S145" s="234"/>
      <c r="T145" s="234"/>
      <c r="U145" s="235"/>
    </row>
    <row r="146" spans="2:24" ht="30.000000" customHeight="1">
      <c r="B146" s="38"/>
      <c r="C146" s="256" t="s">
        <v>5</v>
      </c>
      <c r="D146" s="256"/>
      <c r="E146" s="256"/>
      <c r="F146" s="39" t="s">
        <v>92</v>
      </c>
      <c r="G146" s="39"/>
      <c r="H146" s="39"/>
      <c r="I146" s="257">
        <f>I142</f>
        <v>373353</v>
      </c>
      <c r="J146" s="257"/>
      <c r="K146" s="257"/>
      <c r="L146" s="257"/>
      <c r="M146" s="39" t="s">
        <v>87</v>
      </c>
      <c r="N146" s="39"/>
      <c r="O146" s="39" t="s">
        <v>86</v>
      </c>
      <c r="P146" s="39">
        <f>대가산출!F13</f>
        <v>0</v>
      </c>
      <c r="Q146" s="40"/>
      <c r="R146" s="258">
        <f>P146*I146</f>
        <v>0</v>
      </c>
      <c r="S146" s="258"/>
      <c r="T146" s="258"/>
      <c r="U146" s="259"/>
    </row>
    <row r="147" spans="2:24" ht="30.000000" customHeight="1">
      <c r="B147" s="36"/>
      <c r="C147" s="37"/>
      <c r="F147" s="6" t="s">
        <v>93</v>
      </c>
      <c r="G147" s="6"/>
      <c r="H147" s="6"/>
      <c r="I147" s="252">
        <f>I143</f>
        <v>310884</v>
      </c>
      <c r="J147" s="252"/>
      <c r="K147" s="252"/>
      <c r="L147" s="252"/>
      <c r="M147" s="6" t="s">
        <v>87</v>
      </c>
      <c r="N147" s="6"/>
      <c r="O147" s="6" t="s">
        <v>86</v>
      </c>
      <c r="P147" s="6">
        <f>대가산출!F14</f>
        <v>1</v>
      </c>
      <c r="Q147" s="2"/>
      <c r="R147" s="234">
        <f>P147*I147</f>
        <v>310884</v>
      </c>
      <c r="S147" s="234"/>
      <c r="T147" s="234"/>
      <c r="U147" s="235"/>
    </row>
    <row r="148" spans="2:24" ht="30.000000" customHeight="1">
      <c r="B148" s="36"/>
      <c r="C148" s="37"/>
      <c r="F148" s="6" t="s">
        <v>94</v>
      </c>
      <c r="G148" s="6"/>
      <c r="H148" s="6"/>
      <c r="I148" s="252">
        <f>I144</f>
        <v>295138</v>
      </c>
      <c r="J148" s="252"/>
      <c r="K148" s="252"/>
      <c r="L148" s="252"/>
      <c r="M148" s="6" t="s">
        <v>87</v>
      </c>
      <c r="N148" s="6"/>
      <c r="O148" s="6" t="s">
        <v>86</v>
      </c>
      <c r="P148" s="6">
        <f>대가산출!F15</f>
        <v>0</v>
      </c>
      <c r="Q148" s="2"/>
      <c r="R148" s="234">
        <f>P148*I148</f>
        <v>0</v>
      </c>
      <c r="S148" s="234"/>
      <c r="T148" s="234"/>
      <c r="U148" s="235"/>
    </row>
    <row r="149" spans="2:24" ht="30.000000" customHeight="1">
      <c r="B149" s="41"/>
      <c r="C149" s="42"/>
      <c r="D149" s="43"/>
      <c r="E149" s="43"/>
      <c r="F149" s="44" t="s">
        <v>95</v>
      </c>
      <c r="G149" s="44"/>
      <c r="H149" s="44"/>
      <c r="I149" s="253">
        <f>I145</f>
        <v>235459</v>
      </c>
      <c r="J149" s="253"/>
      <c r="K149" s="253"/>
      <c r="L149" s="253"/>
      <c r="M149" s="44" t="s">
        <v>87</v>
      </c>
      <c r="N149" s="44"/>
      <c r="O149" s="44" t="s">
        <v>86</v>
      </c>
      <c r="P149" s="44">
        <f>대가산출!F16</f>
        <v>2</v>
      </c>
      <c r="Q149" s="45"/>
      <c r="R149" s="254">
        <f>P149*I149</f>
        <v>470918</v>
      </c>
      <c r="S149" s="254"/>
      <c r="T149" s="254"/>
      <c r="U149" s="255"/>
    </row>
    <row r="150" spans="2:24" ht="30.000000" customHeight="1">
      <c r="B150" s="243" t="s">
        <v>1</v>
      </c>
      <c r="C150" s="244"/>
      <c r="D150" s="244"/>
      <c r="E150" s="244"/>
      <c r="F150" s="244"/>
      <c r="G150" s="244"/>
      <c r="H150" s="244"/>
      <c r="I150" s="46" t="s">
        <v>88</v>
      </c>
      <c r="J150" s="46"/>
      <c r="K150" s="46"/>
      <c r="L150" s="46"/>
      <c r="M150" s="245" t="s">
        <v>12</v>
      </c>
      <c r="N150" s="245"/>
      <c r="O150" s="47"/>
      <c r="P150" s="46">
        <f>대가산출!F17</f>
        <v>10</v>
      </c>
      <c r="Q150" s="47"/>
      <c r="R150" s="246">
        <f>ROUND(R141*P150%,0)</f>
        <v>132815</v>
      </c>
      <c r="S150" s="246"/>
      <c r="T150" s="246"/>
      <c r="U150" s="247"/>
    </row>
    <row r="151" spans="2:24" ht="30.000000" customHeight="1">
      <c r="B151" s="236" t="s">
        <v>2</v>
      </c>
      <c r="C151" s="237"/>
      <c r="D151" s="237"/>
      <c r="E151" s="237"/>
      <c r="F151" s="237"/>
      <c r="G151" s="237"/>
      <c r="H151" s="237"/>
      <c r="I151" s="248" t="s">
        <v>89</v>
      </c>
      <c r="J151" s="248"/>
      <c r="K151" s="248"/>
      <c r="L151" s="248"/>
      <c r="M151" s="249" t="s">
        <v>12</v>
      </c>
      <c r="N151" s="249"/>
      <c r="O151" s="48"/>
      <c r="P151" s="49">
        <f>대가산출!F18</f>
        <v>10</v>
      </c>
      <c r="Q151" s="48"/>
      <c r="R151" s="240">
        <f>ROUND((R141+R150)*P151%,0)</f>
        <v>146096</v>
      </c>
      <c r="S151" s="240"/>
      <c r="T151" s="240"/>
      <c r="U151" s="241"/>
    </row>
    <row r="152" spans="2:24" ht="30.000000" customHeight="1">
      <c r="B152" s="243" t="s">
        <v>3</v>
      </c>
      <c r="C152" s="244"/>
      <c r="D152" s="244"/>
      <c r="E152" s="244"/>
      <c r="F152" s="244"/>
      <c r="G152" s="244"/>
      <c r="H152" s="244"/>
      <c r="I152" s="6"/>
      <c r="J152" s="6"/>
      <c r="K152" s="6"/>
      <c r="L152" s="6"/>
      <c r="M152" s="50"/>
      <c r="N152" s="2"/>
      <c r="O152" s="6"/>
      <c r="P152" s="2"/>
      <c r="Q152" s="2"/>
      <c r="R152" s="250">
        <f>INT(R158+R157+R156+R155+R154)</f>
        <v>231041</v>
      </c>
      <c r="S152" s="250"/>
      <c r="T152" s="250"/>
      <c r="U152" s="251"/>
    </row>
    <row r="153" spans="2:24" ht="30.000000" customHeight="1">
      <c r="B153" s="51" t="s">
        <v>6</v>
      </c>
      <c r="C153" s="2"/>
      <c r="I153" s="50"/>
      <c r="J153" s="2"/>
      <c r="K153" s="52"/>
      <c r="L153" s="6"/>
      <c r="M153" s="50"/>
      <c r="N153" s="2"/>
      <c r="O153" s="6"/>
      <c r="P153" s="2"/>
      <c r="Q153" s="2"/>
      <c r="R153" s="234">
        <f>INT(M153*O153)</f>
        <v>0</v>
      </c>
      <c r="S153" s="234"/>
      <c r="T153" s="234"/>
      <c r="U153" s="235"/>
    </row>
    <row r="154" spans="2:24" ht="30.000000" customHeight="1">
      <c r="B154" s="51" t="s">
        <v>7</v>
      </c>
      <c r="C154" s="2"/>
      <c r="I154" s="242">
        <v>20000</v>
      </c>
      <c r="J154" s="242"/>
      <c r="K154" s="242"/>
      <c r="L154" s="242"/>
      <c r="M154" s="6" t="s">
        <v>0</v>
      </c>
      <c r="N154" s="6"/>
      <c r="O154" s="6" t="s">
        <v>86</v>
      </c>
      <c r="P154" s="53">
        <f>대가산출!E21*대가산출!F21</f>
        <v>2</v>
      </c>
      <c r="Q154" s="2"/>
      <c r="R154" s="234">
        <f>P154*I154</f>
        <v>40000</v>
      </c>
      <c r="S154" s="234"/>
      <c r="T154" s="234"/>
      <c r="U154" s="235"/>
    </row>
    <row r="155" spans="2:24" ht="30.000000" customHeight="1">
      <c r="B155" s="51" t="s">
        <v>8</v>
      </c>
      <c r="C155" s="2"/>
      <c r="I155" s="242">
        <v>20000</v>
      </c>
      <c r="J155" s="242"/>
      <c r="K155" s="242"/>
      <c r="L155" s="242"/>
      <c r="M155" s="6" t="s">
        <v>0</v>
      </c>
      <c r="N155" s="6"/>
      <c r="O155" s="6" t="s">
        <v>86</v>
      </c>
      <c r="P155" s="53">
        <f>대가산출!E22*대가산출!F22</f>
        <v>2</v>
      </c>
      <c r="Q155" s="2"/>
      <c r="R155" s="234">
        <f>P155*I155</f>
        <v>40000</v>
      </c>
      <c r="S155" s="234"/>
      <c r="T155" s="234"/>
      <c r="U155" s="235"/>
    </row>
    <row r="156" spans="2:24" ht="30.000000" customHeight="1">
      <c r="B156" s="51" t="s">
        <v>9</v>
      </c>
      <c r="C156" s="6"/>
      <c r="I156" s="6" t="s">
        <v>402</v>
      </c>
      <c r="J156" s="6"/>
      <c r="K156" s="6"/>
      <c r="L156" s="6"/>
      <c r="M156" s="6"/>
      <c r="N156" s="6"/>
      <c r="O156" s="6"/>
      <c r="P156" s="6"/>
      <c r="Q156" s="6"/>
      <c r="R156" s="234">
        <f>(R142+R143+R144+R145)*10%</f>
        <v>54634.3</v>
      </c>
      <c r="S156" s="234"/>
      <c r="T156" s="234"/>
      <c r="U156" s="235"/>
    </row>
    <row r="157" spans="2:24" ht="30.000000" customHeight="1">
      <c r="B157" s="51" t="s">
        <v>10</v>
      </c>
      <c r="C157" s="6"/>
      <c r="I157" s="6" t="s">
        <v>403</v>
      </c>
      <c r="J157" s="6"/>
      <c r="K157" s="6"/>
      <c r="L157" s="6"/>
      <c r="M157" s="6"/>
      <c r="N157" s="6"/>
      <c r="O157" s="6"/>
      <c r="P157" s="6"/>
      <c r="Q157" s="6"/>
      <c r="R157" s="232">
        <f>R141*5%</f>
        <v>66407.25</v>
      </c>
      <c r="S157" s="232"/>
      <c r="T157" s="232"/>
      <c r="U157" s="233"/>
    </row>
    <row r="158" spans="2:24" ht="30.000000" customHeight="1">
      <c r="B158" s="51" t="s">
        <v>11</v>
      </c>
      <c r="C158" s="6"/>
      <c r="I158" s="6"/>
      <c r="J158" s="6"/>
      <c r="K158" s="6"/>
      <c r="L158" s="6"/>
      <c r="M158" s="6"/>
      <c r="N158" s="6"/>
      <c r="O158" s="6"/>
      <c r="P158" s="6"/>
      <c r="Q158" s="6"/>
      <c r="R158" s="234">
        <f>대가산출!H25</f>
        <v>30000</v>
      </c>
      <c r="S158" s="234"/>
      <c r="T158" s="234"/>
      <c r="U158" s="235"/>
    </row>
    <row r="159" spans="2:24" ht="30.000000" customHeight="1">
      <c r="B159" s="236" t="s">
        <v>90</v>
      </c>
      <c r="C159" s="237"/>
      <c r="D159" s="237"/>
      <c r="E159" s="237"/>
      <c r="F159" s="237"/>
      <c r="G159" s="237"/>
      <c r="H159" s="237"/>
      <c r="I159" s="49" t="s">
        <v>401</v>
      </c>
      <c r="J159" s="49"/>
      <c r="K159" s="49"/>
      <c r="L159" s="49"/>
      <c r="M159" s="49"/>
      <c r="N159" s="49"/>
      <c r="O159" s="49"/>
      <c r="P159" s="49"/>
      <c r="Q159" s="49"/>
      <c r="R159" s="238">
        <v>0</v>
      </c>
      <c r="S159" s="238"/>
      <c r="T159" s="238"/>
      <c r="U159" s="239"/>
    </row>
    <row r="160" spans="2:24" ht="30.000000" customHeight="1">
      <c r="B160" s="236" t="s">
        <v>15</v>
      </c>
      <c r="C160" s="237"/>
      <c r="D160" s="237"/>
      <c r="E160" s="237"/>
      <c r="F160" s="237"/>
      <c r="G160" s="237"/>
      <c r="H160" s="237"/>
      <c r="I160" s="54"/>
      <c r="J160" s="48"/>
      <c r="K160" s="55"/>
      <c r="L160" s="49" t="s">
        <v>14</v>
      </c>
      <c r="M160" s="49"/>
      <c r="N160" s="49"/>
      <c r="O160" s="49"/>
      <c r="P160" s="48"/>
      <c r="Q160" s="48"/>
      <c r="R160" s="240">
        <f>R141+R150+R151+R152</f>
        <v>1838097</v>
      </c>
      <c r="S160" s="240"/>
      <c r="T160" s="240"/>
      <c r="U160" s="241"/>
      <c r="X160" s="136"/>
    </row>
    <row r="161" spans="2:21" ht="30.000000" customHeight="1">
      <c r="B161" s="223" t="s">
        <v>96</v>
      </c>
      <c r="C161" s="56"/>
      <c r="D161" s="56"/>
      <c r="E161" s="56"/>
      <c r="F161" s="56"/>
      <c r="G161" s="56"/>
      <c r="H161" s="56"/>
      <c r="I161" s="57"/>
      <c r="J161" s="58"/>
      <c r="K161" s="59"/>
      <c r="L161" s="56"/>
      <c r="M161" s="56"/>
      <c r="N161" s="56"/>
      <c r="O161" s="56"/>
      <c r="P161" s="58"/>
      <c r="Q161" s="58"/>
      <c r="R161" s="224">
        <f>대가산출!H28</f>
        <v>38097</v>
      </c>
      <c r="S161" s="224"/>
      <c r="T161" s="224"/>
      <c r="U161" s="225"/>
    </row>
    <row r="162" spans="2:21" ht="30.000000" customHeight="1">
      <c r="B162" s="223" t="s">
        <v>97</v>
      </c>
      <c r="C162" s="56"/>
      <c r="D162" s="56"/>
      <c r="E162" s="56"/>
      <c r="F162" s="56"/>
      <c r="G162" s="56"/>
      <c r="H162" s="56"/>
      <c r="I162" s="57"/>
      <c r="J162" s="58"/>
      <c r="K162" s="59"/>
      <c r="L162" s="56"/>
      <c r="M162" s="56"/>
      <c r="N162" s="56"/>
      <c r="O162" s="56"/>
      <c r="P162" s="58"/>
      <c r="Q162" s="58"/>
      <c r="R162" s="224">
        <f>R160-R161</f>
        <v>1800000</v>
      </c>
      <c r="S162" s="224"/>
      <c r="T162" s="224"/>
      <c r="U162" s="225"/>
    </row>
    <row r="163" spans="2:21" ht="30.000000" customHeight="1">
      <c r="B163" s="223" t="s">
        <v>98</v>
      </c>
      <c r="C163" s="56"/>
      <c r="D163" s="56"/>
      <c r="E163" s="56"/>
      <c r="F163" s="56"/>
      <c r="G163" s="56"/>
      <c r="H163" s="56"/>
      <c r="I163" s="57"/>
      <c r="J163" s="58"/>
      <c r="K163" s="59"/>
      <c r="L163" s="56"/>
      <c r="M163" s="56"/>
      <c r="N163" s="56"/>
      <c r="O163" s="56"/>
      <c r="P163" s="58"/>
      <c r="Q163" s="58"/>
      <c r="R163" s="226" t="s">
        <v>404</v>
      </c>
      <c r="S163" s="226"/>
      <c r="T163" s="226"/>
      <c r="U163" s="227"/>
    </row>
    <row r="164" spans="2:21" ht="30.000000" customHeight="1">
      <c r="B164" s="228" t="s">
        <v>91</v>
      </c>
      <c r="C164" s="229"/>
      <c r="D164" s="229"/>
      <c r="E164" s="229"/>
      <c r="F164" s="229"/>
      <c r="G164" s="229"/>
      <c r="H164" s="229"/>
      <c r="I164" s="60"/>
      <c r="J164" s="61"/>
      <c r="K164" s="62"/>
      <c r="L164" s="63"/>
      <c r="M164" s="63"/>
      <c r="N164" s="63"/>
      <c r="O164" s="63"/>
      <c r="P164" s="61"/>
      <c r="Q164" s="61"/>
      <c r="R164" s="230">
        <f>R162</f>
        <v>1800000</v>
      </c>
      <c r="S164" s="230"/>
      <c r="T164" s="230"/>
      <c r="U164" s="231"/>
    </row>
    <row r="165" ht="24.950000" customHeight="1"/>
    <row r="166" ht="24.950000" customHeight="1"/>
    <row r="167" ht="24.950000" customHeight="1"/>
    <row r="168" ht="24.950000" customHeight="1"/>
    <row r="169" ht="24.950000" customHeight="1"/>
    <row r="170" ht="24.950000" customHeight="1"/>
    <row r="171" ht="24.950000" customHeight="1"/>
    <row r="172" ht="24.950000" customHeight="1"/>
  </sheetData>
  <mergeCells count="214">
    <mergeCell ref="B7:U7"/>
    <mergeCell ref="B8:U8"/>
    <mergeCell ref="B9:U9"/>
    <mergeCell ref="B10:U10"/>
    <mergeCell ref="B16:U16"/>
    <mergeCell ref="B22:U22"/>
    <mergeCell ref="I23:S23"/>
    <mergeCell ref="I24:T24"/>
    <mergeCell ref="I25:T25"/>
    <mergeCell ref="B28:U28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  <mergeCell ref="B35:C43"/>
    <mergeCell ref="D35:F35"/>
    <mergeCell ref="G35:U35"/>
    <mergeCell ref="D36:F36"/>
    <mergeCell ref="G36:U36"/>
    <mergeCell ref="D37:F37"/>
    <mergeCell ref="G37:U37"/>
    <mergeCell ref="D38:F38"/>
    <mergeCell ref="G38:U38"/>
    <mergeCell ref="D39:F39"/>
    <mergeCell ref="G39:U39"/>
    <mergeCell ref="D40:F41"/>
    <mergeCell ref="G40:U40"/>
    <mergeCell ref="G41:H41"/>
    <mergeCell ref="I41:M41"/>
    <mergeCell ref="O41:P41"/>
    <mergeCell ref="Q41:U41"/>
    <mergeCell ref="D42:F42"/>
    <mergeCell ref="G42:U42"/>
    <mergeCell ref="D43:F43"/>
    <mergeCell ref="G43:U43"/>
    <mergeCell ref="B44:E44"/>
    <mergeCell ref="B45:U45"/>
    <mergeCell ref="B47:D47"/>
    <mergeCell ref="E47:U47"/>
    <mergeCell ref="E48:U48"/>
    <mergeCell ref="E49:U49"/>
    <mergeCell ref="B50:E50"/>
    <mergeCell ref="B51:D51"/>
    <mergeCell ref="E51:U51"/>
    <mergeCell ref="B52:K52"/>
    <mergeCell ref="L52:U52"/>
    <mergeCell ref="B53:D53"/>
    <mergeCell ref="E53:K53"/>
    <mergeCell ref="L53:N53"/>
    <mergeCell ref="O53:U53"/>
    <mergeCell ref="B54:D54"/>
    <mergeCell ref="E54:K54"/>
    <mergeCell ref="L54:N54"/>
    <mergeCell ref="O54:U54"/>
    <mergeCell ref="B55:D55"/>
    <mergeCell ref="E55:K55"/>
    <mergeCell ref="L55:N55"/>
    <mergeCell ref="O55:U55"/>
    <mergeCell ref="B56:U56"/>
    <mergeCell ref="B57:U57"/>
    <mergeCell ref="B59:U59"/>
    <mergeCell ref="B60:H60"/>
    <mergeCell ref="I60:O60"/>
    <mergeCell ref="P60:U60"/>
    <mergeCell ref="B61:U61"/>
    <mergeCell ref="B63:J63"/>
    <mergeCell ref="C64:U64"/>
    <mergeCell ref="B66:U66"/>
    <mergeCell ref="C67:U67"/>
    <mergeCell ref="C68:U68"/>
    <mergeCell ref="C69:U69"/>
    <mergeCell ref="C70:U70"/>
    <mergeCell ref="B72:J72"/>
    <mergeCell ref="C74:U74"/>
    <mergeCell ref="B76:J76"/>
    <mergeCell ref="C77:U77"/>
    <mergeCell ref="C78:U78"/>
    <mergeCell ref="C79:U79"/>
    <mergeCell ref="B81:J81"/>
    <mergeCell ref="C82:U82"/>
    <mergeCell ref="B84:J84"/>
    <mergeCell ref="C85:U85"/>
    <mergeCell ref="C86:U86"/>
    <mergeCell ref="C87:U87"/>
    <mergeCell ref="C88:U88"/>
    <mergeCell ref="B90:J90"/>
    <mergeCell ref="C91:U91"/>
    <mergeCell ref="C92:U92"/>
    <mergeCell ref="C93:U93"/>
    <mergeCell ref="B95:J95"/>
    <mergeCell ref="C96:U96"/>
    <mergeCell ref="C97:U97"/>
    <mergeCell ref="B99:J99"/>
    <mergeCell ref="C100:U100"/>
    <mergeCell ref="C101:U101"/>
    <mergeCell ref="C102:U102"/>
    <mergeCell ref="B104:J104"/>
    <mergeCell ref="C105:U105"/>
    <mergeCell ref="C108:U108"/>
    <mergeCell ref="C109:U109"/>
    <mergeCell ref="C110:U110"/>
    <mergeCell ref="C111:U111"/>
    <mergeCell ref="C112:U112"/>
    <mergeCell ref="C115:U115"/>
    <mergeCell ref="B117:J117"/>
    <mergeCell ref="C118:U118"/>
    <mergeCell ref="B120:I120"/>
    <mergeCell ref="B121:U121"/>
    <mergeCell ref="B122:E122"/>
    <mergeCell ref="F122:N122"/>
    <mergeCell ref="O122:U122"/>
    <mergeCell ref="B123:E125"/>
    <mergeCell ref="F123:N125"/>
    <mergeCell ref="O123:U125"/>
    <mergeCell ref="B126:E130"/>
    <mergeCell ref="F126:N130"/>
    <mergeCell ref="O126:U130"/>
    <mergeCell ref="B131:E132"/>
    <mergeCell ref="F131:N132"/>
    <mergeCell ref="O131:U132"/>
    <mergeCell ref="B133:E135"/>
    <mergeCell ref="F133:N133"/>
    <mergeCell ref="O133:U133"/>
    <mergeCell ref="B136:E136"/>
    <mergeCell ref="F136:N136"/>
    <mergeCell ref="O136:U136"/>
    <mergeCell ref="B137:E137"/>
    <mergeCell ref="F137:N137"/>
    <mergeCell ref="O137:U137"/>
    <mergeCell ref="B138:E138"/>
    <mergeCell ref="F138:N138"/>
    <mergeCell ref="O138:V138"/>
    <mergeCell ref="B139:U139"/>
    <mergeCell ref="B140:U140"/>
    <mergeCell ref="B141:H141"/>
    <mergeCell ref="I141:L141"/>
    <mergeCell ref="M141:N141"/>
    <mergeCell ref="R141:U141"/>
    <mergeCell ref="C142:E142"/>
    <mergeCell ref="F142:H142"/>
    <mergeCell ref="I142:L142"/>
    <mergeCell ref="M142:N142"/>
    <mergeCell ref="R142:U142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C146:E146"/>
    <mergeCell ref="F146:H146"/>
    <mergeCell ref="I146:L146"/>
    <mergeCell ref="M146:N146"/>
    <mergeCell ref="R146:U146"/>
    <mergeCell ref="F147:H147"/>
    <mergeCell ref="I147:L147"/>
    <mergeCell ref="M147:N147"/>
    <mergeCell ref="R147:U147"/>
    <mergeCell ref="F148:H148"/>
    <mergeCell ref="I148:L148"/>
    <mergeCell ref="M148:N148"/>
    <mergeCell ref="R148:U148"/>
    <mergeCell ref="F149:H149"/>
    <mergeCell ref="I149:L149"/>
    <mergeCell ref="M149:N149"/>
    <mergeCell ref="R149:U149"/>
    <mergeCell ref="B150:H150"/>
    <mergeCell ref="I150:L150"/>
    <mergeCell ref="M150:N150"/>
    <mergeCell ref="R150:U150"/>
    <mergeCell ref="B151:H151"/>
    <mergeCell ref="I151:L151"/>
    <mergeCell ref="M151:N151"/>
    <mergeCell ref="R151:U151"/>
    <mergeCell ref="B152:H152"/>
    <mergeCell ref="I152:K152"/>
    <mergeCell ref="R152:U152"/>
    <mergeCell ref="R153:U153"/>
    <mergeCell ref="I154:L154"/>
    <mergeCell ref="M154:N154"/>
    <mergeCell ref="R154:U154"/>
    <mergeCell ref="I155:L155"/>
    <mergeCell ref="M155:N155"/>
    <mergeCell ref="R155:U155"/>
    <mergeCell ref="I156:Q156"/>
    <mergeCell ref="R156:U156"/>
    <mergeCell ref="I157:Q157"/>
    <mergeCell ref="R157:U157"/>
    <mergeCell ref="I158:Q158"/>
    <mergeCell ref="R158:U158"/>
    <mergeCell ref="B159:H159"/>
    <mergeCell ref="I159:Q159"/>
    <mergeCell ref="R159:U159"/>
    <mergeCell ref="B160:H160"/>
    <mergeCell ref="R160:U160"/>
    <mergeCell ref="B161:H161"/>
    <mergeCell ref="R161:U161"/>
    <mergeCell ref="B162:H162"/>
    <mergeCell ref="R162:U162"/>
    <mergeCell ref="B163:H163"/>
    <mergeCell ref="R163:U163"/>
    <mergeCell ref="B164:H164"/>
    <mergeCell ref="R164:U164"/>
  </mergeCells>
  <phoneticPr fontId="1" type="noConversion"/>
  <printOptions horizontalCentered="1" verticalCentered="1"/>
  <pageMargins left="0.25" right="0.25" top="0.75" bottom="0.75" header="0.30" footer="0.30"/>
  <pageSetup paperSize="9" scale="90" fitToWidth="7" fitToHeight="7" orientation="portrait"/>
  <rowBreaks count="6" manualBreakCount="6">
    <brk id="27" min="1" max="20" man="1"/>
    <brk id="55" min="1" max="20" man="1"/>
    <brk id="83" min="1" max="20" man="1"/>
    <brk id="106" min="1" max="20" man="1"/>
    <brk id="119" min="1" max="20" man="1"/>
    <brk id="138" min="1" max="20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S47"/>
  <sheetViews>
    <sheetView view="pageBreakPreview" zoomScale="140" zoomScaleNormal="100" zoomScaleSheetLayoutView="140" workbookViewId="0">
      <selection activeCell="B3" sqref="B3:P3"/>
    </sheetView>
  </sheetViews>
  <sheetFormatPr defaultColWidth="8.83203125" defaultRowHeight="16.500000"/>
  <cols>
    <col min="1" max="1" style="138" width="12.33833334" customWidth="1" outlineLevel="0"/>
    <col min="2" max="16" style="138" width="4.33833334" customWidth="1" outlineLevel="0"/>
    <col min="17" max="16384" style="138" width="8.78277800" customWidth="1" outlineLevel="0"/>
  </cols>
  <sheetData>
    <row r="1" spans="1:16" ht="19.500000" customHeight="1">
      <c r="A1" s="492" t="s">
        <v>246</v>
      </c>
      <c r="B1" s="493"/>
      <c r="C1" s="493"/>
      <c r="D1" s="493"/>
      <c r="E1" s="493"/>
      <c r="F1" s="493"/>
      <c r="G1" s="493"/>
      <c r="H1" s="493"/>
      <c r="I1" s="493"/>
      <c r="J1" s="493"/>
      <c r="K1" s="493"/>
      <c r="L1" s="493"/>
      <c r="M1" s="493"/>
      <c r="N1" s="493"/>
      <c r="O1" s="493"/>
      <c r="P1" s="494"/>
    </row>
    <row r="2" spans="1:16">
      <c r="A2" s="172" t="s">
        <v>245</v>
      </c>
      <c r="B2" s="495" t="str">
        <f>갑지!L21</f>
        <v>효성뉴서울5차아파트</v>
      </c>
      <c r="C2" s="496"/>
      <c r="D2" s="496"/>
      <c r="E2" s="496"/>
      <c r="F2" s="496"/>
      <c r="G2" s="496"/>
      <c r="H2" s="497"/>
      <c r="I2" s="498" t="s">
        <v>244</v>
      </c>
      <c r="J2" s="499"/>
      <c r="K2" s="500"/>
      <c r="L2" s="501" t="s">
        <v>243</v>
      </c>
      <c r="M2" s="502"/>
      <c r="N2" s="502"/>
      <c r="O2" s="502"/>
      <c r="P2" s="503"/>
    </row>
    <row r="3" spans="1:16" ht="16.500000" customHeight="1">
      <c r="A3" s="154" t="s">
        <v>242</v>
      </c>
      <c r="B3" s="495" t="str">
        <f>갑지!L22</f>
        <v>인천 계양구 아나지로 199 (효성동)</v>
      </c>
      <c r="C3" s="496"/>
      <c r="D3" s="496"/>
      <c r="E3" s="496"/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504"/>
    </row>
    <row r="4" spans="1:16" ht="16.500000" customHeight="1">
      <c r="A4" s="154" t="s">
        <v>241</v>
      </c>
      <c r="B4" s="220" t="s">
        <v>240</v>
      </c>
      <c r="C4" s="460"/>
      <c r="D4" s="220"/>
      <c r="E4" s="460"/>
      <c r="F4" s="220" t="s">
        <v>239</v>
      </c>
      <c r="G4" s="458"/>
      <c r="H4" s="458"/>
      <c r="I4" s="460"/>
      <c r="J4" s="220"/>
      <c r="K4" s="460"/>
      <c r="L4" s="220" t="s">
        <v>208</v>
      </c>
      <c r="M4" s="458"/>
      <c r="N4" s="460"/>
      <c r="O4" s="220"/>
      <c r="P4" s="156"/>
    </row>
    <row r="5" spans="1:16" ht="16.500000" customHeight="1">
      <c r="A5" s="417" t="s">
        <v>238</v>
      </c>
      <c r="B5" s="464" t="s">
        <v>237</v>
      </c>
      <c r="C5" s="465"/>
      <c r="D5" s="464"/>
      <c r="E5" s="465"/>
      <c r="F5" s="464" t="s">
        <v>224</v>
      </c>
      <c r="G5" s="479"/>
      <c r="H5" s="479"/>
      <c r="I5" s="465"/>
      <c r="J5" s="464"/>
      <c r="K5" s="465"/>
      <c r="L5" s="464" t="s">
        <v>223</v>
      </c>
      <c r="M5" s="479"/>
      <c r="N5" s="465"/>
      <c r="O5" s="464"/>
      <c r="P5" s="484"/>
    </row>
    <row r="6" spans="1:16" ht="23.250000" customHeight="1">
      <c r="A6" s="417"/>
      <c r="B6" s="486" t="s">
        <v>236</v>
      </c>
      <c r="C6" s="487"/>
      <c r="D6" s="481"/>
      <c r="E6" s="459"/>
      <c r="F6" s="486" t="s">
        <v>235</v>
      </c>
      <c r="G6" s="488"/>
      <c r="H6" s="488"/>
      <c r="I6" s="487"/>
      <c r="J6" s="481"/>
      <c r="K6" s="459"/>
      <c r="L6" s="489" t="s">
        <v>234</v>
      </c>
      <c r="M6" s="490"/>
      <c r="N6" s="491"/>
      <c r="O6" s="481"/>
      <c r="P6" s="485"/>
    </row>
    <row r="7" spans="1:16" ht="16.500000" customHeight="1">
      <c r="A7" s="171"/>
      <c r="B7" s="220" t="s">
        <v>233</v>
      </c>
      <c r="C7" s="460"/>
      <c r="D7" s="220"/>
      <c r="E7" s="460"/>
      <c r="F7" s="220" t="s">
        <v>232</v>
      </c>
      <c r="G7" s="458"/>
      <c r="H7" s="458"/>
      <c r="I7" s="460"/>
      <c r="J7" s="220"/>
      <c r="K7" s="460"/>
      <c r="L7" s="220" t="s">
        <v>231</v>
      </c>
      <c r="M7" s="458"/>
      <c r="N7" s="460"/>
      <c r="O7" s="220"/>
      <c r="P7" s="156"/>
    </row>
    <row r="8" spans="1:16" ht="16.500000" customHeight="1">
      <c r="A8" s="170"/>
      <c r="B8" s="464" t="s">
        <v>230</v>
      </c>
      <c r="C8" s="465"/>
      <c r="D8" s="464"/>
      <c r="E8" s="465"/>
      <c r="F8" s="220" t="s">
        <v>229</v>
      </c>
      <c r="G8" s="458"/>
      <c r="H8" s="458"/>
      <c r="I8" s="460"/>
      <c r="J8" s="220"/>
      <c r="K8" s="460"/>
      <c r="L8" s="477" t="s">
        <v>228</v>
      </c>
      <c r="M8" s="483"/>
      <c r="N8" s="478"/>
      <c r="O8" s="220"/>
      <c r="P8" s="156"/>
    </row>
    <row r="9" spans="1:16" ht="16.500000" customHeight="1">
      <c r="A9" s="169" t="s">
        <v>227</v>
      </c>
      <c r="B9" s="464" t="s">
        <v>222</v>
      </c>
      <c r="C9" s="479"/>
      <c r="D9" s="479"/>
      <c r="E9" s="465"/>
      <c r="F9" s="166"/>
      <c r="G9" s="166"/>
      <c r="H9" s="166"/>
      <c r="I9" s="166"/>
      <c r="J9" s="166"/>
      <c r="K9" s="166"/>
      <c r="L9" s="166"/>
      <c r="M9" s="166"/>
      <c r="N9" s="166"/>
      <c r="O9" s="166"/>
      <c r="P9" s="165"/>
    </row>
    <row r="10" spans="1:16" ht="16.500000" customHeight="1">
      <c r="A10" s="168" t="s">
        <v>226</v>
      </c>
      <c r="B10" s="466" t="s">
        <v>221</v>
      </c>
      <c r="C10" s="468"/>
      <c r="D10" s="468"/>
      <c r="E10" s="467"/>
      <c r="F10" s="164"/>
      <c r="G10" s="164"/>
      <c r="H10" s="164"/>
      <c r="I10" s="164"/>
      <c r="J10" s="164"/>
      <c r="K10" s="164"/>
      <c r="L10" s="164"/>
      <c r="M10" s="164"/>
      <c r="N10" s="164"/>
      <c r="O10" s="164"/>
      <c r="P10" s="163"/>
    </row>
    <row r="11" spans="1:16" ht="16.500000" customHeight="1">
      <c r="A11" s="167" t="s">
        <v>225</v>
      </c>
      <c r="B11" s="481" t="s">
        <v>220</v>
      </c>
      <c r="C11" s="482"/>
      <c r="D11" s="482"/>
      <c r="E11" s="459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1"/>
    </row>
    <row r="12" spans="1:16" ht="16.500000" customHeight="1">
      <c r="A12" s="169" t="s">
        <v>224</v>
      </c>
      <c r="B12" s="464" t="s">
        <v>222</v>
      </c>
      <c r="C12" s="479"/>
      <c r="D12" s="479"/>
      <c r="E12" s="465"/>
      <c r="F12" s="166"/>
      <c r="G12" s="166"/>
      <c r="H12" s="166"/>
      <c r="I12" s="166"/>
      <c r="J12" s="166"/>
      <c r="K12" s="166"/>
      <c r="L12" s="166"/>
      <c r="M12" s="166"/>
      <c r="N12" s="166"/>
      <c r="O12" s="166"/>
      <c r="P12" s="165"/>
    </row>
    <row r="13" spans="1:16" ht="16.500000" customHeight="1">
      <c r="A13" s="168"/>
      <c r="B13" s="466" t="s">
        <v>221</v>
      </c>
      <c r="C13" s="468"/>
      <c r="D13" s="468"/>
      <c r="E13" s="467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3"/>
    </row>
    <row r="14" spans="1:16" ht="16.500000" customHeight="1">
      <c r="A14" s="167"/>
      <c r="B14" s="481" t="s">
        <v>220</v>
      </c>
      <c r="C14" s="482"/>
      <c r="D14" s="482"/>
      <c r="E14" s="459"/>
      <c r="F14" s="162"/>
      <c r="G14" s="162"/>
      <c r="H14" s="162"/>
      <c r="I14" s="162"/>
      <c r="J14" s="162"/>
      <c r="K14" s="162"/>
      <c r="L14" s="162"/>
      <c r="M14" s="162"/>
      <c r="N14" s="162"/>
      <c r="O14" s="162"/>
      <c r="P14" s="161"/>
    </row>
    <row r="15" spans="1:16" ht="16.500000" customHeight="1">
      <c r="A15" s="169" t="s">
        <v>223</v>
      </c>
      <c r="B15" s="464" t="s">
        <v>222</v>
      </c>
      <c r="C15" s="479"/>
      <c r="D15" s="479"/>
      <c r="E15" s="465"/>
      <c r="F15" s="166"/>
      <c r="G15" s="166"/>
      <c r="H15" s="166"/>
      <c r="I15" s="166"/>
      <c r="J15" s="166"/>
      <c r="K15" s="166"/>
      <c r="L15" s="166"/>
      <c r="M15" s="166"/>
      <c r="N15" s="166"/>
      <c r="O15" s="166"/>
      <c r="P15" s="165"/>
    </row>
    <row r="16" spans="1:16" ht="16.500000" customHeight="1">
      <c r="A16" s="168"/>
      <c r="B16" s="466" t="s">
        <v>221</v>
      </c>
      <c r="C16" s="468"/>
      <c r="D16" s="468"/>
      <c r="E16" s="467"/>
      <c r="F16" s="164"/>
      <c r="G16" s="164"/>
      <c r="H16" s="164"/>
      <c r="I16" s="164"/>
      <c r="J16" s="164"/>
      <c r="K16" s="164"/>
      <c r="L16" s="164"/>
      <c r="M16" s="164"/>
      <c r="N16" s="164"/>
      <c r="O16" s="164"/>
      <c r="P16" s="163"/>
    </row>
    <row r="17" spans="1:19" ht="16.500000" customHeight="1">
      <c r="A17" s="167"/>
      <c r="B17" s="481" t="s">
        <v>220</v>
      </c>
      <c r="C17" s="482"/>
      <c r="D17" s="482"/>
      <c r="E17" s="459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1"/>
    </row>
    <row r="18" spans="1:19" ht="16.500000" customHeight="1">
      <c r="A18" s="154" t="s">
        <v>219</v>
      </c>
      <c r="B18" s="477" t="s">
        <v>218</v>
      </c>
      <c r="C18" s="478"/>
      <c r="E18" s="466" t="s">
        <v>217</v>
      </c>
      <c r="F18" s="467"/>
      <c r="H18" s="464" t="s">
        <v>216</v>
      </c>
      <c r="I18" s="479"/>
      <c r="J18" s="160"/>
      <c r="K18" s="464" t="s">
        <v>215</v>
      </c>
      <c r="L18" s="465"/>
      <c r="M18" s="159"/>
      <c r="N18" s="464" t="s">
        <v>214</v>
      </c>
      <c r="O18" s="465"/>
      <c r="P18" s="158"/>
    </row>
    <row r="19" spans="1:19" ht="16.500000" customHeight="1">
      <c r="A19" s="476"/>
      <c r="B19" s="220" t="s">
        <v>213</v>
      </c>
      <c r="C19" s="458"/>
      <c r="D19" s="157"/>
      <c r="E19" s="146" t="s">
        <v>212</v>
      </c>
      <c r="F19" s="146"/>
      <c r="G19" s="157"/>
      <c r="H19" s="146" t="s">
        <v>211</v>
      </c>
      <c r="I19" s="146"/>
      <c r="J19" s="145"/>
      <c r="K19" s="146" t="s">
        <v>210</v>
      </c>
      <c r="L19" s="146"/>
      <c r="M19" s="146"/>
      <c r="N19" s="480" t="s">
        <v>209</v>
      </c>
      <c r="O19" s="480"/>
      <c r="P19" s="156"/>
      <c r="S19" s="155"/>
    </row>
    <row r="20" spans="1:19" ht="16.500000" customHeight="1">
      <c r="A20" s="154" t="s">
        <v>208</v>
      </c>
      <c r="B20" s="464" t="s">
        <v>207</v>
      </c>
      <c r="C20" s="465"/>
      <c r="E20" s="466" t="s">
        <v>206</v>
      </c>
      <c r="F20" s="467"/>
      <c r="H20" s="466" t="s">
        <v>205</v>
      </c>
      <c r="I20" s="468"/>
      <c r="J20" s="153"/>
      <c r="K20" s="468" t="s">
        <v>204</v>
      </c>
      <c r="L20" s="467"/>
      <c r="M20" s="152"/>
      <c r="N20" s="466" t="s">
        <v>203</v>
      </c>
      <c r="O20" s="467"/>
      <c r="P20" s="151"/>
    </row>
    <row r="21" spans="1:19" ht="14.250000" customHeight="1">
      <c r="A21" s="172" t="s">
        <v>202</v>
      </c>
      <c r="B21" s="469"/>
      <c r="C21" s="469"/>
      <c r="D21" s="470"/>
      <c r="E21" s="470"/>
      <c r="F21" s="470"/>
      <c r="G21" s="470"/>
      <c r="H21" s="471" t="s">
        <v>201</v>
      </c>
      <c r="I21" s="471"/>
      <c r="J21" s="471"/>
      <c r="K21" s="472" t="s">
        <v>200</v>
      </c>
      <c r="L21" s="473"/>
      <c r="M21" s="474"/>
      <c r="N21" s="472" t="s">
        <v>199</v>
      </c>
      <c r="O21" s="473"/>
      <c r="P21" s="475"/>
    </row>
    <row r="22" spans="1:19" ht="18.000000" customHeight="1">
      <c r="A22" s="172"/>
      <c r="B22" s="469"/>
      <c r="C22" s="469"/>
      <c r="D22" s="470"/>
      <c r="E22" s="470"/>
      <c r="F22" s="470"/>
      <c r="G22" s="470"/>
      <c r="H22" s="471"/>
      <c r="I22" s="471"/>
      <c r="J22" s="471"/>
      <c r="K22" s="220" t="s">
        <v>198</v>
      </c>
      <c r="L22" s="458"/>
      <c r="M22" s="460"/>
      <c r="N22" s="220"/>
      <c r="O22" s="458"/>
      <c r="P22" s="156"/>
    </row>
    <row r="23" spans="1:19" ht="16.500000" customHeight="1">
      <c r="A23" s="150" t="s">
        <v>197</v>
      </c>
      <c r="B23" s="442"/>
      <c r="C23" s="443"/>
      <c r="D23" s="443"/>
      <c r="E23" s="443"/>
      <c r="F23" s="443"/>
      <c r="G23" s="443"/>
      <c r="H23" s="443"/>
      <c r="I23" s="443"/>
      <c r="J23" s="443"/>
      <c r="K23" s="443"/>
      <c r="L23" s="443"/>
      <c r="M23" s="443"/>
      <c r="N23" s="443"/>
      <c r="O23" s="443"/>
      <c r="P23" s="444"/>
    </row>
    <row r="24" ht="16.500000" customHeight="1"/>
    <row r="25" spans="1:19" ht="16.500000" customHeight="1">
      <c r="A25" s="208" t="s">
        <v>196</v>
      </c>
      <c r="B25" s="445" t="s">
        <v>195</v>
      </c>
      <c r="C25" s="446"/>
      <c r="D25" s="446"/>
      <c r="E25" s="446"/>
      <c r="F25" s="446"/>
      <c r="G25" s="446"/>
      <c r="H25" s="446"/>
      <c r="I25" s="446"/>
      <c r="J25" s="446"/>
      <c r="K25" s="446"/>
      <c r="L25" s="446"/>
      <c r="M25" s="446"/>
      <c r="N25" s="446"/>
      <c r="O25" s="446"/>
      <c r="P25" s="447"/>
    </row>
    <row r="26" spans="1:19" ht="16.500000" customHeight="1">
      <c r="A26" s="149" t="s">
        <v>194</v>
      </c>
      <c r="B26" s="448" t="s">
        <v>193</v>
      </c>
      <c r="C26" s="449"/>
      <c r="D26" s="449"/>
      <c r="E26" s="449"/>
      <c r="F26" s="449"/>
      <c r="G26" s="449"/>
      <c r="H26" s="449"/>
      <c r="I26" s="448" t="s">
        <v>192</v>
      </c>
      <c r="J26" s="449"/>
      <c r="K26" s="449"/>
      <c r="L26" s="449"/>
      <c r="M26" s="449"/>
      <c r="N26" s="449"/>
      <c r="O26" s="450"/>
      <c r="P26" s="451"/>
    </row>
    <row r="27" spans="1:19" ht="16.500000" customHeight="1">
      <c r="A27" s="452" t="s">
        <v>191</v>
      </c>
      <c r="B27" s="147" t="s">
        <v>190</v>
      </c>
      <c r="C27" s="148" t="s">
        <v>189</v>
      </c>
      <c r="D27" s="148" t="s">
        <v>188</v>
      </c>
      <c r="E27" s="148" t="s">
        <v>187</v>
      </c>
      <c r="F27" s="148" t="s">
        <v>186</v>
      </c>
      <c r="G27" s="148" t="s">
        <v>185</v>
      </c>
      <c r="H27" s="147" t="s">
        <v>184</v>
      </c>
      <c r="I27" s="146" t="s">
        <v>190</v>
      </c>
      <c r="J27" s="146" t="s">
        <v>189</v>
      </c>
      <c r="K27" s="220" t="s">
        <v>188</v>
      </c>
      <c r="L27" s="220" t="s">
        <v>187</v>
      </c>
      <c r="M27" s="146" t="s">
        <v>186</v>
      </c>
      <c r="N27" s="220" t="s">
        <v>185</v>
      </c>
      <c r="O27" s="146" t="s">
        <v>184</v>
      </c>
      <c r="P27" s="144"/>
    </row>
    <row r="28" spans="1:19" ht="16.500000" customHeight="1">
      <c r="A28" s="453"/>
      <c r="B28" s="455" t="s">
        <v>183</v>
      </c>
      <c r="C28" s="456"/>
      <c r="D28" s="456"/>
      <c r="E28" s="456"/>
      <c r="F28" s="456"/>
      <c r="G28" s="456"/>
      <c r="H28" s="457"/>
      <c r="I28" s="220" t="s">
        <v>183</v>
      </c>
      <c r="J28" s="458"/>
      <c r="K28" s="458"/>
      <c r="L28" s="458"/>
      <c r="M28" s="458"/>
      <c r="N28" s="458"/>
      <c r="O28" s="459"/>
      <c r="P28" s="143"/>
    </row>
    <row r="29" spans="1:19" ht="16.500000" customHeight="1">
      <c r="A29" s="453"/>
      <c r="B29" s="455" t="s">
        <v>182</v>
      </c>
      <c r="C29" s="456"/>
      <c r="D29" s="456"/>
      <c r="E29" s="456"/>
      <c r="F29" s="456"/>
      <c r="G29" s="456"/>
      <c r="H29" s="457"/>
      <c r="I29" s="220" t="s">
        <v>182</v>
      </c>
      <c r="J29" s="458"/>
      <c r="K29" s="458"/>
      <c r="L29" s="458"/>
      <c r="M29" s="458"/>
      <c r="N29" s="458"/>
      <c r="O29" s="460"/>
      <c r="P29" s="143"/>
    </row>
    <row r="30" spans="1:19" ht="16.500000" customHeight="1">
      <c r="A30" s="453"/>
      <c r="B30" s="455" t="s">
        <v>181</v>
      </c>
      <c r="C30" s="456"/>
      <c r="D30" s="456"/>
      <c r="E30" s="456"/>
      <c r="F30" s="456"/>
      <c r="G30" s="456"/>
      <c r="H30" s="457"/>
      <c r="I30" s="220" t="s">
        <v>181</v>
      </c>
      <c r="J30" s="458"/>
      <c r="K30" s="458"/>
      <c r="L30" s="458"/>
      <c r="M30" s="458"/>
      <c r="N30" s="458"/>
      <c r="O30" s="460"/>
      <c r="P30" s="143"/>
    </row>
    <row r="31" spans="1:19" ht="16.500000" customHeight="1">
      <c r="A31" s="453"/>
      <c r="B31" s="220" t="s">
        <v>180</v>
      </c>
      <c r="C31" s="458"/>
      <c r="D31" s="458"/>
      <c r="E31" s="458"/>
      <c r="F31" s="458"/>
      <c r="G31" s="458"/>
      <c r="H31" s="460"/>
      <c r="I31" s="220" t="s">
        <v>180</v>
      </c>
      <c r="J31" s="458"/>
      <c r="K31" s="458"/>
      <c r="L31" s="458"/>
      <c r="M31" s="458"/>
      <c r="N31" s="458"/>
      <c r="O31" s="460"/>
      <c r="P31" s="143"/>
    </row>
    <row r="32" spans="1:19" ht="16.500000" customHeight="1">
      <c r="A32" s="453"/>
      <c r="B32" s="220" t="s">
        <v>179</v>
      </c>
      <c r="C32" s="458"/>
      <c r="D32" s="458"/>
      <c r="E32" s="458"/>
      <c r="F32" s="458"/>
      <c r="G32" s="458"/>
      <c r="H32" s="460"/>
      <c r="I32" s="220" t="s">
        <v>179</v>
      </c>
      <c r="J32" s="458"/>
      <c r="K32" s="458"/>
      <c r="L32" s="458"/>
      <c r="M32" s="458"/>
      <c r="N32" s="458"/>
      <c r="O32" s="460"/>
      <c r="P32" s="143"/>
    </row>
    <row r="33" spans="1:16" ht="16.500000" customHeight="1">
      <c r="A33" s="453"/>
      <c r="B33" s="220" t="s">
        <v>178</v>
      </c>
      <c r="C33" s="458"/>
      <c r="D33" s="458"/>
      <c r="E33" s="458"/>
      <c r="F33" s="458"/>
      <c r="G33" s="458"/>
      <c r="H33" s="460"/>
      <c r="I33" s="220" t="s">
        <v>178</v>
      </c>
      <c r="J33" s="458"/>
      <c r="K33" s="458"/>
      <c r="L33" s="458"/>
      <c r="M33" s="458"/>
      <c r="N33" s="458"/>
      <c r="O33" s="460"/>
      <c r="P33" s="143"/>
    </row>
    <row r="34" spans="1:16" ht="16.500000" customHeight="1">
      <c r="A34" s="454"/>
      <c r="B34" s="461" t="s">
        <v>177</v>
      </c>
      <c r="C34" s="462"/>
      <c r="D34" s="462"/>
      <c r="E34" s="462"/>
      <c r="F34" s="462"/>
      <c r="G34" s="462"/>
      <c r="H34" s="463"/>
      <c r="I34" s="461" t="s">
        <v>177</v>
      </c>
      <c r="J34" s="462"/>
      <c r="K34" s="462"/>
      <c r="L34" s="462"/>
      <c r="M34" s="462"/>
      <c r="N34" s="462"/>
      <c r="O34" s="463"/>
      <c r="P34" s="142"/>
    </row>
    <row r="35" ht="16.500000" customHeight="1"/>
    <row r="36" spans="1:16" ht="16.500000" customHeight="1">
      <c r="A36" s="424" t="s">
        <v>176</v>
      </c>
      <c r="B36" s="425"/>
      <c r="C36" s="425"/>
      <c r="D36" s="425"/>
      <c r="E36" s="425"/>
      <c r="F36" s="425"/>
      <c r="G36" s="425"/>
      <c r="H36" s="425"/>
      <c r="I36" s="425"/>
      <c r="J36" s="425"/>
      <c r="K36" s="425"/>
      <c r="L36" s="425"/>
      <c r="M36" s="425"/>
      <c r="N36" s="425"/>
      <c r="O36" s="425"/>
      <c r="P36" s="426"/>
    </row>
    <row r="37" spans="1:16" ht="16.500000" customHeight="1">
      <c r="A37" s="427" t="s">
        <v>175</v>
      </c>
      <c r="B37" s="428"/>
      <c r="C37" s="429"/>
      <c r="D37" s="430" t="s">
        <v>174</v>
      </c>
      <c r="E37" s="428"/>
      <c r="F37" s="429"/>
      <c r="G37" s="431" t="s">
        <v>173</v>
      </c>
      <c r="H37" s="432"/>
      <c r="I37" s="432"/>
      <c r="J37" s="433"/>
      <c r="K37" s="430" t="s">
        <v>172</v>
      </c>
      <c r="L37" s="428"/>
      <c r="M37" s="429"/>
      <c r="N37" s="430" t="s">
        <v>171</v>
      </c>
      <c r="O37" s="428"/>
      <c r="P37" s="434"/>
    </row>
    <row r="38" ht="16.500000" customHeight="1"/>
    <row r="39" spans="1:16" ht="16.500000" customHeight="1">
      <c r="A39" s="435" t="s">
        <v>170</v>
      </c>
      <c r="B39" s="436"/>
      <c r="C39" s="436"/>
      <c r="D39" s="436"/>
      <c r="E39" s="436"/>
      <c r="F39" s="436"/>
      <c r="G39" s="436"/>
      <c r="H39" s="436"/>
      <c r="I39" s="436"/>
      <c r="J39" s="436"/>
      <c r="K39" s="436"/>
      <c r="L39" s="436"/>
      <c r="M39" s="436"/>
      <c r="N39" s="436"/>
      <c r="O39" s="436"/>
      <c r="P39" s="437"/>
    </row>
    <row r="40" spans="1:16" ht="16.500000" customHeight="1">
      <c r="A40" s="438" t="s">
        <v>169</v>
      </c>
      <c r="B40" s="439"/>
      <c r="C40" s="439"/>
      <c r="D40" s="439"/>
      <c r="E40" s="439"/>
      <c r="F40" s="439"/>
      <c r="G40" s="440"/>
      <c r="H40" s="440"/>
      <c r="I40" s="440"/>
      <c r="J40" s="440"/>
      <c r="K40" s="440"/>
      <c r="L40" s="440"/>
      <c r="M40" s="440"/>
      <c r="N40" s="440"/>
      <c r="O40" s="440"/>
      <c r="P40" s="441"/>
    </row>
    <row r="41" spans="1:16" ht="16.500000" customHeight="1">
      <c r="A41" s="418" t="s">
        <v>168</v>
      </c>
      <c r="B41" s="419"/>
      <c r="C41" s="419"/>
      <c r="D41" s="419"/>
      <c r="E41" s="419"/>
      <c r="F41" s="419"/>
      <c r="G41" s="146"/>
      <c r="H41" s="146"/>
      <c r="I41" s="146"/>
      <c r="J41" s="146"/>
      <c r="K41" s="146"/>
      <c r="L41" s="146"/>
      <c r="M41" s="146"/>
      <c r="N41" s="146"/>
      <c r="O41" s="146"/>
      <c r="P41" s="158"/>
    </row>
    <row r="42" spans="1:16" ht="16.500000" customHeight="1">
      <c r="A42" s="418" t="s">
        <v>167</v>
      </c>
      <c r="B42" s="419"/>
      <c r="C42" s="419"/>
      <c r="D42" s="419" t="s">
        <v>166</v>
      </c>
      <c r="E42" s="419"/>
      <c r="F42" s="419"/>
      <c r="G42" s="146"/>
      <c r="H42" s="146"/>
      <c r="I42" s="146"/>
      <c r="J42" s="146"/>
      <c r="K42" s="146"/>
      <c r="L42" s="146"/>
      <c r="M42" s="146"/>
      <c r="N42" s="146"/>
      <c r="O42" s="146"/>
      <c r="P42" s="158"/>
    </row>
    <row r="43" spans="1:16" ht="16.500000" customHeight="1">
      <c r="A43" s="418" t="s">
        <v>165</v>
      </c>
      <c r="B43" s="419"/>
      <c r="C43" s="419"/>
      <c r="D43" s="419" t="s">
        <v>164</v>
      </c>
      <c r="E43" s="419"/>
      <c r="F43" s="419"/>
      <c r="G43" s="146"/>
      <c r="H43" s="146"/>
      <c r="I43" s="146"/>
      <c r="J43" s="146"/>
      <c r="K43" s="146"/>
      <c r="L43" s="146"/>
      <c r="M43" s="146"/>
      <c r="N43" s="146"/>
      <c r="O43" s="146"/>
      <c r="P43" s="158"/>
    </row>
    <row r="44" spans="1:16" ht="16.500000" customHeight="1">
      <c r="A44" s="418"/>
      <c r="B44" s="419"/>
      <c r="C44" s="419"/>
      <c r="D44" s="419" t="s">
        <v>163</v>
      </c>
      <c r="E44" s="419"/>
      <c r="F44" s="419"/>
      <c r="G44" s="146"/>
      <c r="H44" s="146"/>
      <c r="I44" s="146"/>
      <c r="J44" s="146"/>
      <c r="K44" s="146"/>
      <c r="L44" s="146"/>
      <c r="M44" s="146"/>
      <c r="N44" s="146"/>
      <c r="O44" s="146"/>
      <c r="P44" s="158"/>
    </row>
    <row r="45" spans="1:16" ht="16.500000" customHeight="1">
      <c r="A45" s="418" t="s">
        <v>162</v>
      </c>
      <c r="B45" s="419"/>
      <c r="C45" s="419"/>
      <c r="D45" s="419"/>
      <c r="E45" s="419"/>
      <c r="F45" s="419"/>
      <c r="G45" s="146"/>
      <c r="H45" s="146"/>
      <c r="I45" s="146"/>
      <c r="J45" s="146"/>
      <c r="K45" s="146"/>
      <c r="L45" s="146"/>
      <c r="M45" s="146"/>
      <c r="N45" s="146"/>
      <c r="O45" s="146"/>
      <c r="P45" s="158"/>
    </row>
    <row r="46" spans="1:16" ht="16.500000" customHeight="1">
      <c r="A46" s="420" t="s">
        <v>161</v>
      </c>
      <c r="B46" s="421"/>
      <c r="C46" s="421"/>
      <c r="D46" s="421"/>
      <c r="E46" s="421"/>
      <c r="F46" s="421"/>
      <c r="G46" s="422"/>
      <c r="H46" s="422"/>
      <c r="I46" s="422"/>
      <c r="J46" s="422"/>
      <c r="K46" s="422"/>
      <c r="L46" s="422"/>
      <c r="M46" s="422"/>
      <c r="N46" s="422"/>
      <c r="O46" s="422"/>
      <c r="P46" s="423"/>
    </row>
    <row r="47" spans="1:16" ht="16.500000" customHeight="1">
      <c r="A47" s="141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39"/>
    </row>
  </sheetData>
  <mergeCells count="116">
    <mergeCell ref="A1:P1"/>
    <mergeCell ref="B2:H2"/>
    <mergeCell ref="I2:K2"/>
    <mergeCell ref="L2:P2"/>
    <mergeCell ref="B3:P3"/>
    <mergeCell ref="B4:C4"/>
    <mergeCell ref="D4:E4"/>
    <mergeCell ref="F4:I4"/>
    <mergeCell ref="J4:K4"/>
    <mergeCell ref="L4:N4"/>
    <mergeCell ref="O4:P4"/>
    <mergeCell ref="A5:A6"/>
    <mergeCell ref="B5:C5"/>
    <mergeCell ref="D5:E6"/>
    <mergeCell ref="F5:I5"/>
    <mergeCell ref="J5:K6"/>
    <mergeCell ref="L5:N5"/>
    <mergeCell ref="O5:P6"/>
    <mergeCell ref="B6:C6"/>
    <mergeCell ref="F6:I6"/>
    <mergeCell ref="L6:N6"/>
    <mergeCell ref="B7:C7"/>
    <mergeCell ref="D7:E7"/>
    <mergeCell ref="F7:I7"/>
    <mergeCell ref="J7:K7"/>
    <mergeCell ref="L7:N7"/>
    <mergeCell ref="O7:P7"/>
    <mergeCell ref="B8:C8"/>
    <mergeCell ref="D8:E8"/>
    <mergeCell ref="F8:I8"/>
    <mergeCell ref="J8:K8"/>
    <mergeCell ref="L8:N8"/>
    <mergeCell ref="O8:P8"/>
    <mergeCell ref="B9:E9"/>
    <mergeCell ref="B10:E10"/>
    <mergeCell ref="B11:E11"/>
    <mergeCell ref="A12:A14"/>
    <mergeCell ref="B12:E12"/>
    <mergeCell ref="B13:E13"/>
    <mergeCell ref="B14:E14"/>
    <mergeCell ref="A15:A17"/>
    <mergeCell ref="B15:E15"/>
    <mergeCell ref="B16:E16"/>
    <mergeCell ref="B17:E17"/>
    <mergeCell ref="A18:A19"/>
    <mergeCell ref="B18:C18"/>
    <mergeCell ref="E18:F18"/>
    <mergeCell ref="H18:I18"/>
    <mergeCell ref="K18:L18"/>
    <mergeCell ref="N18:O18"/>
    <mergeCell ref="B19:C19"/>
    <mergeCell ref="E19:F19"/>
    <mergeCell ref="H19:I19"/>
    <mergeCell ref="K19:L19"/>
    <mergeCell ref="N19:O19"/>
    <mergeCell ref="B20:C20"/>
    <mergeCell ref="E20:F20"/>
    <mergeCell ref="H20:I20"/>
    <mergeCell ref="K20:L20"/>
    <mergeCell ref="N20:O20"/>
    <mergeCell ref="A21:C22"/>
    <mergeCell ref="D21:G22"/>
    <mergeCell ref="H21:J22"/>
    <mergeCell ref="K21:M21"/>
    <mergeCell ref="N21:P21"/>
    <mergeCell ref="K22:M22"/>
    <mergeCell ref="N22:P22"/>
    <mergeCell ref="B23:P23"/>
    <mergeCell ref="B25:P25"/>
    <mergeCell ref="B26:H26"/>
    <mergeCell ref="I26:P26"/>
    <mergeCell ref="A27:A34"/>
    <mergeCell ref="B28:H28"/>
    <mergeCell ref="I28:O28"/>
    <mergeCell ref="B29:H29"/>
    <mergeCell ref="I29:O29"/>
    <mergeCell ref="B30:H30"/>
    <mergeCell ref="I30:O30"/>
    <mergeCell ref="B31:H31"/>
    <mergeCell ref="I31:O31"/>
    <mergeCell ref="B32:H32"/>
    <mergeCell ref="I32:O32"/>
    <mergeCell ref="B33:H33"/>
    <mergeCell ref="I33:O33"/>
    <mergeCell ref="B34:H34"/>
    <mergeCell ref="I34:O34"/>
    <mergeCell ref="A36:P36"/>
    <mergeCell ref="A37:C37"/>
    <mergeCell ref="D37:F37"/>
    <mergeCell ref="G37:J37"/>
    <mergeCell ref="K37:M37"/>
    <mergeCell ref="N37:P37"/>
    <mergeCell ref="A39:P39"/>
    <mergeCell ref="A40:F40"/>
    <mergeCell ref="G40:K40"/>
    <mergeCell ref="L40:P40"/>
    <mergeCell ref="A41:F41"/>
    <mergeCell ref="G41:K41"/>
    <mergeCell ref="L41:P41"/>
    <mergeCell ref="A42:C42"/>
    <mergeCell ref="D42:F42"/>
    <mergeCell ref="G42:K42"/>
    <mergeCell ref="L42:P42"/>
    <mergeCell ref="A43:C44"/>
    <mergeCell ref="D43:F43"/>
    <mergeCell ref="G43:K43"/>
    <mergeCell ref="L43:P43"/>
    <mergeCell ref="D44:F44"/>
    <mergeCell ref="G44:K44"/>
    <mergeCell ref="L44:P44"/>
    <mergeCell ref="A45:F45"/>
    <mergeCell ref="G45:K45"/>
    <mergeCell ref="L45:P45"/>
    <mergeCell ref="A46:F46"/>
    <mergeCell ref="G46:K46"/>
    <mergeCell ref="L46:P46"/>
  </mergeCells>
  <phoneticPr fontId="1" type="noConversion"/>
  <printOptions horizontalCentered="1" verticalCentered="1"/>
  <pageMargins left="0.25" right="0.25" top="0.75" bottom="0.75" header="0.30" footer="0.30"/>
  <pageSetup paperSize="9" scale="98" fitToWidth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A3"/>
  <sheetViews>
    <sheetView view="pageBreakPreview" zoomScaleNormal="100" zoomScaleSheetLayoutView="100" workbookViewId="0">
      <selection activeCell="A3" sqref="A3"/>
    </sheetView>
  </sheetViews>
  <sheetFormatPr defaultColWidth="8.83203125" defaultRowHeight="16.500000"/>
  <cols>
    <col min="1" max="1" style="138" width="111.78277418" customWidth="1" outlineLevel="0"/>
    <col min="2" max="16384" style="138" width="8.78277800" customWidth="1" outlineLevel="0"/>
  </cols>
  <sheetData>
    <row r="1" spans="1:1" ht="204.000000" customHeight="1">
      <c r="A1" s="175" t="s">
        <v>383</v>
      </c>
    </row>
    <row r="2" spans="1:1" ht="64.500000" customHeight="1">
      <c r="A2" s="174" t="str">
        <f>체크리스트!B3</f>
        <v>인천 계양구 아나지로 199 (효성동)</v>
      </c>
    </row>
    <row r="3" spans="1:1" ht="185.250000" customHeight="1">
      <c r="A3" s="173" t="str">
        <f>체크리스트!B2</f>
        <v>효성뉴서울5차아파트</v>
      </c>
    </row>
  </sheetData>
  <phoneticPr fontId="1" type="noConversion"/>
  <printOptions horizontalCentered="1" verticalCentered="1"/>
  <pageMargins left="0.25" right="0.25" top="0.75" bottom="0.75" header="0.30" footer="0.3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dimension ref="A1:AC93"/>
  <sheetViews>
    <sheetView topLeftCell="A68" view="pageBreakPreview" zoomScaleNormal="100" zoomScaleSheetLayoutView="100" workbookViewId="0">
      <selection activeCell="U88" sqref="U88:X88"/>
    </sheetView>
  </sheetViews>
  <sheetFormatPr defaultColWidth="8.83203125" defaultRowHeight="13.500000"/>
  <cols>
    <col min="1" max="28" width="2.44944439" customWidth="1" outlineLevel="0"/>
    <col min="29" max="29" width="5.11611101" customWidth="1" outlineLevel="0"/>
  </cols>
  <sheetData>
    <row r="1" spans="1:29" ht="19.000000">
      <c r="A1" s="176"/>
    </row>
    <row r="2" spans="1:29" ht="19.000000">
      <c r="A2" s="176"/>
    </row>
    <row r="3" spans="1:29" ht="19.000000">
      <c r="A3" s="176"/>
    </row>
    <row r="4" spans="1:29" ht="15.000000">
      <c r="A4" s="177"/>
    </row>
    <row r="5" spans="1:29" ht="18.000000">
      <c r="A5" s="198" t="s">
        <v>341</v>
      </c>
      <c r="B5" s="198"/>
      <c r="C5" s="198"/>
      <c r="D5" s="198"/>
      <c r="E5" s="198"/>
      <c r="F5" s="198" t="s">
        <v>306</v>
      </c>
      <c r="G5" s="199"/>
      <c r="H5" s="199"/>
      <c r="I5" s="199"/>
      <c r="J5" s="199"/>
      <c r="K5" s="199"/>
      <c r="L5" s="199"/>
      <c r="M5" s="199"/>
      <c r="N5" s="199"/>
      <c r="O5" s="199"/>
      <c r="P5" s="199"/>
      <c r="Q5" s="199"/>
      <c r="R5" s="199"/>
      <c r="S5" s="199"/>
      <c r="T5" s="199"/>
      <c r="U5" s="199"/>
      <c r="V5" s="199"/>
      <c r="W5" s="199"/>
      <c r="X5" s="199"/>
      <c r="Y5" s="199"/>
      <c r="Z5" s="199"/>
      <c r="AA5" s="199"/>
      <c r="AB5" s="199"/>
      <c r="AC5" s="199"/>
    </row>
    <row r="6" spans="1:29" ht="18.000000">
      <c r="A6" s="200"/>
      <c r="B6" s="201"/>
      <c r="C6" s="201"/>
      <c r="D6" s="201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  <c r="AA6" s="201"/>
      <c r="AB6" s="201"/>
      <c r="AC6" s="201"/>
    </row>
    <row r="7" spans="1:29" ht="18.000000">
      <c r="A7" s="198" t="s">
        <v>342</v>
      </c>
      <c r="B7" s="199"/>
      <c r="C7" s="199"/>
      <c r="D7" s="199"/>
      <c r="E7" s="199"/>
      <c r="F7" s="199"/>
      <c r="G7" s="199"/>
      <c r="H7" s="199"/>
      <c r="I7" s="199"/>
      <c r="J7" s="199"/>
      <c r="K7" s="199"/>
      <c r="L7" s="199"/>
      <c r="M7" s="199"/>
      <c r="N7" s="199"/>
      <c r="O7" s="199"/>
      <c r="P7" s="199"/>
      <c r="Q7" s="199"/>
      <c r="R7" s="199"/>
      <c r="S7" s="199"/>
      <c r="T7" s="199"/>
      <c r="U7" s="199"/>
      <c r="V7" s="199"/>
      <c r="W7" s="199"/>
      <c r="X7" s="199"/>
      <c r="Y7" s="199"/>
      <c r="Z7" s="199"/>
      <c r="AA7" s="199"/>
      <c r="AB7" s="199"/>
      <c r="AC7" s="199"/>
    </row>
    <row r="8" spans="1:29" ht="64.000000" customHeight="1">
      <c r="A8" s="195"/>
      <c r="B8" s="515" t="s">
        <v>323</v>
      </c>
      <c r="C8" s="515"/>
      <c r="D8" s="515"/>
      <c r="E8" s="515"/>
      <c r="F8" s="515"/>
      <c r="G8" s="515"/>
      <c r="H8" s="515"/>
      <c r="I8" s="515"/>
      <c r="J8" s="515"/>
      <c r="K8" s="515"/>
      <c r="L8" s="515"/>
      <c r="M8" s="515"/>
      <c r="N8" s="515"/>
      <c r="O8" s="515"/>
      <c r="P8" s="515"/>
      <c r="Q8" s="515"/>
      <c r="R8" s="515"/>
      <c r="S8" s="515"/>
      <c r="T8" s="515"/>
      <c r="U8" s="515"/>
      <c r="V8" s="515"/>
      <c r="W8" s="515"/>
      <c r="X8" s="515"/>
      <c r="Y8" s="515"/>
      <c r="Z8" s="515"/>
      <c r="AA8" s="515"/>
      <c r="AB8" s="515"/>
      <c r="AC8" s="515"/>
    </row>
    <row r="9" spans="1:29" ht="17.000000">
      <c r="A9" s="178"/>
      <c r="B9" s="201"/>
      <c r="C9" s="201"/>
      <c r="D9" s="201"/>
      <c r="E9" s="201"/>
      <c r="F9" s="201"/>
      <c r="G9" s="201"/>
      <c r="H9" s="201"/>
      <c r="I9" s="201"/>
      <c r="J9" s="201"/>
      <c r="K9" s="201"/>
      <c r="L9" s="201"/>
      <c r="M9" s="201"/>
      <c r="N9" s="201"/>
      <c r="O9" s="201"/>
      <c r="P9" s="201"/>
      <c r="Q9" s="201"/>
      <c r="R9" s="201"/>
      <c r="S9" s="201"/>
      <c r="T9" s="201"/>
      <c r="U9" s="201"/>
      <c r="V9" s="201"/>
      <c r="W9" s="201"/>
      <c r="X9" s="201"/>
      <c r="Y9" s="201"/>
      <c r="Z9" s="201"/>
      <c r="AA9" s="201"/>
      <c r="AB9" s="201"/>
      <c r="AC9" s="201"/>
    </row>
    <row r="10" spans="1:29" ht="18.000000">
      <c r="A10" s="198" t="s">
        <v>343</v>
      </c>
      <c r="B10" s="199"/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  <c r="AB10" s="199"/>
      <c r="AC10" s="199"/>
    </row>
    <row r="11" spans="1:29" ht="15.000000">
      <c r="A11" s="187"/>
      <c r="B11" s="202" t="s">
        <v>324</v>
      </c>
      <c r="C11" s="202"/>
      <c r="D11" s="202"/>
      <c r="E11" s="202"/>
      <c r="F11" s="202"/>
      <c r="G11" s="202"/>
      <c r="H11" s="202"/>
      <c r="I11" s="202"/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  <c r="AA11" s="202"/>
      <c r="AB11" s="202"/>
      <c r="AC11" s="202"/>
    </row>
    <row r="12" spans="1:29" ht="15.000000">
      <c r="A12" s="194"/>
      <c r="B12" s="194"/>
      <c r="C12" s="194" t="s">
        <v>325</v>
      </c>
      <c r="D12" s="194"/>
      <c r="E12" s="194"/>
      <c r="F12" s="194"/>
      <c r="G12" s="194"/>
      <c r="H12" s="202" t="str">
        <f>체크리스트!B2</f>
        <v>효성뉴서울5차아파트</v>
      </c>
      <c r="I12" s="202"/>
      <c r="J12" s="202"/>
      <c r="K12" s="202"/>
      <c r="L12" s="202"/>
      <c r="M12" s="202"/>
      <c r="N12" s="202"/>
      <c r="O12" s="202"/>
      <c r="P12" s="202"/>
      <c r="Q12" s="202"/>
      <c r="R12" s="202"/>
      <c r="S12" s="202"/>
      <c r="T12" s="202"/>
      <c r="U12" s="202"/>
      <c r="V12" s="202"/>
      <c r="W12" s="202"/>
      <c r="X12" s="202"/>
      <c r="Y12" s="202"/>
      <c r="Z12" s="202"/>
      <c r="AA12" s="202"/>
      <c r="AB12" s="202"/>
      <c r="AC12" s="202"/>
    </row>
    <row r="13" spans="1:29" ht="15.000000">
      <c r="A13" s="187"/>
      <c r="B13" s="187"/>
      <c r="C13" s="187" t="s">
        <v>326</v>
      </c>
      <c r="D13" s="187"/>
      <c r="E13" s="187"/>
      <c r="F13" s="187"/>
      <c r="G13" s="202" t="str">
        <f>체크리스트!B3</f>
        <v>인천 계양구 아나지로 199 (효성동)</v>
      </c>
      <c r="H13" s="202"/>
      <c r="I13" s="202"/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  <c r="AA13" s="202"/>
      <c r="AB13" s="202"/>
      <c r="AC13" s="202"/>
    </row>
    <row r="14" spans="1:29" ht="15.000000">
      <c r="A14" s="187"/>
      <c r="B14" s="187"/>
      <c r="C14" s="187" t="s">
        <v>327</v>
      </c>
      <c r="D14" s="187"/>
      <c r="E14" s="187"/>
      <c r="F14" s="187"/>
      <c r="G14" s="187"/>
      <c r="H14" s="202" t="s">
        <v>307</v>
      </c>
      <c r="I14" s="202"/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  <c r="AA14" s="202"/>
      <c r="AB14" s="202"/>
      <c r="AC14" s="202"/>
    </row>
    <row r="15" spans="1:29" ht="15.000000">
      <c r="A15" s="187"/>
      <c r="B15" s="187"/>
      <c r="C15" s="187" t="s">
        <v>328</v>
      </c>
      <c r="D15" s="187"/>
      <c r="E15" s="187"/>
      <c r="F15" s="187"/>
      <c r="G15" s="187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87"/>
    </row>
    <row r="16" spans="1:29" ht="15.000000">
      <c r="A16" s="187"/>
      <c r="B16" s="187"/>
      <c r="C16" s="194" t="s">
        <v>378</v>
      </c>
      <c r="D16" s="194"/>
      <c r="E16" s="194"/>
      <c r="F16" s="194"/>
      <c r="G16" s="194" t="s">
        <v>379</v>
      </c>
      <c r="H16" s="194"/>
      <c r="I16" s="194"/>
      <c r="J16" s="194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  <c r="Y16" s="194"/>
      <c r="Z16" s="194"/>
      <c r="AA16" s="194"/>
      <c r="AB16" s="194"/>
      <c r="AC16" s="194"/>
    </row>
    <row r="17" spans="1:29" ht="15.000000">
      <c r="A17" s="187"/>
      <c r="B17" s="187"/>
      <c r="C17" s="194" t="s">
        <v>380</v>
      </c>
      <c r="D17" s="194"/>
      <c r="E17" s="194"/>
      <c r="F17" s="194"/>
      <c r="G17" s="194" t="s">
        <v>381</v>
      </c>
      <c r="H17" s="194"/>
      <c r="I17" s="194"/>
      <c r="J17" s="194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</row>
    <row r="18" spans="1:29" ht="15.000000">
      <c r="A18" s="194"/>
      <c r="B18" s="194"/>
      <c r="C18" s="194" t="s">
        <v>329</v>
      </c>
      <c r="D18" s="194"/>
      <c r="E18" s="194"/>
      <c r="F18" s="194"/>
      <c r="G18" s="194"/>
      <c r="H18" s="194"/>
      <c r="I18" s="194"/>
      <c r="J18" s="194"/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</row>
    <row r="19" spans="1:29" ht="15.000000">
      <c r="A19" s="194"/>
      <c r="B19" s="194" t="s">
        <v>330</v>
      </c>
      <c r="C19" s="194"/>
      <c r="D19" s="194"/>
      <c r="E19" s="194"/>
      <c r="F19" s="194"/>
      <c r="G19" s="194"/>
      <c r="H19" s="194"/>
      <c r="I19" s="194"/>
      <c r="J19" s="194"/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  <c r="Y19" s="194"/>
      <c r="Z19" s="194"/>
      <c r="AA19" s="194"/>
      <c r="AB19" s="194"/>
      <c r="AC19" s="194"/>
    </row>
    <row r="20" spans="1:29" ht="15.000000">
      <c r="A20" s="194"/>
      <c r="B20" s="194"/>
      <c r="C20" s="194" t="s">
        <v>382</v>
      </c>
      <c r="D20" s="194"/>
      <c r="E20" s="194"/>
      <c r="F20" s="194"/>
      <c r="G20" s="194"/>
      <c r="H20" s="194"/>
      <c r="I20" s="194" t="str">
        <f>갑지!L23</f>
        <v xml:space="preserve">아파트 6개동 648세대 (해당동 : 6개동) </v>
      </c>
      <c r="J20" s="194"/>
      <c r="K20" s="194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  <c r="Y20" s="194"/>
      <c r="Z20" s="194"/>
      <c r="AA20" s="194"/>
      <c r="AB20" s="194"/>
      <c r="AC20" s="194"/>
    </row>
    <row r="21" spans="1:29" ht="15.000000">
      <c r="A21" s="194"/>
      <c r="B21" s="194" t="s">
        <v>331</v>
      </c>
      <c r="C21" s="194"/>
      <c r="D21" s="194"/>
      <c r="E21" s="194"/>
      <c r="F21" s="194"/>
      <c r="G21" s="194"/>
      <c r="H21" s="194"/>
      <c r="I21" s="194"/>
      <c r="J21" s="194"/>
      <c r="K21" s="194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  <c r="AA21" s="194"/>
      <c r="AB21" s="194"/>
      <c r="AC21" s="194"/>
    </row>
    <row r="22" spans="1:29" ht="17.000000">
      <c r="A22" s="203"/>
      <c r="B22" s="194"/>
      <c r="C22" s="194" t="s">
        <v>332</v>
      </c>
      <c r="D22" s="194"/>
      <c r="E22" s="194"/>
      <c r="F22" s="194"/>
      <c r="G22" s="194"/>
      <c r="H22" s="194"/>
      <c r="I22" s="194"/>
      <c r="J22" s="194"/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  <c r="Y22" s="194"/>
      <c r="Z22" s="194"/>
      <c r="AA22" s="194"/>
      <c r="AB22" s="194"/>
      <c r="AC22" s="194"/>
    </row>
    <row r="23" spans="1:29" ht="23.000000">
      <c r="A23" s="204"/>
      <c r="B23" s="201"/>
      <c r="C23" s="201"/>
      <c r="D23" s="201"/>
      <c r="E23" s="201"/>
      <c r="F23" s="201"/>
      <c r="G23" s="201"/>
      <c r="H23" s="201"/>
      <c r="I23" s="201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1"/>
      <c r="AB23" s="201"/>
      <c r="AC23" s="201"/>
    </row>
    <row r="24" spans="1:29" ht="18.000000">
      <c r="A24" s="198" t="s">
        <v>344</v>
      </c>
      <c r="B24" s="198"/>
      <c r="C24" s="198"/>
      <c r="D24" s="198"/>
      <c r="E24" s="198"/>
      <c r="F24" s="198"/>
      <c r="G24" s="198"/>
      <c r="H24" s="198"/>
      <c r="I24" s="198"/>
      <c r="J24" s="198"/>
      <c r="K24" s="198"/>
      <c r="L24" s="198"/>
      <c r="M24" s="198"/>
      <c r="N24" s="198"/>
      <c r="O24" s="198"/>
      <c r="P24" s="198"/>
      <c r="Q24" s="198"/>
      <c r="R24" s="198"/>
      <c r="S24" s="198"/>
      <c r="T24" s="198"/>
      <c r="U24" s="198"/>
      <c r="V24" s="198"/>
      <c r="W24" s="198"/>
      <c r="X24" s="198"/>
      <c r="Y24" s="198"/>
      <c r="Z24" s="198"/>
      <c r="AA24" s="198"/>
      <c r="AB24" s="198"/>
      <c r="AC24" s="198"/>
    </row>
    <row r="25" spans="1:29" ht="15.000000">
      <c r="A25" s="194"/>
      <c r="B25" s="194" t="s">
        <v>333</v>
      </c>
      <c r="C25" s="194"/>
      <c r="D25" s="194"/>
      <c r="E25" s="194"/>
      <c r="F25" s="194"/>
      <c r="G25" s="194"/>
      <c r="H25" s="194"/>
      <c r="I25" s="194"/>
      <c r="J25" s="194"/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  <c r="AA25" s="194"/>
      <c r="AB25" s="194"/>
      <c r="AC25" s="194"/>
    </row>
    <row r="26" spans="1:29" ht="15.000000">
      <c r="A26" s="194"/>
      <c r="B26" s="194"/>
      <c r="C26" s="194" t="s">
        <v>334</v>
      </c>
      <c r="D26" s="194"/>
      <c r="E26" s="194"/>
      <c r="F26" s="194"/>
      <c r="G26" s="194"/>
      <c r="H26" s="194"/>
      <c r="I26" s="194"/>
      <c r="J26" s="194"/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  <c r="Y26" s="194"/>
      <c r="Z26" s="194"/>
      <c r="AA26" s="194"/>
      <c r="AB26" s="194"/>
      <c r="AC26" s="194"/>
    </row>
    <row r="27" spans="1:29" ht="15.000000">
      <c r="A27" s="194"/>
      <c r="B27" s="194"/>
      <c r="C27" s="194" t="s">
        <v>335</v>
      </c>
      <c r="D27" s="194"/>
      <c r="E27" s="194"/>
      <c r="F27" s="194"/>
      <c r="G27" s="194"/>
      <c r="H27" s="194"/>
      <c r="I27" s="194"/>
      <c r="J27" s="194"/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  <c r="Y27" s="194"/>
      <c r="Z27" s="194"/>
      <c r="AA27" s="194"/>
      <c r="AB27" s="194"/>
      <c r="AC27" s="194"/>
    </row>
    <row r="28" spans="1:29" ht="15.000000">
      <c r="A28" s="194"/>
      <c r="B28" s="194" t="s">
        <v>336</v>
      </c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  <c r="AA28" s="194"/>
      <c r="AB28" s="194"/>
      <c r="AC28" s="194"/>
    </row>
    <row r="29" spans="1:29" ht="17.500000" customHeight="1">
      <c r="A29" s="195"/>
      <c r="B29" s="205"/>
      <c r="C29" s="197" t="s">
        <v>337</v>
      </c>
      <c r="D29" s="205"/>
      <c r="E29" s="205"/>
      <c r="F29" s="205"/>
      <c r="G29" s="205"/>
      <c r="H29" s="205"/>
      <c r="I29" s="205"/>
      <c r="J29" s="205"/>
      <c r="K29" s="205"/>
      <c r="L29" s="205"/>
      <c r="M29" s="205"/>
      <c r="N29" s="205"/>
      <c r="O29" s="205"/>
      <c r="P29" s="205"/>
      <c r="Q29" s="205"/>
      <c r="R29" s="205"/>
      <c r="S29" s="205"/>
      <c r="T29" s="205"/>
      <c r="U29" s="205"/>
      <c r="V29" s="205"/>
      <c r="W29" s="205"/>
      <c r="X29" s="205"/>
      <c r="Y29" s="205"/>
      <c r="Z29" s="205"/>
      <c r="AA29" s="205"/>
      <c r="AB29" s="205"/>
      <c r="AC29" s="205"/>
    </row>
    <row r="30" spans="1:29" ht="20.250000" customHeight="1">
      <c r="A30" s="194"/>
      <c r="B30" s="201"/>
      <c r="C30" s="201"/>
      <c r="D30" s="197" t="s">
        <v>338</v>
      </c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  <c r="Q30" s="201"/>
      <c r="R30" s="201"/>
      <c r="S30" s="201"/>
      <c r="T30" s="201"/>
      <c r="U30" s="201"/>
      <c r="V30" s="201"/>
      <c r="W30" s="201"/>
      <c r="X30" s="201"/>
      <c r="Y30" s="201"/>
      <c r="Z30" s="201"/>
      <c r="AA30" s="201"/>
      <c r="AB30" s="201"/>
      <c r="AC30" s="201"/>
    </row>
    <row r="31" spans="1:29" ht="20.250000" customHeight="1">
      <c r="A31" s="194"/>
      <c r="B31" s="194"/>
      <c r="C31" s="194"/>
      <c r="D31" s="194" t="s">
        <v>339</v>
      </c>
      <c r="E31" s="194"/>
      <c r="F31" s="194"/>
      <c r="G31" s="194"/>
      <c r="H31" s="194"/>
      <c r="I31" s="194"/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</row>
    <row r="32" spans="1:29" ht="20.250000" customHeight="1">
      <c r="A32" s="194"/>
      <c r="B32" s="194"/>
      <c r="C32" s="194" t="s">
        <v>340</v>
      </c>
      <c r="D32" s="194"/>
      <c r="E32" s="194"/>
      <c r="F32" s="194"/>
      <c r="G32" s="194"/>
      <c r="H32" s="194"/>
      <c r="I32" s="194"/>
      <c r="J32" s="194"/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  <c r="AA32" s="194"/>
      <c r="AB32" s="194"/>
      <c r="AC32" s="194"/>
    </row>
    <row r="33" spans="1:29" ht="20.250000" customHeight="1">
      <c r="A33" s="194"/>
      <c r="B33" s="194"/>
      <c r="C33" s="194"/>
      <c r="D33" s="194" t="s">
        <v>346</v>
      </c>
      <c r="E33" s="194"/>
      <c r="F33" s="194"/>
      <c r="G33" s="194"/>
      <c r="H33" s="194"/>
      <c r="I33" s="194"/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</row>
    <row r="34" spans="1:29" ht="20.250000" customHeight="1">
      <c r="A34" s="194"/>
      <c r="B34" s="201"/>
      <c r="C34" s="201"/>
      <c r="D34" s="197" t="s">
        <v>347</v>
      </c>
      <c r="E34" s="201"/>
      <c r="F34" s="201"/>
      <c r="G34" s="201"/>
      <c r="H34" s="201"/>
      <c r="I34" s="201"/>
      <c r="J34" s="201"/>
      <c r="K34" s="201"/>
      <c r="L34" s="201"/>
      <c r="M34" s="201"/>
      <c r="N34" s="201"/>
      <c r="O34" s="201"/>
      <c r="P34" s="201"/>
      <c r="Q34" s="201"/>
      <c r="R34" s="201"/>
      <c r="S34" s="201"/>
      <c r="T34" s="201"/>
      <c r="U34" s="201"/>
      <c r="V34" s="201"/>
      <c r="W34" s="201"/>
      <c r="X34" s="201"/>
      <c r="Y34" s="201"/>
      <c r="Z34" s="201"/>
      <c r="AA34" s="201"/>
      <c r="AB34" s="201"/>
      <c r="AC34" s="201"/>
    </row>
    <row r="35" spans="1:29" ht="20.250000" customHeight="1">
      <c r="A35" s="194"/>
      <c r="B35" s="201"/>
      <c r="C35" s="201"/>
      <c r="D35" s="197" t="s">
        <v>348</v>
      </c>
      <c r="E35" s="201"/>
      <c r="F35" s="201"/>
      <c r="G35" s="201"/>
      <c r="H35" s="201"/>
      <c r="I35" s="201"/>
      <c r="J35" s="201"/>
      <c r="K35" s="201"/>
      <c r="L35" s="201"/>
      <c r="M35" s="201"/>
      <c r="N35" s="201"/>
      <c r="O35" s="201"/>
      <c r="P35" s="201"/>
      <c r="Q35" s="201"/>
      <c r="R35" s="201"/>
      <c r="S35" s="201"/>
      <c r="T35" s="201"/>
      <c r="U35" s="201"/>
      <c r="V35" s="201"/>
      <c r="W35" s="201"/>
      <c r="X35" s="201"/>
      <c r="Y35" s="201"/>
      <c r="Z35" s="201"/>
      <c r="AA35" s="201"/>
      <c r="AB35" s="201"/>
      <c r="AC35" s="201"/>
    </row>
    <row r="36" spans="1:29" ht="20.250000" customHeight="1">
      <c r="A36" s="194"/>
      <c r="B36" s="194"/>
      <c r="C36" s="194"/>
      <c r="D36" s="194" t="s">
        <v>345</v>
      </c>
      <c r="E36" s="194"/>
      <c r="F36" s="194"/>
      <c r="G36" s="194"/>
      <c r="H36" s="194"/>
      <c r="I36" s="194"/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  <c r="AA36" s="194"/>
      <c r="AB36" s="194"/>
      <c r="AC36" s="194"/>
    </row>
    <row r="37" spans="1:29" ht="20.250000" customHeight="1">
      <c r="A37" s="194"/>
      <c r="B37" s="194" t="s">
        <v>349</v>
      </c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</row>
    <row r="38" spans="1:29" ht="20.250000" customHeight="1">
      <c r="A38" s="194"/>
      <c r="B38" s="194"/>
      <c r="C38" s="194" t="s">
        <v>350</v>
      </c>
      <c r="D38" s="194"/>
      <c r="E38" s="194"/>
      <c r="F38" s="194"/>
      <c r="G38" s="194"/>
      <c r="H38" s="194"/>
      <c r="I38" s="194"/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  <c r="AA38" s="194"/>
      <c r="AB38" s="194"/>
      <c r="AC38" s="194"/>
    </row>
    <row r="39" spans="1:29" ht="20.250000" customHeight="1">
      <c r="A39" s="194"/>
      <c r="B39" s="194"/>
      <c r="C39" s="194" t="s">
        <v>351</v>
      </c>
      <c r="D39" s="194"/>
      <c r="E39" s="194"/>
      <c r="F39" s="194"/>
      <c r="G39" s="194"/>
      <c r="H39" s="194"/>
      <c r="I39" s="194"/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</row>
    <row r="40" spans="1:29" ht="20.250000" customHeight="1">
      <c r="A40" s="194"/>
      <c r="B40" s="194"/>
      <c r="C40" s="194" t="s">
        <v>352</v>
      </c>
      <c r="D40" s="194"/>
      <c r="E40" s="194"/>
      <c r="F40" s="194"/>
      <c r="G40" s="194"/>
      <c r="H40" s="194"/>
      <c r="I40" s="194"/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  <c r="AA40" s="194"/>
      <c r="AB40" s="194"/>
      <c r="AC40" s="194"/>
    </row>
    <row r="41" spans="1:29" ht="20.250000" customHeight="1">
      <c r="A41" s="194"/>
      <c r="B41" s="194"/>
      <c r="C41" s="194" t="s">
        <v>353</v>
      </c>
      <c r="D41" s="194"/>
      <c r="E41" s="194"/>
      <c r="F41" s="194"/>
      <c r="G41" s="194"/>
      <c r="H41" s="194"/>
      <c r="I41" s="194"/>
      <c r="J41" s="194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</row>
    <row r="42" spans="1:29" ht="20.250000" customHeight="1">
      <c r="A42" s="20"/>
    </row>
    <row r="43" spans="1:29" ht="20.250000" customHeight="1">
      <c r="A43" s="194"/>
      <c r="B43" s="194" t="s">
        <v>354</v>
      </c>
      <c r="C43" s="194"/>
      <c r="D43" s="194"/>
      <c r="E43" s="194"/>
      <c r="F43" s="194"/>
      <c r="G43" s="194"/>
      <c r="H43" s="194"/>
      <c r="I43" s="194"/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  <c r="AA43" s="194"/>
      <c r="AB43" s="194"/>
      <c r="AC43" s="194"/>
    </row>
    <row r="44" spans="1:29" ht="20.250000" customHeight="1">
      <c r="A44" s="196"/>
      <c r="B44" s="196"/>
      <c r="C44" s="196" t="s">
        <v>355</v>
      </c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196"/>
      <c r="Y44" s="196"/>
      <c r="Z44" s="196"/>
      <c r="AA44" s="196"/>
      <c r="AB44" s="196"/>
      <c r="AC44" s="196"/>
    </row>
    <row r="45" spans="1:29" ht="20.250000" customHeight="1">
      <c r="A45" s="194"/>
      <c r="B45" s="194" t="s">
        <v>356</v>
      </c>
      <c r="C45" s="194"/>
      <c r="D45" s="194"/>
      <c r="E45" s="194"/>
      <c r="F45" s="194"/>
      <c r="G45" s="194"/>
      <c r="H45" s="194"/>
      <c r="I45" s="194"/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</row>
    <row r="46" spans="1:29" ht="20.250000" customHeight="1">
      <c r="A46" s="196"/>
      <c r="B46" s="196"/>
      <c r="C46" s="196" t="s">
        <v>357</v>
      </c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196"/>
      <c r="X46" s="196"/>
      <c r="Y46" s="196"/>
      <c r="Z46" s="196"/>
      <c r="AA46" s="196"/>
      <c r="AB46" s="196"/>
      <c r="AC46" s="196"/>
    </row>
    <row r="47" spans="1:29" ht="20.250000" customHeight="1">
      <c r="A47" s="196"/>
      <c r="B47" s="196"/>
      <c r="C47" s="196" t="s">
        <v>358</v>
      </c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6"/>
      <c r="W47" s="196"/>
      <c r="X47" s="196"/>
      <c r="Y47" s="196"/>
      <c r="Z47" s="196"/>
      <c r="AA47" s="196"/>
      <c r="AB47" s="196"/>
      <c r="AC47" s="196"/>
    </row>
    <row r="48" spans="1:29" ht="20.250000" customHeight="1">
      <c r="A48" s="196"/>
      <c r="B48" s="196"/>
      <c r="C48" s="196" t="s">
        <v>359</v>
      </c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  <c r="AA48" s="196"/>
      <c r="AB48" s="196"/>
      <c r="AC48" s="196"/>
    </row>
    <row r="49" spans="1:29" ht="20.250000" customHeight="1">
      <c r="A49" s="196"/>
      <c r="B49" s="196"/>
      <c r="C49" s="196" t="s">
        <v>360</v>
      </c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96"/>
      <c r="Y49" s="196"/>
      <c r="Z49" s="196"/>
      <c r="AA49" s="196"/>
      <c r="AB49" s="196"/>
      <c r="AC49" s="196"/>
    </row>
    <row r="50" spans="1:29" ht="20.250000" customHeight="1">
      <c r="A50" s="179"/>
    </row>
    <row r="51" spans="1:29" ht="20.250000" customHeight="1">
      <c r="A51" s="526" t="s">
        <v>247</v>
      </c>
      <c r="B51" s="526"/>
      <c r="C51" s="526"/>
      <c r="D51" s="526"/>
      <c r="E51" s="526"/>
      <c r="F51" s="526"/>
      <c r="G51" s="526"/>
      <c r="H51" s="526"/>
      <c r="I51" s="526"/>
      <c r="J51" s="526"/>
      <c r="K51" s="526"/>
      <c r="L51" s="526"/>
      <c r="M51" s="526"/>
      <c r="N51" s="526"/>
      <c r="O51" s="526"/>
      <c r="P51" s="526"/>
      <c r="Q51" s="526"/>
      <c r="R51" s="526"/>
      <c r="S51" s="526"/>
      <c r="T51" s="526"/>
      <c r="U51" s="526"/>
      <c r="V51" s="526"/>
      <c r="W51" s="526"/>
      <c r="X51" s="526"/>
      <c r="Y51" s="526"/>
      <c r="Z51" s="526"/>
      <c r="AA51" s="526"/>
      <c r="AB51" s="526"/>
      <c r="AC51" s="526"/>
    </row>
    <row r="52" spans="1:29">
      <c r="A52" s="538" t="s">
        <v>248</v>
      </c>
      <c r="B52" s="539"/>
      <c r="C52" s="536" t="s">
        <v>250</v>
      </c>
      <c r="D52" s="536">
        <v>1</v>
      </c>
      <c r="E52" s="536">
        <v>2</v>
      </c>
      <c r="F52" s="536">
        <v>3</v>
      </c>
      <c r="G52" s="536">
        <v>4</v>
      </c>
      <c r="H52" s="536">
        <v>5</v>
      </c>
      <c r="I52" s="536">
        <v>6</v>
      </c>
      <c r="J52" s="536">
        <v>7</v>
      </c>
      <c r="K52" s="536">
        <v>8</v>
      </c>
      <c r="L52" s="536">
        <v>9</v>
      </c>
      <c r="M52" s="536">
        <v>10</v>
      </c>
      <c r="N52" s="536">
        <v>11</v>
      </c>
      <c r="O52" s="536">
        <v>12</v>
      </c>
      <c r="P52" s="536">
        <v>13</v>
      </c>
      <c r="Q52" s="536">
        <v>14</v>
      </c>
      <c r="R52" s="536">
        <v>15</v>
      </c>
      <c r="S52" s="536">
        <v>16</v>
      </c>
      <c r="T52" s="536">
        <v>17</v>
      </c>
      <c r="U52" s="536">
        <v>18</v>
      </c>
      <c r="V52" s="536">
        <v>19</v>
      </c>
      <c r="W52" s="536">
        <v>20</v>
      </c>
      <c r="X52" s="536">
        <v>21</v>
      </c>
      <c r="Y52" s="536">
        <v>22</v>
      </c>
      <c r="Z52" s="536">
        <v>23</v>
      </c>
      <c r="AA52" s="536">
        <v>24</v>
      </c>
      <c r="AB52" s="536">
        <v>25</v>
      </c>
      <c r="AC52" s="528" t="s">
        <v>251</v>
      </c>
    </row>
    <row r="53" spans="1:29">
      <c r="A53" s="530" t="s">
        <v>249</v>
      </c>
      <c r="B53" s="531"/>
      <c r="C53" s="537"/>
      <c r="D53" s="537"/>
      <c r="E53" s="537"/>
      <c r="F53" s="537"/>
      <c r="G53" s="537"/>
      <c r="H53" s="537"/>
      <c r="I53" s="537"/>
      <c r="J53" s="537"/>
      <c r="K53" s="537"/>
      <c r="L53" s="537"/>
      <c r="M53" s="537"/>
      <c r="N53" s="537"/>
      <c r="O53" s="537"/>
      <c r="P53" s="537"/>
      <c r="Q53" s="537"/>
      <c r="R53" s="537"/>
      <c r="S53" s="537"/>
      <c r="T53" s="537"/>
      <c r="U53" s="537"/>
      <c r="V53" s="537"/>
      <c r="W53" s="537"/>
      <c r="X53" s="537"/>
      <c r="Y53" s="537"/>
      <c r="Z53" s="537"/>
      <c r="AA53" s="537"/>
      <c r="AB53" s="537"/>
      <c r="AC53" s="529"/>
    </row>
    <row r="54" spans="1:29">
      <c r="A54" s="180" t="s">
        <v>252</v>
      </c>
      <c r="B54" s="180" t="s">
        <v>254</v>
      </c>
      <c r="C54" s="533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 t="s">
        <v>255</v>
      </c>
    </row>
    <row r="55" spans="1:29">
      <c r="A55" s="181" t="s">
        <v>253</v>
      </c>
      <c r="B55" s="532"/>
      <c r="C55" s="534"/>
      <c r="D55" s="190"/>
      <c r="E55" s="190"/>
      <c r="F55" s="190"/>
      <c r="G55" s="190"/>
      <c r="H55" s="190"/>
      <c r="I55" s="190"/>
      <c r="J55" s="190"/>
      <c r="K55" s="190"/>
      <c r="L55" s="190"/>
      <c r="M55" s="190"/>
      <c r="N55" s="190"/>
      <c r="O55" s="190"/>
      <c r="P55" s="190"/>
      <c r="Q55" s="190"/>
      <c r="R55" s="190"/>
      <c r="S55" s="190"/>
      <c r="T55" s="190"/>
      <c r="U55" s="190"/>
      <c r="V55" s="190"/>
      <c r="W55" s="190"/>
      <c r="X55" s="190"/>
      <c r="Y55" s="190"/>
      <c r="Z55" s="190"/>
      <c r="AA55" s="190"/>
      <c r="AB55" s="190"/>
      <c r="AC55" s="190" t="s">
        <v>256</v>
      </c>
    </row>
    <row r="56" spans="1:29">
      <c r="A56" s="182"/>
      <c r="B56" s="180" t="s">
        <v>257</v>
      </c>
      <c r="C56" s="188"/>
      <c r="D56" s="533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 t="s">
        <v>258</v>
      </c>
    </row>
    <row r="57" spans="1:29">
      <c r="A57" s="182"/>
      <c r="B57" s="181"/>
      <c r="C57" s="189"/>
      <c r="D57" s="535"/>
      <c r="E57" s="189"/>
      <c r="F57" s="189"/>
      <c r="G57" s="189"/>
      <c r="H57" s="189"/>
      <c r="I57" s="189"/>
      <c r="J57" s="189"/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  <c r="X57" s="189"/>
      <c r="Y57" s="189"/>
      <c r="Z57" s="189"/>
      <c r="AA57" s="189"/>
      <c r="AB57" s="189"/>
      <c r="AC57" s="189" t="s">
        <v>259</v>
      </c>
    </row>
    <row r="58" spans="1:29">
      <c r="A58" s="182"/>
      <c r="B58" s="181"/>
      <c r="C58" s="189"/>
      <c r="D58" s="535"/>
      <c r="E58" s="189"/>
      <c r="F58" s="189"/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  <c r="X58" s="189"/>
      <c r="Y58" s="189"/>
      <c r="Z58" s="189"/>
      <c r="AA58" s="189"/>
      <c r="AB58" s="189"/>
      <c r="AC58" s="206" t="s">
        <v>260</v>
      </c>
    </row>
    <row r="59" spans="1:29">
      <c r="A59" s="183"/>
      <c r="B59" s="532"/>
      <c r="C59" s="190"/>
      <c r="D59" s="534"/>
      <c r="E59" s="190"/>
      <c r="F59" s="190"/>
      <c r="G59" s="190"/>
      <c r="H59" s="190"/>
      <c r="I59" s="190"/>
      <c r="J59" s="190"/>
      <c r="K59" s="190"/>
      <c r="L59" s="190"/>
      <c r="M59" s="190"/>
      <c r="N59" s="190"/>
      <c r="O59" s="190"/>
      <c r="P59" s="190"/>
      <c r="Q59" s="190"/>
      <c r="R59" s="190"/>
      <c r="S59" s="190"/>
      <c r="T59" s="190"/>
      <c r="U59" s="190"/>
      <c r="V59" s="190"/>
      <c r="W59" s="190"/>
      <c r="X59" s="190"/>
      <c r="Y59" s="190"/>
      <c r="Z59" s="190"/>
      <c r="AA59" s="190"/>
      <c r="AB59" s="190"/>
      <c r="AC59" s="190" t="s">
        <v>261</v>
      </c>
    </row>
    <row r="60" spans="1:29" ht="55.000000">
      <c r="A60" s="180" t="s">
        <v>262</v>
      </c>
      <c r="B60" s="184" t="s">
        <v>263</v>
      </c>
      <c r="C60" s="185"/>
      <c r="D60" s="185"/>
      <c r="E60" s="186"/>
      <c r="F60" s="186"/>
      <c r="G60" s="186"/>
      <c r="H60" s="186"/>
      <c r="I60" s="185"/>
      <c r="J60" s="185"/>
      <c r="K60" s="185"/>
      <c r="L60" s="185"/>
      <c r="M60" s="185"/>
      <c r="N60" s="185"/>
      <c r="O60" s="185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  <c r="AC60" s="185" t="s">
        <v>264</v>
      </c>
    </row>
    <row r="61" spans="1:29" ht="22.000000">
      <c r="A61" s="181" t="s">
        <v>253</v>
      </c>
      <c r="B61" s="184" t="s">
        <v>265</v>
      </c>
      <c r="C61" s="185"/>
      <c r="D61" s="185"/>
      <c r="E61" s="185"/>
      <c r="F61" s="185"/>
      <c r="G61" s="185"/>
      <c r="H61" s="185"/>
      <c r="I61" s="186"/>
      <c r="J61" s="186"/>
      <c r="K61" s="186"/>
      <c r="L61" s="186"/>
      <c r="M61" s="185"/>
      <c r="N61" s="185"/>
      <c r="O61" s="185"/>
      <c r="P61" s="185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5"/>
      <c r="AC61" s="185" t="s">
        <v>266</v>
      </c>
    </row>
    <row r="62" spans="1:29" ht="55.000000">
      <c r="A62" s="183"/>
      <c r="B62" s="184" t="s">
        <v>267</v>
      </c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  <c r="AA62" s="186"/>
      <c r="AB62" s="186"/>
      <c r="AC62" s="185" t="s">
        <v>268</v>
      </c>
    </row>
    <row r="63" spans="1:29">
      <c r="A63" s="179"/>
    </row>
    <row r="64" spans="1:29" ht="20.250000" customHeight="1">
      <c r="A64" s="527" t="s">
        <v>269</v>
      </c>
      <c r="B64" s="527"/>
      <c r="C64" s="527"/>
      <c r="D64" s="527"/>
      <c r="E64" s="527"/>
      <c r="F64" s="527"/>
      <c r="G64" s="527"/>
      <c r="H64" s="527"/>
      <c r="I64" s="527"/>
      <c r="J64" s="527"/>
      <c r="K64" s="527"/>
      <c r="L64" s="527"/>
      <c r="M64" s="527"/>
      <c r="N64" s="527"/>
      <c r="O64" s="527"/>
      <c r="P64" s="527"/>
      <c r="Q64" s="527"/>
      <c r="R64" s="527"/>
      <c r="S64" s="527"/>
      <c r="T64" s="527"/>
      <c r="U64" s="527"/>
      <c r="V64" s="527"/>
      <c r="W64" s="527"/>
      <c r="X64" s="527"/>
      <c r="Y64" s="527"/>
      <c r="Z64" s="527"/>
      <c r="AA64" s="527"/>
      <c r="AB64" s="527"/>
      <c r="AC64" s="527"/>
    </row>
    <row r="65" spans="1:29" ht="30.000000" customHeight="1">
      <c r="A65" s="194"/>
      <c r="B65" s="516" t="s">
        <v>361</v>
      </c>
      <c r="C65" s="516"/>
      <c r="D65" s="516"/>
      <c r="E65" s="516"/>
      <c r="F65" s="516"/>
      <c r="G65" s="516"/>
      <c r="H65" s="516"/>
      <c r="I65" s="516"/>
      <c r="J65" s="516"/>
      <c r="K65" s="516"/>
      <c r="L65" s="516"/>
      <c r="M65" s="516"/>
      <c r="N65" s="516"/>
      <c r="O65" s="516"/>
      <c r="P65" s="516"/>
      <c r="Q65" s="516"/>
      <c r="R65" s="516"/>
      <c r="S65" s="516"/>
      <c r="T65" s="516"/>
      <c r="U65" s="516"/>
      <c r="V65" s="516"/>
      <c r="W65" s="516"/>
      <c r="X65" s="516"/>
      <c r="Y65" s="516"/>
      <c r="Z65" s="516"/>
      <c r="AA65" s="516"/>
      <c r="AB65" s="516"/>
      <c r="AC65" s="516"/>
    </row>
    <row r="66" spans="1:29" ht="30.000000" customHeight="1">
      <c r="A66" s="194"/>
      <c r="B66" s="195" t="s">
        <v>362</v>
      </c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  <c r="AA66" s="195"/>
      <c r="AB66" s="195"/>
      <c r="AC66" s="195"/>
    </row>
    <row r="67" spans="1:29" ht="30.000000" customHeight="1">
      <c r="A67" s="194"/>
      <c r="B67" s="195" t="s">
        <v>363</v>
      </c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  <c r="AA67" s="195"/>
      <c r="AB67" s="195"/>
      <c r="AC67" s="195"/>
    </row>
    <row r="68" spans="1:29" ht="49.000000" customHeight="1">
      <c r="A68" s="194"/>
      <c r="B68" s="195" t="s">
        <v>364</v>
      </c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  <c r="AA68" s="195"/>
      <c r="AB68" s="195"/>
      <c r="AC68" s="195"/>
    </row>
    <row r="69" spans="1:29" ht="20.250000" customHeight="1">
      <c r="A69" s="527" t="s">
        <v>270</v>
      </c>
      <c r="B69" s="527"/>
      <c r="C69" s="527"/>
      <c r="D69" s="527"/>
      <c r="E69" s="527"/>
      <c r="F69" s="527"/>
      <c r="G69" s="527"/>
      <c r="H69" s="527"/>
      <c r="I69" s="527"/>
      <c r="J69" s="527"/>
      <c r="K69" s="527"/>
      <c r="L69" s="527"/>
      <c r="M69" s="527"/>
      <c r="N69" s="527"/>
      <c r="O69" s="527"/>
      <c r="P69" s="527"/>
      <c r="Q69" s="527"/>
      <c r="R69" s="527"/>
      <c r="S69" s="527"/>
      <c r="T69" s="527"/>
      <c r="U69" s="527"/>
      <c r="V69" s="527"/>
      <c r="W69" s="527"/>
      <c r="X69" s="527"/>
      <c r="Y69" s="527"/>
      <c r="Z69" s="527"/>
      <c r="AA69" s="527"/>
      <c r="AB69" s="527"/>
      <c r="AC69" s="527"/>
    </row>
    <row r="70" spans="1:29" ht="20.250000" customHeight="1">
      <c r="A70" s="194"/>
      <c r="B70" s="194" t="s">
        <v>365</v>
      </c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  <c r="AA70" s="194"/>
      <c r="AB70" s="194"/>
      <c r="AC70" s="194"/>
    </row>
    <row r="71" spans="1:29" ht="20.250000" customHeight="1">
      <c r="A71" s="196"/>
      <c r="B71" s="196"/>
      <c r="C71" s="196" t="s">
        <v>366</v>
      </c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6"/>
      <c r="X71" s="196"/>
      <c r="Y71" s="196"/>
      <c r="Z71" s="196"/>
      <c r="AA71" s="196"/>
      <c r="AB71" s="196"/>
      <c r="AC71" s="196"/>
    </row>
    <row r="72" spans="1:29" ht="20.250000" customHeight="1">
      <c r="A72" s="194"/>
      <c r="B72" s="194" t="s">
        <v>367</v>
      </c>
      <c r="C72" s="194"/>
      <c r="D72" s="194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  <c r="AA72" s="194"/>
      <c r="AB72" s="194"/>
      <c r="AC72" s="194"/>
    </row>
    <row r="73" spans="1:29" ht="20.250000" customHeight="1">
      <c r="A73" s="196"/>
      <c r="B73" s="196"/>
      <c r="C73" s="196" t="s">
        <v>368</v>
      </c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6"/>
      <c r="X73" s="196"/>
      <c r="Y73" s="196"/>
      <c r="Z73" s="196"/>
      <c r="AA73" s="196"/>
      <c r="AB73" s="196"/>
      <c r="AC73" s="196"/>
    </row>
    <row r="74" spans="1:29" ht="20.250000" customHeight="1">
      <c r="A74" s="196"/>
      <c r="B74" s="196"/>
      <c r="C74" s="196" t="s">
        <v>369</v>
      </c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/>
      <c r="W74" s="196"/>
      <c r="X74" s="196"/>
      <c r="Y74" s="196"/>
      <c r="Z74" s="196"/>
      <c r="AA74" s="196"/>
      <c r="AB74" s="196"/>
      <c r="AC74" s="196"/>
    </row>
    <row r="75" spans="1:29" ht="20.250000" customHeight="1">
      <c r="A75" s="196"/>
      <c r="B75" s="196"/>
      <c r="C75" s="196" t="s">
        <v>370</v>
      </c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6"/>
      <c r="W75" s="196"/>
      <c r="X75" s="196"/>
      <c r="Y75" s="196"/>
      <c r="Z75" s="196"/>
      <c r="AA75" s="196"/>
      <c r="AB75" s="196"/>
      <c r="AC75" s="196"/>
    </row>
    <row r="76" spans="1:29" ht="20.250000" customHeight="1">
      <c r="A76" s="196"/>
      <c r="B76" s="196"/>
      <c r="C76" s="196" t="s">
        <v>371</v>
      </c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6"/>
      <c r="W76" s="196"/>
      <c r="X76" s="196"/>
      <c r="Y76" s="196"/>
      <c r="Z76" s="196"/>
      <c r="AA76" s="196"/>
      <c r="AB76" s="196"/>
      <c r="AC76" s="196"/>
    </row>
    <row r="77" spans="1:29" ht="20.250000" customHeight="1">
      <c r="A77" s="196"/>
      <c r="B77" s="196"/>
      <c r="C77" s="196" t="s">
        <v>372</v>
      </c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6"/>
      <c r="W77" s="196"/>
      <c r="X77" s="196"/>
      <c r="Y77" s="196"/>
      <c r="Z77" s="196"/>
      <c r="AA77" s="196"/>
      <c r="AB77" s="196"/>
      <c r="AC77" s="196"/>
    </row>
    <row r="78" spans="1:29" ht="20.250000" customHeight="1">
      <c r="A78" s="194"/>
      <c r="B78" s="194" t="s">
        <v>373</v>
      </c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</row>
    <row r="79" spans="1:29" ht="24.950000" customHeight="1">
      <c r="A79" s="509" t="s">
        <v>271</v>
      </c>
      <c r="B79" s="510"/>
      <c r="C79" s="510"/>
      <c r="D79" s="510"/>
      <c r="E79" s="510"/>
      <c r="F79" s="510"/>
      <c r="G79" s="510"/>
      <c r="H79" s="507" t="s">
        <v>316</v>
      </c>
      <c r="I79" s="507"/>
      <c r="J79" s="507"/>
      <c r="K79" s="507"/>
      <c r="L79" s="507"/>
      <c r="M79" s="507"/>
      <c r="N79" s="507"/>
      <c r="O79" s="507"/>
      <c r="P79" s="507"/>
      <c r="Q79" s="507"/>
      <c r="R79" s="507"/>
      <c r="S79" s="507"/>
      <c r="T79" s="507"/>
      <c r="U79" s="507" t="s">
        <v>310</v>
      </c>
      <c r="V79" s="507"/>
      <c r="W79" s="507"/>
      <c r="X79" s="507"/>
      <c r="Y79" s="517" t="s">
        <v>308</v>
      </c>
      <c r="Z79" s="517"/>
      <c r="AA79" s="517"/>
      <c r="AB79" s="517"/>
      <c r="AC79" s="518"/>
    </row>
    <row r="80" spans="1:29" ht="24.950000" customHeight="1">
      <c r="A80" s="511" t="s">
        <v>272</v>
      </c>
      <c r="B80" s="512"/>
      <c r="C80" s="512"/>
      <c r="D80" s="512"/>
      <c r="E80" s="512"/>
      <c r="F80" s="512"/>
      <c r="G80" s="512"/>
      <c r="H80" s="505" t="s">
        <v>317</v>
      </c>
      <c r="I80" s="505"/>
      <c r="J80" s="505"/>
      <c r="K80" s="505"/>
      <c r="L80" s="505"/>
      <c r="M80" s="505"/>
      <c r="N80" s="505"/>
      <c r="O80" s="505"/>
      <c r="P80" s="505"/>
      <c r="Q80" s="505"/>
      <c r="R80" s="505"/>
      <c r="S80" s="505"/>
      <c r="T80" s="505"/>
      <c r="U80" s="508" t="s">
        <v>311</v>
      </c>
      <c r="V80" s="508"/>
      <c r="W80" s="508"/>
      <c r="X80" s="508"/>
      <c r="Y80" s="519"/>
      <c r="Z80" s="519"/>
      <c r="AA80" s="519"/>
      <c r="AB80" s="519"/>
      <c r="AC80" s="520"/>
    </row>
    <row r="81" spans="1:29" ht="24.950000" customHeight="1">
      <c r="A81" s="511"/>
      <c r="B81" s="512"/>
      <c r="C81" s="512"/>
      <c r="D81" s="512"/>
      <c r="E81" s="512"/>
      <c r="F81" s="512"/>
      <c r="G81" s="512"/>
      <c r="H81" s="505" t="s">
        <v>318</v>
      </c>
      <c r="I81" s="505"/>
      <c r="J81" s="505"/>
      <c r="K81" s="505"/>
      <c r="L81" s="505"/>
      <c r="M81" s="505"/>
      <c r="N81" s="505"/>
      <c r="O81" s="505"/>
      <c r="P81" s="505"/>
      <c r="Q81" s="505"/>
      <c r="R81" s="505"/>
      <c r="S81" s="505"/>
      <c r="T81" s="505"/>
      <c r="U81" s="508" t="s">
        <v>312</v>
      </c>
      <c r="V81" s="508"/>
      <c r="W81" s="508"/>
      <c r="X81" s="508"/>
      <c r="Y81" s="519"/>
      <c r="Z81" s="519"/>
      <c r="AA81" s="519"/>
      <c r="AB81" s="519"/>
      <c r="AC81" s="520"/>
    </row>
    <row r="82" spans="1:29" ht="24.950000" customHeight="1">
      <c r="A82" s="511"/>
      <c r="B82" s="512"/>
      <c r="C82" s="512"/>
      <c r="D82" s="512"/>
      <c r="E82" s="512"/>
      <c r="F82" s="512"/>
      <c r="G82" s="512"/>
      <c r="H82" s="508"/>
      <c r="I82" s="508"/>
      <c r="J82" s="508"/>
      <c r="K82" s="508"/>
      <c r="L82" s="508"/>
      <c r="M82" s="508"/>
      <c r="N82" s="508"/>
      <c r="O82" s="508"/>
      <c r="P82" s="508"/>
      <c r="Q82" s="508"/>
      <c r="R82" s="508"/>
      <c r="S82" s="508"/>
      <c r="T82" s="508"/>
      <c r="U82" s="508" t="s">
        <v>313</v>
      </c>
      <c r="V82" s="508"/>
      <c r="W82" s="508"/>
      <c r="X82" s="508"/>
      <c r="Y82" s="519"/>
      <c r="Z82" s="519"/>
      <c r="AA82" s="519"/>
      <c r="AB82" s="519"/>
      <c r="AC82" s="520"/>
    </row>
    <row r="83" spans="1:29" ht="24.950000" customHeight="1">
      <c r="A83" s="511" t="s">
        <v>273</v>
      </c>
      <c r="B83" s="512"/>
      <c r="C83" s="512"/>
      <c r="D83" s="512"/>
      <c r="E83" s="512"/>
      <c r="F83" s="512"/>
      <c r="G83" s="512"/>
      <c r="H83" s="505" t="s">
        <v>317</v>
      </c>
      <c r="I83" s="505"/>
      <c r="J83" s="505"/>
      <c r="K83" s="505"/>
      <c r="L83" s="505"/>
      <c r="M83" s="505"/>
      <c r="N83" s="505"/>
      <c r="O83" s="505"/>
      <c r="P83" s="505"/>
      <c r="Q83" s="505"/>
      <c r="R83" s="505"/>
      <c r="S83" s="505"/>
      <c r="T83" s="505"/>
      <c r="U83" s="508" t="s">
        <v>311</v>
      </c>
      <c r="V83" s="508"/>
      <c r="W83" s="508"/>
      <c r="X83" s="508"/>
      <c r="Y83" s="519"/>
      <c r="Z83" s="519"/>
      <c r="AA83" s="519"/>
      <c r="AB83" s="519"/>
      <c r="AC83" s="520"/>
    </row>
    <row r="84" spans="1:29" ht="24.950000" customHeight="1">
      <c r="A84" s="511"/>
      <c r="B84" s="512"/>
      <c r="C84" s="512"/>
      <c r="D84" s="512"/>
      <c r="E84" s="512"/>
      <c r="F84" s="512"/>
      <c r="G84" s="512"/>
      <c r="H84" s="505" t="s">
        <v>319</v>
      </c>
      <c r="I84" s="505"/>
      <c r="J84" s="505"/>
      <c r="K84" s="505"/>
      <c r="L84" s="505"/>
      <c r="M84" s="505"/>
      <c r="N84" s="505"/>
      <c r="O84" s="505"/>
      <c r="P84" s="505"/>
      <c r="Q84" s="505"/>
      <c r="R84" s="505"/>
      <c r="S84" s="505"/>
      <c r="T84" s="505"/>
      <c r="U84" s="508" t="s">
        <v>312</v>
      </c>
      <c r="V84" s="508"/>
      <c r="W84" s="508"/>
      <c r="X84" s="508"/>
      <c r="Y84" s="519"/>
      <c r="Z84" s="519"/>
      <c r="AA84" s="519"/>
      <c r="AB84" s="519"/>
      <c r="AC84" s="520"/>
    </row>
    <row r="85" spans="1:29" ht="24.950000" customHeight="1">
      <c r="A85" s="511"/>
      <c r="B85" s="512"/>
      <c r="C85" s="512"/>
      <c r="D85" s="512"/>
      <c r="E85" s="512"/>
      <c r="F85" s="512"/>
      <c r="G85" s="512"/>
      <c r="H85" s="508"/>
      <c r="I85" s="508"/>
      <c r="J85" s="508"/>
      <c r="K85" s="508"/>
      <c r="L85" s="508"/>
      <c r="M85" s="508"/>
      <c r="N85" s="508"/>
      <c r="O85" s="508"/>
      <c r="P85" s="508"/>
      <c r="Q85" s="508"/>
      <c r="R85" s="508"/>
      <c r="S85" s="508"/>
      <c r="T85" s="508"/>
      <c r="U85" s="508" t="s">
        <v>314</v>
      </c>
      <c r="V85" s="508"/>
      <c r="W85" s="508"/>
      <c r="X85" s="508"/>
      <c r="Y85" s="519"/>
      <c r="Z85" s="519"/>
      <c r="AA85" s="519"/>
      <c r="AB85" s="519"/>
      <c r="AC85" s="520"/>
    </row>
    <row r="86" spans="1:29" ht="24.950000" customHeight="1">
      <c r="A86" s="511" t="s">
        <v>274</v>
      </c>
      <c r="B86" s="512"/>
      <c r="C86" s="512"/>
      <c r="D86" s="512"/>
      <c r="E86" s="512"/>
      <c r="F86" s="512"/>
      <c r="G86" s="512"/>
      <c r="H86" s="505" t="s">
        <v>317</v>
      </c>
      <c r="I86" s="505"/>
      <c r="J86" s="505"/>
      <c r="K86" s="505"/>
      <c r="L86" s="505"/>
      <c r="M86" s="505"/>
      <c r="N86" s="505"/>
      <c r="O86" s="505"/>
      <c r="P86" s="505"/>
      <c r="Q86" s="505"/>
      <c r="R86" s="505"/>
      <c r="S86" s="505"/>
      <c r="T86" s="505"/>
      <c r="U86" s="508" t="s">
        <v>311</v>
      </c>
      <c r="V86" s="508"/>
      <c r="W86" s="508"/>
      <c r="X86" s="508"/>
      <c r="Y86" s="519"/>
      <c r="Z86" s="519"/>
      <c r="AA86" s="519"/>
      <c r="AB86" s="519"/>
      <c r="AC86" s="520"/>
    </row>
    <row r="87" spans="1:29" ht="24.950000" customHeight="1">
      <c r="A87" s="511"/>
      <c r="B87" s="512"/>
      <c r="C87" s="512"/>
      <c r="D87" s="512"/>
      <c r="E87" s="512"/>
      <c r="F87" s="512"/>
      <c r="G87" s="512"/>
      <c r="H87" s="505" t="s">
        <v>320</v>
      </c>
      <c r="I87" s="505"/>
      <c r="J87" s="505"/>
      <c r="K87" s="505"/>
      <c r="L87" s="505"/>
      <c r="M87" s="505"/>
      <c r="N87" s="505"/>
      <c r="O87" s="505"/>
      <c r="P87" s="505"/>
      <c r="Q87" s="505"/>
      <c r="R87" s="505"/>
      <c r="S87" s="505"/>
      <c r="T87" s="505"/>
      <c r="U87" s="508" t="s">
        <v>312</v>
      </c>
      <c r="V87" s="508"/>
      <c r="W87" s="508"/>
      <c r="X87" s="508"/>
      <c r="Y87" s="519"/>
      <c r="Z87" s="519"/>
      <c r="AA87" s="519"/>
      <c r="AB87" s="519"/>
      <c r="AC87" s="520"/>
    </row>
    <row r="88" spans="1:29" ht="24.950000" customHeight="1">
      <c r="A88" s="511"/>
      <c r="B88" s="512"/>
      <c r="C88" s="512"/>
      <c r="D88" s="512"/>
      <c r="E88" s="512"/>
      <c r="F88" s="512"/>
      <c r="G88" s="512"/>
      <c r="H88" s="508"/>
      <c r="I88" s="508"/>
      <c r="J88" s="508"/>
      <c r="K88" s="508"/>
      <c r="L88" s="508"/>
      <c r="M88" s="508"/>
      <c r="N88" s="508"/>
      <c r="O88" s="508"/>
      <c r="P88" s="508"/>
      <c r="Q88" s="508"/>
      <c r="R88" s="508"/>
      <c r="S88" s="508"/>
      <c r="T88" s="508"/>
      <c r="U88" s="508" t="s">
        <v>315</v>
      </c>
      <c r="V88" s="508"/>
      <c r="W88" s="508"/>
      <c r="X88" s="508"/>
      <c r="Y88" s="519"/>
      <c r="Z88" s="519"/>
      <c r="AA88" s="519"/>
      <c r="AB88" s="519"/>
      <c r="AC88" s="520"/>
    </row>
    <row r="89" spans="1:29" ht="24.950000" customHeight="1">
      <c r="A89" s="511" t="s">
        <v>275</v>
      </c>
      <c r="B89" s="512"/>
      <c r="C89" s="512"/>
      <c r="D89" s="512"/>
      <c r="E89" s="512"/>
      <c r="F89" s="512"/>
      <c r="G89" s="512"/>
      <c r="H89" s="505" t="s">
        <v>321</v>
      </c>
      <c r="I89" s="505"/>
      <c r="J89" s="505"/>
      <c r="K89" s="505"/>
      <c r="L89" s="505"/>
      <c r="M89" s="505"/>
      <c r="N89" s="505"/>
      <c r="O89" s="505"/>
      <c r="P89" s="505"/>
      <c r="Q89" s="505"/>
      <c r="R89" s="505"/>
      <c r="S89" s="505"/>
      <c r="T89" s="505"/>
      <c r="U89" s="508" t="s">
        <v>311</v>
      </c>
      <c r="V89" s="508"/>
      <c r="W89" s="508"/>
      <c r="X89" s="508"/>
      <c r="Y89" s="519"/>
      <c r="Z89" s="519"/>
      <c r="AA89" s="519"/>
      <c r="AB89" s="519"/>
      <c r="AC89" s="520"/>
    </row>
    <row r="90" spans="1:29" ht="24.950000" customHeight="1">
      <c r="A90" s="511"/>
      <c r="B90" s="512"/>
      <c r="C90" s="512"/>
      <c r="D90" s="512"/>
      <c r="E90" s="512"/>
      <c r="F90" s="512"/>
      <c r="G90" s="512"/>
      <c r="H90" s="505"/>
      <c r="I90" s="505"/>
      <c r="J90" s="505"/>
      <c r="K90" s="505"/>
      <c r="L90" s="505"/>
      <c r="M90" s="505"/>
      <c r="N90" s="505"/>
      <c r="O90" s="505"/>
      <c r="P90" s="505"/>
      <c r="Q90" s="505"/>
      <c r="R90" s="505"/>
      <c r="S90" s="505"/>
      <c r="T90" s="505"/>
      <c r="U90" s="508" t="s">
        <v>315</v>
      </c>
      <c r="V90" s="508"/>
      <c r="W90" s="508"/>
      <c r="X90" s="508"/>
      <c r="Y90" s="519"/>
      <c r="Z90" s="519"/>
      <c r="AA90" s="519"/>
      <c r="AB90" s="519"/>
      <c r="AC90" s="520"/>
    </row>
    <row r="91" spans="1:29" ht="24.950000" customHeight="1">
      <c r="A91" s="511" t="s">
        <v>276</v>
      </c>
      <c r="B91" s="512"/>
      <c r="C91" s="512"/>
      <c r="D91" s="512"/>
      <c r="E91" s="512"/>
      <c r="F91" s="512"/>
      <c r="G91" s="512"/>
      <c r="H91" s="505" t="s">
        <v>322</v>
      </c>
      <c r="I91" s="505"/>
      <c r="J91" s="505"/>
      <c r="K91" s="505"/>
      <c r="L91" s="505"/>
      <c r="M91" s="505"/>
      <c r="N91" s="505"/>
      <c r="O91" s="505"/>
      <c r="P91" s="505"/>
      <c r="Q91" s="505"/>
      <c r="R91" s="505"/>
      <c r="S91" s="505"/>
      <c r="T91" s="505"/>
      <c r="U91" s="508"/>
      <c r="V91" s="508"/>
      <c r="W91" s="508"/>
      <c r="X91" s="508"/>
      <c r="Y91" s="521" t="s">
        <v>309</v>
      </c>
      <c r="Z91" s="521"/>
      <c r="AA91" s="521"/>
      <c r="AB91" s="521"/>
      <c r="AC91" s="522"/>
    </row>
    <row r="92" spans="1:29" ht="24.950000" customHeight="1">
      <c r="A92" s="513"/>
      <c r="B92" s="514"/>
      <c r="C92" s="514"/>
      <c r="D92" s="514"/>
      <c r="E92" s="514"/>
      <c r="F92" s="514"/>
      <c r="G92" s="514"/>
      <c r="H92" s="506" t="s">
        <v>374</v>
      </c>
      <c r="I92" s="506"/>
      <c r="J92" s="506"/>
      <c r="K92" s="506"/>
      <c r="L92" s="506"/>
      <c r="M92" s="506"/>
      <c r="N92" s="506"/>
      <c r="O92" s="506"/>
      <c r="P92" s="506"/>
      <c r="Q92" s="506"/>
      <c r="R92" s="506"/>
      <c r="S92" s="506"/>
      <c r="T92" s="506"/>
      <c r="U92" s="525"/>
      <c r="V92" s="525"/>
      <c r="W92" s="525"/>
      <c r="X92" s="525"/>
      <c r="Y92" s="523"/>
      <c r="Z92" s="523"/>
      <c r="AA92" s="523"/>
      <c r="AB92" s="523"/>
      <c r="AC92" s="524"/>
    </row>
    <row r="93" spans="1:29" ht="15.000000">
      <c r="A93" s="20"/>
    </row>
  </sheetData>
  <mergeCells count="137">
    <mergeCell ref="A5:E5"/>
    <mergeCell ref="B8:AC8"/>
    <mergeCell ref="C12:G12"/>
    <mergeCell ref="C13:F13"/>
    <mergeCell ref="C14:G14"/>
    <mergeCell ref="C15:AC15"/>
    <mergeCell ref="C18:AC18"/>
    <mergeCell ref="A24:AC24"/>
    <mergeCell ref="A51:AC51"/>
    <mergeCell ref="A52:B52"/>
    <mergeCell ref="C52:C53"/>
    <mergeCell ref="D52:D53"/>
    <mergeCell ref="E52:E53"/>
    <mergeCell ref="F52:F53"/>
    <mergeCell ref="G52:G53"/>
    <mergeCell ref="H52:H53"/>
    <mergeCell ref="I52:I53"/>
    <mergeCell ref="J52:J53"/>
    <mergeCell ref="K52:K53"/>
    <mergeCell ref="L52:L53"/>
    <mergeCell ref="M52:M53"/>
    <mergeCell ref="N52:N53"/>
    <mergeCell ref="O52:O53"/>
    <mergeCell ref="P52:P53"/>
    <mergeCell ref="Q52:Q53"/>
    <mergeCell ref="R52:R53"/>
    <mergeCell ref="S52:S53"/>
    <mergeCell ref="T52:T53"/>
    <mergeCell ref="U52:U53"/>
    <mergeCell ref="V52:V53"/>
    <mergeCell ref="W52:W53"/>
    <mergeCell ref="X52:X53"/>
    <mergeCell ref="Y52:Y53"/>
    <mergeCell ref="Z52:Z53"/>
    <mergeCell ref="AA52:AA53"/>
    <mergeCell ref="AB52:AB53"/>
    <mergeCell ref="AC52:AC53"/>
    <mergeCell ref="A53:B53"/>
    <mergeCell ref="B54:B55"/>
    <mergeCell ref="C54:C55"/>
    <mergeCell ref="D54:D55"/>
    <mergeCell ref="E54:E55"/>
    <mergeCell ref="F54:F55"/>
    <mergeCell ref="G54:G55"/>
    <mergeCell ref="H54:H55"/>
    <mergeCell ref="I54:I55"/>
    <mergeCell ref="J54:J55"/>
    <mergeCell ref="K54:K55"/>
    <mergeCell ref="L54:L55"/>
    <mergeCell ref="M54:M55"/>
    <mergeCell ref="N54:N55"/>
    <mergeCell ref="O54:O55"/>
    <mergeCell ref="P54:P55"/>
    <mergeCell ref="Q54:Q55"/>
    <mergeCell ref="R54:R55"/>
    <mergeCell ref="S54:S55"/>
    <mergeCell ref="T54:T55"/>
    <mergeCell ref="U54:U55"/>
    <mergeCell ref="V54:V55"/>
    <mergeCell ref="W54:W55"/>
    <mergeCell ref="X54:X55"/>
    <mergeCell ref="Y54:Y55"/>
    <mergeCell ref="Z54:Z55"/>
    <mergeCell ref="AA54:AA55"/>
    <mergeCell ref="AB54:AB55"/>
    <mergeCell ref="B56:B59"/>
    <mergeCell ref="C56:C59"/>
    <mergeCell ref="D56:D59"/>
    <mergeCell ref="E56:E59"/>
    <mergeCell ref="F56:F59"/>
    <mergeCell ref="G56:G59"/>
    <mergeCell ref="H56:H59"/>
    <mergeCell ref="I56:I59"/>
    <mergeCell ref="J56:J59"/>
    <mergeCell ref="K56:K59"/>
    <mergeCell ref="L56:L59"/>
    <mergeCell ref="M56:M59"/>
    <mergeCell ref="N56:N59"/>
    <mergeCell ref="O56:O59"/>
    <mergeCell ref="P56:P59"/>
    <mergeCell ref="Q56:Q59"/>
    <mergeCell ref="R56:R59"/>
    <mergeCell ref="S56:S59"/>
    <mergeCell ref="T56:T59"/>
    <mergeCell ref="U56:U59"/>
    <mergeCell ref="V56:V59"/>
    <mergeCell ref="W56:W59"/>
    <mergeCell ref="X56:X59"/>
    <mergeCell ref="Y56:Y59"/>
    <mergeCell ref="Z56:Z59"/>
    <mergeCell ref="AA56:AA59"/>
    <mergeCell ref="AB56:AB59"/>
    <mergeCell ref="A64:AC64"/>
    <mergeCell ref="B65:AC65"/>
    <mergeCell ref="B66:AC66"/>
    <mergeCell ref="B67:AC67"/>
    <mergeCell ref="B68:AC68"/>
    <mergeCell ref="A69:AC69"/>
    <mergeCell ref="A79:G79"/>
    <mergeCell ref="H79:T79"/>
    <mergeCell ref="U79:X79"/>
    <mergeCell ref="Y79:AC79"/>
    <mergeCell ref="A80:G82"/>
    <mergeCell ref="H80:T80"/>
    <mergeCell ref="U80:X80"/>
    <mergeCell ref="Y80:AC82"/>
    <mergeCell ref="H81:T81"/>
    <mergeCell ref="U81:X81"/>
    <mergeCell ref="H82:T82"/>
    <mergeCell ref="U82:X82"/>
    <mergeCell ref="A83:G85"/>
    <mergeCell ref="H83:T83"/>
    <mergeCell ref="U83:X83"/>
    <mergeCell ref="Y83:AC85"/>
    <mergeCell ref="H84:T84"/>
    <mergeCell ref="U84:X84"/>
    <mergeCell ref="H85:T85"/>
    <mergeCell ref="U85:X85"/>
    <mergeCell ref="A86:G88"/>
    <mergeCell ref="H86:T86"/>
    <mergeCell ref="U86:X86"/>
    <mergeCell ref="Y86:AC88"/>
    <mergeCell ref="H87:T87"/>
    <mergeCell ref="U87:X87"/>
    <mergeCell ref="H88:T88"/>
    <mergeCell ref="U88:X88"/>
    <mergeCell ref="A89:G90"/>
    <mergeCell ref="H89:T90"/>
    <mergeCell ref="U89:X89"/>
    <mergeCell ref="Y89:AC90"/>
    <mergeCell ref="U90:X90"/>
    <mergeCell ref="A91:G92"/>
    <mergeCell ref="H91:T91"/>
    <mergeCell ref="U91:X91"/>
    <mergeCell ref="Y91:AC92"/>
    <mergeCell ref="H92:T92"/>
    <mergeCell ref="U92:X92"/>
  </mergeCells>
  <phoneticPr fontId="1" type="noConversion"/>
  <printOptions horizontalCentered="1" verticalCentered="1"/>
  <pageMargins left="0.25" right="0.25" top="0.75" bottom="0.75" header="0.30" footer="0.30"/>
  <pageSetup paperSize="9" scale="94" orientation="portrait"/>
  <rowBreaks count="2" manualBreakCount="2">
    <brk id="41" max="16383" man="1"/>
    <brk id="68" max="16383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6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사랑의나무</dc:creator>
  <cp:lastModifiedBy>djg04078</cp:lastModifiedBy>
  <dcterms:modified xsi:type="dcterms:W3CDTF">2026-05-08T07:45:53Z</dcterms:modified>
</cp:coreProperties>
</file>