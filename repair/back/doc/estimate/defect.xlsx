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12"/>
  <workbookPr codeName="ThisWorkbook"/>
  <mc:AlternateContent xmlns:mc="http://schemas.openxmlformats.org/markup-compatibility/2006">
    <mc:Choice Requires="x15">
      <x15ac:absPath xmlns:x15ac="http://schemas.microsoft.com/office/spreadsheetml/2010/11/ac" url="/Users/seongjaehyeon/anb_origin2/repair/back/doc/estimate/"/>
    </mc:Choice>
  </mc:AlternateContent>
  <xr:revisionPtr revIDLastSave="0" documentId="13_ncr:1_{570CEA6B-32C3-5941-882F-507324241774}" xr6:coauthVersionLast="47" xr6:coauthVersionMax="47" xr10:uidLastSave="{00000000-0000-0000-0000-000000000000}"/>
  <bookViews>
    <workbookView xWindow="17100" yWindow="680" windowWidth="17100" windowHeight="19800" tabRatio="731" activeTab="1" xr2:uid="{00000000-000D-0000-FFFF-FFFF00000000}"/>
  </bookViews>
  <sheets>
    <sheet name="갑지" sheetId="21" r:id="rId1"/>
    <sheet name="대가산출" sheetId="22" r:id="rId2"/>
    <sheet name="계약서1" sheetId="20" r:id="rId3"/>
  </sheets>
  <externalReferences>
    <externalReference r:id="rId4"/>
  </externalReferences>
  <definedNames>
    <definedName name="_1.전기공사" localSheetId="2">#REF!</definedName>
    <definedName name="_1.전기공사">#REF!</definedName>
    <definedName name="_A100000" localSheetId="2">#REF!</definedName>
    <definedName name="_A100000">#REF!</definedName>
    <definedName name="_A66000" localSheetId="2">#REF!</definedName>
    <definedName name="_A66000">#REF!</definedName>
    <definedName name="_A67000" localSheetId="2">#REF!</definedName>
    <definedName name="_A67000">#REF!</definedName>
    <definedName name="_A68000" localSheetId="2">#REF!</definedName>
    <definedName name="_A68000">#REF!</definedName>
    <definedName name="_A80000" localSheetId="2">#REF!</definedName>
    <definedName name="_A80000">#REF!</definedName>
    <definedName name="_Fill" localSheetId="2" hidden="1">#REF!</definedName>
    <definedName name="_Fill" hidden="1">#REF!</definedName>
    <definedName name="_Key1" localSheetId="2" hidden="1">#REF!</definedName>
    <definedName name="_Key1" hidden="1">#REF!</definedName>
    <definedName name="_Key2" localSheetId="2" hidden="1">#REF!</definedName>
    <definedName name="_Key2" hidden="1">#REF!</definedName>
    <definedName name="_Order1" hidden="1">255</definedName>
    <definedName name="_Order2" hidden="1">255</definedName>
    <definedName name="_Sort" localSheetId="2" hidden="1">#REF!</definedName>
    <definedName name="_Sort" hidden="1">#REF!</definedName>
    <definedName name="_zz1" localSheetId="2">#REF!</definedName>
    <definedName name="_zz1">#REF!</definedName>
    <definedName name="가맹" localSheetId="2">#REF!</definedName>
    <definedName name="가맹">#REF!</definedName>
    <definedName name="가설공" localSheetId="2">#REF!</definedName>
    <definedName name="가설공">#REF!</definedName>
    <definedName name="가시설" localSheetId="2">#REF!</definedName>
    <definedName name="가시설">#REF!</definedName>
    <definedName name="감사.." localSheetId="2">#REF!</definedName>
    <definedName name="감사..">#REF!</definedName>
    <definedName name="갑지" localSheetId="2">#REF!</definedName>
    <definedName name="갑지">#REF!</definedName>
    <definedName name="건물용도" localSheetId="2">#REF!</definedName>
    <definedName name="건물용도">#REF!</definedName>
    <definedName name="건축" localSheetId="2">#REF!</definedName>
    <definedName name="건축">#REF!</definedName>
    <definedName name="경과년수">#REF!</definedName>
    <definedName name="계측기" localSheetId="0">#REF!,#REF!</definedName>
    <definedName name="계측기">#REF!,#REF!</definedName>
    <definedName name="고급" localSheetId="2">#REF!</definedName>
    <definedName name="고급">#REF!</definedName>
    <definedName name="고케">70455</definedName>
    <definedName name="공사명" localSheetId="2">#REF!</definedName>
    <definedName name="공사명">#REF!</definedName>
    <definedName name="공정수량" localSheetId="2">#REF!</definedName>
    <definedName name="공정수량">#REF!</definedName>
    <definedName name="공정집계" localSheetId="2">#REF!</definedName>
    <definedName name="공정집계">#REF!</definedName>
    <definedName name="공조실급수2" localSheetId="2">#REF!</definedName>
    <definedName name="공조실급수2">#REF!</definedName>
    <definedName name="구구일일">#REF!</definedName>
    <definedName name="구조방식" localSheetId="2">#REF!</definedName>
    <definedName name="구조방식">#REF!</definedName>
    <definedName name="구조형식" localSheetId="2">#REF!</definedName>
    <definedName name="구조형식">#REF!</definedName>
    <definedName name="근린합계" localSheetId="2">#REF!</definedName>
    <definedName name="근린합계">#REF!</definedName>
    <definedName name="기술료" localSheetId="2">#REF!</definedName>
    <definedName name="기술료">#REF!</definedName>
    <definedName name="기술사" localSheetId="2">#REF!</definedName>
    <definedName name="기술사">#REF!</definedName>
    <definedName name="기초대가" localSheetId="2">#REF!</definedName>
    <definedName name="기초대가">#REF!</definedName>
    <definedName name="내선">49296</definedName>
    <definedName name="내업" localSheetId="2">#REF!</definedName>
    <definedName name="내업">#REF!</definedName>
    <definedName name="내역" localSheetId="2">#REF!</definedName>
    <definedName name="내역">#REF!</definedName>
    <definedName name="내역111111111111111">#REF!</definedName>
    <definedName name="내역15회" localSheetId="2">#REF!</definedName>
    <definedName name="내역15회">#REF!</definedName>
    <definedName name="내역서" localSheetId="2">#REF!</definedName>
    <definedName name="내역서">#REF!</definedName>
    <definedName name="내역서01" localSheetId="2">#REF!</definedName>
    <definedName name="내역서01">#REF!</definedName>
    <definedName name="내역서02">#REF!</definedName>
    <definedName name="노임" localSheetId="2">#REF!</definedName>
    <definedName name="노임">#REF!</definedName>
    <definedName name="노임단가">#REF!</definedName>
    <definedName name="단가" localSheetId="2">#REF!</definedName>
    <definedName name="단가">#REF!</definedName>
    <definedName name="단지합계" localSheetId="2">#REF!</definedName>
    <definedName name="단지합계">#REF!</definedName>
    <definedName name="대구" localSheetId="2">#REF!</definedName>
    <definedName name="대구">#REF!</definedName>
    <definedName name="대구방범확정" localSheetId="2">#REF!</definedName>
    <definedName name="대구방범확정">#REF!</definedName>
    <definedName name="대외" localSheetId="2">#REF!</definedName>
    <definedName name="대외">#REF!</definedName>
    <definedName name="대외공문웅상" localSheetId="2">#REF!</definedName>
    <definedName name="대외공문웅상">#REF!</definedName>
    <definedName name="동락내역" localSheetId="2">#REF!</definedName>
    <definedName name="동락내역">#REF!</definedName>
    <definedName name="ㅁ1180" localSheetId="2">#REF!</definedName>
    <definedName name="ㅁ1180">#REF!</definedName>
    <definedName name="ㅁㅁ" localSheetId="2">#REF!</definedName>
    <definedName name="ㅁㅁ">#REF!</definedName>
    <definedName name="마산내역서" localSheetId="2">#REF!</definedName>
    <definedName name="마산내역서">#REF!</definedName>
    <definedName name="매크로19" localSheetId="2">#REF!</definedName>
    <definedName name="매크로19">#REF!</definedName>
    <definedName name="몰라" localSheetId="2">#REF!</definedName>
    <definedName name="몰라">#REF!</definedName>
    <definedName name="ㅂ">#REF!</definedName>
    <definedName name="ㅂ12">#REF!,#REF!</definedName>
    <definedName name="발주공사비" localSheetId="2">#REF!</definedName>
    <definedName name="발주공사비">#REF!</definedName>
    <definedName name="배전">182333</definedName>
    <definedName name="보통">34360</definedName>
    <definedName name="본점엔트런스계약의뢰" localSheetId="2">#REF!</definedName>
    <definedName name="본점엔트런스계약의뢰">#REF!</definedName>
    <definedName name="부대공" localSheetId="2">#REF!</definedName>
    <definedName name="부대공">#REF!</definedName>
    <definedName name="부대공사" localSheetId="2">#REF!</definedName>
    <definedName name="부대공사">#REF!</definedName>
    <definedName name="ㅅㄱ" localSheetId="2">#REF!</definedName>
    <definedName name="ㅅㄱ">#REF!</definedName>
    <definedName name="사급자재" localSheetId="2">#REF!</definedName>
    <definedName name="사급자재">#REF!</definedName>
    <definedName name="산출근거" localSheetId="2">#REF!</definedName>
    <definedName name="산출근거">#REF!</definedName>
    <definedName name="상우" localSheetId="2">#REF!</definedName>
    <definedName name="상우">#REF!</definedName>
    <definedName name="새수량">#REF!,#REF!</definedName>
    <definedName name="설비" localSheetId="2">#REF!</definedName>
    <definedName name="설비">#REF!</definedName>
    <definedName name="수량" localSheetId="2">#REF!</definedName>
    <definedName name="수량">#REF!</definedName>
    <definedName name="순공사" localSheetId="2">#REF!</definedName>
    <definedName name="순공사">#REF!</definedName>
    <definedName name="순공사비" localSheetId="2">#REF!</definedName>
    <definedName name="순공사비">#REF!</definedName>
    <definedName name="순공사비계" localSheetId="2">#REF!</definedName>
    <definedName name="순공사비계">#REF!</definedName>
    <definedName name="ㅇ" localSheetId="2">#REF!</definedName>
    <definedName name="ㅇ">#REF!</definedName>
    <definedName name="ㅇㄹㅇ" localSheetId="2">#REF!</definedName>
    <definedName name="ㅇㄹㅇ">#REF!</definedName>
    <definedName name="ㅇㅇ" localSheetId="2">#REF!</definedName>
    <definedName name="ㅇㅇ">#REF!</definedName>
    <definedName name="안전통로조서" localSheetId="0">{"Book1","01-1월자금청구.xls"}</definedName>
    <definedName name="안전통로조서" localSheetId="2">{"Book1","01-1월자금청구.xls"}</definedName>
    <definedName name="안전통로조서" localSheetId="1">{"Book1","01-1월자금청구.xls"}</definedName>
    <definedName name="안전통로조서">{"Book1","01-1월자금청구.xls"}</definedName>
    <definedName name="여벌" localSheetId="2">#REF!</definedName>
    <definedName name="여벌">#REF!</definedName>
    <definedName name="영구배수" localSheetId="0">#REF!,#REF!</definedName>
    <definedName name="영구배수">#REF!,#REF!</definedName>
    <definedName name="영구배수1">#REF!,#REF!</definedName>
    <definedName name="용도" localSheetId="2">#REF!</definedName>
    <definedName name="용도">#REF!</definedName>
    <definedName name="용역" localSheetId="2">#REF!</definedName>
    <definedName name="용역">#REF!</definedName>
    <definedName name="이름">#REF!</definedName>
    <definedName name="인력품" localSheetId="2">#REF!</definedName>
    <definedName name="인력품">#REF!</definedName>
    <definedName name="인테리어" localSheetId="2">#REF!</definedName>
    <definedName name="인테리어">#REF!</definedName>
    <definedName name="일대1" localSheetId="2">#REF!</definedName>
    <definedName name="일대1">#REF!</definedName>
    <definedName name="일위" localSheetId="2">#REF!</definedName>
    <definedName name="일위">#REF!</definedName>
    <definedName name="일위1" localSheetId="2">#REF!</definedName>
    <definedName name="일위1">#REF!</definedName>
    <definedName name="일위대가" localSheetId="2">#REF!</definedName>
    <definedName name="일위대가">#REF!</definedName>
    <definedName name="일위목록" localSheetId="2">#REF!</definedName>
    <definedName name="일위목록">#REF!</definedName>
    <definedName name="일위수량" localSheetId="2">#REF!</definedName>
    <definedName name="일위수량">#REF!</definedName>
    <definedName name="자재">#REF!,#REF!</definedName>
    <definedName name="자재단가" localSheetId="2">#REF!</definedName>
    <definedName name="자재단가">#REF!</definedName>
    <definedName name="자재비" localSheetId="2">#REF!</definedName>
    <definedName name="자재비">#REF!</definedName>
    <definedName name="자재비." localSheetId="2">#REF!</definedName>
    <definedName name="자재비.">#REF!</definedName>
    <definedName name="자재집계">#REF!,#REF!</definedName>
    <definedName name="자탐" localSheetId="2">#REF!</definedName>
    <definedName name="자탐">#REF!</definedName>
    <definedName name="저케">62694</definedName>
    <definedName name="전기" localSheetId="2">#REF!</definedName>
    <definedName name="전기">#REF!</definedName>
    <definedName name="정립특수" localSheetId="0">{"Book1","01-1월자금청구.xls"}</definedName>
    <definedName name="정립특수" localSheetId="2">{"Book1","01-1월자금청구.xls"}</definedName>
    <definedName name="정립특수" localSheetId="1">{"Book1","01-1월자금청구.xls"}</definedName>
    <definedName name="정립특수">{"Book1","01-1월자금청구.xls"}</definedName>
    <definedName name="제경비" localSheetId="2">#REF!</definedName>
    <definedName name="제경비">#REF!</definedName>
    <definedName name="제작비" localSheetId="2">#REF!</definedName>
    <definedName name="제작비">#REF!</definedName>
    <definedName name="주배수" localSheetId="2">#REF!</definedName>
    <definedName name="주배수">#REF!</definedName>
    <definedName name="주변부대" localSheetId="2">#REF!</definedName>
    <definedName name="주변부대">#REF!</definedName>
    <definedName name="주부대공" localSheetId="2">#REF!</definedName>
    <definedName name="주부대공">#REF!</definedName>
    <definedName name="주토공" localSheetId="2">#REF!</definedName>
    <definedName name="주토공">#REF!</definedName>
    <definedName name="중급" localSheetId="2">#REF!</definedName>
    <definedName name="중급">#REF!</definedName>
    <definedName name="중기목록" localSheetId="2">#REF!</definedName>
    <definedName name="중기목록">#REF!</definedName>
    <definedName name="지급자재" localSheetId="2">#REF!</definedName>
    <definedName name="지급자재">#REF!</definedName>
    <definedName name="지급자재비계" localSheetId="2">#REF!</definedName>
    <definedName name="지급자재비계">#REF!</definedName>
    <definedName name="지하" localSheetId="2">#REF!</definedName>
    <definedName name="지하">#REF!</definedName>
    <definedName name="직영" localSheetId="2">#REF!</definedName>
    <definedName name="직영">#REF!</definedName>
    <definedName name="직접경비" localSheetId="2">#REF!</definedName>
    <definedName name="직접경비">#REF!</definedName>
    <definedName name="ㅊ2409" localSheetId="2">#REF!</definedName>
    <definedName name="ㅊ2409">#REF!</definedName>
    <definedName name="책정금액" localSheetId="2">#REF!</definedName>
    <definedName name="책정금액">#REF!</definedName>
    <definedName name="초급" localSheetId="2">#REF!</definedName>
    <definedName name="초급">#REF!</definedName>
    <definedName name="토공사" localSheetId="2">#REF!</definedName>
    <definedName name="토공사">#REF!</definedName>
    <definedName name="토공사2" localSheetId="0">#REF!,#REF!</definedName>
    <definedName name="토공사2">#REF!,#REF!</definedName>
    <definedName name="토목" localSheetId="2">#REF!</definedName>
    <definedName name="토목">#REF!</definedName>
    <definedName name="통내">56623</definedName>
    <definedName name="통케">83279</definedName>
    <definedName name="투수콘" localSheetId="2">#REF!</definedName>
    <definedName name="투수콘">#REF!</definedName>
    <definedName name="특케">111738</definedName>
    <definedName name="폐기물처리용역" localSheetId="2">#REF!</definedName>
    <definedName name="폐기물처리용역">#REF!</definedName>
    <definedName name="포장공사" localSheetId="2">#REF!</definedName>
    <definedName name="포장공사">#REF!</definedName>
    <definedName name="포항내역서" localSheetId="2">#REF!</definedName>
    <definedName name="포항내역서">#REF!</definedName>
    <definedName name="표지" localSheetId="2" hidden="1">#REF!</definedName>
    <definedName name="표지" hidden="1">#REF!</definedName>
    <definedName name="표지2" localSheetId="2" hidden="1">#REF!</definedName>
    <definedName name="표지2" hidden="1">#REF!</definedName>
    <definedName name="표지3" localSheetId="2">#REF!</definedName>
    <definedName name="표지3">#REF!</definedName>
    <definedName name="품명" localSheetId="2">#REF!</definedName>
    <definedName name="품명">#REF!</definedName>
    <definedName name="한자">[1]숫자읽기!$U$3:$V$12</definedName>
    <definedName name="합계금액" localSheetId="0">#REF!</definedName>
    <definedName name="합계금액" localSheetId="2">#REF!</definedName>
    <definedName name="합계금액">#REF!</definedName>
    <definedName name="형식" localSheetId="2">#REF!</definedName>
    <definedName name="형식">#REF!</definedName>
    <definedName name="a" localSheetId="2">#REF!</definedName>
    <definedName name="a">#REF!</definedName>
    <definedName name="aaa" localSheetId="2">#REF!</definedName>
    <definedName name="aaa">#REF!</definedName>
    <definedName name="aaaaaaaaaaaaaa" localSheetId="2">#REF!</definedName>
    <definedName name="aaaaaaaaaaaaaa">#REF!</definedName>
    <definedName name="ABC" localSheetId="0">#REF!,#REF!</definedName>
    <definedName name="ABC">#REF!,#REF!</definedName>
    <definedName name="AS">#REF!,#REF!</definedName>
    <definedName name="AUAcºn" localSheetId="2">#REF!</definedName>
    <definedName name="AUAcºn">#REF!</definedName>
    <definedName name="Client" localSheetId="2">#REF!</definedName>
    <definedName name="Client">#REF!</definedName>
    <definedName name="CM" localSheetId="2">#REF!</definedName>
    <definedName name="CM">#REF!</definedName>
    <definedName name="cse" localSheetId="2">#REF!</definedName>
    <definedName name="cse">#REF!</definedName>
    <definedName name="_xlnm.Database" localSheetId="2">#REF!</definedName>
    <definedName name="_xlnm.Database">#REF!</definedName>
    <definedName name="DATABASE1" localSheetId="2">#REF!</definedName>
    <definedName name="DATABASE1">#REF!</definedName>
    <definedName name="Date_Bidding" localSheetId="2">#REF!</definedName>
    <definedName name="Date_Bidding">#REF!</definedName>
    <definedName name="ddq">#REF!,#REF!</definedName>
    <definedName name="Document_array" localSheetId="0">{"Book1","01-1월자금청구.xls"}</definedName>
    <definedName name="Document_array" localSheetId="2">{"Book1","01-1월자금청구.xls"}</definedName>
    <definedName name="Document_array" localSheetId="1">{"Book1","01-1월자금청구.xls"}</definedName>
    <definedName name="Document_array">{"Book1","01-1월자금청구.xls"}</definedName>
    <definedName name="DROW">#N/A</definedName>
    <definedName name="ek" localSheetId="2">#REF!</definedName>
    <definedName name="ek">#REF!</definedName>
    <definedName name="eorn1" localSheetId="2">#REF!</definedName>
    <definedName name="eorn1">#REF!</definedName>
    <definedName name="Exchange_Rate" localSheetId="2">#REF!</definedName>
    <definedName name="Exchange_Rate">#REF!</definedName>
    <definedName name="_xlnm.Extract" localSheetId="2">#REF!</definedName>
    <definedName name="_xlnm.Extract">#REF!</definedName>
    <definedName name="extract1" localSheetId="2">#REF!</definedName>
    <definedName name="extract1">#REF!</definedName>
    <definedName name="f" localSheetId="2">#REF!</definedName>
    <definedName name="f">#REF!</definedName>
    <definedName name="fgf" localSheetId="2">#REF!</definedName>
    <definedName name="fgf">#REF!</definedName>
    <definedName name="gidtlr" localSheetId="2">#REF!</definedName>
    <definedName name="gidtlr">#REF!</definedName>
    <definedName name="J" localSheetId="2">#REF!</definedName>
    <definedName name="J">#REF!</definedName>
    <definedName name="JL" localSheetId="0">#REF!,#REF!</definedName>
    <definedName name="JL">#REF!,#REF!</definedName>
    <definedName name="lw" localSheetId="2">#REF!</definedName>
    <definedName name="lw">#REF!</definedName>
    <definedName name="Out_of_Scope" localSheetId="2">#REF!</definedName>
    <definedName name="Out_of_Scope">#REF!</definedName>
    <definedName name="P_1" localSheetId="2">#REF!</definedName>
    <definedName name="P_1">#REF!</definedName>
    <definedName name="P_2" localSheetId="2">#REF!</definedName>
    <definedName name="P_2">#REF!</definedName>
    <definedName name="P_3" localSheetId="2">#REF!</definedName>
    <definedName name="P_3">#REF!</definedName>
    <definedName name="P_4" localSheetId="2">#REF!</definedName>
    <definedName name="P_4">#REF!</definedName>
    <definedName name="Period_Const" localSheetId="2">#REF!</definedName>
    <definedName name="Period_Const">#REF!</definedName>
    <definedName name="phc" localSheetId="2">#REF!</definedName>
    <definedName name="phc">#REF!</definedName>
    <definedName name="_xlnm.Print_Area" localSheetId="0">갑지!$B$1:$AC$38</definedName>
    <definedName name="_xlnm.Print_Area" localSheetId="2">계약서1!$B$1:$U$106</definedName>
    <definedName name="_xlnm.Print_Area" localSheetId="1">대가산출!$B$1:$I$36</definedName>
    <definedName name="_xlnm.Print_Area">#REF!</definedName>
    <definedName name="PRINT_AREA_MI" localSheetId="2">#REF!</definedName>
    <definedName name="PRINT_AREA_MI">#REF!</definedName>
    <definedName name="PRINT_AREA_MI1" localSheetId="2">#REF!</definedName>
    <definedName name="PRINT_AREA_MI1">#REF!</definedName>
    <definedName name="print_title" localSheetId="2">#REF!</definedName>
    <definedName name="print_title">#REF!</definedName>
    <definedName name="_xlnm.Print_Titles">#REF!</definedName>
    <definedName name="PRINT_TITLES_MI" localSheetId="2">#REF!</definedName>
    <definedName name="PRINT_TITLES_MI">#REF!</definedName>
    <definedName name="PRINT_TITLES_MI1" localSheetId="2">#REF!</definedName>
    <definedName name="PRINT_TITLES_MI1">#REF!</definedName>
    <definedName name="Q" localSheetId="2">#REF!</definedName>
    <definedName name="Q">#REF!</definedName>
    <definedName name="QQQ" localSheetId="2">#REF!</definedName>
    <definedName name="QQQ">#REF!</definedName>
    <definedName name="RCD" localSheetId="0">#REF!,#REF!</definedName>
    <definedName name="RCD">#REF!,#REF!</definedName>
    <definedName name="s">#REF!,#REF!</definedName>
    <definedName name="sd">#REF!,#REF!</definedName>
    <definedName name="SSS" localSheetId="2">#REF!</definedName>
    <definedName name="SSS">#REF!</definedName>
    <definedName name="Story_Total" localSheetId="2">#REF!</definedName>
    <definedName name="Story_Total">#REF!</definedName>
    <definedName name="Struct_Type" localSheetId="2">#REF!</definedName>
    <definedName name="Struct_Type">#REF!</definedName>
    <definedName name="TC임대차공사" localSheetId="0">{"Book1","01-1월자금청구.xls"}</definedName>
    <definedName name="TC임대차공사" localSheetId="2">{"Book1","01-1월자금청구.xls"}</definedName>
    <definedName name="TC임대차공사" localSheetId="1">{"Book1","01-1월자금청구.xls"}</definedName>
    <definedName name="TC임대차공사">{"Book1","01-1월자금청구.xls"}</definedName>
    <definedName name="Total_Floor_Area" localSheetId="2">#REF!</definedName>
    <definedName name="Total_Floor_Area">#REF!</definedName>
    <definedName name="zz" localSheetId="2">#REF!</definedName>
    <definedName name="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5" i="22" l="1"/>
  <c r="H22" i="22"/>
  <c r="H21" i="22"/>
  <c r="H10" i="22"/>
  <c r="H11" i="22"/>
  <c r="H12" i="22"/>
  <c r="H13" i="22"/>
  <c r="H14" i="22"/>
  <c r="H15" i="22"/>
  <c r="H16" i="22"/>
  <c r="H9" i="22"/>
  <c r="H23" i="22" s="1"/>
  <c r="D5" i="22"/>
  <c r="H8" i="22" l="1"/>
  <c r="K70" i="20"/>
  <c r="G40" i="20"/>
  <c r="E54" i="20" s="1"/>
  <c r="F68" i="20" s="1"/>
  <c r="B16" i="20"/>
  <c r="B9" i="20"/>
  <c r="L21" i="21"/>
  <c r="H17" i="22" l="1"/>
  <c r="H18" i="22" s="1"/>
  <c r="H24" i="22"/>
  <c r="H19" i="22"/>
  <c r="H26" i="22" l="1"/>
  <c r="H27" i="22"/>
  <c r="H29" i="22" s="1"/>
  <c r="H31" i="22" l="1"/>
  <c r="D4" i="22"/>
  <c r="D3" i="22"/>
  <c r="L31" i="21" s="1"/>
  <c r="G29" i="20"/>
  <c r="E53" i="20" l="1"/>
  <c r="G35" i="20"/>
  <c r="F67" i="20" l="1"/>
  <c r="B60" i="20"/>
  <c r="G37" i="20" l="1"/>
  <c r="G36" i="20"/>
</calcChain>
</file>

<file path=xl/sharedStrings.xml><?xml version="1.0" encoding="utf-8"?>
<sst xmlns="http://schemas.openxmlformats.org/spreadsheetml/2006/main" count="188" uniqueCount="173">
  <si>
    <t>공 급 가 액</t>
    <phoneticPr fontId="1" type="noConversion"/>
  </si>
  <si>
    <t>㈜ 에    이    앤    비</t>
  </si>
  <si>
    <t>사업자등록번호 : 863-87-00907</t>
  </si>
  <si>
    <t xml:space="preserve">※ 특이사항 </t>
  </si>
  <si>
    <t>경기도 용인시 기흥구 마북로 159 (한성프라자 207호)</t>
  </si>
  <si>
    <t>견적서 유효기간</t>
  </si>
  <si>
    <t>대 표 이 사    서  응  원  (인)</t>
  </si>
  <si>
    <t>발행일로부터</t>
  </si>
  <si>
    <t>전화번호 : 031-283-3328  담당자 : 이 현 희 실장</t>
  </si>
  <si>
    <t>30일입니다.</t>
  </si>
  <si>
    <t>사우</t>
  </si>
  <si>
    <t>㈜ 에이앤비</t>
    <phoneticPr fontId="1" type="noConversion"/>
  </si>
  <si>
    <r>
      <t xml:space="preserve">경기도 용인시 기흥구 마북로 </t>
    </r>
    <r>
      <rPr>
        <sz val="12"/>
        <color indexed="8"/>
        <rFont val="돋움"/>
        <family val="3"/>
        <charset val="129"/>
      </rPr>
      <t>159 한성프라자 207호</t>
    </r>
  </si>
  <si>
    <t>계  약  자</t>
    <phoneticPr fontId="1" type="noConversion"/>
  </si>
  <si>
    <t>관 리 주 체</t>
  </si>
  <si>
    <t>계약상대자</t>
    <phoneticPr fontId="1" type="noConversion"/>
  </si>
  <si>
    <t>계  약  내  용</t>
    <phoneticPr fontId="1" type="noConversion"/>
  </si>
  <si>
    <t>계 약 건 명</t>
    <phoneticPr fontId="1" type="noConversion"/>
  </si>
  <si>
    <t>계 약 금 액</t>
    <phoneticPr fontId="1" type="noConversion"/>
  </si>
  <si>
    <t>부가 가치세</t>
    <phoneticPr fontId="1" type="noConversion"/>
  </si>
  <si>
    <t>10% 별도</t>
    <phoneticPr fontId="1" type="noConversion"/>
  </si>
  <si>
    <t>계 약  기 간</t>
    <phoneticPr fontId="1" type="noConversion"/>
  </si>
  <si>
    <t>위          치</t>
    <phoneticPr fontId="1" type="noConversion"/>
  </si>
  <si>
    <t>보고서 납품</t>
    <phoneticPr fontId="1" type="noConversion"/>
  </si>
  <si>
    <t>기 타 사 항</t>
    <phoneticPr fontId="1" type="noConversion"/>
  </si>
  <si>
    <t xml:space="preserve">                관리주체와 계약상대자는 상호 대등한 입장에서 붙임의 계약문서에 의하여 위와 같이 계약을 체결하고 신의에 따라 성실히 계약상의 의무를 이행할 것을 확약하며, 이 계약의 증거로서 계약서를 작성하여 당사자가 기명날인한 후 각각 1통씩 보관한다.</t>
    <phoneticPr fontId="1" type="noConversion"/>
  </si>
  <si>
    <r>
      <t>붙</t>
    </r>
    <r>
      <rPr>
        <sz val="12"/>
        <color indexed="8"/>
        <rFont val="돋움"/>
        <family val="3"/>
        <charset val="129"/>
      </rPr>
      <t xml:space="preserve"> 임 서 류 :</t>
    </r>
  </si>
  <si>
    <r>
      <t>계</t>
    </r>
    <r>
      <rPr>
        <sz val="12"/>
        <color indexed="8"/>
        <rFont val="돋움"/>
        <family val="3"/>
        <charset val="129"/>
      </rPr>
      <t xml:space="preserve"> 약 일 자 : </t>
    </r>
  </si>
  <si>
    <r>
      <t>관 리 주 체</t>
    </r>
    <r>
      <rPr>
        <sz val="12"/>
        <color indexed="8"/>
        <rFont val="돋움"/>
        <family val="3"/>
        <charset val="129"/>
      </rPr>
      <t>(발 주 자)</t>
    </r>
  </si>
  <si>
    <r>
      <t>계 약 상 대 자</t>
    </r>
    <r>
      <rPr>
        <sz val="12"/>
        <color indexed="8"/>
        <rFont val="돋움"/>
        <family val="3"/>
        <charset val="129"/>
      </rPr>
      <t>(수 주 자)</t>
    </r>
  </si>
  <si>
    <r>
      <t>상</t>
    </r>
    <r>
      <rPr>
        <sz val="12"/>
        <color indexed="8"/>
        <rFont val="돋움"/>
        <family val="3"/>
        <charset val="129"/>
      </rPr>
      <t xml:space="preserve">      호  :</t>
    </r>
  </si>
  <si>
    <r>
      <t xml:space="preserve">상      호 </t>
    </r>
    <r>
      <rPr>
        <sz val="12"/>
        <color indexed="8"/>
        <rFont val="돋움"/>
        <family val="3"/>
        <charset val="129"/>
      </rPr>
      <t>:</t>
    </r>
  </si>
  <si>
    <r>
      <rPr>
        <sz val="12"/>
        <color indexed="8"/>
        <rFont val="돋움"/>
        <family val="3"/>
        <charset val="129"/>
      </rPr>
      <t xml:space="preserve"> ㈜  에  이  앤  비</t>
    </r>
  </si>
  <si>
    <r>
      <t xml:space="preserve">주   </t>
    </r>
    <r>
      <rPr>
        <sz val="12"/>
        <color indexed="8"/>
        <rFont val="돋움"/>
        <family val="3"/>
        <charset val="129"/>
      </rPr>
      <t xml:space="preserve"> </t>
    </r>
    <r>
      <rPr>
        <sz val="12"/>
        <color indexed="8"/>
        <rFont val="돋움"/>
        <family val="3"/>
        <charset val="129"/>
      </rPr>
      <t xml:space="preserve">  소  </t>
    </r>
    <r>
      <rPr>
        <sz val="12"/>
        <color indexed="8"/>
        <rFont val="돋움"/>
        <family val="3"/>
        <charset val="129"/>
      </rPr>
      <t>:</t>
    </r>
  </si>
  <si>
    <r>
      <t xml:space="preserve">주      소 </t>
    </r>
    <r>
      <rPr>
        <sz val="12"/>
        <color indexed="8"/>
        <rFont val="돋움"/>
        <family val="3"/>
        <charset val="129"/>
      </rPr>
      <t>:</t>
    </r>
  </si>
  <si>
    <t>경기도 용인시 기흥구 마북로 159 한성프라자 207호</t>
    <phoneticPr fontId="1" type="noConversion"/>
  </si>
  <si>
    <r>
      <t>관리소장</t>
    </r>
    <r>
      <rPr>
        <sz val="12"/>
        <color indexed="8"/>
        <rFont val="돋움"/>
        <family val="3"/>
        <charset val="129"/>
      </rPr>
      <t xml:space="preserve">  : </t>
    </r>
  </si>
  <si>
    <t xml:space="preserve">                                      (인)</t>
    <phoneticPr fontId="1" type="noConversion"/>
  </si>
  <si>
    <r>
      <t xml:space="preserve">대표이사 </t>
    </r>
    <r>
      <rPr>
        <sz val="12"/>
        <color indexed="8"/>
        <rFont val="돋움"/>
        <family val="3"/>
        <charset val="129"/>
      </rPr>
      <t xml:space="preserve">: </t>
    </r>
  </si>
  <si>
    <t xml:space="preserve"> 서        응       원    (인)</t>
    <phoneticPr fontId="1" type="noConversion"/>
  </si>
  <si>
    <r>
      <t>&lt;</t>
    </r>
    <r>
      <rPr>
        <sz val="13"/>
        <color indexed="8"/>
        <rFont val="돋움"/>
        <family val="3"/>
        <charset val="129"/>
      </rPr>
      <t>붙임 1&gt;</t>
    </r>
  </si>
  <si>
    <t xml:space="preserve">① 시설물명 : </t>
    <phoneticPr fontId="1" type="noConversion"/>
  </si>
  <si>
    <t xml:space="preserve">② 위      치 : </t>
    <phoneticPr fontId="1" type="noConversion"/>
  </si>
  <si>
    <t xml:space="preserve">③ 용      도 : </t>
    <phoneticPr fontId="1" type="noConversion"/>
  </si>
  <si>
    <r>
      <t xml:space="preserve">① 계약기간은 착수 일로부터 </t>
    </r>
    <r>
      <rPr>
        <sz val="12"/>
        <color indexed="8"/>
        <rFont val="돋움"/>
        <family val="3"/>
        <charset val="129"/>
      </rPr>
      <t xml:space="preserve">  일간으로 한다.</t>
    </r>
  </si>
  <si>
    <r>
      <t xml:space="preserve">① </t>
    </r>
    <r>
      <rPr>
        <sz val="12"/>
        <color indexed="8"/>
        <rFont val="돋움"/>
        <family val="3"/>
        <charset val="129"/>
      </rPr>
      <t>"수주자"는 제1조에서 규정한 목적을 수행하기 위하여 모든 지식과 기술을 활용, 신의와 성실의 원칙에 입각하여 계약을 이행한다.</t>
    </r>
  </si>
  <si>
    <r>
      <t>본 계약은 다음의 경우에 해제 또는 해지할 수 있다</t>
    </r>
    <r>
      <rPr>
        <sz val="12"/>
        <color indexed="8"/>
        <rFont val="돋움"/>
        <family val="3"/>
        <charset val="129"/>
      </rPr>
      <t>.</t>
    </r>
  </si>
  <si>
    <r>
      <t>3. "</t>
    </r>
    <r>
      <rPr>
        <sz val="12"/>
        <color indexed="8"/>
        <rFont val="돋움"/>
        <family val="3"/>
        <charset val="129"/>
      </rPr>
      <t>발주자"가 제10조의 의무를 기피하여 "수주자"의 정상적인 진단이 곤란할 때</t>
    </r>
  </si>
  <si>
    <r>
      <t>4. "</t>
    </r>
    <r>
      <rPr>
        <sz val="12"/>
        <color indexed="8"/>
        <rFont val="돋움"/>
        <family val="3"/>
        <charset val="129"/>
      </rPr>
      <t>수주자"가 정당한 이유 없이 제3조에 정한 기간 내에 과업을 수행할 수 없음이 명백할 때</t>
    </r>
  </si>
  <si>
    <t>이 계약에 명시되지 아니한 사항은 기획재정부가 회계예규로 정한 기술용역계약 일반조건과 관계법령에 의한다.</t>
    <phoneticPr fontId="1" type="noConversion"/>
  </si>
  <si>
    <t>공동주택</t>
  </si>
  <si>
    <t>인  원</t>
  </si>
  <si>
    <t>직접인건비 * 10%</t>
  </si>
  <si>
    <t>(직접인건비 + 제경비) * 10%</t>
  </si>
  <si>
    <t>직접인건비의 5%</t>
  </si>
  <si>
    <t xml:space="preserve">2026   .     .     .   ~   2026 .     .     . </t>
  </si>
  <si>
    <t>㈜에이앤비 대표이사</t>
    <phoneticPr fontId="1" type="noConversion"/>
  </si>
  <si>
    <t xml:space="preserve">           1. 귀 아파트(사)의 무궁한 발전을 기원합니다.</t>
    <phoneticPr fontId="102" type="noConversion"/>
  </si>
  <si>
    <t>제    목 :</t>
    <phoneticPr fontId="1" type="noConversion"/>
  </si>
  <si>
    <t>관리소장</t>
    <phoneticPr fontId="102" type="noConversion"/>
  </si>
  <si>
    <t>참    조 :</t>
    <phoneticPr fontId="1" type="noConversion"/>
  </si>
  <si>
    <t>수    신 :</t>
    <phoneticPr fontId="1" type="noConversion"/>
  </si>
  <si>
    <t>작성일자 :</t>
    <phoneticPr fontId="1" type="noConversion"/>
  </si>
  <si>
    <t>ANB-20260219-9</t>
  </si>
  <si>
    <t>문서번호 :</t>
    <phoneticPr fontId="1" type="noConversion"/>
  </si>
  <si>
    <t>(우) 16910     경기도 용인시 기흥구 마북로 159 (마북동)        전화: 031-283-3328        팩스: 031-284-3328</t>
    <phoneticPr fontId="1" type="noConversion"/>
  </si>
  <si>
    <t>㈜  에  이  앤  비</t>
    <phoneticPr fontId="1" type="noConversion"/>
  </si>
  <si>
    <t>입주자대표회의</t>
  </si>
  <si>
    <t>효성뉴서울5차아파트</t>
    <phoneticPr fontId="1" type="noConversion"/>
  </si>
  <si>
    <t xml:space="preserve">아파트 6개동 648세대 (해당동 : 6개동) </t>
    <phoneticPr fontId="1" type="noConversion"/>
  </si>
  <si>
    <t>인천 계양구 아나지로 199 (효성동)</t>
    <phoneticPr fontId="1" type="noConversion"/>
  </si>
  <si>
    <t>1994년 12월</t>
    <phoneticPr fontId="1" type="noConversion"/>
  </si>
  <si>
    <r>
      <t xml:space="preserve">전화 </t>
    </r>
    <r>
      <rPr>
        <sz val="12"/>
        <color indexed="8"/>
        <rFont val="돋움"/>
        <family val="3"/>
        <charset val="129"/>
      </rPr>
      <t>: 031-283-3328        팩스 :031-284-3328</t>
    </r>
    <phoneticPr fontId="1" type="noConversion"/>
  </si>
  <si>
    <t>총  용  역  비</t>
    <phoneticPr fontId="1" type="noConversion"/>
  </si>
  <si>
    <t>공급가액</t>
    <phoneticPr fontId="1" type="noConversion"/>
  </si>
  <si>
    <t>부가가치세</t>
    <phoneticPr fontId="1" type="noConversion"/>
  </si>
  <si>
    <t>산  출  내  역  서</t>
    <phoneticPr fontId="1" type="noConversion"/>
  </si>
  <si>
    <t>구        분</t>
    <phoneticPr fontId="1" type="noConversion"/>
  </si>
  <si>
    <t>기술자등급</t>
    <phoneticPr fontId="1" type="noConversion"/>
  </si>
  <si>
    <t>단   가</t>
    <phoneticPr fontId="1" type="noConversion"/>
  </si>
  <si>
    <t>단  위</t>
    <phoneticPr fontId="1" type="noConversion"/>
  </si>
  <si>
    <t>금      액</t>
    <phoneticPr fontId="1" type="noConversion"/>
  </si>
  <si>
    <t>비       고</t>
    <phoneticPr fontId="1" type="noConversion"/>
  </si>
  <si>
    <t>인원은 변경될수 있음</t>
    <phoneticPr fontId="1" type="noConversion"/>
  </si>
  <si>
    <t>특급기술자</t>
    <phoneticPr fontId="1" type="noConversion"/>
  </si>
  <si>
    <t>인·일</t>
    <phoneticPr fontId="1" type="noConversion"/>
  </si>
  <si>
    <t>고급기술자</t>
    <phoneticPr fontId="1" type="noConversion"/>
  </si>
  <si>
    <t>중급기술자</t>
    <phoneticPr fontId="1" type="noConversion"/>
  </si>
  <si>
    <t>초급기술자</t>
    <phoneticPr fontId="1" type="noConversion"/>
  </si>
  <si>
    <t xml:space="preserve"> 2. 제   경   비</t>
    <phoneticPr fontId="1" type="noConversion"/>
  </si>
  <si>
    <t>%</t>
    <phoneticPr fontId="1" type="noConversion"/>
  </si>
  <si>
    <t xml:space="preserve"> 3. 기   술   료</t>
    <phoneticPr fontId="1" type="noConversion"/>
  </si>
  <si>
    <t xml:space="preserve"> 4. 직 접  경 비</t>
    <phoneticPr fontId="1" type="noConversion"/>
  </si>
  <si>
    <t>가. 체재비 및 차량비</t>
    <phoneticPr fontId="1" type="noConversion"/>
  </si>
  <si>
    <t xml:space="preserve">  (1) 여비 및 현장체재비</t>
    <phoneticPr fontId="1" type="noConversion"/>
  </si>
  <si>
    <t xml:space="preserve">  (2) 차량운행비</t>
    <phoneticPr fontId="1" type="noConversion"/>
  </si>
  <si>
    <t xml:space="preserve">  (3) 위험수당</t>
    <phoneticPr fontId="1" type="noConversion"/>
  </si>
  <si>
    <t>외업인건비의 10%</t>
    <phoneticPr fontId="1" type="noConversion"/>
  </si>
  <si>
    <t xml:space="preserve">  (4) 기계기구손료</t>
    <phoneticPr fontId="1" type="noConversion"/>
  </si>
  <si>
    <t xml:space="preserve">  (5) 인쇄비</t>
    <phoneticPr fontId="1" type="noConversion"/>
  </si>
  <si>
    <t>식</t>
    <phoneticPr fontId="1" type="noConversion"/>
  </si>
  <si>
    <t xml:space="preserve"> 5. 조   정   비</t>
    <phoneticPr fontId="1" type="noConversion"/>
  </si>
  <si>
    <t>구조형식,용도,경과년수</t>
    <phoneticPr fontId="1" type="noConversion"/>
  </si>
  <si>
    <t>( 1 + 2 + 3 + 4 )</t>
    <phoneticPr fontId="1" type="noConversion"/>
  </si>
  <si>
    <t>절 삭 금 액</t>
    <phoneticPr fontId="1" type="noConversion"/>
  </si>
  <si>
    <t>공 급 가 액</t>
    <phoneticPr fontId="1" type="noConversion"/>
  </si>
  <si>
    <t>부가가치세</t>
    <phoneticPr fontId="1" type="noConversion"/>
  </si>
  <si>
    <t>별도</t>
    <phoneticPr fontId="1" type="noConversion"/>
  </si>
  <si>
    <t>견  적  금  액</t>
    <phoneticPr fontId="1" type="noConversion"/>
  </si>
  <si>
    <t>부가세 별도</t>
    <phoneticPr fontId="1" type="noConversion"/>
  </si>
  <si>
    <t>하자점검(조사) 용역 계약서</t>
    <phoneticPr fontId="1" type="noConversion"/>
  </si>
  <si>
    <t>하자점검(조사) 표준계약서</t>
    <phoneticPr fontId="1" type="noConversion"/>
  </si>
  <si>
    <t>하자점검(조사) 용역</t>
    <phoneticPr fontId="1" type="noConversion"/>
  </si>
  <si>
    <t>하자점검(조사)보고서 3부</t>
    <phoneticPr fontId="1" type="noConversion"/>
  </si>
  <si>
    <t>상기 금액은 하자점검(조사) 용역대가임.</t>
    <phoneticPr fontId="1" type="noConversion"/>
  </si>
  <si>
    <t>1. 하자점검(조사) 표준계약조건 1부.</t>
    <phoneticPr fontId="1" type="noConversion"/>
  </si>
  <si>
    <t>2026년   월    일</t>
    <phoneticPr fontId="1" type="noConversion"/>
  </si>
  <si>
    <t>하 자 점 검(조사) 표 준 계 약 조 건</t>
    <phoneticPr fontId="1" type="noConversion"/>
  </si>
  <si>
    <r>
      <t>이 계약은 "발주자"가 관리하고 있는 시설물에 대하여 "수주자"는 하자 점검(조사) 을 실시하고 그에 대한 신속하고 적절한 조치를 취하기 위하여 조사</t>
    </r>
    <r>
      <rPr>
        <sz val="12"/>
        <color indexed="8"/>
        <rFont val="MS Gothic"/>
        <family val="3"/>
        <charset val="128"/>
      </rPr>
      <t>・</t>
    </r>
    <r>
      <rPr>
        <sz val="12"/>
        <color indexed="8"/>
        <rFont val="돋움"/>
        <family val="3"/>
        <charset val="129"/>
      </rPr>
      <t>측정</t>
    </r>
    <r>
      <rPr>
        <sz val="12"/>
        <color indexed="8"/>
        <rFont val="MS Gothic"/>
        <family val="3"/>
        <charset val="128"/>
      </rPr>
      <t>・</t>
    </r>
    <r>
      <rPr>
        <sz val="12"/>
        <color indexed="8"/>
        <rFont val="돋움"/>
        <family val="3"/>
        <charset val="129"/>
      </rPr>
      <t>평가하고 보수</t>
    </r>
    <r>
      <rPr>
        <sz val="12"/>
        <color indexed="8"/>
        <rFont val="MS Gothic"/>
        <family val="3"/>
        <charset val="128"/>
      </rPr>
      <t>・</t>
    </r>
    <r>
      <rPr>
        <sz val="12"/>
        <color indexed="8"/>
        <rFont val="돋움"/>
        <family val="3"/>
        <charset val="129"/>
      </rPr>
      <t>보강 등의 방법을 제시함으로써 재해 및 재난을 예방하고 시설물의 효용증진과 공공의 안전을 확보하는데 그 목적이 있다.</t>
    </r>
    <phoneticPr fontId="1" type="noConversion"/>
  </si>
  <si>
    <t xml:space="preserve">④ 하자점검(조사) 대상시설물의 범위 : </t>
    <phoneticPr fontId="1" type="noConversion"/>
  </si>
  <si>
    <t>하자점검(조사) 용역</t>
    <phoneticPr fontId="1" type="noConversion"/>
  </si>
  <si>
    <t>가.「공동주택관리법」(이하 “공주법”이라 한다) 제6장 하자담보책임의 제36. 37조</t>
    <phoneticPr fontId="1" type="noConversion"/>
  </si>
  <si>
    <t>계약기간 중 물가변동으로 인한 계약금액의 조정은 기획재정부가 회계예규로 정한 기술용역계약 일반조건의 관련조항에 따라 품목 조정율을 적용한다.</t>
    <phoneticPr fontId="1" type="noConversion"/>
  </si>
  <si>
    <t>② "수주자"는 점검수행 중 발생한 안전사고에 대해 책임을 지며, 안전사고를 미연에 방지하도록 하여야 한다.</t>
    <phoneticPr fontId="1" type="noConversion"/>
  </si>
  <si>
    <t>제5조(실시자의 의무)</t>
    <phoneticPr fontId="1" type="noConversion"/>
  </si>
  <si>
    <t>제6조(설계도서 등의 열람교부 등)</t>
    <phoneticPr fontId="1" type="noConversion"/>
  </si>
  <si>
    <t>제7조(관리주체의 의무)</t>
    <phoneticPr fontId="1" type="noConversion"/>
  </si>
  <si>
    <t>제9조(계약의 해제 및 해지)</t>
    <phoneticPr fontId="1" type="noConversion"/>
  </si>
  <si>
    <t>제10조(보안사항)</t>
    <phoneticPr fontId="1" type="noConversion"/>
  </si>
  <si>
    <t>제11조(기타사항)</t>
    <phoneticPr fontId="1" type="noConversion"/>
  </si>
  <si>
    <t>제2조 (하자점검(조사))의 범위</t>
    <phoneticPr fontId="1" type="noConversion"/>
  </si>
  <si>
    <r>
      <t>"수주자"는 하자점검(조사) 수행시 얻은 정보 또는 성과품 및 자료를 계약이행의 전</t>
    </r>
    <r>
      <rPr>
        <sz val="12"/>
        <color indexed="8"/>
        <rFont val="Noto Serif KR"/>
        <family val="1"/>
        <charset val="129"/>
      </rPr>
      <t>・</t>
    </r>
    <r>
      <rPr>
        <sz val="12"/>
        <color indexed="8"/>
        <rFont val="돋움"/>
        <family val="3"/>
        <charset val="129"/>
      </rPr>
      <t>후를 막론하고 "발주자"의 사전승인 없이 외부에 누설할 수 없다.</t>
    </r>
    <phoneticPr fontId="1" type="noConversion"/>
  </si>
  <si>
    <t>2. "발주자"와"수주자"가 하자점검(조사) 업무가 필요치 않다고 협의되었을 때</t>
    <phoneticPr fontId="1" type="noConversion"/>
  </si>
  <si>
    <t>1. 천재지변, 전쟁, 기타 불가항력의 사유로 인하여 하자점검(조사) 업무의 수행이 불가능한 때</t>
    <phoneticPr fontId="1" type="noConversion"/>
  </si>
  <si>
    <t>① "발주자"는 "수주자"가 하자점검(조사)을 공정하게 실시할 수 있도록 제반여건을 조성하여야 한다.</t>
    <phoneticPr fontId="1" type="noConversion"/>
  </si>
  <si>
    <r>
      <t>"수주자"가 하자점검(조사) 업무와 관련하여 인</t>
    </r>
    <r>
      <rPr>
        <sz val="12"/>
        <color indexed="8"/>
        <rFont val="Noto Serif KR"/>
        <family val="1"/>
        <charset val="129"/>
      </rPr>
      <t>・</t>
    </r>
    <r>
      <rPr>
        <sz val="12"/>
        <color indexed="8"/>
        <rFont val="돋움"/>
        <family val="3"/>
        <charset val="129"/>
      </rPr>
      <t>허가 등의 사항이 필요한 경우에는 "발주자"는 하자점검(조사) 업무수행에 지장이 없도록 협조하여야 한다.</t>
    </r>
    <phoneticPr fontId="1" type="noConversion"/>
  </si>
  <si>
    <t>② 다만, 천재지변 및 부득이한 사유로 인하여 하자점검(조사)의 일부 또는 전부의 변경이 불가피한 경우에는 "발주자"와 "수주자"는 협의하여 그 기간을 변경할 수 있다.</t>
    <phoneticPr fontId="1" type="noConversion"/>
  </si>
  <si>
    <t xml:space="preserve">하자점검(조사) </t>
    <phoneticPr fontId="102" type="noConversion"/>
  </si>
  <si>
    <t xml:space="preserve">           4. 시설물 개요</t>
    <phoneticPr fontId="1" type="noConversion"/>
  </si>
  <si>
    <t xml:space="preserve">           5. 용역의 범위</t>
    <phoneticPr fontId="1" type="noConversion"/>
  </si>
  <si>
    <t xml:space="preserve">           7. 특이사항</t>
    <phoneticPr fontId="1" type="noConversion"/>
  </si>
  <si>
    <r>
      <t xml:space="preserve">      </t>
    </r>
    <r>
      <rPr>
        <b/>
        <sz val="12"/>
        <rFont val="바탕체"/>
        <family val="1"/>
        <charset val="129"/>
      </rPr>
      <t xml:space="preserve">    </t>
    </r>
    <r>
      <rPr>
        <b/>
        <sz val="14"/>
        <rFont val="바탕체"/>
        <family val="1"/>
        <charset val="129"/>
      </rPr>
      <t>6. 용  역  비  :</t>
    </r>
    <phoneticPr fontId="1" type="noConversion"/>
  </si>
  <si>
    <t>전화 :</t>
    <phoneticPr fontId="1" type="noConversion"/>
  </si>
  <si>
    <t>/</t>
    <phoneticPr fontId="1" type="noConversion"/>
  </si>
  <si>
    <t>팩스 :</t>
    <phoneticPr fontId="1" type="noConversion"/>
  </si>
  <si>
    <r>
      <rPr>
        <b/>
        <sz val="12"/>
        <color indexed="8"/>
        <rFont val="돋움"/>
        <family val="2"/>
        <charset val="129"/>
      </rPr>
      <t>㈜에이앤비</t>
    </r>
    <r>
      <rPr>
        <sz val="12"/>
        <color indexed="8"/>
        <rFont val="돋움"/>
        <family val="2"/>
        <charset val="129"/>
      </rPr>
      <t>(이하 "수주자"라 한다)는 다음과 같이 계약을 체결한다.</t>
    </r>
    <phoneticPr fontId="1" type="noConversion"/>
  </si>
  <si>
    <r>
      <t>제</t>
    </r>
    <r>
      <rPr>
        <b/>
        <sz val="14"/>
        <color indexed="8"/>
        <rFont val="돋움"/>
        <family val="2"/>
        <charset val="129"/>
      </rPr>
      <t>1조(목적)</t>
    </r>
  </si>
  <si>
    <r>
      <t>제</t>
    </r>
    <r>
      <rPr>
        <b/>
        <sz val="14"/>
        <color indexed="8"/>
        <rFont val="돋움"/>
        <family val="2"/>
        <charset val="129"/>
      </rPr>
      <t>3조(계약기간)</t>
    </r>
  </si>
  <si>
    <r>
      <t>제</t>
    </r>
    <r>
      <rPr>
        <b/>
        <sz val="14"/>
        <color indexed="8"/>
        <rFont val="돋움"/>
        <family val="2"/>
        <charset val="129"/>
      </rPr>
      <t>4조(계약금액의 산정 및 변경)</t>
    </r>
  </si>
  <si>
    <r>
      <t>제8조(인</t>
    </r>
    <r>
      <rPr>
        <b/>
        <sz val="14"/>
        <color indexed="8"/>
        <rFont val="MS Gothic"/>
        <family val="3"/>
        <charset val="128"/>
      </rPr>
      <t>・</t>
    </r>
    <r>
      <rPr>
        <b/>
        <sz val="14"/>
        <color indexed="8"/>
        <rFont val="돋움"/>
        <family val="3"/>
        <charset val="129"/>
      </rPr>
      <t>허가 사항 등)</t>
    </r>
    <phoneticPr fontId="1" type="noConversion"/>
  </si>
  <si>
    <t>※첨    부 :  1. 견적서   1부   끝.</t>
    <phoneticPr fontId="102" type="noConversion"/>
  </si>
  <si>
    <t>●   상호또는법인명 : (주)에이앤비</t>
  </si>
  <si>
    <t>●   사업자등록번호 : 863-87-00907</t>
  </si>
  <si>
    <t>●   전화번호 : 031-283-3328     팩스번호 : 031-284-3328</t>
  </si>
  <si>
    <t>●   대 표 자 : 서 응 원</t>
  </si>
  <si>
    <t>●   주 소 : 경기도 용인시 기흥구 마북로 159 한성프라자 207호</t>
    <phoneticPr fontId="1" type="noConversion"/>
  </si>
  <si>
    <t xml:space="preserve">「공동주택관리법」(이하 “공주법”이라 한다) 제6장 하자담보책임 제36조(하자담보책임)과 제37조(하자보수 등), 시행령 제36조(담보책임기간)과 제37조(하자의 범위)의 규정에 따라 </t>
    <phoneticPr fontId="1" type="noConversion"/>
  </si>
  <si>
    <t xml:space="preserve">(이하 "발주자"라 한다)와 하자점검(조사)의 실시자인 </t>
    <phoneticPr fontId="1" type="noConversion"/>
  </si>
  <si>
    <r>
      <t>① "수주자"는 하자점검(조사)을 수행함에 있어서 필요한 경우에는 공동주택관리법 제36, 37조에 따라 "발주자"에게 해당 시설물의 설계</t>
    </r>
    <r>
      <rPr>
        <sz val="12"/>
        <color indexed="8"/>
        <rFont val="MS Gothic"/>
        <family val="3"/>
        <charset val="128"/>
      </rPr>
      <t>・</t>
    </r>
    <r>
      <rPr>
        <sz val="12"/>
        <color indexed="8"/>
        <rFont val="돋움"/>
        <family val="3"/>
        <charset val="129"/>
      </rPr>
      <t>시공 및 감리와 관련된 서류의 열람이나 그 사본의 교부를 요청할 수 있으며 이 경우 "발주자"는 이에 응하여야 한다.</t>
    </r>
    <phoneticPr fontId="1" type="noConversion"/>
  </si>
  <si>
    <r>
      <t>② 다만</t>
    </r>
    <r>
      <rPr>
        <sz val="12"/>
        <color indexed="8"/>
        <rFont val="돋움"/>
        <family val="3"/>
        <charset val="129"/>
      </rPr>
      <t>, 국방 기타 보안상의 기밀을 요하는 시설물의 경우에는 "발주자" 또는 관련기관의 동의를 얻어 이를 열람할 수 있다.</t>
    </r>
    <phoneticPr fontId="1" type="noConversion"/>
  </si>
  <si>
    <t>② "발주자"는 하자점검(조사)을 실시함에 있어서 시설물의 근접조사 및 상세조사가 가능하도록 "수주자"에게 협조하여야 한다.</t>
    <phoneticPr fontId="1" type="noConversion"/>
  </si>
  <si>
    <r>
      <t xml:space="preserve">           3. 귀 아파트(사)에서 의뢰하신 </t>
    </r>
    <r>
      <rPr>
        <b/>
        <sz val="12"/>
        <color rgb="FFFF0000"/>
        <rFont val="바탕체"/>
        <family val="1"/>
        <charset val="129"/>
      </rPr>
      <t xml:space="preserve">하자점검(조사) </t>
    </r>
    <r>
      <rPr>
        <sz val="12"/>
        <rFont val="바탕체"/>
        <family val="1"/>
        <charset val="129"/>
      </rPr>
      <t>건에 대한 견적서를 제출하오니 업무에 참고하시기 바랍니다.</t>
    </r>
    <phoneticPr fontId="102" type="noConversion"/>
  </si>
  <si>
    <t xml:space="preserve"> 1. 직 접 인 건 비</t>
    <phoneticPr fontId="1" type="noConversion"/>
  </si>
  <si>
    <t xml:space="preserve"> 6. 합 계 금 액</t>
    <phoneticPr fontId="1" type="noConversion"/>
  </si>
  <si>
    <t>나. 보고서 제출 3부</t>
    <phoneticPr fontId="1" type="noConversion"/>
  </si>
  <si>
    <t xml:space="preserve">           2. 당 사는 경기도 용인시 기흥구 마북로 159, 한성프라자 207호에 위치한 업체로 시설물 안전진단(구조 안전진단), 안전점검(정밀, 정기), 건축물 하자점검(조사), 장기수선계획 조정(검토 포함), 시설물 유지보수(도장, 방수공사 등), 보수공사 감리, 기술자문 등을 주 업무로 하는 ㈜에이앤비입니다.</t>
    <phoneticPr fontId="102" type="noConversion"/>
  </si>
  <si>
    <t xml:space="preserve">가. 조 사 대 상  : </t>
    <phoneticPr fontId="1" type="noConversion"/>
  </si>
  <si>
    <t xml:space="preserve">나. 점 검 범 위  : </t>
    <phoneticPr fontId="1" type="noConversion"/>
  </si>
  <si>
    <t xml:space="preserve">다. 소  재  지   : </t>
    <phoneticPr fontId="1" type="noConversion"/>
  </si>
  <si>
    <t xml:space="preserve">라. 준  공  일   : </t>
    <phoneticPr fontId="1" type="noConversion"/>
  </si>
  <si>
    <t>마. 전화 / 팩스  :</t>
    <phoneticPr fontId="1" type="noConversion"/>
  </si>
  <si>
    <t>가. 외업</t>
    <phoneticPr fontId="1" type="noConversion"/>
  </si>
  <si>
    <t>나. 내업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</si>
</sst>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1">
    <numFmt numFmtId="41" formatCode="_(* #,##0_);_(* \(#,##0\);_(* &quot;-&quot;_);_(@_)"/>
    <numFmt numFmtId="176" formatCode="_-&quot;₩&quot;* #,##0_-;\-&quot;₩&quot;* #,##0_-;_-&quot;₩&quot;* &quot;-&quot;_-;_-@_-"/>
    <numFmt numFmtId="177" formatCode="_-* #,##0_-;\-* #,##0_-;_-* &quot;-&quot;_-;_-@_-"/>
    <numFmt numFmtId="178" formatCode="_-* #,##0.00_-;\-* #,##0.00_-;_-* &quot;-&quot;??_-;_-@_-"/>
    <numFmt numFmtId="179" formatCode="#,##0_ "/>
    <numFmt numFmtId="180" formatCode="0.000"/>
    <numFmt numFmtId="181" formatCode="0.0"/>
    <numFmt numFmtId="182" formatCode="&quot;일금&quot;\ [$-412]General&quot;원&quot;&quot;정&quot;"/>
    <numFmt numFmtId="183" formatCode="&quot;₩&quot;#,##0"/>
    <numFmt numFmtId="184" formatCode="\ "/>
    <numFmt numFmtId="185" formatCode="mm&quot;월&quot;\ dd&quot;일&quot;"/>
    <numFmt numFmtId="186" formatCode="_-* #,##0.0_-;\-* #,##0.0_-;_-* &quot;-&quot;??_-;_-@_-"/>
    <numFmt numFmtId="187" formatCode="_-* #,##0_-;\-* #,##0_-;_-* &quot;-&quot;??_-;_-@_-"/>
    <numFmt numFmtId="188" formatCode="_-&quot;$&quot;* #,##0.00_-;\-&quot;$&quot;* #,##0.00_-;_-&quot;$&quot;* &quot;-&quot;??_-;_-@_-"/>
    <numFmt numFmtId="189" formatCode="_-&quot;$&quot;* #,##0_-;\-&quot;$&quot;* #,##0_-;_-&quot;$&quot;* &quot;-&quot;_-;_-@_-"/>
    <numFmt numFmtId="190" formatCode="_ * #,##0_ ;_ * \-#,##0_ ;_ * &quot;-&quot;_ ;_ @_ "/>
    <numFmt numFmtId="191" formatCode="#,##0;&quot;-&quot;#,##0"/>
    <numFmt numFmtId="192" formatCode="#,##0.0;[Red]#,##0.0;&quot; &quot;"/>
    <numFmt numFmtId="193" formatCode="0.0000%"/>
    <numFmt numFmtId="194" formatCode="#,##0.0000"/>
    <numFmt numFmtId="195" formatCode="0.0000"/>
    <numFmt numFmtId="196" formatCode="#,##0,"/>
    <numFmt numFmtId="197" formatCode="#,##0.00;[Red]#,##0.00;&quot; &quot;"/>
    <numFmt numFmtId="198" formatCode="_ &quot;₩&quot;* #,##0_ ;_ &quot;₩&quot;* \-#,##0_ ;_ &quot;₩&quot;* &quot;-&quot;_ ;_ @_ "/>
    <numFmt numFmtId="199" formatCode="_ &quot;₩&quot;* #,##0.00_ ;_ &quot;₩&quot;* \-#,##0.00_ ;_ &quot;₩&quot;* &quot;-&quot;??_ ;_ @_ "/>
    <numFmt numFmtId="200" formatCode="_ * #,##0.00_ ;_ * \-#,##0.00_ ;_ * &quot;-&quot;??_ ;_ @_ "/>
    <numFmt numFmtId="201" formatCode="\$#,##0;\(\$#,##0\)"/>
    <numFmt numFmtId="202" formatCode="0.00&quot;  &quot;"/>
    <numFmt numFmtId="203" formatCode="0,###,###"/>
    <numFmt numFmtId="204" formatCode="0.##"/>
    <numFmt numFmtId="205" formatCode="#,##0\ &quot;Esc.&quot;;[Red]\-#,##0\ &quot;Esc.&quot;"/>
    <numFmt numFmtId="206" formatCode="#,##0.00&quot; F&quot;_);\(#,##0.00&quot; F&quot;\)"/>
    <numFmt numFmtId="207" formatCode="#,##0.000\ &quot;EA &quot;"/>
    <numFmt numFmtId="208" formatCode="###"/>
    <numFmt numFmtId="209" formatCode="##"/>
    <numFmt numFmtId="210" formatCode="#,##0.0_);\(#,##0.0\)"/>
    <numFmt numFmtId="211" formatCode="#,##0.000\ &quot;㎏ &quot;"/>
    <numFmt numFmtId="212" formatCode="#,##0.000\ &quot;m  &quot;"/>
    <numFmt numFmtId="213" formatCode="#,##0.000\ &quot;㎡ &quot;"/>
    <numFmt numFmtId="214" formatCode="#,##0.000\ &quot;㎥ &quot;"/>
    <numFmt numFmtId="215" formatCode="&quot;$&quot;#,##0.0_);\(&quot;$&quot;#,##0.0\)"/>
    <numFmt numFmtId="216" formatCode="&quot;$&quot;#,##0;\-&quot;$&quot;#,##0"/>
    <numFmt numFmtId="217" formatCode="0.00_);[Red]\(0.00\)"/>
    <numFmt numFmtId="218" formatCode="_-* #,##0\ &quot;DM&quot;_-;\-* #,##0\ &quot;DM&quot;_-;_-* &quot;-&quot;\ &quot;DM&quot;_-;_-@_-"/>
    <numFmt numFmtId="219" formatCode="_-* #,##0.00\ &quot;DM&quot;_-;\-* #,##0.00\ &quot;DM&quot;_-;_-* &quot;-&quot;??\ &quot;DM&quot;_-;_-@_-"/>
    <numFmt numFmtId="220" formatCode="&quot;₩&quot;#,##0;&quot;₩&quot;&quot;₩&quot;&quot;₩&quot;&quot;₩&quot;\-#,##0"/>
    <numFmt numFmtId="221" formatCode="#,##0;[Red]&quot;△&quot;#,##0"/>
    <numFmt numFmtId="222" formatCode="#."/>
    <numFmt numFmtId="223" formatCode="_(&quot;RM&quot;* #,##0.00_);_(&quot;RM&quot;* \(#,##0.00\);_(&quot;RM&quot;* &quot;-&quot;??_);_(@_)"/>
    <numFmt numFmtId="224" formatCode="&quot;US$&quot;#,##0_);\(&quot;US$&quot;#,##0\)"/>
    <numFmt numFmtId="225" formatCode="0_);\(0\)"/>
    <numFmt numFmtId="226" formatCode="0.0%"/>
    <numFmt numFmtId="227" formatCode="?/?#"/>
    <numFmt numFmtId="228" formatCode="_-* #,##0;\-* #,##0;_-* &quot;-&quot;;_-@"/>
    <numFmt numFmtId="229" formatCode="#,##0;[Red]&quot;-&quot;#,##0"/>
    <numFmt numFmtId="230" formatCode="&quot;  &quot;@"/>
    <numFmt numFmtId="231" formatCode="&quot;₩&quot;#,##0;[Red]&quot;₩&quot;&quot;₩&quot;&quot;₩&quot;&quot;₩&quot;\-#,##0"/>
    <numFmt numFmtId="232" formatCode="&quot;US$&quot;#,##0_);[Red]\(&quot;US$&quot;#,##0\)"/>
    <numFmt numFmtId="233" formatCode="_-* #,##0_-;&quot;₩&quot;\!\-* #,##0_-;_-* &quot;-&quot;_-;_-@_-"/>
    <numFmt numFmtId="234" formatCode="&quot;₩&quot;#\!\,##0;[Red]&quot;₩&quot;&quot;₩&quot;\!\-#\!\,##0"/>
    <numFmt numFmtId="235" formatCode="#,##0&quot; &quot;;[Red]&quot;△&quot;#,##0&quot; &quot;"/>
    <numFmt numFmtId="236" formatCode="* #,##0&quot; &quot;;[Red]* &quot;△&quot;#,##0&quot; &quot;;* @"/>
    <numFmt numFmtId="237" formatCode="_-* #,##0.000_-;\-* #,##0.000_-;_-* &quot;-&quot;_-;_-@_-"/>
    <numFmt numFmtId="238" formatCode="#,##0.####;[Red]&quot;△&quot;#,##0.####"/>
    <numFmt numFmtId="239" formatCode="#,##0.00##;[Red]&quot;△&quot;#,##0.00##"/>
    <numFmt numFmtId="240" formatCode="_-* #,##0.00_-;&quot;₩&quot;&quot;₩&quot;\-* #,##0.00_-;_-* &quot;-&quot;??_-;_-@_-"/>
    <numFmt numFmtId="241" formatCode="_-&quot;₩&quot;* #,##0.00_-;&quot;₩&quot;&quot;₩&quot;\-&quot;₩&quot;* #,##0.00_-;_-&quot;₩&quot;* &quot;-&quot;??_-;_-@_-"/>
    <numFmt numFmtId="242" formatCode="&quot;₩&quot;#,##0.00;&quot;₩&quot;&quot;₩&quot;&quot;₩&quot;&quot;₩&quot;\-#,##0.00"/>
    <numFmt numFmtId="243" formatCode="@\ &quot;정&quot;&quot;기&quot;&quot;안&quot;&quot;전&quot;&quot;점&quot;&quot;검&quot;&quot;(상반기)&quot;\ &quot;용&quot;&quot;역&quot;"/>
    <numFmt numFmtId="244" formatCode="0_);[Red]\(0\)"/>
    <numFmt numFmtId="245" formatCode="0_ "/>
  </numFmts>
  <fonts count="120"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name val="굴림"/>
      <family val="3"/>
      <charset val="129"/>
    </font>
    <font>
      <sz val="10"/>
      <name val="굴림"/>
      <family val="3"/>
      <charset val="129"/>
    </font>
    <font>
      <sz val="12"/>
      <name val="돋움"/>
      <family val="3"/>
      <charset val="129"/>
    </font>
    <font>
      <sz val="11"/>
      <name val="돋움"/>
      <family val="3"/>
      <charset val="129"/>
    </font>
    <font>
      <sz val="10"/>
      <name val="굴림체"/>
      <family val="3"/>
      <charset val="129"/>
    </font>
    <font>
      <sz val="12"/>
      <name val="바탕체"/>
      <family val="1"/>
      <charset val="129"/>
    </font>
    <font>
      <sz val="10"/>
      <name val="MS Sans Serif"/>
      <family val="2"/>
    </font>
    <font>
      <sz val="12"/>
      <name val="돋움체"/>
      <family val="3"/>
      <charset val="129"/>
    </font>
    <font>
      <sz val="12"/>
      <name val="굴림체"/>
      <family val="3"/>
      <charset val="129"/>
    </font>
    <font>
      <i/>
      <sz val="12"/>
      <name val="굴림체"/>
      <family val="3"/>
      <charset val="129"/>
    </font>
    <font>
      <sz val="10"/>
      <name val="Arial"/>
      <family val="2"/>
    </font>
    <font>
      <sz val="10"/>
      <name val="Times New Roman"/>
      <family val="1"/>
    </font>
    <font>
      <sz val="10"/>
      <name val="Helv"/>
      <family val="2"/>
    </font>
    <font>
      <sz val="12"/>
      <name val="Times New Roman"/>
      <family val="1"/>
    </font>
    <font>
      <sz val="11"/>
      <name val="바탕체"/>
      <family val="1"/>
      <charset val="129"/>
    </font>
    <font>
      <sz val="10"/>
      <name val="Courier New"/>
      <family val="3"/>
    </font>
    <font>
      <sz val="11"/>
      <name val="굴림체"/>
      <family val="3"/>
      <charset val="129"/>
    </font>
    <font>
      <sz val="12"/>
      <name val="견명조"/>
      <family val="1"/>
      <charset val="129"/>
    </font>
    <font>
      <sz val="10"/>
      <name val="돋움체"/>
      <family val="3"/>
      <charset val="129"/>
    </font>
    <font>
      <sz val="12"/>
      <name val="ⓒoUAAA¨u"/>
      <family val="1"/>
      <charset val="129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12"/>
      <name val="±¼¸²A¼"/>
      <family val="3"/>
      <charset val="129"/>
    </font>
    <font>
      <sz val="8"/>
      <name val="Times New Roman"/>
      <family val="1"/>
    </font>
    <font>
      <sz val="10"/>
      <name val="μ¸¿oA¼"/>
      <family val="3"/>
      <charset val="129"/>
    </font>
    <font>
      <sz val="12"/>
      <name val="System"/>
      <family val="2"/>
      <charset val="129"/>
    </font>
    <font>
      <b/>
      <sz val="10"/>
      <name val="Helv"/>
      <family val="2"/>
    </font>
    <font>
      <u/>
      <sz val="10"/>
      <color indexed="12"/>
      <name val="Arial"/>
      <family val="2"/>
    </font>
    <font>
      <sz val="10"/>
      <name val="MS Serif"/>
      <family val="1"/>
    </font>
    <font>
      <sz val="10"/>
      <name val="Courier"/>
      <family val="3"/>
    </font>
    <font>
      <sz val="1"/>
      <color indexed="8"/>
      <name val="Courier"/>
      <family val="3"/>
    </font>
    <font>
      <sz val="10"/>
      <name val="바탕체"/>
      <family val="1"/>
      <charset val="129"/>
    </font>
    <font>
      <sz val="10"/>
      <color indexed="16"/>
      <name val="MS Serif"/>
      <family val="1"/>
    </font>
    <font>
      <i/>
      <sz val="1"/>
      <color indexed="8"/>
      <name val="Courier"/>
      <family val="3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"/>
      <color indexed="8"/>
      <name val="Courier"/>
      <family val="3"/>
    </font>
    <font>
      <sz val="12"/>
      <name val="Helv"/>
      <family val="2"/>
    </font>
    <font>
      <sz val="12"/>
      <color indexed="9"/>
      <name val="Helv"/>
      <family val="2"/>
    </font>
    <font>
      <b/>
      <sz val="11"/>
      <name val="Helv"/>
      <family val="2"/>
    </font>
    <font>
      <sz val="12"/>
      <name val="宋体"/>
      <charset val="134"/>
    </font>
    <font>
      <sz val="7"/>
      <name val="Small Fonts"/>
      <family val="2"/>
    </font>
    <font>
      <sz val="10"/>
      <name val="Tms Rmn"/>
      <family val="1"/>
    </font>
    <font>
      <sz val="8"/>
      <name val="Helv"/>
      <family val="2"/>
    </font>
    <font>
      <b/>
      <sz val="8"/>
      <name val="Times New Roman"/>
      <family val="1"/>
    </font>
    <font>
      <b/>
      <sz val="8"/>
      <color indexed="8"/>
      <name val="Helv"/>
      <family val="2"/>
    </font>
    <font>
      <b/>
      <i/>
      <sz val="18"/>
      <color indexed="39"/>
      <name val="돋움체"/>
      <family val="3"/>
      <charset val="129"/>
    </font>
    <font>
      <b/>
      <u/>
      <sz val="13"/>
      <name val="굴림체"/>
      <family val="3"/>
      <charset val="129"/>
    </font>
    <font>
      <sz val="8"/>
      <name val="바탕체"/>
      <family val="1"/>
      <charset val="129"/>
    </font>
    <font>
      <u/>
      <sz val="10"/>
      <color indexed="36"/>
      <name val="Arial"/>
      <family val="2"/>
    </font>
    <font>
      <sz val="12"/>
      <name val="명조"/>
      <family val="3"/>
      <charset val="129"/>
    </font>
    <font>
      <b/>
      <sz val="11"/>
      <name val="돋움"/>
      <family val="3"/>
      <charset val="129"/>
    </font>
    <font>
      <u/>
      <sz val="10"/>
      <color indexed="14"/>
      <name val="MS Sans Serif"/>
      <family val="2"/>
    </font>
    <font>
      <sz val="9"/>
      <name val="돋움체"/>
      <family val="3"/>
      <charset val="129"/>
    </font>
    <font>
      <sz val="1"/>
      <name val="Courier"/>
      <family val="3"/>
    </font>
    <font>
      <sz val="11"/>
      <name val="돋움체"/>
      <family val="3"/>
      <charset val="129"/>
    </font>
    <font>
      <sz val="9"/>
      <name val="MS Sans Serif"/>
      <family val="2"/>
    </font>
    <font>
      <sz val="12"/>
      <name val="뼻뮝"/>
      <family val="3"/>
      <charset val="129"/>
    </font>
    <font>
      <sz val="10"/>
      <color indexed="10"/>
      <name val="돋움체"/>
      <family val="3"/>
      <charset val="129"/>
    </font>
    <font>
      <sz val="10"/>
      <name val="바탕"/>
      <family val="1"/>
      <charset val="129"/>
    </font>
    <font>
      <sz val="10"/>
      <name val="돋움"/>
      <family val="3"/>
      <charset val="129"/>
    </font>
    <font>
      <b/>
      <sz val="12"/>
      <color indexed="16"/>
      <name val="굴림체"/>
      <family val="3"/>
      <charset val="129"/>
    </font>
    <font>
      <sz val="10"/>
      <name val="명조"/>
      <family val="3"/>
      <charset val="129"/>
    </font>
    <font>
      <sz val="10"/>
      <name val="궁서(English)"/>
      <family val="3"/>
      <charset val="129"/>
    </font>
    <font>
      <sz val="10"/>
      <color indexed="12"/>
      <name val="굴림체"/>
      <family val="3"/>
      <charset val="129"/>
    </font>
    <font>
      <sz val="12"/>
      <name val="견고딕"/>
      <family val="1"/>
      <charset val="129"/>
    </font>
    <font>
      <sz val="18"/>
      <name val="돋움체"/>
      <family val="3"/>
      <charset val="129"/>
    </font>
    <font>
      <sz val="17"/>
      <name val="바탕체"/>
      <family val="1"/>
      <charset val="129"/>
    </font>
    <font>
      <sz val="10"/>
      <color indexed="8"/>
      <name val="바탕"/>
      <family val="1"/>
      <charset val="129"/>
    </font>
    <font>
      <sz val="11"/>
      <name val="한컴 솔잎 B"/>
      <family val="1"/>
      <charset val="129"/>
    </font>
    <font>
      <sz val="14"/>
      <name val="한컴 솔잎 B"/>
      <family val="1"/>
      <charset val="129"/>
    </font>
    <font>
      <sz val="12"/>
      <name val="한컴 솔잎 B"/>
      <family val="1"/>
      <charset val="129"/>
    </font>
    <font>
      <sz val="13"/>
      <name val="한컴 솔잎 B"/>
      <family val="1"/>
      <charset val="129"/>
    </font>
    <font>
      <sz val="10"/>
      <name val="한컴 솔잎 B"/>
      <family val="1"/>
      <charset val="129"/>
    </font>
    <font>
      <sz val="9"/>
      <name val="한컴 솔잎 B"/>
      <family val="1"/>
      <charset val="129"/>
    </font>
    <font>
      <sz val="16"/>
      <name val="한컴 솔잎 B"/>
      <family val="1"/>
      <charset val="129"/>
    </font>
    <font>
      <sz val="22"/>
      <name val="한컴 솔잎 B"/>
      <family val="1"/>
      <charset val="129"/>
    </font>
    <font>
      <sz val="13"/>
      <name val="굴림"/>
      <family val="3"/>
      <charset val="129"/>
    </font>
    <font>
      <sz val="8"/>
      <name val="한컴 솔잎 B"/>
      <family val="1"/>
      <charset val="129"/>
    </font>
    <font>
      <sz val="20"/>
      <name val="한컴 솔잎 B"/>
      <family val="1"/>
      <charset val="129"/>
    </font>
    <font>
      <sz val="10"/>
      <color indexed="8"/>
      <name val="돋움"/>
      <family val="3"/>
      <charset val="129"/>
    </font>
    <font>
      <sz val="11"/>
      <color indexed="8"/>
      <name val="한컴 솔잎 B"/>
      <family val="1"/>
      <charset val="129"/>
    </font>
    <font>
      <b/>
      <sz val="11"/>
      <name val="한컴 솔잎 B"/>
      <family val="1"/>
      <charset val="129"/>
    </font>
    <font>
      <sz val="26"/>
      <color indexed="8"/>
      <name val="한컴 솔잎 B"/>
      <family val="1"/>
      <charset val="129"/>
    </font>
    <font>
      <sz val="11"/>
      <color theme="1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sz val="2"/>
      <color indexed="8"/>
      <name val="돋움"/>
      <family val="3"/>
      <charset val="129"/>
    </font>
    <font>
      <b/>
      <sz val="33"/>
      <color indexed="8"/>
      <name val="돋움"/>
      <family val="3"/>
      <charset val="129"/>
    </font>
    <font>
      <b/>
      <sz val="20"/>
      <color indexed="8"/>
      <name val="돋움"/>
      <family val="3"/>
      <charset val="129"/>
    </font>
    <font>
      <b/>
      <sz val="36"/>
      <color indexed="8"/>
      <name val="돋움"/>
      <family val="3"/>
      <charset val="129"/>
    </font>
    <font>
      <sz val="12"/>
      <color indexed="8"/>
      <name val="돋움"/>
      <family val="3"/>
      <charset val="129"/>
    </font>
    <font>
      <b/>
      <sz val="17"/>
      <color indexed="8"/>
      <name val="돋움"/>
      <family val="3"/>
      <charset val="129"/>
    </font>
    <font>
      <b/>
      <sz val="14"/>
      <color indexed="8"/>
      <name val="돋움"/>
      <family val="3"/>
      <charset val="129"/>
    </font>
    <font>
      <sz val="11.5"/>
      <color indexed="8"/>
      <name val="돋움"/>
      <family val="3"/>
      <charset val="129"/>
    </font>
    <font>
      <sz val="13"/>
      <color indexed="8"/>
      <name val="돋움"/>
      <family val="3"/>
      <charset val="129"/>
    </font>
    <font>
      <b/>
      <u/>
      <sz val="20"/>
      <color indexed="8"/>
      <name val="돋움"/>
      <family val="3"/>
      <charset val="129"/>
    </font>
    <font>
      <sz val="12"/>
      <color indexed="8"/>
      <name val="MS Gothic"/>
      <family val="3"/>
      <charset val="128"/>
    </font>
    <font>
      <b/>
      <sz val="32"/>
      <name val="바탕체"/>
      <family val="1"/>
      <charset val="129"/>
    </font>
    <font>
      <b/>
      <sz val="12"/>
      <name val="바탕체"/>
      <family val="1"/>
      <charset val="129"/>
    </font>
    <font>
      <sz val="8"/>
      <name val="바탕"/>
      <family val="1"/>
      <charset val="129"/>
    </font>
    <font>
      <sz val="9"/>
      <name val="바탕체"/>
      <family val="1"/>
      <charset val="129"/>
    </font>
    <font>
      <b/>
      <sz val="30"/>
      <name val="바탕체"/>
      <family val="1"/>
      <charset val="129"/>
    </font>
    <font>
      <b/>
      <sz val="12"/>
      <color rgb="FFFF0000"/>
      <name val="바탕체"/>
      <family val="1"/>
      <charset val="129"/>
    </font>
    <font>
      <sz val="12"/>
      <color indexed="8"/>
      <name val="Noto Serif KR"/>
      <family val="1"/>
      <charset val="129"/>
    </font>
    <font>
      <b/>
      <sz val="14"/>
      <name val="바탕체"/>
      <family val="1"/>
      <charset val="129"/>
    </font>
    <font>
      <sz val="12"/>
      <color indexed="8"/>
      <name val="돋움"/>
      <family val="2"/>
      <charset val="129"/>
    </font>
    <font>
      <b/>
      <sz val="12"/>
      <color indexed="8"/>
      <name val="돋움"/>
      <family val="2"/>
      <charset val="129"/>
    </font>
    <font>
      <b/>
      <sz val="14"/>
      <color indexed="8"/>
      <name val="돋움"/>
      <family val="2"/>
      <charset val="129"/>
    </font>
    <font>
      <b/>
      <sz val="14"/>
      <color indexed="8"/>
      <name val="MS Gothic"/>
      <family val="3"/>
      <charset val="128"/>
    </font>
    <font>
      <b/>
      <sz val="11"/>
      <color indexed="8"/>
      <name val="돋움"/>
      <family val="2"/>
      <charset val="129"/>
    </font>
    <font>
      <sz val="11"/>
      <color indexed="8"/>
      <name val="돋움"/>
      <family val="2"/>
      <charset val="129"/>
    </font>
    <font>
      <sz val="11"/>
      <color theme="1"/>
      <name val="돋움"/>
      <family val="2"/>
      <charset val="129"/>
    </font>
    <font>
      <sz val="12"/>
      <color theme="1"/>
      <name val="바탕체"/>
      <family val="1"/>
      <charset val="129"/>
    </font>
    <font>
      <b/>
      <sz val="18"/>
      <color theme="1"/>
      <name val="돋움"/>
      <family val="3"/>
      <charset val="129"/>
    </font>
    <font>
      <sz val="12"/>
      <color theme="1"/>
      <name val="돋움"/>
      <family val="2"/>
      <charset val="129"/>
    </font>
    <font>
      <sz val="12"/>
      <color theme="1"/>
      <name val="돋움"/>
      <family val="3"/>
      <charset val="129"/>
    </font>
    <font>
      <sz val="11"/>
      <color theme="1"/>
      <name val="돋움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C6EFCE"/>
      </patternFill>
    </fill>
    <fill>
      <patternFill patternType="solid">
        <fgColor indexed="8"/>
        <bgColor indexed="64"/>
      </patternFill>
    </fill>
    <fill>
      <patternFill patternType="solid">
        <fgColor theme="0" tint="-0.14999847407452621"/>
        <bgColor indexed="64"/>
      </patternFill>
    </fill>
  </fills>
  <borders count="7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/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/>
      <diagonal/>
    </border>
    <border>
      <left style="medium">
        <color indexed="64"/>
      </left>
      <right/>
      <top style="dotted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8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ashed">
        <color indexed="64"/>
      </bottom>
      <diagonal/>
    </border>
  </borders>
  <cellStyleXfs count="3119">
    <xf numFmtId="0" fontId="0" fillId="0" borderId="0"/>
    <xf numFmtId="0" fontId="7" fillId="0" borderId="0">
      <protection locked="0"/>
    </xf>
    <xf numFmtId="184" fontId="7" fillId="0" borderId="0" applyFill="0" applyBorder="0" applyProtection="0"/>
    <xf numFmtId="0" fontId="7" fillId="0" borderId="0">
      <protection locked="0"/>
    </xf>
    <xf numFmtId="0" fontId="7" fillId="0" borderId="0">
      <protection locked="0"/>
    </xf>
    <xf numFmtId="0" fontId="7" fillId="0" borderId="0">
      <protection locked="0"/>
    </xf>
    <xf numFmtId="0" fontId="8" fillId="0" borderId="1">
      <alignment horizontal="center"/>
    </xf>
    <xf numFmtId="3" fontId="9" fillId="0" borderId="2"/>
    <xf numFmtId="181" fontId="5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7" fillId="0" borderId="0"/>
    <xf numFmtId="0" fontId="7" fillId="0" borderId="0"/>
    <xf numFmtId="0" fontId="12" fillId="0" borderId="0"/>
    <xf numFmtId="0" fontId="12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 applyFont="0" applyFill="0" applyBorder="0" applyAlignment="0" applyProtection="0"/>
    <xf numFmtId="0" fontId="12" fillId="0" borderId="0"/>
    <xf numFmtId="0" fontId="12" fillId="0" borderId="0"/>
    <xf numFmtId="0" fontId="13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" fillId="0" borderId="0"/>
    <xf numFmtId="0" fontId="5" fillId="0" borderId="0"/>
    <xf numFmtId="0" fontId="5" fillId="0" borderId="0"/>
    <xf numFmtId="0" fontId="7" fillId="0" borderId="0" applyFont="0" applyFill="0" applyBorder="0" applyAlignment="0" applyProtection="0"/>
    <xf numFmtId="0" fontId="8" fillId="0" borderId="0"/>
    <xf numFmtId="0" fontId="7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2" fillId="0" borderId="0"/>
    <xf numFmtId="0" fontId="7" fillId="0" borderId="0" applyFont="0" applyFill="0" applyBorder="0" applyAlignment="0" applyProtection="0"/>
    <xf numFmtId="0" fontId="12" fillId="0" borderId="0"/>
    <xf numFmtId="0" fontId="7" fillId="0" borderId="0" applyFont="0" applyFill="0" applyBorder="0" applyAlignment="0" applyProtection="0"/>
    <xf numFmtId="0" fontId="12" fillId="0" borderId="0"/>
    <xf numFmtId="0" fontId="7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2" fillId="0" borderId="0"/>
    <xf numFmtId="0" fontId="12" fillId="0" borderId="0"/>
    <xf numFmtId="0" fontId="6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5" fillId="0" borderId="0"/>
    <xf numFmtId="185" fontId="5" fillId="0" borderId="0" applyFont="0" applyFill="0" applyBorder="0" applyProtection="0">
      <alignment vertical="center"/>
    </xf>
    <xf numFmtId="186" fontId="5" fillId="0" borderId="0">
      <alignment vertical="center"/>
    </xf>
    <xf numFmtId="187" fontId="5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188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0" fontId="8" fillId="0" borderId="0"/>
    <xf numFmtId="190" fontId="16" fillId="0" borderId="2">
      <alignment vertical="center"/>
    </xf>
    <xf numFmtId="3" fontId="9" fillId="0" borderId="2"/>
    <xf numFmtId="3" fontId="9" fillId="0" borderId="2"/>
    <xf numFmtId="191" fontId="7" fillId="0" borderId="0">
      <alignment vertical="center"/>
    </xf>
    <xf numFmtId="192" fontId="4" fillId="0" borderId="0">
      <alignment vertical="center"/>
    </xf>
    <xf numFmtId="3" fontId="17" fillId="0" borderId="3">
      <alignment horizontal="right" vertical="center"/>
    </xf>
    <xf numFmtId="192" fontId="4" fillId="0" borderId="0">
      <alignment vertical="center"/>
    </xf>
    <xf numFmtId="3" fontId="17" fillId="0" borderId="3">
      <alignment horizontal="right" vertical="center"/>
    </xf>
    <xf numFmtId="192" fontId="4" fillId="0" borderId="0">
      <alignment vertical="center"/>
    </xf>
    <xf numFmtId="3" fontId="17" fillId="0" borderId="3">
      <alignment horizontal="right" vertical="center"/>
    </xf>
    <xf numFmtId="3" fontId="17" fillId="0" borderId="3">
      <alignment horizontal="right" vertical="center"/>
    </xf>
    <xf numFmtId="3" fontId="17" fillId="0" borderId="3">
      <alignment horizontal="right"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2" fontId="4" fillId="0" borderId="0">
      <alignment vertical="center"/>
    </xf>
    <xf numFmtId="0" fontId="18" fillId="0" borderId="0">
      <alignment horizontal="center" vertical="center"/>
    </xf>
    <xf numFmtId="3" fontId="17" fillId="0" borderId="3">
      <alignment horizontal="right" vertical="center"/>
    </xf>
    <xf numFmtId="3" fontId="17" fillId="0" borderId="3">
      <alignment horizontal="right" vertical="center"/>
    </xf>
    <xf numFmtId="3" fontId="17" fillId="0" borderId="3">
      <alignment horizontal="right" vertical="center"/>
    </xf>
    <xf numFmtId="3" fontId="17" fillId="0" borderId="3">
      <alignment horizontal="right" vertical="center"/>
    </xf>
    <xf numFmtId="3" fontId="17" fillId="0" borderId="3">
      <alignment horizontal="right" vertical="center"/>
    </xf>
    <xf numFmtId="3" fontId="17" fillId="0" borderId="3">
      <alignment horizontal="right" vertical="center"/>
    </xf>
    <xf numFmtId="3" fontId="17" fillId="0" borderId="3">
      <alignment horizontal="right" vertical="center"/>
    </xf>
    <xf numFmtId="3" fontId="17" fillId="0" borderId="3">
      <alignment horizontal="right" vertical="center"/>
    </xf>
    <xf numFmtId="3" fontId="17" fillId="0" borderId="3">
      <alignment horizontal="right" vertical="center"/>
    </xf>
    <xf numFmtId="3" fontId="17" fillId="0" borderId="3">
      <alignment horizontal="right" vertical="center"/>
    </xf>
    <xf numFmtId="3" fontId="17" fillId="0" borderId="3">
      <alignment horizontal="right" vertical="center"/>
    </xf>
    <xf numFmtId="3" fontId="17" fillId="0" borderId="3">
      <alignment horizontal="right" vertical="center"/>
    </xf>
    <xf numFmtId="3" fontId="17" fillId="0" borderId="3">
      <alignment horizontal="right" vertical="center"/>
    </xf>
    <xf numFmtId="3" fontId="17" fillId="0" borderId="3">
      <alignment horizontal="right" vertical="center"/>
    </xf>
    <xf numFmtId="3" fontId="17" fillId="0" borderId="3">
      <alignment horizontal="right" vertical="center"/>
    </xf>
    <xf numFmtId="3" fontId="17" fillId="0" borderId="3">
      <alignment horizontal="right" vertical="center"/>
    </xf>
    <xf numFmtId="3" fontId="17" fillId="0" borderId="3">
      <alignment horizontal="right" vertical="center"/>
    </xf>
    <xf numFmtId="3" fontId="17" fillId="0" borderId="3">
      <alignment horizontal="right" vertical="center"/>
    </xf>
    <xf numFmtId="3" fontId="17" fillId="0" borderId="3">
      <alignment horizontal="right" vertical="center"/>
    </xf>
    <xf numFmtId="3" fontId="17" fillId="0" borderId="3">
      <alignment horizontal="right" vertical="center"/>
    </xf>
    <xf numFmtId="3" fontId="17" fillId="0" borderId="3">
      <alignment horizontal="right" vertical="center"/>
    </xf>
    <xf numFmtId="3" fontId="17" fillId="0" borderId="3">
      <alignment horizontal="right" vertical="center"/>
    </xf>
    <xf numFmtId="3" fontId="17" fillId="0" borderId="3">
      <alignment horizontal="right" vertical="center"/>
    </xf>
    <xf numFmtId="3" fontId="17" fillId="0" borderId="3">
      <alignment horizontal="right" vertical="center"/>
    </xf>
    <xf numFmtId="3" fontId="17" fillId="0" borderId="3">
      <alignment horizontal="right" vertical="center"/>
    </xf>
    <xf numFmtId="3" fontId="17" fillId="0" borderId="3">
      <alignment horizontal="right" vertical="center"/>
    </xf>
    <xf numFmtId="3" fontId="17" fillId="0" borderId="3">
      <alignment horizontal="right" vertical="center"/>
    </xf>
    <xf numFmtId="3" fontId="17" fillId="0" borderId="3">
      <alignment horizontal="right" vertical="center"/>
    </xf>
    <xf numFmtId="3" fontId="17" fillId="0" borderId="3">
      <alignment horizontal="right" vertical="center"/>
    </xf>
    <xf numFmtId="3" fontId="17" fillId="0" borderId="3">
      <alignment horizontal="right" vertical="center"/>
    </xf>
    <xf numFmtId="3" fontId="17" fillId="0" borderId="3">
      <alignment horizontal="right" vertical="center"/>
    </xf>
    <xf numFmtId="3" fontId="17" fillId="0" borderId="3">
      <alignment horizontal="right" vertical="center"/>
    </xf>
    <xf numFmtId="3" fontId="17" fillId="0" borderId="3">
      <alignment horizontal="right" vertical="center"/>
    </xf>
    <xf numFmtId="3" fontId="17" fillId="0" borderId="3">
      <alignment horizontal="right" vertical="center"/>
    </xf>
    <xf numFmtId="3" fontId="17" fillId="0" borderId="3">
      <alignment horizontal="right" vertical="center"/>
    </xf>
    <xf numFmtId="3" fontId="17" fillId="0" borderId="3">
      <alignment horizontal="right" vertical="center"/>
    </xf>
    <xf numFmtId="3" fontId="17" fillId="0" borderId="3">
      <alignment horizontal="right" vertical="center"/>
    </xf>
    <xf numFmtId="41" fontId="7" fillId="0" borderId="0">
      <alignment horizontal="center" vertical="center"/>
    </xf>
    <xf numFmtId="177" fontId="7" fillId="0" borderId="0">
      <alignment horizontal="center" vertical="center"/>
    </xf>
    <xf numFmtId="177" fontId="7" fillId="0" borderId="0">
      <alignment horizontal="center" vertical="center"/>
    </xf>
    <xf numFmtId="195" fontId="7" fillId="0" borderId="0">
      <alignment horizontal="center" vertical="center"/>
    </xf>
    <xf numFmtId="196" fontId="5" fillId="0" borderId="0">
      <alignment horizontal="center" vertical="center"/>
    </xf>
    <xf numFmtId="196" fontId="5" fillId="0" borderId="0">
      <alignment horizontal="center" vertical="center"/>
    </xf>
    <xf numFmtId="196" fontId="5" fillId="0" borderId="0">
      <alignment horizontal="center" vertical="center"/>
    </xf>
    <xf numFmtId="196" fontId="5" fillId="0" borderId="0">
      <alignment horizontal="center" vertical="center"/>
    </xf>
    <xf numFmtId="41" fontId="7" fillId="0" borderId="0">
      <alignment horizontal="center" vertical="center"/>
    </xf>
    <xf numFmtId="177" fontId="7" fillId="0" borderId="0">
      <alignment horizontal="center" vertical="center"/>
    </xf>
    <xf numFmtId="177" fontId="7" fillId="0" borderId="0">
      <alignment horizontal="center" vertical="center"/>
    </xf>
    <xf numFmtId="196" fontId="5" fillId="0" borderId="0">
      <alignment horizontal="center" vertical="center"/>
    </xf>
    <xf numFmtId="196" fontId="5" fillId="0" borderId="0">
      <alignment horizontal="center" vertical="center"/>
    </xf>
    <xf numFmtId="195" fontId="7" fillId="0" borderId="0">
      <alignment horizontal="center" vertical="center"/>
    </xf>
    <xf numFmtId="41" fontId="7" fillId="0" borderId="0">
      <alignment horizontal="center" vertical="center"/>
    </xf>
    <xf numFmtId="177" fontId="7" fillId="0" borderId="0">
      <alignment horizontal="center" vertical="center"/>
    </xf>
    <xf numFmtId="177" fontId="7" fillId="0" borderId="0">
      <alignment horizontal="center" vertical="center"/>
    </xf>
    <xf numFmtId="41" fontId="7" fillId="0" borderId="0">
      <alignment horizontal="center" vertical="center"/>
    </xf>
    <xf numFmtId="177" fontId="7" fillId="0" borderId="0">
      <alignment horizontal="center" vertical="center"/>
    </xf>
    <xf numFmtId="177" fontId="7" fillId="0" borderId="0">
      <alignment horizontal="center" vertical="center"/>
    </xf>
    <xf numFmtId="41" fontId="7" fillId="0" borderId="0">
      <alignment horizontal="center" vertical="center"/>
    </xf>
    <xf numFmtId="177" fontId="7" fillId="0" borderId="0">
      <alignment horizontal="center" vertical="center"/>
    </xf>
    <xf numFmtId="177" fontId="7" fillId="0" borderId="0">
      <alignment horizontal="center" vertical="center"/>
    </xf>
    <xf numFmtId="41" fontId="7" fillId="0" borderId="0">
      <alignment horizontal="center" vertical="center"/>
    </xf>
    <xf numFmtId="177" fontId="7" fillId="0" borderId="0">
      <alignment horizontal="center" vertical="center"/>
    </xf>
    <xf numFmtId="177" fontId="7" fillId="0" borderId="0">
      <alignment horizontal="center" vertical="center"/>
    </xf>
    <xf numFmtId="41" fontId="7" fillId="0" borderId="0">
      <alignment horizontal="center" vertical="center"/>
    </xf>
    <xf numFmtId="177" fontId="7" fillId="0" borderId="0">
      <alignment horizontal="center" vertical="center"/>
    </xf>
    <xf numFmtId="177" fontId="7" fillId="0" borderId="0">
      <alignment horizontal="center" vertical="center"/>
    </xf>
    <xf numFmtId="41" fontId="7" fillId="0" borderId="0">
      <alignment horizontal="center" vertical="center"/>
    </xf>
    <xf numFmtId="177" fontId="7" fillId="0" borderId="0">
      <alignment horizontal="center" vertical="center"/>
    </xf>
    <xf numFmtId="177" fontId="7" fillId="0" borderId="0">
      <alignment horizontal="center" vertical="center"/>
    </xf>
    <xf numFmtId="41" fontId="7" fillId="0" borderId="0">
      <alignment horizontal="center" vertical="center"/>
    </xf>
    <xf numFmtId="177" fontId="7" fillId="0" borderId="0">
      <alignment horizontal="center" vertical="center"/>
    </xf>
    <xf numFmtId="177" fontId="7" fillId="0" borderId="0">
      <alignment horizontal="center" vertical="center"/>
    </xf>
    <xf numFmtId="196" fontId="5" fillId="0" borderId="0">
      <alignment horizontal="center" vertical="center"/>
    </xf>
    <xf numFmtId="196" fontId="5" fillId="0" borderId="0">
      <alignment horizontal="center" vertical="center"/>
    </xf>
    <xf numFmtId="196" fontId="5" fillId="0" borderId="0">
      <alignment horizontal="center" vertical="center"/>
    </xf>
    <xf numFmtId="196" fontId="5" fillId="0" borderId="0">
      <alignment horizontal="center" vertical="center"/>
    </xf>
    <xf numFmtId="41" fontId="7" fillId="0" borderId="0">
      <alignment horizontal="center" vertical="center"/>
    </xf>
    <xf numFmtId="177" fontId="7" fillId="0" borderId="0">
      <alignment horizontal="center" vertical="center"/>
    </xf>
    <xf numFmtId="177" fontId="7" fillId="0" borderId="0">
      <alignment horizontal="center" vertical="center"/>
    </xf>
    <xf numFmtId="41" fontId="7" fillId="0" borderId="0">
      <alignment horizontal="center" vertical="center"/>
    </xf>
    <xf numFmtId="177" fontId="7" fillId="0" borderId="0">
      <alignment horizontal="center" vertical="center"/>
    </xf>
    <xf numFmtId="177" fontId="7" fillId="0" borderId="0">
      <alignment horizontal="center" vertical="center"/>
    </xf>
    <xf numFmtId="41" fontId="7" fillId="0" borderId="0">
      <alignment horizontal="center" vertical="center"/>
    </xf>
    <xf numFmtId="177" fontId="7" fillId="0" borderId="0">
      <alignment horizontal="center" vertical="center"/>
    </xf>
    <xf numFmtId="177" fontId="7" fillId="0" borderId="0">
      <alignment horizontal="center" vertical="center"/>
    </xf>
    <xf numFmtId="41" fontId="7" fillId="0" borderId="0">
      <alignment horizontal="center" vertical="center"/>
    </xf>
    <xf numFmtId="177" fontId="7" fillId="0" borderId="0">
      <alignment horizontal="center" vertical="center"/>
    </xf>
    <xf numFmtId="177" fontId="7" fillId="0" borderId="0">
      <alignment horizontal="center" vertical="center"/>
    </xf>
    <xf numFmtId="41" fontId="7" fillId="0" borderId="0">
      <alignment horizontal="center" vertical="center"/>
    </xf>
    <xf numFmtId="177" fontId="7" fillId="0" borderId="0">
      <alignment horizontal="center" vertical="center"/>
    </xf>
    <xf numFmtId="177" fontId="7" fillId="0" borderId="0">
      <alignment horizontal="center" vertical="center"/>
    </xf>
    <xf numFmtId="196" fontId="5" fillId="0" borderId="0">
      <alignment horizontal="center" vertical="center"/>
    </xf>
    <xf numFmtId="196" fontId="5" fillId="0" borderId="0">
      <alignment horizontal="center" vertical="center"/>
    </xf>
    <xf numFmtId="196" fontId="5" fillId="0" borderId="0">
      <alignment horizontal="center" vertical="center"/>
    </xf>
    <xf numFmtId="196" fontId="5" fillId="0" borderId="0">
      <alignment horizontal="center" vertical="center"/>
    </xf>
    <xf numFmtId="41" fontId="7" fillId="0" borderId="0">
      <alignment horizontal="center" vertical="center"/>
    </xf>
    <xf numFmtId="177" fontId="7" fillId="0" borderId="0">
      <alignment horizontal="center" vertical="center"/>
    </xf>
    <xf numFmtId="177" fontId="7" fillId="0" borderId="0">
      <alignment horizontal="center" vertical="center"/>
    </xf>
    <xf numFmtId="180" fontId="19" fillId="0" borderId="0">
      <alignment horizontal="center" vertical="center"/>
    </xf>
    <xf numFmtId="41" fontId="7" fillId="0" borderId="0">
      <alignment horizontal="center" vertical="center"/>
    </xf>
    <xf numFmtId="177" fontId="7" fillId="0" borderId="0">
      <alignment horizontal="center" vertical="center"/>
    </xf>
    <xf numFmtId="177" fontId="7" fillId="0" borderId="0">
      <alignment horizontal="center" vertical="center"/>
    </xf>
    <xf numFmtId="180" fontId="19" fillId="0" borderId="0">
      <alignment horizontal="center" vertical="center"/>
    </xf>
    <xf numFmtId="196" fontId="5" fillId="0" borderId="0">
      <alignment horizontal="center" vertical="center"/>
    </xf>
    <xf numFmtId="196" fontId="5" fillId="0" borderId="0">
      <alignment horizontal="center" vertical="center"/>
    </xf>
    <xf numFmtId="196" fontId="5" fillId="0" borderId="0">
      <alignment horizontal="center" vertical="center"/>
    </xf>
    <xf numFmtId="196" fontId="5" fillId="0" borderId="0">
      <alignment horizontal="center" vertical="center"/>
    </xf>
    <xf numFmtId="192" fontId="4" fillId="0" borderId="0">
      <alignment vertical="center"/>
    </xf>
    <xf numFmtId="0" fontId="18" fillId="0" borderId="0">
      <alignment horizontal="center" vertical="center"/>
    </xf>
    <xf numFmtId="3" fontId="17" fillId="0" borderId="3">
      <alignment horizontal="right" vertical="center"/>
    </xf>
    <xf numFmtId="192" fontId="4" fillId="0" borderId="0">
      <alignment vertical="center"/>
    </xf>
    <xf numFmtId="192" fontId="4" fillId="0" borderId="0">
      <alignment vertical="center"/>
    </xf>
    <xf numFmtId="192" fontId="4" fillId="0" borderId="0">
      <alignment vertical="center"/>
    </xf>
    <xf numFmtId="3" fontId="17" fillId="0" borderId="3">
      <alignment horizontal="right" vertical="center"/>
    </xf>
    <xf numFmtId="3" fontId="17" fillId="0" borderId="3">
      <alignment horizontal="right" vertical="center"/>
    </xf>
    <xf numFmtId="197" fontId="20" fillId="0" borderId="0">
      <alignment vertical="center"/>
    </xf>
    <xf numFmtId="0" fontId="5" fillId="0" borderId="0"/>
    <xf numFmtId="2" fontId="17" fillId="0" borderId="3">
      <alignment horizontal="right" vertical="center"/>
    </xf>
    <xf numFmtId="0" fontId="7" fillId="0" borderId="4">
      <alignment horizontal="center"/>
    </xf>
    <xf numFmtId="2" fontId="17" fillId="0" borderId="3">
      <alignment horizontal="right" vertical="center"/>
    </xf>
    <xf numFmtId="2" fontId="17" fillId="0" borderId="3">
      <alignment horizontal="right" vertical="center"/>
    </xf>
    <xf numFmtId="2" fontId="17" fillId="0" borderId="3">
      <alignment horizontal="right" vertical="center"/>
    </xf>
    <xf numFmtId="2" fontId="17" fillId="0" borderId="3">
      <alignment horizontal="right" vertical="center"/>
    </xf>
    <xf numFmtId="2" fontId="17" fillId="0" borderId="3">
      <alignment horizontal="right" vertical="center"/>
    </xf>
    <xf numFmtId="2" fontId="17" fillId="0" borderId="3">
      <alignment horizontal="right" vertical="center"/>
    </xf>
    <xf numFmtId="2" fontId="17" fillId="0" borderId="3">
      <alignment horizontal="right" vertical="center"/>
    </xf>
    <xf numFmtId="2" fontId="17" fillId="0" borderId="3">
      <alignment horizontal="right" vertical="center"/>
    </xf>
    <xf numFmtId="2" fontId="17" fillId="0" borderId="3">
      <alignment horizontal="right" vertical="center"/>
    </xf>
    <xf numFmtId="2" fontId="17" fillId="0" borderId="3">
      <alignment horizontal="right" vertical="center"/>
    </xf>
    <xf numFmtId="2" fontId="17" fillId="0" borderId="3">
      <alignment horizontal="right" vertical="center"/>
    </xf>
    <xf numFmtId="2" fontId="17" fillId="0" borderId="3">
      <alignment horizontal="right" vertical="center"/>
    </xf>
    <xf numFmtId="2" fontId="17" fillId="0" borderId="3">
      <alignment horizontal="right" vertical="center"/>
    </xf>
    <xf numFmtId="2" fontId="17" fillId="0" borderId="3">
      <alignment horizontal="right" vertical="center"/>
    </xf>
    <xf numFmtId="2" fontId="17" fillId="0" borderId="3">
      <alignment horizontal="right" vertical="center"/>
    </xf>
    <xf numFmtId="2" fontId="17" fillId="0" borderId="3">
      <alignment horizontal="right" vertical="center"/>
    </xf>
    <xf numFmtId="2" fontId="17" fillId="0" borderId="3">
      <alignment horizontal="right" vertical="center"/>
    </xf>
    <xf numFmtId="2" fontId="17" fillId="0" borderId="3">
      <alignment horizontal="right" vertical="center"/>
    </xf>
    <xf numFmtId="2" fontId="17" fillId="0" borderId="3">
      <alignment horizontal="right" vertical="center"/>
    </xf>
    <xf numFmtId="2" fontId="17" fillId="0" borderId="3">
      <alignment horizontal="right" vertical="center"/>
    </xf>
    <xf numFmtId="2" fontId="17" fillId="0" borderId="3">
      <alignment horizontal="right" vertical="center"/>
    </xf>
    <xf numFmtId="2" fontId="17" fillId="0" borderId="3">
      <alignment horizontal="right" vertical="center"/>
    </xf>
    <xf numFmtId="2" fontId="17" fillId="0" borderId="3">
      <alignment horizontal="right" vertical="center"/>
    </xf>
    <xf numFmtId="2" fontId="17" fillId="0" borderId="3">
      <alignment horizontal="right" vertical="center"/>
    </xf>
    <xf numFmtId="2" fontId="17" fillId="0" borderId="3">
      <alignment horizontal="right" vertical="center"/>
    </xf>
    <xf numFmtId="2" fontId="17" fillId="0" borderId="3">
      <alignment horizontal="right" vertical="center"/>
    </xf>
    <xf numFmtId="2" fontId="17" fillId="0" borderId="3">
      <alignment horizontal="right" vertical="center"/>
    </xf>
    <xf numFmtId="2" fontId="17" fillId="0" borderId="3">
      <alignment horizontal="right" vertical="center"/>
    </xf>
    <xf numFmtId="2" fontId="17" fillId="0" borderId="3">
      <alignment horizontal="right" vertical="center"/>
    </xf>
    <xf numFmtId="2" fontId="17" fillId="0" borderId="3">
      <alignment horizontal="right" vertical="center"/>
    </xf>
    <xf numFmtId="2" fontId="17" fillId="0" borderId="3">
      <alignment horizontal="right" vertical="center"/>
    </xf>
    <xf numFmtId="2" fontId="17" fillId="0" borderId="3">
      <alignment horizontal="right" vertical="center"/>
    </xf>
    <xf numFmtId="2" fontId="17" fillId="0" borderId="3">
      <alignment horizontal="right" vertical="center"/>
    </xf>
    <xf numFmtId="2" fontId="17" fillId="0" borderId="3">
      <alignment horizontal="right" vertical="center"/>
    </xf>
    <xf numFmtId="2" fontId="17" fillId="0" borderId="3">
      <alignment horizontal="right" vertical="center"/>
    </xf>
    <xf numFmtId="2" fontId="17" fillId="0" borderId="3">
      <alignment horizontal="right" vertical="center"/>
    </xf>
    <xf numFmtId="2" fontId="17" fillId="0" borderId="3">
      <alignment horizontal="right" vertical="center"/>
    </xf>
    <xf numFmtId="2" fontId="17" fillId="0" borderId="3">
      <alignment horizontal="right" vertical="center"/>
    </xf>
    <xf numFmtId="0" fontId="87" fillId="9" borderId="0" applyNumberFormat="0" applyBorder="0" applyAlignment="0" applyProtection="0">
      <alignment vertical="center"/>
    </xf>
    <xf numFmtId="197" fontId="20" fillId="0" borderId="0">
      <alignment vertical="center"/>
    </xf>
    <xf numFmtId="0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22" fillId="0" borderId="0" applyFont="0" applyFill="0" applyBorder="0" applyAlignment="0" applyProtection="0"/>
    <xf numFmtId="198" fontId="23" fillId="0" borderId="0" applyFont="0" applyFill="0" applyBorder="0" applyAlignment="0" applyProtection="0"/>
    <xf numFmtId="0" fontId="24" fillId="0" borderId="0" applyFont="0" applyFill="0" applyBorder="0" applyAlignment="0" applyProtection="0"/>
    <xf numFmtId="198" fontId="23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199" fontId="23" fillId="0" borderId="0" applyFont="0" applyFill="0" applyBorder="0" applyAlignment="0" applyProtection="0"/>
    <xf numFmtId="0" fontId="24" fillId="0" borderId="0" applyFont="0" applyFill="0" applyBorder="0" applyAlignment="0" applyProtection="0"/>
    <xf numFmtId="199" fontId="23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8" fillId="0" borderId="0"/>
    <xf numFmtId="0" fontId="25" fillId="0" borderId="0">
      <alignment horizontal="center" wrapText="1"/>
      <protection locked="0"/>
    </xf>
    <xf numFmtId="0" fontId="26" fillId="0" borderId="0" applyFont="0" applyFill="0" applyBorder="0" applyAlignment="0" applyProtection="0"/>
    <xf numFmtId="190" fontId="23" fillId="0" borderId="0" applyFont="0" applyFill="0" applyBorder="0" applyAlignment="0" applyProtection="0"/>
    <xf numFmtId="0" fontId="24" fillId="0" borderId="0" applyFont="0" applyFill="0" applyBorder="0" applyAlignment="0" applyProtection="0"/>
    <xf numFmtId="190" fontId="23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200" fontId="23" fillId="0" borderId="0" applyFont="0" applyFill="0" applyBorder="0" applyAlignment="0" applyProtection="0"/>
    <xf numFmtId="0" fontId="24" fillId="0" borderId="0" applyFont="0" applyFill="0" applyBorder="0" applyAlignment="0" applyProtection="0"/>
    <xf numFmtId="200" fontId="23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7" fillId="0" borderId="0"/>
    <xf numFmtId="37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49" fontId="23" fillId="0" borderId="0" applyBorder="0"/>
    <xf numFmtId="0" fontId="24" fillId="0" borderId="0"/>
    <xf numFmtId="201" fontId="16" fillId="0" borderId="0" applyFill="0" applyBorder="0" applyAlignment="0"/>
    <xf numFmtId="0" fontId="28" fillId="0" borderId="0"/>
    <xf numFmtId="0" fontId="29" fillId="0" borderId="0" applyNumberFormat="0" applyFill="0" applyBorder="0" applyAlignment="0" applyProtection="0">
      <alignment vertical="top"/>
      <protection locked="0"/>
    </xf>
    <xf numFmtId="202" fontId="5" fillId="0" borderId="0"/>
    <xf numFmtId="203" fontId="7" fillId="0" borderId="0">
      <protection locked="0"/>
    </xf>
    <xf numFmtId="0" fontId="30" fillId="0" borderId="0" applyNumberFormat="0" applyAlignment="0">
      <alignment horizontal="left"/>
    </xf>
    <xf numFmtId="0" fontId="31" fillId="0" borderId="0" applyNumberFormat="0" applyAlignment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12" fillId="0" borderId="0" applyFont="0" applyFill="0" applyBorder="0" applyAlignment="0" applyProtection="0"/>
    <xf numFmtId="187" fontId="5" fillId="0" borderId="2" applyFill="0" applyBorder="0" applyAlignment="0"/>
    <xf numFmtId="204" fontId="7" fillId="0" borderId="0">
      <protection locked="0"/>
    </xf>
    <xf numFmtId="0" fontId="13" fillId="0" borderId="0"/>
    <xf numFmtId="0" fontId="32" fillId="0" borderId="0">
      <protection locked="0"/>
    </xf>
    <xf numFmtId="57" fontId="5" fillId="0" borderId="0" applyFont="0" applyFill="0" applyBorder="0" applyAlignment="0" applyProtection="0"/>
    <xf numFmtId="205" fontId="5" fillId="0" borderId="0" applyFont="0" applyFill="0" applyBorder="0" applyAlignment="0" applyProtection="0"/>
    <xf numFmtId="206" fontId="5" fillId="0" borderId="0"/>
    <xf numFmtId="207" fontId="33" fillId="0" borderId="2">
      <alignment vertical="center"/>
    </xf>
    <xf numFmtId="0" fontId="34" fillId="0" borderId="0" applyNumberFormat="0" applyAlignment="0">
      <alignment horizontal="left"/>
    </xf>
    <xf numFmtId="0" fontId="32" fillId="0" borderId="0">
      <protection locked="0"/>
    </xf>
    <xf numFmtId="0" fontId="32" fillId="0" borderId="0">
      <protection locked="0"/>
    </xf>
    <xf numFmtId="0" fontId="35" fillId="0" borderId="0">
      <protection locked="0"/>
    </xf>
    <xf numFmtId="0" fontId="32" fillId="0" borderId="0">
      <protection locked="0"/>
    </xf>
    <xf numFmtId="0" fontId="32" fillId="0" borderId="0">
      <protection locked="0"/>
    </xf>
    <xf numFmtId="0" fontId="32" fillId="0" borderId="0">
      <protection locked="0"/>
    </xf>
    <xf numFmtId="0" fontId="35" fillId="0" borderId="0">
      <protection locked="0"/>
    </xf>
    <xf numFmtId="208" fontId="7" fillId="0" borderId="0">
      <protection locked="0"/>
    </xf>
    <xf numFmtId="38" fontId="36" fillId="2" borderId="0" applyNumberFormat="0" applyBorder="0" applyAlignment="0" applyProtection="0"/>
    <xf numFmtId="3" fontId="33" fillId="0" borderId="5">
      <alignment horizontal="right" vertical="center"/>
    </xf>
    <xf numFmtId="4" fontId="33" fillId="0" borderId="5">
      <alignment horizontal="right" vertical="center"/>
    </xf>
    <xf numFmtId="0" fontId="37" fillId="0" borderId="0">
      <alignment horizontal="left"/>
    </xf>
    <xf numFmtId="0" fontId="38" fillId="0" borderId="6" applyNumberFormat="0" applyAlignment="0" applyProtection="0">
      <alignment horizontal="left" vertical="center"/>
    </xf>
    <xf numFmtId="0" fontId="38" fillId="0" borderId="7">
      <alignment horizontal="left" vertical="center"/>
    </xf>
    <xf numFmtId="0" fontId="39" fillId="0" borderId="0">
      <protection locked="0"/>
    </xf>
    <xf numFmtId="0" fontId="39" fillId="0" borderId="0">
      <protection locked="0"/>
    </xf>
    <xf numFmtId="209" fontId="12" fillId="0" borderId="0">
      <protection locked="0"/>
    </xf>
    <xf numFmtId="209" fontId="12" fillId="0" borderId="0">
      <protection locked="0"/>
    </xf>
    <xf numFmtId="10" fontId="36" fillId="3" borderId="2" applyNumberFormat="0" applyBorder="0" applyAlignment="0" applyProtection="0"/>
    <xf numFmtId="210" fontId="40" fillId="4" borderId="0"/>
    <xf numFmtId="211" fontId="33" fillId="0" borderId="2">
      <alignment vertical="center"/>
    </xf>
    <xf numFmtId="210" fontId="41" fillId="5" borderId="0"/>
    <xf numFmtId="212" fontId="33" fillId="0" borderId="2">
      <alignment horizontal="right" vertical="center"/>
    </xf>
    <xf numFmtId="213" fontId="33" fillId="0" borderId="2">
      <alignment vertical="center"/>
    </xf>
    <xf numFmtId="214" fontId="33" fillId="0" borderId="2">
      <alignment vertical="center"/>
    </xf>
    <xf numFmtId="177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42" fillId="0" borderId="8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43" fillId="0" borderId="0" applyFont="0" applyFill="0" applyBorder="0" applyAlignment="0" applyProtection="0"/>
    <xf numFmtId="37" fontId="44" fillId="0" borderId="0"/>
    <xf numFmtId="215" fontId="16" fillId="0" borderId="0"/>
    <xf numFmtId="0" fontId="7" fillId="0" borderId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/>
    <xf numFmtId="200" fontId="20" fillId="0" borderId="0">
      <alignment vertical="center"/>
    </xf>
    <xf numFmtId="14" fontId="25" fillId="0" borderId="0">
      <alignment horizontal="center" wrapText="1"/>
      <protection locked="0"/>
    </xf>
    <xf numFmtId="10" fontId="12" fillId="0" borderId="0" applyFont="0" applyFill="0" applyBorder="0" applyAlignment="0" applyProtection="0"/>
    <xf numFmtId="216" fontId="45" fillId="0" borderId="0"/>
    <xf numFmtId="0" fontId="8" fillId="0" borderId="0" applyNumberFormat="0" applyFont="0" applyFill="0" applyBorder="0" applyAlignment="0" applyProtection="0">
      <alignment horizontal="left"/>
    </xf>
    <xf numFmtId="14" fontId="46" fillId="0" borderId="0" applyNumberFormat="0" applyFill="0" applyBorder="0" applyAlignment="0" applyProtection="0">
      <alignment horizontal="left"/>
    </xf>
    <xf numFmtId="0" fontId="7" fillId="0" borderId="0"/>
    <xf numFmtId="217" fontId="20" fillId="0" borderId="0">
      <alignment vertical="center"/>
    </xf>
    <xf numFmtId="217" fontId="20" fillId="0" borderId="0">
      <alignment vertical="distributed"/>
    </xf>
    <xf numFmtId="0" fontId="8" fillId="0" borderId="0"/>
    <xf numFmtId="0" fontId="47" fillId="0" borderId="0">
      <alignment horizontal="center" vertical="center"/>
    </xf>
    <xf numFmtId="0" fontId="42" fillId="0" borderId="0"/>
    <xf numFmtId="40" fontId="48" fillId="0" borderId="0" applyBorder="0">
      <alignment horizontal="right"/>
    </xf>
    <xf numFmtId="49" fontId="49" fillId="0" borderId="0" applyFill="0" applyBorder="0" applyProtection="0">
      <alignment horizontal="centerContinuous" vertical="center"/>
    </xf>
    <xf numFmtId="0" fontId="50" fillId="0" borderId="0" applyFill="0" applyBorder="0" applyProtection="0">
      <alignment horizontal="centerContinuous" vertical="center"/>
    </xf>
    <xf numFmtId="0" fontId="10" fillId="6" borderId="0" applyFill="0" applyBorder="0" applyProtection="0">
      <alignment horizontal="center" vertical="center"/>
    </xf>
    <xf numFmtId="0" fontId="32" fillId="0" borderId="9">
      <protection locked="0"/>
    </xf>
    <xf numFmtId="0" fontId="51" fillId="0" borderId="4">
      <alignment horizontal="left"/>
    </xf>
    <xf numFmtId="218" fontId="12" fillId="0" borderId="0" applyFont="0" applyFill="0" applyBorder="0" applyAlignment="0" applyProtection="0"/>
    <xf numFmtId="219" fontId="12" fillId="0" borderId="0" applyFont="0" applyFill="0" applyBorder="0" applyAlignment="0" applyProtection="0"/>
    <xf numFmtId="0" fontId="52" fillId="0" borderId="0" applyNumberFormat="0" applyFill="0" applyBorder="0" applyAlignment="0" applyProtection="0">
      <alignment vertical="top"/>
      <protection locked="0"/>
    </xf>
    <xf numFmtId="49" fontId="33" fillId="0" borderId="2">
      <alignment horizontal="center" vertical="center"/>
    </xf>
    <xf numFmtId="220" fontId="7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0" fontId="53" fillId="0" borderId="0"/>
    <xf numFmtId="0" fontId="20" fillId="0" borderId="0">
      <alignment vertical="center"/>
    </xf>
    <xf numFmtId="37" fontId="9" fillId="0" borderId="10">
      <alignment horizontal="center" vertical="center"/>
    </xf>
    <xf numFmtId="37" fontId="9" fillId="0" borderId="3" applyAlignment="0"/>
    <xf numFmtId="0" fontId="5" fillId="0" borderId="0"/>
    <xf numFmtId="221" fontId="6" fillId="0" borderId="11" applyFont="0" applyFill="0" applyBorder="0" applyAlignment="0">
      <alignment horizontal="left" vertical="center"/>
    </xf>
    <xf numFmtId="0" fontId="32" fillId="0" borderId="0">
      <protection locked="0"/>
    </xf>
    <xf numFmtId="3" fontId="8" fillId="0" borderId="12">
      <alignment horizontal="center"/>
    </xf>
    <xf numFmtId="0" fontId="54" fillId="0" borderId="13">
      <alignment vertical="center"/>
    </xf>
    <xf numFmtId="0" fontId="32" fillId="0" borderId="0">
      <protection locked="0"/>
    </xf>
    <xf numFmtId="0" fontId="55" fillId="0" borderId="0" applyNumberForma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190" fontId="6" fillId="0" borderId="5">
      <alignment vertical="center"/>
    </xf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20" fillId="0" borderId="0" applyNumberFormat="0" applyFont="0" applyFill="0" applyBorder="0" applyProtection="0">
      <alignment horizontal="distributed" vertical="center" justifyLastLine="1"/>
    </xf>
    <xf numFmtId="10" fontId="56" fillId="0" borderId="0">
      <alignment vertical="center"/>
    </xf>
    <xf numFmtId="10" fontId="56" fillId="0" borderId="0">
      <alignment vertical="center"/>
    </xf>
    <xf numFmtId="222" fontId="57" fillId="0" borderId="0">
      <protection locked="0"/>
    </xf>
    <xf numFmtId="223" fontId="7" fillId="0" borderId="0" applyFont="0" applyFill="0" applyBorder="0" applyProtection="0">
      <alignment horizontal="center" vertical="center"/>
    </xf>
    <xf numFmtId="224" fontId="7" fillId="0" borderId="0" applyFont="0" applyFill="0" applyBorder="0" applyProtection="0">
      <alignment horizontal="center" vertical="center"/>
    </xf>
    <xf numFmtId="9" fontId="18" fillId="6" borderId="0" applyFill="0" applyBorder="0" applyProtection="0">
      <alignment horizontal="right"/>
    </xf>
    <xf numFmtId="10" fontId="18" fillId="0" borderId="0" applyFill="0" applyBorder="0" applyProtection="0">
      <alignment horizontal="right"/>
    </xf>
    <xf numFmtId="225" fontId="5" fillId="0" borderId="0" applyFont="0" applyFill="0" applyBorder="0" applyAlignment="0" applyProtection="0"/>
    <xf numFmtId="226" fontId="20" fillId="0" borderId="0" applyFont="0" applyFill="0" applyBorder="0" applyAlignment="0" applyProtection="0"/>
    <xf numFmtId="0" fontId="58" fillId="0" borderId="0" applyFont="0" applyFill="0" applyBorder="0" applyProtection="0">
      <alignment horizontal="center" vertical="center"/>
    </xf>
    <xf numFmtId="0" fontId="58" fillId="0" borderId="0" applyFont="0" applyFill="0" applyBorder="0" applyProtection="0">
      <alignment horizontal="center" vertical="center"/>
    </xf>
    <xf numFmtId="227" fontId="59" fillId="0" borderId="14" applyFont="0" applyFill="0" applyAlignment="0" applyProtection="0">
      <alignment horizontal="center" vertical="center"/>
    </xf>
    <xf numFmtId="0" fontId="60" fillId="0" borderId="0"/>
    <xf numFmtId="190" fontId="61" fillId="0" borderId="11">
      <alignment vertical="center"/>
    </xf>
    <xf numFmtId="0" fontId="20" fillId="0" borderId="0" applyNumberFormat="0" applyFont="0" applyFill="0" applyBorder="0" applyProtection="0">
      <alignment horizontal="centerContinuous" vertical="center"/>
    </xf>
    <xf numFmtId="179" fontId="62" fillId="0" borderId="15">
      <alignment vertical="center"/>
    </xf>
    <xf numFmtId="228" fontId="56" fillId="0" borderId="0">
      <alignment vertical="center"/>
    </xf>
    <xf numFmtId="190" fontId="63" fillId="0" borderId="11">
      <alignment vertical="center"/>
    </xf>
    <xf numFmtId="229" fontId="64" fillId="0" borderId="0">
      <alignment vertical="center"/>
    </xf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0" fontId="8" fillId="0" borderId="0"/>
    <xf numFmtId="0" fontId="1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5" fillId="0" borderId="16"/>
    <xf numFmtId="230" fontId="33" fillId="0" borderId="2" applyBorder="0">
      <alignment vertical="center"/>
    </xf>
    <xf numFmtId="0" fontId="66" fillId="0" borderId="0" applyFont="0" applyFill="0" applyBorder="0" applyAlignment="0" applyProtection="0"/>
    <xf numFmtId="0" fontId="67" fillId="0" borderId="0">
      <alignment vertical="center"/>
    </xf>
    <xf numFmtId="0" fontId="68" fillId="0" borderId="0">
      <alignment horizontal="center" vertical="center"/>
    </xf>
    <xf numFmtId="4" fontId="32" fillId="0" borderId="0">
      <protection locked="0"/>
    </xf>
    <xf numFmtId="0" fontId="53" fillId="0" borderId="0"/>
    <xf numFmtId="4" fontId="32" fillId="0" borderId="0">
      <protection locked="0"/>
    </xf>
    <xf numFmtId="231" fontId="7" fillId="0" borderId="0">
      <protection locked="0"/>
    </xf>
    <xf numFmtId="0" fontId="53" fillId="4" borderId="0"/>
    <xf numFmtId="0" fontId="7" fillId="0" borderId="0">
      <alignment vertical="center"/>
    </xf>
    <xf numFmtId="0" fontId="69" fillId="0" borderId="0">
      <alignment horizontal="centerContinuous" vertical="center"/>
    </xf>
    <xf numFmtId="0" fontId="7" fillId="0" borderId="2">
      <alignment horizontal="distributed" vertical="center"/>
    </xf>
    <xf numFmtId="0" fontId="7" fillId="0" borderId="17">
      <alignment horizontal="distributed" vertical="top"/>
    </xf>
    <xf numFmtId="0" fontId="7" fillId="0" borderId="18">
      <alignment horizontal="distributed"/>
    </xf>
    <xf numFmtId="0" fontId="7" fillId="0" borderId="0"/>
    <xf numFmtId="0" fontId="70" fillId="0" borderId="0"/>
    <xf numFmtId="0" fontId="88" fillId="10" borderId="0" applyNumberFormat="0" applyBorder="0" applyAlignment="0" applyProtection="0">
      <alignment vertical="center"/>
    </xf>
    <xf numFmtId="0" fontId="7" fillId="0" borderId="0"/>
    <xf numFmtId="222" fontId="57" fillId="0" borderId="0">
      <protection locked="0"/>
    </xf>
    <xf numFmtId="222" fontId="57" fillId="0" borderId="0">
      <protection locked="0"/>
    </xf>
    <xf numFmtId="232" fontId="7" fillId="0" borderId="0" applyFont="0" applyFill="0" applyBorder="0" applyProtection="0">
      <alignment vertical="center"/>
    </xf>
    <xf numFmtId="38" fontId="20" fillId="0" borderId="0" applyFont="0" applyFill="0" applyBorder="0" applyProtection="0">
      <alignment vertical="center"/>
    </xf>
    <xf numFmtId="233" fontId="5" fillId="0" borderId="0" applyFont="0" applyFill="0" applyBorder="0" applyAlignment="0" applyProtection="0"/>
    <xf numFmtId="0" fontId="12" fillId="0" borderId="2"/>
    <xf numFmtId="234" fontId="5" fillId="6" borderId="0" applyFill="0" applyBorder="0" applyProtection="0">
      <alignment horizontal="right"/>
    </xf>
    <xf numFmtId="38" fontId="20" fillId="0" borderId="0" applyFont="0" applyFill="0" applyBorder="0" applyAlignment="0" applyProtection="0">
      <alignment vertical="center"/>
    </xf>
    <xf numFmtId="179" fontId="20" fillId="0" borderId="0" applyFont="0" applyFill="0" applyBorder="0" applyAlignment="0" applyProtection="0">
      <alignment vertical="center"/>
    </xf>
    <xf numFmtId="38" fontId="20" fillId="0" borderId="0" applyFill="0" applyBorder="0" applyAlignment="0" applyProtection="0">
      <alignment vertical="center"/>
    </xf>
    <xf numFmtId="228" fontId="58" fillId="0" borderId="0" applyFont="0" applyFill="0" applyBorder="0" applyAlignment="0" applyProtection="0"/>
    <xf numFmtId="235" fontId="8" fillId="0" borderId="0" applyFont="0" applyFill="0" applyBorder="0" applyAlignment="0" applyProtection="0"/>
    <xf numFmtId="236" fontId="8" fillId="0" borderId="0" applyFont="0" applyFill="0" applyBorder="0" applyAlignment="0" applyProtection="0"/>
    <xf numFmtId="237" fontId="58" fillId="0" borderId="2">
      <alignment vertical="center"/>
    </xf>
    <xf numFmtId="238" fontId="8" fillId="0" borderId="0" applyFont="0" applyFill="0" applyBorder="0" applyAlignment="0" applyProtection="0"/>
    <xf numFmtId="239" fontId="8" fillId="0" borderId="0" applyFont="0" applyFill="0" applyBorder="0" applyAlignment="0" applyProtection="0"/>
    <xf numFmtId="0" fontId="7" fillId="0" borderId="0" applyFont="0" applyFill="0" applyBorder="0" applyAlignment="0" applyProtection="0"/>
    <xf numFmtId="222" fontId="57" fillId="0" borderId="0">
      <protection locked="0"/>
    </xf>
    <xf numFmtId="222" fontId="57" fillId="0" borderId="0">
      <protection locked="0"/>
    </xf>
    <xf numFmtId="0" fontId="7" fillId="0" borderId="0" applyFont="0" applyFill="0" applyBorder="0" applyAlignment="0" applyProtection="0"/>
    <xf numFmtId="240" fontId="7" fillId="0" borderId="0">
      <protection locked="0"/>
    </xf>
    <xf numFmtId="222" fontId="57" fillId="0" borderId="0">
      <protection locked="0"/>
    </xf>
    <xf numFmtId="0" fontId="63" fillId="0" borderId="15">
      <alignment horizontal="center" vertical="center"/>
    </xf>
    <xf numFmtId="0" fontId="63" fillId="0" borderId="15">
      <alignment horizontal="left" vertical="center"/>
    </xf>
    <xf numFmtId="0" fontId="63" fillId="0" borderId="15">
      <alignment vertical="center" textRotation="255"/>
    </xf>
    <xf numFmtId="0" fontId="9" fillId="0" borderId="18">
      <alignment horizontal="distributed"/>
    </xf>
    <xf numFmtId="0" fontId="9" fillId="0" borderId="19">
      <alignment horizontal="distributed" vertical="center"/>
    </xf>
    <xf numFmtId="0" fontId="9" fillId="0" borderId="20">
      <alignment horizontal="distributed" vertical="top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18" fillId="0" borderId="0">
      <alignment vertical="center"/>
    </xf>
    <xf numFmtId="0" fontId="71" fillId="0" borderId="0" applyFill="0" applyProtection="0">
      <alignment vertical="center"/>
    </xf>
    <xf numFmtId="0" fontId="5" fillId="0" borderId="0"/>
    <xf numFmtId="1" fontId="9" fillId="0" borderId="16">
      <alignment horizontal="centerContinuous"/>
    </xf>
    <xf numFmtId="0" fontId="5" fillId="0" borderId="2" applyNumberFormat="0" applyFill="0" applyProtection="0">
      <alignment vertical="center"/>
    </xf>
    <xf numFmtId="0" fontId="7" fillId="0" borderId="0"/>
    <xf numFmtId="0" fontId="32" fillId="0" borderId="9">
      <protection locked="0"/>
    </xf>
    <xf numFmtId="241" fontId="7" fillId="0" borderId="0">
      <protection locked="0"/>
    </xf>
    <xf numFmtId="242" fontId="7" fillId="0" borderId="0">
      <protection locked="0"/>
    </xf>
    <xf numFmtId="0" fontId="62" fillId="0" borderId="0">
      <alignment vertical="center"/>
    </xf>
    <xf numFmtId="3" fontId="62" fillId="0" borderId="2" applyFont="0" applyFill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</cellStyleXfs>
  <cellXfs count="274">
    <xf numFmtId="0" fontId="0" fillId="0" borderId="0" xfId="0"/>
    <xf numFmtId="0" fontId="6" fillId="0" borderId="0" xfId="3104" applyFont="1">
      <alignment vertical="center"/>
    </xf>
    <xf numFmtId="0" fontId="0" fillId="0" borderId="25" xfId="0" applyBorder="1"/>
    <xf numFmtId="0" fontId="0" fillId="0" borderId="0" xfId="0" applyAlignment="1">
      <alignment shrinkToFit="1"/>
    </xf>
    <xf numFmtId="0" fontId="0" fillId="0" borderId="0" xfId="0" applyAlignment="1">
      <alignment horizontal="center"/>
    </xf>
    <xf numFmtId="177" fontId="85" fillId="2" borderId="2" xfId="2792" applyFont="1" applyFill="1" applyBorder="1" applyAlignment="1">
      <alignment horizontal="right" vertical="center" shrinkToFit="1"/>
    </xf>
    <xf numFmtId="38" fontId="85" fillId="2" borderId="2" xfId="2792" applyNumberFormat="1" applyFont="1" applyFill="1" applyBorder="1" applyAlignment="1">
      <alignment horizontal="right" vertical="center" shrinkToFit="1"/>
    </xf>
    <xf numFmtId="0" fontId="84" fillId="0" borderId="34" xfId="2637" applyFont="1" applyFill="1" applyBorder="1" applyAlignment="1">
      <alignment horizontal="center" vertical="center" shrinkToFit="1"/>
    </xf>
    <xf numFmtId="0" fontId="84" fillId="2" borderId="36" xfId="2637" applyFont="1" applyFill="1" applyBorder="1" applyAlignment="1">
      <alignment horizontal="center" vertical="center"/>
    </xf>
    <xf numFmtId="177" fontId="76" fillId="0" borderId="38" xfId="2792" applyFont="1" applyBorder="1" applyAlignment="1">
      <alignment horizontal="right" vertical="center" shrinkToFit="1"/>
    </xf>
    <xf numFmtId="177" fontId="76" fillId="0" borderId="38" xfId="2792" applyFont="1" applyFill="1" applyBorder="1" applyAlignment="1">
      <alignment horizontal="right" vertical="center" shrinkToFit="1"/>
    </xf>
    <xf numFmtId="177" fontId="76" fillId="0" borderId="40" xfId="2792" applyFont="1" applyBorder="1" applyAlignment="1">
      <alignment horizontal="right" vertical="center" shrinkToFit="1"/>
    </xf>
    <xf numFmtId="38" fontId="76" fillId="0" borderId="42" xfId="2792" applyNumberFormat="1" applyFont="1" applyBorder="1" applyAlignment="1">
      <alignment horizontal="right" vertical="center" shrinkToFit="1"/>
    </xf>
    <xf numFmtId="38" fontId="76" fillId="0" borderId="11" xfId="2792" applyNumberFormat="1" applyFont="1" applyBorder="1" applyAlignment="1">
      <alignment horizontal="right" vertical="center" shrinkToFit="1"/>
    </xf>
    <xf numFmtId="0" fontId="84" fillId="8" borderId="52" xfId="2637" applyFont="1" applyFill="1" applyBorder="1" applyAlignment="1">
      <alignment horizontal="center" vertical="center" shrinkToFit="1"/>
    </xf>
    <xf numFmtId="177" fontId="76" fillId="0" borderId="28" xfId="2792" applyFont="1" applyBorder="1" applyAlignment="1">
      <alignment horizontal="right" vertical="center" shrinkToFit="1"/>
    </xf>
    <xf numFmtId="0" fontId="83" fillId="0" borderId="0" xfId="0" applyFont="1" applyAlignment="1">
      <alignment horizontal="center" vertical="center"/>
    </xf>
    <xf numFmtId="0" fontId="0" fillId="0" borderId="0" xfId="0" applyAlignment="1">
      <alignment horizontal="right"/>
    </xf>
    <xf numFmtId="0" fontId="83" fillId="0" borderId="0" xfId="0" applyFont="1" applyAlignment="1">
      <alignment horizontal="justify" vertical="center"/>
    </xf>
    <xf numFmtId="0" fontId="93" fillId="0" borderId="0" xfId="0" applyFont="1" applyAlignment="1">
      <alignment vertical="center" wrapText="1"/>
    </xf>
    <xf numFmtId="0" fontId="93" fillId="0" borderId="0" xfId="0" applyFont="1" applyAlignment="1">
      <alignment horizontal="left" vertical="center" wrapText="1"/>
    </xf>
    <xf numFmtId="0" fontId="93" fillId="0" borderId="0" xfId="0" applyFont="1" applyAlignment="1">
      <alignment horizontal="center" vertical="center" wrapText="1"/>
    </xf>
    <xf numFmtId="0" fontId="83" fillId="0" borderId="24" xfId="0" applyFont="1" applyBorder="1" applyAlignment="1">
      <alignment vertical="center" wrapText="1"/>
    </xf>
    <xf numFmtId="0" fontId="83" fillId="0" borderId="0" xfId="0" applyFont="1" applyAlignment="1">
      <alignment vertical="center" wrapText="1"/>
    </xf>
    <xf numFmtId="0" fontId="93" fillId="0" borderId="24" xfId="0" applyFont="1" applyBorder="1" applyAlignment="1">
      <alignment vertical="center" wrapText="1"/>
    </xf>
    <xf numFmtId="0" fontId="93" fillId="0" borderId="0" xfId="0" applyFont="1" applyAlignment="1">
      <alignment horizontal="center" vertical="center"/>
    </xf>
    <xf numFmtId="0" fontId="96" fillId="0" borderId="0" xfId="0" applyFont="1" applyAlignment="1">
      <alignment horizontal="justify" vertical="center"/>
    </xf>
    <xf numFmtId="0" fontId="93" fillId="0" borderId="0" xfId="0" applyFont="1" applyAlignment="1">
      <alignment vertical="center"/>
    </xf>
    <xf numFmtId="0" fontId="93" fillId="0" borderId="0" xfId="0" applyFont="1" applyAlignment="1">
      <alignment horizontal="left" vertical="center"/>
    </xf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0" fontId="62" fillId="0" borderId="0" xfId="3113">
      <alignment vertical="center"/>
    </xf>
    <xf numFmtId="3" fontId="62" fillId="0" borderId="2" xfId="3114">
      <alignment vertical="center"/>
    </xf>
    <xf numFmtId="0" fontId="62" fillId="0" borderId="2" xfId="3113" applyBorder="1">
      <alignment vertical="center"/>
    </xf>
    <xf numFmtId="3" fontId="62" fillId="0" borderId="17" xfId="3114" applyBorder="1">
      <alignment vertical="center"/>
    </xf>
    <xf numFmtId="0" fontId="62" fillId="0" borderId="17" xfId="3113" applyBorder="1">
      <alignment vertical="center"/>
    </xf>
    <xf numFmtId="3" fontId="62" fillId="0" borderId="0" xfId="3114" applyBorder="1">
      <alignment vertical="center"/>
    </xf>
    <xf numFmtId="0" fontId="4" fillId="0" borderId="0" xfId="3113" applyFont="1">
      <alignment vertical="center"/>
    </xf>
    <xf numFmtId="0" fontId="7" fillId="0" borderId="0" xfId="3113" applyFont="1">
      <alignment vertical="center"/>
    </xf>
    <xf numFmtId="0" fontId="7" fillId="0" borderId="0" xfId="3113" quotePrefix="1" applyFont="1">
      <alignment vertical="center"/>
    </xf>
    <xf numFmtId="0" fontId="103" fillId="0" borderId="0" xfId="3113" applyFont="1">
      <alignment vertical="center"/>
    </xf>
    <xf numFmtId="0" fontId="103" fillId="0" borderId="8" xfId="3113" applyFont="1" applyBorder="1">
      <alignment vertical="center"/>
    </xf>
    <xf numFmtId="0" fontId="7" fillId="0" borderId="8" xfId="3113" applyFont="1" applyBorder="1">
      <alignment vertical="center"/>
    </xf>
    <xf numFmtId="0" fontId="7" fillId="0" borderId="0" xfId="3113" applyFont="1" applyAlignment="1">
      <alignment horizontal="left" vertical="center" wrapText="1"/>
    </xf>
    <xf numFmtId="0" fontId="105" fillId="0" borderId="0" xfId="3113" applyFont="1">
      <alignment vertical="center"/>
    </xf>
    <xf numFmtId="0" fontId="7" fillId="12" borderId="0" xfId="3113" applyFont="1" applyFill="1">
      <alignment vertical="center"/>
    </xf>
    <xf numFmtId="0" fontId="103" fillId="12" borderId="0" xfId="3113" applyFont="1" applyFill="1">
      <alignment vertical="center"/>
    </xf>
    <xf numFmtId="0" fontId="91" fillId="0" borderId="0" xfId="0" applyFont="1" applyAlignment="1">
      <alignment vertical="center" wrapText="1"/>
    </xf>
    <xf numFmtId="0" fontId="92" fillId="0" borderId="0" xfId="0" applyFont="1" applyAlignment="1">
      <alignment vertical="center" wrapText="1"/>
    </xf>
    <xf numFmtId="0" fontId="84" fillId="0" borderId="33" xfId="2637" applyFont="1" applyFill="1" applyBorder="1" applyAlignment="1">
      <alignment horizontal="center" vertical="center"/>
    </xf>
    <xf numFmtId="243" fontId="79" fillId="0" borderId="8" xfId="3102" applyNumberFormat="1" applyFont="1" applyBorder="1" applyAlignment="1">
      <alignment horizontal="center" vertical="center" shrinkToFit="1"/>
    </xf>
    <xf numFmtId="0" fontId="2" fillId="0" borderId="0" xfId="3102" applyFont="1" applyAlignment="1">
      <alignment vertical="center"/>
    </xf>
    <xf numFmtId="0" fontId="3" fillId="0" borderId="0" xfId="3102" applyFont="1" applyAlignment="1">
      <alignment vertical="center"/>
    </xf>
    <xf numFmtId="177" fontId="72" fillId="2" borderId="36" xfId="3102" applyNumberFormat="1" applyFont="1" applyFill="1" applyBorder="1" applyAlignment="1">
      <alignment horizontal="right" vertical="center" shrinkToFit="1"/>
    </xf>
    <xf numFmtId="49" fontId="72" fillId="0" borderId="35" xfId="3102" quotePrefix="1" applyNumberFormat="1" applyFont="1" applyBorder="1" applyAlignment="1">
      <alignment vertical="center"/>
    </xf>
    <xf numFmtId="183" fontId="76" fillId="0" borderId="37" xfId="3102" applyNumberFormat="1" applyFont="1" applyBorder="1" applyAlignment="1">
      <alignment horizontal="center" vertical="center"/>
    </xf>
    <xf numFmtId="0" fontId="76" fillId="0" borderId="38" xfId="3102" applyFont="1" applyBorder="1" applyAlignment="1">
      <alignment horizontal="center" vertical="center"/>
    </xf>
    <xf numFmtId="0" fontId="76" fillId="0" borderId="29" xfId="3102" applyFont="1" applyBorder="1" applyAlignment="1">
      <alignment horizontal="center" vertical="center" shrinkToFit="1"/>
    </xf>
    <xf numFmtId="49" fontId="72" fillId="0" borderId="31" xfId="3102" quotePrefix="1" applyNumberFormat="1" applyFont="1" applyBorder="1" applyAlignment="1">
      <alignment vertical="center"/>
    </xf>
    <xf numFmtId="183" fontId="76" fillId="0" borderId="39" xfId="3102" applyNumberFormat="1" applyFont="1" applyBorder="1" applyAlignment="1">
      <alignment horizontal="center" vertical="center"/>
    </xf>
    <xf numFmtId="0" fontId="76" fillId="0" borderId="28" xfId="3102" applyFont="1" applyBorder="1" applyAlignment="1">
      <alignment horizontal="center" vertical="center"/>
    </xf>
    <xf numFmtId="0" fontId="76" fillId="0" borderId="40" xfId="3102" applyFont="1" applyBorder="1" applyAlignment="1">
      <alignment horizontal="center" vertical="center"/>
    </xf>
    <xf numFmtId="49" fontId="73" fillId="0" borderId="31" xfId="3102" quotePrefix="1" applyNumberFormat="1" applyFont="1" applyBorder="1" applyAlignment="1">
      <alignment vertical="center" textRotation="255"/>
    </xf>
    <xf numFmtId="0" fontId="76" fillId="0" borderId="39" xfId="3102" quotePrefix="1" applyFont="1" applyBorder="1" applyAlignment="1">
      <alignment horizontal="center" vertical="center"/>
    </xf>
    <xf numFmtId="0" fontId="72" fillId="2" borderId="2" xfId="3102" applyFont="1" applyFill="1" applyBorder="1" applyAlignment="1">
      <alignment vertical="center"/>
    </xf>
    <xf numFmtId="0" fontId="72" fillId="2" borderId="2" xfId="3102" applyFont="1" applyFill="1" applyBorder="1" applyAlignment="1">
      <alignment horizontal="right" vertical="center"/>
    </xf>
    <xf numFmtId="0" fontId="72" fillId="2" borderId="2" xfId="3102" applyFont="1" applyFill="1" applyBorder="1" applyAlignment="1">
      <alignment horizontal="center" vertical="center"/>
    </xf>
    <xf numFmtId="0" fontId="77" fillId="2" borderId="32" xfId="3102" applyFont="1" applyFill="1" applyBorder="1" applyAlignment="1">
      <alignment horizontal="center" vertical="center" shrinkToFit="1"/>
    </xf>
    <xf numFmtId="0" fontId="72" fillId="2" borderId="11" xfId="3102" applyFont="1" applyFill="1" applyBorder="1" applyAlignment="1">
      <alignment vertical="center"/>
    </xf>
    <xf numFmtId="0" fontId="72" fillId="2" borderId="11" xfId="3102" applyFont="1" applyFill="1" applyBorder="1" applyAlignment="1">
      <alignment horizontal="right" vertical="center"/>
    </xf>
    <xf numFmtId="0" fontId="72" fillId="2" borderId="11" xfId="3102" applyFont="1" applyFill="1" applyBorder="1" applyAlignment="1">
      <alignment horizontal="center" vertical="center"/>
    </xf>
    <xf numFmtId="0" fontId="76" fillId="0" borderId="41" xfId="3102" applyFont="1" applyBorder="1" applyAlignment="1">
      <alignment horizontal="left" vertical="center" indent="1"/>
    </xf>
    <xf numFmtId="0" fontId="76" fillId="0" borderId="42" xfId="3102" applyFont="1" applyBorder="1" applyAlignment="1">
      <alignment vertical="center"/>
    </xf>
    <xf numFmtId="0" fontId="76" fillId="0" borderId="42" xfId="3102" applyFont="1" applyBorder="1" applyAlignment="1">
      <alignment horizontal="right" vertical="center"/>
    </xf>
    <xf numFmtId="0" fontId="76" fillId="0" borderId="42" xfId="3102" applyFont="1" applyBorder="1" applyAlignment="1">
      <alignment horizontal="center" vertical="center"/>
    </xf>
    <xf numFmtId="0" fontId="76" fillId="0" borderId="43" xfId="3102" applyFont="1" applyBorder="1" applyAlignment="1">
      <alignment horizontal="center" vertical="center" shrinkToFit="1"/>
    </xf>
    <xf numFmtId="0" fontId="76" fillId="0" borderId="44" xfId="3102" applyFont="1" applyBorder="1" applyAlignment="1">
      <alignment horizontal="left" vertical="center" indent="1"/>
    </xf>
    <xf numFmtId="0" fontId="76" fillId="0" borderId="38" xfId="3102" applyFont="1" applyBorder="1" applyAlignment="1">
      <alignment vertical="center"/>
    </xf>
    <xf numFmtId="179" fontId="76" fillId="0" borderId="38" xfId="3102" applyNumberFormat="1" applyFont="1" applyBorder="1" applyAlignment="1">
      <alignment horizontal="right" vertical="center"/>
    </xf>
    <xf numFmtId="0" fontId="76" fillId="0" borderId="30" xfId="3102" applyFont="1" applyBorder="1" applyAlignment="1">
      <alignment horizontal="center" vertical="center" shrinkToFit="1"/>
    </xf>
    <xf numFmtId="0" fontId="3" fillId="0" borderId="47" xfId="3102" applyFont="1" applyBorder="1" applyAlignment="1">
      <alignment vertical="center"/>
    </xf>
    <xf numFmtId="0" fontId="76" fillId="0" borderId="45" xfId="3102" applyFont="1" applyBorder="1" applyAlignment="1">
      <alignment horizontal="left" vertical="center" indent="1"/>
    </xf>
    <xf numFmtId="0" fontId="76" fillId="0" borderId="28" xfId="3102" applyFont="1" applyBorder="1" applyAlignment="1">
      <alignment vertical="center"/>
    </xf>
    <xf numFmtId="38" fontId="76" fillId="0" borderId="28" xfId="3102" applyNumberFormat="1" applyFont="1" applyBorder="1" applyAlignment="1">
      <alignment horizontal="right" vertical="center" shrinkToFit="1"/>
    </xf>
    <xf numFmtId="179" fontId="76" fillId="0" borderId="28" xfId="3102" applyNumberFormat="1" applyFont="1" applyBorder="1" applyAlignment="1">
      <alignment horizontal="right" vertical="center"/>
    </xf>
    <xf numFmtId="244" fontId="76" fillId="0" borderId="39" xfId="3102" applyNumberFormat="1" applyFont="1" applyBorder="1" applyAlignment="1">
      <alignment horizontal="center" vertical="center"/>
    </xf>
    <xf numFmtId="244" fontId="76" fillId="0" borderId="28" xfId="3102" applyNumberFormat="1" applyFont="1" applyBorder="1" applyAlignment="1">
      <alignment horizontal="center" vertical="center"/>
    </xf>
    <xf numFmtId="0" fontId="76" fillId="0" borderId="48" xfId="3102" applyFont="1" applyBorder="1" applyAlignment="1">
      <alignment horizontal="left" vertical="center" indent="1"/>
    </xf>
    <xf numFmtId="0" fontId="76" fillId="0" borderId="0" xfId="3102" applyFont="1" applyAlignment="1">
      <alignment horizontal="center" vertical="center"/>
    </xf>
    <xf numFmtId="0" fontId="76" fillId="0" borderId="46" xfId="3102" applyFont="1" applyBorder="1" applyAlignment="1">
      <alignment vertical="center"/>
    </xf>
    <xf numFmtId="179" fontId="76" fillId="0" borderId="40" xfId="3102" applyNumberFormat="1" applyFont="1" applyBorder="1" applyAlignment="1">
      <alignment horizontal="right" vertical="center"/>
    </xf>
    <xf numFmtId="244" fontId="76" fillId="0" borderId="40" xfId="3102" applyNumberFormat="1" applyFont="1" applyBorder="1" applyAlignment="1">
      <alignment horizontal="center" vertical="center"/>
    </xf>
    <xf numFmtId="38" fontId="76" fillId="0" borderId="40" xfId="3102" applyNumberFormat="1" applyFont="1" applyBorder="1" applyAlignment="1">
      <alignment horizontal="right" vertical="center" shrinkToFit="1"/>
    </xf>
    <xf numFmtId="0" fontId="76" fillId="2" borderId="2" xfId="3102" applyFont="1" applyFill="1" applyBorder="1" applyAlignment="1">
      <alignment horizontal="right" vertical="center"/>
    </xf>
    <xf numFmtId="177" fontId="85" fillId="2" borderId="2" xfId="3102" applyNumberFormat="1" applyFont="1" applyFill="1" applyBorder="1" applyAlignment="1">
      <alignment horizontal="right" vertical="center" shrinkToFit="1"/>
    </xf>
    <xf numFmtId="0" fontId="76" fillId="2" borderId="32" xfId="3102" applyFont="1" applyFill="1" applyBorder="1" applyAlignment="1">
      <alignment horizontal="center" vertical="center" shrinkToFit="1"/>
    </xf>
    <xf numFmtId="177" fontId="72" fillId="0" borderId="2" xfId="3102" applyNumberFormat="1" applyFont="1" applyBorder="1" applyAlignment="1">
      <alignment vertical="center" shrinkToFit="1"/>
    </xf>
    <xf numFmtId="0" fontId="81" fillId="0" borderId="32" xfId="3102" applyFont="1" applyBorder="1" applyAlignment="1">
      <alignment horizontal="center" vertical="center" wrapText="1" shrinkToFit="1"/>
    </xf>
    <xf numFmtId="0" fontId="76" fillId="0" borderId="32" xfId="3102" applyFont="1" applyBorder="1" applyAlignment="1">
      <alignment horizontal="center" vertical="center" shrinkToFit="1"/>
    </xf>
    <xf numFmtId="177" fontId="72" fillId="8" borderId="2" xfId="3102" applyNumberFormat="1" applyFont="1" applyFill="1" applyBorder="1" applyAlignment="1">
      <alignment vertical="center" shrinkToFit="1"/>
    </xf>
    <xf numFmtId="0" fontId="76" fillId="8" borderId="32" xfId="3102" applyFont="1" applyFill="1" applyBorder="1" applyAlignment="1">
      <alignment horizontal="center" vertical="center" shrinkToFit="1"/>
    </xf>
    <xf numFmtId="177" fontId="72" fillId="0" borderId="2" xfId="3102" applyNumberFormat="1" applyFont="1" applyBorder="1" applyAlignment="1">
      <alignment horizontal="right" vertical="center" shrinkToFit="1"/>
    </xf>
    <xf numFmtId="177" fontId="73" fillId="8" borderId="8" xfId="3102" applyNumberFormat="1" applyFont="1" applyFill="1" applyBorder="1" applyAlignment="1">
      <alignment vertical="center" shrinkToFit="1"/>
    </xf>
    <xf numFmtId="0" fontId="73" fillId="8" borderId="51" xfId="3102" applyFont="1" applyFill="1" applyBorder="1" applyAlignment="1">
      <alignment horizontal="center" vertical="center" shrinkToFit="1"/>
    </xf>
    <xf numFmtId="0" fontId="75" fillId="2" borderId="23" xfId="3102" applyFont="1" applyFill="1" applyBorder="1" applyAlignment="1">
      <alignment vertical="center" shrinkToFit="1"/>
    </xf>
    <xf numFmtId="0" fontId="80" fillId="0" borderId="0" xfId="3102" applyFont="1" applyAlignment="1">
      <alignment vertical="center"/>
    </xf>
    <xf numFmtId="0" fontId="75" fillId="2" borderId="25" xfId="3102" applyFont="1" applyFill="1" applyBorder="1" applyAlignment="1">
      <alignment vertical="center" shrinkToFit="1"/>
    </xf>
    <xf numFmtId="0" fontId="75" fillId="2" borderId="27" xfId="3102" applyFont="1" applyFill="1" applyBorder="1" applyAlignment="1">
      <alignment vertical="center" shrinkToFit="1"/>
    </xf>
    <xf numFmtId="0" fontId="5" fillId="0" borderId="0" xfId="3102"/>
    <xf numFmtId="0" fontId="5" fillId="0" borderId="0" xfId="3102" applyAlignment="1">
      <alignment horizontal="center"/>
    </xf>
    <xf numFmtId="0" fontId="5" fillId="0" borderId="0" xfId="3102" applyAlignment="1">
      <alignment shrinkToFit="1"/>
    </xf>
    <xf numFmtId="0" fontId="72" fillId="0" borderId="50" xfId="3102" applyFont="1" applyBorder="1" applyAlignment="1">
      <alignment horizontal="center" vertical="center"/>
    </xf>
    <xf numFmtId="0" fontId="72" fillId="8" borderId="50" xfId="3102" applyFont="1" applyFill="1" applyBorder="1" applyAlignment="1">
      <alignment horizontal="center" vertical="center"/>
    </xf>
    <xf numFmtId="0" fontId="72" fillId="8" borderId="8" xfId="3102" applyFont="1" applyFill="1" applyBorder="1" applyAlignment="1">
      <alignment horizontal="center" vertical="center"/>
    </xf>
    <xf numFmtId="0" fontId="7" fillId="0" borderId="0" xfId="3113" applyFont="1" applyAlignment="1">
      <alignment horizontal="left" vertical="center"/>
    </xf>
    <xf numFmtId="0" fontId="105" fillId="0" borderId="0" xfId="3113" applyFont="1" applyAlignment="1">
      <alignment horizontal="left" vertical="center"/>
    </xf>
    <xf numFmtId="0" fontId="103" fillId="0" borderId="0" xfId="3113" applyFont="1" applyAlignment="1">
      <alignment horizontal="left" vertical="center"/>
    </xf>
    <xf numFmtId="0" fontId="95" fillId="0" borderId="0" xfId="0" applyFont="1" applyAlignment="1">
      <alignment horizontal="left" vertical="center"/>
    </xf>
    <xf numFmtId="38" fontId="76" fillId="0" borderId="76" xfId="2792" applyNumberFormat="1" applyFont="1" applyBorder="1" applyAlignment="1">
      <alignment horizontal="right" vertical="center" shrinkToFit="1"/>
    </xf>
    <xf numFmtId="0" fontId="115" fillId="0" borderId="0" xfId="3113" applyFont="1">
      <alignment vertical="center"/>
    </xf>
    <xf numFmtId="0" fontId="115" fillId="0" borderId="0" xfId="3113" applyFont="1" applyAlignment="1">
      <alignment horizontal="left" vertical="center"/>
    </xf>
    <xf numFmtId="0" fontId="114" fillId="0" borderId="7" xfId="0" applyFont="1" applyBorder="1" applyAlignment="1">
      <alignment horizontal="left" vertical="center" wrapText="1"/>
    </xf>
    <xf numFmtId="0" fontId="114" fillId="0" borderId="7" xfId="0" applyFont="1" applyBorder="1" applyAlignment="1">
      <alignment vertical="center" wrapText="1"/>
    </xf>
    <xf numFmtId="0" fontId="114" fillId="0" borderId="63" xfId="0" applyFont="1" applyBorder="1" applyAlignment="1">
      <alignment vertical="center" wrapText="1"/>
    </xf>
    <xf numFmtId="0" fontId="118" fillId="0" borderId="0" xfId="0" applyFont="1" applyAlignment="1">
      <alignment vertical="center"/>
    </xf>
    <xf numFmtId="0" fontId="119" fillId="0" borderId="0" xfId="0" applyFont="1" applyAlignment="1">
      <alignment shrinkToFit="1"/>
    </xf>
    <xf numFmtId="0" fontId="119" fillId="0" borderId="0" xfId="0" applyFont="1"/>
    <xf numFmtId="0" fontId="114" fillId="0" borderId="0" xfId="0" applyFont="1" applyAlignment="1">
      <alignment shrinkToFit="1"/>
    </xf>
    <xf numFmtId="0" fontId="114" fillId="0" borderId="0" xfId="0" applyFont="1"/>
    <xf numFmtId="0" fontId="117" fillId="0" borderId="0" xfId="0" applyFont="1" applyAlignment="1">
      <alignment vertical="center"/>
    </xf>
    <xf numFmtId="0" fontId="75" fillId="2" borderId="21" xfId="3102" applyFont="1" applyFill="1" applyBorder="1" applyAlignment="1">
      <alignment horizontal="center" vertical="center"/>
    </xf>
    <xf numFmtId="0" fontId="75" fillId="2" borderId="22" xfId="3102" applyFont="1" applyFill="1" applyBorder="1" applyAlignment="1">
      <alignment horizontal="center" vertical="center"/>
    </xf>
    <xf numFmtId="0" fontId="75" fillId="2" borderId="24" xfId="3102" applyFont="1" applyFill="1" applyBorder="1" applyAlignment="1">
      <alignment horizontal="center" vertical="center"/>
    </xf>
    <xf numFmtId="0" fontId="75" fillId="2" borderId="0" xfId="3102" applyFont="1" applyFill="1" applyAlignment="1">
      <alignment horizontal="center" vertical="center"/>
    </xf>
    <xf numFmtId="0" fontId="75" fillId="2" borderId="26" xfId="3102" applyFont="1" applyFill="1" applyBorder="1" applyAlignment="1">
      <alignment horizontal="center" vertical="center"/>
    </xf>
    <xf numFmtId="0" fontId="75" fillId="2" borderId="8" xfId="3102" applyFont="1" applyFill="1" applyBorder="1" applyAlignment="1">
      <alignment horizontal="center" vertical="center"/>
    </xf>
    <xf numFmtId="0" fontId="78" fillId="0" borderId="22" xfId="3102" applyFont="1" applyBorder="1" applyAlignment="1">
      <alignment horizontal="center" vertical="center" wrapText="1"/>
    </xf>
    <xf numFmtId="0" fontId="72" fillId="0" borderId="0" xfId="3102" applyFont="1" applyAlignment="1">
      <alignment horizontal="center" vertical="center" wrapText="1"/>
    </xf>
    <xf numFmtId="0" fontId="72" fillId="0" borderId="0" xfId="3102" applyFont="1" applyAlignment="1">
      <alignment horizontal="center" vertical="center" shrinkToFit="1"/>
    </xf>
    <xf numFmtId="0" fontId="72" fillId="0" borderId="8" xfId="3102" applyFont="1" applyBorder="1" applyAlignment="1">
      <alignment horizontal="center" vertical="center" shrinkToFit="1"/>
    </xf>
    <xf numFmtId="0" fontId="74" fillId="8" borderId="75" xfId="3102" applyFont="1" applyFill="1" applyBorder="1" applyAlignment="1">
      <alignment horizontal="center" vertical="center"/>
    </xf>
    <xf numFmtId="0" fontId="74" fillId="8" borderId="50" xfId="3102" applyFont="1" applyFill="1" applyBorder="1" applyAlignment="1">
      <alignment horizontal="center" vertical="center"/>
    </xf>
    <xf numFmtId="0" fontId="72" fillId="8" borderId="49" xfId="3102" applyFont="1" applyFill="1" applyBorder="1" applyAlignment="1">
      <alignment horizontal="center" vertical="center"/>
    </xf>
    <xf numFmtId="0" fontId="72" fillId="8" borderId="7" xfId="3102" applyFont="1" applyFill="1" applyBorder="1" applyAlignment="1">
      <alignment horizontal="center" vertical="center"/>
    </xf>
    <xf numFmtId="0" fontId="72" fillId="8" borderId="50" xfId="3102" applyFont="1" applyFill="1" applyBorder="1" applyAlignment="1">
      <alignment horizontal="center" vertical="center"/>
    </xf>
    <xf numFmtId="0" fontId="74" fillId="0" borderId="75" xfId="3102" applyFont="1" applyBorder="1" applyAlignment="1">
      <alignment horizontal="center" vertical="center"/>
    </xf>
    <xf numFmtId="0" fontId="74" fillId="0" borderId="50" xfId="3102" applyFont="1" applyBorder="1" applyAlignment="1">
      <alignment horizontal="center" vertical="center"/>
    </xf>
    <xf numFmtId="0" fontId="72" fillId="0" borderId="49" xfId="3102" applyFont="1" applyBorder="1" applyAlignment="1">
      <alignment horizontal="center" vertical="center"/>
    </xf>
    <xf numFmtId="0" fontId="72" fillId="0" borderId="7" xfId="3102" applyFont="1" applyBorder="1" applyAlignment="1">
      <alignment horizontal="center" vertical="center"/>
    </xf>
    <xf numFmtId="0" fontId="72" fillId="0" borderId="50" xfId="3102" applyFont="1" applyBorder="1" applyAlignment="1">
      <alignment horizontal="center" vertical="center"/>
    </xf>
    <xf numFmtId="0" fontId="73" fillId="8" borderId="73" xfId="3102" applyFont="1" applyFill="1" applyBorder="1" applyAlignment="1">
      <alignment horizontal="center" vertical="center"/>
    </xf>
    <xf numFmtId="0" fontId="73" fillId="8" borderId="74" xfId="3102" applyFont="1" applyFill="1" applyBorder="1" applyAlignment="1">
      <alignment horizontal="center" vertical="center"/>
    </xf>
    <xf numFmtId="0" fontId="72" fillId="8" borderId="68" xfId="3102" applyFont="1" applyFill="1" applyBorder="1" applyAlignment="1">
      <alignment horizontal="center" vertical="center"/>
    </xf>
    <xf numFmtId="0" fontId="72" fillId="8" borderId="69" xfId="3102" applyFont="1" applyFill="1" applyBorder="1" applyAlignment="1">
      <alignment horizontal="center" vertical="center"/>
    </xf>
    <xf numFmtId="0" fontId="72" fillId="8" borderId="74" xfId="3102" applyFont="1" applyFill="1" applyBorder="1" applyAlignment="1">
      <alignment horizontal="center" vertical="center"/>
    </xf>
    <xf numFmtId="0" fontId="73" fillId="7" borderId="73" xfId="3102" applyFont="1" applyFill="1" applyBorder="1" applyAlignment="1">
      <alignment horizontal="center" vertical="center"/>
    </xf>
    <xf numFmtId="0" fontId="73" fillId="7" borderId="74" xfId="3102" applyFont="1" applyFill="1" applyBorder="1" applyAlignment="1">
      <alignment horizontal="center" vertical="center"/>
    </xf>
    <xf numFmtId="182" fontId="73" fillId="7" borderId="68" xfId="3102" applyNumberFormat="1" applyFont="1" applyFill="1" applyBorder="1" applyAlignment="1">
      <alignment horizontal="left" vertical="center" shrinkToFit="1"/>
    </xf>
    <xf numFmtId="182" fontId="73" fillId="7" borderId="69" xfId="3102" applyNumberFormat="1" applyFont="1" applyFill="1" applyBorder="1" applyAlignment="1">
      <alignment horizontal="left" vertical="center" shrinkToFit="1"/>
    </xf>
    <xf numFmtId="182" fontId="73" fillId="7" borderId="70" xfId="3102" applyNumberFormat="1" applyFont="1" applyFill="1" applyBorder="1" applyAlignment="1">
      <alignment horizontal="left" vertical="center" shrinkToFit="1"/>
    </xf>
    <xf numFmtId="0" fontId="82" fillId="0" borderId="71" xfId="3102" applyFont="1" applyBorder="1" applyAlignment="1">
      <alignment horizontal="center" vertical="center"/>
    </xf>
    <xf numFmtId="0" fontId="82" fillId="0" borderId="6" xfId="3102" applyFont="1" applyBorder="1" applyAlignment="1">
      <alignment horizontal="center" vertical="center"/>
    </xf>
    <xf numFmtId="0" fontId="82" fillId="0" borderId="54" xfId="3102" applyFont="1" applyBorder="1" applyAlignment="1">
      <alignment horizontal="center" vertical="center"/>
    </xf>
    <xf numFmtId="0" fontId="84" fillId="0" borderId="71" xfId="2637" applyFont="1" applyFill="1" applyBorder="1" applyAlignment="1">
      <alignment horizontal="center" vertical="center"/>
    </xf>
    <xf numFmtId="0" fontId="84" fillId="0" borderId="72" xfId="2637" applyFont="1" applyFill="1" applyBorder="1" applyAlignment="1">
      <alignment horizontal="center" vertical="center"/>
    </xf>
    <xf numFmtId="0" fontId="84" fillId="2" borderId="59" xfId="2637" applyFont="1" applyFill="1" applyBorder="1" applyAlignment="1">
      <alignment horizontal="left" vertical="center"/>
    </xf>
    <xf numFmtId="0" fontId="84" fillId="2" borderId="60" xfId="2637" applyFont="1" applyFill="1" applyBorder="1" applyAlignment="1">
      <alignment horizontal="left" vertical="center"/>
    </xf>
    <xf numFmtId="0" fontId="72" fillId="2" borderId="75" xfId="3102" applyFont="1" applyFill="1" applyBorder="1" applyAlignment="1">
      <alignment horizontal="left" vertical="center"/>
    </xf>
    <xf numFmtId="0" fontId="72" fillId="2" borderId="50" xfId="3102" applyFont="1" applyFill="1" applyBorder="1" applyAlignment="1">
      <alignment horizontal="left" vertical="center"/>
    </xf>
    <xf numFmtId="0" fontId="74" fillId="2" borderId="75" xfId="3102" applyFont="1" applyFill="1" applyBorder="1" applyAlignment="1">
      <alignment horizontal="left" vertical="center"/>
    </xf>
    <xf numFmtId="0" fontId="74" fillId="2" borderId="50" xfId="3102" applyFont="1" applyFill="1" applyBorder="1" applyAlignment="1">
      <alignment horizontal="left" vertical="center"/>
    </xf>
    <xf numFmtId="0" fontId="74" fillId="0" borderId="75" xfId="3102" applyFont="1" applyBorder="1" applyAlignment="1">
      <alignment horizontal="left" vertical="center"/>
    </xf>
    <xf numFmtId="0" fontId="74" fillId="0" borderId="50" xfId="3102" applyFont="1" applyBorder="1" applyAlignment="1">
      <alignment horizontal="left" vertical="center"/>
    </xf>
    <xf numFmtId="0" fontId="86" fillId="8" borderId="0" xfId="3102" quotePrefix="1" applyFont="1" applyFill="1" applyAlignment="1">
      <alignment horizontal="center" vertical="center" shrinkToFit="1"/>
    </xf>
    <xf numFmtId="0" fontId="72" fillId="0" borderId="8" xfId="3102" applyFont="1" applyBorder="1" applyAlignment="1">
      <alignment horizontal="right" vertical="center" shrinkToFit="1"/>
    </xf>
    <xf numFmtId="0" fontId="73" fillId="8" borderId="71" xfId="3102" applyFont="1" applyFill="1" applyBorder="1" applyAlignment="1">
      <alignment horizontal="center" vertical="center"/>
    </xf>
    <xf numFmtId="0" fontId="73" fillId="8" borderId="72" xfId="3102" applyFont="1" applyFill="1" applyBorder="1" applyAlignment="1">
      <alignment horizontal="center" vertical="center"/>
    </xf>
    <xf numFmtId="182" fontId="73" fillId="8" borderId="56" xfId="3102" applyNumberFormat="1" applyFont="1" applyFill="1" applyBorder="1" applyAlignment="1">
      <alignment horizontal="left" vertical="center" shrinkToFit="1"/>
    </xf>
    <xf numFmtId="182" fontId="73" fillId="8" borderId="6" xfId="3102" applyNumberFormat="1" applyFont="1" applyFill="1" applyBorder="1" applyAlignment="1">
      <alignment horizontal="left" vertical="center" shrinkToFit="1"/>
    </xf>
    <xf numFmtId="182" fontId="73" fillId="8" borderId="54" xfId="3102" applyNumberFormat="1" applyFont="1" applyFill="1" applyBorder="1" applyAlignment="1">
      <alignment horizontal="left" vertical="center" shrinkToFit="1"/>
    </xf>
    <xf numFmtId="0" fontId="73" fillId="7" borderId="59" xfId="3102" applyFont="1" applyFill="1" applyBorder="1" applyAlignment="1">
      <alignment horizontal="center" vertical="center"/>
    </xf>
    <xf numFmtId="0" fontId="73" fillId="7" borderId="60" xfId="3102" applyFont="1" applyFill="1" applyBorder="1" applyAlignment="1">
      <alignment horizontal="center" vertical="center"/>
    </xf>
    <xf numFmtId="182" fontId="73" fillId="7" borderId="65" xfId="3102" applyNumberFormat="1" applyFont="1" applyFill="1" applyBorder="1" applyAlignment="1">
      <alignment horizontal="left" vertical="center" shrinkToFit="1"/>
    </xf>
    <xf numFmtId="182" fontId="73" fillId="7" borderId="66" xfId="3102" applyNumberFormat="1" applyFont="1" applyFill="1" applyBorder="1" applyAlignment="1">
      <alignment horizontal="left" vertical="center" shrinkToFit="1"/>
    </xf>
    <xf numFmtId="182" fontId="73" fillId="7" borderId="67" xfId="3102" applyNumberFormat="1" applyFont="1" applyFill="1" applyBorder="1" applyAlignment="1">
      <alignment horizontal="left" vertical="center" shrinkToFit="1"/>
    </xf>
    <xf numFmtId="0" fontId="101" fillId="0" borderId="0" xfId="3113" applyFont="1" applyAlignment="1">
      <alignment horizontal="center" vertical="center" shrinkToFit="1"/>
    </xf>
    <xf numFmtId="0" fontId="7" fillId="0" borderId="0" xfId="3113" applyFont="1" applyAlignment="1">
      <alignment horizontal="left" vertical="center" wrapText="1"/>
    </xf>
    <xf numFmtId="0" fontId="104" fillId="0" borderId="0" xfId="3113" applyFont="1" applyAlignment="1">
      <alignment horizontal="center" vertical="center"/>
    </xf>
    <xf numFmtId="0" fontId="33" fillId="0" borderId="0" xfId="3113" applyFont="1" applyAlignment="1">
      <alignment horizontal="center" vertical="center" shrinkToFit="1"/>
    </xf>
    <xf numFmtId="14" fontId="7" fillId="0" borderId="0" xfId="3113" applyNumberFormat="1" applyFont="1" applyAlignment="1">
      <alignment horizontal="left" vertical="center"/>
    </xf>
    <xf numFmtId="0" fontId="7" fillId="0" borderId="0" xfId="3113" applyFont="1" applyAlignment="1">
      <alignment horizontal="left" vertical="center"/>
    </xf>
    <xf numFmtId="0" fontId="100" fillId="0" borderId="0" xfId="3113" applyFont="1" applyAlignment="1">
      <alignment horizontal="center" vertical="top"/>
    </xf>
    <xf numFmtId="0" fontId="107" fillId="0" borderId="0" xfId="3113" applyFont="1" applyAlignment="1">
      <alignment horizontal="left" vertical="center"/>
    </xf>
    <xf numFmtId="0" fontId="7" fillId="0" borderId="0" xfId="3113" applyFont="1" applyAlignment="1">
      <alignment horizontal="left" vertical="center" shrinkToFit="1"/>
    </xf>
    <xf numFmtId="245" fontId="107" fillId="0" borderId="0" xfId="3113" applyNumberFormat="1" applyFont="1" applyAlignment="1">
      <alignment horizontal="left" vertical="center" shrinkToFit="1"/>
    </xf>
    <xf numFmtId="0" fontId="93" fillId="0" borderId="0" xfId="0" applyFont="1" applyAlignment="1">
      <alignment horizontal="left" vertical="center" shrinkToFit="1"/>
    </xf>
    <xf numFmtId="0" fontId="93" fillId="0" borderId="0" xfId="0" applyFont="1" applyAlignment="1">
      <alignment horizontal="left" vertical="center" wrapText="1"/>
    </xf>
    <xf numFmtId="0" fontId="95" fillId="0" borderId="0" xfId="0" applyFont="1" applyAlignment="1">
      <alignment horizontal="left" vertical="center"/>
    </xf>
    <xf numFmtId="0" fontId="110" fillId="0" borderId="0" xfId="0" applyFont="1" applyAlignment="1">
      <alignment horizontal="left" vertical="center"/>
    </xf>
    <xf numFmtId="0" fontId="93" fillId="0" borderId="0" xfId="0" applyFont="1" applyAlignment="1">
      <alignment horizontal="left" vertical="center"/>
    </xf>
    <xf numFmtId="0" fontId="117" fillId="0" borderId="0" xfId="0" applyFont="1" applyAlignment="1">
      <alignment horizontal="left" vertical="center" wrapText="1"/>
    </xf>
    <xf numFmtId="0" fontId="108" fillId="0" borderId="0" xfId="0" applyFont="1" applyAlignment="1">
      <alignment horizontal="left" vertical="center" shrinkToFit="1"/>
    </xf>
    <xf numFmtId="0" fontId="118" fillId="0" borderId="0" xfId="0" applyFont="1" applyAlignment="1">
      <alignment horizontal="left" vertical="center"/>
    </xf>
    <xf numFmtId="0" fontId="108" fillId="0" borderId="0" xfId="0" applyFont="1" applyAlignment="1">
      <alignment horizontal="left" vertical="center" wrapText="1"/>
    </xf>
    <xf numFmtId="0" fontId="97" fillId="0" borderId="0" xfId="0" applyFont="1" applyAlignment="1">
      <alignment horizontal="left" vertical="center"/>
    </xf>
    <xf numFmtId="0" fontId="98" fillId="0" borderId="0" xfId="0" applyFont="1" applyAlignment="1">
      <alignment horizontal="center" vertical="center"/>
    </xf>
    <xf numFmtId="0" fontId="93" fillId="0" borderId="0" xfId="0" applyFont="1" applyAlignment="1">
      <alignment horizontal="left" vertical="center" wrapText="1" shrinkToFit="1"/>
    </xf>
    <xf numFmtId="0" fontId="93" fillId="0" borderId="55" xfId="0" applyFont="1" applyBorder="1" applyAlignment="1">
      <alignment horizontal="center" vertical="center" wrapText="1"/>
    </xf>
    <xf numFmtId="0" fontId="93" fillId="0" borderId="2" xfId="0" applyFont="1" applyBorder="1" applyAlignment="1">
      <alignment horizontal="center" vertical="center" wrapText="1"/>
    </xf>
    <xf numFmtId="0" fontId="117" fillId="0" borderId="2" xfId="0" applyFont="1" applyBorder="1" applyAlignment="1">
      <alignment horizontal="left" vertical="center" shrinkToFit="1"/>
    </xf>
    <xf numFmtId="0" fontId="96" fillId="0" borderId="49" xfId="0" applyFont="1" applyBorder="1" applyAlignment="1">
      <alignment horizontal="left" vertical="center" wrapText="1"/>
    </xf>
    <xf numFmtId="0" fontId="96" fillId="0" borderId="7" xfId="0" applyFont="1" applyBorder="1" applyAlignment="1">
      <alignment horizontal="left" vertical="center" wrapText="1"/>
    </xf>
    <xf numFmtId="0" fontId="96" fillId="0" borderId="63" xfId="0" applyFont="1" applyBorder="1" applyAlignment="1">
      <alignment horizontal="left" vertical="center" wrapText="1"/>
    </xf>
    <xf numFmtId="0" fontId="93" fillId="0" borderId="57" xfId="0" applyFont="1" applyBorder="1" applyAlignment="1">
      <alignment horizontal="center" vertical="center" wrapText="1"/>
    </xf>
    <xf numFmtId="0" fontId="93" fillId="0" borderId="1" xfId="0" applyFont="1" applyBorder="1" applyAlignment="1">
      <alignment horizontal="center" vertical="center" wrapText="1"/>
    </xf>
    <xf numFmtId="0" fontId="117" fillId="0" borderId="1" xfId="0" applyFont="1" applyBorder="1" applyAlignment="1">
      <alignment horizontal="left" vertical="center" shrinkToFit="1"/>
    </xf>
    <xf numFmtId="0" fontId="93" fillId="0" borderId="1" xfId="0" applyFont="1" applyBorder="1" applyAlignment="1">
      <alignment horizontal="left" vertical="center" wrapText="1"/>
    </xf>
    <xf numFmtId="0" fontId="93" fillId="0" borderId="58" xfId="0" applyFont="1" applyBorder="1" applyAlignment="1">
      <alignment horizontal="left" vertical="center" wrapText="1"/>
    </xf>
    <xf numFmtId="0" fontId="93" fillId="0" borderId="2" xfId="0" applyFont="1" applyBorder="1" applyAlignment="1">
      <alignment horizontal="left" vertical="center" wrapText="1"/>
    </xf>
    <xf numFmtId="0" fontId="93" fillId="0" borderId="32" xfId="0" applyFont="1" applyBorder="1" applyAlignment="1">
      <alignment horizontal="left" vertical="center" wrapText="1"/>
    </xf>
    <xf numFmtId="0" fontId="93" fillId="0" borderId="24" xfId="0" applyFont="1" applyBorder="1" applyAlignment="1">
      <alignment horizontal="center" vertical="center" wrapText="1"/>
    </xf>
    <xf numFmtId="0" fontId="93" fillId="0" borderId="0" xfId="0" applyFont="1" applyAlignment="1">
      <alignment horizontal="center" vertical="center" wrapText="1"/>
    </xf>
    <xf numFmtId="0" fontId="93" fillId="0" borderId="25" xfId="0" applyFont="1" applyBorder="1" applyAlignment="1">
      <alignment horizontal="left" vertical="center" wrapText="1"/>
    </xf>
    <xf numFmtId="0" fontId="83" fillId="0" borderId="24" xfId="0" applyFont="1" applyBorder="1" applyAlignment="1">
      <alignment horizontal="justify" vertical="center" wrapText="1"/>
    </xf>
    <xf numFmtId="0" fontId="83" fillId="0" borderId="0" xfId="0" applyFont="1" applyAlignment="1">
      <alignment horizontal="justify" vertical="center" wrapText="1"/>
    </xf>
    <xf numFmtId="0" fontId="93" fillId="0" borderId="24" xfId="0" applyFont="1" applyBorder="1" applyAlignment="1">
      <alignment horizontal="left" vertical="center" wrapText="1"/>
    </xf>
    <xf numFmtId="14" fontId="93" fillId="0" borderId="0" xfId="0" applyNumberFormat="1" applyFont="1" applyAlignment="1">
      <alignment horizontal="left" vertical="center" wrapText="1"/>
    </xf>
    <xf numFmtId="14" fontId="93" fillId="0" borderId="25" xfId="0" applyNumberFormat="1" applyFont="1" applyBorder="1" applyAlignment="1">
      <alignment horizontal="left" vertical="center" wrapText="1"/>
    </xf>
    <xf numFmtId="0" fontId="93" fillId="0" borderId="32" xfId="0" applyFont="1" applyBorder="1" applyAlignment="1">
      <alignment horizontal="center" vertical="center" wrapText="1"/>
    </xf>
    <xf numFmtId="0" fontId="114" fillId="0" borderId="2" xfId="0" applyFont="1" applyBorder="1" applyAlignment="1">
      <alignment horizontal="left" vertical="center" wrapText="1"/>
    </xf>
    <xf numFmtId="0" fontId="114" fillId="0" borderId="32" xfId="0" applyFont="1" applyBorder="1" applyAlignment="1">
      <alignment horizontal="left" vertical="center" wrapText="1"/>
    </xf>
    <xf numFmtId="0" fontId="112" fillId="0" borderId="2" xfId="0" applyFont="1" applyBorder="1" applyAlignment="1">
      <alignment horizontal="center" vertical="center" wrapText="1"/>
    </xf>
    <xf numFmtId="0" fontId="95" fillId="0" borderId="55" xfId="0" applyFont="1" applyBorder="1" applyAlignment="1">
      <alignment horizontal="center" vertical="center" textRotation="255" wrapText="1"/>
    </xf>
    <xf numFmtId="0" fontId="95" fillId="0" borderId="2" xfId="0" applyFont="1" applyBorder="1" applyAlignment="1">
      <alignment horizontal="center" vertical="center" textRotation="255" wrapText="1"/>
    </xf>
    <xf numFmtId="0" fontId="95" fillId="0" borderId="64" xfId="0" applyFont="1" applyBorder="1" applyAlignment="1">
      <alignment horizontal="center" vertical="center" textRotation="255" wrapText="1"/>
    </xf>
    <xf numFmtId="0" fontId="95" fillId="0" borderId="18" xfId="0" applyFont="1" applyBorder="1" applyAlignment="1">
      <alignment horizontal="center" vertical="center" textRotation="255" wrapText="1"/>
    </xf>
    <xf numFmtId="0" fontId="95" fillId="0" borderId="57" xfId="0" applyFont="1" applyBorder="1" applyAlignment="1">
      <alignment horizontal="center" vertical="center" textRotation="255" wrapText="1"/>
    </xf>
    <xf numFmtId="0" fontId="95" fillId="0" borderId="1" xfId="0" applyFont="1" applyBorder="1" applyAlignment="1">
      <alignment horizontal="center" vertical="center" textRotation="255" wrapText="1"/>
    </xf>
    <xf numFmtId="182" fontId="114" fillId="0" borderId="2" xfId="0" applyNumberFormat="1" applyFont="1" applyBorder="1" applyAlignment="1">
      <alignment horizontal="left" vertical="center" shrinkToFit="1"/>
    </xf>
    <xf numFmtId="182" fontId="114" fillId="0" borderId="32" xfId="0" applyNumberFormat="1" applyFont="1" applyBorder="1" applyAlignment="1">
      <alignment horizontal="left" vertical="center" shrinkToFit="1"/>
    </xf>
    <xf numFmtId="0" fontId="112" fillId="0" borderId="49" xfId="0" applyFont="1" applyBorder="1" applyAlignment="1">
      <alignment horizontal="center" vertical="center" wrapText="1"/>
    </xf>
    <xf numFmtId="0" fontId="112" fillId="0" borderId="7" xfId="0" applyFont="1" applyBorder="1" applyAlignment="1">
      <alignment horizontal="center" vertical="center" wrapText="1"/>
    </xf>
    <xf numFmtId="0" fontId="112" fillId="0" borderId="50" xfId="0" applyFont="1" applyBorder="1" applyAlignment="1">
      <alignment horizontal="center" vertical="center" wrapText="1"/>
    </xf>
    <xf numFmtId="0" fontId="113" fillId="0" borderId="49" xfId="0" applyFont="1" applyBorder="1" applyAlignment="1">
      <alignment horizontal="left" vertical="center" wrapText="1"/>
    </xf>
    <xf numFmtId="0" fontId="113" fillId="0" borderId="7" xfId="0" applyFont="1" applyBorder="1" applyAlignment="1">
      <alignment horizontal="left" vertical="center" wrapText="1"/>
    </xf>
    <xf numFmtId="0" fontId="113" fillId="0" borderId="63" xfId="0" applyFont="1" applyBorder="1" applyAlignment="1">
      <alignment horizontal="left" vertical="center" wrapText="1"/>
    </xf>
    <xf numFmtId="0" fontId="114" fillId="0" borderId="0" xfId="0" applyFont="1" applyAlignment="1">
      <alignment horizontal="left" vertical="center" wrapText="1"/>
    </xf>
    <xf numFmtId="0" fontId="114" fillId="0" borderId="25" xfId="0" applyFont="1" applyBorder="1" applyAlignment="1">
      <alignment horizontal="left" vertical="center" wrapText="1"/>
    </xf>
    <xf numFmtId="0" fontId="114" fillId="0" borderId="13" xfId="0" applyFont="1" applyBorder="1" applyAlignment="1">
      <alignment horizontal="left" vertical="center" wrapText="1"/>
    </xf>
    <xf numFmtId="0" fontId="114" fillId="0" borderId="62" xfId="0" applyFont="1" applyBorder="1" applyAlignment="1">
      <alignment horizontal="left" vertical="center" wrapText="1"/>
    </xf>
    <xf numFmtId="0" fontId="112" fillId="0" borderId="1" xfId="0" applyFont="1" applyBorder="1" applyAlignment="1">
      <alignment horizontal="center" vertical="center" wrapText="1"/>
    </xf>
    <xf numFmtId="0" fontId="113" fillId="0" borderId="1" xfId="0" applyFont="1" applyBorder="1" applyAlignment="1">
      <alignment horizontal="left" vertical="center" wrapText="1"/>
    </xf>
    <xf numFmtId="0" fontId="113" fillId="0" borderId="58" xfId="0" applyFont="1" applyBorder="1" applyAlignment="1">
      <alignment horizontal="left" vertical="center" wrapText="1"/>
    </xf>
    <xf numFmtId="0" fontId="114" fillId="0" borderId="49" xfId="0" applyFont="1" applyBorder="1" applyAlignment="1">
      <alignment horizontal="left" vertical="center" wrapText="1"/>
    </xf>
    <xf numFmtId="0" fontId="114" fillId="0" borderId="7" xfId="0" applyFont="1" applyBorder="1" applyAlignment="1">
      <alignment horizontal="left" vertical="center" wrapText="1"/>
    </xf>
    <xf numFmtId="0" fontId="114" fillId="0" borderId="63" xfId="0" applyFont="1" applyBorder="1" applyAlignment="1">
      <alignment horizontal="left" vertical="center" wrapText="1"/>
    </xf>
    <xf numFmtId="0" fontId="89" fillId="11" borderId="53" xfId="0" applyFont="1" applyFill="1" applyBorder="1" applyAlignment="1">
      <alignment horizontal="center" vertical="center" wrapText="1"/>
    </xf>
    <xf numFmtId="0" fontId="89" fillId="11" borderId="0" xfId="0" applyFont="1" applyFill="1" applyAlignment="1">
      <alignment horizontal="center" vertical="center" wrapText="1"/>
    </xf>
    <xf numFmtId="0" fontId="90" fillId="0" borderId="0" xfId="0" applyFont="1" applyAlignment="1">
      <alignment horizontal="center" vertical="center" wrapText="1"/>
    </xf>
    <xf numFmtId="0" fontId="116" fillId="0" borderId="0" xfId="0" applyFont="1" applyAlignment="1">
      <alignment horizontal="center" vertical="center" wrapText="1"/>
    </xf>
    <xf numFmtId="0" fontId="83" fillId="11" borderId="53" xfId="0" applyFont="1" applyFill="1" applyBorder="1" applyAlignment="1">
      <alignment horizontal="center" vertical="center" wrapText="1"/>
    </xf>
    <xf numFmtId="0" fontId="83" fillId="11" borderId="0" xfId="0" applyFont="1" applyFill="1" applyAlignment="1">
      <alignment horizontal="center" vertical="center" wrapText="1"/>
    </xf>
    <xf numFmtId="14" fontId="116" fillId="0" borderId="0" xfId="0" applyNumberFormat="1" applyFont="1" applyAlignment="1">
      <alignment horizontal="center" vertical="center"/>
    </xf>
    <xf numFmtId="0" fontId="94" fillId="0" borderId="21" xfId="0" applyFont="1" applyBorder="1" applyAlignment="1">
      <alignment horizontal="center" vertical="center" wrapText="1"/>
    </xf>
    <xf numFmtId="0" fontId="94" fillId="0" borderId="22" xfId="0" applyFont="1" applyBorder="1" applyAlignment="1">
      <alignment horizontal="center" vertical="center" wrapText="1"/>
    </xf>
    <xf numFmtId="0" fontId="94" fillId="0" borderId="23" xfId="0" applyFont="1" applyBorder="1" applyAlignment="1">
      <alignment horizontal="center" vertical="center" wrapText="1"/>
    </xf>
    <xf numFmtId="0" fontId="92" fillId="0" borderId="0" xfId="0" applyFont="1" applyAlignment="1">
      <alignment horizontal="left" vertical="center" wrapText="1"/>
    </xf>
    <xf numFmtId="0" fontId="89" fillId="0" borderId="53" xfId="0" applyFont="1" applyBorder="1" applyAlignment="1">
      <alignment horizontal="center" vertical="center" wrapText="1"/>
    </xf>
    <xf numFmtId="0" fontId="89" fillId="0" borderId="0" xfId="0" applyFont="1" applyAlignment="1">
      <alignment horizontal="center" vertical="center" wrapText="1"/>
    </xf>
    <xf numFmtId="0" fontId="95" fillId="0" borderId="61" xfId="0" applyFont="1" applyBorder="1" applyAlignment="1">
      <alignment horizontal="center" vertical="center" textRotation="255" wrapText="1"/>
    </xf>
    <xf numFmtId="0" fontId="95" fillId="0" borderId="36" xfId="0" applyFont="1" applyBorder="1" applyAlignment="1">
      <alignment horizontal="center" vertical="center" textRotation="255" wrapText="1"/>
    </xf>
    <xf numFmtId="0" fontId="112" fillId="0" borderId="36" xfId="0" applyFont="1" applyBorder="1" applyAlignment="1">
      <alignment horizontal="center" vertical="center" wrapText="1"/>
    </xf>
    <xf numFmtId="0" fontId="114" fillId="0" borderId="36" xfId="0" applyFont="1" applyBorder="1" applyAlignment="1">
      <alignment horizontal="left" vertical="center" wrapText="1"/>
    </xf>
    <xf numFmtId="0" fontId="114" fillId="0" borderId="52" xfId="0" applyFont="1" applyBorder="1" applyAlignment="1">
      <alignment horizontal="left" vertical="center" wrapText="1"/>
    </xf>
  </cellXfs>
  <cellStyles count="3119">
    <cellStyle name=" " xfId="1" xr:uid="{00000000-0005-0000-0000-000000000000}"/>
    <cellStyle name=" _97연말" xfId="3" xr:uid="{00000000-0005-0000-0000-000002000000}"/>
    <cellStyle name=" _97연말1" xfId="4" xr:uid="{00000000-0005-0000-0000-000003000000}"/>
    <cellStyle name=" _Book1" xfId="5" xr:uid="{00000000-0005-0000-0000-000004000000}"/>
    <cellStyle name="_01토공" xfId="16" xr:uid="{00000000-0005-0000-0000-00000F000000}"/>
    <cellStyle name="_01토공_00-설계서,원가계산,내역서" xfId="17" xr:uid="{00000000-0005-0000-0000-000010000000}"/>
    <cellStyle name="_01토공_라멘교 토공" xfId="18" xr:uid="{00000000-0005-0000-0000-000011000000}"/>
    <cellStyle name="_01토공_라멘교 토공_00-설계서,원가계산,내역서" xfId="19" xr:uid="{00000000-0005-0000-0000-000012000000}"/>
    <cellStyle name="_01토공_철거" xfId="20" xr:uid="{00000000-0005-0000-0000-000013000000}"/>
    <cellStyle name="_01토공_철거_00-설계서,원가계산,내역서" xfId="21" xr:uid="{00000000-0005-0000-0000-000014000000}"/>
    <cellStyle name="_01토공_철거_라멘교 토공" xfId="22" xr:uid="{00000000-0005-0000-0000-000015000000}"/>
    <cellStyle name="_01토공_철거_라멘교 토공_00-설계서,원가계산,내역서" xfId="23" xr:uid="{00000000-0005-0000-0000-000016000000}"/>
    <cellStyle name="_갑지(0127)" xfId="29" xr:uid="{00000000-0005-0000-0000-00001C000000}"/>
    <cellStyle name="_공사요율표-031008" xfId="30" xr:uid="{00000000-0005-0000-0000-00001D000000}"/>
    <cellStyle name="_공양식(레인보우스케이프)" xfId="31" xr:uid="{00000000-0005-0000-0000-00001E000000}"/>
    <cellStyle name="_관급-(수배전반)" xfId="32" xr:uid="{00000000-0005-0000-0000-00001F000000}"/>
    <cellStyle name="_내역서" xfId="33" xr:uid="{00000000-0005-0000-0000-000020000000}"/>
    <cellStyle name="_능말폐기물내역(2단계-총괄)" xfId="34" xr:uid="{00000000-0005-0000-0000-000021000000}"/>
    <cellStyle name="_대구역사약전내역(자재부제출)" xfId="35" xr:uid="{00000000-0005-0000-0000-000022000000}"/>
    <cellStyle name="_대원공원설계서" xfId="36" xr:uid="{00000000-0005-0000-0000-000023000000}"/>
    <cellStyle name="_대원공원설계서_00-설계서,원가계산,내역서" xfId="37" xr:uid="{00000000-0005-0000-0000-000024000000}"/>
    <cellStyle name="_대원공원설계서_내역서-최종0223" xfId="38" xr:uid="{00000000-0005-0000-0000-000025000000}"/>
    <cellStyle name="_대원공원설계서_내역서-최종0223_00-설계서,원가계산,내역서" xfId="39" xr:uid="{00000000-0005-0000-0000-000026000000}"/>
    <cellStyle name="_대원공원설계서_내역서-최종0223_설계서-1" xfId="40" xr:uid="{00000000-0005-0000-0000-000027000000}"/>
    <cellStyle name="_대원공원설계서_내역서-최종0223_설계서-1_00-설계서,원가계산,내역서" xfId="41" xr:uid="{00000000-0005-0000-0000-000028000000}"/>
    <cellStyle name="_대원공원설계서_내역서-최종0223_진해자은수량산출서(단지내)" xfId="42" xr:uid="{00000000-0005-0000-0000-000029000000}"/>
    <cellStyle name="_대원공원설계서_내역서-최종0223_진해자은수량산출서(단지내)_00-설계서,원가계산,내역서" xfId="43" xr:uid="{00000000-0005-0000-0000-00002A000000}"/>
    <cellStyle name="_대원공원설계서_내역서-최종0223_진해자은수량산출서(단지내)_기초산출표-56-128-최종" xfId="44" xr:uid="{00000000-0005-0000-0000-00002B000000}"/>
    <cellStyle name="_대원공원설계서_내역서-최종0223_진해자은수량산출서(단지내)_기초산출표-56-128-최종_00-설계서,원가계산,내역서" xfId="45" xr:uid="{00000000-0005-0000-0000-00002C000000}"/>
    <cellStyle name="_대원공원설계서_내역서-최종0223_진해자은수량산출서(단지내)_기초산출표-56-128-최종_설계서-1" xfId="46" xr:uid="{00000000-0005-0000-0000-00002D000000}"/>
    <cellStyle name="_대원공원설계서_내역서-최종0223_진해자은수량산출서(단지내)_기초산출표-56-128-최종_설계서-1_00-설계서,원가계산,내역서" xfId="47" xr:uid="{00000000-0005-0000-0000-00002E000000}"/>
    <cellStyle name="_대원공원설계서_내역서-최종0223_진해자은수량산출서(단지내)_설계서-1" xfId="48" xr:uid="{00000000-0005-0000-0000-00002F000000}"/>
    <cellStyle name="_대원공원설계서_내역서-최종0223_진해자은수량산출서(단지내)_설계서-1_00-설계서,원가계산,내역서" xfId="49" xr:uid="{00000000-0005-0000-0000-000030000000}"/>
    <cellStyle name="_대원공원설계서_내역서-최종0223_진해자은수량산출서(단지내)_취합" xfId="50" xr:uid="{00000000-0005-0000-0000-000031000000}"/>
    <cellStyle name="_대원공원설계서_내역서-최종0223_진해자은수량산출서(단지내)_취합_00-설계서,원가계산,내역서" xfId="51" xr:uid="{00000000-0005-0000-0000-000032000000}"/>
    <cellStyle name="_대원공원설계서_내역서-최종0223_진해자은수량산출서(단지내)_취합_설계서-1" xfId="52" xr:uid="{00000000-0005-0000-0000-000033000000}"/>
    <cellStyle name="_대원공원설계서_내역서-최종0223_진해자은수량산출서(단지내)_취합_설계서-1_00-설계서,원가계산,내역서" xfId="53" xr:uid="{00000000-0005-0000-0000-000034000000}"/>
    <cellStyle name="_대원공원설계서_설계서-1" xfId="54" xr:uid="{00000000-0005-0000-0000-000035000000}"/>
    <cellStyle name="_대원공원설계서_설계서-1_00-설계서,원가계산,내역서" xfId="55" xr:uid="{00000000-0005-0000-0000-000036000000}"/>
    <cellStyle name="_대원공원설계서_율동자연공원내 화장실 보수 및 도색공사" xfId="56" xr:uid="{00000000-0005-0000-0000-000037000000}"/>
    <cellStyle name="_대원공원설계서_율동자연공원내 화장실 보수 및 도색공사_00-설계서,원가계산,내역서" xfId="57" xr:uid="{00000000-0005-0000-0000-000038000000}"/>
    <cellStyle name="_대원공원설계서_율동자연공원내 화장실 보수 및 도색공사_내역서-최종0223" xfId="58" xr:uid="{00000000-0005-0000-0000-000039000000}"/>
    <cellStyle name="_대원공원설계서_율동자연공원내 화장실 보수 및 도색공사_내역서-최종0223_00-설계서,원가계산,내역서" xfId="59" xr:uid="{00000000-0005-0000-0000-00003A000000}"/>
    <cellStyle name="_대원공원설계서_율동자연공원내 화장실 보수 및 도색공사_내역서-최종0223_설계서-1" xfId="60" xr:uid="{00000000-0005-0000-0000-00003B000000}"/>
    <cellStyle name="_대원공원설계서_율동자연공원내 화장실 보수 및 도색공사_내역서-최종0223_설계서-1_00-설계서,원가계산,내역서" xfId="61" xr:uid="{00000000-0005-0000-0000-00003C000000}"/>
    <cellStyle name="_대원공원설계서_율동자연공원내 화장실 보수 및 도색공사_내역서-최종0223_진해자은수량산출서(단지내)" xfId="62" xr:uid="{00000000-0005-0000-0000-00003D000000}"/>
    <cellStyle name="_대원공원설계서_율동자연공원내 화장실 보수 및 도색공사_내역서-최종0223_진해자은수량산출서(단지내)_00-설계서,원가계산,내역서" xfId="63" xr:uid="{00000000-0005-0000-0000-00003E000000}"/>
    <cellStyle name="_대원공원설계서_율동자연공원내 화장실 보수 및 도색공사_내역서-최종0223_진해자은수량산출서(단지내)_기초산출표-56-128-최종" xfId="64" xr:uid="{00000000-0005-0000-0000-00003F000000}"/>
    <cellStyle name="_대원공원설계서_율동자연공원내 화장실 보수 및 도색공사_내역서-최종0223_진해자은수량산출서(단지내)_기초산출표-56-128-최종_00-설계서,원가계산,내역서" xfId="65" xr:uid="{00000000-0005-0000-0000-000040000000}"/>
    <cellStyle name="_대원공원설계서_율동자연공원내 화장실 보수 및 도색공사_내역서-최종0223_진해자은수량산출서(단지내)_기초산출표-56-128-최종_설계서-1" xfId="66" xr:uid="{00000000-0005-0000-0000-000041000000}"/>
    <cellStyle name="_대원공원설계서_율동자연공원내 화장실 보수 및 도색공사_내역서-최종0223_진해자은수량산출서(단지내)_기초산출표-56-128-최종_설계서-1_00-설계서,원가계산,내역서" xfId="67" xr:uid="{00000000-0005-0000-0000-000042000000}"/>
    <cellStyle name="_대원공원설계서_율동자연공원내 화장실 보수 및 도색공사_내역서-최종0223_진해자은수량산출서(단지내)_설계서-1" xfId="68" xr:uid="{00000000-0005-0000-0000-000043000000}"/>
    <cellStyle name="_대원공원설계서_율동자연공원내 화장실 보수 및 도색공사_내역서-최종0223_진해자은수량산출서(단지내)_설계서-1_00-설계서,원가계산,내역서" xfId="69" xr:uid="{00000000-0005-0000-0000-000044000000}"/>
    <cellStyle name="_대원공원설계서_율동자연공원내 화장실 보수 및 도색공사_내역서-최종0223_진해자은수량산출서(단지내)_취합" xfId="70" xr:uid="{00000000-0005-0000-0000-000045000000}"/>
    <cellStyle name="_대원공원설계서_율동자연공원내 화장실 보수 및 도색공사_내역서-최종0223_진해자은수량산출서(단지내)_취합_00-설계서,원가계산,내역서" xfId="71" xr:uid="{00000000-0005-0000-0000-000046000000}"/>
    <cellStyle name="_대원공원설계서_율동자연공원내 화장실 보수 및 도색공사_내역서-최종0223_진해자은수량산출서(단지내)_취합_설계서-1" xfId="72" xr:uid="{00000000-0005-0000-0000-000047000000}"/>
    <cellStyle name="_대원공원설계서_율동자연공원내 화장실 보수 및 도색공사_내역서-최종0223_진해자은수량산출서(단지내)_취합_설계서-1_00-설계서,원가계산,내역서" xfId="73" xr:uid="{00000000-0005-0000-0000-000048000000}"/>
    <cellStyle name="_대원공원설계서_율동자연공원내 화장실 보수 및 도색공사_설계서-1" xfId="74" xr:uid="{00000000-0005-0000-0000-000049000000}"/>
    <cellStyle name="_대원공원설계서_율동자연공원내 화장실 보수 및 도색공사_설계서-1_00-설계서,원가계산,내역서" xfId="75" xr:uid="{00000000-0005-0000-0000-00004A000000}"/>
    <cellStyle name="_대원공원설계서_율동자연공원내 화장실 보수 및 도색공사_진해자은수량산출서(단지내)" xfId="76" xr:uid="{00000000-0005-0000-0000-00004B000000}"/>
    <cellStyle name="_대원공원설계서_율동자연공원내 화장실 보수 및 도색공사_진해자은수량산출서(단지내)_00-설계서,원가계산,내역서" xfId="77" xr:uid="{00000000-0005-0000-0000-00004C000000}"/>
    <cellStyle name="_대원공원설계서_율동자연공원내 화장실 보수 및 도색공사_진해자은수량산출서(단지내)_기초산출표-56-128-최종" xfId="78" xr:uid="{00000000-0005-0000-0000-00004D000000}"/>
    <cellStyle name="_대원공원설계서_율동자연공원내 화장실 보수 및 도색공사_진해자은수량산출서(단지내)_기초산출표-56-128-최종_00-설계서,원가계산,내역서" xfId="79" xr:uid="{00000000-0005-0000-0000-00004E000000}"/>
    <cellStyle name="_대원공원설계서_율동자연공원내 화장실 보수 및 도색공사_진해자은수량산출서(단지내)_기초산출표-56-128-최종_설계서-1" xfId="80" xr:uid="{00000000-0005-0000-0000-00004F000000}"/>
    <cellStyle name="_대원공원설계서_율동자연공원내 화장실 보수 및 도색공사_진해자은수량산출서(단지내)_기초산출표-56-128-최종_설계서-1_00-설계서,원가계산,내역서" xfId="81" xr:uid="{00000000-0005-0000-0000-000050000000}"/>
    <cellStyle name="_대원공원설계서_율동자연공원내 화장실 보수 및 도색공사_진해자은수량산출서(단지내)_설계서-1" xfId="82" xr:uid="{00000000-0005-0000-0000-000051000000}"/>
    <cellStyle name="_대원공원설계서_율동자연공원내 화장실 보수 및 도색공사_진해자은수량산출서(단지내)_설계서-1_00-설계서,원가계산,내역서" xfId="83" xr:uid="{00000000-0005-0000-0000-000052000000}"/>
    <cellStyle name="_대원공원설계서_율동자연공원내 화장실 보수 및 도색공사_진해자은수량산출서(단지내)_취합" xfId="84" xr:uid="{00000000-0005-0000-0000-000053000000}"/>
    <cellStyle name="_대원공원설계서_율동자연공원내 화장실 보수 및 도색공사_진해자은수량산출서(단지내)_취합_00-설계서,원가계산,내역서" xfId="85" xr:uid="{00000000-0005-0000-0000-000054000000}"/>
    <cellStyle name="_대원공원설계서_율동자연공원내 화장실 보수 및 도색공사_진해자은수량산출서(단지내)_취합_설계서-1" xfId="86" xr:uid="{00000000-0005-0000-0000-000055000000}"/>
    <cellStyle name="_대원공원설계서_율동자연공원내 화장실 보수 및 도색공사_진해자은수량산출서(단지내)_취합_설계서-1_00-설계서,원가계산,내역서" xfId="87" xr:uid="{00000000-0005-0000-0000-000056000000}"/>
    <cellStyle name="_대원공원설계서_율동자연공원내 휴게편의점 도색작업-할증-천정면적추가" xfId="88" xr:uid="{00000000-0005-0000-0000-000057000000}"/>
    <cellStyle name="_대원공원설계서_율동자연공원내 휴게편의점 도색작업-할증-천정면적추가_00-설계서,원가계산,내역서" xfId="89" xr:uid="{00000000-0005-0000-0000-000058000000}"/>
    <cellStyle name="_대원공원설계서_율동자연공원내 휴게편의점 도색작업-할증-천정면적추가_내역서-최종0223" xfId="90" xr:uid="{00000000-0005-0000-0000-000059000000}"/>
    <cellStyle name="_대원공원설계서_율동자연공원내 휴게편의점 도색작업-할증-천정면적추가_내역서-최종0223_00-설계서,원가계산,내역서" xfId="91" xr:uid="{00000000-0005-0000-0000-00005A000000}"/>
    <cellStyle name="_대원공원설계서_율동자연공원내 휴게편의점 도색작업-할증-천정면적추가_내역서-최종0223_설계서-1" xfId="92" xr:uid="{00000000-0005-0000-0000-00005B000000}"/>
    <cellStyle name="_대원공원설계서_율동자연공원내 휴게편의점 도색작업-할증-천정면적추가_내역서-최종0223_설계서-1_00-설계서,원가계산,내역서" xfId="93" xr:uid="{00000000-0005-0000-0000-00005C000000}"/>
    <cellStyle name="_대원공원설계서_율동자연공원내 휴게편의점 도색작업-할증-천정면적추가_내역서-최종0223_진해자은수량산출서(단지내)" xfId="94" xr:uid="{00000000-0005-0000-0000-00005D000000}"/>
    <cellStyle name="_대원공원설계서_율동자연공원내 휴게편의점 도색작업-할증-천정면적추가_내역서-최종0223_진해자은수량산출서(단지내)_00-설계서,원가계산,내역서" xfId="95" xr:uid="{00000000-0005-0000-0000-00005E000000}"/>
    <cellStyle name="_대원공원설계서_율동자연공원내 휴게편의점 도색작업-할증-천정면적추가_내역서-최종0223_진해자은수량산출서(단지내)_기초산출표-56-128-최종" xfId="96" xr:uid="{00000000-0005-0000-0000-00005F000000}"/>
    <cellStyle name="_대원공원설계서_율동자연공원내 휴게편의점 도색작업-할증-천정면적추가_내역서-최종0223_진해자은수량산출서(단지내)_기초산출표-56-128-최종_00-설계서,원가계산,내역서" xfId="97" xr:uid="{00000000-0005-0000-0000-000060000000}"/>
    <cellStyle name="_대원공원설계서_율동자연공원내 휴게편의점 도색작업-할증-천정면적추가_내역서-최종0223_진해자은수량산출서(단지내)_기초산출표-56-128-최종_설계서-1" xfId="98" xr:uid="{00000000-0005-0000-0000-000061000000}"/>
    <cellStyle name="_대원공원설계서_율동자연공원내 휴게편의점 도색작업-할증-천정면적추가_내역서-최종0223_진해자은수량산출서(단지내)_기초산출표-56-128-최종_설계서-1_00-설계서,원가계산,내역서" xfId="99" xr:uid="{00000000-0005-0000-0000-000062000000}"/>
    <cellStyle name="_대원공원설계서_율동자연공원내 휴게편의점 도색작업-할증-천정면적추가_내역서-최종0223_진해자은수량산출서(단지내)_설계서-1" xfId="100" xr:uid="{00000000-0005-0000-0000-000063000000}"/>
    <cellStyle name="_대원공원설계서_율동자연공원내 휴게편의점 도색작업-할증-천정면적추가_내역서-최종0223_진해자은수량산출서(단지내)_설계서-1_00-설계서,원가계산,내역서" xfId="101" xr:uid="{00000000-0005-0000-0000-000064000000}"/>
    <cellStyle name="_대원공원설계서_율동자연공원내 휴게편의점 도색작업-할증-천정면적추가_내역서-최종0223_진해자은수량산출서(단지내)_취합" xfId="102" xr:uid="{00000000-0005-0000-0000-000065000000}"/>
    <cellStyle name="_대원공원설계서_율동자연공원내 휴게편의점 도색작업-할증-천정면적추가_내역서-최종0223_진해자은수량산출서(단지내)_취합_00-설계서,원가계산,내역서" xfId="103" xr:uid="{00000000-0005-0000-0000-000066000000}"/>
    <cellStyle name="_대원공원설계서_율동자연공원내 휴게편의점 도색작업-할증-천정면적추가_내역서-최종0223_진해자은수량산출서(단지내)_취합_설계서-1" xfId="104" xr:uid="{00000000-0005-0000-0000-000067000000}"/>
    <cellStyle name="_대원공원설계서_율동자연공원내 휴게편의점 도색작업-할증-천정면적추가_내역서-최종0223_진해자은수량산출서(단지내)_취합_설계서-1_00-설계서,원가계산,내역서" xfId="105" xr:uid="{00000000-0005-0000-0000-000068000000}"/>
    <cellStyle name="_대원공원설계서_율동자연공원내 휴게편의점 도색작업-할증-천정면적추가_설계서-1" xfId="106" xr:uid="{00000000-0005-0000-0000-000069000000}"/>
    <cellStyle name="_대원공원설계서_율동자연공원내 휴게편의점 도색작업-할증-천정면적추가_설계서-1_00-설계서,원가계산,내역서" xfId="107" xr:uid="{00000000-0005-0000-0000-00006A000000}"/>
    <cellStyle name="_대원공원설계서_율동자연공원내 휴게편의점 도색작업-할증-천정면적추가_진해자은수량산출서(단지내)" xfId="108" xr:uid="{00000000-0005-0000-0000-00006B000000}"/>
    <cellStyle name="_대원공원설계서_율동자연공원내 휴게편의점 도색작업-할증-천정면적추가_진해자은수량산출서(단지내)_00-설계서,원가계산,내역서" xfId="109" xr:uid="{00000000-0005-0000-0000-00006C000000}"/>
    <cellStyle name="_대원공원설계서_율동자연공원내 휴게편의점 도색작업-할증-천정면적추가_진해자은수량산출서(단지내)_기초산출표-56-128-최종" xfId="110" xr:uid="{00000000-0005-0000-0000-00006D000000}"/>
    <cellStyle name="_대원공원설계서_율동자연공원내 휴게편의점 도색작업-할증-천정면적추가_진해자은수량산출서(단지내)_기초산출표-56-128-최종_00-설계서,원가계산,내역서" xfId="111" xr:uid="{00000000-0005-0000-0000-00006E000000}"/>
    <cellStyle name="_대원공원설계서_율동자연공원내 휴게편의점 도색작업-할증-천정면적추가_진해자은수량산출서(단지내)_기초산출표-56-128-최종_설계서-1" xfId="112" xr:uid="{00000000-0005-0000-0000-00006F000000}"/>
    <cellStyle name="_대원공원설계서_율동자연공원내 휴게편의점 도색작업-할증-천정면적추가_진해자은수량산출서(단지내)_기초산출표-56-128-최종_설계서-1_00-설계서,원가계산,내역서" xfId="113" xr:uid="{00000000-0005-0000-0000-000070000000}"/>
    <cellStyle name="_대원공원설계서_율동자연공원내 휴게편의점 도색작업-할증-천정면적추가_진해자은수량산출서(단지내)_설계서-1" xfId="114" xr:uid="{00000000-0005-0000-0000-000071000000}"/>
    <cellStyle name="_대원공원설계서_율동자연공원내 휴게편의점 도색작업-할증-천정면적추가_진해자은수량산출서(단지내)_설계서-1_00-설계서,원가계산,내역서" xfId="115" xr:uid="{00000000-0005-0000-0000-000072000000}"/>
    <cellStyle name="_대원공원설계서_율동자연공원내 휴게편의점 도색작업-할증-천정면적추가_진해자은수량산출서(단지내)_취합" xfId="116" xr:uid="{00000000-0005-0000-0000-000073000000}"/>
    <cellStyle name="_대원공원설계서_율동자연공원내 휴게편의점 도색작업-할증-천정면적추가_진해자은수량산출서(단지내)_취합_00-설계서,원가계산,내역서" xfId="117" xr:uid="{00000000-0005-0000-0000-000074000000}"/>
    <cellStyle name="_대원공원설계서_율동자연공원내 휴게편의점 도색작업-할증-천정면적추가_진해자은수량산출서(단지내)_취합_설계서-1" xfId="118" xr:uid="{00000000-0005-0000-0000-000075000000}"/>
    <cellStyle name="_대원공원설계서_율동자연공원내 휴게편의점 도색작업-할증-천정면적추가_진해자은수량산출서(단지내)_취합_설계서-1_00-설계서,원가계산,내역서" xfId="119" xr:uid="{00000000-0005-0000-0000-000076000000}"/>
    <cellStyle name="_대원공원설계서_진해자은수량산출서(단지내)" xfId="120" xr:uid="{00000000-0005-0000-0000-000077000000}"/>
    <cellStyle name="_대원공원설계서_진해자은수량산출서(단지내)_00-설계서,원가계산,내역서" xfId="121" xr:uid="{00000000-0005-0000-0000-000078000000}"/>
    <cellStyle name="_대원공원설계서_진해자은수량산출서(단지내)_기초산출표-56-128-최종" xfId="122" xr:uid="{00000000-0005-0000-0000-000079000000}"/>
    <cellStyle name="_대원공원설계서_진해자은수량산출서(단지내)_기초산출표-56-128-최종_00-설계서,원가계산,내역서" xfId="123" xr:uid="{00000000-0005-0000-0000-00007A000000}"/>
    <cellStyle name="_대원공원설계서_진해자은수량산출서(단지내)_기초산출표-56-128-최종_설계서-1" xfId="124" xr:uid="{00000000-0005-0000-0000-00007B000000}"/>
    <cellStyle name="_대원공원설계서_진해자은수량산출서(단지내)_기초산출표-56-128-최종_설계서-1_00-설계서,원가계산,내역서" xfId="125" xr:uid="{00000000-0005-0000-0000-00007C000000}"/>
    <cellStyle name="_대원공원설계서_진해자은수량산출서(단지내)_설계서-1" xfId="126" xr:uid="{00000000-0005-0000-0000-00007D000000}"/>
    <cellStyle name="_대원공원설계서_진해자은수량산출서(단지내)_설계서-1_00-설계서,원가계산,내역서" xfId="127" xr:uid="{00000000-0005-0000-0000-00007E000000}"/>
    <cellStyle name="_대원공원설계서_진해자은수량산출서(단지내)_취합" xfId="128" xr:uid="{00000000-0005-0000-0000-00007F000000}"/>
    <cellStyle name="_대원공원설계서_진해자은수량산출서(단지내)_취합_00-설계서,원가계산,내역서" xfId="129" xr:uid="{00000000-0005-0000-0000-000080000000}"/>
    <cellStyle name="_대원공원설계서_진해자은수량산출서(단지내)_취합_설계서-1" xfId="130" xr:uid="{00000000-0005-0000-0000-000081000000}"/>
    <cellStyle name="_대원공원설계서_진해자은수량산출서(단지내)_취합_설계서-1_00-설계서,원가계산,내역서" xfId="131" xr:uid="{00000000-0005-0000-0000-000082000000}"/>
    <cellStyle name="_동래점 토공사 가시설발주2-김대리님" xfId="132" xr:uid="{00000000-0005-0000-0000-000083000000}"/>
    <cellStyle name="_라멘교 토공" xfId="133" xr:uid="{00000000-0005-0000-0000-000084000000}"/>
    <cellStyle name="_라멘교 토공_00-설계서,원가계산,내역서" xfId="134" xr:uid="{00000000-0005-0000-0000-000085000000}"/>
    <cellStyle name="_롯데본점 신관지하1층" xfId="135" xr:uid="{00000000-0005-0000-0000-000086000000}"/>
    <cellStyle name="_명품가약전" xfId="136" xr:uid="{00000000-0005-0000-0000-000087000000}"/>
    <cellStyle name="_명품가조명제어" xfId="137" xr:uid="{00000000-0005-0000-0000-000088000000}"/>
    <cellStyle name="_방동" xfId="138" xr:uid="{00000000-0005-0000-0000-000089000000}"/>
    <cellStyle name="_방동_00-설계서,원가계산,내역서" xfId="139" xr:uid="{00000000-0005-0000-0000-00008A000000}"/>
    <cellStyle name="_방동_03구조~1" xfId="140" xr:uid="{00000000-0005-0000-0000-00008B000000}"/>
    <cellStyle name="_방동_03구조~1_00-설계서,원가계산,내역서" xfId="141" xr:uid="{00000000-0005-0000-0000-00008C000000}"/>
    <cellStyle name="_방동_03구조~1_라멘교 토공" xfId="142" xr:uid="{00000000-0005-0000-0000-00008D000000}"/>
    <cellStyle name="_방동_03구조~1_라멘교 토공_00-설계서,원가계산,내역서" xfId="143" xr:uid="{00000000-0005-0000-0000-00008E000000}"/>
    <cellStyle name="_방동_03구조~1_포장" xfId="144" xr:uid="{00000000-0005-0000-0000-00008F000000}"/>
    <cellStyle name="_방동_03구조~1_포장_00-설계서,원가계산,내역서" xfId="145" xr:uid="{00000000-0005-0000-0000-000090000000}"/>
    <cellStyle name="_방동_03구조~1_포장_라멘교 토공" xfId="146" xr:uid="{00000000-0005-0000-0000-000091000000}"/>
    <cellStyle name="_방동_03구조~1_포장_라멘교 토공_00-설계서,원가계산,내역서" xfId="147" xr:uid="{00000000-0005-0000-0000-000092000000}"/>
    <cellStyle name="_방동_03구조물공" xfId="148" xr:uid="{00000000-0005-0000-0000-000093000000}"/>
    <cellStyle name="_방동_03구조물공_00-설계서,원가계산,내역서" xfId="149" xr:uid="{00000000-0005-0000-0000-000094000000}"/>
    <cellStyle name="_방동_03구조물공_라멘교 토공" xfId="150" xr:uid="{00000000-0005-0000-0000-000095000000}"/>
    <cellStyle name="_방동_03구조물공_라멘교 토공_00-설계서,원가계산,내역서" xfId="151" xr:uid="{00000000-0005-0000-0000-000096000000}"/>
    <cellStyle name="_방동_03구조물공_포장" xfId="152" xr:uid="{00000000-0005-0000-0000-000097000000}"/>
    <cellStyle name="_방동_03구조물공_포장_00-설계서,원가계산,내역서" xfId="153" xr:uid="{00000000-0005-0000-0000-000098000000}"/>
    <cellStyle name="_방동_03구조물공_포장_라멘교 토공" xfId="154" xr:uid="{00000000-0005-0000-0000-000099000000}"/>
    <cellStyle name="_방동_03구조물공_포장_라멘교 토공_00-설계서,원가계산,내역서" xfId="155" xr:uid="{00000000-0005-0000-0000-00009A000000}"/>
    <cellStyle name="_방동_내역서-최종0223" xfId="156" xr:uid="{00000000-0005-0000-0000-00009B000000}"/>
    <cellStyle name="_방동_내역서-최종0223_00-설계서,원가계산,내역서" xfId="157" xr:uid="{00000000-0005-0000-0000-00009C000000}"/>
    <cellStyle name="_방동_내역서-최종0223_설계서-1" xfId="158" xr:uid="{00000000-0005-0000-0000-00009D000000}"/>
    <cellStyle name="_방동_내역서-최종0223_설계서-1_00-설계서,원가계산,내역서" xfId="159" xr:uid="{00000000-0005-0000-0000-00009E000000}"/>
    <cellStyle name="_방동_내역서-최종0223_진해자은수량산출서(단지내)" xfId="160" xr:uid="{00000000-0005-0000-0000-00009F000000}"/>
    <cellStyle name="_방동_내역서-최종0223_진해자은수량산출서(단지내)_00-설계서,원가계산,내역서" xfId="161" xr:uid="{00000000-0005-0000-0000-0000A0000000}"/>
    <cellStyle name="_방동_내역서-최종0223_진해자은수량산출서(단지내)_기초산출표-56-128-최종" xfId="162" xr:uid="{00000000-0005-0000-0000-0000A1000000}"/>
    <cellStyle name="_방동_내역서-최종0223_진해자은수량산출서(단지내)_기초산출표-56-128-최종_00-설계서,원가계산,내역서" xfId="163" xr:uid="{00000000-0005-0000-0000-0000A2000000}"/>
    <cellStyle name="_방동_내역서-최종0223_진해자은수량산출서(단지내)_기초산출표-56-128-최종_설계서-1" xfId="164" xr:uid="{00000000-0005-0000-0000-0000A3000000}"/>
    <cellStyle name="_방동_내역서-최종0223_진해자은수량산출서(단지내)_기초산출표-56-128-최종_설계서-1_00-설계서,원가계산,내역서" xfId="165" xr:uid="{00000000-0005-0000-0000-0000A4000000}"/>
    <cellStyle name="_방동_내역서-최종0223_진해자은수량산출서(단지내)_설계서-1" xfId="166" xr:uid="{00000000-0005-0000-0000-0000A5000000}"/>
    <cellStyle name="_방동_내역서-최종0223_진해자은수량산출서(단지내)_설계서-1_00-설계서,원가계산,내역서" xfId="167" xr:uid="{00000000-0005-0000-0000-0000A6000000}"/>
    <cellStyle name="_방동_내역서-최종0223_진해자은수량산출서(단지내)_취합" xfId="168" xr:uid="{00000000-0005-0000-0000-0000A7000000}"/>
    <cellStyle name="_방동_내역서-최종0223_진해자은수량산출서(단지내)_취합_00-설계서,원가계산,내역서" xfId="169" xr:uid="{00000000-0005-0000-0000-0000A8000000}"/>
    <cellStyle name="_방동_내역서-최종0223_진해자은수량산출서(단지내)_취합_설계서-1" xfId="170" xr:uid="{00000000-0005-0000-0000-0000A9000000}"/>
    <cellStyle name="_방동_내역서-최종0223_진해자은수량산출서(단지내)_취합_설계서-1_00-설계서,원가계산,내역서" xfId="171" xr:uid="{00000000-0005-0000-0000-0000AA000000}"/>
    <cellStyle name="_방동_동막리소교량" xfId="172" xr:uid="{00000000-0005-0000-0000-0000AB000000}"/>
    <cellStyle name="_방동_동막리소교량_00-설계서,원가계산,내역서" xfId="173" xr:uid="{00000000-0005-0000-0000-0000AC000000}"/>
    <cellStyle name="_방동_동막리소교량_라멘교 토공" xfId="174" xr:uid="{00000000-0005-0000-0000-0000AD000000}"/>
    <cellStyle name="_방동_동막리소교량_라멘교 토공_00-설계서,원가계산,내역서" xfId="175" xr:uid="{00000000-0005-0000-0000-0000AE000000}"/>
    <cellStyle name="_방동_동막리소교량_포장" xfId="176" xr:uid="{00000000-0005-0000-0000-0000AF000000}"/>
    <cellStyle name="_방동_동막리소교량_포장_00-설계서,원가계산,내역서" xfId="177" xr:uid="{00000000-0005-0000-0000-0000B0000000}"/>
    <cellStyle name="_방동_동막리소교량_포장_라멘교 토공" xfId="178" xr:uid="{00000000-0005-0000-0000-0000B1000000}"/>
    <cellStyle name="_방동_동막리소교량_포장_라멘교 토공_00-설계서,원가계산,내역서" xfId="179" xr:uid="{00000000-0005-0000-0000-0000B2000000}"/>
    <cellStyle name="_방동_라멘교 토공" xfId="180" xr:uid="{00000000-0005-0000-0000-0000B3000000}"/>
    <cellStyle name="_방동_라멘교 토공_00-설계서,원가계산,내역서" xfId="181" xr:uid="{00000000-0005-0000-0000-0000B4000000}"/>
    <cellStyle name="_방동_마현12~1" xfId="182" xr:uid="{00000000-0005-0000-0000-0000B5000000}"/>
    <cellStyle name="_방동_마현12~1_00-설계서,원가계산,내역서" xfId="183" xr:uid="{00000000-0005-0000-0000-0000B6000000}"/>
    <cellStyle name="_방동_마현12~1_라멘교 토공" xfId="184" xr:uid="{00000000-0005-0000-0000-0000B7000000}"/>
    <cellStyle name="_방동_마현12~1_라멘교 토공_00-설계서,원가계산,내역서" xfId="185" xr:uid="{00000000-0005-0000-0000-0000B8000000}"/>
    <cellStyle name="_방동_마현12~1_포장" xfId="186" xr:uid="{00000000-0005-0000-0000-0000B9000000}"/>
    <cellStyle name="_방동_마현12~1_포장_00-설계서,원가계산,내역서" xfId="187" xr:uid="{00000000-0005-0000-0000-0000BA000000}"/>
    <cellStyle name="_방동_마현12~1_포장_라멘교 토공" xfId="188" xr:uid="{00000000-0005-0000-0000-0000BB000000}"/>
    <cellStyle name="_방동_마현12~1_포장_라멘교 토공_00-설계서,원가계산,내역서" xfId="189" xr:uid="{00000000-0005-0000-0000-0000BC000000}"/>
    <cellStyle name="_방동_문혜3리" xfId="190" xr:uid="{00000000-0005-0000-0000-0000BD000000}"/>
    <cellStyle name="_방동_문혜3리_00-설계서,원가계산,내역서" xfId="191" xr:uid="{00000000-0005-0000-0000-0000BE000000}"/>
    <cellStyle name="_방동_문혜3리_라멘교 토공" xfId="192" xr:uid="{00000000-0005-0000-0000-0000BF000000}"/>
    <cellStyle name="_방동_문혜3리_라멘교 토공_00-설계서,원가계산,내역서" xfId="193" xr:uid="{00000000-0005-0000-0000-0000C0000000}"/>
    <cellStyle name="_방동_문혜3리_포장" xfId="194" xr:uid="{00000000-0005-0000-0000-0000C1000000}"/>
    <cellStyle name="_방동_문혜3리_포장_00-설계서,원가계산,내역서" xfId="195" xr:uid="{00000000-0005-0000-0000-0000C2000000}"/>
    <cellStyle name="_방동_문혜3리_포장_라멘교 토공" xfId="196" xr:uid="{00000000-0005-0000-0000-0000C3000000}"/>
    <cellStyle name="_방동_문혜3리_포장_라멘교 토공_00-설계서,원가계산,내역서" xfId="197" xr:uid="{00000000-0005-0000-0000-0000C4000000}"/>
    <cellStyle name="_방동_방동" xfId="198" xr:uid="{00000000-0005-0000-0000-0000C5000000}"/>
    <cellStyle name="_방동_방동_00-설계서,원가계산,내역서" xfId="199" xr:uid="{00000000-0005-0000-0000-0000C6000000}"/>
    <cellStyle name="_방동_방동_내역서-최종0223" xfId="200" xr:uid="{00000000-0005-0000-0000-0000C7000000}"/>
    <cellStyle name="_방동_방동_내역서-최종0223_00-설계서,원가계산,내역서" xfId="201" xr:uid="{00000000-0005-0000-0000-0000C8000000}"/>
    <cellStyle name="_방동_방동_내역서-최종0223_설계서-1" xfId="202" xr:uid="{00000000-0005-0000-0000-0000C9000000}"/>
    <cellStyle name="_방동_방동_내역서-최종0223_설계서-1_00-설계서,원가계산,내역서" xfId="203" xr:uid="{00000000-0005-0000-0000-0000CA000000}"/>
    <cellStyle name="_방동_방동_내역서-최종0223_진해자은수량산출서(단지내)" xfId="204" xr:uid="{00000000-0005-0000-0000-0000CB000000}"/>
    <cellStyle name="_방동_방동_내역서-최종0223_진해자은수량산출서(단지내)_00-설계서,원가계산,내역서" xfId="205" xr:uid="{00000000-0005-0000-0000-0000CC000000}"/>
    <cellStyle name="_방동_방동_내역서-최종0223_진해자은수량산출서(단지내)_기초산출표-56-128-최종" xfId="206" xr:uid="{00000000-0005-0000-0000-0000CD000000}"/>
    <cellStyle name="_방동_방동_내역서-최종0223_진해자은수량산출서(단지내)_기초산출표-56-128-최종_00-설계서,원가계산,내역서" xfId="207" xr:uid="{00000000-0005-0000-0000-0000CE000000}"/>
    <cellStyle name="_방동_방동_내역서-최종0223_진해자은수량산출서(단지내)_기초산출표-56-128-최종_설계서-1" xfId="208" xr:uid="{00000000-0005-0000-0000-0000CF000000}"/>
    <cellStyle name="_방동_방동_내역서-최종0223_진해자은수량산출서(단지내)_기초산출표-56-128-최종_설계서-1_00-설계서,원가계산,내역서" xfId="209" xr:uid="{00000000-0005-0000-0000-0000D0000000}"/>
    <cellStyle name="_방동_방동_내역서-최종0223_진해자은수량산출서(단지내)_설계서-1" xfId="210" xr:uid="{00000000-0005-0000-0000-0000D1000000}"/>
    <cellStyle name="_방동_방동_내역서-최종0223_진해자은수량산출서(단지내)_설계서-1_00-설계서,원가계산,내역서" xfId="211" xr:uid="{00000000-0005-0000-0000-0000D2000000}"/>
    <cellStyle name="_방동_방동_내역서-최종0223_진해자은수량산출서(단지내)_취합" xfId="212" xr:uid="{00000000-0005-0000-0000-0000D3000000}"/>
    <cellStyle name="_방동_방동_내역서-최종0223_진해자은수량산출서(단지내)_취합_00-설계서,원가계산,내역서" xfId="213" xr:uid="{00000000-0005-0000-0000-0000D4000000}"/>
    <cellStyle name="_방동_방동_내역서-최종0223_진해자은수량산출서(단지내)_취합_설계서-1" xfId="214" xr:uid="{00000000-0005-0000-0000-0000D5000000}"/>
    <cellStyle name="_방동_방동_내역서-최종0223_진해자은수량산출서(단지내)_취합_설계서-1_00-설계서,원가계산,내역서" xfId="215" xr:uid="{00000000-0005-0000-0000-0000D6000000}"/>
    <cellStyle name="_방동_방동_라멘교 토공" xfId="216" xr:uid="{00000000-0005-0000-0000-0000D7000000}"/>
    <cellStyle name="_방동_방동_라멘교 토공_00-설계서,원가계산,내역서" xfId="217" xr:uid="{00000000-0005-0000-0000-0000D8000000}"/>
    <cellStyle name="_방동_방동_설계서-1" xfId="218" xr:uid="{00000000-0005-0000-0000-0000D9000000}"/>
    <cellStyle name="_방동_방동_설계서-1_00-설계서,원가계산,내역서" xfId="219" xr:uid="{00000000-0005-0000-0000-0000DA000000}"/>
    <cellStyle name="_방동_방동_율동자연공원내 화장실 보수 및 도색공사" xfId="220" xr:uid="{00000000-0005-0000-0000-0000DB000000}"/>
    <cellStyle name="_방동_방동_율동자연공원내 화장실 보수 및 도색공사_00-설계서,원가계산,내역서" xfId="221" xr:uid="{00000000-0005-0000-0000-0000DC000000}"/>
    <cellStyle name="_방동_방동_율동자연공원내 화장실 보수 및 도색공사_내역서-최종0223" xfId="222" xr:uid="{00000000-0005-0000-0000-0000DD000000}"/>
    <cellStyle name="_방동_방동_율동자연공원내 화장실 보수 및 도색공사_내역서-최종0223_00-설계서,원가계산,내역서" xfId="223" xr:uid="{00000000-0005-0000-0000-0000DE000000}"/>
    <cellStyle name="_방동_방동_율동자연공원내 화장실 보수 및 도색공사_내역서-최종0223_설계서-1" xfId="224" xr:uid="{00000000-0005-0000-0000-0000DF000000}"/>
    <cellStyle name="_방동_방동_율동자연공원내 화장실 보수 및 도색공사_내역서-최종0223_설계서-1_00-설계서,원가계산,내역서" xfId="225" xr:uid="{00000000-0005-0000-0000-0000E0000000}"/>
    <cellStyle name="_방동_방동_율동자연공원내 화장실 보수 및 도색공사_내역서-최종0223_진해자은수량산출서(단지내)" xfId="226" xr:uid="{00000000-0005-0000-0000-0000E1000000}"/>
    <cellStyle name="_방동_방동_율동자연공원내 화장실 보수 및 도색공사_내역서-최종0223_진해자은수량산출서(단지내)_00-설계서,원가계산,내역서" xfId="227" xr:uid="{00000000-0005-0000-0000-0000E2000000}"/>
    <cellStyle name="_방동_방동_율동자연공원내 화장실 보수 및 도색공사_내역서-최종0223_진해자은수량산출서(단지내)_기초산출표-56-128-최종" xfId="228" xr:uid="{00000000-0005-0000-0000-0000E3000000}"/>
    <cellStyle name="_방동_방동_율동자연공원내 화장실 보수 및 도색공사_내역서-최종0223_진해자은수량산출서(단지내)_기초산출표-56-128-최종_00-설계서,원가계산,내역서" xfId="229" xr:uid="{00000000-0005-0000-0000-0000E4000000}"/>
    <cellStyle name="_방동_방동_율동자연공원내 화장실 보수 및 도색공사_내역서-최종0223_진해자은수량산출서(단지내)_기초산출표-56-128-최종_설계서-1" xfId="230" xr:uid="{00000000-0005-0000-0000-0000E5000000}"/>
    <cellStyle name="_방동_방동_율동자연공원내 화장실 보수 및 도색공사_내역서-최종0223_진해자은수량산출서(단지내)_기초산출표-56-128-최종_설계서-1_00-설계서,원가계산,내역서" xfId="231" xr:uid="{00000000-0005-0000-0000-0000E6000000}"/>
    <cellStyle name="_방동_방동_율동자연공원내 화장실 보수 및 도색공사_내역서-최종0223_진해자은수량산출서(단지내)_설계서-1" xfId="232" xr:uid="{00000000-0005-0000-0000-0000E7000000}"/>
    <cellStyle name="_방동_방동_율동자연공원내 화장실 보수 및 도색공사_내역서-최종0223_진해자은수량산출서(단지내)_설계서-1_00-설계서,원가계산,내역서" xfId="233" xr:uid="{00000000-0005-0000-0000-0000E8000000}"/>
    <cellStyle name="_방동_방동_율동자연공원내 화장실 보수 및 도색공사_내역서-최종0223_진해자은수량산출서(단지내)_취합" xfId="234" xr:uid="{00000000-0005-0000-0000-0000E9000000}"/>
    <cellStyle name="_방동_방동_율동자연공원내 화장실 보수 및 도색공사_내역서-최종0223_진해자은수량산출서(단지내)_취합_00-설계서,원가계산,내역서" xfId="235" xr:uid="{00000000-0005-0000-0000-0000EA000000}"/>
    <cellStyle name="_방동_방동_율동자연공원내 화장실 보수 및 도색공사_내역서-최종0223_진해자은수량산출서(단지내)_취합_설계서-1" xfId="236" xr:uid="{00000000-0005-0000-0000-0000EB000000}"/>
    <cellStyle name="_방동_방동_율동자연공원내 화장실 보수 및 도색공사_내역서-최종0223_진해자은수량산출서(단지내)_취합_설계서-1_00-설계서,원가계산,내역서" xfId="237" xr:uid="{00000000-0005-0000-0000-0000EC000000}"/>
    <cellStyle name="_방동_방동_율동자연공원내 화장실 보수 및 도색공사_설계서-1" xfId="238" xr:uid="{00000000-0005-0000-0000-0000ED000000}"/>
    <cellStyle name="_방동_방동_율동자연공원내 화장실 보수 및 도색공사_설계서-1_00-설계서,원가계산,내역서" xfId="239" xr:uid="{00000000-0005-0000-0000-0000EE000000}"/>
    <cellStyle name="_방동_방동_율동자연공원내 화장실 보수 및 도색공사_진해자은수량산출서(단지내)" xfId="240" xr:uid="{00000000-0005-0000-0000-0000EF000000}"/>
    <cellStyle name="_방동_방동_율동자연공원내 화장실 보수 및 도색공사_진해자은수량산출서(단지내)_00-설계서,원가계산,내역서" xfId="241" xr:uid="{00000000-0005-0000-0000-0000F0000000}"/>
    <cellStyle name="_방동_방동_율동자연공원내 화장실 보수 및 도색공사_진해자은수량산출서(단지내)_기초산출표-56-128-최종" xfId="242" xr:uid="{00000000-0005-0000-0000-0000F1000000}"/>
    <cellStyle name="_방동_방동_율동자연공원내 화장실 보수 및 도색공사_진해자은수량산출서(단지내)_기초산출표-56-128-최종_00-설계서,원가계산,내역서" xfId="243" xr:uid="{00000000-0005-0000-0000-0000F2000000}"/>
    <cellStyle name="_방동_방동_율동자연공원내 화장실 보수 및 도색공사_진해자은수량산출서(단지내)_기초산출표-56-128-최종_설계서-1" xfId="244" xr:uid="{00000000-0005-0000-0000-0000F3000000}"/>
    <cellStyle name="_방동_방동_율동자연공원내 화장실 보수 및 도색공사_진해자은수량산출서(단지내)_기초산출표-56-128-최종_설계서-1_00-설계서,원가계산,내역서" xfId="245" xr:uid="{00000000-0005-0000-0000-0000F4000000}"/>
    <cellStyle name="_방동_방동_율동자연공원내 화장실 보수 및 도색공사_진해자은수량산출서(단지내)_설계서-1" xfId="246" xr:uid="{00000000-0005-0000-0000-0000F5000000}"/>
    <cellStyle name="_방동_방동_율동자연공원내 화장실 보수 및 도색공사_진해자은수량산출서(단지내)_설계서-1_00-설계서,원가계산,내역서" xfId="247" xr:uid="{00000000-0005-0000-0000-0000F6000000}"/>
    <cellStyle name="_방동_방동_율동자연공원내 화장실 보수 및 도색공사_진해자은수량산출서(단지내)_취합" xfId="248" xr:uid="{00000000-0005-0000-0000-0000F7000000}"/>
    <cellStyle name="_방동_방동_율동자연공원내 화장실 보수 및 도색공사_진해자은수량산출서(단지내)_취합_00-설계서,원가계산,내역서" xfId="249" xr:uid="{00000000-0005-0000-0000-0000F8000000}"/>
    <cellStyle name="_방동_방동_율동자연공원내 화장실 보수 및 도색공사_진해자은수량산출서(단지내)_취합_설계서-1" xfId="250" xr:uid="{00000000-0005-0000-0000-0000F9000000}"/>
    <cellStyle name="_방동_방동_율동자연공원내 화장실 보수 및 도색공사_진해자은수량산출서(단지내)_취합_설계서-1_00-설계서,원가계산,내역서" xfId="251" xr:uid="{00000000-0005-0000-0000-0000FA000000}"/>
    <cellStyle name="_방동_방동_율동자연공원내 휴게편의점 도색작업-할증-천정면적추가" xfId="252" xr:uid="{00000000-0005-0000-0000-0000FB000000}"/>
    <cellStyle name="_방동_방동_율동자연공원내 휴게편의점 도색작업-할증-천정면적추가_00-설계서,원가계산,내역서" xfId="253" xr:uid="{00000000-0005-0000-0000-0000FC000000}"/>
    <cellStyle name="_방동_방동_율동자연공원내 휴게편의점 도색작업-할증-천정면적추가_내역서-최종0223" xfId="254" xr:uid="{00000000-0005-0000-0000-0000FD000000}"/>
    <cellStyle name="_방동_방동_율동자연공원내 휴게편의점 도색작업-할증-천정면적추가_내역서-최종0223_00-설계서,원가계산,내역서" xfId="255" xr:uid="{00000000-0005-0000-0000-0000FE000000}"/>
    <cellStyle name="_방동_방동_율동자연공원내 휴게편의점 도색작업-할증-천정면적추가_내역서-최종0223_설계서-1" xfId="256" xr:uid="{00000000-0005-0000-0000-0000FF000000}"/>
    <cellStyle name="_방동_방동_율동자연공원내 휴게편의점 도색작업-할증-천정면적추가_내역서-최종0223_설계서-1_00-설계서,원가계산,내역서" xfId="257" xr:uid="{00000000-0005-0000-0000-000000010000}"/>
    <cellStyle name="_방동_방동_율동자연공원내 휴게편의점 도색작업-할증-천정면적추가_내역서-최종0223_진해자은수량산출서(단지내)" xfId="258" xr:uid="{00000000-0005-0000-0000-000001010000}"/>
    <cellStyle name="_방동_방동_율동자연공원내 휴게편의점 도색작업-할증-천정면적추가_내역서-최종0223_진해자은수량산출서(단지내)_00-설계서,원가계산,내역서" xfId="259" xr:uid="{00000000-0005-0000-0000-000002010000}"/>
    <cellStyle name="_방동_방동_율동자연공원내 휴게편의점 도색작업-할증-천정면적추가_내역서-최종0223_진해자은수량산출서(단지내)_기초산출표-56-128-최종" xfId="260" xr:uid="{00000000-0005-0000-0000-000003010000}"/>
    <cellStyle name="_방동_방동_율동자연공원내 휴게편의점 도색작업-할증-천정면적추가_내역서-최종0223_진해자은수량산출서(단지내)_기초산출표-56-128-최종_00-설계서,원가계산,내역서" xfId="261" xr:uid="{00000000-0005-0000-0000-000004010000}"/>
    <cellStyle name="_방동_방동_율동자연공원내 휴게편의점 도색작업-할증-천정면적추가_내역서-최종0223_진해자은수량산출서(단지내)_기초산출표-56-128-최종_설계서-1" xfId="262" xr:uid="{00000000-0005-0000-0000-000005010000}"/>
    <cellStyle name="_방동_방동_율동자연공원내 휴게편의점 도색작업-할증-천정면적추가_내역서-최종0223_진해자은수량산출서(단지내)_기초산출표-56-128-최종_설계서-1_00-설계서,원가계산,내역서" xfId="263" xr:uid="{00000000-0005-0000-0000-000006010000}"/>
    <cellStyle name="_방동_방동_율동자연공원내 휴게편의점 도색작업-할증-천정면적추가_내역서-최종0223_진해자은수량산출서(단지내)_설계서-1" xfId="264" xr:uid="{00000000-0005-0000-0000-000007010000}"/>
    <cellStyle name="_방동_방동_율동자연공원내 휴게편의점 도색작업-할증-천정면적추가_내역서-최종0223_진해자은수량산출서(단지내)_설계서-1_00-설계서,원가계산,내역서" xfId="265" xr:uid="{00000000-0005-0000-0000-000008010000}"/>
    <cellStyle name="_방동_방동_율동자연공원내 휴게편의점 도색작업-할증-천정면적추가_내역서-최종0223_진해자은수량산출서(단지내)_취합" xfId="266" xr:uid="{00000000-0005-0000-0000-000009010000}"/>
    <cellStyle name="_방동_방동_율동자연공원내 휴게편의점 도색작업-할증-천정면적추가_내역서-최종0223_진해자은수량산출서(단지내)_취합_00-설계서,원가계산,내역서" xfId="267" xr:uid="{00000000-0005-0000-0000-00000A010000}"/>
    <cellStyle name="_방동_방동_율동자연공원내 휴게편의점 도색작업-할증-천정면적추가_내역서-최종0223_진해자은수량산출서(단지내)_취합_설계서-1" xfId="268" xr:uid="{00000000-0005-0000-0000-00000B010000}"/>
    <cellStyle name="_방동_방동_율동자연공원내 휴게편의점 도색작업-할증-천정면적추가_내역서-최종0223_진해자은수량산출서(단지내)_취합_설계서-1_00-설계서,원가계산,내역서" xfId="269" xr:uid="{00000000-0005-0000-0000-00000C010000}"/>
    <cellStyle name="_방동_방동_율동자연공원내 휴게편의점 도색작업-할증-천정면적추가_설계서-1" xfId="270" xr:uid="{00000000-0005-0000-0000-00000D010000}"/>
    <cellStyle name="_방동_방동_율동자연공원내 휴게편의점 도색작업-할증-천정면적추가_설계서-1_00-설계서,원가계산,내역서" xfId="271" xr:uid="{00000000-0005-0000-0000-00000E010000}"/>
    <cellStyle name="_방동_방동_율동자연공원내 휴게편의점 도색작업-할증-천정면적추가_진해자은수량산출서(단지내)" xfId="272" xr:uid="{00000000-0005-0000-0000-00000F010000}"/>
    <cellStyle name="_방동_방동_율동자연공원내 휴게편의점 도색작업-할증-천정면적추가_진해자은수량산출서(단지내)_00-설계서,원가계산,내역서" xfId="273" xr:uid="{00000000-0005-0000-0000-000010010000}"/>
    <cellStyle name="_방동_방동_율동자연공원내 휴게편의점 도색작업-할증-천정면적추가_진해자은수량산출서(단지내)_기초산출표-56-128-최종" xfId="274" xr:uid="{00000000-0005-0000-0000-000011010000}"/>
    <cellStyle name="_방동_방동_율동자연공원내 휴게편의점 도색작업-할증-천정면적추가_진해자은수량산출서(단지내)_기초산출표-56-128-최종_00-설계서,원가계산,내역서" xfId="275" xr:uid="{00000000-0005-0000-0000-000012010000}"/>
    <cellStyle name="_방동_방동_율동자연공원내 휴게편의점 도색작업-할증-천정면적추가_진해자은수량산출서(단지내)_기초산출표-56-128-최종_설계서-1" xfId="276" xr:uid="{00000000-0005-0000-0000-000013010000}"/>
    <cellStyle name="_방동_방동_율동자연공원내 휴게편의점 도색작업-할증-천정면적추가_진해자은수량산출서(단지내)_기초산출표-56-128-최종_설계서-1_00-설계서,원가계산,내역서" xfId="277" xr:uid="{00000000-0005-0000-0000-000014010000}"/>
    <cellStyle name="_방동_방동_율동자연공원내 휴게편의점 도색작업-할증-천정면적추가_진해자은수량산출서(단지내)_설계서-1" xfId="278" xr:uid="{00000000-0005-0000-0000-000015010000}"/>
    <cellStyle name="_방동_방동_율동자연공원내 휴게편의점 도색작업-할증-천정면적추가_진해자은수량산출서(단지내)_설계서-1_00-설계서,원가계산,내역서" xfId="279" xr:uid="{00000000-0005-0000-0000-000016010000}"/>
    <cellStyle name="_방동_방동_율동자연공원내 휴게편의점 도색작업-할증-천정면적추가_진해자은수량산출서(단지내)_취합" xfId="280" xr:uid="{00000000-0005-0000-0000-000017010000}"/>
    <cellStyle name="_방동_방동_율동자연공원내 휴게편의점 도색작업-할증-천정면적추가_진해자은수량산출서(단지내)_취합_00-설계서,원가계산,내역서" xfId="281" xr:uid="{00000000-0005-0000-0000-000018010000}"/>
    <cellStyle name="_방동_방동_율동자연공원내 휴게편의점 도색작업-할증-천정면적추가_진해자은수량산출서(단지내)_취합_설계서-1" xfId="282" xr:uid="{00000000-0005-0000-0000-000019010000}"/>
    <cellStyle name="_방동_방동_율동자연공원내 휴게편의점 도색작업-할증-천정면적추가_진해자은수량산출서(단지내)_취합_설계서-1_00-설계서,원가계산,내역서" xfId="283" xr:uid="{00000000-0005-0000-0000-00001A010000}"/>
    <cellStyle name="_방동_방동_이문동구간중랑천변녹화사업(수량산출서, 071127)-최종" xfId="284" xr:uid="{00000000-0005-0000-0000-00001B010000}"/>
    <cellStyle name="_방동_방동_이문동구간중랑천변녹화사업(수량산출서, 071127)-최종_00-설계서,원가계산,내역서" xfId="285" xr:uid="{00000000-0005-0000-0000-00001C010000}"/>
    <cellStyle name="_방동_방동_진해자은수량산출서(단지내)" xfId="286" xr:uid="{00000000-0005-0000-0000-00001D010000}"/>
    <cellStyle name="_방동_방동_진해자은수량산출서(단지내)_00-설계서,원가계산,내역서" xfId="287" xr:uid="{00000000-0005-0000-0000-00001E010000}"/>
    <cellStyle name="_방동_방동_진해자은수량산출서(단지내)_기초산출표-56-128-최종" xfId="288" xr:uid="{00000000-0005-0000-0000-00001F010000}"/>
    <cellStyle name="_방동_방동_진해자은수량산출서(단지내)_기초산출표-56-128-최종_00-설계서,원가계산,내역서" xfId="289" xr:uid="{00000000-0005-0000-0000-000020010000}"/>
    <cellStyle name="_방동_방동_진해자은수량산출서(단지내)_기초산출표-56-128-최종_설계서-1" xfId="290" xr:uid="{00000000-0005-0000-0000-000021010000}"/>
    <cellStyle name="_방동_방동_진해자은수량산출서(단지내)_기초산출표-56-128-최종_설계서-1_00-설계서,원가계산,내역서" xfId="291" xr:uid="{00000000-0005-0000-0000-000022010000}"/>
    <cellStyle name="_방동_방동_진해자은수량산출서(단지내)_설계서-1" xfId="292" xr:uid="{00000000-0005-0000-0000-000023010000}"/>
    <cellStyle name="_방동_방동_진해자은수량산출서(단지내)_설계서-1_00-설계서,원가계산,내역서" xfId="293" xr:uid="{00000000-0005-0000-0000-000024010000}"/>
    <cellStyle name="_방동_방동_진해자은수량산출서(단지내)_취합" xfId="294" xr:uid="{00000000-0005-0000-0000-000025010000}"/>
    <cellStyle name="_방동_방동_진해자은수량산출서(단지내)_취합_00-설계서,원가계산,내역서" xfId="295" xr:uid="{00000000-0005-0000-0000-000026010000}"/>
    <cellStyle name="_방동_방동_진해자은수량산출서(단지내)_취합_설계서-1" xfId="296" xr:uid="{00000000-0005-0000-0000-000027010000}"/>
    <cellStyle name="_방동_방동_진해자은수량산출서(단지내)_취합_설계서-1_00-설계서,원가계산,내역서" xfId="297" xr:uid="{00000000-0005-0000-0000-000028010000}"/>
    <cellStyle name="_방동_방동_포장" xfId="298" xr:uid="{00000000-0005-0000-0000-000029010000}"/>
    <cellStyle name="_방동_방동_포장_00-설계서,원가계산,내역서" xfId="299" xr:uid="{00000000-0005-0000-0000-00002A010000}"/>
    <cellStyle name="_방동_방동_포장_라멘교 토공" xfId="300" xr:uid="{00000000-0005-0000-0000-00002B010000}"/>
    <cellStyle name="_방동_방동_포장_라멘교 토공_00-설계서,원가계산,내역서" xfId="301" xr:uid="{00000000-0005-0000-0000-00002C010000}"/>
    <cellStyle name="_방동_산양2리지구" xfId="302" xr:uid="{00000000-0005-0000-0000-00002D010000}"/>
    <cellStyle name="_방동_산양2리지구_00-설계서,원가계산,내역서" xfId="303" xr:uid="{00000000-0005-0000-0000-00002E010000}"/>
    <cellStyle name="_방동_산양2리지구_라멘교 토공" xfId="304" xr:uid="{00000000-0005-0000-0000-00002F010000}"/>
    <cellStyle name="_방동_산양2리지구_라멘교 토공_00-설계서,원가계산,내역서" xfId="305" xr:uid="{00000000-0005-0000-0000-000030010000}"/>
    <cellStyle name="_방동_산양2리지구_포장" xfId="306" xr:uid="{00000000-0005-0000-0000-000031010000}"/>
    <cellStyle name="_방동_산양2리지구_포장_00-설계서,원가계산,내역서" xfId="307" xr:uid="{00000000-0005-0000-0000-000032010000}"/>
    <cellStyle name="_방동_산양2리지구_포장_라멘교 토공" xfId="308" xr:uid="{00000000-0005-0000-0000-000033010000}"/>
    <cellStyle name="_방동_산양2리지구_포장_라멘교 토공_00-설계서,원가계산,내역서" xfId="309" xr:uid="{00000000-0005-0000-0000-000034010000}"/>
    <cellStyle name="_방동_산양리지구" xfId="310" xr:uid="{00000000-0005-0000-0000-000035010000}"/>
    <cellStyle name="_방동_산양리지구_00-설계서,원가계산,내역서" xfId="311" xr:uid="{00000000-0005-0000-0000-000036010000}"/>
    <cellStyle name="_방동_산양리지구_내역서-최종0223" xfId="312" xr:uid="{00000000-0005-0000-0000-000037010000}"/>
    <cellStyle name="_방동_산양리지구_내역서-최종0223_00-설계서,원가계산,내역서" xfId="313" xr:uid="{00000000-0005-0000-0000-000038010000}"/>
    <cellStyle name="_방동_산양리지구_내역서-최종0223_설계서-1" xfId="314" xr:uid="{00000000-0005-0000-0000-000039010000}"/>
    <cellStyle name="_방동_산양리지구_내역서-최종0223_설계서-1_00-설계서,원가계산,내역서" xfId="315" xr:uid="{00000000-0005-0000-0000-00003A010000}"/>
    <cellStyle name="_방동_산양리지구_내역서-최종0223_진해자은수량산출서(단지내)" xfId="316" xr:uid="{00000000-0005-0000-0000-00003B010000}"/>
    <cellStyle name="_방동_산양리지구_내역서-최종0223_진해자은수량산출서(단지내)_00-설계서,원가계산,내역서" xfId="317" xr:uid="{00000000-0005-0000-0000-00003C010000}"/>
    <cellStyle name="_방동_산양리지구_내역서-최종0223_진해자은수량산출서(단지내)_기초산출표-56-128-최종" xfId="318" xr:uid="{00000000-0005-0000-0000-00003D010000}"/>
    <cellStyle name="_방동_산양리지구_내역서-최종0223_진해자은수량산출서(단지내)_기초산출표-56-128-최종_00-설계서,원가계산,내역서" xfId="319" xr:uid="{00000000-0005-0000-0000-00003E010000}"/>
    <cellStyle name="_방동_산양리지구_내역서-최종0223_진해자은수량산출서(단지내)_기초산출표-56-128-최종_설계서-1" xfId="320" xr:uid="{00000000-0005-0000-0000-00003F010000}"/>
    <cellStyle name="_방동_산양리지구_내역서-최종0223_진해자은수량산출서(단지내)_기초산출표-56-128-최종_설계서-1_00-설계서,원가계산,내역서" xfId="321" xr:uid="{00000000-0005-0000-0000-000040010000}"/>
    <cellStyle name="_방동_산양리지구_내역서-최종0223_진해자은수량산출서(단지내)_설계서-1" xfId="322" xr:uid="{00000000-0005-0000-0000-000041010000}"/>
    <cellStyle name="_방동_산양리지구_내역서-최종0223_진해자은수량산출서(단지내)_설계서-1_00-설계서,원가계산,내역서" xfId="323" xr:uid="{00000000-0005-0000-0000-000042010000}"/>
    <cellStyle name="_방동_산양리지구_내역서-최종0223_진해자은수량산출서(단지내)_취합" xfId="324" xr:uid="{00000000-0005-0000-0000-000043010000}"/>
    <cellStyle name="_방동_산양리지구_내역서-최종0223_진해자은수량산출서(단지내)_취합_00-설계서,원가계산,내역서" xfId="325" xr:uid="{00000000-0005-0000-0000-000044010000}"/>
    <cellStyle name="_방동_산양리지구_내역서-최종0223_진해자은수량산출서(단지내)_취합_설계서-1" xfId="326" xr:uid="{00000000-0005-0000-0000-000045010000}"/>
    <cellStyle name="_방동_산양리지구_내역서-최종0223_진해자은수량산출서(단지내)_취합_설계서-1_00-설계서,원가계산,내역서" xfId="327" xr:uid="{00000000-0005-0000-0000-000046010000}"/>
    <cellStyle name="_방동_산양리지구_라멘교 토공" xfId="328" xr:uid="{00000000-0005-0000-0000-000047010000}"/>
    <cellStyle name="_방동_산양리지구_라멘교 토공_00-설계서,원가계산,내역서" xfId="329" xr:uid="{00000000-0005-0000-0000-000048010000}"/>
    <cellStyle name="_방동_산양리지구_설계서-1" xfId="330" xr:uid="{00000000-0005-0000-0000-000049010000}"/>
    <cellStyle name="_방동_산양리지구_설계서-1_00-설계서,원가계산,내역서" xfId="331" xr:uid="{00000000-0005-0000-0000-00004A010000}"/>
    <cellStyle name="_방동_산양리지구_율동자연공원내 화장실 보수 및 도색공사" xfId="332" xr:uid="{00000000-0005-0000-0000-00004B010000}"/>
    <cellStyle name="_방동_산양리지구_율동자연공원내 화장실 보수 및 도색공사_00-설계서,원가계산,내역서" xfId="333" xr:uid="{00000000-0005-0000-0000-00004C010000}"/>
    <cellStyle name="_방동_산양리지구_율동자연공원내 화장실 보수 및 도색공사_내역서-최종0223" xfId="334" xr:uid="{00000000-0005-0000-0000-00004D010000}"/>
    <cellStyle name="_방동_산양리지구_율동자연공원내 화장실 보수 및 도색공사_내역서-최종0223_00-설계서,원가계산,내역서" xfId="335" xr:uid="{00000000-0005-0000-0000-00004E010000}"/>
    <cellStyle name="_방동_산양리지구_율동자연공원내 화장실 보수 및 도색공사_내역서-최종0223_설계서-1" xfId="336" xr:uid="{00000000-0005-0000-0000-00004F010000}"/>
    <cellStyle name="_방동_산양리지구_율동자연공원내 화장실 보수 및 도색공사_내역서-최종0223_설계서-1_00-설계서,원가계산,내역서" xfId="337" xr:uid="{00000000-0005-0000-0000-000050010000}"/>
    <cellStyle name="_방동_산양리지구_율동자연공원내 화장실 보수 및 도색공사_내역서-최종0223_진해자은수량산출서(단지내)" xfId="338" xr:uid="{00000000-0005-0000-0000-000051010000}"/>
    <cellStyle name="_방동_산양리지구_율동자연공원내 화장실 보수 및 도색공사_내역서-최종0223_진해자은수량산출서(단지내)_00-설계서,원가계산,내역서" xfId="339" xr:uid="{00000000-0005-0000-0000-000052010000}"/>
    <cellStyle name="_방동_산양리지구_율동자연공원내 화장실 보수 및 도색공사_내역서-최종0223_진해자은수량산출서(단지내)_기초산출표-56-128-최종" xfId="340" xr:uid="{00000000-0005-0000-0000-000053010000}"/>
    <cellStyle name="_방동_산양리지구_율동자연공원내 화장실 보수 및 도색공사_내역서-최종0223_진해자은수량산출서(단지내)_기초산출표-56-128-최종_00-설계서,원가계산,내역서" xfId="341" xr:uid="{00000000-0005-0000-0000-000054010000}"/>
    <cellStyle name="_방동_산양리지구_율동자연공원내 화장실 보수 및 도색공사_내역서-최종0223_진해자은수량산출서(단지내)_기초산출표-56-128-최종_설계서-1" xfId="342" xr:uid="{00000000-0005-0000-0000-000055010000}"/>
    <cellStyle name="_방동_산양리지구_율동자연공원내 화장실 보수 및 도색공사_내역서-최종0223_진해자은수량산출서(단지내)_기초산출표-56-128-최종_설계서-1_00-설계서,원가계산,내역서" xfId="343" xr:uid="{00000000-0005-0000-0000-000056010000}"/>
    <cellStyle name="_방동_산양리지구_율동자연공원내 화장실 보수 및 도색공사_내역서-최종0223_진해자은수량산출서(단지내)_설계서-1" xfId="344" xr:uid="{00000000-0005-0000-0000-000057010000}"/>
    <cellStyle name="_방동_산양리지구_율동자연공원내 화장실 보수 및 도색공사_내역서-최종0223_진해자은수량산출서(단지내)_설계서-1_00-설계서,원가계산,내역서" xfId="345" xr:uid="{00000000-0005-0000-0000-000058010000}"/>
    <cellStyle name="_방동_산양리지구_율동자연공원내 화장실 보수 및 도색공사_내역서-최종0223_진해자은수량산출서(단지내)_취합" xfId="346" xr:uid="{00000000-0005-0000-0000-000059010000}"/>
    <cellStyle name="_방동_산양리지구_율동자연공원내 화장실 보수 및 도색공사_내역서-최종0223_진해자은수량산출서(단지내)_취합_00-설계서,원가계산,내역서" xfId="347" xr:uid="{00000000-0005-0000-0000-00005A010000}"/>
    <cellStyle name="_방동_산양리지구_율동자연공원내 화장실 보수 및 도색공사_내역서-최종0223_진해자은수량산출서(단지내)_취합_설계서-1" xfId="348" xr:uid="{00000000-0005-0000-0000-00005B010000}"/>
    <cellStyle name="_방동_산양리지구_율동자연공원내 화장실 보수 및 도색공사_내역서-최종0223_진해자은수량산출서(단지내)_취합_설계서-1_00-설계서,원가계산,내역서" xfId="349" xr:uid="{00000000-0005-0000-0000-00005C010000}"/>
    <cellStyle name="_방동_산양리지구_율동자연공원내 화장실 보수 및 도색공사_설계서-1" xfId="350" xr:uid="{00000000-0005-0000-0000-00005D010000}"/>
    <cellStyle name="_방동_산양리지구_율동자연공원내 화장실 보수 및 도색공사_설계서-1_00-설계서,원가계산,내역서" xfId="351" xr:uid="{00000000-0005-0000-0000-00005E010000}"/>
    <cellStyle name="_방동_산양리지구_율동자연공원내 화장실 보수 및 도색공사_진해자은수량산출서(단지내)" xfId="352" xr:uid="{00000000-0005-0000-0000-00005F010000}"/>
    <cellStyle name="_방동_산양리지구_율동자연공원내 화장실 보수 및 도색공사_진해자은수량산출서(단지내)_00-설계서,원가계산,내역서" xfId="353" xr:uid="{00000000-0005-0000-0000-000060010000}"/>
    <cellStyle name="_방동_산양리지구_율동자연공원내 화장실 보수 및 도색공사_진해자은수량산출서(단지내)_기초산출표-56-128-최종" xfId="354" xr:uid="{00000000-0005-0000-0000-000061010000}"/>
    <cellStyle name="_방동_산양리지구_율동자연공원내 화장실 보수 및 도색공사_진해자은수량산출서(단지내)_기초산출표-56-128-최종_00-설계서,원가계산,내역서" xfId="355" xr:uid="{00000000-0005-0000-0000-000062010000}"/>
    <cellStyle name="_방동_산양리지구_율동자연공원내 화장실 보수 및 도색공사_진해자은수량산출서(단지내)_기초산출표-56-128-최종_설계서-1" xfId="356" xr:uid="{00000000-0005-0000-0000-000063010000}"/>
    <cellStyle name="_방동_산양리지구_율동자연공원내 화장실 보수 및 도색공사_진해자은수량산출서(단지내)_기초산출표-56-128-최종_설계서-1_00-설계서,원가계산,내역서" xfId="357" xr:uid="{00000000-0005-0000-0000-000064010000}"/>
    <cellStyle name="_방동_산양리지구_율동자연공원내 화장실 보수 및 도색공사_진해자은수량산출서(단지내)_설계서-1" xfId="358" xr:uid="{00000000-0005-0000-0000-000065010000}"/>
    <cellStyle name="_방동_산양리지구_율동자연공원내 화장실 보수 및 도색공사_진해자은수량산출서(단지내)_설계서-1_00-설계서,원가계산,내역서" xfId="359" xr:uid="{00000000-0005-0000-0000-000066010000}"/>
    <cellStyle name="_방동_산양리지구_율동자연공원내 화장실 보수 및 도색공사_진해자은수량산출서(단지내)_취합" xfId="360" xr:uid="{00000000-0005-0000-0000-000067010000}"/>
    <cellStyle name="_방동_산양리지구_율동자연공원내 화장실 보수 및 도색공사_진해자은수량산출서(단지내)_취합_00-설계서,원가계산,내역서" xfId="361" xr:uid="{00000000-0005-0000-0000-000068010000}"/>
    <cellStyle name="_방동_산양리지구_율동자연공원내 화장실 보수 및 도색공사_진해자은수량산출서(단지내)_취합_설계서-1" xfId="362" xr:uid="{00000000-0005-0000-0000-000069010000}"/>
    <cellStyle name="_방동_산양리지구_율동자연공원내 화장실 보수 및 도색공사_진해자은수량산출서(단지내)_취합_설계서-1_00-설계서,원가계산,내역서" xfId="363" xr:uid="{00000000-0005-0000-0000-00006A010000}"/>
    <cellStyle name="_방동_산양리지구_율동자연공원내 휴게편의점 도색작업-할증-천정면적추가" xfId="364" xr:uid="{00000000-0005-0000-0000-00006B010000}"/>
    <cellStyle name="_방동_산양리지구_율동자연공원내 휴게편의점 도색작업-할증-천정면적추가_00-설계서,원가계산,내역서" xfId="365" xr:uid="{00000000-0005-0000-0000-00006C010000}"/>
    <cellStyle name="_방동_산양리지구_율동자연공원내 휴게편의점 도색작업-할증-천정면적추가_내역서-최종0223" xfId="366" xr:uid="{00000000-0005-0000-0000-00006D010000}"/>
    <cellStyle name="_방동_산양리지구_율동자연공원내 휴게편의점 도색작업-할증-천정면적추가_내역서-최종0223_00-설계서,원가계산,내역서" xfId="367" xr:uid="{00000000-0005-0000-0000-00006E010000}"/>
    <cellStyle name="_방동_산양리지구_율동자연공원내 휴게편의점 도색작업-할증-천정면적추가_내역서-최종0223_설계서-1" xfId="368" xr:uid="{00000000-0005-0000-0000-00006F010000}"/>
    <cellStyle name="_방동_산양리지구_율동자연공원내 휴게편의점 도색작업-할증-천정면적추가_내역서-최종0223_설계서-1_00-설계서,원가계산,내역서" xfId="369" xr:uid="{00000000-0005-0000-0000-000070010000}"/>
    <cellStyle name="_방동_산양리지구_율동자연공원내 휴게편의점 도색작업-할증-천정면적추가_내역서-최종0223_진해자은수량산출서(단지내)" xfId="370" xr:uid="{00000000-0005-0000-0000-000071010000}"/>
    <cellStyle name="_방동_산양리지구_율동자연공원내 휴게편의점 도색작업-할증-천정면적추가_내역서-최종0223_진해자은수량산출서(단지내)_00-설계서,원가계산,내역서" xfId="371" xr:uid="{00000000-0005-0000-0000-000072010000}"/>
    <cellStyle name="_방동_산양리지구_율동자연공원내 휴게편의점 도색작업-할증-천정면적추가_내역서-최종0223_진해자은수량산출서(단지내)_기초산출표-56-128-최종" xfId="372" xr:uid="{00000000-0005-0000-0000-000073010000}"/>
    <cellStyle name="_방동_산양리지구_율동자연공원내 휴게편의점 도색작업-할증-천정면적추가_내역서-최종0223_진해자은수량산출서(단지내)_기초산출표-56-128-최종_00-설계서,원가계산,내역서" xfId="373" xr:uid="{00000000-0005-0000-0000-000074010000}"/>
    <cellStyle name="_방동_산양리지구_율동자연공원내 휴게편의점 도색작업-할증-천정면적추가_내역서-최종0223_진해자은수량산출서(단지내)_기초산출표-56-128-최종_설계서-1" xfId="374" xr:uid="{00000000-0005-0000-0000-000075010000}"/>
    <cellStyle name="_방동_산양리지구_율동자연공원내 휴게편의점 도색작업-할증-천정면적추가_내역서-최종0223_진해자은수량산출서(단지내)_기초산출표-56-128-최종_설계서-1_00-설계서,원가계산,내역서" xfId="375" xr:uid="{00000000-0005-0000-0000-000076010000}"/>
    <cellStyle name="_방동_산양리지구_율동자연공원내 휴게편의점 도색작업-할증-천정면적추가_내역서-최종0223_진해자은수량산출서(단지내)_설계서-1" xfId="376" xr:uid="{00000000-0005-0000-0000-000077010000}"/>
    <cellStyle name="_방동_산양리지구_율동자연공원내 휴게편의점 도색작업-할증-천정면적추가_내역서-최종0223_진해자은수량산출서(단지내)_설계서-1_00-설계서,원가계산,내역서" xfId="377" xr:uid="{00000000-0005-0000-0000-000078010000}"/>
    <cellStyle name="_방동_산양리지구_율동자연공원내 휴게편의점 도색작업-할증-천정면적추가_내역서-최종0223_진해자은수량산출서(단지내)_취합" xfId="378" xr:uid="{00000000-0005-0000-0000-000079010000}"/>
    <cellStyle name="_방동_산양리지구_율동자연공원내 휴게편의점 도색작업-할증-천정면적추가_내역서-최종0223_진해자은수량산출서(단지내)_취합_00-설계서,원가계산,내역서" xfId="379" xr:uid="{00000000-0005-0000-0000-00007A010000}"/>
    <cellStyle name="_방동_산양리지구_율동자연공원내 휴게편의점 도색작업-할증-천정면적추가_내역서-최종0223_진해자은수량산출서(단지내)_취합_설계서-1" xfId="380" xr:uid="{00000000-0005-0000-0000-00007B010000}"/>
    <cellStyle name="_방동_산양리지구_율동자연공원내 휴게편의점 도색작업-할증-천정면적추가_내역서-최종0223_진해자은수량산출서(단지내)_취합_설계서-1_00-설계서,원가계산,내역서" xfId="381" xr:uid="{00000000-0005-0000-0000-00007C010000}"/>
    <cellStyle name="_방동_산양리지구_율동자연공원내 휴게편의점 도색작업-할증-천정면적추가_설계서-1" xfId="382" xr:uid="{00000000-0005-0000-0000-00007D010000}"/>
    <cellStyle name="_방동_산양리지구_율동자연공원내 휴게편의점 도색작업-할증-천정면적추가_설계서-1_00-설계서,원가계산,내역서" xfId="383" xr:uid="{00000000-0005-0000-0000-00007E010000}"/>
    <cellStyle name="_방동_산양리지구_율동자연공원내 휴게편의점 도색작업-할증-천정면적추가_진해자은수량산출서(단지내)" xfId="384" xr:uid="{00000000-0005-0000-0000-00007F010000}"/>
    <cellStyle name="_방동_산양리지구_율동자연공원내 휴게편의점 도색작업-할증-천정면적추가_진해자은수량산출서(단지내)_00-설계서,원가계산,내역서" xfId="385" xr:uid="{00000000-0005-0000-0000-000080010000}"/>
    <cellStyle name="_방동_산양리지구_율동자연공원내 휴게편의점 도색작업-할증-천정면적추가_진해자은수량산출서(단지내)_기초산출표-56-128-최종" xfId="386" xr:uid="{00000000-0005-0000-0000-000081010000}"/>
    <cellStyle name="_방동_산양리지구_율동자연공원내 휴게편의점 도색작업-할증-천정면적추가_진해자은수량산출서(단지내)_기초산출표-56-128-최종_00-설계서,원가계산,내역서" xfId="387" xr:uid="{00000000-0005-0000-0000-000082010000}"/>
    <cellStyle name="_방동_산양리지구_율동자연공원내 휴게편의점 도색작업-할증-천정면적추가_진해자은수량산출서(단지내)_기초산출표-56-128-최종_설계서-1" xfId="388" xr:uid="{00000000-0005-0000-0000-000083010000}"/>
    <cellStyle name="_방동_산양리지구_율동자연공원내 휴게편의점 도색작업-할증-천정면적추가_진해자은수량산출서(단지내)_기초산출표-56-128-최종_설계서-1_00-설계서,원가계산,내역서" xfId="389" xr:uid="{00000000-0005-0000-0000-000084010000}"/>
    <cellStyle name="_방동_산양리지구_율동자연공원내 휴게편의점 도색작업-할증-천정면적추가_진해자은수량산출서(단지내)_설계서-1" xfId="390" xr:uid="{00000000-0005-0000-0000-000085010000}"/>
    <cellStyle name="_방동_산양리지구_율동자연공원내 휴게편의점 도색작업-할증-천정면적추가_진해자은수량산출서(단지내)_설계서-1_00-설계서,원가계산,내역서" xfId="391" xr:uid="{00000000-0005-0000-0000-000086010000}"/>
    <cellStyle name="_방동_산양리지구_율동자연공원내 휴게편의점 도색작업-할증-천정면적추가_진해자은수량산출서(단지내)_취합" xfId="392" xr:uid="{00000000-0005-0000-0000-000087010000}"/>
    <cellStyle name="_방동_산양리지구_율동자연공원내 휴게편의점 도색작업-할증-천정면적추가_진해자은수량산출서(단지내)_취합_00-설계서,원가계산,내역서" xfId="393" xr:uid="{00000000-0005-0000-0000-000088010000}"/>
    <cellStyle name="_방동_산양리지구_율동자연공원내 휴게편의점 도색작업-할증-천정면적추가_진해자은수량산출서(단지내)_취합_설계서-1" xfId="394" xr:uid="{00000000-0005-0000-0000-000089010000}"/>
    <cellStyle name="_방동_산양리지구_율동자연공원내 휴게편의점 도색작업-할증-천정면적추가_진해자은수량산출서(단지내)_취합_설계서-1_00-설계서,원가계산,내역서" xfId="395" xr:uid="{00000000-0005-0000-0000-00008A010000}"/>
    <cellStyle name="_방동_산양리지구_이문동구간중랑천변녹화사업(수량산출서, 071127)-최종" xfId="396" xr:uid="{00000000-0005-0000-0000-00008B010000}"/>
    <cellStyle name="_방동_산양리지구_이문동구간중랑천변녹화사업(수량산출서, 071127)-최종_00-설계서,원가계산,내역서" xfId="397" xr:uid="{00000000-0005-0000-0000-00008C010000}"/>
    <cellStyle name="_방동_산양리지구_진해자은수량산출서(단지내)" xfId="398" xr:uid="{00000000-0005-0000-0000-00008D010000}"/>
    <cellStyle name="_방동_산양리지구_진해자은수량산출서(단지내)_00-설계서,원가계산,내역서" xfId="399" xr:uid="{00000000-0005-0000-0000-00008E010000}"/>
    <cellStyle name="_방동_산양리지구_진해자은수량산출서(단지내)_기초산출표-56-128-최종" xfId="400" xr:uid="{00000000-0005-0000-0000-00008F010000}"/>
    <cellStyle name="_방동_산양리지구_진해자은수량산출서(단지내)_기초산출표-56-128-최종_00-설계서,원가계산,내역서" xfId="401" xr:uid="{00000000-0005-0000-0000-000090010000}"/>
    <cellStyle name="_방동_산양리지구_진해자은수량산출서(단지내)_기초산출표-56-128-최종_설계서-1" xfId="402" xr:uid="{00000000-0005-0000-0000-000091010000}"/>
    <cellStyle name="_방동_산양리지구_진해자은수량산출서(단지내)_기초산출표-56-128-최종_설계서-1_00-설계서,원가계산,내역서" xfId="403" xr:uid="{00000000-0005-0000-0000-000092010000}"/>
    <cellStyle name="_방동_산양리지구_진해자은수량산출서(단지내)_설계서-1" xfId="404" xr:uid="{00000000-0005-0000-0000-000093010000}"/>
    <cellStyle name="_방동_산양리지구_진해자은수량산출서(단지내)_설계서-1_00-설계서,원가계산,내역서" xfId="405" xr:uid="{00000000-0005-0000-0000-000094010000}"/>
    <cellStyle name="_방동_산양리지구_진해자은수량산출서(단지내)_취합" xfId="406" xr:uid="{00000000-0005-0000-0000-000095010000}"/>
    <cellStyle name="_방동_산양리지구_진해자은수량산출서(단지내)_취합_00-설계서,원가계산,내역서" xfId="407" xr:uid="{00000000-0005-0000-0000-000096010000}"/>
    <cellStyle name="_방동_산양리지구_진해자은수량산출서(단지내)_취합_설계서-1" xfId="408" xr:uid="{00000000-0005-0000-0000-000097010000}"/>
    <cellStyle name="_방동_산양리지구_진해자은수량산출서(단지내)_취합_설계서-1_00-설계서,원가계산,내역서" xfId="409" xr:uid="{00000000-0005-0000-0000-000098010000}"/>
    <cellStyle name="_방동_산양리지구_포장" xfId="410" xr:uid="{00000000-0005-0000-0000-000099010000}"/>
    <cellStyle name="_방동_산양리지구_포장_00-설계서,원가계산,내역서" xfId="411" xr:uid="{00000000-0005-0000-0000-00009A010000}"/>
    <cellStyle name="_방동_산양리지구_포장_라멘교 토공" xfId="412" xr:uid="{00000000-0005-0000-0000-00009B010000}"/>
    <cellStyle name="_방동_산양리지구_포장_라멘교 토공_00-설계서,원가계산,내역서" xfId="413" xr:uid="{00000000-0005-0000-0000-00009C010000}"/>
    <cellStyle name="_방동_서상2리" xfId="414" xr:uid="{00000000-0005-0000-0000-00009D010000}"/>
    <cellStyle name="_방동_서상2리_00-설계서,원가계산,내역서" xfId="415" xr:uid="{00000000-0005-0000-0000-00009E010000}"/>
    <cellStyle name="_방동_서상2리_내역서-최종0223" xfId="416" xr:uid="{00000000-0005-0000-0000-00009F010000}"/>
    <cellStyle name="_방동_서상2리_내역서-최종0223_00-설계서,원가계산,내역서" xfId="417" xr:uid="{00000000-0005-0000-0000-0000A0010000}"/>
    <cellStyle name="_방동_서상2리_내역서-최종0223_설계서-1" xfId="418" xr:uid="{00000000-0005-0000-0000-0000A1010000}"/>
    <cellStyle name="_방동_서상2리_내역서-최종0223_설계서-1_00-설계서,원가계산,내역서" xfId="419" xr:uid="{00000000-0005-0000-0000-0000A2010000}"/>
    <cellStyle name="_방동_서상2리_내역서-최종0223_진해자은수량산출서(단지내)" xfId="420" xr:uid="{00000000-0005-0000-0000-0000A3010000}"/>
    <cellStyle name="_방동_서상2리_내역서-최종0223_진해자은수량산출서(단지내)_00-설계서,원가계산,내역서" xfId="421" xr:uid="{00000000-0005-0000-0000-0000A4010000}"/>
    <cellStyle name="_방동_서상2리_내역서-최종0223_진해자은수량산출서(단지내)_기초산출표-56-128-최종" xfId="422" xr:uid="{00000000-0005-0000-0000-0000A5010000}"/>
    <cellStyle name="_방동_서상2리_내역서-최종0223_진해자은수량산출서(단지내)_기초산출표-56-128-최종_00-설계서,원가계산,내역서" xfId="423" xr:uid="{00000000-0005-0000-0000-0000A6010000}"/>
    <cellStyle name="_방동_서상2리_내역서-최종0223_진해자은수량산출서(단지내)_기초산출표-56-128-최종_설계서-1" xfId="424" xr:uid="{00000000-0005-0000-0000-0000A7010000}"/>
    <cellStyle name="_방동_서상2리_내역서-최종0223_진해자은수량산출서(단지내)_기초산출표-56-128-최종_설계서-1_00-설계서,원가계산,내역서" xfId="425" xr:uid="{00000000-0005-0000-0000-0000A8010000}"/>
    <cellStyle name="_방동_서상2리_내역서-최종0223_진해자은수량산출서(단지내)_설계서-1" xfId="426" xr:uid="{00000000-0005-0000-0000-0000A9010000}"/>
    <cellStyle name="_방동_서상2리_내역서-최종0223_진해자은수량산출서(단지내)_설계서-1_00-설계서,원가계산,내역서" xfId="427" xr:uid="{00000000-0005-0000-0000-0000AA010000}"/>
    <cellStyle name="_방동_서상2리_내역서-최종0223_진해자은수량산출서(단지내)_취합" xfId="428" xr:uid="{00000000-0005-0000-0000-0000AB010000}"/>
    <cellStyle name="_방동_서상2리_내역서-최종0223_진해자은수량산출서(단지내)_취합_00-설계서,원가계산,내역서" xfId="429" xr:uid="{00000000-0005-0000-0000-0000AC010000}"/>
    <cellStyle name="_방동_서상2리_내역서-최종0223_진해자은수량산출서(단지내)_취합_설계서-1" xfId="430" xr:uid="{00000000-0005-0000-0000-0000AD010000}"/>
    <cellStyle name="_방동_서상2리_내역서-최종0223_진해자은수량산출서(단지내)_취합_설계서-1_00-설계서,원가계산,내역서" xfId="431" xr:uid="{00000000-0005-0000-0000-0000AE010000}"/>
    <cellStyle name="_방동_서상2리_라멘교 토공" xfId="432" xr:uid="{00000000-0005-0000-0000-0000AF010000}"/>
    <cellStyle name="_방동_서상2리_라멘교 토공_00-설계서,원가계산,내역서" xfId="433" xr:uid="{00000000-0005-0000-0000-0000B0010000}"/>
    <cellStyle name="_방동_서상2리_설계서-1" xfId="434" xr:uid="{00000000-0005-0000-0000-0000B1010000}"/>
    <cellStyle name="_방동_서상2리_설계서-1_00-설계서,원가계산,내역서" xfId="435" xr:uid="{00000000-0005-0000-0000-0000B2010000}"/>
    <cellStyle name="_방동_서상2리_율동자연공원내 화장실 보수 및 도색공사" xfId="436" xr:uid="{00000000-0005-0000-0000-0000B3010000}"/>
    <cellStyle name="_방동_서상2리_율동자연공원내 화장실 보수 및 도색공사_00-설계서,원가계산,내역서" xfId="437" xr:uid="{00000000-0005-0000-0000-0000B4010000}"/>
    <cellStyle name="_방동_서상2리_율동자연공원내 화장실 보수 및 도색공사_내역서-최종0223" xfId="438" xr:uid="{00000000-0005-0000-0000-0000B5010000}"/>
    <cellStyle name="_방동_서상2리_율동자연공원내 화장실 보수 및 도색공사_내역서-최종0223_00-설계서,원가계산,내역서" xfId="439" xr:uid="{00000000-0005-0000-0000-0000B6010000}"/>
    <cellStyle name="_방동_서상2리_율동자연공원내 화장실 보수 및 도색공사_내역서-최종0223_설계서-1" xfId="440" xr:uid="{00000000-0005-0000-0000-0000B7010000}"/>
    <cellStyle name="_방동_서상2리_율동자연공원내 화장실 보수 및 도색공사_내역서-최종0223_설계서-1_00-설계서,원가계산,내역서" xfId="441" xr:uid="{00000000-0005-0000-0000-0000B8010000}"/>
    <cellStyle name="_방동_서상2리_율동자연공원내 화장실 보수 및 도색공사_내역서-최종0223_진해자은수량산출서(단지내)" xfId="442" xr:uid="{00000000-0005-0000-0000-0000B9010000}"/>
    <cellStyle name="_방동_서상2리_율동자연공원내 화장실 보수 및 도색공사_내역서-최종0223_진해자은수량산출서(단지내)_00-설계서,원가계산,내역서" xfId="443" xr:uid="{00000000-0005-0000-0000-0000BA010000}"/>
    <cellStyle name="_방동_서상2리_율동자연공원내 화장실 보수 및 도색공사_내역서-최종0223_진해자은수량산출서(단지내)_기초산출표-56-128-최종" xfId="444" xr:uid="{00000000-0005-0000-0000-0000BB010000}"/>
    <cellStyle name="_방동_서상2리_율동자연공원내 화장실 보수 및 도색공사_내역서-최종0223_진해자은수량산출서(단지내)_기초산출표-56-128-최종_00-설계서,원가계산,내역서" xfId="445" xr:uid="{00000000-0005-0000-0000-0000BC010000}"/>
    <cellStyle name="_방동_서상2리_율동자연공원내 화장실 보수 및 도색공사_내역서-최종0223_진해자은수량산출서(단지내)_기초산출표-56-128-최종_설계서-1" xfId="446" xr:uid="{00000000-0005-0000-0000-0000BD010000}"/>
    <cellStyle name="_방동_서상2리_율동자연공원내 화장실 보수 및 도색공사_내역서-최종0223_진해자은수량산출서(단지내)_기초산출표-56-128-최종_설계서-1_00-설계서,원가계산,내역서" xfId="447" xr:uid="{00000000-0005-0000-0000-0000BE010000}"/>
    <cellStyle name="_방동_서상2리_율동자연공원내 화장실 보수 및 도색공사_내역서-최종0223_진해자은수량산출서(단지내)_설계서-1" xfId="448" xr:uid="{00000000-0005-0000-0000-0000BF010000}"/>
    <cellStyle name="_방동_서상2리_율동자연공원내 화장실 보수 및 도색공사_내역서-최종0223_진해자은수량산출서(단지내)_설계서-1_00-설계서,원가계산,내역서" xfId="449" xr:uid="{00000000-0005-0000-0000-0000C0010000}"/>
    <cellStyle name="_방동_서상2리_율동자연공원내 화장실 보수 및 도색공사_내역서-최종0223_진해자은수량산출서(단지내)_취합" xfId="450" xr:uid="{00000000-0005-0000-0000-0000C1010000}"/>
    <cellStyle name="_방동_서상2리_율동자연공원내 화장실 보수 및 도색공사_내역서-최종0223_진해자은수량산출서(단지내)_취합_00-설계서,원가계산,내역서" xfId="451" xr:uid="{00000000-0005-0000-0000-0000C2010000}"/>
    <cellStyle name="_방동_서상2리_율동자연공원내 화장실 보수 및 도색공사_내역서-최종0223_진해자은수량산출서(단지내)_취합_설계서-1" xfId="452" xr:uid="{00000000-0005-0000-0000-0000C3010000}"/>
    <cellStyle name="_방동_서상2리_율동자연공원내 화장실 보수 및 도색공사_내역서-최종0223_진해자은수량산출서(단지내)_취합_설계서-1_00-설계서,원가계산,내역서" xfId="453" xr:uid="{00000000-0005-0000-0000-0000C4010000}"/>
    <cellStyle name="_방동_서상2리_율동자연공원내 화장실 보수 및 도색공사_설계서-1" xfId="454" xr:uid="{00000000-0005-0000-0000-0000C5010000}"/>
    <cellStyle name="_방동_서상2리_율동자연공원내 화장실 보수 및 도색공사_설계서-1_00-설계서,원가계산,내역서" xfId="455" xr:uid="{00000000-0005-0000-0000-0000C6010000}"/>
    <cellStyle name="_방동_서상2리_율동자연공원내 화장실 보수 및 도색공사_진해자은수량산출서(단지내)" xfId="456" xr:uid="{00000000-0005-0000-0000-0000C7010000}"/>
    <cellStyle name="_방동_서상2리_율동자연공원내 화장실 보수 및 도색공사_진해자은수량산출서(단지내)_00-설계서,원가계산,내역서" xfId="457" xr:uid="{00000000-0005-0000-0000-0000C8010000}"/>
    <cellStyle name="_방동_서상2리_율동자연공원내 화장실 보수 및 도색공사_진해자은수량산출서(단지내)_기초산출표-56-128-최종" xfId="458" xr:uid="{00000000-0005-0000-0000-0000C9010000}"/>
    <cellStyle name="_방동_서상2리_율동자연공원내 화장실 보수 및 도색공사_진해자은수량산출서(단지내)_기초산출표-56-128-최종_00-설계서,원가계산,내역서" xfId="459" xr:uid="{00000000-0005-0000-0000-0000CA010000}"/>
    <cellStyle name="_방동_서상2리_율동자연공원내 화장실 보수 및 도색공사_진해자은수량산출서(단지내)_기초산출표-56-128-최종_설계서-1" xfId="460" xr:uid="{00000000-0005-0000-0000-0000CB010000}"/>
    <cellStyle name="_방동_서상2리_율동자연공원내 화장실 보수 및 도색공사_진해자은수량산출서(단지내)_기초산출표-56-128-최종_설계서-1_00-설계서,원가계산,내역서" xfId="461" xr:uid="{00000000-0005-0000-0000-0000CC010000}"/>
    <cellStyle name="_방동_서상2리_율동자연공원내 화장실 보수 및 도색공사_진해자은수량산출서(단지내)_설계서-1" xfId="462" xr:uid="{00000000-0005-0000-0000-0000CD010000}"/>
    <cellStyle name="_방동_서상2리_율동자연공원내 화장실 보수 및 도색공사_진해자은수량산출서(단지내)_설계서-1_00-설계서,원가계산,내역서" xfId="463" xr:uid="{00000000-0005-0000-0000-0000CE010000}"/>
    <cellStyle name="_방동_서상2리_율동자연공원내 화장실 보수 및 도색공사_진해자은수량산출서(단지내)_취합" xfId="464" xr:uid="{00000000-0005-0000-0000-0000CF010000}"/>
    <cellStyle name="_방동_서상2리_율동자연공원내 화장실 보수 및 도색공사_진해자은수량산출서(단지내)_취합_00-설계서,원가계산,내역서" xfId="465" xr:uid="{00000000-0005-0000-0000-0000D0010000}"/>
    <cellStyle name="_방동_서상2리_율동자연공원내 화장실 보수 및 도색공사_진해자은수량산출서(단지내)_취합_설계서-1" xfId="466" xr:uid="{00000000-0005-0000-0000-0000D1010000}"/>
    <cellStyle name="_방동_서상2리_율동자연공원내 화장실 보수 및 도색공사_진해자은수량산출서(단지내)_취합_설계서-1_00-설계서,원가계산,내역서" xfId="467" xr:uid="{00000000-0005-0000-0000-0000D2010000}"/>
    <cellStyle name="_방동_서상2리_율동자연공원내 휴게편의점 도색작업-할증-천정면적추가" xfId="468" xr:uid="{00000000-0005-0000-0000-0000D3010000}"/>
    <cellStyle name="_방동_서상2리_율동자연공원내 휴게편의점 도색작업-할증-천정면적추가_00-설계서,원가계산,내역서" xfId="469" xr:uid="{00000000-0005-0000-0000-0000D4010000}"/>
    <cellStyle name="_방동_서상2리_율동자연공원내 휴게편의점 도색작업-할증-천정면적추가_내역서-최종0223" xfId="470" xr:uid="{00000000-0005-0000-0000-0000D5010000}"/>
    <cellStyle name="_방동_서상2리_율동자연공원내 휴게편의점 도색작업-할증-천정면적추가_내역서-최종0223_00-설계서,원가계산,내역서" xfId="471" xr:uid="{00000000-0005-0000-0000-0000D6010000}"/>
    <cellStyle name="_방동_서상2리_율동자연공원내 휴게편의점 도색작업-할증-천정면적추가_내역서-최종0223_설계서-1" xfId="472" xr:uid="{00000000-0005-0000-0000-0000D7010000}"/>
    <cellStyle name="_방동_서상2리_율동자연공원내 휴게편의점 도색작업-할증-천정면적추가_내역서-최종0223_설계서-1_00-설계서,원가계산,내역서" xfId="473" xr:uid="{00000000-0005-0000-0000-0000D8010000}"/>
    <cellStyle name="_방동_서상2리_율동자연공원내 휴게편의점 도색작업-할증-천정면적추가_내역서-최종0223_진해자은수량산출서(단지내)" xfId="474" xr:uid="{00000000-0005-0000-0000-0000D9010000}"/>
    <cellStyle name="_방동_서상2리_율동자연공원내 휴게편의점 도색작업-할증-천정면적추가_내역서-최종0223_진해자은수량산출서(단지내)_00-설계서,원가계산,내역서" xfId="475" xr:uid="{00000000-0005-0000-0000-0000DA010000}"/>
    <cellStyle name="_방동_서상2리_율동자연공원내 휴게편의점 도색작업-할증-천정면적추가_내역서-최종0223_진해자은수량산출서(단지내)_기초산출표-56-128-최종" xfId="476" xr:uid="{00000000-0005-0000-0000-0000DB010000}"/>
    <cellStyle name="_방동_서상2리_율동자연공원내 휴게편의점 도색작업-할증-천정면적추가_내역서-최종0223_진해자은수량산출서(단지내)_기초산출표-56-128-최종_00-설계서,원가계산,내역서" xfId="477" xr:uid="{00000000-0005-0000-0000-0000DC010000}"/>
    <cellStyle name="_방동_서상2리_율동자연공원내 휴게편의점 도색작업-할증-천정면적추가_내역서-최종0223_진해자은수량산출서(단지내)_기초산출표-56-128-최종_설계서-1" xfId="478" xr:uid="{00000000-0005-0000-0000-0000DD010000}"/>
    <cellStyle name="_방동_서상2리_율동자연공원내 휴게편의점 도색작업-할증-천정면적추가_내역서-최종0223_진해자은수량산출서(단지내)_기초산출표-56-128-최종_설계서-1_00-설계서,원가계산,내역서" xfId="479" xr:uid="{00000000-0005-0000-0000-0000DE010000}"/>
    <cellStyle name="_방동_서상2리_율동자연공원내 휴게편의점 도색작업-할증-천정면적추가_내역서-최종0223_진해자은수량산출서(단지내)_설계서-1" xfId="480" xr:uid="{00000000-0005-0000-0000-0000DF010000}"/>
    <cellStyle name="_방동_서상2리_율동자연공원내 휴게편의점 도색작업-할증-천정면적추가_내역서-최종0223_진해자은수량산출서(단지내)_설계서-1_00-설계서,원가계산,내역서" xfId="481" xr:uid="{00000000-0005-0000-0000-0000E0010000}"/>
    <cellStyle name="_방동_서상2리_율동자연공원내 휴게편의점 도색작업-할증-천정면적추가_내역서-최종0223_진해자은수량산출서(단지내)_취합" xfId="482" xr:uid="{00000000-0005-0000-0000-0000E1010000}"/>
    <cellStyle name="_방동_서상2리_율동자연공원내 휴게편의점 도색작업-할증-천정면적추가_내역서-최종0223_진해자은수량산출서(단지내)_취합_00-설계서,원가계산,내역서" xfId="483" xr:uid="{00000000-0005-0000-0000-0000E2010000}"/>
    <cellStyle name="_방동_서상2리_율동자연공원내 휴게편의점 도색작업-할증-천정면적추가_내역서-최종0223_진해자은수량산출서(단지내)_취합_설계서-1" xfId="484" xr:uid="{00000000-0005-0000-0000-0000E3010000}"/>
    <cellStyle name="_방동_서상2리_율동자연공원내 휴게편의점 도색작업-할증-천정면적추가_내역서-최종0223_진해자은수량산출서(단지내)_취합_설계서-1_00-설계서,원가계산,내역서" xfId="485" xr:uid="{00000000-0005-0000-0000-0000E4010000}"/>
    <cellStyle name="_방동_서상2리_율동자연공원내 휴게편의점 도색작업-할증-천정면적추가_설계서-1" xfId="486" xr:uid="{00000000-0005-0000-0000-0000E5010000}"/>
    <cellStyle name="_방동_서상2리_율동자연공원내 휴게편의점 도색작업-할증-천정면적추가_설계서-1_00-설계서,원가계산,내역서" xfId="487" xr:uid="{00000000-0005-0000-0000-0000E6010000}"/>
    <cellStyle name="_방동_서상2리_율동자연공원내 휴게편의점 도색작업-할증-천정면적추가_진해자은수량산출서(단지내)" xfId="488" xr:uid="{00000000-0005-0000-0000-0000E7010000}"/>
    <cellStyle name="_방동_서상2리_율동자연공원내 휴게편의점 도색작업-할증-천정면적추가_진해자은수량산출서(단지내)_00-설계서,원가계산,내역서" xfId="489" xr:uid="{00000000-0005-0000-0000-0000E8010000}"/>
    <cellStyle name="_방동_서상2리_율동자연공원내 휴게편의점 도색작업-할증-천정면적추가_진해자은수량산출서(단지내)_기초산출표-56-128-최종" xfId="490" xr:uid="{00000000-0005-0000-0000-0000E9010000}"/>
    <cellStyle name="_방동_서상2리_율동자연공원내 휴게편의점 도색작업-할증-천정면적추가_진해자은수량산출서(단지내)_기초산출표-56-128-최종_00-설계서,원가계산,내역서" xfId="491" xr:uid="{00000000-0005-0000-0000-0000EA010000}"/>
    <cellStyle name="_방동_서상2리_율동자연공원내 휴게편의점 도색작업-할증-천정면적추가_진해자은수량산출서(단지내)_기초산출표-56-128-최종_설계서-1" xfId="492" xr:uid="{00000000-0005-0000-0000-0000EB010000}"/>
    <cellStyle name="_방동_서상2리_율동자연공원내 휴게편의점 도색작업-할증-천정면적추가_진해자은수량산출서(단지내)_기초산출표-56-128-최종_설계서-1_00-설계서,원가계산,내역서" xfId="493" xr:uid="{00000000-0005-0000-0000-0000EC010000}"/>
    <cellStyle name="_방동_서상2리_율동자연공원내 휴게편의점 도색작업-할증-천정면적추가_진해자은수량산출서(단지내)_설계서-1" xfId="494" xr:uid="{00000000-0005-0000-0000-0000ED010000}"/>
    <cellStyle name="_방동_서상2리_율동자연공원내 휴게편의점 도색작업-할증-천정면적추가_진해자은수량산출서(단지내)_설계서-1_00-설계서,원가계산,내역서" xfId="495" xr:uid="{00000000-0005-0000-0000-0000EE010000}"/>
    <cellStyle name="_방동_서상2리_율동자연공원내 휴게편의점 도색작업-할증-천정면적추가_진해자은수량산출서(단지내)_취합" xfId="496" xr:uid="{00000000-0005-0000-0000-0000EF010000}"/>
    <cellStyle name="_방동_서상2리_율동자연공원내 휴게편의점 도색작업-할증-천정면적추가_진해자은수량산출서(단지내)_취합_00-설계서,원가계산,내역서" xfId="497" xr:uid="{00000000-0005-0000-0000-0000F0010000}"/>
    <cellStyle name="_방동_서상2리_율동자연공원내 휴게편의점 도색작업-할증-천정면적추가_진해자은수량산출서(단지내)_취합_설계서-1" xfId="498" xr:uid="{00000000-0005-0000-0000-0000F1010000}"/>
    <cellStyle name="_방동_서상2리_율동자연공원내 휴게편의점 도색작업-할증-천정면적추가_진해자은수량산출서(단지내)_취합_설계서-1_00-설계서,원가계산,내역서" xfId="499" xr:uid="{00000000-0005-0000-0000-0000F2010000}"/>
    <cellStyle name="_방동_서상2리_이문동구간중랑천변녹화사업(수량산출서, 071127)-최종" xfId="500" xr:uid="{00000000-0005-0000-0000-0000F3010000}"/>
    <cellStyle name="_방동_서상2리_이문동구간중랑천변녹화사업(수량산출서, 071127)-최종_00-설계서,원가계산,내역서" xfId="501" xr:uid="{00000000-0005-0000-0000-0000F4010000}"/>
    <cellStyle name="_방동_서상2리_진해자은수량산출서(단지내)" xfId="502" xr:uid="{00000000-0005-0000-0000-0000F5010000}"/>
    <cellStyle name="_방동_서상2리_진해자은수량산출서(단지내)_00-설계서,원가계산,내역서" xfId="503" xr:uid="{00000000-0005-0000-0000-0000F6010000}"/>
    <cellStyle name="_방동_서상2리_진해자은수량산출서(단지내)_기초산출표-56-128-최종" xfId="504" xr:uid="{00000000-0005-0000-0000-0000F7010000}"/>
    <cellStyle name="_방동_서상2리_진해자은수량산출서(단지내)_기초산출표-56-128-최종_00-설계서,원가계산,내역서" xfId="505" xr:uid="{00000000-0005-0000-0000-0000F8010000}"/>
    <cellStyle name="_방동_서상2리_진해자은수량산출서(단지내)_기초산출표-56-128-최종_설계서-1" xfId="506" xr:uid="{00000000-0005-0000-0000-0000F9010000}"/>
    <cellStyle name="_방동_서상2리_진해자은수량산출서(단지내)_기초산출표-56-128-최종_설계서-1_00-설계서,원가계산,내역서" xfId="507" xr:uid="{00000000-0005-0000-0000-0000FA010000}"/>
    <cellStyle name="_방동_서상2리_진해자은수량산출서(단지내)_설계서-1" xfId="508" xr:uid="{00000000-0005-0000-0000-0000FB010000}"/>
    <cellStyle name="_방동_서상2리_진해자은수량산출서(단지내)_설계서-1_00-설계서,원가계산,내역서" xfId="509" xr:uid="{00000000-0005-0000-0000-0000FC010000}"/>
    <cellStyle name="_방동_서상2리_진해자은수량산출서(단지내)_취합" xfId="510" xr:uid="{00000000-0005-0000-0000-0000FD010000}"/>
    <cellStyle name="_방동_서상2리_진해자은수량산출서(단지내)_취합_00-설계서,원가계산,내역서" xfId="511" xr:uid="{00000000-0005-0000-0000-0000FE010000}"/>
    <cellStyle name="_방동_서상2리_진해자은수량산출서(단지내)_취합_설계서-1" xfId="512" xr:uid="{00000000-0005-0000-0000-0000FF010000}"/>
    <cellStyle name="_방동_서상2리_진해자은수량산출서(단지내)_취합_설계서-1_00-설계서,원가계산,내역서" xfId="513" xr:uid="{00000000-0005-0000-0000-000000020000}"/>
    <cellStyle name="_방동_서상2리_포장" xfId="514" xr:uid="{00000000-0005-0000-0000-000001020000}"/>
    <cellStyle name="_방동_서상2리_포장_00-설계서,원가계산,내역서" xfId="515" xr:uid="{00000000-0005-0000-0000-000002020000}"/>
    <cellStyle name="_방동_서상2리_포장_라멘교 토공" xfId="516" xr:uid="{00000000-0005-0000-0000-000003020000}"/>
    <cellStyle name="_방동_서상2리_포장_라멘교 토공_00-설계서,원가계산,내역서" xfId="517" xr:uid="{00000000-0005-0000-0000-000004020000}"/>
    <cellStyle name="_방동_설계서-1" xfId="518" xr:uid="{00000000-0005-0000-0000-000005020000}"/>
    <cellStyle name="_방동_설계서-1_00-설계서,원가계산,내역서" xfId="519" xr:uid="{00000000-0005-0000-0000-000006020000}"/>
    <cellStyle name="_방동_오항" xfId="520" xr:uid="{00000000-0005-0000-0000-000007020000}"/>
    <cellStyle name="_방동_오항_00-설계서,원가계산,내역서" xfId="521" xr:uid="{00000000-0005-0000-0000-000008020000}"/>
    <cellStyle name="_방동_오항_라멘교 토공" xfId="522" xr:uid="{00000000-0005-0000-0000-000009020000}"/>
    <cellStyle name="_방동_오항_라멘교 토공_00-설계서,원가계산,내역서" xfId="523" xr:uid="{00000000-0005-0000-0000-00000A020000}"/>
    <cellStyle name="_방동_오항_포장" xfId="524" xr:uid="{00000000-0005-0000-0000-00000B020000}"/>
    <cellStyle name="_방동_오항_포장_00-설계서,원가계산,내역서" xfId="525" xr:uid="{00000000-0005-0000-0000-00000C020000}"/>
    <cellStyle name="_방동_오항_포장_라멘교 토공" xfId="526" xr:uid="{00000000-0005-0000-0000-00000D020000}"/>
    <cellStyle name="_방동_오항_포장_라멘교 토공_00-설계서,원가계산,내역서" xfId="527" xr:uid="{00000000-0005-0000-0000-00000E020000}"/>
    <cellStyle name="_방동_원평" xfId="528" xr:uid="{00000000-0005-0000-0000-00000F020000}"/>
    <cellStyle name="_방동_원평_00-설계서,원가계산,내역서" xfId="529" xr:uid="{00000000-0005-0000-0000-000010020000}"/>
    <cellStyle name="_방동_원평_내역서-최종0223" xfId="530" xr:uid="{00000000-0005-0000-0000-000011020000}"/>
    <cellStyle name="_방동_원평_내역서-최종0223_00-설계서,원가계산,내역서" xfId="531" xr:uid="{00000000-0005-0000-0000-000012020000}"/>
    <cellStyle name="_방동_원평_내역서-최종0223_설계서-1" xfId="532" xr:uid="{00000000-0005-0000-0000-000013020000}"/>
    <cellStyle name="_방동_원평_내역서-최종0223_설계서-1_00-설계서,원가계산,내역서" xfId="533" xr:uid="{00000000-0005-0000-0000-000014020000}"/>
    <cellStyle name="_방동_원평_내역서-최종0223_진해자은수량산출서(단지내)" xfId="534" xr:uid="{00000000-0005-0000-0000-000015020000}"/>
    <cellStyle name="_방동_원평_내역서-최종0223_진해자은수량산출서(단지내)_00-설계서,원가계산,내역서" xfId="535" xr:uid="{00000000-0005-0000-0000-000016020000}"/>
    <cellStyle name="_방동_원평_내역서-최종0223_진해자은수량산출서(단지내)_기초산출표-56-128-최종" xfId="536" xr:uid="{00000000-0005-0000-0000-000017020000}"/>
    <cellStyle name="_방동_원평_내역서-최종0223_진해자은수량산출서(단지내)_기초산출표-56-128-최종_00-설계서,원가계산,내역서" xfId="537" xr:uid="{00000000-0005-0000-0000-000018020000}"/>
    <cellStyle name="_방동_원평_내역서-최종0223_진해자은수량산출서(단지내)_기초산출표-56-128-최종_설계서-1" xfId="538" xr:uid="{00000000-0005-0000-0000-000019020000}"/>
    <cellStyle name="_방동_원평_내역서-최종0223_진해자은수량산출서(단지내)_기초산출표-56-128-최종_설계서-1_00-설계서,원가계산,내역서" xfId="539" xr:uid="{00000000-0005-0000-0000-00001A020000}"/>
    <cellStyle name="_방동_원평_내역서-최종0223_진해자은수량산출서(단지내)_설계서-1" xfId="540" xr:uid="{00000000-0005-0000-0000-00001B020000}"/>
    <cellStyle name="_방동_원평_내역서-최종0223_진해자은수량산출서(단지내)_설계서-1_00-설계서,원가계산,내역서" xfId="541" xr:uid="{00000000-0005-0000-0000-00001C020000}"/>
    <cellStyle name="_방동_원평_내역서-최종0223_진해자은수량산출서(단지내)_취합" xfId="542" xr:uid="{00000000-0005-0000-0000-00001D020000}"/>
    <cellStyle name="_방동_원평_내역서-최종0223_진해자은수량산출서(단지내)_취합_00-설계서,원가계산,내역서" xfId="543" xr:uid="{00000000-0005-0000-0000-00001E020000}"/>
    <cellStyle name="_방동_원평_내역서-최종0223_진해자은수량산출서(단지내)_취합_설계서-1" xfId="544" xr:uid="{00000000-0005-0000-0000-00001F020000}"/>
    <cellStyle name="_방동_원평_내역서-최종0223_진해자은수량산출서(단지내)_취합_설계서-1_00-설계서,원가계산,내역서" xfId="545" xr:uid="{00000000-0005-0000-0000-000020020000}"/>
    <cellStyle name="_방동_원평_라멘교 토공" xfId="546" xr:uid="{00000000-0005-0000-0000-000021020000}"/>
    <cellStyle name="_방동_원평_라멘교 토공_00-설계서,원가계산,내역서" xfId="547" xr:uid="{00000000-0005-0000-0000-000022020000}"/>
    <cellStyle name="_방동_원평_설계서-1" xfId="548" xr:uid="{00000000-0005-0000-0000-000023020000}"/>
    <cellStyle name="_방동_원평_설계서-1_00-설계서,원가계산,내역서" xfId="549" xr:uid="{00000000-0005-0000-0000-000024020000}"/>
    <cellStyle name="_방동_원평_율동자연공원내 화장실 보수 및 도색공사" xfId="550" xr:uid="{00000000-0005-0000-0000-000025020000}"/>
    <cellStyle name="_방동_원평_율동자연공원내 화장실 보수 및 도색공사_00-설계서,원가계산,내역서" xfId="551" xr:uid="{00000000-0005-0000-0000-000026020000}"/>
    <cellStyle name="_방동_원평_율동자연공원내 화장실 보수 및 도색공사_내역서-최종0223" xfId="552" xr:uid="{00000000-0005-0000-0000-000027020000}"/>
    <cellStyle name="_방동_원평_율동자연공원내 화장실 보수 및 도색공사_내역서-최종0223_00-설계서,원가계산,내역서" xfId="553" xr:uid="{00000000-0005-0000-0000-000028020000}"/>
    <cellStyle name="_방동_원평_율동자연공원내 화장실 보수 및 도색공사_내역서-최종0223_설계서-1" xfId="554" xr:uid="{00000000-0005-0000-0000-000029020000}"/>
    <cellStyle name="_방동_원평_율동자연공원내 화장실 보수 및 도색공사_내역서-최종0223_설계서-1_00-설계서,원가계산,내역서" xfId="555" xr:uid="{00000000-0005-0000-0000-00002A020000}"/>
    <cellStyle name="_방동_원평_율동자연공원내 화장실 보수 및 도색공사_내역서-최종0223_진해자은수량산출서(단지내)" xfId="556" xr:uid="{00000000-0005-0000-0000-00002B020000}"/>
    <cellStyle name="_방동_원평_율동자연공원내 화장실 보수 및 도색공사_내역서-최종0223_진해자은수량산출서(단지내)_00-설계서,원가계산,내역서" xfId="557" xr:uid="{00000000-0005-0000-0000-00002C020000}"/>
    <cellStyle name="_방동_원평_율동자연공원내 화장실 보수 및 도색공사_내역서-최종0223_진해자은수량산출서(단지내)_기초산출표-56-128-최종" xfId="558" xr:uid="{00000000-0005-0000-0000-00002D020000}"/>
    <cellStyle name="_방동_원평_율동자연공원내 화장실 보수 및 도색공사_내역서-최종0223_진해자은수량산출서(단지내)_기초산출표-56-128-최종_00-설계서,원가계산,내역서" xfId="559" xr:uid="{00000000-0005-0000-0000-00002E020000}"/>
    <cellStyle name="_방동_원평_율동자연공원내 화장실 보수 및 도색공사_내역서-최종0223_진해자은수량산출서(단지내)_기초산출표-56-128-최종_설계서-1" xfId="560" xr:uid="{00000000-0005-0000-0000-00002F020000}"/>
    <cellStyle name="_방동_원평_율동자연공원내 화장실 보수 및 도색공사_내역서-최종0223_진해자은수량산출서(단지내)_기초산출표-56-128-최종_설계서-1_00-설계서,원가계산,내역서" xfId="561" xr:uid="{00000000-0005-0000-0000-000030020000}"/>
    <cellStyle name="_방동_원평_율동자연공원내 화장실 보수 및 도색공사_내역서-최종0223_진해자은수량산출서(단지내)_설계서-1" xfId="562" xr:uid="{00000000-0005-0000-0000-000031020000}"/>
    <cellStyle name="_방동_원평_율동자연공원내 화장실 보수 및 도색공사_내역서-최종0223_진해자은수량산출서(단지내)_설계서-1_00-설계서,원가계산,내역서" xfId="563" xr:uid="{00000000-0005-0000-0000-000032020000}"/>
    <cellStyle name="_방동_원평_율동자연공원내 화장실 보수 및 도색공사_내역서-최종0223_진해자은수량산출서(단지내)_취합" xfId="564" xr:uid="{00000000-0005-0000-0000-000033020000}"/>
    <cellStyle name="_방동_원평_율동자연공원내 화장실 보수 및 도색공사_내역서-최종0223_진해자은수량산출서(단지내)_취합_00-설계서,원가계산,내역서" xfId="565" xr:uid="{00000000-0005-0000-0000-000034020000}"/>
    <cellStyle name="_방동_원평_율동자연공원내 화장실 보수 및 도색공사_내역서-최종0223_진해자은수량산출서(단지내)_취합_설계서-1" xfId="566" xr:uid="{00000000-0005-0000-0000-000035020000}"/>
    <cellStyle name="_방동_원평_율동자연공원내 화장실 보수 및 도색공사_내역서-최종0223_진해자은수량산출서(단지내)_취합_설계서-1_00-설계서,원가계산,내역서" xfId="567" xr:uid="{00000000-0005-0000-0000-000036020000}"/>
    <cellStyle name="_방동_원평_율동자연공원내 화장실 보수 및 도색공사_설계서-1" xfId="568" xr:uid="{00000000-0005-0000-0000-000037020000}"/>
    <cellStyle name="_방동_원평_율동자연공원내 화장실 보수 및 도색공사_설계서-1_00-설계서,원가계산,내역서" xfId="569" xr:uid="{00000000-0005-0000-0000-000038020000}"/>
    <cellStyle name="_방동_원평_율동자연공원내 화장실 보수 및 도색공사_진해자은수량산출서(단지내)" xfId="570" xr:uid="{00000000-0005-0000-0000-000039020000}"/>
    <cellStyle name="_방동_원평_율동자연공원내 화장실 보수 및 도색공사_진해자은수량산출서(단지내)_00-설계서,원가계산,내역서" xfId="571" xr:uid="{00000000-0005-0000-0000-00003A020000}"/>
    <cellStyle name="_방동_원평_율동자연공원내 화장실 보수 및 도색공사_진해자은수량산출서(단지내)_기초산출표-56-128-최종" xfId="572" xr:uid="{00000000-0005-0000-0000-00003B020000}"/>
    <cellStyle name="_방동_원평_율동자연공원내 화장실 보수 및 도색공사_진해자은수량산출서(단지내)_기초산출표-56-128-최종_00-설계서,원가계산,내역서" xfId="573" xr:uid="{00000000-0005-0000-0000-00003C020000}"/>
    <cellStyle name="_방동_원평_율동자연공원내 화장실 보수 및 도색공사_진해자은수량산출서(단지내)_기초산출표-56-128-최종_설계서-1" xfId="574" xr:uid="{00000000-0005-0000-0000-00003D020000}"/>
    <cellStyle name="_방동_원평_율동자연공원내 화장실 보수 및 도색공사_진해자은수량산출서(단지내)_기초산출표-56-128-최종_설계서-1_00-설계서,원가계산,내역서" xfId="575" xr:uid="{00000000-0005-0000-0000-00003E020000}"/>
    <cellStyle name="_방동_원평_율동자연공원내 화장실 보수 및 도색공사_진해자은수량산출서(단지내)_설계서-1" xfId="576" xr:uid="{00000000-0005-0000-0000-00003F020000}"/>
    <cellStyle name="_방동_원평_율동자연공원내 화장실 보수 및 도색공사_진해자은수량산출서(단지내)_설계서-1_00-설계서,원가계산,내역서" xfId="577" xr:uid="{00000000-0005-0000-0000-000040020000}"/>
    <cellStyle name="_방동_원평_율동자연공원내 화장실 보수 및 도색공사_진해자은수량산출서(단지내)_취합" xfId="578" xr:uid="{00000000-0005-0000-0000-000041020000}"/>
    <cellStyle name="_방동_원평_율동자연공원내 화장실 보수 및 도색공사_진해자은수량산출서(단지내)_취합_00-설계서,원가계산,내역서" xfId="579" xr:uid="{00000000-0005-0000-0000-000042020000}"/>
    <cellStyle name="_방동_원평_율동자연공원내 화장실 보수 및 도색공사_진해자은수량산출서(단지내)_취합_설계서-1" xfId="580" xr:uid="{00000000-0005-0000-0000-000043020000}"/>
    <cellStyle name="_방동_원평_율동자연공원내 화장실 보수 및 도색공사_진해자은수량산출서(단지내)_취합_설계서-1_00-설계서,원가계산,내역서" xfId="581" xr:uid="{00000000-0005-0000-0000-000044020000}"/>
    <cellStyle name="_방동_원평_율동자연공원내 휴게편의점 도색작업-할증-천정면적추가" xfId="582" xr:uid="{00000000-0005-0000-0000-000045020000}"/>
    <cellStyle name="_방동_원평_율동자연공원내 휴게편의점 도색작업-할증-천정면적추가_00-설계서,원가계산,내역서" xfId="583" xr:uid="{00000000-0005-0000-0000-000046020000}"/>
    <cellStyle name="_방동_원평_율동자연공원내 휴게편의점 도색작업-할증-천정면적추가_내역서-최종0223" xfId="584" xr:uid="{00000000-0005-0000-0000-000047020000}"/>
    <cellStyle name="_방동_원평_율동자연공원내 휴게편의점 도색작업-할증-천정면적추가_내역서-최종0223_00-설계서,원가계산,내역서" xfId="585" xr:uid="{00000000-0005-0000-0000-000048020000}"/>
    <cellStyle name="_방동_원평_율동자연공원내 휴게편의점 도색작업-할증-천정면적추가_내역서-최종0223_설계서-1" xfId="586" xr:uid="{00000000-0005-0000-0000-000049020000}"/>
    <cellStyle name="_방동_원평_율동자연공원내 휴게편의점 도색작업-할증-천정면적추가_내역서-최종0223_설계서-1_00-설계서,원가계산,내역서" xfId="587" xr:uid="{00000000-0005-0000-0000-00004A020000}"/>
    <cellStyle name="_방동_원평_율동자연공원내 휴게편의점 도색작업-할증-천정면적추가_내역서-최종0223_진해자은수량산출서(단지내)" xfId="588" xr:uid="{00000000-0005-0000-0000-00004B020000}"/>
    <cellStyle name="_방동_원평_율동자연공원내 휴게편의점 도색작업-할증-천정면적추가_내역서-최종0223_진해자은수량산출서(단지내)_00-설계서,원가계산,내역서" xfId="589" xr:uid="{00000000-0005-0000-0000-00004C020000}"/>
    <cellStyle name="_방동_원평_율동자연공원내 휴게편의점 도색작업-할증-천정면적추가_내역서-최종0223_진해자은수량산출서(단지내)_기초산출표-56-128-최종" xfId="590" xr:uid="{00000000-0005-0000-0000-00004D020000}"/>
    <cellStyle name="_방동_원평_율동자연공원내 휴게편의점 도색작업-할증-천정면적추가_내역서-최종0223_진해자은수량산출서(단지내)_기초산출표-56-128-최종_00-설계서,원가계산,내역서" xfId="591" xr:uid="{00000000-0005-0000-0000-00004E020000}"/>
    <cellStyle name="_방동_원평_율동자연공원내 휴게편의점 도색작업-할증-천정면적추가_내역서-최종0223_진해자은수량산출서(단지내)_기초산출표-56-128-최종_설계서-1" xfId="592" xr:uid="{00000000-0005-0000-0000-00004F020000}"/>
    <cellStyle name="_방동_원평_율동자연공원내 휴게편의점 도색작업-할증-천정면적추가_내역서-최종0223_진해자은수량산출서(단지내)_기초산출표-56-128-최종_설계서-1_00-설계서,원가계산,내역서" xfId="593" xr:uid="{00000000-0005-0000-0000-000050020000}"/>
    <cellStyle name="_방동_원평_율동자연공원내 휴게편의점 도색작업-할증-천정면적추가_내역서-최종0223_진해자은수량산출서(단지내)_설계서-1" xfId="594" xr:uid="{00000000-0005-0000-0000-000051020000}"/>
    <cellStyle name="_방동_원평_율동자연공원내 휴게편의점 도색작업-할증-천정면적추가_내역서-최종0223_진해자은수량산출서(단지내)_설계서-1_00-설계서,원가계산,내역서" xfId="595" xr:uid="{00000000-0005-0000-0000-000052020000}"/>
    <cellStyle name="_방동_원평_율동자연공원내 휴게편의점 도색작업-할증-천정면적추가_내역서-최종0223_진해자은수량산출서(단지내)_취합" xfId="596" xr:uid="{00000000-0005-0000-0000-000053020000}"/>
    <cellStyle name="_방동_원평_율동자연공원내 휴게편의점 도색작업-할증-천정면적추가_내역서-최종0223_진해자은수량산출서(단지내)_취합_00-설계서,원가계산,내역서" xfId="597" xr:uid="{00000000-0005-0000-0000-000054020000}"/>
    <cellStyle name="_방동_원평_율동자연공원내 휴게편의점 도색작업-할증-천정면적추가_내역서-최종0223_진해자은수량산출서(단지내)_취합_설계서-1" xfId="598" xr:uid="{00000000-0005-0000-0000-000055020000}"/>
    <cellStyle name="_방동_원평_율동자연공원내 휴게편의점 도색작업-할증-천정면적추가_내역서-최종0223_진해자은수량산출서(단지내)_취합_설계서-1_00-설계서,원가계산,내역서" xfId="599" xr:uid="{00000000-0005-0000-0000-000056020000}"/>
    <cellStyle name="_방동_원평_율동자연공원내 휴게편의점 도색작업-할증-천정면적추가_설계서-1" xfId="600" xr:uid="{00000000-0005-0000-0000-000057020000}"/>
    <cellStyle name="_방동_원평_율동자연공원내 휴게편의점 도색작업-할증-천정면적추가_설계서-1_00-설계서,원가계산,내역서" xfId="601" xr:uid="{00000000-0005-0000-0000-000058020000}"/>
    <cellStyle name="_방동_원평_율동자연공원내 휴게편의점 도색작업-할증-천정면적추가_진해자은수량산출서(단지내)" xfId="602" xr:uid="{00000000-0005-0000-0000-000059020000}"/>
    <cellStyle name="_방동_원평_율동자연공원내 휴게편의점 도색작업-할증-천정면적추가_진해자은수량산출서(단지내)_00-설계서,원가계산,내역서" xfId="603" xr:uid="{00000000-0005-0000-0000-00005A020000}"/>
    <cellStyle name="_방동_원평_율동자연공원내 휴게편의점 도색작업-할증-천정면적추가_진해자은수량산출서(단지내)_기초산출표-56-128-최종" xfId="604" xr:uid="{00000000-0005-0000-0000-00005B020000}"/>
    <cellStyle name="_방동_원평_율동자연공원내 휴게편의점 도색작업-할증-천정면적추가_진해자은수량산출서(단지내)_기초산출표-56-128-최종_00-설계서,원가계산,내역서" xfId="605" xr:uid="{00000000-0005-0000-0000-00005C020000}"/>
    <cellStyle name="_방동_원평_율동자연공원내 휴게편의점 도색작업-할증-천정면적추가_진해자은수량산출서(단지내)_기초산출표-56-128-최종_설계서-1" xfId="606" xr:uid="{00000000-0005-0000-0000-00005D020000}"/>
    <cellStyle name="_방동_원평_율동자연공원내 휴게편의점 도색작업-할증-천정면적추가_진해자은수량산출서(단지내)_기초산출표-56-128-최종_설계서-1_00-설계서,원가계산,내역서" xfId="607" xr:uid="{00000000-0005-0000-0000-00005E020000}"/>
    <cellStyle name="_방동_원평_율동자연공원내 휴게편의점 도색작업-할증-천정면적추가_진해자은수량산출서(단지내)_설계서-1" xfId="608" xr:uid="{00000000-0005-0000-0000-00005F020000}"/>
    <cellStyle name="_방동_원평_율동자연공원내 휴게편의점 도색작업-할증-천정면적추가_진해자은수량산출서(단지내)_설계서-1_00-설계서,원가계산,내역서" xfId="609" xr:uid="{00000000-0005-0000-0000-000060020000}"/>
    <cellStyle name="_방동_원평_율동자연공원내 휴게편의점 도색작업-할증-천정면적추가_진해자은수량산출서(단지내)_취합" xfId="610" xr:uid="{00000000-0005-0000-0000-000061020000}"/>
    <cellStyle name="_방동_원평_율동자연공원내 휴게편의점 도색작업-할증-천정면적추가_진해자은수량산출서(단지내)_취합_00-설계서,원가계산,내역서" xfId="611" xr:uid="{00000000-0005-0000-0000-000062020000}"/>
    <cellStyle name="_방동_원평_율동자연공원내 휴게편의점 도색작업-할증-천정면적추가_진해자은수량산출서(단지내)_취합_설계서-1" xfId="612" xr:uid="{00000000-0005-0000-0000-000063020000}"/>
    <cellStyle name="_방동_원평_율동자연공원내 휴게편의점 도색작업-할증-천정면적추가_진해자은수량산출서(단지내)_취합_설계서-1_00-설계서,원가계산,내역서" xfId="613" xr:uid="{00000000-0005-0000-0000-000064020000}"/>
    <cellStyle name="_방동_원평_이문동구간중랑천변녹화사업(수량산출서, 071127)-최종" xfId="614" xr:uid="{00000000-0005-0000-0000-000065020000}"/>
    <cellStyle name="_방동_원평_이문동구간중랑천변녹화사업(수량산출서, 071127)-최종_00-설계서,원가계산,내역서" xfId="615" xr:uid="{00000000-0005-0000-0000-000066020000}"/>
    <cellStyle name="_방동_원평_진해자은수량산출서(단지내)" xfId="616" xr:uid="{00000000-0005-0000-0000-000067020000}"/>
    <cellStyle name="_방동_원평_진해자은수량산출서(단지내)_00-설계서,원가계산,내역서" xfId="617" xr:uid="{00000000-0005-0000-0000-000068020000}"/>
    <cellStyle name="_방동_원평_진해자은수량산출서(단지내)_기초산출표-56-128-최종" xfId="618" xr:uid="{00000000-0005-0000-0000-000069020000}"/>
    <cellStyle name="_방동_원평_진해자은수량산출서(단지내)_기초산출표-56-128-최종_00-설계서,원가계산,내역서" xfId="619" xr:uid="{00000000-0005-0000-0000-00006A020000}"/>
    <cellStyle name="_방동_원평_진해자은수량산출서(단지내)_기초산출표-56-128-최종_설계서-1" xfId="620" xr:uid="{00000000-0005-0000-0000-00006B020000}"/>
    <cellStyle name="_방동_원평_진해자은수량산출서(단지내)_기초산출표-56-128-최종_설계서-1_00-설계서,원가계산,내역서" xfId="621" xr:uid="{00000000-0005-0000-0000-00006C020000}"/>
    <cellStyle name="_방동_원평_진해자은수량산출서(단지내)_설계서-1" xfId="622" xr:uid="{00000000-0005-0000-0000-00006D020000}"/>
    <cellStyle name="_방동_원평_진해자은수량산출서(단지내)_설계서-1_00-설계서,원가계산,내역서" xfId="623" xr:uid="{00000000-0005-0000-0000-00006E020000}"/>
    <cellStyle name="_방동_원평_진해자은수량산출서(단지내)_취합" xfId="624" xr:uid="{00000000-0005-0000-0000-00006F020000}"/>
    <cellStyle name="_방동_원평_진해자은수량산출서(단지내)_취합_00-설계서,원가계산,내역서" xfId="625" xr:uid="{00000000-0005-0000-0000-000070020000}"/>
    <cellStyle name="_방동_원평_진해자은수량산출서(단지내)_취합_설계서-1" xfId="626" xr:uid="{00000000-0005-0000-0000-000071020000}"/>
    <cellStyle name="_방동_원평_진해자은수량산출서(단지내)_취합_설계서-1_00-설계서,원가계산,내역서" xfId="627" xr:uid="{00000000-0005-0000-0000-000072020000}"/>
    <cellStyle name="_방동_원평_포장" xfId="628" xr:uid="{00000000-0005-0000-0000-000073020000}"/>
    <cellStyle name="_방동_원평_포장_00-설계서,원가계산,내역서" xfId="629" xr:uid="{00000000-0005-0000-0000-000074020000}"/>
    <cellStyle name="_방동_원평_포장_라멘교 토공" xfId="630" xr:uid="{00000000-0005-0000-0000-000075020000}"/>
    <cellStyle name="_방동_원평_포장_라멘교 토공_00-설계서,원가계산,내역서" xfId="631" xr:uid="{00000000-0005-0000-0000-000076020000}"/>
    <cellStyle name="_방동_율동자연공원내 화장실 보수 및 도색공사" xfId="632" xr:uid="{00000000-0005-0000-0000-000077020000}"/>
    <cellStyle name="_방동_율동자연공원내 화장실 보수 및 도색공사_00-설계서,원가계산,내역서" xfId="633" xr:uid="{00000000-0005-0000-0000-000078020000}"/>
    <cellStyle name="_방동_율동자연공원내 화장실 보수 및 도색공사_내역서-최종0223" xfId="634" xr:uid="{00000000-0005-0000-0000-000079020000}"/>
    <cellStyle name="_방동_율동자연공원내 화장실 보수 및 도색공사_내역서-최종0223_00-설계서,원가계산,내역서" xfId="635" xr:uid="{00000000-0005-0000-0000-00007A020000}"/>
    <cellStyle name="_방동_율동자연공원내 화장실 보수 및 도색공사_내역서-최종0223_설계서-1" xfId="636" xr:uid="{00000000-0005-0000-0000-00007B020000}"/>
    <cellStyle name="_방동_율동자연공원내 화장실 보수 및 도색공사_내역서-최종0223_설계서-1_00-설계서,원가계산,내역서" xfId="637" xr:uid="{00000000-0005-0000-0000-00007C020000}"/>
    <cellStyle name="_방동_율동자연공원내 화장실 보수 및 도색공사_내역서-최종0223_진해자은수량산출서(단지내)" xfId="638" xr:uid="{00000000-0005-0000-0000-00007D020000}"/>
    <cellStyle name="_방동_율동자연공원내 화장실 보수 및 도색공사_내역서-최종0223_진해자은수량산출서(단지내)_00-설계서,원가계산,내역서" xfId="639" xr:uid="{00000000-0005-0000-0000-00007E020000}"/>
    <cellStyle name="_방동_율동자연공원내 화장실 보수 및 도색공사_내역서-최종0223_진해자은수량산출서(단지내)_기초산출표-56-128-최종" xfId="640" xr:uid="{00000000-0005-0000-0000-00007F020000}"/>
    <cellStyle name="_방동_율동자연공원내 화장실 보수 및 도색공사_내역서-최종0223_진해자은수량산출서(단지내)_기초산출표-56-128-최종_00-설계서,원가계산,내역서" xfId="641" xr:uid="{00000000-0005-0000-0000-000080020000}"/>
    <cellStyle name="_방동_율동자연공원내 화장실 보수 및 도색공사_내역서-최종0223_진해자은수량산출서(단지내)_기초산출표-56-128-최종_설계서-1" xfId="642" xr:uid="{00000000-0005-0000-0000-000081020000}"/>
    <cellStyle name="_방동_율동자연공원내 화장실 보수 및 도색공사_내역서-최종0223_진해자은수량산출서(단지내)_기초산출표-56-128-최종_설계서-1_00-설계서,원가계산,내역서" xfId="643" xr:uid="{00000000-0005-0000-0000-000082020000}"/>
    <cellStyle name="_방동_율동자연공원내 화장실 보수 및 도색공사_내역서-최종0223_진해자은수량산출서(단지내)_설계서-1" xfId="644" xr:uid="{00000000-0005-0000-0000-000083020000}"/>
    <cellStyle name="_방동_율동자연공원내 화장실 보수 및 도색공사_내역서-최종0223_진해자은수량산출서(단지내)_설계서-1_00-설계서,원가계산,내역서" xfId="645" xr:uid="{00000000-0005-0000-0000-000084020000}"/>
    <cellStyle name="_방동_율동자연공원내 화장실 보수 및 도색공사_내역서-최종0223_진해자은수량산출서(단지내)_취합" xfId="646" xr:uid="{00000000-0005-0000-0000-000085020000}"/>
    <cellStyle name="_방동_율동자연공원내 화장실 보수 및 도색공사_내역서-최종0223_진해자은수량산출서(단지내)_취합_00-설계서,원가계산,내역서" xfId="647" xr:uid="{00000000-0005-0000-0000-000086020000}"/>
    <cellStyle name="_방동_율동자연공원내 화장실 보수 및 도색공사_내역서-최종0223_진해자은수량산출서(단지내)_취합_설계서-1" xfId="648" xr:uid="{00000000-0005-0000-0000-000087020000}"/>
    <cellStyle name="_방동_율동자연공원내 화장실 보수 및 도색공사_내역서-최종0223_진해자은수량산출서(단지내)_취합_설계서-1_00-설계서,원가계산,내역서" xfId="649" xr:uid="{00000000-0005-0000-0000-000088020000}"/>
    <cellStyle name="_방동_율동자연공원내 화장실 보수 및 도색공사_설계서-1" xfId="650" xr:uid="{00000000-0005-0000-0000-000089020000}"/>
    <cellStyle name="_방동_율동자연공원내 화장실 보수 및 도색공사_설계서-1_00-설계서,원가계산,내역서" xfId="651" xr:uid="{00000000-0005-0000-0000-00008A020000}"/>
    <cellStyle name="_방동_율동자연공원내 화장실 보수 및 도색공사_진해자은수량산출서(단지내)" xfId="652" xr:uid="{00000000-0005-0000-0000-00008B020000}"/>
    <cellStyle name="_방동_율동자연공원내 화장실 보수 및 도색공사_진해자은수량산출서(단지내)_00-설계서,원가계산,내역서" xfId="653" xr:uid="{00000000-0005-0000-0000-00008C020000}"/>
    <cellStyle name="_방동_율동자연공원내 화장실 보수 및 도색공사_진해자은수량산출서(단지내)_기초산출표-56-128-최종" xfId="654" xr:uid="{00000000-0005-0000-0000-00008D020000}"/>
    <cellStyle name="_방동_율동자연공원내 화장실 보수 및 도색공사_진해자은수량산출서(단지내)_기초산출표-56-128-최종_00-설계서,원가계산,내역서" xfId="655" xr:uid="{00000000-0005-0000-0000-00008E020000}"/>
    <cellStyle name="_방동_율동자연공원내 화장실 보수 및 도색공사_진해자은수량산출서(단지내)_기초산출표-56-128-최종_설계서-1" xfId="656" xr:uid="{00000000-0005-0000-0000-00008F020000}"/>
    <cellStyle name="_방동_율동자연공원내 화장실 보수 및 도색공사_진해자은수량산출서(단지내)_기초산출표-56-128-최종_설계서-1_00-설계서,원가계산,내역서" xfId="657" xr:uid="{00000000-0005-0000-0000-000090020000}"/>
    <cellStyle name="_방동_율동자연공원내 화장실 보수 및 도색공사_진해자은수량산출서(단지내)_설계서-1" xfId="658" xr:uid="{00000000-0005-0000-0000-000091020000}"/>
    <cellStyle name="_방동_율동자연공원내 화장실 보수 및 도색공사_진해자은수량산출서(단지내)_설계서-1_00-설계서,원가계산,내역서" xfId="659" xr:uid="{00000000-0005-0000-0000-000092020000}"/>
    <cellStyle name="_방동_율동자연공원내 화장실 보수 및 도색공사_진해자은수량산출서(단지내)_취합" xfId="660" xr:uid="{00000000-0005-0000-0000-000093020000}"/>
    <cellStyle name="_방동_율동자연공원내 화장실 보수 및 도색공사_진해자은수량산출서(단지내)_취합_00-설계서,원가계산,내역서" xfId="661" xr:uid="{00000000-0005-0000-0000-000094020000}"/>
    <cellStyle name="_방동_율동자연공원내 화장실 보수 및 도색공사_진해자은수량산출서(단지내)_취합_설계서-1" xfId="662" xr:uid="{00000000-0005-0000-0000-000095020000}"/>
    <cellStyle name="_방동_율동자연공원내 화장실 보수 및 도색공사_진해자은수량산출서(단지내)_취합_설계서-1_00-설계서,원가계산,내역서" xfId="663" xr:uid="{00000000-0005-0000-0000-000096020000}"/>
    <cellStyle name="_방동_율동자연공원내 휴게편의점 도색작업-할증-천정면적추가" xfId="664" xr:uid="{00000000-0005-0000-0000-000097020000}"/>
    <cellStyle name="_방동_율동자연공원내 휴게편의점 도색작업-할증-천정면적추가_00-설계서,원가계산,내역서" xfId="665" xr:uid="{00000000-0005-0000-0000-000098020000}"/>
    <cellStyle name="_방동_율동자연공원내 휴게편의점 도색작업-할증-천정면적추가_내역서-최종0223" xfId="666" xr:uid="{00000000-0005-0000-0000-000099020000}"/>
    <cellStyle name="_방동_율동자연공원내 휴게편의점 도색작업-할증-천정면적추가_내역서-최종0223_00-설계서,원가계산,내역서" xfId="667" xr:uid="{00000000-0005-0000-0000-00009A020000}"/>
    <cellStyle name="_방동_율동자연공원내 휴게편의점 도색작업-할증-천정면적추가_내역서-최종0223_설계서-1" xfId="668" xr:uid="{00000000-0005-0000-0000-00009B020000}"/>
    <cellStyle name="_방동_율동자연공원내 휴게편의점 도색작업-할증-천정면적추가_내역서-최종0223_설계서-1_00-설계서,원가계산,내역서" xfId="669" xr:uid="{00000000-0005-0000-0000-00009C020000}"/>
    <cellStyle name="_방동_율동자연공원내 휴게편의점 도색작업-할증-천정면적추가_내역서-최종0223_진해자은수량산출서(단지내)" xfId="670" xr:uid="{00000000-0005-0000-0000-00009D020000}"/>
    <cellStyle name="_방동_율동자연공원내 휴게편의점 도색작업-할증-천정면적추가_내역서-최종0223_진해자은수량산출서(단지내)_00-설계서,원가계산,내역서" xfId="671" xr:uid="{00000000-0005-0000-0000-00009E020000}"/>
    <cellStyle name="_방동_율동자연공원내 휴게편의점 도색작업-할증-천정면적추가_내역서-최종0223_진해자은수량산출서(단지내)_기초산출표-56-128-최종" xfId="672" xr:uid="{00000000-0005-0000-0000-00009F020000}"/>
    <cellStyle name="_방동_율동자연공원내 휴게편의점 도색작업-할증-천정면적추가_내역서-최종0223_진해자은수량산출서(단지내)_기초산출표-56-128-최종_00-설계서,원가계산,내역서" xfId="673" xr:uid="{00000000-0005-0000-0000-0000A0020000}"/>
    <cellStyle name="_방동_율동자연공원내 휴게편의점 도색작업-할증-천정면적추가_내역서-최종0223_진해자은수량산출서(단지내)_기초산출표-56-128-최종_설계서-1" xfId="674" xr:uid="{00000000-0005-0000-0000-0000A1020000}"/>
    <cellStyle name="_방동_율동자연공원내 휴게편의점 도색작업-할증-천정면적추가_내역서-최종0223_진해자은수량산출서(단지내)_기초산출표-56-128-최종_설계서-1_00-설계서,원가계산,내역서" xfId="675" xr:uid="{00000000-0005-0000-0000-0000A2020000}"/>
    <cellStyle name="_방동_율동자연공원내 휴게편의점 도색작업-할증-천정면적추가_내역서-최종0223_진해자은수량산출서(단지내)_설계서-1" xfId="676" xr:uid="{00000000-0005-0000-0000-0000A3020000}"/>
    <cellStyle name="_방동_율동자연공원내 휴게편의점 도색작업-할증-천정면적추가_내역서-최종0223_진해자은수량산출서(단지내)_설계서-1_00-설계서,원가계산,내역서" xfId="677" xr:uid="{00000000-0005-0000-0000-0000A4020000}"/>
    <cellStyle name="_방동_율동자연공원내 휴게편의점 도색작업-할증-천정면적추가_내역서-최종0223_진해자은수량산출서(단지내)_취합" xfId="678" xr:uid="{00000000-0005-0000-0000-0000A5020000}"/>
    <cellStyle name="_방동_율동자연공원내 휴게편의점 도색작업-할증-천정면적추가_내역서-최종0223_진해자은수량산출서(단지내)_취합_00-설계서,원가계산,내역서" xfId="679" xr:uid="{00000000-0005-0000-0000-0000A6020000}"/>
    <cellStyle name="_방동_율동자연공원내 휴게편의점 도색작업-할증-천정면적추가_내역서-최종0223_진해자은수량산출서(단지내)_취합_설계서-1" xfId="680" xr:uid="{00000000-0005-0000-0000-0000A7020000}"/>
    <cellStyle name="_방동_율동자연공원내 휴게편의점 도색작업-할증-천정면적추가_내역서-최종0223_진해자은수량산출서(단지내)_취합_설계서-1_00-설계서,원가계산,내역서" xfId="681" xr:uid="{00000000-0005-0000-0000-0000A8020000}"/>
    <cellStyle name="_방동_율동자연공원내 휴게편의점 도색작업-할증-천정면적추가_설계서-1" xfId="682" xr:uid="{00000000-0005-0000-0000-0000A9020000}"/>
    <cellStyle name="_방동_율동자연공원내 휴게편의점 도색작업-할증-천정면적추가_설계서-1_00-설계서,원가계산,내역서" xfId="683" xr:uid="{00000000-0005-0000-0000-0000AA020000}"/>
    <cellStyle name="_방동_율동자연공원내 휴게편의점 도색작업-할증-천정면적추가_진해자은수량산출서(단지내)" xfId="684" xr:uid="{00000000-0005-0000-0000-0000AB020000}"/>
    <cellStyle name="_방동_율동자연공원내 휴게편의점 도색작업-할증-천정면적추가_진해자은수량산출서(단지내)_00-설계서,원가계산,내역서" xfId="685" xr:uid="{00000000-0005-0000-0000-0000AC020000}"/>
    <cellStyle name="_방동_율동자연공원내 휴게편의점 도색작업-할증-천정면적추가_진해자은수량산출서(단지내)_기초산출표-56-128-최종" xfId="686" xr:uid="{00000000-0005-0000-0000-0000AD020000}"/>
    <cellStyle name="_방동_율동자연공원내 휴게편의점 도색작업-할증-천정면적추가_진해자은수량산출서(단지내)_기초산출표-56-128-최종_00-설계서,원가계산,내역서" xfId="687" xr:uid="{00000000-0005-0000-0000-0000AE020000}"/>
    <cellStyle name="_방동_율동자연공원내 휴게편의점 도색작업-할증-천정면적추가_진해자은수량산출서(단지내)_기초산출표-56-128-최종_설계서-1" xfId="688" xr:uid="{00000000-0005-0000-0000-0000AF020000}"/>
    <cellStyle name="_방동_율동자연공원내 휴게편의점 도색작업-할증-천정면적추가_진해자은수량산출서(단지내)_기초산출표-56-128-최종_설계서-1_00-설계서,원가계산,내역서" xfId="689" xr:uid="{00000000-0005-0000-0000-0000B0020000}"/>
    <cellStyle name="_방동_율동자연공원내 휴게편의점 도색작업-할증-천정면적추가_진해자은수량산출서(단지내)_설계서-1" xfId="690" xr:uid="{00000000-0005-0000-0000-0000B1020000}"/>
    <cellStyle name="_방동_율동자연공원내 휴게편의점 도색작업-할증-천정면적추가_진해자은수량산출서(단지내)_설계서-1_00-설계서,원가계산,내역서" xfId="691" xr:uid="{00000000-0005-0000-0000-0000B2020000}"/>
    <cellStyle name="_방동_율동자연공원내 휴게편의점 도색작업-할증-천정면적추가_진해자은수량산출서(단지내)_취합" xfId="692" xr:uid="{00000000-0005-0000-0000-0000B3020000}"/>
    <cellStyle name="_방동_율동자연공원내 휴게편의점 도색작업-할증-천정면적추가_진해자은수량산출서(단지내)_취합_00-설계서,원가계산,내역서" xfId="693" xr:uid="{00000000-0005-0000-0000-0000B4020000}"/>
    <cellStyle name="_방동_율동자연공원내 휴게편의점 도색작업-할증-천정면적추가_진해자은수량산출서(단지내)_취합_설계서-1" xfId="694" xr:uid="{00000000-0005-0000-0000-0000B5020000}"/>
    <cellStyle name="_방동_율동자연공원내 휴게편의점 도색작업-할증-천정면적추가_진해자은수량산출서(단지내)_취합_설계서-1_00-설계서,원가계산,내역서" xfId="695" xr:uid="{00000000-0005-0000-0000-0000B6020000}"/>
    <cellStyle name="_방동_이문동구간중랑천변녹화사업(수량산출서, 071127)-최종" xfId="696" xr:uid="{00000000-0005-0000-0000-0000B7020000}"/>
    <cellStyle name="_방동_이문동구간중랑천변녹화사업(수량산출서, 071127)-최종_00-설계서,원가계산,내역서" xfId="697" xr:uid="{00000000-0005-0000-0000-0000B8020000}"/>
    <cellStyle name="_방동_진해자은수량산출서(단지내)" xfId="698" xr:uid="{00000000-0005-0000-0000-0000B9020000}"/>
    <cellStyle name="_방동_진해자은수량산출서(단지내)_00-설계서,원가계산,내역서" xfId="699" xr:uid="{00000000-0005-0000-0000-0000BA020000}"/>
    <cellStyle name="_방동_진해자은수량산출서(단지내)_기초산출표-56-128-최종" xfId="700" xr:uid="{00000000-0005-0000-0000-0000BB020000}"/>
    <cellStyle name="_방동_진해자은수량산출서(단지내)_기초산출표-56-128-최종_00-설계서,원가계산,내역서" xfId="701" xr:uid="{00000000-0005-0000-0000-0000BC020000}"/>
    <cellStyle name="_방동_진해자은수량산출서(단지내)_기초산출표-56-128-최종_설계서-1" xfId="702" xr:uid="{00000000-0005-0000-0000-0000BD020000}"/>
    <cellStyle name="_방동_진해자은수량산출서(단지내)_기초산출표-56-128-최종_설계서-1_00-설계서,원가계산,내역서" xfId="703" xr:uid="{00000000-0005-0000-0000-0000BE020000}"/>
    <cellStyle name="_방동_진해자은수량산출서(단지내)_설계서-1" xfId="704" xr:uid="{00000000-0005-0000-0000-0000BF020000}"/>
    <cellStyle name="_방동_진해자은수량산출서(단지내)_설계서-1_00-설계서,원가계산,내역서" xfId="705" xr:uid="{00000000-0005-0000-0000-0000C0020000}"/>
    <cellStyle name="_방동_진해자은수량산출서(단지내)_취합" xfId="706" xr:uid="{00000000-0005-0000-0000-0000C1020000}"/>
    <cellStyle name="_방동_진해자은수량산출서(단지내)_취합_00-설계서,원가계산,내역서" xfId="707" xr:uid="{00000000-0005-0000-0000-0000C2020000}"/>
    <cellStyle name="_방동_진해자은수량산출서(단지내)_취합_설계서-1" xfId="708" xr:uid="{00000000-0005-0000-0000-0000C3020000}"/>
    <cellStyle name="_방동_진해자은수량산출서(단지내)_취합_설계서-1_00-설계서,원가계산,내역서" xfId="709" xr:uid="{00000000-0005-0000-0000-0000C4020000}"/>
    <cellStyle name="_방동_추곡" xfId="710" xr:uid="{00000000-0005-0000-0000-0000C5020000}"/>
    <cellStyle name="_방동_추곡_00-설계서,원가계산,내역서" xfId="711" xr:uid="{00000000-0005-0000-0000-0000C6020000}"/>
    <cellStyle name="_방동_추곡_내역서-최종0223" xfId="712" xr:uid="{00000000-0005-0000-0000-0000C7020000}"/>
    <cellStyle name="_방동_추곡_내역서-최종0223_00-설계서,원가계산,내역서" xfId="713" xr:uid="{00000000-0005-0000-0000-0000C8020000}"/>
    <cellStyle name="_방동_추곡_내역서-최종0223_설계서-1" xfId="714" xr:uid="{00000000-0005-0000-0000-0000C9020000}"/>
    <cellStyle name="_방동_추곡_내역서-최종0223_설계서-1_00-설계서,원가계산,내역서" xfId="715" xr:uid="{00000000-0005-0000-0000-0000CA020000}"/>
    <cellStyle name="_방동_추곡_내역서-최종0223_진해자은수량산출서(단지내)" xfId="716" xr:uid="{00000000-0005-0000-0000-0000CB020000}"/>
    <cellStyle name="_방동_추곡_내역서-최종0223_진해자은수량산출서(단지내)_00-설계서,원가계산,내역서" xfId="717" xr:uid="{00000000-0005-0000-0000-0000CC020000}"/>
    <cellStyle name="_방동_추곡_내역서-최종0223_진해자은수량산출서(단지내)_기초산출표-56-128-최종" xfId="718" xr:uid="{00000000-0005-0000-0000-0000CD020000}"/>
    <cellStyle name="_방동_추곡_내역서-최종0223_진해자은수량산출서(단지내)_기초산출표-56-128-최종_00-설계서,원가계산,내역서" xfId="719" xr:uid="{00000000-0005-0000-0000-0000CE020000}"/>
    <cellStyle name="_방동_추곡_내역서-최종0223_진해자은수량산출서(단지내)_기초산출표-56-128-최종_설계서-1" xfId="720" xr:uid="{00000000-0005-0000-0000-0000CF020000}"/>
    <cellStyle name="_방동_추곡_내역서-최종0223_진해자은수량산출서(단지내)_기초산출표-56-128-최종_설계서-1_00-설계서,원가계산,내역서" xfId="721" xr:uid="{00000000-0005-0000-0000-0000D0020000}"/>
    <cellStyle name="_방동_추곡_내역서-최종0223_진해자은수량산출서(단지내)_설계서-1" xfId="722" xr:uid="{00000000-0005-0000-0000-0000D1020000}"/>
    <cellStyle name="_방동_추곡_내역서-최종0223_진해자은수량산출서(단지내)_설계서-1_00-설계서,원가계산,내역서" xfId="723" xr:uid="{00000000-0005-0000-0000-0000D2020000}"/>
    <cellStyle name="_방동_추곡_내역서-최종0223_진해자은수량산출서(단지내)_취합" xfId="724" xr:uid="{00000000-0005-0000-0000-0000D3020000}"/>
    <cellStyle name="_방동_추곡_내역서-최종0223_진해자은수량산출서(단지내)_취합_00-설계서,원가계산,내역서" xfId="725" xr:uid="{00000000-0005-0000-0000-0000D4020000}"/>
    <cellStyle name="_방동_추곡_내역서-최종0223_진해자은수량산출서(단지내)_취합_설계서-1" xfId="726" xr:uid="{00000000-0005-0000-0000-0000D5020000}"/>
    <cellStyle name="_방동_추곡_내역서-최종0223_진해자은수량산출서(단지내)_취합_설계서-1_00-설계서,원가계산,내역서" xfId="727" xr:uid="{00000000-0005-0000-0000-0000D6020000}"/>
    <cellStyle name="_방동_추곡_라멘교 토공" xfId="728" xr:uid="{00000000-0005-0000-0000-0000D7020000}"/>
    <cellStyle name="_방동_추곡_라멘교 토공_00-설계서,원가계산,내역서" xfId="729" xr:uid="{00000000-0005-0000-0000-0000D8020000}"/>
    <cellStyle name="_방동_추곡_설계서-1" xfId="730" xr:uid="{00000000-0005-0000-0000-0000D9020000}"/>
    <cellStyle name="_방동_추곡_설계서-1_00-설계서,원가계산,내역서" xfId="731" xr:uid="{00000000-0005-0000-0000-0000DA020000}"/>
    <cellStyle name="_방동_추곡_율동자연공원내 화장실 보수 및 도색공사" xfId="732" xr:uid="{00000000-0005-0000-0000-0000DB020000}"/>
    <cellStyle name="_방동_추곡_율동자연공원내 화장실 보수 및 도색공사_00-설계서,원가계산,내역서" xfId="733" xr:uid="{00000000-0005-0000-0000-0000DC020000}"/>
    <cellStyle name="_방동_추곡_율동자연공원내 화장실 보수 및 도색공사_내역서-최종0223" xfId="734" xr:uid="{00000000-0005-0000-0000-0000DD020000}"/>
    <cellStyle name="_방동_추곡_율동자연공원내 화장실 보수 및 도색공사_내역서-최종0223_00-설계서,원가계산,내역서" xfId="735" xr:uid="{00000000-0005-0000-0000-0000DE020000}"/>
    <cellStyle name="_방동_추곡_율동자연공원내 화장실 보수 및 도색공사_내역서-최종0223_설계서-1" xfId="736" xr:uid="{00000000-0005-0000-0000-0000DF020000}"/>
    <cellStyle name="_방동_추곡_율동자연공원내 화장실 보수 및 도색공사_내역서-최종0223_설계서-1_00-설계서,원가계산,내역서" xfId="737" xr:uid="{00000000-0005-0000-0000-0000E0020000}"/>
    <cellStyle name="_방동_추곡_율동자연공원내 화장실 보수 및 도색공사_내역서-최종0223_진해자은수량산출서(단지내)" xfId="738" xr:uid="{00000000-0005-0000-0000-0000E1020000}"/>
    <cellStyle name="_방동_추곡_율동자연공원내 화장실 보수 및 도색공사_내역서-최종0223_진해자은수량산출서(단지내)_00-설계서,원가계산,내역서" xfId="739" xr:uid="{00000000-0005-0000-0000-0000E2020000}"/>
    <cellStyle name="_방동_추곡_율동자연공원내 화장실 보수 및 도색공사_내역서-최종0223_진해자은수량산출서(단지내)_기초산출표-56-128-최종" xfId="740" xr:uid="{00000000-0005-0000-0000-0000E3020000}"/>
    <cellStyle name="_방동_추곡_율동자연공원내 화장실 보수 및 도색공사_내역서-최종0223_진해자은수량산출서(단지내)_기초산출표-56-128-최종_00-설계서,원가계산,내역서" xfId="741" xr:uid="{00000000-0005-0000-0000-0000E4020000}"/>
    <cellStyle name="_방동_추곡_율동자연공원내 화장실 보수 및 도색공사_내역서-최종0223_진해자은수량산출서(단지내)_기초산출표-56-128-최종_설계서-1" xfId="742" xr:uid="{00000000-0005-0000-0000-0000E5020000}"/>
    <cellStyle name="_방동_추곡_율동자연공원내 화장실 보수 및 도색공사_내역서-최종0223_진해자은수량산출서(단지내)_기초산출표-56-128-최종_설계서-1_00-설계서,원가계산,내역서" xfId="743" xr:uid="{00000000-0005-0000-0000-0000E6020000}"/>
    <cellStyle name="_방동_추곡_율동자연공원내 화장실 보수 및 도색공사_내역서-최종0223_진해자은수량산출서(단지내)_설계서-1" xfId="744" xr:uid="{00000000-0005-0000-0000-0000E7020000}"/>
    <cellStyle name="_방동_추곡_율동자연공원내 화장실 보수 및 도색공사_내역서-최종0223_진해자은수량산출서(단지내)_설계서-1_00-설계서,원가계산,내역서" xfId="745" xr:uid="{00000000-0005-0000-0000-0000E8020000}"/>
    <cellStyle name="_방동_추곡_율동자연공원내 화장실 보수 및 도색공사_내역서-최종0223_진해자은수량산출서(단지내)_취합" xfId="746" xr:uid="{00000000-0005-0000-0000-0000E9020000}"/>
    <cellStyle name="_방동_추곡_율동자연공원내 화장실 보수 및 도색공사_내역서-최종0223_진해자은수량산출서(단지내)_취합_00-설계서,원가계산,내역서" xfId="747" xr:uid="{00000000-0005-0000-0000-0000EA020000}"/>
    <cellStyle name="_방동_추곡_율동자연공원내 화장실 보수 및 도색공사_내역서-최종0223_진해자은수량산출서(단지내)_취합_설계서-1" xfId="748" xr:uid="{00000000-0005-0000-0000-0000EB020000}"/>
    <cellStyle name="_방동_추곡_율동자연공원내 화장실 보수 및 도색공사_내역서-최종0223_진해자은수량산출서(단지내)_취합_설계서-1_00-설계서,원가계산,내역서" xfId="749" xr:uid="{00000000-0005-0000-0000-0000EC020000}"/>
    <cellStyle name="_방동_추곡_율동자연공원내 화장실 보수 및 도색공사_설계서-1" xfId="750" xr:uid="{00000000-0005-0000-0000-0000ED020000}"/>
    <cellStyle name="_방동_추곡_율동자연공원내 화장실 보수 및 도색공사_설계서-1_00-설계서,원가계산,내역서" xfId="751" xr:uid="{00000000-0005-0000-0000-0000EE020000}"/>
    <cellStyle name="_방동_추곡_율동자연공원내 화장실 보수 및 도색공사_진해자은수량산출서(단지내)" xfId="752" xr:uid="{00000000-0005-0000-0000-0000EF020000}"/>
    <cellStyle name="_방동_추곡_율동자연공원내 화장실 보수 및 도색공사_진해자은수량산출서(단지내)_00-설계서,원가계산,내역서" xfId="753" xr:uid="{00000000-0005-0000-0000-0000F0020000}"/>
    <cellStyle name="_방동_추곡_율동자연공원내 화장실 보수 및 도색공사_진해자은수량산출서(단지내)_기초산출표-56-128-최종" xfId="754" xr:uid="{00000000-0005-0000-0000-0000F1020000}"/>
    <cellStyle name="_방동_추곡_율동자연공원내 화장실 보수 및 도색공사_진해자은수량산출서(단지내)_기초산출표-56-128-최종_00-설계서,원가계산,내역서" xfId="755" xr:uid="{00000000-0005-0000-0000-0000F2020000}"/>
    <cellStyle name="_방동_추곡_율동자연공원내 화장실 보수 및 도색공사_진해자은수량산출서(단지내)_기초산출표-56-128-최종_설계서-1" xfId="756" xr:uid="{00000000-0005-0000-0000-0000F3020000}"/>
    <cellStyle name="_방동_추곡_율동자연공원내 화장실 보수 및 도색공사_진해자은수량산출서(단지내)_기초산출표-56-128-최종_설계서-1_00-설계서,원가계산,내역서" xfId="757" xr:uid="{00000000-0005-0000-0000-0000F4020000}"/>
    <cellStyle name="_방동_추곡_율동자연공원내 화장실 보수 및 도색공사_진해자은수량산출서(단지내)_설계서-1" xfId="758" xr:uid="{00000000-0005-0000-0000-0000F5020000}"/>
    <cellStyle name="_방동_추곡_율동자연공원내 화장실 보수 및 도색공사_진해자은수량산출서(단지내)_설계서-1_00-설계서,원가계산,내역서" xfId="759" xr:uid="{00000000-0005-0000-0000-0000F6020000}"/>
    <cellStyle name="_방동_추곡_율동자연공원내 화장실 보수 및 도색공사_진해자은수량산출서(단지내)_취합" xfId="760" xr:uid="{00000000-0005-0000-0000-0000F7020000}"/>
    <cellStyle name="_방동_추곡_율동자연공원내 화장실 보수 및 도색공사_진해자은수량산출서(단지내)_취합_00-설계서,원가계산,내역서" xfId="761" xr:uid="{00000000-0005-0000-0000-0000F8020000}"/>
    <cellStyle name="_방동_추곡_율동자연공원내 화장실 보수 및 도색공사_진해자은수량산출서(단지내)_취합_설계서-1" xfId="762" xr:uid="{00000000-0005-0000-0000-0000F9020000}"/>
    <cellStyle name="_방동_추곡_율동자연공원내 화장실 보수 및 도색공사_진해자은수량산출서(단지내)_취합_설계서-1_00-설계서,원가계산,내역서" xfId="763" xr:uid="{00000000-0005-0000-0000-0000FA020000}"/>
    <cellStyle name="_방동_추곡_율동자연공원내 휴게편의점 도색작업-할증-천정면적추가" xfId="764" xr:uid="{00000000-0005-0000-0000-0000FB020000}"/>
    <cellStyle name="_방동_추곡_율동자연공원내 휴게편의점 도색작업-할증-천정면적추가_00-설계서,원가계산,내역서" xfId="765" xr:uid="{00000000-0005-0000-0000-0000FC020000}"/>
    <cellStyle name="_방동_추곡_율동자연공원내 휴게편의점 도색작업-할증-천정면적추가_내역서-최종0223" xfId="766" xr:uid="{00000000-0005-0000-0000-0000FD020000}"/>
    <cellStyle name="_방동_추곡_율동자연공원내 휴게편의점 도색작업-할증-천정면적추가_내역서-최종0223_00-설계서,원가계산,내역서" xfId="767" xr:uid="{00000000-0005-0000-0000-0000FE020000}"/>
    <cellStyle name="_방동_추곡_율동자연공원내 휴게편의점 도색작업-할증-천정면적추가_내역서-최종0223_설계서-1" xfId="768" xr:uid="{00000000-0005-0000-0000-0000FF020000}"/>
    <cellStyle name="_방동_추곡_율동자연공원내 휴게편의점 도색작업-할증-천정면적추가_내역서-최종0223_설계서-1_00-설계서,원가계산,내역서" xfId="769" xr:uid="{00000000-0005-0000-0000-000000030000}"/>
    <cellStyle name="_방동_추곡_율동자연공원내 휴게편의점 도색작업-할증-천정면적추가_내역서-최종0223_진해자은수량산출서(단지내)" xfId="770" xr:uid="{00000000-0005-0000-0000-000001030000}"/>
    <cellStyle name="_방동_추곡_율동자연공원내 휴게편의점 도색작업-할증-천정면적추가_내역서-최종0223_진해자은수량산출서(단지내)_00-설계서,원가계산,내역서" xfId="771" xr:uid="{00000000-0005-0000-0000-000002030000}"/>
    <cellStyle name="_방동_추곡_율동자연공원내 휴게편의점 도색작업-할증-천정면적추가_내역서-최종0223_진해자은수량산출서(단지내)_기초산출표-56-128-최종" xfId="772" xr:uid="{00000000-0005-0000-0000-000003030000}"/>
    <cellStyle name="_방동_추곡_율동자연공원내 휴게편의점 도색작업-할증-천정면적추가_내역서-최종0223_진해자은수량산출서(단지내)_기초산출표-56-128-최종_00-설계서,원가계산,내역서" xfId="773" xr:uid="{00000000-0005-0000-0000-000004030000}"/>
    <cellStyle name="_방동_추곡_율동자연공원내 휴게편의점 도색작업-할증-천정면적추가_내역서-최종0223_진해자은수량산출서(단지내)_기초산출표-56-128-최종_설계서-1" xfId="774" xr:uid="{00000000-0005-0000-0000-000005030000}"/>
    <cellStyle name="_방동_추곡_율동자연공원내 휴게편의점 도색작업-할증-천정면적추가_내역서-최종0223_진해자은수량산출서(단지내)_기초산출표-56-128-최종_설계서-1_00-설계서,원가계산,내역서" xfId="775" xr:uid="{00000000-0005-0000-0000-000006030000}"/>
    <cellStyle name="_방동_추곡_율동자연공원내 휴게편의점 도색작업-할증-천정면적추가_내역서-최종0223_진해자은수량산출서(단지내)_설계서-1" xfId="776" xr:uid="{00000000-0005-0000-0000-000007030000}"/>
    <cellStyle name="_방동_추곡_율동자연공원내 휴게편의점 도색작업-할증-천정면적추가_내역서-최종0223_진해자은수량산출서(단지내)_설계서-1_00-설계서,원가계산,내역서" xfId="777" xr:uid="{00000000-0005-0000-0000-000008030000}"/>
    <cellStyle name="_방동_추곡_율동자연공원내 휴게편의점 도색작업-할증-천정면적추가_내역서-최종0223_진해자은수량산출서(단지내)_취합" xfId="778" xr:uid="{00000000-0005-0000-0000-000009030000}"/>
    <cellStyle name="_방동_추곡_율동자연공원내 휴게편의점 도색작업-할증-천정면적추가_내역서-최종0223_진해자은수량산출서(단지내)_취합_00-설계서,원가계산,내역서" xfId="779" xr:uid="{00000000-0005-0000-0000-00000A030000}"/>
    <cellStyle name="_방동_추곡_율동자연공원내 휴게편의점 도색작업-할증-천정면적추가_내역서-최종0223_진해자은수량산출서(단지내)_취합_설계서-1" xfId="780" xr:uid="{00000000-0005-0000-0000-00000B030000}"/>
    <cellStyle name="_방동_추곡_율동자연공원내 휴게편의점 도색작업-할증-천정면적추가_내역서-최종0223_진해자은수량산출서(단지내)_취합_설계서-1_00-설계서,원가계산,내역서" xfId="781" xr:uid="{00000000-0005-0000-0000-00000C030000}"/>
    <cellStyle name="_방동_추곡_율동자연공원내 휴게편의점 도색작업-할증-천정면적추가_설계서-1" xfId="782" xr:uid="{00000000-0005-0000-0000-00000D030000}"/>
    <cellStyle name="_방동_추곡_율동자연공원내 휴게편의점 도색작업-할증-천정면적추가_설계서-1_00-설계서,원가계산,내역서" xfId="783" xr:uid="{00000000-0005-0000-0000-00000E030000}"/>
    <cellStyle name="_방동_추곡_율동자연공원내 휴게편의점 도색작업-할증-천정면적추가_진해자은수량산출서(단지내)" xfId="784" xr:uid="{00000000-0005-0000-0000-00000F030000}"/>
    <cellStyle name="_방동_추곡_율동자연공원내 휴게편의점 도색작업-할증-천정면적추가_진해자은수량산출서(단지내)_00-설계서,원가계산,내역서" xfId="785" xr:uid="{00000000-0005-0000-0000-000010030000}"/>
    <cellStyle name="_방동_추곡_율동자연공원내 휴게편의점 도색작업-할증-천정면적추가_진해자은수량산출서(단지내)_기초산출표-56-128-최종" xfId="786" xr:uid="{00000000-0005-0000-0000-000011030000}"/>
    <cellStyle name="_방동_추곡_율동자연공원내 휴게편의점 도색작업-할증-천정면적추가_진해자은수량산출서(단지내)_기초산출표-56-128-최종_00-설계서,원가계산,내역서" xfId="787" xr:uid="{00000000-0005-0000-0000-000012030000}"/>
    <cellStyle name="_방동_추곡_율동자연공원내 휴게편의점 도색작업-할증-천정면적추가_진해자은수량산출서(단지내)_기초산출표-56-128-최종_설계서-1" xfId="788" xr:uid="{00000000-0005-0000-0000-000013030000}"/>
    <cellStyle name="_방동_추곡_율동자연공원내 휴게편의점 도색작업-할증-천정면적추가_진해자은수량산출서(단지내)_기초산출표-56-128-최종_설계서-1_00-설계서,원가계산,내역서" xfId="789" xr:uid="{00000000-0005-0000-0000-000014030000}"/>
    <cellStyle name="_방동_추곡_율동자연공원내 휴게편의점 도색작업-할증-천정면적추가_진해자은수량산출서(단지내)_설계서-1" xfId="790" xr:uid="{00000000-0005-0000-0000-000015030000}"/>
    <cellStyle name="_방동_추곡_율동자연공원내 휴게편의점 도색작업-할증-천정면적추가_진해자은수량산출서(단지내)_설계서-1_00-설계서,원가계산,내역서" xfId="791" xr:uid="{00000000-0005-0000-0000-000016030000}"/>
    <cellStyle name="_방동_추곡_율동자연공원내 휴게편의점 도색작업-할증-천정면적추가_진해자은수량산출서(단지내)_취합" xfId="792" xr:uid="{00000000-0005-0000-0000-000017030000}"/>
    <cellStyle name="_방동_추곡_율동자연공원내 휴게편의점 도색작업-할증-천정면적추가_진해자은수량산출서(단지내)_취합_00-설계서,원가계산,내역서" xfId="793" xr:uid="{00000000-0005-0000-0000-000018030000}"/>
    <cellStyle name="_방동_추곡_율동자연공원내 휴게편의점 도색작업-할증-천정면적추가_진해자은수량산출서(단지내)_취합_설계서-1" xfId="794" xr:uid="{00000000-0005-0000-0000-000019030000}"/>
    <cellStyle name="_방동_추곡_율동자연공원내 휴게편의점 도색작업-할증-천정면적추가_진해자은수량산출서(단지내)_취합_설계서-1_00-설계서,원가계산,내역서" xfId="795" xr:uid="{00000000-0005-0000-0000-00001A030000}"/>
    <cellStyle name="_방동_추곡_이문동구간중랑천변녹화사업(수량산출서, 071127)-최종" xfId="796" xr:uid="{00000000-0005-0000-0000-00001B030000}"/>
    <cellStyle name="_방동_추곡_이문동구간중랑천변녹화사업(수량산출서, 071127)-최종_00-설계서,원가계산,내역서" xfId="797" xr:uid="{00000000-0005-0000-0000-00001C030000}"/>
    <cellStyle name="_방동_추곡_진해자은수량산출서(단지내)" xfId="798" xr:uid="{00000000-0005-0000-0000-00001D030000}"/>
    <cellStyle name="_방동_추곡_진해자은수량산출서(단지내)_00-설계서,원가계산,내역서" xfId="799" xr:uid="{00000000-0005-0000-0000-00001E030000}"/>
    <cellStyle name="_방동_추곡_진해자은수량산출서(단지내)_기초산출표-56-128-최종" xfId="800" xr:uid="{00000000-0005-0000-0000-00001F030000}"/>
    <cellStyle name="_방동_추곡_진해자은수량산출서(단지내)_기초산출표-56-128-최종_00-설계서,원가계산,내역서" xfId="801" xr:uid="{00000000-0005-0000-0000-000020030000}"/>
    <cellStyle name="_방동_추곡_진해자은수량산출서(단지내)_기초산출표-56-128-최종_설계서-1" xfId="802" xr:uid="{00000000-0005-0000-0000-000021030000}"/>
    <cellStyle name="_방동_추곡_진해자은수량산출서(단지내)_기초산출표-56-128-최종_설계서-1_00-설계서,원가계산,내역서" xfId="803" xr:uid="{00000000-0005-0000-0000-000022030000}"/>
    <cellStyle name="_방동_추곡_진해자은수량산출서(단지내)_설계서-1" xfId="804" xr:uid="{00000000-0005-0000-0000-000023030000}"/>
    <cellStyle name="_방동_추곡_진해자은수량산출서(단지내)_설계서-1_00-설계서,원가계산,내역서" xfId="805" xr:uid="{00000000-0005-0000-0000-000024030000}"/>
    <cellStyle name="_방동_추곡_진해자은수량산출서(단지내)_취합" xfId="806" xr:uid="{00000000-0005-0000-0000-000025030000}"/>
    <cellStyle name="_방동_추곡_진해자은수량산출서(단지내)_취합_00-설계서,원가계산,내역서" xfId="807" xr:uid="{00000000-0005-0000-0000-000026030000}"/>
    <cellStyle name="_방동_추곡_진해자은수량산출서(단지내)_취합_설계서-1" xfId="808" xr:uid="{00000000-0005-0000-0000-000027030000}"/>
    <cellStyle name="_방동_추곡_진해자은수량산출서(단지내)_취합_설계서-1_00-설계서,원가계산,내역서" xfId="809" xr:uid="{00000000-0005-0000-0000-000028030000}"/>
    <cellStyle name="_방동_추곡_포장" xfId="810" xr:uid="{00000000-0005-0000-0000-000029030000}"/>
    <cellStyle name="_방동_추곡_포장_00-설계서,원가계산,내역서" xfId="811" xr:uid="{00000000-0005-0000-0000-00002A030000}"/>
    <cellStyle name="_방동_추곡_포장_라멘교 토공" xfId="812" xr:uid="{00000000-0005-0000-0000-00002B030000}"/>
    <cellStyle name="_방동_추곡_포장_라멘교 토공_00-설계서,원가계산,내역서" xfId="813" xr:uid="{00000000-0005-0000-0000-00002C030000}"/>
    <cellStyle name="_방동_포장" xfId="814" xr:uid="{00000000-0005-0000-0000-00002D030000}"/>
    <cellStyle name="_방동_포장_00-설계서,원가계산,내역서" xfId="815" xr:uid="{00000000-0005-0000-0000-00002E030000}"/>
    <cellStyle name="_방동_포장_라멘교 토공" xfId="816" xr:uid="{00000000-0005-0000-0000-00002F030000}"/>
    <cellStyle name="_방동_포장_라멘교 토공_00-설계서,원가계산,내역서" xfId="817" xr:uid="{00000000-0005-0000-0000-000030030000}"/>
    <cellStyle name="_백운초통신내역(최종)" xfId="818" xr:uid="{00000000-0005-0000-0000-000031030000}"/>
    <cellStyle name="_부대토목 예정공사비(2007.09.28)" xfId="819" xr:uid="{00000000-0005-0000-0000-000032030000}"/>
    <cellStyle name="_부평점정산내역" xfId="820" xr:uid="{00000000-0005-0000-0000-000033030000}"/>
    <cellStyle name="_분전반~1" xfId="821" xr:uid="{00000000-0005-0000-0000-000034030000}"/>
    <cellStyle name="_서천공주(견적서)" xfId="822" xr:uid="{00000000-0005-0000-0000-000035030000}"/>
    <cellStyle name="_서천공주(견적서)_2004견적내역서리스트" xfId="823" xr:uid="{00000000-0005-0000-0000-000036030000}"/>
    <cellStyle name="_석은희지압보도" xfId="824" xr:uid="{00000000-0005-0000-0000-000037030000}"/>
    <cellStyle name="_석은희지압보도_00-설계서,원가계산,내역서" xfId="825" xr:uid="{00000000-0005-0000-0000-000038030000}"/>
    <cellStyle name="_석은희지압보도_내역서-최종0223" xfId="826" xr:uid="{00000000-0005-0000-0000-000039030000}"/>
    <cellStyle name="_석은희지압보도_내역서-최종0223_00-설계서,원가계산,내역서" xfId="827" xr:uid="{00000000-0005-0000-0000-00003A030000}"/>
    <cellStyle name="_석은희지압보도_내역서-최종0223_설계서-1" xfId="828" xr:uid="{00000000-0005-0000-0000-00003B030000}"/>
    <cellStyle name="_석은희지압보도_내역서-최종0223_설계서-1_00-설계서,원가계산,내역서" xfId="829" xr:uid="{00000000-0005-0000-0000-00003C030000}"/>
    <cellStyle name="_석은희지압보도_내역서-최종0223_진해자은수량산출서(단지내)" xfId="830" xr:uid="{00000000-0005-0000-0000-00003D030000}"/>
    <cellStyle name="_석은희지압보도_내역서-최종0223_진해자은수량산출서(단지내)_00-설계서,원가계산,내역서" xfId="831" xr:uid="{00000000-0005-0000-0000-00003E030000}"/>
    <cellStyle name="_석은희지압보도_내역서-최종0223_진해자은수량산출서(단지내)_기초산출표-56-128-최종" xfId="832" xr:uid="{00000000-0005-0000-0000-00003F030000}"/>
    <cellStyle name="_석은희지압보도_내역서-최종0223_진해자은수량산출서(단지내)_기초산출표-56-128-최종_00-설계서,원가계산,내역서" xfId="833" xr:uid="{00000000-0005-0000-0000-000040030000}"/>
    <cellStyle name="_석은희지압보도_내역서-최종0223_진해자은수량산출서(단지내)_기초산출표-56-128-최종_설계서-1" xfId="834" xr:uid="{00000000-0005-0000-0000-000041030000}"/>
    <cellStyle name="_석은희지압보도_내역서-최종0223_진해자은수량산출서(단지내)_기초산출표-56-128-최종_설계서-1_00-설계서,원가계산,내역서" xfId="835" xr:uid="{00000000-0005-0000-0000-000042030000}"/>
    <cellStyle name="_석은희지압보도_내역서-최종0223_진해자은수량산출서(단지내)_설계서-1" xfId="836" xr:uid="{00000000-0005-0000-0000-000043030000}"/>
    <cellStyle name="_석은희지압보도_내역서-최종0223_진해자은수량산출서(단지내)_설계서-1_00-설계서,원가계산,내역서" xfId="837" xr:uid="{00000000-0005-0000-0000-000044030000}"/>
    <cellStyle name="_석은희지압보도_내역서-최종0223_진해자은수량산출서(단지내)_취합" xfId="838" xr:uid="{00000000-0005-0000-0000-000045030000}"/>
    <cellStyle name="_석은희지압보도_내역서-최종0223_진해자은수량산출서(단지내)_취합_00-설계서,원가계산,내역서" xfId="839" xr:uid="{00000000-0005-0000-0000-000046030000}"/>
    <cellStyle name="_석은희지압보도_내역서-최종0223_진해자은수량산출서(단지내)_취합_설계서-1" xfId="840" xr:uid="{00000000-0005-0000-0000-000047030000}"/>
    <cellStyle name="_석은희지압보도_내역서-최종0223_진해자은수량산출서(단지내)_취합_설계서-1_00-설계서,원가계산,내역서" xfId="841" xr:uid="{00000000-0005-0000-0000-000048030000}"/>
    <cellStyle name="_석은희지압보도_설계서-1" xfId="842" xr:uid="{00000000-0005-0000-0000-000049030000}"/>
    <cellStyle name="_석은희지압보도_설계서-1_00-설계서,원가계산,내역서" xfId="843" xr:uid="{00000000-0005-0000-0000-00004A030000}"/>
    <cellStyle name="_석은희지압보도_진해자은수량산출서(단지내)" xfId="844" xr:uid="{00000000-0005-0000-0000-00004B030000}"/>
    <cellStyle name="_석은희지압보도_진해자은수량산출서(단지내)_00-설계서,원가계산,내역서" xfId="845" xr:uid="{00000000-0005-0000-0000-00004C030000}"/>
    <cellStyle name="_석은희지압보도_진해자은수량산출서(단지내)_기초산출표-56-128-최종" xfId="846" xr:uid="{00000000-0005-0000-0000-00004D030000}"/>
    <cellStyle name="_석은희지압보도_진해자은수량산출서(단지내)_기초산출표-56-128-최종_00-설계서,원가계산,내역서" xfId="847" xr:uid="{00000000-0005-0000-0000-00004E030000}"/>
    <cellStyle name="_석은희지압보도_진해자은수량산출서(단지내)_기초산출표-56-128-최종_설계서-1" xfId="848" xr:uid="{00000000-0005-0000-0000-00004F030000}"/>
    <cellStyle name="_석은희지압보도_진해자은수량산출서(단지내)_기초산출표-56-128-최종_설계서-1_00-설계서,원가계산,내역서" xfId="849" xr:uid="{00000000-0005-0000-0000-000050030000}"/>
    <cellStyle name="_석은희지압보도_진해자은수량산출서(단지내)_설계서-1" xfId="850" xr:uid="{00000000-0005-0000-0000-000051030000}"/>
    <cellStyle name="_석은희지압보도_진해자은수량산출서(단지내)_설계서-1_00-설계서,원가계산,내역서" xfId="851" xr:uid="{00000000-0005-0000-0000-000052030000}"/>
    <cellStyle name="_석은희지압보도_진해자은수량산출서(단지내)_취합" xfId="852" xr:uid="{00000000-0005-0000-0000-000053030000}"/>
    <cellStyle name="_석은희지압보도_진해자은수량산출서(단지내)_취합_00-설계서,원가계산,내역서" xfId="853" xr:uid="{00000000-0005-0000-0000-000054030000}"/>
    <cellStyle name="_석은희지압보도_진해자은수량산출서(단지내)_취합_설계서-1" xfId="854" xr:uid="{00000000-0005-0000-0000-000055030000}"/>
    <cellStyle name="_석은희지압보도_진해자은수량산출서(단지내)_취합_설계서-1_00-설계서,원가계산,내역서" xfId="855" xr:uid="{00000000-0005-0000-0000-000056030000}"/>
    <cellStyle name="_설계변경" xfId="856" xr:uid="{00000000-0005-0000-0000-000057030000}"/>
    <cellStyle name="_실시계획인가 예정용역비" xfId="857" xr:uid="{00000000-0005-0000-0000-000058030000}"/>
    <cellStyle name="_실시설계 공내역서" xfId="858" xr:uid="{00000000-0005-0000-0000-000059030000}"/>
    <cellStyle name="_연안권내역서(토목부문내역서)" xfId="859" xr:uid="{00000000-0005-0000-0000-00005A030000}"/>
    <cellStyle name="_연안권역특화거리조성을위한음악분수대설치" xfId="860" xr:uid="{00000000-0005-0000-0000-00005B030000}"/>
    <cellStyle name="_연안권역특화거리조성을위한음악분수대설치_00-설계서,원가계산,내역서" xfId="861" xr:uid="{00000000-0005-0000-0000-00005C030000}"/>
    <cellStyle name="_연안권역특화거리조성을위한음악분수대설치R6(제출EBS)-설비,전기,관리실" xfId="862" xr:uid="{00000000-0005-0000-0000-00005D030000}"/>
    <cellStyle name="_연안권역특화거리조성을위한음악분수대설치R6(제출EBS)-설비,전기,관리실_00-설계서,원가계산,내역서" xfId="863" xr:uid="{00000000-0005-0000-0000-00005E030000}"/>
    <cellStyle name="_영화관약전설비(수정)" xfId="864" xr:uid="{00000000-0005-0000-0000-00005F030000}"/>
    <cellStyle name="_울산롯데호텔소방전기견적서" xfId="865" xr:uid="{00000000-0005-0000-0000-000060030000}"/>
    <cellStyle name="_울산백화점 발의내역(계약단가적용)" xfId="866" xr:uid="{00000000-0005-0000-0000-000061030000}"/>
    <cellStyle name="_울산점소방전기공사(발주)" xfId="867" xr:uid="{00000000-0005-0000-0000-000062030000}"/>
    <cellStyle name="_유성약전발의내역1" xfId="868" xr:uid="{00000000-0005-0000-0000-000063030000}"/>
    <cellStyle name="_응급ES" xfId="869" xr:uid="{00000000-0005-0000-0000-000064030000}"/>
    <cellStyle name="_응급RE" xfId="870" xr:uid="{00000000-0005-0000-0000-000065030000}"/>
    <cellStyle name="_일반전기1공구" xfId="871" xr:uid="{00000000-0005-0000-0000-000066030000}"/>
    <cellStyle name="_일반전기2공구" xfId="872" xr:uid="{00000000-0005-0000-0000-000067030000}"/>
    <cellStyle name="_일반전기정산" xfId="873" xr:uid="{00000000-0005-0000-0000-000068030000}"/>
    <cellStyle name="_전기" xfId="874" xr:uid="{00000000-0005-0000-0000-000069030000}"/>
    <cellStyle name="_전력간선" xfId="875" xr:uid="{00000000-0005-0000-0000-00006A030000}"/>
    <cellStyle name="_정산세부내역(건설사정)" xfId="876" xr:uid="{00000000-0005-0000-0000-00006B030000}"/>
    <cellStyle name="_준공-약전설비공사" xfId="877" xr:uid="{00000000-0005-0000-0000-00006C030000}"/>
    <cellStyle name="_추곡" xfId="878" xr:uid="{00000000-0005-0000-0000-00006D030000}"/>
    <cellStyle name="_추곡_00-설계서,원가계산,내역서" xfId="879" xr:uid="{00000000-0005-0000-0000-00006E030000}"/>
    <cellStyle name="_추곡_내역서-최종0223" xfId="880" xr:uid="{00000000-0005-0000-0000-00006F030000}"/>
    <cellStyle name="_추곡_내역서-최종0223_00-설계서,원가계산,내역서" xfId="881" xr:uid="{00000000-0005-0000-0000-000070030000}"/>
    <cellStyle name="_추곡_내역서-최종0223_설계서-1" xfId="882" xr:uid="{00000000-0005-0000-0000-000071030000}"/>
    <cellStyle name="_추곡_내역서-최종0223_설계서-1_00-설계서,원가계산,내역서" xfId="883" xr:uid="{00000000-0005-0000-0000-000072030000}"/>
    <cellStyle name="_추곡_내역서-최종0223_진해자은수량산출서(단지내)" xfId="884" xr:uid="{00000000-0005-0000-0000-000073030000}"/>
    <cellStyle name="_추곡_내역서-최종0223_진해자은수량산출서(단지내)_00-설계서,원가계산,내역서" xfId="885" xr:uid="{00000000-0005-0000-0000-000074030000}"/>
    <cellStyle name="_추곡_내역서-최종0223_진해자은수량산출서(단지내)_기초산출표-56-128-최종" xfId="886" xr:uid="{00000000-0005-0000-0000-000075030000}"/>
    <cellStyle name="_추곡_내역서-최종0223_진해자은수량산출서(단지내)_기초산출표-56-128-최종_00-설계서,원가계산,내역서" xfId="887" xr:uid="{00000000-0005-0000-0000-000076030000}"/>
    <cellStyle name="_추곡_내역서-최종0223_진해자은수량산출서(단지내)_기초산출표-56-128-최종_설계서-1" xfId="888" xr:uid="{00000000-0005-0000-0000-000077030000}"/>
    <cellStyle name="_추곡_내역서-최종0223_진해자은수량산출서(단지내)_기초산출표-56-128-최종_설계서-1_00-설계서,원가계산,내역서" xfId="889" xr:uid="{00000000-0005-0000-0000-000078030000}"/>
    <cellStyle name="_추곡_내역서-최종0223_진해자은수량산출서(단지내)_설계서-1" xfId="890" xr:uid="{00000000-0005-0000-0000-000079030000}"/>
    <cellStyle name="_추곡_내역서-최종0223_진해자은수량산출서(단지내)_설계서-1_00-설계서,원가계산,내역서" xfId="891" xr:uid="{00000000-0005-0000-0000-00007A030000}"/>
    <cellStyle name="_추곡_내역서-최종0223_진해자은수량산출서(단지내)_취합" xfId="892" xr:uid="{00000000-0005-0000-0000-00007B030000}"/>
    <cellStyle name="_추곡_내역서-최종0223_진해자은수량산출서(단지내)_취합_00-설계서,원가계산,내역서" xfId="893" xr:uid="{00000000-0005-0000-0000-00007C030000}"/>
    <cellStyle name="_추곡_내역서-최종0223_진해자은수량산출서(단지내)_취합_설계서-1" xfId="894" xr:uid="{00000000-0005-0000-0000-00007D030000}"/>
    <cellStyle name="_추곡_내역서-최종0223_진해자은수량산출서(단지내)_취합_설계서-1_00-설계서,원가계산,내역서" xfId="895" xr:uid="{00000000-0005-0000-0000-00007E030000}"/>
    <cellStyle name="_추곡_라멘교 토공" xfId="896" xr:uid="{00000000-0005-0000-0000-00007F030000}"/>
    <cellStyle name="_추곡_라멘교 토공_00-설계서,원가계산,내역서" xfId="897" xr:uid="{00000000-0005-0000-0000-000080030000}"/>
    <cellStyle name="_추곡_설계서-1" xfId="898" xr:uid="{00000000-0005-0000-0000-000081030000}"/>
    <cellStyle name="_추곡_설계서-1_00-설계서,원가계산,내역서" xfId="899" xr:uid="{00000000-0005-0000-0000-000082030000}"/>
    <cellStyle name="_추곡_율동자연공원내 화장실 보수 및 도색공사" xfId="900" xr:uid="{00000000-0005-0000-0000-000083030000}"/>
    <cellStyle name="_추곡_율동자연공원내 화장실 보수 및 도색공사_00-설계서,원가계산,내역서" xfId="901" xr:uid="{00000000-0005-0000-0000-000084030000}"/>
    <cellStyle name="_추곡_율동자연공원내 화장실 보수 및 도색공사_내역서-최종0223" xfId="902" xr:uid="{00000000-0005-0000-0000-000085030000}"/>
    <cellStyle name="_추곡_율동자연공원내 화장실 보수 및 도색공사_내역서-최종0223_00-설계서,원가계산,내역서" xfId="903" xr:uid="{00000000-0005-0000-0000-000086030000}"/>
    <cellStyle name="_추곡_율동자연공원내 화장실 보수 및 도색공사_내역서-최종0223_설계서-1" xfId="904" xr:uid="{00000000-0005-0000-0000-000087030000}"/>
    <cellStyle name="_추곡_율동자연공원내 화장실 보수 및 도색공사_내역서-최종0223_설계서-1_00-설계서,원가계산,내역서" xfId="905" xr:uid="{00000000-0005-0000-0000-000088030000}"/>
    <cellStyle name="_추곡_율동자연공원내 화장실 보수 및 도색공사_내역서-최종0223_진해자은수량산출서(단지내)" xfId="906" xr:uid="{00000000-0005-0000-0000-000089030000}"/>
    <cellStyle name="_추곡_율동자연공원내 화장실 보수 및 도색공사_내역서-최종0223_진해자은수량산출서(단지내)_00-설계서,원가계산,내역서" xfId="907" xr:uid="{00000000-0005-0000-0000-00008A030000}"/>
    <cellStyle name="_추곡_율동자연공원내 화장실 보수 및 도색공사_내역서-최종0223_진해자은수량산출서(단지내)_기초산출표-56-128-최종" xfId="908" xr:uid="{00000000-0005-0000-0000-00008B030000}"/>
    <cellStyle name="_추곡_율동자연공원내 화장실 보수 및 도색공사_내역서-최종0223_진해자은수량산출서(단지내)_기초산출표-56-128-최종_00-설계서,원가계산,내역서" xfId="909" xr:uid="{00000000-0005-0000-0000-00008C030000}"/>
    <cellStyle name="_추곡_율동자연공원내 화장실 보수 및 도색공사_내역서-최종0223_진해자은수량산출서(단지내)_기초산출표-56-128-최종_설계서-1" xfId="910" xr:uid="{00000000-0005-0000-0000-00008D030000}"/>
    <cellStyle name="_추곡_율동자연공원내 화장실 보수 및 도색공사_내역서-최종0223_진해자은수량산출서(단지내)_기초산출표-56-128-최종_설계서-1_00-설계서,원가계산,내역서" xfId="911" xr:uid="{00000000-0005-0000-0000-00008E030000}"/>
    <cellStyle name="_추곡_율동자연공원내 화장실 보수 및 도색공사_내역서-최종0223_진해자은수량산출서(단지내)_설계서-1" xfId="912" xr:uid="{00000000-0005-0000-0000-00008F030000}"/>
    <cellStyle name="_추곡_율동자연공원내 화장실 보수 및 도색공사_내역서-최종0223_진해자은수량산출서(단지내)_설계서-1_00-설계서,원가계산,내역서" xfId="913" xr:uid="{00000000-0005-0000-0000-000090030000}"/>
    <cellStyle name="_추곡_율동자연공원내 화장실 보수 및 도색공사_내역서-최종0223_진해자은수량산출서(단지내)_취합" xfId="914" xr:uid="{00000000-0005-0000-0000-000091030000}"/>
    <cellStyle name="_추곡_율동자연공원내 화장실 보수 및 도색공사_내역서-최종0223_진해자은수량산출서(단지내)_취합_00-설계서,원가계산,내역서" xfId="915" xr:uid="{00000000-0005-0000-0000-000092030000}"/>
    <cellStyle name="_추곡_율동자연공원내 화장실 보수 및 도색공사_내역서-최종0223_진해자은수량산출서(단지내)_취합_설계서-1" xfId="916" xr:uid="{00000000-0005-0000-0000-000093030000}"/>
    <cellStyle name="_추곡_율동자연공원내 화장실 보수 및 도색공사_내역서-최종0223_진해자은수량산출서(단지내)_취합_설계서-1_00-설계서,원가계산,내역서" xfId="917" xr:uid="{00000000-0005-0000-0000-000094030000}"/>
    <cellStyle name="_추곡_율동자연공원내 화장실 보수 및 도색공사_설계서-1" xfId="918" xr:uid="{00000000-0005-0000-0000-000095030000}"/>
    <cellStyle name="_추곡_율동자연공원내 화장실 보수 및 도색공사_설계서-1_00-설계서,원가계산,내역서" xfId="919" xr:uid="{00000000-0005-0000-0000-000096030000}"/>
    <cellStyle name="_추곡_율동자연공원내 화장실 보수 및 도색공사_진해자은수량산출서(단지내)" xfId="920" xr:uid="{00000000-0005-0000-0000-000097030000}"/>
    <cellStyle name="_추곡_율동자연공원내 화장실 보수 및 도색공사_진해자은수량산출서(단지내)_00-설계서,원가계산,내역서" xfId="921" xr:uid="{00000000-0005-0000-0000-000098030000}"/>
    <cellStyle name="_추곡_율동자연공원내 화장실 보수 및 도색공사_진해자은수량산출서(단지내)_기초산출표-56-128-최종" xfId="922" xr:uid="{00000000-0005-0000-0000-000099030000}"/>
    <cellStyle name="_추곡_율동자연공원내 화장실 보수 및 도색공사_진해자은수량산출서(단지내)_기초산출표-56-128-최종_00-설계서,원가계산,내역서" xfId="923" xr:uid="{00000000-0005-0000-0000-00009A030000}"/>
    <cellStyle name="_추곡_율동자연공원내 화장실 보수 및 도색공사_진해자은수량산출서(단지내)_기초산출표-56-128-최종_설계서-1" xfId="924" xr:uid="{00000000-0005-0000-0000-00009B030000}"/>
    <cellStyle name="_추곡_율동자연공원내 화장실 보수 및 도색공사_진해자은수량산출서(단지내)_기초산출표-56-128-최종_설계서-1_00-설계서,원가계산,내역서" xfId="925" xr:uid="{00000000-0005-0000-0000-00009C030000}"/>
    <cellStyle name="_추곡_율동자연공원내 화장실 보수 및 도색공사_진해자은수량산출서(단지내)_설계서-1" xfId="926" xr:uid="{00000000-0005-0000-0000-00009D030000}"/>
    <cellStyle name="_추곡_율동자연공원내 화장실 보수 및 도색공사_진해자은수량산출서(단지내)_설계서-1_00-설계서,원가계산,내역서" xfId="927" xr:uid="{00000000-0005-0000-0000-00009E030000}"/>
    <cellStyle name="_추곡_율동자연공원내 화장실 보수 및 도색공사_진해자은수량산출서(단지내)_취합" xfId="928" xr:uid="{00000000-0005-0000-0000-00009F030000}"/>
    <cellStyle name="_추곡_율동자연공원내 화장실 보수 및 도색공사_진해자은수량산출서(단지내)_취합_00-설계서,원가계산,내역서" xfId="929" xr:uid="{00000000-0005-0000-0000-0000A0030000}"/>
    <cellStyle name="_추곡_율동자연공원내 화장실 보수 및 도색공사_진해자은수량산출서(단지내)_취합_설계서-1" xfId="930" xr:uid="{00000000-0005-0000-0000-0000A1030000}"/>
    <cellStyle name="_추곡_율동자연공원내 화장실 보수 및 도색공사_진해자은수량산출서(단지내)_취합_설계서-1_00-설계서,원가계산,내역서" xfId="931" xr:uid="{00000000-0005-0000-0000-0000A2030000}"/>
    <cellStyle name="_추곡_율동자연공원내 휴게편의점 도색작업-할증-천정면적추가" xfId="932" xr:uid="{00000000-0005-0000-0000-0000A3030000}"/>
    <cellStyle name="_추곡_율동자연공원내 휴게편의점 도색작업-할증-천정면적추가_00-설계서,원가계산,내역서" xfId="933" xr:uid="{00000000-0005-0000-0000-0000A4030000}"/>
    <cellStyle name="_추곡_율동자연공원내 휴게편의점 도색작업-할증-천정면적추가_내역서-최종0223" xfId="934" xr:uid="{00000000-0005-0000-0000-0000A5030000}"/>
    <cellStyle name="_추곡_율동자연공원내 휴게편의점 도색작업-할증-천정면적추가_내역서-최종0223_00-설계서,원가계산,내역서" xfId="935" xr:uid="{00000000-0005-0000-0000-0000A6030000}"/>
    <cellStyle name="_추곡_율동자연공원내 휴게편의점 도색작업-할증-천정면적추가_내역서-최종0223_설계서-1" xfId="936" xr:uid="{00000000-0005-0000-0000-0000A7030000}"/>
    <cellStyle name="_추곡_율동자연공원내 휴게편의점 도색작업-할증-천정면적추가_내역서-최종0223_설계서-1_00-설계서,원가계산,내역서" xfId="937" xr:uid="{00000000-0005-0000-0000-0000A8030000}"/>
    <cellStyle name="_추곡_율동자연공원내 휴게편의점 도색작업-할증-천정면적추가_내역서-최종0223_진해자은수량산출서(단지내)" xfId="938" xr:uid="{00000000-0005-0000-0000-0000A9030000}"/>
    <cellStyle name="_추곡_율동자연공원내 휴게편의점 도색작업-할증-천정면적추가_내역서-최종0223_진해자은수량산출서(단지내)_00-설계서,원가계산,내역서" xfId="939" xr:uid="{00000000-0005-0000-0000-0000AA030000}"/>
    <cellStyle name="_추곡_율동자연공원내 휴게편의점 도색작업-할증-천정면적추가_내역서-최종0223_진해자은수량산출서(단지내)_기초산출표-56-128-최종" xfId="940" xr:uid="{00000000-0005-0000-0000-0000AB030000}"/>
    <cellStyle name="_추곡_율동자연공원내 휴게편의점 도색작업-할증-천정면적추가_내역서-최종0223_진해자은수량산출서(단지내)_기초산출표-56-128-최종_00-설계서,원가계산,내역서" xfId="941" xr:uid="{00000000-0005-0000-0000-0000AC030000}"/>
    <cellStyle name="_추곡_율동자연공원내 휴게편의점 도색작업-할증-천정면적추가_내역서-최종0223_진해자은수량산출서(단지내)_기초산출표-56-128-최종_설계서-1" xfId="942" xr:uid="{00000000-0005-0000-0000-0000AD030000}"/>
    <cellStyle name="_추곡_율동자연공원내 휴게편의점 도색작업-할증-천정면적추가_내역서-최종0223_진해자은수량산출서(단지내)_기초산출표-56-128-최종_설계서-1_00-설계서,원가계산,내역서" xfId="943" xr:uid="{00000000-0005-0000-0000-0000AE030000}"/>
    <cellStyle name="_추곡_율동자연공원내 휴게편의점 도색작업-할증-천정면적추가_내역서-최종0223_진해자은수량산출서(단지내)_설계서-1" xfId="944" xr:uid="{00000000-0005-0000-0000-0000AF030000}"/>
    <cellStyle name="_추곡_율동자연공원내 휴게편의점 도색작업-할증-천정면적추가_내역서-최종0223_진해자은수량산출서(단지내)_설계서-1_00-설계서,원가계산,내역서" xfId="945" xr:uid="{00000000-0005-0000-0000-0000B0030000}"/>
    <cellStyle name="_추곡_율동자연공원내 휴게편의점 도색작업-할증-천정면적추가_내역서-최종0223_진해자은수량산출서(단지내)_취합" xfId="946" xr:uid="{00000000-0005-0000-0000-0000B1030000}"/>
    <cellStyle name="_추곡_율동자연공원내 휴게편의점 도색작업-할증-천정면적추가_내역서-최종0223_진해자은수량산출서(단지내)_취합_00-설계서,원가계산,내역서" xfId="947" xr:uid="{00000000-0005-0000-0000-0000B2030000}"/>
    <cellStyle name="_추곡_율동자연공원내 휴게편의점 도색작업-할증-천정면적추가_내역서-최종0223_진해자은수량산출서(단지내)_취합_설계서-1" xfId="948" xr:uid="{00000000-0005-0000-0000-0000B3030000}"/>
    <cellStyle name="_추곡_율동자연공원내 휴게편의점 도색작업-할증-천정면적추가_내역서-최종0223_진해자은수량산출서(단지내)_취합_설계서-1_00-설계서,원가계산,내역서" xfId="949" xr:uid="{00000000-0005-0000-0000-0000B4030000}"/>
    <cellStyle name="_추곡_율동자연공원내 휴게편의점 도색작업-할증-천정면적추가_설계서-1" xfId="950" xr:uid="{00000000-0005-0000-0000-0000B5030000}"/>
    <cellStyle name="_추곡_율동자연공원내 휴게편의점 도색작업-할증-천정면적추가_설계서-1_00-설계서,원가계산,내역서" xfId="951" xr:uid="{00000000-0005-0000-0000-0000B6030000}"/>
    <cellStyle name="_추곡_율동자연공원내 휴게편의점 도색작업-할증-천정면적추가_진해자은수량산출서(단지내)" xfId="952" xr:uid="{00000000-0005-0000-0000-0000B7030000}"/>
    <cellStyle name="_추곡_율동자연공원내 휴게편의점 도색작업-할증-천정면적추가_진해자은수량산출서(단지내)_00-설계서,원가계산,내역서" xfId="953" xr:uid="{00000000-0005-0000-0000-0000B8030000}"/>
    <cellStyle name="_추곡_율동자연공원내 휴게편의점 도색작업-할증-천정면적추가_진해자은수량산출서(단지내)_기초산출표-56-128-최종" xfId="954" xr:uid="{00000000-0005-0000-0000-0000B9030000}"/>
    <cellStyle name="_추곡_율동자연공원내 휴게편의점 도색작업-할증-천정면적추가_진해자은수량산출서(단지내)_기초산출표-56-128-최종_00-설계서,원가계산,내역서" xfId="955" xr:uid="{00000000-0005-0000-0000-0000BA030000}"/>
    <cellStyle name="_추곡_율동자연공원내 휴게편의점 도색작업-할증-천정면적추가_진해자은수량산출서(단지내)_기초산출표-56-128-최종_설계서-1" xfId="956" xr:uid="{00000000-0005-0000-0000-0000BB030000}"/>
    <cellStyle name="_추곡_율동자연공원내 휴게편의점 도색작업-할증-천정면적추가_진해자은수량산출서(단지내)_기초산출표-56-128-최종_설계서-1_00-설계서,원가계산,내역서" xfId="957" xr:uid="{00000000-0005-0000-0000-0000BC030000}"/>
    <cellStyle name="_추곡_율동자연공원내 휴게편의점 도색작업-할증-천정면적추가_진해자은수량산출서(단지내)_설계서-1" xfId="958" xr:uid="{00000000-0005-0000-0000-0000BD030000}"/>
    <cellStyle name="_추곡_율동자연공원내 휴게편의점 도색작업-할증-천정면적추가_진해자은수량산출서(단지내)_설계서-1_00-설계서,원가계산,내역서" xfId="959" xr:uid="{00000000-0005-0000-0000-0000BE030000}"/>
    <cellStyle name="_추곡_율동자연공원내 휴게편의점 도색작업-할증-천정면적추가_진해자은수량산출서(단지내)_취합" xfId="960" xr:uid="{00000000-0005-0000-0000-0000BF030000}"/>
    <cellStyle name="_추곡_율동자연공원내 휴게편의점 도색작업-할증-천정면적추가_진해자은수량산출서(단지내)_취합_00-설계서,원가계산,내역서" xfId="961" xr:uid="{00000000-0005-0000-0000-0000C0030000}"/>
    <cellStyle name="_추곡_율동자연공원내 휴게편의점 도색작업-할증-천정면적추가_진해자은수량산출서(단지내)_취합_설계서-1" xfId="962" xr:uid="{00000000-0005-0000-0000-0000C1030000}"/>
    <cellStyle name="_추곡_율동자연공원내 휴게편의점 도색작업-할증-천정면적추가_진해자은수량산출서(단지내)_취합_설계서-1_00-설계서,원가계산,내역서" xfId="963" xr:uid="{00000000-0005-0000-0000-0000C2030000}"/>
    <cellStyle name="_추곡_이문동구간중랑천변녹화사업(수량산출서, 071127)-최종" xfId="964" xr:uid="{00000000-0005-0000-0000-0000C3030000}"/>
    <cellStyle name="_추곡_이문동구간중랑천변녹화사업(수량산출서, 071127)-최종_00-설계서,원가계산,내역서" xfId="965" xr:uid="{00000000-0005-0000-0000-0000C4030000}"/>
    <cellStyle name="_추곡_진해자은수량산출서(단지내)" xfId="966" xr:uid="{00000000-0005-0000-0000-0000C5030000}"/>
    <cellStyle name="_추곡_진해자은수량산출서(단지내)_00-설계서,원가계산,내역서" xfId="967" xr:uid="{00000000-0005-0000-0000-0000C6030000}"/>
    <cellStyle name="_추곡_진해자은수량산출서(단지내)_기초산출표-56-128-최종" xfId="968" xr:uid="{00000000-0005-0000-0000-0000C7030000}"/>
    <cellStyle name="_추곡_진해자은수량산출서(단지내)_기초산출표-56-128-최종_00-설계서,원가계산,내역서" xfId="969" xr:uid="{00000000-0005-0000-0000-0000C8030000}"/>
    <cellStyle name="_추곡_진해자은수량산출서(단지내)_기초산출표-56-128-최종_설계서-1" xfId="970" xr:uid="{00000000-0005-0000-0000-0000C9030000}"/>
    <cellStyle name="_추곡_진해자은수량산출서(단지내)_기초산출표-56-128-최종_설계서-1_00-설계서,원가계산,내역서" xfId="971" xr:uid="{00000000-0005-0000-0000-0000CA030000}"/>
    <cellStyle name="_추곡_진해자은수량산출서(단지내)_설계서-1" xfId="972" xr:uid="{00000000-0005-0000-0000-0000CB030000}"/>
    <cellStyle name="_추곡_진해자은수량산출서(단지내)_설계서-1_00-설계서,원가계산,내역서" xfId="973" xr:uid="{00000000-0005-0000-0000-0000CC030000}"/>
    <cellStyle name="_추곡_진해자은수량산출서(단지내)_취합" xfId="974" xr:uid="{00000000-0005-0000-0000-0000CD030000}"/>
    <cellStyle name="_추곡_진해자은수량산출서(단지내)_취합_00-설계서,원가계산,내역서" xfId="975" xr:uid="{00000000-0005-0000-0000-0000CE030000}"/>
    <cellStyle name="_추곡_진해자은수량산출서(단지내)_취합_설계서-1" xfId="976" xr:uid="{00000000-0005-0000-0000-0000CF030000}"/>
    <cellStyle name="_추곡_진해자은수량산출서(단지내)_취합_설계서-1_00-설계서,원가계산,내역서" xfId="977" xr:uid="{00000000-0005-0000-0000-0000D0030000}"/>
    <cellStyle name="_추곡_추곡" xfId="978" xr:uid="{00000000-0005-0000-0000-0000D1030000}"/>
    <cellStyle name="_추곡_추곡_00-설계서,원가계산,내역서" xfId="979" xr:uid="{00000000-0005-0000-0000-0000D2030000}"/>
    <cellStyle name="_추곡_추곡_내역서-최종0223" xfId="980" xr:uid="{00000000-0005-0000-0000-0000D3030000}"/>
    <cellStyle name="_추곡_추곡_내역서-최종0223_00-설계서,원가계산,내역서" xfId="981" xr:uid="{00000000-0005-0000-0000-0000D4030000}"/>
    <cellStyle name="_추곡_추곡_내역서-최종0223_설계서-1" xfId="982" xr:uid="{00000000-0005-0000-0000-0000D5030000}"/>
    <cellStyle name="_추곡_추곡_내역서-최종0223_설계서-1_00-설계서,원가계산,내역서" xfId="983" xr:uid="{00000000-0005-0000-0000-0000D6030000}"/>
    <cellStyle name="_추곡_추곡_내역서-최종0223_진해자은수량산출서(단지내)" xfId="984" xr:uid="{00000000-0005-0000-0000-0000D7030000}"/>
    <cellStyle name="_추곡_추곡_내역서-최종0223_진해자은수량산출서(단지내)_00-설계서,원가계산,내역서" xfId="985" xr:uid="{00000000-0005-0000-0000-0000D8030000}"/>
    <cellStyle name="_추곡_추곡_내역서-최종0223_진해자은수량산출서(단지내)_기초산출표-56-128-최종" xfId="986" xr:uid="{00000000-0005-0000-0000-0000D9030000}"/>
    <cellStyle name="_추곡_추곡_내역서-최종0223_진해자은수량산출서(단지내)_기초산출표-56-128-최종_00-설계서,원가계산,내역서" xfId="987" xr:uid="{00000000-0005-0000-0000-0000DA030000}"/>
    <cellStyle name="_추곡_추곡_내역서-최종0223_진해자은수량산출서(단지내)_기초산출표-56-128-최종_설계서-1" xfId="988" xr:uid="{00000000-0005-0000-0000-0000DB030000}"/>
    <cellStyle name="_추곡_추곡_내역서-최종0223_진해자은수량산출서(단지내)_기초산출표-56-128-최종_설계서-1_00-설계서,원가계산,내역서" xfId="989" xr:uid="{00000000-0005-0000-0000-0000DC030000}"/>
    <cellStyle name="_추곡_추곡_내역서-최종0223_진해자은수량산출서(단지내)_설계서-1" xfId="990" xr:uid="{00000000-0005-0000-0000-0000DD030000}"/>
    <cellStyle name="_추곡_추곡_내역서-최종0223_진해자은수량산출서(단지내)_설계서-1_00-설계서,원가계산,내역서" xfId="991" xr:uid="{00000000-0005-0000-0000-0000DE030000}"/>
    <cellStyle name="_추곡_추곡_내역서-최종0223_진해자은수량산출서(단지내)_취합" xfId="992" xr:uid="{00000000-0005-0000-0000-0000DF030000}"/>
    <cellStyle name="_추곡_추곡_내역서-최종0223_진해자은수량산출서(단지내)_취합_00-설계서,원가계산,내역서" xfId="993" xr:uid="{00000000-0005-0000-0000-0000E0030000}"/>
    <cellStyle name="_추곡_추곡_내역서-최종0223_진해자은수량산출서(단지내)_취합_설계서-1" xfId="994" xr:uid="{00000000-0005-0000-0000-0000E1030000}"/>
    <cellStyle name="_추곡_추곡_내역서-최종0223_진해자은수량산출서(단지내)_취합_설계서-1_00-설계서,원가계산,내역서" xfId="995" xr:uid="{00000000-0005-0000-0000-0000E2030000}"/>
    <cellStyle name="_추곡_추곡_라멘교 토공" xfId="996" xr:uid="{00000000-0005-0000-0000-0000E3030000}"/>
    <cellStyle name="_추곡_추곡_라멘교 토공_00-설계서,원가계산,내역서" xfId="997" xr:uid="{00000000-0005-0000-0000-0000E4030000}"/>
    <cellStyle name="_추곡_추곡_설계서-1" xfId="998" xr:uid="{00000000-0005-0000-0000-0000E5030000}"/>
    <cellStyle name="_추곡_추곡_설계서-1_00-설계서,원가계산,내역서" xfId="999" xr:uid="{00000000-0005-0000-0000-0000E6030000}"/>
    <cellStyle name="_추곡_추곡_율동자연공원내 화장실 보수 및 도색공사" xfId="1000" xr:uid="{00000000-0005-0000-0000-0000E7030000}"/>
    <cellStyle name="_추곡_추곡_율동자연공원내 화장실 보수 및 도색공사_00-설계서,원가계산,내역서" xfId="1001" xr:uid="{00000000-0005-0000-0000-0000E8030000}"/>
    <cellStyle name="_추곡_추곡_율동자연공원내 화장실 보수 및 도색공사_내역서-최종0223" xfId="1002" xr:uid="{00000000-0005-0000-0000-0000E9030000}"/>
    <cellStyle name="_추곡_추곡_율동자연공원내 화장실 보수 및 도색공사_내역서-최종0223_00-설계서,원가계산,내역서" xfId="1003" xr:uid="{00000000-0005-0000-0000-0000EA030000}"/>
    <cellStyle name="_추곡_추곡_율동자연공원내 화장실 보수 및 도색공사_내역서-최종0223_설계서-1" xfId="1004" xr:uid="{00000000-0005-0000-0000-0000EB030000}"/>
    <cellStyle name="_추곡_추곡_율동자연공원내 화장실 보수 및 도색공사_내역서-최종0223_설계서-1_00-설계서,원가계산,내역서" xfId="1005" xr:uid="{00000000-0005-0000-0000-0000EC030000}"/>
    <cellStyle name="_추곡_추곡_율동자연공원내 화장실 보수 및 도색공사_내역서-최종0223_진해자은수량산출서(단지내)" xfId="1006" xr:uid="{00000000-0005-0000-0000-0000ED030000}"/>
    <cellStyle name="_추곡_추곡_율동자연공원내 화장실 보수 및 도색공사_내역서-최종0223_진해자은수량산출서(단지내)_00-설계서,원가계산,내역서" xfId="1007" xr:uid="{00000000-0005-0000-0000-0000EE030000}"/>
    <cellStyle name="_추곡_추곡_율동자연공원내 화장실 보수 및 도색공사_내역서-최종0223_진해자은수량산출서(단지내)_기초산출표-56-128-최종" xfId="1008" xr:uid="{00000000-0005-0000-0000-0000EF030000}"/>
    <cellStyle name="_추곡_추곡_율동자연공원내 화장실 보수 및 도색공사_내역서-최종0223_진해자은수량산출서(단지내)_기초산출표-56-128-최종_00-설계서,원가계산,내역서" xfId="1009" xr:uid="{00000000-0005-0000-0000-0000F0030000}"/>
    <cellStyle name="_추곡_추곡_율동자연공원내 화장실 보수 및 도색공사_내역서-최종0223_진해자은수량산출서(단지내)_기초산출표-56-128-최종_설계서-1" xfId="1010" xr:uid="{00000000-0005-0000-0000-0000F1030000}"/>
    <cellStyle name="_추곡_추곡_율동자연공원내 화장실 보수 및 도색공사_내역서-최종0223_진해자은수량산출서(단지내)_기초산출표-56-128-최종_설계서-1_00-설계서,원가계산,내역서" xfId="1011" xr:uid="{00000000-0005-0000-0000-0000F2030000}"/>
    <cellStyle name="_추곡_추곡_율동자연공원내 화장실 보수 및 도색공사_내역서-최종0223_진해자은수량산출서(단지내)_설계서-1" xfId="1012" xr:uid="{00000000-0005-0000-0000-0000F3030000}"/>
    <cellStyle name="_추곡_추곡_율동자연공원내 화장실 보수 및 도색공사_내역서-최종0223_진해자은수량산출서(단지내)_설계서-1_00-설계서,원가계산,내역서" xfId="1013" xr:uid="{00000000-0005-0000-0000-0000F4030000}"/>
    <cellStyle name="_추곡_추곡_율동자연공원내 화장실 보수 및 도색공사_내역서-최종0223_진해자은수량산출서(단지내)_취합" xfId="1014" xr:uid="{00000000-0005-0000-0000-0000F5030000}"/>
    <cellStyle name="_추곡_추곡_율동자연공원내 화장실 보수 및 도색공사_내역서-최종0223_진해자은수량산출서(단지내)_취합_00-설계서,원가계산,내역서" xfId="1015" xr:uid="{00000000-0005-0000-0000-0000F6030000}"/>
    <cellStyle name="_추곡_추곡_율동자연공원내 화장실 보수 및 도색공사_내역서-최종0223_진해자은수량산출서(단지내)_취합_설계서-1" xfId="1016" xr:uid="{00000000-0005-0000-0000-0000F7030000}"/>
    <cellStyle name="_추곡_추곡_율동자연공원내 화장실 보수 및 도색공사_내역서-최종0223_진해자은수량산출서(단지내)_취합_설계서-1_00-설계서,원가계산,내역서" xfId="1017" xr:uid="{00000000-0005-0000-0000-0000F8030000}"/>
    <cellStyle name="_추곡_추곡_율동자연공원내 화장실 보수 및 도색공사_설계서-1" xfId="1018" xr:uid="{00000000-0005-0000-0000-0000F9030000}"/>
    <cellStyle name="_추곡_추곡_율동자연공원내 화장실 보수 및 도색공사_설계서-1_00-설계서,원가계산,내역서" xfId="1019" xr:uid="{00000000-0005-0000-0000-0000FA030000}"/>
    <cellStyle name="_추곡_추곡_율동자연공원내 화장실 보수 및 도색공사_진해자은수량산출서(단지내)" xfId="1020" xr:uid="{00000000-0005-0000-0000-0000FB030000}"/>
    <cellStyle name="_추곡_추곡_율동자연공원내 화장실 보수 및 도색공사_진해자은수량산출서(단지내)_00-설계서,원가계산,내역서" xfId="1021" xr:uid="{00000000-0005-0000-0000-0000FC030000}"/>
    <cellStyle name="_추곡_추곡_율동자연공원내 화장실 보수 및 도색공사_진해자은수량산출서(단지내)_기초산출표-56-128-최종" xfId="1022" xr:uid="{00000000-0005-0000-0000-0000FD030000}"/>
    <cellStyle name="_추곡_추곡_율동자연공원내 화장실 보수 및 도색공사_진해자은수량산출서(단지내)_기초산출표-56-128-최종_00-설계서,원가계산,내역서" xfId="1023" xr:uid="{00000000-0005-0000-0000-0000FE030000}"/>
    <cellStyle name="_추곡_추곡_율동자연공원내 화장실 보수 및 도색공사_진해자은수량산출서(단지내)_기초산출표-56-128-최종_설계서-1" xfId="1024" xr:uid="{00000000-0005-0000-0000-0000FF030000}"/>
    <cellStyle name="_추곡_추곡_율동자연공원내 화장실 보수 및 도색공사_진해자은수량산출서(단지내)_기초산출표-56-128-최종_설계서-1_00-설계서,원가계산,내역서" xfId="1025" xr:uid="{00000000-0005-0000-0000-000000040000}"/>
    <cellStyle name="_추곡_추곡_율동자연공원내 화장실 보수 및 도색공사_진해자은수량산출서(단지내)_설계서-1" xfId="1026" xr:uid="{00000000-0005-0000-0000-000001040000}"/>
    <cellStyle name="_추곡_추곡_율동자연공원내 화장실 보수 및 도색공사_진해자은수량산출서(단지내)_설계서-1_00-설계서,원가계산,내역서" xfId="1027" xr:uid="{00000000-0005-0000-0000-000002040000}"/>
    <cellStyle name="_추곡_추곡_율동자연공원내 화장실 보수 및 도색공사_진해자은수량산출서(단지내)_취합" xfId="1028" xr:uid="{00000000-0005-0000-0000-000003040000}"/>
    <cellStyle name="_추곡_추곡_율동자연공원내 화장실 보수 및 도색공사_진해자은수량산출서(단지내)_취합_00-설계서,원가계산,내역서" xfId="1029" xr:uid="{00000000-0005-0000-0000-000004040000}"/>
    <cellStyle name="_추곡_추곡_율동자연공원내 화장실 보수 및 도색공사_진해자은수량산출서(단지내)_취합_설계서-1" xfId="1030" xr:uid="{00000000-0005-0000-0000-000005040000}"/>
    <cellStyle name="_추곡_추곡_율동자연공원내 화장실 보수 및 도색공사_진해자은수량산출서(단지내)_취합_설계서-1_00-설계서,원가계산,내역서" xfId="1031" xr:uid="{00000000-0005-0000-0000-000006040000}"/>
    <cellStyle name="_추곡_추곡_율동자연공원내 휴게편의점 도색작업-할증-천정면적추가" xfId="1032" xr:uid="{00000000-0005-0000-0000-000007040000}"/>
    <cellStyle name="_추곡_추곡_율동자연공원내 휴게편의점 도색작업-할증-천정면적추가_00-설계서,원가계산,내역서" xfId="1033" xr:uid="{00000000-0005-0000-0000-000008040000}"/>
    <cellStyle name="_추곡_추곡_율동자연공원내 휴게편의점 도색작업-할증-천정면적추가_내역서-최종0223" xfId="1034" xr:uid="{00000000-0005-0000-0000-000009040000}"/>
    <cellStyle name="_추곡_추곡_율동자연공원내 휴게편의점 도색작업-할증-천정면적추가_내역서-최종0223_00-설계서,원가계산,내역서" xfId="1035" xr:uid="{00000000-0005-0000-0000-00000A040000}"/>
    <cellStyle name="_추곡_추곡_율동자연공원내 휴게편의점 도색작업-할증-천정면적추가_내역서-최종0223_설계서-1" xfId="1036" xr:uid="{00000000-0005-0000-0000-00000B040000}"/>
    <cellStyle name="_추곡_추곡_율동자연공원내 휴게편의점 도색작업-할증-천정면적추가_내역서-최종0223_설계서-1_00-설계서,원가계산,내역서" xfId="1037" xr:uid="{00000000-0005-0000-0000-00000C040000}"/>
    <cellStyle name="_추곡_추곡_율동자연공원내 휴게편의점 도색작업-할증-천정면적추가_내역서-최종0223_진해자은수량산출서(단지내)" xfId="1038" xr:uid="{00000000-0005-0000-0000-00000D040000}"/>
    <cellStyle name="_추곡_추곡_율동자연공원내 휴게편의점 도색작업-할증-천정면적추가_내역서-최종0223_진해자은수량산출서(단지내)_00-설계서,원가계산,내역서" xfId="1039" xr:uid="{00000000-0005-0000-0000-00000E040000}"/>
    <cellStyle name="_추곡_추곡_율동자연공원내 휴게편의점 도색작업-할증-천정면적추가_내역서-최종0223_진해자은수량산출서(단지내)_기초산출표-56-128-최종" xfId="1040" xr:uid="{00000000-0005-0000-0000-00000F040000}"/>
    <cellStyle name="_추곡_추곡_율동자연공원내 휴게편의점 도색작업-할증-천정면적추가_내역서-최종0223_진해자은수량산출서(단지내)_기초산출표-56-128-최종_00-설계서,원가계산,내역서" xfId="1041" xr:uid="{00000000-0005-0000-0000-000010040000}"/>
    <cellStyle name="_추곡_추곡_율동자연공원내 휴게편의점 도색작업-할증-천정면적추가_내역서-최종0223_진해자은수량산출서(단지내)_기초산출표-56-128-최종_설계서-1" xfId="1042" xr:uid="{00000000-0005-0000-0000-000011040000}"/>
    <cellStyle name="_추곡_추곡_율동자연공원내 휴게편의점 도색작업-할증-천정면적추가_내역서-최종0223_진해자은수량산출서(단지내)_기초산출표-56-128-최종_설계서-1_00-설계서,원가계산,내역서" xfId="1043" xr:uid="{00000000-0005-0000-0000-000012040000}"/>
    <cellStyle name="_추곡_추곡_율동자연공원내 휴게편의점 도색작업-할증-천정면적추가_내역서-최종0223_진해자은수량산출서(단지내)_설계서-1" xfId="1044" xr:uid="{00000000-0005-0000-0000-000013040000}"/>
    <cellStyle name="_추곡_추곡_율동자연공원내 휴게편의점 도색작업-할증-천정면적추가_내역서-최종0223_진해자은수량산출서(단지내)_설계서-1_00-설계서,원가계산,내역서" xfId="1045" xr:uid="{00000000-0005-0000-0000-000014040000}"/>
    <cellStyle name="_추곡_추곡_율동자연공원내 휴게편의점 도색작업-할증-천정면적추가_내역서-최종0223_진해자은수량산출서(단지내)_취합" xfId="1046" xr:uid="{00000000-0005-0000-0000-000015040000}"/>
    <cellStyle name="_추곡_추곡_율동자연공원내 휴게편의점 도색작업-할증-천정면적추가_내역서-최종0223_진해자은수량산출서(단지내)_취합_00-설계서,원가계산,내역서" xfId="1047" xr:uid="{00000000-0005-0000-0000-000016040000}"/>
    <cellStyle name="_추곡_추곡_율동자연공원내 휴게편의점 도색작업-할증-천정면적추가_내역서-최종0223_진해자은수량산출서(단지내)_취합_설계서-1" xfId="1048" xr:uid="{00000000-0005-0000-0000-000017040000}"/>
    <cellStyle name="_추곡_추곡_율동자연공원내 휴게편의점 도색작업-할증-천정면적추가_내역서-최종0223_진해자은수량산출서(단지내)_취합_설계서-1_00-설계서,원가계산,내역서" xfId="1049" xr:uid="{00000000-0005-0000-0000-000018040000}"/>
    <cellStyle name="_추곡_추곡_율동자연공원내 휴게편의점 도색작업-할증-천정면적추가_설계서-1" xfId="1050" xr:uid="{00000000-0005-0000-0000-000019040000}"/>
    <cellStyle name="_추곡_추곡_율동자연공원내 휴게편의점 도색작업-할증-천정면적추가_설계서-1_00-설계서,원가계산,내역서" xfId="1051" xr:uid="{00000000-0005-0000-0000-00001A040000}"/>
    <cellStyle name="_추곡_추곡_율동자연공원내 휴게편의점 도색작업-할증-천정면적추가_진해자은수량산출서(단지내)" xfId="1052" xr:uid="{00000000-0005-0000-0000-00001B040000}"/>
    <cellStyle name="_추곡_추곡_율동자연공원내 휴게편의점 도색작업-할증-천정면적추가_진해자은수량산출서(단지내)_00-설계서,원가계산,내역서" xfId="1053" xr:uid="{00000000-0005-0000-0000-00001C040000}"/>
    <cellStyle name="_추곡_추곡_율동자연공원내 휴게편의점 도색작업-할증-천정면적추가_진해자은수량산출서(단지내)_기초산출표-56-128-최종" xfId="1054" xr:uid="{00000000-0005-0000-0000-00001D040000}"/>
    <cellStyle name="_추곡_추곡_율동자연공원내 휴게편의점 도색작업-할증-천정면적추가_진해자은수량산출서(단지내)_기초산출표-56-128-최종_00-설계서,원가계산,내역서" xfId="1055" xr:uid="{00000000-0005-0000-0000-00001E040000}"/>
    <cellStyle name="_추곡_추곡_율동자연공원내 휴게편의점 도색작업-할증-천정면적추가_진해자은수량산출서(단지내)_기초산출표-56-128-최종_설계서-1" xfId="1056" xr:uid="{00000000-0005-0000-0000-00001F040000}"/>
    <cellStyle name="_추곡_추곡_율동자연공원내 휴게편의점 도색작업-할증-천정면적추가_진해자은수량산출서(단지내)_기초산출표-56-128-최종_설계서-1_00-설계서,원가계산,내역서" xfId="1057" xr:uid="{00000000-0005-0000-0000-000020040000}"/>
    <cellStyle name="_추곡_추곡_율동자연공원내 휴게편의점 도색작업-할증-천정면적추가_진해자은수량산출서(단지내)_설계서-1" xfId="1058" xr:uid="{00000000-0005-0000-0000-000021040000}"/>
    <cellStyle name="_추곡_추곡_율동자연공원내 휴게편의점 도색작업-할증-천정면적추가_진해자은수량산출서(단지내)_설계서-1_00-설계서,원가계산,내역서" xfId="1059" xr:uid="{00000000-0005-0000-0000-000022040000}"/>
    <cellStyle name="_추곡_추곡_율동자연공원내 휴게편의점 도색작업-할증-천정면적추가_진해자은수량산출서(단지내)_취합" xfId="1060" xr:uid="{00000000-0005-0000-0000-000023040000}"/>
    <cellStyle name="_추곡_추곡_율동자연공원내 휴게편의점 도색작업-할증-천정면적추가_진해자은수량산출서(단지내)_취합_00-설계서,원가계산,내역서" xfId="1061" xr:uid="{00000000-0005-0000-0000-000024040000}"/>
    <cellStyle name="_추곡_추곡_율동자연공원내 휴게편의점 도색작업-할증-천정면적추가_진해자은수량산출서(단지내)_취합_설계서-1" xfId="1062" xr:uid="{00000000-0005-0000-0000-000025040000}"/>
    <cellStyle name="_추곡_추곡_율동자연공원내 휴게편의점 도색작업-할증-천정면적추가_진해자은수량산출서(단지내)_취합_설계서-1_00-설계서,원가계산,내역서" xfId="1063" xr:uid="{00000000-0005-0000-0000-000026040000}"/>
    <cellStyle name="_추곡_추곡_이문동구간중랑천변녹화사업(수량산출서, 071127)-최종" xfId="1064" xr:uid="{00000000-0005-0000-0000-000027040000}"/>
    <cellStyle name="_추곡_추곡_이문동구간중랑천변녹화사업(수량산출서, 071127)-최종_00-설계서,원가계산,내역서" xfId="1065" xr:uid="{00000000-0005-0000-0000-000028040000}"/>
    <cellStyle name="_추곡_추곡_진해자은수량산출서(단지내)" xfId="1066" xr:uid="{00000000-0005-0000-0000-000029040000}"/>
    <cellStyle name="_추곡_추곡_진해자은수량산출서(단지내)_00-설계서,원가계산,내역서" xfId="1067" xr:uid="{00000000-0005-0000-0000-00002A040000}"/>
    <cellStyle name="_추곡_추곡_진해자은수량산출서(단지내)_기초산출표-56-128-최종" xfId="1068" xr:uid="{00000000-0005-0000-0000-00002B040000}"/>
    <cellStyle name="_추곡_추곡_진해자은수량산출서(단지내)_기초산출표-56-128-최종_00-설계서,원가계산,내역서" xfId="1069" xr:uid="{00000000-0005-0000-0000-00002C040000}"/>
    <cellStyle name="_추곡_추곡_진해자은수량산출서(단지내)_기초산출표-56-128-최종_설계서-1" xfId="1070" xr:uid="{00000000-0005-0000-0000-00002D040000}"/>
    <cellStyle name="_추곡_추곡_진해자은수량산출서(단지내)_기초산출표-56-128-최종_설계서-1_00-설계서,원가계산,내역서" xfId="1071" xr:uid="{00000000-0005-0000-0000-00002E040000}"/>
    <cellStyle name="_추곡_추곡_진해자은수량산출서(단지내)_설계서-1" xfId="1072" xr:uid="{00000000-0005-0000-0000-00002F040000}"/>
    <cellStyle name="_추곡_추곡_진해자은수량산출서(단지내)_설계서-1_00-설계서,원가계산,내역서" xfId="1073" xr:uid="{00000000-0005-0000-0000-000030040000}"/>
    <cellStyle name="_추곡_추곡_진해자은수량산출서(단지내)_취합" xfId="1074" xr:uid="{00000000-0005-0000-0000-000031040000}"/>
    <cellStyle name="_추곡_추곡_진해자은수량산출서(단지내)_취합_00-설계서,원가계산,내역서" xfId="1075" xr:uid="{00000000-0005-0000-0000-000032040000}"/>
    <cellStyle name="_추곡_추곡_진해자은수량산출서(단지내)_취합_설계서-1" xfId="1076" xr:uid="{00000000-0005-0000-0000-000033040000}"/>
    <cellStyle name="_추곡_추곡_진해자은수량산출서(단지내)_취합_설계서-1_00-설계서,원가계산,내역서" xfId="1077" xr:uid="{00000000-0005-0000-0000-000034040000}"/>
    <cellStyle name="_추곡_추곡_포장" xfId="1078" xr:uid="{00000000-0005-0000-0000-000035040000}"/>
    <cellStyle name="_추곡_추곡_포장_00-설계서,원가계산,내역서" xfId="1079" xr:uid="{00000000-0005-0000-0000-000036040000}"/>
    <cellStyle name="_추곡_추곡_포장_라멘교 토공" xfId="1080" xr:uid="{00000000-0005-0000-0000-000037040000}"/>
    <cellStyle name="_추곡_추곡_포장_라멘교 토공_00-설계서,원가계산,내역서" xfId="1081" xr:uid="{00000000-0005-0000-0000-000038040000}"/>
    <cellStyle name="_추곡_포장" xfId="1082" xr:uid="{00000000-0005-0000-0000-000039040000}"/>
    <cellStyle name="_추곡_포장_00-설계서,원가계산,내역서" xfId="1083" xr:uid="{00000000-0005-0000-0000-00003A040000}"/>
    <cellStyle name="_추곡_포장_라멘교 토공" xfId="1084" xr:uid="{00000000-0005-0000-0000-00003B040000}"/>
    <cellStyle name="_추곡_포장_라멘교 토공_00-설계서,원가계산,내역서" xfId="1085" xr:uid="{00000000-0005-0000-0000-00003C040000}"/>
    <cellStyle name="_포장" xfId="1086" xr:uid="{00000000-0005-0000-0000-00003D040000}"/>
    <cellStyle name="_포장_00-설계서,원가계산,내역서" xfId="1087" xr:uid="{00000000-0005-0000-0000-00003E040000}"/>
    <cellStyle name="_포장_라멘교 토공" xfId="1088" xr:uid="{00000000-0005-0000-0000-00003F040000}"/>
    <cellStyle name="_포장_라멘교 토공_00-설계서,원가계산,내역서" xfId="1089" xr:uid="{00000000-0005-0000-0000-000040040000}"/>
    <cellStyle name="_호수SS내역서040920" xfId="1090" xr:uid="{00000000-0005-0000-0000-000041040000}"/>
    <cellStyle name="_호텔약전전기공사(1공구)-발의" xfId="1091" xr:uid="{00000000-0005-0000-0000-000042040000}"/>
    <cellStyle name="_홍보관수량참고(특성화설계서)" xfId="1092" xr:uid="{00000000-0005-0000-0000-000043040000}"/>
    <cellStyle name="_Book1" xfId="24" xr:uid="{00000000-0005-0000-0000-000017000000}"/>
    <cellStyle name="_CM공문양식(품의,협조,대외공문)" xfId="25" xr:uid="{00000000-0005-0000-0000-000018000000}"/>
    <cellStyle name="_CM양식(대외공문,협조전,품의서)" xfId="26" xr:uid="{00000000-0005-0000-0000-000019000000}"/>
    <cellStyle name="_FCST (2)" xfId="27" xr:uid="{00000000-0005-0000-0000-00001A000000}"/>
    <cellStyle name="_RE" xfId="28" xr:uid="{00000000-0005-0000-0000-00001B000000}"/>
    <cellStyle name="??&amp;O?&amp;H?_x0008__x000f__x0007_?_x0007__x0001__x0001_" xfId="12" xr:uid="{00000000-0005-0000-0000-00000B000000}"/>
    <cellStyle name="??&amp;O?&amp;H?_x0008_??_x0007__x0001__x0001_" xfId="13" xr:uid="{00000000-0005-0000-0000-00000C000000}"/>
    <cellStyle name="?曹%U?&amp;H?_x0008_?s_x000a__x0007__x0001__x0001_" xfId="15" xr:uid="{00000000-0005-0000-0000-00000E000000}"/>
    <cellStyle name="?W?_laroux" xfId="14" xr:uid="{00000000-0005-0000-0000-00000D000000}"/>
    <cellStyle name="' '" xfId="2" xr:uid="{00000000-0005-0000-0000-000001000000}"/>
    <cellStyle name="’E‰Y [0.00]_laroux" xfId="1093" xr:uid="{00000000-0005-0000-0000-000044040000}"/>
    <cellStyle name="’E‰Y_laroux" xfId="1094" xr:uid="{00000000-0005-0000-0000-000045040000}"/>
    <cellStyle name="&quot;" xfId="6" xr:uid="{00000000-0005-0000-0000-000005000000}"/>
    <cellStyle name="(##.00)" xfId="8" xr:uid="{00000000-0005-0000-0000-000007000000}"/>
    <cellStyle name="(△콤마)" xfId="9" xr:uid="{00000000-0005-0000-0000-000008000000}"/>
    <cellStyle name="(백분율)" xfId="10" xr:uid="{00000000-0005-0000-0000-000009000000}"/>
    <cellStyle name="(콤마)" xfId="11" xr:uid="{00000000-0005-0000-0000-00000A000000}"/>
    <cellStyle name="#,##0" xfId="7" xr:uid="{00000000-0005-0000-0000-000006000000}"/>
    <cellStyle name="+,-,0" xfId="1096" xr:uid="{00000000-0005-0000-0000-000047040000}"/>
    <cellStyle name="△ []" xfId="1097" xr:uid="{00000000-0005-0000-0000-000048040000}"/>
    <cellStyle name="△ [0]" xfId="1098" xr:uid="{00000000-0005-0000-0000-000049040000}"/>
    <cellStyle name="△백분율" xfId="1099" xr:uid="{00000000-0005-0000-0000-00004A040000}"/>
    <cellStyle name="△콤마" xfId="1100" xr:uid="{00000000-0005-0000-0000-00004B040000}"/>
    <cellStyle name="¤@?e_TEST-1 " xfId="1095" xr:uid="{00000000-0005-0000-0000-000046040000}"/>
    <cellStyle name="0" xfId="1104" xr:uid="{00000000-0005-0000-0000-00004F040000}"/>
    <cellStyle name="0.0" xfId="1105" xr:uid="{00000000-0005-0000-0000-000050040000}"/>
    <cellStyle name="0.00" xfId="1106" xr:uid="{00000000-0005-0000-0000-000051040000}"/>
    <cellStyle name="00" xfId="1107" xr:uid="{00000000-0005-0000-0000-000052040000}"/>
    <cellStyle name="1" xfId="1108" xr:uid="{00000000-0005-0000-0000-000053040000}"/>
    <cellStyle name="1_00-수량산출서" xfId="1109" xr:uid="{00000000-0005-0000-0000-000054040000}"/>
    <cellStyle name="1_00-예산서양식100" xfId="1110" xr:uid="{00000000-0005-0000-0000-000055040000}"/>
    <cellStyle name="1_01-내역서(071118)" xfId="1111" xr:uid="{00000000-0005-0000-0000-000056040000}"/>
    <cellStyle name="1_22수량산출서(총괄)" xfId="1113" xr:uid="{00000000-0005-0000-0000-000058040000}"/>
    <cellStyle name="1_22bl3lot수량산출" xfId="1112" xr:uid="{00000000-0005-0000-0000-000057040000}"/>
    <cellStyle name="1_강남폐기물내역" xfId="2478" xr:uid="{00000000-0005-0000-0000-0000AD090000}"/>
    <cellStyle name="1_공양식(레인보우스케이프)" xfId="2479" xr:uid="{00000000-0005-0000-0000-0000AE090000}"/>
    <cellStyle name="1_단가조사표" xfId="2480" xr:uid="{00000000-0005-0000-0000-0000AF090000}"/>
    <cellStyle name="1_단가조사표_1011소각" xfId="2481" xr:uid="{00000000-0005-0000-0000-0000B0090000}"/>
    <cellStyle name="1_단가조사표_1113교~1" xfId="2482" xr:uid="{00000000-0005-0000-0000-0000B1090000}"/>
    <cellStyle name="1_단가조사표_121내역" xfId="2483" xr:uid="{00000000-0005-0000-0000-0000B2090000}"/>
    <cellStyle name="1_단가조사표_객토량" xfId="2484" xr:uid="{00000000-0005-0000-0000-0000B3090000}"/>
    <cellStyle name="1_단가조사표_교통센~1" xfId="2485" xr:uid="{00000000-0005-0000-0000-0000B4090000}"/>
    <cellStyle name="1_단가조사표_교통센터412" xfId="2486" xr:uid="{00000000-0005-0000-0000-0000B5090000}"/>
    <cellStyle name="1_단가조사표_교통수" xfId="2487" xr:uid="{00000000-0005-0000-0000-0000B6090000}"/>
    <cellStyle name="1_단가조사표_교통수량산출서" xfId="2488" xr:uid="{00000000-0005-0000-0000-0000B7090000}"/>
    <cellStyle name="1_단가조사표_구조물대가 (2)" xfId="2489" xr:uid="{00000000-0005-0000-0000-0000B8090000}"/>
    <cellStyle name="1_단가조사표_내역서 (2)" xfId="2490" xr:uid="{00000000-0005-0000-0000-0000B9090000}"/>
    <cellStyle name="1_단가조사표_대전관저지구" xfId="2491" xr:uid="{00000000-0005-0000-0000-0000BA090000}"/>
    <cellStyle name="1_단가조사표_동측지~1" xfId="2492" xr:uid="{00000000-0005-0000-0000-0000BB090000}"/>
    <cellStyle name="1_단가조사표_동측지원422" xfId="2493" xr:uid="{00000000-0005-0000-0000-0000BC090000}"/>
    <cellStyle name="1_단가조사표_동측지원512" xfId="2494" xr:uid="{00000000-0005-0000-0000-0000BD090000}"/>
    <cellStyle name="1_단가조사표_동측지원524" xfId="2495" xr:uid="{00000000-0005-0000-0000-0000BE090000}"/>
    <cellStyle name="1_단가조사표_부대422" xfId="2496" xr:uid="{00000000-0005-0000-0000-0000BF090000}"/>
    <cellStyle name="1_단가조사표_부대시설" xfId="2497" xr:uid="{00000000-0005-0000-0000-0000C0090000}"/>
    <cellStyle name="1_단가조사표_소각수~1" xfId="2498" xr:uid="{00000000-0005-0000-0000-0000C1090000}"/>
    <cellStyle name="1_단가조사표_소각수내역서" xfId="2499" xr:uid="{00000000-0005-0000-0000-0000C2090000}"/>
    <cellStyle name="1_단가조사표_소각수목2" xfId="2500" xr:uid="{00000000-0005-0000-0000-0000C3090000}"/>
    <cellStyle name="1_단가조사표_수량산출서 (2)" xfId="2501" xr:uid="{00000000-0005-0000-0000-0000C4090000}"/>
    <cellStyle name="1_단가조사표_엑스포~1" xfId="2502" xr:uid="{00000000-0005-0000-0000-0000C5090000}"/>
    <cellStyle name="1_단가조사표_엑스포한빛1" xfId="2503" xr:uid="{00000000-0005-0000-0000-0000C6090000}"/>
    <cellStyle name="1_단가조사표_여객터미널331" xfId="2504" xr:uid="{00000000-0005-0000-0000-0000C7090000}"/>
    <cellStyle name="1_단가조사표_여객터미널513" xfId="2505" xr:uid="{00000000-0005-0000-0000-0000C8090000}"/>
    <cellStyle name="1_단가조사표_여객터미널629" xfId="2506" xr:uid="{00000000-0005-0000-0000-0000C9090000}"/>
    <cellStyle name="1_단가조사표_외곽도로616" xfId="2507" xr:uid="{00000000-0005-0000-0000-0000CA090000}"/>
    <cellStyle name="1_단가조사표_원가계~1" xfId="2508" xr:uid="{00000000-0005-0000-0000-0000CB090000}"/>
    <cellStyle name="1_단가조사표_유기질" xfId="2509" xr:uid="{00000000-0005-0000-0000-0000CC090000}"/>
    <cellStyle name="1_단가조사표_자재조서 (2)" xfId="2510" xr:uid="{00000000-0005-0000-0000-0000CD090000}"/>
    <cellStyle name="1_단가조사표_총괄내역" xfId="2511" xr:uid="{00000000-0005-0000-0000-0000CE090000}"/>
    <cellStyle name="1_단가조사표_총괄내역 (2)" xfId="2512" xr:uid="{00000000-0005-0000-0000-0000CF090000}"/>
    <cellStyle name="1_단가조사표_터미널도로403" xfId="2513" xr:uid="{00000000-0005-0000-0000-0000D0090000}"/>
    <cellStyle name="1_단가조사표_터미널도로429" xfId="2514" xr:uid="{00000000-0005-0000-0000-0000D1090000}"/>
    <cellStyle name="1_단가조사표_포장일위" xfId="2515" xr:uid="{00000000-0005-0000-0000-0000D2090000}"/>
    <cellStyle name="1_목동내역" xfId="2516" xr:uid="{00000000-0005-0000-0000-0000D3090000}"/>
    <cellStyle name="1_시민계략공사" xfId="2517" xr:uid="{00000000-0005-0000-0000-0000D4090000}"/>
    <cellStyle name="1_시민계략공사 2" xfId="2518" xr:uid="{00000000-0005-0000-0000-0000D5090000}"/>
    <cellStyle name="1_시민계략공사 3" xfId="2519" xr:uid="{00000000-0005-0000-0000-0000D6090000}"/>
    <cellStyle name="1_시민계략공사_2002년도각종계산서너릿제터널등7개소" xfId="2520" xr:uid="{00000000-0005-0000-0000-0000D7090000}"/>
    <cellStyle name="1_시민계략공사_2003년 각종계산서(읽기전용)" xfId="2521" xr:uid="{00000000-0005-0000-0000-0000D8090000}"/>
    <cellStyle name="1_시민계략공사_2003년 각종계산서(읽기전용)_00-설계서,원가계산,내역서" xfId="2522" xr:uid="{00000000-0005-0000-0000-0000D9090000}"/>
    <cellStyle name="1_시민계략공사_2003년 각종계산서(읽기전용)_내역서(전기)" xfId="2523" xr:uid="{00000000-0005-0000-0000-0000DA090000}"/>
    <cellStyle name="1_시민계략공사_2003년 각종계산서(읽기전용)_내역서(전기)_00-설계서,원가계산,내역서" xfId="2524" xr:uid="{00000000-0005-0000-0000-0000DB090000}"/>
    <cellStyle name="1_시민계략공사_각종계산서" xfId="2528" xr:uid="{00000000-0005-0000-0000-0000DF090000}"/>
    <cellStyle name="1_시민계략공사_각종계산서_00-설계서,원가계산,내역서" xfId="2529" xr:uid="{00000000-0005-0000-0000-0000E0090000}"/>
    <cellStyle name="1_시민계략공사_계산서및내역서5월9일변경" xfId="2530" xr:uid="{00000000-0005-0000-0000-0000E1090000}"/>
    <cellStyle name="1_시민계략공사_관급-(수배전반)" xfId="2531" xr:uid="{00000000-0005-0000-0000-0000E2090000}"/>
    <cellStyle name="1_시민계략공사_관급-(수배전반) 2" xfId="2532" xr:uid="{00000000-0005-0000-0000-0000E3090000}"/>
    <cellStyle name="1_시민계략공사_관급-(수배전반) 3" xfId="2533" xr:uid="{00000000-0005-0000-0000-0000E4090000}"/>
    <cellStyle name="1_시민계략공사_관급-등기구" xfId="2534" xr:uid="{00000000-0005-0000-0000-0000E5090000}"/>
    <cellStyle name="1_시민계략공사_관급-등기구 2" xfId="2535" xr:uid="{00000000-0005-0000-0000-0000E6090000}"/>
    <cellStyle name="1_시민계략공사_관급-등기구 3" xfId="2536" xr:uid="{00000000-0005-0000-0000-0000E7090000}"/>
    <cellStyle name="1_시민계략공사_관급-태양광등기구" xfId="2537" xr:uid="{00000000-0005-0000-0000-0000E8090000}"/>
    <cellStyle name="1_시민계략공사_관급-태양광등기구 2" xfId="2538" xr:uid="{00000000-0005-0000-0000-0000E9090000}"/>
    <cellStyle name="1_시민계략공사_관급-태양광등기구 3" xfId="2539" xr:uid="{00000000-0005-0000-0000-0000EA090000}"/>
    <cellStyle name="1_시민계략공사_광양중동중학교실증축공사(전기)-4월10일한번더" xfId="2540" xr:uid="{00000000-0005-0000-0000-0000EB090000}"/>
    <cellStyle name="1_시민계략공사_광양중동중학교실증축공사(전기)-4월10일한번더 2" xfId="2541" xr:uid="{00000000-0005-0000-0000-0000EC090000}"/>
    <cellStyle name="1_시민계략공사_광양중동중학교실증축공사(전기)-4월10일한번더 3" xfId="2542" xr:uid="{00000000-0005-0000-0000-0000ED090000}"/>
    <cellStyle name="1_시민계략공사_무안연꽃방죽(4월9일)한번더" xfId="2543" xr:uid="{00000000-0005-0000-0000-0000EE090000}"/>
    <cellStyle name="1_시민계략공사_무안연꽃방죽(4월9일)한번더 2" xfId="2544" xr:uid="{00000000-0005-0000-0000-0000EF090000}"/>
    <cellStyle name="1_시민계략공사_무안연꽃방죽(4월9일)한번더 3" xfId="2545" xr:uid="{00000000-0005-0000-0000-0000F0090000}"/>
    <cellStyle name="1_시민계략공사_백운초 신축 전기공사-납품-" xfId="2546" xr:uid="{00000000-0005-0000-0000-0000F1090000}"/>
    <cellStyle name="1_시민계략공사_백운초 신축 전기공사-납품- 2" xfId="2547" xr:uid="{00000000-0005-0000-0000-0000F2090000}"/>
    <cellStyle name="1_시민계략공사_백운초 신축 전기공사-납품- 3" xfId="2548" xr:uid="{00000000-0005-0000-0000-0000F3090000}"/>
    <cellStyle name="1_시민계략공사_보일약국~순국비간 도로개설 가로등설치공사" xfId="2549" xr:uid="{00000000-0005-0000-0000-0000F4090000}"/>
    <cellStyle name="1_시민계략공사_보일약국~순국비간 도로개설 가로등설치공사 2" xfId="2550" xr:uid="{00000000-0005-0000-0000-0000F5090000}"/>
    <cellStyle name="1_시민계략공사_보일약국~순국비간 도로개설 가로등설치공사 3" xfId="2551" xr:uid="{00000000-0005-0000-0000-0000F6090000}"/>
    <cellStyle name="1_시민계략공사_복지관 부하계산서" xfId="2552" xr:uid="{00000000-0005-0000-0000-0000F7090000}"/>
    <cellStyle name="1_시민계략공사_복지관 부하계산서_00-설계서,원가계산,내역서" xfId="2553" xr:uid="{00000000-0005-0000-0000-0000F8090000}"/>
    <cellStyle name="1_시민계략공사_복지관 부하계산서_내역서(전기)" xfId="2554" xr:uid="{00000000-0005-0000-0000-0000F9090000}"/>
    <cellStyle name="1_시민계략공사_복지관 부하계산서_내역서(전기)_00-설계서,원가계산,내역서" xfId="2555" xr:uid="{00000000-0005-0000-0000-0000FA090000}"/>
    <cellStyle name="1_시민계략공사_봉산면보건지소신축공사(전기)11월30일변경" xfId="2556" xr:uid="{00000000-0005-0000-0000-0000FB090000}"/>
    <cellStyle name="1_시민계략공사_봉산면보건지소신축공사(전기)11월30일변경 2" xfId="2557" xr:uid="{00000000-0005-0000-0000-0000FC090000}"/>
    <cellStyle name="1_시민계략공사_봉산면보건지소신축공사(전기)11월30일변경 3" xfId="2558" xr:uid="{00000000-0005-0000-0000-0000FD090000}"/>
    <cellStyle name="1_시민계략공사_북문로(팔마로)가로등설치공사(변경)3월11일" xfId="2559" xr:uid="{00000000-0005-0000-0000-0000FE090000}"/>
    <cellStyle name="1_시민계략공사_북문로(팔마로)가로등설치공사(변경)3월11일 2" xfId="2560" xr:uid="{00000000-0005-0000-0000-0000FF090000}"/>
    <cellStyle name="1_시민계략공사_북문로(팔마로)가로등설치공사(변경)3월11일 3" xfId="2561" xr:uid="{00000000-0005-0000-0000-0000000A0000}"/>
    <cellStyle name="1_시민계략공사_북문로(팔마로)가로등설치공사NO34번까지시행분" xfId="2562" xr:uid="{00000000-0005-0000-0000-0000010A0000}"/>
    <cellStyle name="1_시민계략공사_북문로(팔마로)가로등설치공사NO34번까지시행분 2" xfId="2563" xr:uid="{00000000-0005-0000-0000-0000020A0000}"/>
    <cellStyle name="1_시민계략공사_북문로(팔마로)가로등설치공사NO34번까지시행분 3" xfId="2564" xr:uid="{00000000-0005-0000-0000-0000030A0000}"/>
    <cellStyle name="1_시민계략공사_북문로(팔마로)교통신호등설치공사NO34번까지" xfId="2565" xr:uid="{00000000-0005-0000-0000-0000040A0000}"/>
    <cellStyle name="1_시민계략공사_북문로(팔마로)교통신호등설치공사NO34번까지 2" xfId="2566" xr:uid="{00000000-0005-0000-0000-0000050A0000}"/>
    <cellStyle name="1_시민계략공사_북문로(팔마로)교통신호등설치공사NO34번까지 3" xfId="2567" xr:uid="{00000000-0005-0000-0000-0000060A0000}"/>
    <cellStyle name="1_시민계략공사_북문팔마로확포장공사가로등" xfId="2568" xr:uid="{00000000-0005-0000-0000-0000070A0000}"/>
    <cellStyle name="1_시민계략공사_북문팔마로확포장공사가로등 2" xfId="2569" xr:uid="{00000000-0005-0000-0000-0000080A0000}"/>
    <cellStyle name="1_시민계략공사_북문팔마로확포장공사가로등 3" xfId="2570" xr:uid="{00000000-0005-0000-0000-0000090A0000}"/>
    <cellStyle name="1_시민계략공사_비상부하,발전기용량 계산서" xfId="2571" xr:uid="{00000000-0005-0000-0000-00000A0A0000}"/>
    <cellStyle name="1_시민계략공사_비상부하,발전기용량 계산서_00-설계서,원가계산,내역서" xfId="2572" xr:uid="{00000000-0005-0000-0000-00000B0A0000}"/>
    <cellStyle name="1_시민계략공사_비상부하,발전기용량 계산서_내역서(전기)" xfId="2573" xr:uid="{00000000-0005-0000-0000-00000C0A0000}"/>
    <cellStyle name="1_시민계략공사_비상부하,발전기용량 계산서_내역서(전기)_00-설계서,원가계산,내역서" xfId="2574" xr:uid="{00000000-0005-0000-0000-00000D0A0000}"/>
    <cellStyle name="1_시민계략공사_여수오동도분수(사급)R2" xfId="2575" xr:uid="{00000000-0005-0000-0000-00000E0A0000}"/>
    <cellStyle name="1_시민계략공사_여수오동도분수(사급)R2 2" xfId="2576" xr:uid="{00000000-0005-0000-0000-00000F0A0000}"/>
    <cellStyle name="1_시민계략공사_여수오동도분수(사급)R2 3" xfId="2577" xr:uid="{00000000-0005-0000-0000-0000100A0000}"/>
    <cellStyle name="1_시민계략공사_오동도음악분수수전설비공사(1차전기)" xfId="2578" xr:uid="{00000000-0005-0000-0000-0000110A0000}"/>
    <cellStyle name="1_시민계략공사_율촌중학교심야전기" xfId="2579" xr:uid="{00000000-0005-0000-0000-0000120A0000}"/>
    <cellStyle name="1_시민계략공사_율촌중학교심야전기 2" xfId="2580" xr:uid="{00000000-0005-0000-0000-0000130A0000}"/>
    <cellStyle name="1_시민계략공사_율촌중학교심야전기 3" xfId="2581" xr:uid="{00000000-0005-0000-0000-0000140A0000}"/>
    <cellStyle name="1_시민계략공사_전기-한남" xfId="2582" xr:uid="{00000000-0005-0000-0000-0000150A0000}"/>
    <cellStyle name="1_시민계략공사_조도계산서" xfId="2583" xr:uid="{00000000-0005-0000-0000-0000160A0000}"/>
    <cellStyle name="1_시민계략공사_조도계산서_00-설계서,원가계산,내역서" xfId="2584" xr:uid="{00000000-0005-0000-0000-0000170A0000}"/>
    <cellStyle name="1_시민계략공사_조도계산서_내역서(전기)" xfId="2585" xr:uid="{00000000-0005-0000-0000-0000180A0000}"/>
    <cellStyle name="1_시민계략공사_조도계산서_내역서(전기)_00-설계서,원가계산,내역서" xfId="2586" xr:uid="{00000000-0005-0000-0000-0000190A0000}"/>
    <cellStyle name="1_시민계략공사_Book2" xfId="2525" xr:uid="{00000000-0005-0000-0000-0000DC090000}"/>
    <cellStyle name="1_시민계략공사_Book2 2" xfId="2526" xr:uid="{00000000-0005-0000-0000-0000DD090000}"/>
    <cellStyle name="1_시민계략공사_Book2 3" xfId="2527" xr:uid="{00000000-0005-0000-0000-0000DE090000}"/>
    <cellStyle name="1_연안권역특화거리조성을위한음악분수대설치R6(제출EBS)-설비,전기,관리실" xfId="2587" xr:uid="{00000000-0005-0000-0000-00001A0A0000}"/>
    <cellStyle name="1_이문동(철거수량산출서)-1" xfId="2588" xr:uid="{00000000-0005-0000-0000-00001B0A0000}"/>
    <cellStyle name="1_이문동구간중랑천변녹화사업(수량산출서, 071127)-최종" xfId="2589" xr:uid="{00000000-0005-0000-0000-00001C0A0000}"/>
    <cellStyle name="1_일위대가공식2004" xfId="2590" xr:uid="{00000000-0005-0000-0000-00001D0A0000}"/>
    <cellStyle name="1_일위대가공식2005" xfId="2591" xr:uid="{00000000-0005-0000-0000-00001E0A0000}"/>
    <cellStyle name="1_폐기물" xfId="2592" xr:uid="{00000000-0005-0000-0000-00001F0A0000}"/>
    <cellStyle name="1_폐기물집계" xfId="2593" xr:uid="{00000000-0005-0000-0000-0000200A0000}"/>
    <cellStyle name="1_현충묘지-수량산출서" xfId="2594" xr:uid="{00000000-0005-0000-0000-0000210A0000}"/>
    <cellStyle name="1_laroux" xfId="1114" xr:uid="{00000000-0005-0000-0000-000059040000}"/>
    <cellStyle name="1_laroux_ATC-YOON1" xfId="1115" xr:uid="{00000000-0005-0000-0000-00005A040000}"/>
    <cellStyle name="1_total" xfId="1116" xr:uid="{00000000-0005-0000-0000-00005B040000}"/>
    <cellStyle name="1_total_00-설계서,원가계산,내역서" xfId="1117" xr:uid="{00000000-0005-0000-0000-00005C040000}"/>
    <cellStyle name="1_total_00-수량산출서" xfId="1118" xr:uid="{00000000-0005-0000-0000-00005D040000}"/>
    <cellStyle name="1_total_00-수량산출서_00-설계서,원가계산,내역서" xfId="1119" xr:uid="{00000000-0005-0000-0000-00005E040000}"/>
    <cellStyle name="1_total_01-내역서(071118)" xfId="1120" xr:uid="{00000000-0005-0000-0000-00005F040000}"/>
    <cellStyle name="1_total_01-내역서(071118)_00-설계서,원가계산,내역서" xfId="1121" xr:uid="{00000000-0005-0000-0000-000060040000}"/>
    <cellStyle name="1_total_구로리총괄내역" xfId="1122" xr:uid="{00000000-0005-0000-0000-000061040000}"/>
    <cellStyle name="1_total_구로리총괄내역_00-설계서,원가계산,내역서" xfId="1123" xr:uid="{00000000-0005-0000-0000-000062040000}"/>
    <cellStyle name="1_total_구로리총괄내역_구로리설계예산서1029" xfId="1124" xr:uid="{00000000-0005-0000-0000-000063040000}"/>
    <cellStyle name="1_total_구로리총괄내역_구로리설계예산서1029_00-설계서,원가계산,내역서" xfId="1125" xr:uid="{00000000-0005-0000-0000-000064040000}"/>
    <cellStyle name="1_total_구로리총괄내역_구로리설계예산서1029_설계서-1" xfId="1126" xr:uid="{00000000-0005-0000-0000-000065040000}"/>
    <cellStyle name="1_total_구로리총괄내역_구로리설계예산서1029_설계서-1_00-설계서,원가계산,내역서" xfId="1127" xr:uid="{00000000-0005-0000-0000-000066040000}"/>
    <cellStyle name="1_total_구로리총괄내역_구로리설계예산서1029_진해자은수량산출서(단지내)" xfId="1128" xr:uid="{00000000-0005-0000-0000-000067040000}"/>
    <cellStyle name="1_total_구로리총괄내역_구로리설계예산서1029_진해자은수량산출서(단지내)_00-설계서,원가계산,내역서" xfId="1129" xr:uid="{00000000-0005-0000-0000-000068040000}"/>
    <cellStyle name="1_total_구로리총괄내역_구로리설계예산서1029_진해자은수량산출서(단지내)_기초산출표-56-128-최종" xfId="1130" xr:uid="{00000000-0005-0000-0000-000069040000}"/>
    <cellStyle name="1_total_구로리총괄내역_구로리설계예산서1029_진해자은수량산출서(단지내)_기초산출표-56-128-최종_00-설계서,원가계산,내역서" xfId="1131" xr:uid="{00000000-0005-0000-0000-00006A040000}"/>
    <cellStyle name="1_total_구로리총괄내역_구로리설계예산서1029_진해자은수량산출서(단지내)_기초산출표-56-128-최종_설계서-1" xfId="1132" xr:uid="{00000000-0005-0000-0000-00006B040000}"/>
    <cellStyle name="1_total_구로리총괄내역_구로리설계예산서1029_진해자은수량산출서(단지내)_기초산출표-56-128-최종_설계서-1_00-설계서,원가계산,내역서" xfId="1133" xr:uid="{00000000-0005-0000-0000-00006C040000}"/>
    <cellStyle name="1_total_구로리총괄내역_구로리설계예산서1029_진해자은수량산출서(단지내)_설계서-1" xfId="1134" xr:uid="{00000000-0005-0000-0000-00006D040000}"/>
    <cellStyle name="1_total_구로리총괄내역_구로리설계예산서1029_진해자은수량산출서(단지내)_설계서-1_00-설계서,원가계산,내역서" xfId="1135" xr:uid="{00000000-0005-0000-0000-00006E040000}"/>
    <cellStyle name="1_total_구로리총괄내역_구로리설계예산서1029_진해자은수량산출서(단지내)_취합" xfId="1136" xr:uid="{00000000-0005-0000-0000-00006F040000}"/>
    <cellStyle name="1_total_구로리총괄내역_구로리설계예산서1029_진해자은수량산출서(단지내)_취합_00-설계서,원가계산,내역서" xfId="1137" xr:uid="{00000000-0005-0000-0000-000070040000}"/>
    <cellStyle name="1_total_구로리총괄내역_구로리설계예산서1029_진해자은수량산출서(단지내)_취합_설계서-1" xfId="1138" xr:uid="{00000000-0005-0000-0000-000071040000}"/>
    <cellStyle name="1_total_구로리총괄내역_구로리설계예산서1029_진해자은수량산출서(단지내)_취합_설계서-1_00-설계서,원가계산,내역서" xfId="1139" xr:uid="{00000000-0005-0000-0000-000072040000}"/>
    <cellStyle name="1_total_구로리총괄내역_구로리설계예산서1118준공" xfId="1140" xr:uid="{00000000-0005-0000-0000-000073040000}"/>
    <cellStyle name="1_total_구로리총괄내역_구로리설계예산서1118준공_00-설계서,원가계산,내역서" xfId="1141" xr:uid="{00000000-0005-0000-0000-000074040000}"/>
    <cellStyle name="1_total_구로리총괄내역_구로리설계예산서1118준공_설계서-1" xfId="1142" xr:uid="{00000000-0005-0000-0000-000075040000}"/>
    <cellStyle name="1_total_구로리총괄내역_구로리설계예산서1118준공_설계서-1_00-설계서,원가계산,내역서" xfId="1143" xr:uid="{00000000-0005-0000-0000-000076040000}"/>
    <cellStyle name="1_total_구로리총괄내역_구로리설계예산서1118준공_진해자은수량산출서(단지내)" xfId="1144" xr:uid="{00000000-0005-0000-0000-000077040000}"/>
    <cellStyle name="1_total_구로리총괄내역_구로리설계예산서1118준공_진해자은수량산출서(단지내)_00-설계서,원가계산,내역서" xfId="1145" xr:uid="{00000000-0005-0000-0000-000078040000}"/>
    <cellStyle name="1_total_구로리총괄내역_구로리설계예산서1118준공_진해자은수량산출서(단지내)_기초산출표-56-128-최종" xfId="1146" xr:uid="{00000000-0005-0000-0000-000079040000}"/>
    <cellStyle name="1_total_구로리총괄내역_구로리설계예산서1118준공_진해자은수량산출서(단지내)_기초산출표-56-128-최종_00-설계서,원가계산,내역서" xfId="1147" xr:uid="{00000000-0005-0000-0000-00007A040000}"/>
    <cellStyle name="1_total_구로리총괄내역_구로리설계예산서1118준공_진해자은수량산출서(단지내)_기초산출표-56-128-최종_설계서-1" xfId="1148" xr:uid="{00000000-0005-0000-0000-00007B040000}"/>
    <cellStyle name="1_total_구로리총괄내역_구로리설계예산서1118준공_진해자은수량산출서(단지내)_기초산출표-56-128-최종_설계서-1_00-설계서,원가계산,내역서" xfId="1149" xr:uid="{00000000-0005-0000-0000-00007C040000}"/>
    <cellStyle name="1_total_구로리총괄내역_구로리설계예산서1118준공_진해자은수량산출서(단지내)_설계서-1" xfId="1150" xr:uid="{00000000-0005-0000-0000-00007D040000}"/>
    <cellStyle name="1_total_구로리총괄내역_구로리설계예산서1118준공_진해자은수량산출서(단지내)_설계서-1_00-설계서,원가계산,내역서" xfId="1151" xr:uid="{00000000-0005-0000-0000-00007E040000}"/>
    <cellStyle name="1_total_구로리총괄내역_구로리설계예산서1118준공_진해자은수량산출서(단지내)_취합" xfId="1152" xr:uid="{00000000-0005-0000-0000-00007F040000}"/>
    <cellStyle name="1_total_구로리총괄내역_구로리설계예산서1118준공_진해자은수량산출서(단지내)_취합_00-설계서,원가계산,내역서" xfId="1153" xr:uid="{00000000-0005-0000-0000-000080040000}"/>
    <cellStyle name="1_total_구로리총괄내역_구로리설계예산서1118준공_진해자은수량산출서(단지내)_취합_설계서-1" xfId="1154" xr:uid="{00000000-0005-0000-0000-000081040000}"/>
    <cellStyle name="1_total_구로리총괄내역_구로리설계예산서1118준공_진해자은수량산출서(단지내)_취합_설계서-1_00-설계서,원가계산,내역서" xfId="1155" xr:uid="{00000000-0005-0000-0000-000082040000}"/>
    <cellStyle name="1_total_구로리총괄내역_구로리설계예산서조경" xfId="1156" xr:uid="{00000000-0005-0000-0000-000083040000}"/>
    <cellStyle name="1_total_구로리총괄내역_구로리설계예산서조경_00-설계서,원가계산,내역서" xfId="1157" xr:uid="{00000000-0005-0000-0000-000084040000}"/>
    <cellStyle name="1_total_구로리총괄내역_구로리설계예산서조경_설계서-1" xfId="1158" xr:uid="{00000000-0005-0000-0000-000085040000}"/>
    <cellStyle name="1_total_구로리총괄내역_구로리설계예산서조경_설계서-1_00-설계서,원가계산,내역서" xfId="1159" xr:uid="{00000000-0005-0000-0000-000086040000}"/>
    <cellStyle name="1_total_구로리총괄내역_구로리설계예산서조경_진해자은수량산출서(단지내)" xfId="1160" xr:uid="{00000000-0005-0000-0000-000087040000}"/>
    <cellStyle name="1_total_구로리총괄내역_구로리설계예산서조경_진해자은수량산출서(단지내)_00-설계서,원가계산,내역서" xfId="1161" xr:uid="{00000000-0005-0000-0000-000088040000}"/>
    <cellStyle name="1_total_구로리총괄내역_구로리설계예산서조경_진해자은수량산출서(단지내)_기초산출표-56-128-최종" xfId="1162" xr:uid="{00000000-0005-0000-0000-000089040000}"/>
    <cellStyle name="1_total_구로리총괄내역_구로리설계예산서조경_진해자은수량산출서(단지내)_기초산출표-56-128-최종_00-설계서,원가계산,내역서" xfId="1163" xr:uid="{00000000-0005-0000-0000-00008A040000}"/>
    <cellStyle name="1_total_구로리총괄내역_구로리설계예산서조경_진해자은수량산출서(단지내)_기초산출표-56-128-최종_설계서-1" xfId="1164" xr:uid="{00000000-0005-0000-0000-00008B040000}"/>
    <cellStyle name="1_total_구로리총괄내역_구로리설계예산서조경_진해자은수량산출서(단지내)_기초산출표-56-128-최종_설계서-1_00-설계서,원가계산,내역서" xfId="1165" xr:uid="{00000000-0005-0000-0000-00008C040000}"/>
    <cellStyle name="1_total_구로리총괄내역_구로리설계예산서조경_진해자은수량산출서(단지내)_설계서-1" xfId="1166" xr:uid="{00000000-0005-0000-0000-00008D040000}"/>
    <cellStyle name="1_total_구로리총괄내역_구로리설계예산서조경_진해자은수량산출서(단지내)_설계서-1_00-설계서,원가계산,내역서" xfId="1167" xr:uid="{00000000-0005-0000-0000-00008E040000}"/>
    <cellStyle name="1_total_구로리총괄내역_구로리설계예산서조경_진해자은수량산출서(단지내)_취합" xfId="1168" xr:uid="{00000000-0005-0000-0000-00008F040000}"/>
    <cellStyle name="1_total_구로리총괄내역_구로리설계예산서조경_진해자은수량산출서(단지내)_취합_00-설계서,원가계산,내역서" xfId="1169" xr:uid="{00000000-0005-0000-0000-000090040000}"/>
    <cellStyle name="1_total_구로리총괄내역_구로리설계예산서조경_진해자은수량산출서(단지내)_취합_설계서-1" xfId="1170" xr:uid="{00000000-0005-0000-0000-000091040000}"/>
    <cellStyle name="1_total_구로리총괄내역_구로리설계예산서조경_진해자은수량산출서(단지내)_취합_설계서-1_00-설계서,원가계산,내역서" xfId="1171" xr:uid="{00000000-0005-0000-0000-000092040000}"/>
    <cellStyle name="1_total_구로리총괄내역_구로리어린이공원예산서(조경)1125" xfId="1172" xr:uid="{00000000-0005-0000-0000-000093040000}"/>
    <cellStyle name="1_total_구로리총괄내역_구로리어린이공원예산서(조경)1125_00-설계서,원가계산,내역서" xfId="1173" xr:uid="{00000000-0005-0000-0000-000094040000}"/>
    <cellStyle name="1_total_구로리총괄내역_구로리어린이공원예산서(조경)1125_설계서-1" xfId="1174" xr:uid="{00000000-0005-0000-0000-000095040000}"/>
    <cellStyle name="1_total_구로리총괄내역_구로리어린이공원예산서(조경)1125_설계서-1_00-설계서,원가계산,내역서" xfId="1175" xr:uid="{00000000-0005-0000-0000-000096040000}"/>
    <cellStyle name="1_total_구로리총괄내역_구로리어린이공원예산서(조경)1125_진해자은수량산출서(단지내)" xfId="1176" xr:uid="{00000000-0005-0000-0000-000097040000}"/>
    <cellStyle name="1_total_구로리총괄내역_구로리어린이공원예산서(조경)1125_진해자은수량산출서(단지내)_00-설계서,원가계산,내역서" xfId="1177" xr:uid="{00000000-0005-0000-0000-000098040000}"/>
    <cellStyle name="1_total_구로리총괄내역_구로리어린이공원예산서(조경)1125_진해자은수량산출서(단지내)_기초산출표-56-128-최종" xfId="1178" xr:uid="{00000000-0005-0000-0000-000099040000}"/>
    <cellStyle name="1_total_구로리총괄내역_구로리어린이공원예산서(조경)1125_진해자은수량산출서(단지내)_기초산출표-56-128-최종_00-설계서,원가계산,내역서" xfId="1179" xr:uid="{00000000-0005-0000-0000-00009A040000}"/>
    <cellStyle name="1_total_구로리총괄내역_구로리어린이공원예산서(조경)1125_진해자은수량산출서(단지내)_기초산출표-56-128-최종_설계서-1" xfId="1180" xr:uid="{00000000-0005-0000-0000-00009B040000}"/>
    <cellStyle name="1_total_구로리총괄내역_구로리어린이공원예산서(조경)1125_진해자은수량산출서(단지내)_기초산출표-56-128-최종_설계서-1_00-설계서,원가계산,내역서" xfId="1181" xr:uid="{00000000-0005-0000-0000-00009C040000}"/>
    <cellStyle name="1_total_구로리총괄내역_구로리어린이공원예산서(조경)1125_진해자은수량산출서(단지내)_설계서-1" xfId="1182" xr:uid="{00000000-0005-0000-0000-00009D040000}"/>
    <cellStyle name="1_total_구로리총괄내역_구로리어린이공원예산서(조경)1125_진해자은수량산출서(단지내)_설계서-1_00-설계서,원가계산,내역서" xfId="1183" xr:uid="{00000000-0005-0000-0000-00009E040000}"/>
    <cellStyle name="1_total_구로리총괄내역_구로리어린이공원예산서(조경)1125_진해자은수량산출서(단지내)_취합" xfId="1184" xr:uid="{00000000-0005-0000-0000-00009F040000}"/>
    <cellStyle name="1_total_구로리총괄내역_구로리어린이공원예산서(조경)1125_진해자은수량산출서(단지내)_취합_00-설계서,원가계산,내역서" xfId="1185" xr:uid="{00000000-0005-0000-0000-0000A0040000}"/>
    <cellStyle name="1_total_구로리총괄내역_구로리어린이공원예산서(조경)1125_진해자은수량산출서(단지내)_취합_설계서-1" xfId="1186" xr:uid="{00000000-0005-0000-0000-0000A1040000}"/>
    <cellStyle name="1_total_구로리총괄내역_구로리어린이공원예산서(조경)1125_진해자은수량산출서(단지내)_취합_설계서-1_00-설계서,원가계산,내역서" xfId="1187" xr:uid="{00000000-0005-0000-0000-0000A2040000}"/>
    <cellStyle name="1_total_구로리총괄내역_내역서" xfId="1188" xr:uid="{00000000-0005-0000-0000-0000A3040000}"/>
    <cellStyle name="1_total_구로리총괄내역_내역서_00-설계서,원가계산,내역서" xfId="1189" xr:uid="{00000000-0005-0000-0000-0000A4040000}"/>
    <cellStyle name="1_total_구로리총괄내역_내역서_설계서-1" xfId="1190" xr:uid="{00000000-0005-0000-0000-0000A5040000}"/>
    <cellStyle name="1_total_구로리총괄내역_내역서_설계서-1_00-설계서,원가계산,내역서" xfId="1191" xr:uid="{00000000-0005-0000-0000-0000A6040000}"/>
    <cellStyle name="1_total_구로리총괄내역_내역서_진해자은수량산출서(단지내)" xfId="1192" xr:uid="{00000000-0005-0000-0000-0000A7040000}"/>
    <cellStyle name="1_total_구로리총괄내역_내역서_진해자은수량산출서(단지내)_00-설계서,원가계산,내역서" xfId="1193" xr:uid="{00000000-0005-0000-0000-0000A8040000}"/>
    <cellStyle name="1_total_구로리총괄내역_내역서_진해자은수량산출서(단지내)_기초산출표-56-128-최종" xfId="1194" xr:uid="{00000000-0005-0000-0000-0000A9040000}"/>
    <cellStyle name="1_total_구로리총괄내역_내역서_진해자은수량산출서(단지내)_기초산출표-56-128-최종_00-설계서,원가계산,내역서" xfId="1195" xr:uid="{00000000-0005-0000-0000-0000AA040000}"/>
    <cellStyle name="1_total_구로리총괄내역_내역서_진해자은수량산출서(단지내)_기초산출표-56-128-최종_설계서-1" xfId="1196" xr:uid="{00000000-0005-0000-0000-0000AB040000}"/>
    <cellStyle name="1_total_구로리총괄내역_내역서_진해자은수량산출서(단지내)_기초산출표-56-128-최종_설계서-1_00-설계서,원가계산,내역서" xfId="1197" xr:uid="{00000000-0005-0000-0000-0000AC040000}"/>
    <cellStyle name="1_total_구로리총괄내역_내역서_진해자은수량산출서(단지내)_설계서-1" xfId="1198" xr:uid="{00000000-0005-0000-0000-0000AD040000}"/>
    <cellStyle name="1_total_구로리총괄내역_내역서_진해자은수량산출서(단지내)_설계서-1_00-설계서,원가계산,내역서" xfId="1199" xr:uid="{00000000-0005-0000-0000-0000AE040000}"/>
    <cellStyle name="1_total_구로리총괄내역_내역서_진해자은수량산출서(단지내)_취합" xfId="1200" xr:uid="{00000000-0005-0000-0000-0000AF040000}"/>
    <cellStyle name="1_total_구로리총괄내역_내역서_진해자은수량산출서(단지내)_취합_00-설계서,원가계산,내역서" xfId="1201" xr:uid="{00000000-0005-0000-0000-0000B0040000}"/>
    <cellStyle name="1_total_구로리총괄내역_내역서_진해자은수량산출서(단지내)_취합_설계서-1" xfId="1202" xr:uid="{00000000-0005-0000-0000-0000B1040000}"/>
    <cellStyle name="1_total_구로리총괄내역_내역서_진해자은수량산출서(단지내)_취합_설계서-1_00-설계서,원가계산,내역서" xfId="1203" xr:uid="{00000000-0005-0000-0000-0000B2040000}"/>
    <cellStyle name="1_total_구로리총괄내역_노임단가표" xfId="1204" xr:uid="{00000000-0005-0000-0000-0000B3040000}"/>
    <cellStyle name="1_total_구로리총괄내역_노임단가표_00-설계서,원가계산,내역서" xfId="1205" xr:uid="{00000000-0005-0000-0000-0000B4040000}"/>
    <cellStyle name="1_total_구로리총괄내역_노임단가표_설계서-1" xfId="1206" xr:uid="{00000000-0005-0000-0000-0000B5040000}"/>
    <cellStyle name="1_total_구로리총괄내역_노임단가표_설계서-1_00-설계서,원가계산,내역서" xfId="1207" xr:uid="{00000000-0005-0000-0000-0000B6040000}"/>
    <cellStyle name="1_total_구로리총괄내역_노임단가표_진해자은수량산출서(단지내)" xfId="1208" xr:uid="{00000000-0005-0000-0000-0000B7040000}"/>
    <cellStyle name="1_total_구로리총괄내역_노임단가표_진해자은수량산출서(단지내)_00-설계서,원가계산,내역서" xfId="1209" xr:uid="{00000000-0005-0000-0000-0000B8040000}"/>
    <cellStyle name="1_total_구로리총괄내역_노임단가표_진해자은수량산출서(단지내)_기초산출표-56-128-최종" xfId="1210" xr:uid="{00000000-0005-0000-0000-0000B9040000}"/>
    <cellStyle name="1_total_구로리총괄내역_노임단가표_진해자은수량산출서(단지내)_기초산출표-56-128-최종_00-설계서,원가계산,내역서" xfId="1211" xr:uid="{00000000-0005-0000-0000-0000BA040000}"/>
    <cellStyle name="1_total_구로리총괄내역_노임단가표_진해자은수량산출서(단지내)_기초산출표-56-128-최종_설계서-1" xfId="1212" xr:uid="{00000000-0005-0000-0000-0000BB040000}"/>
    <cellStyle name="1_total_구로리총괄내역_노임단가표_진해자은수량산출서(단지내)_기초산출표-56-128-최종_설계서-1_00-설계서,원가계산,내역서" xfId="1213" xr:uid="{00000000-0005-0000-0000-0000BC040000}"/>
    <cellStyle name="1_total_구로리총괄내역_노임단가표_진해자은수량산출서(단지내)_설계서-1" xfId="1214" xr:uid="{00000000-0005-0000-0000-0000BD040000}"/>
    <cellStyle name="1_total_구로리총괄내역_노임단가표_진해자은수량산출서(단지내)_설계서-1_00-설계서,원가계산,내역서" xfId="1215" xr:uid="{00000000-0005-0000-0000-0000BE040000}"/>
    <cellStyle name="1_total_구로리총괄내역_노임단가표_진해자은수량산출서(단지내)_취합" xfId="1216" xr:uid="{00000000-0005-0000-0000-0000BF040000}"/>
    <cellStyle name="1_total_구로리총괄내역_노임단가표_진해자은수량산출서(단지내)_취합_00-설계서,원가계산,내역서" xfId="1217" xr:uid="{00000000-0005-0000-0000-0000C0040000}"/>
    <cellStyle name="1_total_구로리총괄내역_노임단가표_진해자은수량산출서(단지내)_취합_설계서-1" xfId="1218" xr:uid="{00000000-0005-0000-0000-0000C1040000}"/>
    <cellStyle name="1_total_구로리총괄내역_노임단가표_진해자은수량산출서(단지내)_취합_설계서-1_00-설계서,원가계산,내역서" xfId="1219" xr:uid="{00000000-0005-0000-0000-0000C2040000}"/>
    <cellStyle name="1_total_구로리총괄내역_설계서-1" xfId="1220" xr:uid="{00000000-0005-0000-0000-0000C3040000}"/>
    <cellStyle name="1_total_구로리총괄내역_설계서-1_00-설계서,원가계산,내역서" xfId="1221" xr:uid="{00000000-0005-0000-0000-0000C4040000}"/>
    <cellStyle name="1_total_구로리총괄내역_수도권매립지" xfId="1222" xr:uid="{00000000-0005-0000-0000-0000C5040000}"/>
    <cellStyle name="1_total_구로리총괄내역_수도권매립지_00-설계서,원가계산,내역서" xfId="1223" xr:uid="{00000000-0005-0000-0000-0000C6040000}"/>
    <cellStyle name="1_total_구로리총괄내역_수도권매립지_설계서-1" xfId="1224" xr:uid="{00000000-0005-0000-0000-0000C7040000}"/>
    <cellStyle name="1_total_구로리총괄내역_수도권매립지_설계서-1_00-설계서,원가계산,내역서" xfId="1225" xr:uid="{00000000-0005-0000-0000-0000C8040000}"/>
    <cellStyle name="1_total_구로리총괄내역_수도권매립지_진해자은수량산출서(단지내)" xfId="1226" xr:uid="{00000000-0005-0000-0000-0000C9040000}"/>
    <cellStyle name="1_total_구로리총괄내역_수도권매립지_진해자은수량산출서(단지내)_00-설계서,원가계산,내역서" xfId="1227" xr:uid="{00000000-0005-0000-0000-0000CA040000}"/>
    <cellStyle name="1_total_구로리총괄내역_수도권매립지_진해자은수량산출서(단지내)_기초산출표-56-128-최종" xfId="1228" xr:uid="{00000000-0005-0000-0000-0000CB040000}"/>
    <cellStyle name="1_total_구로리총괄내역_수도권매립지_진해자은수량산출서(단지내)_기초산출표-56-128-최종_00-설계서,원가계산,내역서" xfId="1229" xr:uid="{00000000-0005-0000-0000-0000CC040000}"/>
    <cellStyle name="1_total_구로리총괄내역_수도권매립지_진해자은수량산출서(단지내)_기초산출표-56-128-최종_설계서-1" xfId="1230" xr:uid="{00000000-0005-0000-0000-0000CD040000}"/>
    <cellStyle name="1_total_구로리총괄내역_수도권매립지_진해자은수량산출서(단지내)_기초산출표-56-128-최종_설계서-1_00-설계서,원가계산,내역서" xfId="1231" xr:uid="{00000000-0005-0000-0000-0000CE040000}"/>
    <cellStyle name="1_total_구로리총괄내역_수도권매립지_진해자은수량산출서(단지내)_설계서-1" xfId="1232" xr:uid="{00000000-0005-0000-0000-0000CF040000}"/>
    <cellStyle name="1_total_구로리총괄내역_수도권매립지_진해자은수량산출서(단지내)_설계서-1_00-설계서,원가계산,내역서" xfId="1233" xr:uid="{00000000-0005-0000-0000-0000D0040000}"/>
    <cellStyle name="1_total_구로리총괄내역_수도권매립지_진해자은수량산출서(단지내)_취합" xfId="1234" xr:uid="{00000000-0005-0000-0000-0000D1040000}"/>
    <cellStyle name="1_total_구로리총괄내역_수도권매립지_진해자은수량산출서(단지내)_취합_00-설계서,원가계산,내역서" xfId="1235" xr:uid="{00000000-0005-0000-0000-0000D2040000}"/>
    <cellStyle name="1_total_구로리총괄내역_수도권매립지_진해자은수량산출서(단지내)_취합_설계서-1" xfId="1236" xr:uid="{00000000-0005-0000-0000-0000D3040000}"/>
    <cellStyle name="1_total_구로리총괄내역_수도권매립지_진해자은수량산출서(단지내)_취합_설계서-1_00-설계서,원가계산,내역서" xfId="1237" xr:uid="{00000000-0005-0000-0000-0000D4040000}"/>
    <cellStyle name="1_total_구로리총괄내역_수도권매립지1004(발주용)" xfId="1238" xr:uid="{00000000-0005-0000-0000-0000D5040000}"/>
    <cellStyle name="1_total_구로리총괄내역_수도권매립지1004(발주용)_00-설계서,원가계산,내역서" xfId="1239" xr:uid="{00000000-0005-0000-0000-0000D6040000}"/>
    <cellStyle name="1_total_구로리총괄내역_수도권매립지1004(발주용)_설계서-1" xfId="1240" xr:uid="{00000000-0005-0000-0000-0000D7040000}"/>
    <cellStyle name="1_total_구로리총괄내역_수도권매립지1004(발주용)_설계서-1_00-설계서,원가계산,내역서" xfId="1241" xr:uid="{00000000-0005-0000-0000-0000D8040000}"/>
    <cellStyle name="1_total_구로리총괄내역_수도권매립지1004(발주용)_진해자은수량산출서(단지내)" xfId="1242" xr:uid="{00000000-0005-0000-0000-0000D9040000}"/>
    <cellStyle name="1_total_구로리총괄내역_수도권매립지1004(발주용)_진해자은수량산출서(단지내)_00-설계서,원가계산,내역서" xfId="1243" xr:uid="{00000000-0005-0000-0000-0000DA040000}"/>
    <cellStyle name="1_total_구로리총괄내역_수도권매립지1004(발주용)_진해자은수량산출서(단지내)_기초산출표-56-128-최종" xfId="1244" xr:uid="{00000000-0005-0000-0000-0000DB040000}"/>
    <cellStyle name="1_total_구로리총괄내역_수도권매립지1004(발주용)_진해자은수량산출서(단지내)_기초산출표-56-128-최종_00-설계서,원가계산,내역서" xfId="1245" xr:uid="{00000000-0005-0000-0000-0000DC040000}"/>
    <cellStyle name="1_total_구로리총괄내역_수도권매립지1004(발주용)_진해자은수량산출서(단지내)_기초산출표-56-128-최종_설계서-1" xfId="1246" xr:uid="{00000000-0005-0000-0000-0000DD040000}"/>
    <cellStyle name="1_total_구로리총괄내역_수도권매립지1004(발주용)_진해자은수량산출서(단지내)_기초산출표-56-128-최종_설계서-1_00-설계서,원가계산,내역서" xfId="1247" xr:uid="{00000000-0005-0000-0000-0000DE040000}"/>
    <cellStyle name="1_total_구로리총괄내역_수도권매립지1004(발주용)_진해자은수량산출서(단지내)_설계서-1" xfId="1248" xr:uid="{00000000-0005-0000-0000-0000DF040000}"/>
    <cellStyle name="1_total_구로리총괄내역_수도권매립지1004(발주용)_진해자은수량산출서(단지내)_설계서-1_00-설계서,원가계산,내역서" xfId="1249" xr:uid="{00000000-0005-0000-0000-0000E0040000}"/>
    <cellStyle name="1_total_구로리총괄내역_수도권매립지1004(발주용)_진해자은수량산출서(단지내)_취합" xfId="1250" xr:uid="{00000000-0005-0000-0000-0000E1040000}"/>
    <cellStyle name="1_total_구로리총괄내역_수도권매립지1004(발주용)_진해자은수량산출서(단지내)_취합_00-설계서,원가계산,내역서" xfId="1251" xr:uid="{00000000-0005-0000-0000-0000E2040000}"/>
    <cellStyle name="1_total_구로리총괄내역_수도권매립지1004(발주용)_진해자은수량산출서(단지내)_취합_설계서-1" xfId="1252" xr:uid="{00000000-0005-0000-0000-0000E3040000}"/>
    <cellStyle name="1_total_구로리총괄내역_수도권매립지1004(발주용)_진해자은수량산출서(단지내)_취합_설계서-1_00-설계서,원가계산,내역서" xfId="1253" xr:uid="{00000000-0005-0000-0000-0000E4040000}"/>
    <cellStyle name="1_total_구로리총괄내역_일신건영설계예산서(0211)" xfId="1254" xr:uid="{00000000-0005-0000-0000-0000E5040000}"/>
    <cellStyle name="1_total_구로리총괄내역_일신건영설계예산서(0211)_00-설계서,원가계산,내역서" xfId="1255" xr:uid="{00000000-0005-0000-0000-0000E6040000}"/>
    <cellStyle name="1_total_구로리총괄내역_일신건영설계예산서(0211)_설계서-1" xfId="1256" xr:uid="{00000000-0005-0000-0000-0000E7040000}"/>
    <cellStyle name="1_total_구로리총괄내역_일신건영설계예산서(0211)_설계서-1_00-설계서,원가계산,내역서" xfId="1257" xr:uid="{00000000-0005-0000-0000-0000E8040000}"/>
    <cellStyle name="1_total_구로리총괄내역_일신건영설계예산서(0211)_진해자은수량산출서(단지내)" xfId="1258" xr:uid="{00000000-0005-0000-0000-0000E9040000}"/>
    <cellStyle name="1_total_구로리총괄내역_일신건영설계예산서(0211)_진해자은수량산출서(단지내)_00-설계서,원가계산,내역서" xfId="1259" xr:uid="{00000000-0005-0000-0000-0000EA040000}"/>
    <cellStyle name="1_total_구로리총괄내역_일신건영설계예산서(0211)_진해자은수량산출서(단지내)_기초산출표-56-128-최종" xfId="1260" xr:uid="{00000000-0005-0000-0000-0000EB040000}"/>
    <cellStyle name="1_total_구로리총괄내역_일신건영설계예산서(0211)_진해자은수량산출서(단지내)_기초산출표-56-128-최종_00-설계서,원가계산,내역서" xfId="1261" xr:uid="{00000000-0005-0000-0000-0000EC040000}"/>
    <cellStyle name="1_total_구로리총괄내역_일신건영설계예산서(0211)_진해자은수량산출서(단지내)_기초산출표-56-128-최종_설계서-1" xfId="1262" xr:uid="{00000000-0005-0000-0000-0000ED040000}"/>
    <cellStyle name="1_total_구로리총괄내역_일신건영설계예산서(0211)_진해자은수량산출서(단지내)_기초산출표-56-128-최종_설계서-1_00-설계서,원가계산,내역서" xfId="1263" xr:uid="{00000000-0005-0000-0000-0000EE040000}"/>
    <cellStyle name="1_total_구로리총괄내역_일신건영설계예산서(0211)_진해자은수량산출서(단지내)_설계서-1" xfId="1264" xr:uid="{00000000-0005-0000-0000-0000EF040000}"/>
    <cellStyle name="1_total_구로리총괄내역_일신건영설계예산서(0211)_진해자은수량산출서(단지내)_설계서-1_00-설계서,원가계산,내역서" xfId="1265" xr:uid="{00000000-0005-0000-0000-0000F0040000}"/>
    <cellStyle name="1_total_구로리총괄내역_일신건영설계예산서(0211)_진해자은수량산출서(단지내)_취합" xfId="1266" xr:uid="{00000000-0005-0000-0000-0000F1040000}"/>
    <cellStyle name="1_total_구로리총괄내역_일신건영설계예산서(0211)_진해자은수량산출서(단지내)_취합_00-설계서,원가계산,내역서" xfId="1267" xr:uid="{00000000-0005-0000-0000-0000F2040000}"/>
    <cellStyle name="1_total_구로리총괄내역_일신건영설계예산서(0211)_진해자은수량산출서(단지내)_취합_설계서-1" xfId="1268" xr:uid="{00000000-0005-0000-0000-0000F3040000}"/>
    <cellStyle name="1_total_구로리총괄내역_일신건영설계예산서(0211)_진해자은수량산출서(단지내)_취합_설계서-1_00-설계서,원가계산,내역서" xfId="1269" xr:uid="{00000000-0005-0000-0000-0000F4040000}"/>
    <cellStyle name="1_total_구로리총괄내역_일위대가" xfId="1270" xr:uid="{00000000-0005-0000-0000-0000F5040000}"/>
    <cellStyle name="1_total_구로리총괄내역_일위대가_00-설계서,원가계산,내역서" xfId="1271" xr:uid="{00000000-0005-0000-0000-0000F6040000}"/>
    <cellStyle name="1_total_구로리총괄내역_일위대가_설계서-1" xfId="1272" xr:uid="{00000000-0005-0000-0000-0000F7040000}"/>
    <cellStyle name="1_total_구로리총괄내역_일위대가_설계서-1_00-설계서,원가계산,내역서" xfId="1273" xr:uid="{00000000-0005-0000-0000-0000F8040000}"/>
    <cellStyle name="1_total_구로리총괄내역_일위대가_진해자은수량산출서(단지내)" xfId="1274" xr:uid="{00000000-0005-0000-0000-0000F9040000}"/>
    <cellStyle name="1_total_구로리총괄내역_일위대가_진해자은수량산출서(단지내)_00-설계서,원가계산,내역서" xfId="1275" xr:uid="{00000000-0005-0000-0000-0000FA040000}"/>
    <cellStyle name="1_total_구로리총괄내역_일위대가_진해자은수량산출서(단지내)_기초산출표-56-128-최종" xfId="1276" xr:uid="{00000000-0005-0000-0000-0000FB040000}"/>
    <cellStyle name="1_total_구로리총괄내역_일위대가_진해자은수량산출서(단지내)_기초산출표-56-128-최종_00-설계서,원가계산,내역서" xfId="1277" xr:uid="{00000000-0005-0000-0000-0000FC040000}"/>
    <cellStyle name="1_total_구로리총괄내역_일위대가_진해자은수량산출서(단지내)_기초산출표-56-128-최종_설계서-1" xfId="1278" xr:uid="{00000000-0005-0000-0000-0000FD040000}"/>
    <cellStyle name="1_total_구로리총괄내역_일위대가_진해자은수량산출서(단지내)_기초산출표-56-128-최종_설계서-1_00-설계서,원가계산,내역서" xfId="1279" xr:uid="{00000000-0005-0000-0000-0000FE040000}"/>
    <cellStyle name="1_total_구로리총괄내역_일위대가_진해자은수량산출서(단지내)_설계서-1" xfId="1280" xr:uid="{00000000-0005-0000-0000-0000FF040000}"/>
    <cellStyle name="1_total_구로리총괄내역_일위대가_진해자은수량산출서(단지내)_설계서-1_00-설계서,원가계산,내역서" xfId="1281" xr:uid="{00000000-0005-0000-0000-000000050000}"/>
    <cellStyle name="1_total_구로리총괄내역_일위대가_진해자은수량산출서(단지내)_취합" xfId="1282" xr:uid="{00000000-0005-0000-0000-000001050000}"/>
    <cellStyle name="1_total_구로리총괄내역_일위대가_진해자은수량산출서(단지내)_취합_00-설계서,원가계산,내역서" xfId="1283" xr:uid="{00000000-0005-0000-0000-000002050000}"/>
    <cellStyle name="1_total_구로리총괄내역_일위대가_진해자은수량산출서(단지내)_취합_설계서-1" xfId="1284" xr:uid="{00000000-0005-0000-0000-000003050000}"/>
    <cellStyle name="1_total_구로리총괄내역_일위대가_진해자은수량산출서(단지내)_취합_설계서-1_00-설계서,원가계산,내역서" xfId="1285" xr:uid="{00000000-0005-0000-0000-000004050000}"/>
    <cellStyle name="1_total_구로리총괄내역_자재단가표" xfId="1286" xr:uid="{00000000-0005-0000-0000-000005050000}"/>
    <cellStyle name="1_total_구로리총괄내역_자재단가표_00-설계서,원가계산,내역서" xfId="1287" xr:uid="{00000000-0005-0000-0000-000006050000}"/>
    <cellStyle name="1_total_구로리총괄내역_자재단가표_설계서-1" xfId="1288" xr:uid="{00000000-0005-0000-0000-000007050000}"/>
    <cellStyle name="1_total_구로리총괄내역_자재단가표_설계서-1_00-설계서,원가계산,내역서" xfId="1289" xr:uid="{00000000-0005-0000-0000-000008050000}"/>
    <cellStyle name="1_total_구로리총괄내역_자재단가표_진해자은수량산출서(단지내)" xfId="1290" xr:uid="{00000000-0005-0000-0000-000009050000}"/>
    <cellStyle name="1_total_구로리총괄내역_자재단가표_진해자은수량산출서(단지내)_00-설계서,원가계산,내역서" xfId="1291" xr:uid="{00000000-0005-0000-0000-00000A050000}"/>
    <cellStyle name="1_total_구로리총괄내역_자재단가표_진해자은수량산출서(단지내)_기초산출표-56-128-최종" xfId="1292" xr:uid="{00000000-0005-0000-0000-00000B050000}"/>
    <cellStyle name="1_total_구로리총괄내역_자재단가표_진해자은수량산출서(단지내)_기초산출표-56-128-최종_00-설계서,원가계산,내역서" xfId="1293" xr:uid="{00000000-0005-0000-0000-00000C050000}"/>
    <cellStyle name="1_total_구로리총괄내역_자재단가표_진해자은수량산출서(단지내)_기초산출표-56-128-최종_설계서-1" xfId="1294" xr:uid="{00000000-0005-0000-0000-00000D050000}"/>
    <cellStyle name="1_total_구로리총괄내역_자재단가표_진해자은수량산출서(단지내)_기초산출표-56-128-최종_설계서-1_00-설계서,원가계산,내역서" xfId="1295" xr:uid="{00000000-0005-0000-0000-00000E050000}"/>
    <cellStyle name="1_total_구로리총괄내역_자재단가표_진해자은수량산출서(단지내)_설계서-1" xfId="1296" xr:uid="{00000000-0005-0000-0000-00000F050000}"/>
    <cellStyle name="1_total_구로리총괄내역_자재단가표_진해자은수량산출서(단지내)_설계서-1_00-설계서,원가계산,내역서" xfId="1297" xr:uid="{00000000-0005-0000-0000-000010050000}"/>
    <cellStyle name="1_total_구로리총괄내역_자재단가표_진해자은수량산출서(단지내)_취합" xfId="1298" xr:uid="{00000000-0005-0000-0000-000011050000}"/>
    <cellStyle name="1_total_구로리총괄내역_자재단가표_진해자은수량산출서(단지내)_취합_00-설계서,원가계산,내역서" xfId="1299" xr:uid="{00000000-0005-0000-0000-000012050000}"/>
    <cellStyle name="1_total_구로리총괄내역_자재단가표_진해자은수량산출서(단지내)_취합_설계서-1" xfId="1300" xr:uid="{00000000-0005-0000-0000-000013050000}"/>
    <cellStyle name="1_total_구로리총괄내역_자재단가표_진해자은수량산출서(단지내)_취합_설계서-1_00-설계서,원가계산,내역서" xfId="1301" xr:uid="{00000000-0005-0000-0000-000014050000}"/>
    <cellStyle name="1_total_구로리총괄내역_장안초등학교내역0814" xfId="1302" xr:uid="{00000000-0005-0000-0000-000015050000}"/>
    <cellStyle name="1_total_구로리총괄내역_장안초등학교내역0814_00-설계서,원가계산,내역서" xfId="1303" xr:uid="{00000000-0005-0000-0000-000016050000}"/>
    <cellStyle name="1_total_구로리총괄내역_장안초등학교내역0814_설계서-1" xfId="1304" xr:uid="{00000000-0005-0000-0000-000017050000}"/>
    <cellStyle name="1_total_구로리총괄내역_장안초등학교내역0814_설계서-1_00-설계서,원가계산,내역서" xfId="1305" xr:uid="{00000000-0005-0000-0000-000018050000}"/>
    <cellStyle name="1_total_구로리총괄내역_장안초등학교내역0814_진해자은수량산출서(단지내)" xfId="1306" xr:uid="{00000000-0005-0000-0000-000019050000}"/>
    <cellStyle name="1_total_구로리총괄내역_장안초등학교내역0814_진해자은수량산출서(단지내)_00-설계서,원가계산,내역서" xfId="1307" xr:uid="{00000000-0005-0000-0000-00001A050000}"/>
    <cellStyle name="1_total_구로리총괄내역_장안초등학교내역0814_진해자은수량산출서(단지내)_기초산출표-56-128-최종" xfId="1308" xr:uid="{00000000-0005-0000-0000-00001B050000}"/>
    <cellStyle name="1_total_구로리총괄내역_장안초등학교내역0814_진해자은수량산출서(단지내)_기초산출표-56-128-최종_00-설계서,원가계산,내역서" xfId="1309" xr:uid="{00000000-0005-0000-0000-00001C050000}"/>
    <cellStyle name="1_total_구로리총괄내역_장안초등학교내역0814_진해자은수량산출서(단지내)_기초산출표-56-128-최종_설계서-1" xfId="1310" xr:uid="{00000000-0005-0000-0000-00001D050000}"/>
    <cellStyle name="1_total_구로리총괄내역_장안초등학교내역0814_진해자은수량산출서(단지내)_기초산출표-56-128-최종_설계서-1_00-설계서,원가계산,내역서" xfId="1311" xr:uid="{00000000-0005-0000-0000-00001E050000}"/>
    <cellStyle name="1_total_구로리총괄내역_장안초등학교내역0814_진해자은수량산출서(단지내)_설계서-1" xfId="1312" xr:uid="{00000000-0005-0000-0000-00001F050000}"/>
    <cellStyle name="1_total_구로리총괄내역_장안초등학교내역0814_진해자은수량산출서(단지내)_설계서-1_00-설계서,원가계산,내역서" xfId="1313" xr:uid="{00000000-0005-0000-0000-000020050000}"/>
    <cellStyle name="1_total_구로리총괄내역_장안초등학교내역0814_진해자은수량산출서(단지내)_취합" xfId="1314" xr:uid="{00000000-0005-0000-0000-000021050000}"/>
    <cellStyle name="1_total_구로리총괄내역_장안초등학교내역0814_진해자은수량산출서(단지내)_취합_00-설계서,원가계산,내역서" xfId="1315" xr:uid="{00000000-0005-0000-0000-000022050000}"/>
    <cellStyle name="1_total_구로리총괄내역_장안초등학교내역0814_진해자은수량산출서(단지내)_취합_설계서-1" xfId="1316" xr:uid="{00000000-0005-0000-0000-000023050000}"/>
    <cellStyle name="1_total_구로리총괄내역_장안초등학교내역0814_진해자은수량산출서(단지내)_취합_설계서-1_00-설계서,원가계산,내역서" xfId="1317" xr:uid="{00000000-0005-0000-0000-000024050000}"/>
    <cellStyle name="1_total_구로리총괄내역_진해자은수량산출서(단지내)" xfId="1318" xr:uid="{00000000-0005-0000-0000-000025050000}"/>
    <cellStyle name="1_total_구로리총괄내역_진해자은수량산출서(단지내)_00-설계서,원가계산,내역서" xfId="1319" xr:uid="{00000000-0005-0000-0000-000026050000}"/>
    <cellStyle name="1_total_구로리총괄내역_진해자은수량산출서(단지내)_기초산출표-56-128-최종" xfId="1320" xr:uid="{00000000-0005-0000-0000-000027050000}"/>
    <cellStyle name="1_total_구로리총괄내역_진해자은수량산출서(단지내)_기초산출표-56-128-최종_00-설계서,원가계산,내역서" xfId="1321" xr:uid="{00000000-0005-0000-0000-000028050000}"/>
    <cellStyle name="1_total_구로리총괄내역_진해자은수량산출서(단지내)_기초산출표-56-128-최종_설계서-1" xfId="1322" xr:uid="{00000000-0005-0000-0000-000029050000}"/>
    <cellStyle name="1_total_구로리총괄내역_진해자은수량산출서(단지내)_기초산출표-56-128-최종_설계서-1_00-설계서,원가계산,내역서" xfId="1323" xr:uid="{00000000-0005-0000-0000-00002A050000}"/>
    <cellStyle name="1_total_구로리총괄내역_진해자은수량산출서(단지내)_설계서-1" xfId="1324" xr:uid="{00000000-0005-0000-0000-00002B050000}"/>
    <cellStyle name="1_total_구로리총괄내역_진해자은수량산출서(단지내)_설계서-1_00-설계서,원가계산,내역서" xfId="1325" xr:uid="{00000000-0005-0000-0000-00002C050000}"/>
    <cellStyle name="1_total_구로리총괄내역_진해자은수량산출서(단지내)_취합" xfId="1326" xr:uid="{00000000-0005-0000-0000-00002D050000}"/>
    <cellStyle name="1_total_구로리총괄내역_진해자은수량산출서(단지내)_취합_00-설계서,원가계산,내역서" xfId="1327" xr:uid="{00000000-0005-0000-0000-00002E050000}"/>
    <cellStyle name="1_total_구로리총괄내역_진해자은수량산출서(단지내)_취합_설계서-1" xfId="1328" xr:uid="{00000000-0005-0000-0000-00002F050000}"/>
    <cellStyle name="1_total_구로리총괄내역_진해자은수량산출서(단지내)_취합_설계서-1_00-설계서,원가계산,내역서" xfId="1329" xr:uid="{00000000-0005-0000-0000-000030050000}"/>
    <cellStyle name="1_total_목동내역" xfId="1330" xr:uid="{00000000-0005-0000-0000-000031050000}"/>
    <cellStyle name="1_total_목동내역_00-설계서,원가계산,내역서" xfId="1331" xr:uid="{00000000-0005-0000-0000-000032050000}"/>
    <cellStyle name="1_total_목동내역_폐기물집계" xfId="1332" xr:uid="{00000000-0005-0000-0000-000033050000}"/>
    <cellStyle name="1_total_목동내역_폐기물집계_00-설계서,원가계산,내역서" xfId="1333" xr:uid="{00000000-0005-0000-0000-000034050000}"/>
    <cellStyle name="1_total_설계서-1" xfId="1334" xr:uid="{00000000-0005-0000-0000-000035050000}"/>
    <cellStyle name="1_total_설계서-1_00-설계서,원가계산,내역서" xfId="1335" xr:uid="{00000000-0005-0000-0000-000036050000}"/>
    <cellStyle name="1_total_이문동구간중랑천변녹화사업(수량산출서, 071127)-최종" xfId="1336" xr:uid="{00000000-0005-0000-0000-000037050000}"/>
    <cellStyle name="1_total_이문동구간중랑천변녹화사업(수량산출서, 071127)-최종_00-설계서,원가계산,내역서" xfId="1337" xr:uid="{00000000-0005-0000-0000-000038050000}"/>
    <cellStyle name="1_total_진해자은수량산출서(단지내)" xfId="1338" xr:uid="{00000000-0005-0000-0000-000039050000}"/>
    <cellStyle name="1_total_진해자은수량산출서(단지내)_00-설계서,원가계산,내역서" xfId="1339" xr:uid="{00000000-0005-0000-0000-00003A050000}"/>
    <cellStyle name="1_total_진해자은수량산출서(단지내)_기초산출표-56-128-최종" xfId="1340" xr:uid="{00000000-0005-0000-0000-00003B050000}"/>
    <cellStyle name="1_total_진해자은수량산출서(단지내)_기초산출표-56-128-최종_00-설계서,원가계산,내역서" xfId="1341" xr:uid="{00000000-0005-0000-0000-00003C050000}"/>
    <cellStyle name="1_total_진해자은수량산출서(단지내)_기초산출표-56-128-최종_설계서-1" xfId="1342" xr:uid="{00000000-0005-0000-0000-00003D050000}"/>
    <cellStyle name="1_total_진해자은수량산출서(단지내)_기초산출표-56-128-최종_설계서-1_00-설계서,원가계산,내역서" xfId="1343" xr:uid="{00000000-0005-0000-0000-00003E050000}"/>
    <cellStyle name="1_total_진해자은수량산출서(단지내)_설계서-1" xfId="1344" xr:uid="{00000000-0005-0000-0000-00003F050000}"/>
    <cellStyle name="1_total_진해자은수량산출서(단지내)_설계서-1_00-설계서,원가계산,내역서" xfId="1345" xr:uid="{00000000-0005-0000-0000-000040050000}"/>
    <cellStyle name="1_total_진해자은수량산출서(단지내)_취합" xfId="1346" xr:uid="{00000000-0005-0000-0000-000041050000}"/>
    <cellStyle name="1_total_진해자은수량산출서(단지내)_취합_00-설계서,원가계산,내역서" xfId="1347" xr:uid="{00000000-0005-0000-0000-000042050000}"/>
    <cellStyle name="1_total_진해자은수량산출서(단지내)_취합_설계서-1" xfId="1348" xr:uid="{00000000-0005-0000-0000-000043050000}"/>
    <cellStyle name="1_total_진해자은수량산출서(단지내)_취합_설계서-1_00-설계서,원가계산,내역서" xfId="1349" xr:uid="{00000000-0005-0000-0000-000044050000}"/>
    <cellStyle name="1_total_총괄내역0518" xfId="1350" xr:uid="{00000000-0005-0000-0000-000045050000}"/>
    <cellStyle name="1_total_총괄내역0518_00-설계서,원가계산,내역서" xfId="1351" xr:uid="{00000000-0005-0000-0000-000046050000}"/>
    <cellStyle name="1_total_총괄내역0518_구로리설계예산서1029" xfId="1352" xr:uid="{00000000-0005-0000-0000-000047050000}"/>
    <cellStyle name="1_total_총괄내역0518_구로리설계예산서1029_00-설계서,원가계산,내역서" xfId="1353" xr:uid="{00000000-0005-0000-0000-000048050000}"/>
    <cellStyle name="1_total_총괄내역0518_구로리설계예산서1029_설계서-1" xfId="1354" xr:uid="{00000000-0005-0000-0000-000049050000}"/>
    <cellStyle name="1_total_총괄내역0518_구로리설계예산서1029_설계서-1_00-설계서,원가계산,내역서" xfId="1355" xr:uid="{00000000-0005-0000-0000-00004A050000}"/>
    <cellStyle name="1_total_총괄내역0518_구로리설계예산서1029_진해자은수량산출서(단지내)" xfId="1356" xr:uid="{00000000-0005-0000-0000-00004B050000}"/>
    <cellStyle name="1_total_총괄내역0518_구로리설계예산서1029_진해자은수량산출서(단지내)_00-설계서,원가계산,내역서" xfId="1357" xr:uid="{00000000-0005-0000-0000-00004C050000}"/>
    <cellStyle name="1_total_총괄내역0518_구로리설계예산서1029_진해자은수량산출서(단지내)_기초산출표-56-128-최종" xfId="1358" xr:uid="{00000000-0005-0000-0000-00004D050000}"/>
    <cellStyle name="1_total_총괄내역0518_구로리설계예산서1029_진해자은수량산출서(단지내)_기초산출표-56-128-최종_00-설계서,원가계산,내역서" xfId="1359" xr:uid="{00000000-0005-0000-0000-00004E050000}"/>
    <cellStyle name="1_total_총괄내역0518_구로리설계예산서1029_진해자은수량산출서(단지내)_기초산출표-56-128-최종_설계서-1" xfId="1360" xr:uid="{00000000-0005-0000-0000-00004F050000}"/>
    <cellStyle name="1_total_총괄내역0518_구로리설계예산서1029_진해자은수량산출서(단지내)_기초산출표-56-128-최종_설계서-1_00-설계서,원가계산,내역서" xfId="1361" xr:uid="{00000000-0005-0000-0000-000050050000}"/>
    <cellStyle name="1_total_총괄내역0518_구로리설계예산서1029_진해자은수량산출서(단지내)_설계서-1" xfId="1362" xr:uid="{00000000-0005-0000-0000-000051050000}"/>
    <cellStyle name="1_total_총괄내역0518_구로리설계예산서1029_진해자은수량산출서(단지내)_설계서-1_00-설계서,원가계산,내역서" xfId="1363" xr:uid="{00000000-0005-0000-0000-000052050000}"/>
    <cellStyle name="1_total_총괄내역0518_구로리설계예산서1029_진해자은수량산출서(단지내)_취합" xfId="1364" xr:uid="{00000000-0005-0000-0000-000053050000}"/>
    <cellStyle name="1_total_총괄내역0518_구로리설계예산서1029_진해자은수량산출서(단지내)_취합_00-설계서,원가계산,내역서" xfId="1365" xr:uid="{00000000-0005-0000-0000-000054050000}"/>
    <cellStyle name="1_total_총괄내역0518_구로리설계예산서1029_진해자은수량산출서(단지내)_취합_설계서-1" xfId="1366" xr:uid="{00000000-0005-0000-0000-000055050000}"/>
    <cellStyle name="1_total_총괄내역0518_구로리설계예산서1029_진해자은수량산출서(단지내)_취합_설계서-1_00-설계서,원가계산,내역서" xfId="1367" xr:uid="{00000000-0005-0000-0000-000056050000}"/>
    <cellStyle name="1_total_총괄내역0518_구로리설계예산서1118준공" xfId="1368" xr:uid="{00000000-0005-0000-0000-000057050000}"/>
    <cellStyle name="1_total_총괄내역0518_구로리설계예산서1118준공_00-설계서,원가계산,내역서" xfId="1369" xr:uid="{00000000-0005-0000-0000-000058050000}"/>
    <cellStyle name="1_total_총괄내역0518_구로리설계예산서1118준공_설계서-1" xfId="1370" xr:uid="{00000000-0005-0000-0000-000059050000}"/>
    <cellStyle name="1_total_총괄내역0518_구로리설계예산서1118준공_설계서-1_00-설계서,원가계산,내역서" xfId="1371" xr:uid="{00000000-0005-0000-0000-00005A050000}"/>
    <cellStyle name="1_total_총괄내역0518_구로리설계예산서1118준공_진해자은수량산출서(단지내)" xfId="1372" xr:uid="{00000000-0005-0000-0000-00005B050000}"/>
    <cellStyle name="1_total_총괄내역0518_구로리설계예산서1118준공_진해자은수량산출서(단지내)_00-설계서,원가계산,내역서" xfId="1373" xr:uid="{00000000-0005-0000-0000-00005C050000}"/>
    <cellStyle name="1_total_총괄내역0518_구로리설계예산서1118준공_진해자은수량산출서(단지내)_기초산출표-56-128-최종" xfId="1374" xr:uid="{00000000-0005-0000-0000-00005D050000}"/>
    <cellStyle name="1_total_총괄내역0518_구로리설계예산서1118준공_진해자은수량산출서(단지내)_기초산출표-56-128-최종_00-설계서,원가계산,내역서" xfId="1375" xr:uid="{00000000-0005-0000-0000-00005E050000}"/>
    <cellStyle name="1_total_총괄내역0518_구로리설계예산서1118준공_진해자은수량산출서(단지내)_기초산출표-56-128-최종_설계서-1" xfId="1376" xr:uid="{00000000-0005-0000-0000-00005F050000}"/>
    <cellStyle name="1_total_총괄내역0518_구로리설계예산서1118준공_진해자은수량산출서(단지내)_기초산출표-56-128-최종_설계서-1_00-설계서,원가계산,내역서" xfId="1377" xr:uid="{00000000-0005-0000-0000-000060050000}"/>
    <cellStyle name="1_total_총괄내역0518_구로리설계예산서1118준공_진해자은수량산출서(단지내)_설계서-1" xfId="1378" xr:uid="{00000000-0005-0000-0000-000061050000}"/>
    <cellStyle name="1_total_총괄내역0518_구로리설계예산서1118준공_진해자은수량산출서(단지내)_설계서-1_00-설계서,원가계산,내역서" xfId="1379" xr:uid="{00000000-0005-0000-0000-000062050000}"/>
    <cellStyle name="1_total_총괄내역0518_구로리설계예산서1118준공_진해자은수량산출서(단지내)_취합" xfId="1380" xr:uid="{00000000-0005-0000-0000-000063050000}"/>
    <cellStyle name="1_total_총괄내역0518_구로리설계예산서1118준공_진해자은수량산출서(단지내)_취합_00-설계서,원가계산,내역서" xfId="1381" xr:uid="{00000000-0005-0000-0000-000064050000}"/>
    <cellStyle name="1_total_총괄내역0518_구로리설계예산서1118준공_진해자은수량산출서(단지내)_취합_설계서-1" xfId="1382" xr:uid="{00000000-0005-0000-0000-000065050000}"/>
    <cellStyle name="1_total_총괄내역0518_구로리설계예산서1118준공_진해자은수량산출서(단지내)_취합_설계서-1_00-설계서,원가계산,내역서" xfId="1383" xr:uid="{00000000-0005-0000-0000-000066050000}"/>
    <cellStyle name="1_total_총괄내역0518_구로리설계예산서조경" xfId="1384" xr:uid="{00000000-0005-0000-0000-000067050000}"/>
    <cellStyle name="1_total_총괄내역0518_구로리설계예산서조경_00-설계서,원가계산,내역서" xfId="1385" xr:uid="{00000000-0005-0000-0000-000068050000}"/>
    <cellStyle name="1_total_총괄내역0518_구로리설계예산서조경_설계서-1" xfId="1386" xr:uid="{00000000-0005-0000-0000-000069050000}"/>
    <cellStyle name="1_total_총괄내역0518_구로리설계예산서조경_설계서-1_00-설계서,원가계산,내역서" xfId="1387" xr:uid="{00000000-0005-0000-0000-00006A050000}"/>
    <cellStyle name="1_total_총괄내역0518_구로리설계예산서조경_진해자은수량산출서(단지내)" xfId="1388" xr:uid="{00000000-0005-0000-0000-00006B050000}"/>
    <cellStyle name="1_total_총괄내역0518_구로리설계예산서조경_진해자은수량산출서(단지내)_00-설계서,원가계산,내역서" xfId="1389" xr:uid="{00000000-0005-0000-0000-00006C050000}"/>
    <cellStyle name="1_total_총괄내역0518_구로리설계예산서조경_진해자은수량산출서(단지내)_기초산출표-56-128-최종" xfId="1390" xr:uid="{00000000-0005-0000-0000-00006D050000}"/>
    <cellStyle name="1_total_총괄내역0518_구로리설계예산서조경_진해자은수량산출서(단지내)_기초산출표-56-128-최종_00-설계서,원가계산,내역서" xfId="1391" xr:uid="{00000000-0005-0000-0000-00006E050000}"/>
    <cellStyle name="1_total_총괄내역0518_구로리설계예산서조경_진해자은수량산출서(단지내)_기초산출표-56-128-최종_설계서-1" xfId="1392" xr:uid="{00000000-0005-0000-0000-00006F050000}"/>
    <cellStyle name="1_total_총괄내역0518_구로리설계예산서조경_진해자은수량산출서(단지내)_기초산출표-56-128-최종_설계서-1_00-설계서,원가계산,내역서" xfId="1393" xr:uid="{00000000-0005-0000-0000-000070050000}"/>
    <cellStyle name="1_total_총괄내역0518_구로리설계예산서조경_진해자은수량산출서(단지내)_설계서-1" xfId="1394" xr:uid="{00000000-0005-0000-0000-000071050000}"/>
    <cellStyle name="1_total_총괄내역0518_구로리설계예산서조경_진해자은수량산출서(단지내)_설계서-1_00-설계서,원가계산,내역서" xfId="1395" xr:uid="{00000000-0005-0000-0000-000072050000}"/>
    <cellStyle name="1_total_총괄내역0518_구로리설계예산서조경_진해자은수량산출서(단지내)_취합" xfId="1396" xr:uid="{00000000-0005-0000-0000-000073050000}"/>
    <cellStyle name="1_total_총괄내역0518_구로리설계예산서조경_진해자은수량산출서(단지내)_취합_00-설계서,원가계산,내역서" xfId="1397" xr:uid="{00000000-0005-0000-0000-000074050000}"/>
    <cellStyle name="1_total_총괄내역0518_구로리설계예산서조경_진해자은수량산출서(단지내)_취합_설계서-1" xfId="1398" xr:uid="{00000000-0005-0000-0000-000075050000}"/>
    <cellStyle name="1_total_총괄내역0518_구로리설계예산서조경_진해자은수량산출서(단지내)_취합_설계서-1_00-설계서,원가계산,내역서" xfId="1399" xr:uid="{00000000-0005-0000-0000-000076050000}"/>
    <cellStyle name="1_total_총괄내역0518_구로리어린이공원예산서(조경)1125" xfId="1400" xr:uid="{00000000-0005-0000-0000-000077050000}"/>
    <cellStyle name="1_total_총괄내역0518_구로리어린이공원예산서(조경)1125_00-설계서,원가계산,내역서" xfId="1401" xr:uid="{00000000-0005-0000-0000-000078050000}"/>
    <cellStyle name="1_total_총괄내역0518_구로리어린이공원예산서(조경)1125_설계서-1" xfId="1402" xr:uid="{00000000-0005-0000-0000-000079050000}"/>
    <cellStyle name="1_total_총괄내역0518_구로리어린이공원예산서(조경)1125_설계서-1_00-설계서,원가계산,내역서" xfId="1403" xr:uid="{00000000-0005-0000-0000-00007A050000}"/>
    <cellStyle name="1_total_총괄내역0518_구로리어린이공원예산서(조경)1125_진해자은수량산출서(단지내)" xfId="1404" xr:uid="{00000000-0005-0000-0000-00007B050000}"/>
    <cellStyle name="1_total_총괄내역0518_구로리어린이공원예산서(조경)1125_진해자은수량산출서(단지내)_00-설계서,원가계산,내역서" xfId="1405" xr:uid="{00000000-0005-0000-0000-00007C050000}"/>
    <cellStyle name="1_total_총괄내역0518_구로리어린이공원예산서(조경)1125_진해자은수량산출서(단지내)_기초산출표-56-128-최종" xfId="1406" xr:uid="{00000000-0005-0000-0000-00007D050000}"/>
    <cellStyle name="1_total_총괄내역0518_구로리어린이공원예산서(조경)1125_진해자은수량산출서(단지내)_기초산출표-56-128-최종_00-설계서,원가계산,내역서" xfId="1407" xr:uid="{00000000-0005-0000-0000-00007E050000}"/>
    <cellStyle name="1_total_총괄내역0518_구로리어린이공원예산서(조경)1125_진해자은수량산출서(단지내)_기초산출표-56-128-최종_설계서-1" xfId="1408" xr:uid="{00000000-0005-0000-0000-00007F050000}"/>
    <cellStyle name="1_total_총괄내역0518_구로리어린이공원예산서(조경)1125_진해자은수량산출서(단지내)_기초산출표-56-128-최종_설계서-1_00-설계서,원가계산,내역서" xfId="1409" xr:uid="{00000000-0005-0000-0000-000080050000}"/>
    <cellStyle name="1_total_총괄내역0518_구로리어린이공원예산서(조경)1125_진해자은수량산출서(단지내)_설계서-1" xfId="1410" xr:uid="{00000000-0005-0000-0000-000081050000}"/>
    <cellStyle name="1_total_총괄내역0518_구로리어린이공원예산서(조경)1125_진해자은수량산출서(단지내)_설계서-1_00-설계서,원가계산,내역서" xfId="1411" xr:uid="{00000000-0005-0000-0000-000082050000}"/>
    <cellStyle name="1_total_총괄내역0518_구로리어린이공원예산서(조경)1125_진해자은수량산출서(단지내)_취합" xfId="1412" xr:uid="{00000000-0005-0000-0000-000083050000}"/>
    <cellStyle name="1_total_총괄내역0518_구로리어린이공원예산서(조경)1125_진해자은수량산출서(단지내)_취합_00-설계서,원가계산,내역서" xfId="1413" xr:uid="{00000000-0005-0000-0000-000084050000}"/>
    <cellStyle name="1_total_총괄내역0518_구로리어린이공원예산서(조경)1125_진해자은수량산출서(단지내)_취합_설계서-1" xfId="1414" xr:uid="{00000000-0005-0000-0000-000085050000}"/>
    <cellStyle name="1_total_총괄내역0518_구로리어린이공원예산서(조경)1125_진해자은수량산출서(단지내)_취합_설계서-1_00-설계서,원가계산,내역서" xfId="1415" xr:uid="{00000000-0005-0000-0000-000086050000}"/>
    <cellStyle name="1_total_총괄내역0518_내역서" xfId="1416" xr:uid="{00000000-0005-0000-0000-000087050000}"/>
    <cellStyle name="1_total_총괄내역0518_내역서_00-설계서,원가계산,내역서" xfId="1417" xr:uid="{00000000-0005-0000-0000-000088050000}"/>
    <cellStyle name="1_total_총괄내역0518_내역서_설계서-1" xfId="1418" xr:uid="{00000000-0005-0000-0000-000089050000}"/>
    <cellStyle name="1_total_총괄내역0518_내역서_설계서-1_00-설계서,원가계산,내역서" xfId="1419" xr:uid="{00000000-0005-0000-0000-00008A050000}"/>
    <cellStyle name="1_total_총괄내역0518_내역서_진해자은수량산출서(단지내)" xfId="1420" xr:uid="{00000000-0005-0000-0000-00008B050000}"/>
    <cellStyle name="1_total_총괄내역0518_내역서_진해자은수량산출서(단지내)_00-설계서,원가계산,내역서" xfId="1421" xr:uid="{00000000-0005-0000-0000-00008C050000}"/>
    <cellStyle name="1_total_총괄내역0518_내역서_진해자은수량산출서(단지내)_기초산출표-56-128-최종" xfId="1422" xr:uid="{00000000-0005-0000-0000-00008D050000}"/>
    <cellStyle name="1_total_총괄내역0518_내역서_진해자은수량산출서(단지내)_기초산출표-56-128-최종_00-설계서,원가계산,내역서" xfId="1423" xr:uid="{00000000-0005-0000-0000-00008E050000}"/>
    <cellStyle name="1_total_총괄내역0518_내역서_진해자은수량산출서(단지내)_기초산출표-56-128-최종_설계서-1" xfId="1424" xr:uid="{00000000-0005-0000-0000-00008F050000}"/>
    <cellStyle name="1_total_총괄내역0518_내역서_진해자은수량산출서(단지내)_기초산출표-56-128-최종_설계서-1_00-설계서,원가계산,내역서" xfId="1425" xr:uid="{00000000-0005-0000-0000-000090050000}"/>
    <cellStyle name="1_total_총괄내역0518_내역서_진해자은수량산출서(단지내)_설계서-1" xfId="1426" xr:uid="{00000000-0005-0000-0000-000091050000}"/>
    <cellStyle name="1_total_총괄내역0518_내역서_진해자은수량산출서(단지내)_설계서-1_00-설계서,원가계산,내역서" xfId="1427" xr:uid="{00000000-0005-0000-0000-000092050000}"/>
    <cellStyle name="1_total_총괄내역0518_내역서_진해자은수량산출서(단지내)_취합" xfId="1428" xr:uid="{00000000-0005-0000-0000-000093050000}"/>
    <cellStyle name="1_total_총괄내역0518_내역서_진해자은수량산출서(단지내)_취합_00-설계서,원가계산,내역서" xfId="1429" xr:uid="{00000000-0005-0000-0000-000094050000}"/>
    <cellStyle name="1_total_총괄내역0518_내역서_진해자은수량산출서(단지내)_취합_설계서-1" xfId="1430" xr:uid="{00000000-0005-0000-0000-000095050000}"/>
    <cellStyle name="1_total_총괄내역0518_내역서_진해자은수량산출서(단지내)_취합_설계서-1_00-설계서,원가계산,내역서" xfId="1431" xr:uid="{00000000-0005-0000-0000-000096050000}"/>
    <cellStyle name="1_total_총괄내역0518_노임단가표" xfId="1432" xr:uid="{00000000-0005-0000-0000-000097050000}"/>
    <cellStyle name="1_total_총괄내역0518_노임단가표_00-설계서,원가계산,내역서" xfId="1433" xr:uid="{00000000-0005-0000-0000-000098050000}"/>
    <cellStyle name="1_total_총괄내역0518_노임단가표_설계서-1" xfId="1434" xr:uid="{00000000-0005-0000-0000-000099050000}"/>
    <cellStyle name="1_total_총괄내역0518_노임단가표_설계서-1_00-설계서,원가계산,내역서" xfId="1435" xr:uid="{00000000-0005-0000-0000-00009A050000}"/>
    <cellStyle name="1_total_총괄내역0518_노임단가표_진해자은수량산출서(단지내)" xfId="1436" xr:uid="{00000000-0005-0000-0000-00009B050000}"/>
    <cellStyle name="1_total_총괄내역0518_노임단가표_진해자은수량산출서(단지내)_00-설계서,원가계산,내역서" xfId="1437" xr:uid="{00000000-0005-0000-0000-00009C050000}"/>
    <cellStyle name="1_total_총괄내역0518_노임단가표_진해자은수량산출서(단지내)_기초산출표-56-128-최종" xfId="1438" xr:uid="{00000000-0005-0000-0000-00009D050000}"/>
    <cellStyle name="1_total_총괄내역0518_노임단가표_진해자은수량산출서(단지내)_기초산출표-56-128-최종_00-설계서,원가계산,내역서" xfId="1439" xr:uid="{00000000-0005-0000-0000-00009E050000}"/>
    <cellStyle name="1_total_총괄내역0518_노임단가표_진해자은수량산출서(단지내)_기초산출표-56-128-최종_설계서-1" xfId="1440" xr:uid="{00000000-0005-0000-0000-00009F050000}"/>
    <cellStyle name="1_total_총괄내역0518_노임단가표_진해자은수량산출서(단지내)_기초산출표-56-128-최종_설계서-1_00-설계서,원가계산,내역서" xfId="1441" xr:uid="{00000000-0005-0000-0000-0000A0050000}"/>
    <cellStyle name="1_total_총괄내역0518_노임단가표_진해자은수량산출서(단지내)_설계서-1" xfId="1442" xr:uid="{00000000-0005-0000-0000-0000A1050000}"/>
    <cellStyle name="1_total_총괄내역0518_노임단가표_진해자은수량산출서(단지내)_설계서-1_00-설계서,원가계산,내역서" xfId="1443" xr:uid="{00000000-0005-0000-0000-0000A2050000}"/>
    <cellStyle name="1_total_총괄내역0518_노임단가표_진해자은수량산출서(단지내)_취합" xfId="1444" xr:uid="{00000000-0005-0000-0000-0000A3050000}"/>
    <cellStyle name="1_total_총괄내역0518_노임단가표_진해자은수량산출서(단지내)_취합_00-설계서,원가계산,내역서" xfId="1445" xr:uid="{00000000-0005-0000-0000-0000A4050000}"/>
    <cellStyle name="1_total_총괄내역0518_노임단가표_진해자은수량산출서(단지내)_취합_설계서-1" xfId="1446" xr:uid="{00000000-0005-0000-0000-0000A5050000}"/>
    <cellStyle name="1_total_총괄내역0518_노임단가표_진해자은수량산출서(단지내)_취합_설계서-1_00-설계서,원가계산,내역서" xfId="1447" xr:uid="{00000000-0005-0000-0000-0000A6050000}"/>
    <cellStyle name="1_total_총괄내역0518_설계서-1" xfId="1448" xr:uid="{00000000-0005-0000-0000-0000A7050000}"/>
    <cellStyle name="1_total_총괄내역0518_설계서-1_00-설계서,원가계산,내역서" xfId="1449" xr:uid="{00000000-0005-0000-0000-0000A8050000}"/>
    <cellStyle name="1_total_총괄내역0518_수도권매립지" xfId="1450" xr:uid="{00000000-0005-0000-0000-0000A9050000}"/>
    <cellStyle name="1_total_총괄내역0518_수도권매립지_00-설계서,원가계산,내역서" xfId="1451" xr:uid="{00000000-0005-0000-0000-0000AA050000}"/>
    <cellStyle name="1_total_총괄내역0518_수도권매립지_설계서-1" xfId="1452" xr:uid="{00000000-0005-0000-0000-0000AB050000}"/>
    <cellStyle name="1_total_총괄내역0518_수도권매립지_설계서-1_00-설계서,원가계산,내역서" xfId="1453" xr:uid="{00000000-0005-0000-0000-0000AC050000}"/>
    <cellStyle name="1_total_총괄내역0518_수도권매립지_진해자은수량산출서(단지내)" xfId="1454" xr:uid="{00000000-0005-0000-0000-0000AD050000}"/>
    <cellStyle name="1_total_총괄내역0518_수도권매립지_진해자은수량산출서(단지내)_00-설계서,원가계산,내역서" xfId="1455" xr:uid="{00000000-0005-0000-0000-0000AE050000}"/>
    <cellStyle name="1_total_총괄내역0518_수도권매립지_진해자은수량산출서(단지내)_기초산출표-56-128-최종" xfId="1456" xr:uid="{00000000-0005-0000-0000-0000AF050000}"/>
    <cellStyle name="1_total_총괄내역0518_수도권매립지_진해자은수량산출서(단지내)_기초산출표-56-128-최종_00-설계서,원가계산,내역서" xfId="1457" xr:uid="{00000000-0005-0000-0000-0000B0050000}"/>
    <cellStyle name="1_total_총괄내역0518_수도권매립지_진해자은수량산출서(단지내)_기초산출표-56-128-최종_설계서-1" xfId="1458" xr:uid="{00000000-0005-0000-0000-0000B1050000}"/>
    <cellStyle name="1_total_총괄내역0518_수도권매립지_진해자은수량산출서(단지내)_기초산출표-56-128-최종_설계서-1_00-설계서,원가계산,내역서" xfId="1459" xr:uid="{00000000-0005-0000-0000-0000B2050000}"/>
    <cellStyle name="1_total_총괄내역0518_수도권매립지_진해자은수량산출서(단지내)_설계서-1" xfId="1460" xr:uid="{00000000-0005-0000-0000-0000B3050000}"/>
    <cellStyle name="1_total_총괄내역0518_수도권매립지_진해자은수량산출서(단지내)_설계서-1_00-설계서,원가계산,내역서" xfId="1461" xr:uid="{00000000-0005-0000-0000-0000B4050000}"/>
    <cellStyle name="1_total_총괄내역0518_수도권매립지_진해자은수량산출서(단지내)_취합" xfId="1462" xr:uid="{00000000-0005-0000-0000-0000B5050000}"/>
    <cellStyle name="1_total_총괄내역0518_수도권매립지_진해자은수량산출서(단지내)_취합_00-설계서,원가계산,내역서" xfId="1463" xr:uid="{00000000-0005-0000-0000-0000B6050000}"/>
    <cellStyle name="1_total_총괄내역0518_수도권매립지_진해자은수량산출서(단지내)_취합_설계서-1" xfId="1464" xr:uid="{00000000-0005-0000-0000-0000B7050000}"/>
    <cellStyle name="1_total_총괄내역0518_수도권매립지_진해자은수량산출서(단지내)_취합_설계서-1_00-설계서,원가계산,내역서" xfId="1465" xr:uid="{00000000-0005-0000-0000-0000B8050000}"/>
    <cellStyle name="1_total_총괄내역0518_수도권매립지1004(발주용)" xfId="1466" xr:uid="{00000000-0005-0000-0000-0000B9050000}"/>
    <cellStyle name="1_total_총괄내역0518_수도권매립지1004(발주용)_00-설계서,원가계산,내역서" xfId="1467" xr:uid="{00000000-0005-0000-0000-0000BA050000}"/>
    <cellStyle name="1_total_총괄내역0518_수도권매립지1004(발주용)_설계서-1" xfId="1468" xr:uid="{00000000-0005-0000-0000-0000BB050000}"/>
    <cellStyle name="1_total_총괄내역0518_수도권매립지1004(발주용)_설계서-1_00-설계서,원가계산,내역서" xfId="1469" xr:uid="{00000000-0005-0000-0000-0000BC050000}"/>
    <cellStyle name="1_total_총괄내역0518_수도권매립지1004(발주용)_진해자은수량산출서(단지내)" xfId="1470" xr:uid="{00000000-0005-0000-0000-0000BD050000}"/>
    <cellStyle name="1_total_총괄내역0518_수도권매립지1004(발주용)_진해자은수량산출서(단지내)_00-설계서,원가계산,내역서" xfId="1471" xr:uid="{00000000-0005-0000-0000-0000BE050000}"/>
    <cellStyle name="1_total_총괄내역0518_수도권매립지1004(발주용)_진해자은수량산출서(단지내)_기초산출표-56-128-최종" xfId="1472" xr:uid="{00000000-0005-0000-0000-0000BF050000}"/>
    <cellStyle name="1_total_총괄내역0518_수도권매립지1004(발주용)_진해자은수량산출서(단지내)_기초산출표-56-128-최종_00-설계서,원가계산,내역서" xfId="1473" xr:uid="{00000000-0005-0000-0000-0000C0050000}"/>
    <cellStyle name="1_total_총괄내역0518_수도권매립지1004(발주용)_진해자은수량산출서(단지내)_기초산출표-56-128-최종_설계서-1" xfId="1474" xr:uid="{00000000-0005-0000-0000-0000C1050000}"/>
    <cellStyle name="1_total_총괄내역0518_수도권매립지1004(발주용)_진해자은수량산출서(단지내)_기초산출표-56-128-최종_설계서-1_00-설계서,원가계산,내역서" xfId="1475" xr:uid="{00000000-0005-0000-0000-0000C2050000}"/>
    <cellStyle name="1_total_총괄내역0518_수도권매립지1004(발주용)_진해자은수량산출서(단지내)_설계서-1" xfId="1476" xr:uid="{00000000-0005-0000-0000-0000C3050000}"/>
    <cellStyle name="1_total_총괄내역0518_수도권매립지1004(발주용)_진해자은수량산출서(단지내)_설계서-1_00-설계서,원가계산,내역서" xfId="1477" xr:uid="{00000000-0005-0000-0000-0000C4050000}"/>
    <cellStyle name="1_total_총괄내역0518_수도권매립지1004(발주용)_진해자은수량산출서(단지내)_취합" xfId="1478" xr:uid="{00000000-0005-0000-0000-0000C5050000}"/>
    <cellStyle name="1_total_총괄내역0518_수도권매립지1004(발주용)_진해자은수량산출서(단지내)_취합_00-설계서,원가계산,내역서" xfId="1479" xr:uid="{00000000-0005-0000-0000-0000C6050000}"/>
    <cellStyle name="1_total_총괄내역0518_수도권매립지1004(발주용)_진해자은수량산출서(단지내)_취합_설계서-1" xfId="1480" xr:uid="{00000000-0005-0000-0000-0000C7050000}"/>
    <cellStyle name="1_total_총괄내역0518_수도권매립지1004(발주용)_진해자은수량산출서(단지내)_취합_설계서-1_00-설계서,원가계산,내역서" xfId="1481" xr:uid="{00000000-0005-0000-0000-0000C8050000}"/>
    <cellStyle name="1_total_총괄내역0518_일신건영설계예산서(0211)" xfId="1482" xr:uid="{00000000-0005-0000-0000-0000C9050000}"/>
    <cellStyle name="1_total_총괄내역0518_일신건영설계예산서(0211)_00-설계서,원가계산,내역서" xfId="1483" xr:uid="{00000000-0005-0000-0000-0000CA050000}"/>
    <cellStyle name="1_total_총괄내역0518_일신건영설계예산서(0211)_설계서-1" xfId="1484" xr:uid="{00000000-0005-0000-0000-0000CB050000}"/>
    <cellStyle name="1_total_총괄내역0518_일신건영설계예산서(0211)_설계서-1_00-설계서,원가계산,내역서" xfId="1485" xr:uid="{00000000-0005-0000-0000-0000CC050000}"/>
    <cellStyle name="1_total_총괄내역0518_일신건영설계예산서(0211)_진해자은수량산출서(단지내)" xfId="1486" xr:uid="{00000000-0005-0000-0000-0000CD050000}"/>
    <cellStyle name="1_total_총괄내역0518_일신건영설계예산서(0211)_진해자은수량산출서(단지내)_00-설계서,원가계산,내역서" xfId="1487" xr:uid="{00000000-0005-0000-0000-0000CE050000}"/>
    <cellStyle name="1_total_총괄내역0518_일신건영설계예산서(0211)_진해자은수량산출서(단지내)_기초산출표-56-128-최종" xfId="1488" xr:uid="{00000000-0005-0000-0000-0000CF050000}"/>
    <cellStyle name="1_total_총괄내역0518_일신건영설계예산서(0211)_진해자은수량산출서(단지내)_기초산출표-56-128-최종_00-설계서,원가계산,내역서" xfId="1489" xr:uid="{00000000-0005-0000-0000-0000D0050000}"/>
    <cellStyle name="1_total_총괄내역0518_일신건영설계예산서(0211)_진해자은수량산출서(단지내)_기초산출표-56-128-최종_설계서-1" xfId="1490" xr:uid="{00000000-0005-0000-0000-0000D1050000}"/>
    <cellStyle name="1_total_총괄내역0518_일신건영설계예산서(0211)_진해자은수량산출서(단지내)_기초산출표-56-128-최종_설계서-1_00-설계서,원가계산,내역서" xfId="1491" xr:uid="{00000000-0005-0000-0000-0000D2050000}"/>
    <cellStyle name="1_total_총괄내역0518_일신건영설계예산서(0211)_진해자은수량산출서(단지내)_설계서-1" xfId="1492" xr:uid="{00000000-0005-0000-0000-0000D3050000}"/>
    <cellStyle name="1_total_총괄내역0518_일신건영설계예산서(0211)_진해자은수량산출서(단지내)_설계서-1_00-설계서,원가계산,내역서" xfId="1493" xr:uid="{00000000-0005-0000-0000-0000D4050000}"/>
    <cellStyle name="1_total_총괄내역0518_일신건영설계예산서(0211)_진해자은수량산출서(단지내)_취합" xfId="1494" xr:uid="{00000000-0005-0000-0000-0000D5050000}"/>
    <cellStyle name="1_total_총괄내역0518_일신건영설계예산서(0211)_진해자은수량산출서(단지내)_취합_00-설계서,원가계산,내역서" xfId="1495" xr:uid="{00000000-0005-0000-0000-0000D6050000}"/>
    <cellStyle name="1_total_총괄내역0518_일신건영설계예산서(0211)_진해자은수량산출서(단지내)_취합_설계서-1" xfId="1496" xr:uid="{00000000-0005-0000-0000-0000D7050000}"/>
    <cellStyle name="1_total_총괄내역0518_일신건영설계예산서(0211)_진해자은수량산출서(단지내)_취합_설계서-1_00-설계서,원가계산,내역서" xfId="1497" xr:uid="{00000000-0005-0000-0000-0000D8050000}"/>
    <cellStyle name="1_total_총괄내역0518_일위대가" xfId="1498" xr:uid="{00000000-0005-0000-0000-0000D9050000}"/>
    <cellStyle name="1_total_총괄내역0518_일위대가_00-설계서,원가계산,내역서" xfId="1499" xr:uid="{00000000-0005-0000-0000-0000DA050000}"/>
    <cellStyle name="1_total_총괄내역0518_일위대가_설계서-1" xfId="1500" xr:uid="{00000000-0005-0000-0000-0000DB050000}"/>
    <cellStyle name="1_total_총괄내역0518_일위대가_설계서-1_00-설계서,원가계산,내역서" xfId="1501" xr:uid="{00000000-0005-0000-0000-0000DC050000}"/>
    <cellStyle name="1_total_총괄내역0518_일위대가_진해자은수량산출서(단지내)" xfId="1502" xr:uid="{00000000-0005-0000-0000-0000DD050000}"/>
    <cellStyle name="1_total_총괄내역0518_일위대가_진해자은수량산출서(단지내)_00-설계서,원가계산,내역서" xfId="1503" xr:uid="{00000000-0005-0000-0000-0000DE050000}"/>
    <cellStyle name="1_total_총괄내역0518_일위대가_진해자은수량산출서(단지내)_기초산출표-56-128-최종" xfId="1504" xr:uid="{00000000-0005-0000-0000-0000DF050000}"/>
    <cellStyle name="1_total_총괄내역0518_일위대가_진해자은수량산출서(단지내)_기초산출표-56-128-최종_00-설계서,원가계산,내역서" xfId="1505" xr:uid="{00000000-0005-0000-0000-0000E0050000}"/>
    <cellStyle name="1_total_총괄내역0518_일위대가_진해자은수량산출서(단지내)_기초산출표-56-128-최종_설계서-1" xfId="1506" xr:uid="{00000000-0005-0000-0000-0000E1050000}"/>
    <cellStyle name="1_total_총괄내역0518_일위대가_진해자은수량산출서(단지내)_기초산출표-56-128-최종_설계서-1_00-설계서,원가계산,내역서" xfId="1507" xr:uid="{00000000-0005-0000-0000-0000E2050000}"/>
    <cellStyle name="1_total_총괄내역0518_일위대가_진해자은수량산출서(단지내)_설계서-1" xfId="1508" xr:uid="{00000000-0005-0000-0000-0000E3050000}"/>
    <cellStyle name="1_total_총괄내역0518_일위대가_진해자은수량산출서(단지내)_설계서-1_00-설계서,원가계산,내역서" xfId="1509" xr:uid="{00000000-0005-0000-0000-0000E4050000}"/>
    <cellStyle name="1_total_총괄내역0518_일위대가_진해자은수량산출서(단지내)_취합" xfId="1510" xr:uid="{00000000-0005-0000-0000-0000E5050000}"/>
    <cellStyle name="1_total_총괄내역0518_일위대가_진해자은수량산출서(단지내)_취합_00-설계서,원가계산,내역서" xfId="1511" xr:uid="{00000000-0005-0000-0000-0000E6050000}"/>
    <cellStyle name="1_total_총괄내역0518_일위대가_진해자은수량산출서(단지내)_취합_설계서-1" xfId="1512" xr:uid="{00000000-0005-0000-0000-0000E7050000}"/>
    <cellStyle name="1_total_총괄내역0518_일위대가_진해자은수량산출서(단지내)_취합_설계서-1_00-설계서,원가계산,내역서" xfId="1513" xr:uid="{00000000-0005-0000-0000-0000E8050000}"/>
    <cellStyle name="1_total_총괄내역0518_자재단가표" xfId="1514" xr:uid="{00000000-0005-0000-0000-0000E9050000}"/>
    <cellStyle name="1_total_총괄내역0518_자재단가표_00-설계서,원가계산,내역서" xfId="1515" xr:uid="{00000000-0005-0000-0000-0000EA050000}"/>
    <cellStyle name="1_total_총괄내역0518_자재단가표_설계서-1" xfId="1516" xr:uid="{00000000-0005-0000-0000-0000EB050000}"/>
    <cellStyle name="1_total_총괄내역0518_자재단가표_설계서-1_00-설계서,원가계산,내역서" xfId="1517" xr:uid="{00000000-0005-0000-0000-0000EC050000}"/>
    <cellStyle name="1_total_총괄내역0518_자재단가표_진해자은수량산출서(단지내)" xfId="1518" xr:uid="{00000000-0005-0000-0000-0000ED050000}"/>
    <cellStyle name="1_total_총괄내역0518_자재단가표_진해자은수량산출서(단지내)_00-설계서,원가계산,내역서" xfId="1519" xr:uid="{00000000-0005-0000-0000-0000EE050000}"/>
    <cellStyle name="1_total_총괄내역0518_자재단가표_진해자은수량산출서(단지내)_기초산출표-56-128-최종" xfId="1520" xr:uid="{00000000-0005-0000-0000-0000EF050000}"/>
    <cellStyle name="1_total_총괄내역0518_자재단가표_진해자은수량산출서(단지내)_기초산출표-56-128-최종_00-설계서,원가계산,내역서" xfId="1521" xr:uid="{00000000-0005-0000-0000-0000F0050000}"/>
    <cellStyle name="1_total_총괄내역0518_자재단가표_진해자은수량산출서(단지내)_기초산출표-56-128-최종_설계서-1" xfId="1522" xr:uid="{00000000-0005-0000-0000-0000F1050000}"/>
    <cellStyle name="1_total_총괄내역0518_자재단가표_진해자은수량산출서(단지내)_기초산출표-56-128-최종_설계서-1_00-설계서,원가계산,내역서" xfId="1523" xr:uid="{00000000-0005-0000-0000-0000F2050000}"/>
    <cellStyle name="1_total_총괄내역0518_자재단가표_진해자은수량산출서(단지내)_설계서-1" xfId="1524" xr:uid="{00000000-0005-0000-0000-0000F3050000}"/>
    <cellStyle name="1_total_총괄내역0518_자재단가표_진해자은수량산출서(단지내)_설계서-1_00-설계서,원가계산,내역서" xfId="1525" xr:uid="{00000000-0005-0000-0000-0000F4050000}"/>
    <cellStyle name="1_total_총괄내역0518_자재단가표_진해자은수량산출서(단지내)_취합" xfId="1526" xr:uid="{00000000-0005-0000-0000-0000F5050000}"/>
    <cellStyle name="1_total_총괄내역0518_자재단가표_진해자은수량산출서(단지내)_취합_00-설계서,원가계산,내역서" xfId="1527" xr:uid="{00000000-0005-0000-0000-0000F6050000}"/>
    <cellStyle name="1_total_총괄내역0518_자재단가표_진해자은수량산출서(단지내)_취합_설계서-1" xfId="1528" xr:uid="{00000000-0005-0000-0000-0000F7050000}"/>
    <cellStyle name="1_total_총괄내역0518_자재단가표_진해자은수량산출서(단지내)_취합_설계서-1_00-설계서,원가계산,내역서" xfId="1529" xr:uid="{00000000-0005-0000-0000-0000F8050000}"/>
    <cellStyle name="1_total_총괄내역0518_장안초등학교내역0814" xfId="1530" xr:uid="{00000000-0005-0000-0000-0000F9050000}"/>
    <cellStyle name="1_total_총괄내역0518_장안초등학교내역0814_00-설계서,원가계산,내역서" xfId="1531" xr:uid="{00000000-0005-0000-0000-0000FA050000}"/>
    <cellStyle name="1_total_총괄내역0518_장안초등학교내역0814_설계서-1" xfId="1532" xr:uid="{00000000-0005-0000-0000-0000FB050000}"/>
    <cellStyle name="1_total_총괄내역0518_장안초등학교내역0814_설계서-1_00-설계서,원가계산,내역서" xfId="1533" xr:uid="{00000000-0005-0000-0000-0000FC050000}"/>
    <cellStyle name="1_total_총괄내역0518_장안초등학교내역0814_진해자은수량산출서(단지내)" xfId="1534" xr:uid="{00000000-0005-0000-0000-0000FD050000}"/>
    <cellStyle name="1_total_총괄내역0518_장안초등학교내역0814_진해자은수량산출서(단지내)_00-설계서,원가계산,내역서" xfId="1535" xr:uid="{00000000-0005-0000-0000-0000FE050000}"/>
    <cellStyle name="1_total_총괄내역0518_장안초등학교내역0814_진해자은수량산출서(단지내)_기초산출표-56-128-최종" xfId="1536" xr:uid="{00000000-0005-0000-0000-0000FF050000}"/>
    <cellStyle name="1_total_총괄내역0518_장안초등학교내역0814_진해자은수량산출서(단지내)_기초산출표-56-128-최종_00-설계서,원가계산,내역서" xfId="1537" xr:uid="{00000000-0005-0000-0000-000000060000}"/>
    <cellStyle name="1_total_총괄내역0518_장안초등학교내역0814_진해자은수량산출서(단지내)_기초산출표-56-128-최종_설계서-1" xfId="1538" xr:uid="{00000000-0005-0000-0000-000001060000}"/>
    <cellStyle name="1_total_총괄내역0518_장안초등학교내역0814_진해자은수량산출서(단지내)_기초산출표-56-128-최종_설계서-1_00-설계서,원가계산,내역서" xfId="1539" xr:uid="{00000000-0005-0000-0000-000002060000}"/>
    <cellStyle name="1_total_총괄내역0518_장안초등학교내역0814_진해자은수량산출서(단지내)_설계서-1" xfId="1540" xr:uid="{00000000-0005-0000-0000-000003060000}"/>
    <cellStyle name="1_total_총괄내역0518_장안초등학교내역0814_진해자은수량산출서(단지내)_설계서-1_00-설계서,원가계산,내역서" xfId="1541" xr:uid="{00000000-0005-0000-0000-000004060000}"/>
    <cellStyle name="1_total_총괄내역0518_장안초등학교내역0814_진해자은수량산출서(단지내)_취합" xfId="1542" xr:uid="{00000000-0005-0000-0000-000005060000}"/>
    <cellStyle name="1_total_총괄내역0518_장안초등학교내역0814_진해자은수량산출서(단지내)_취합_00-설계서,원가계산,내역서" xfId="1543" xr:uid="{00000000-0005-0000-0000-000006060000}"/>
    <cellStyle name="1_total_총괄내역0518_장안초등학교내역0814_진해자은수량산출서(단지내)_취합_설계서-1" xfId="1544" xr:uid="{00000000-0005-0000-0000-000007060000}"/>
    <cellStyle name="1_total_총괄내역0518_장안초등학교내역0814_진해자은수량산출서(단지내)_취합_설계서-1_00-설계서,원가계산,내역서" xfId="1545" xr:uid="{00000000-0005-0000-0000-000008060000}"/>
    <cellStyle name="1_total_총괄내역0518_진해자은수량산출서(단지내)" xfId="1546" xr:uid="{00000000-0005-0000-0000-000009060000}"/>
    <cellStyle name="1_total_총괄내역0518_진해자은수량산출서(단지내)_00-설계서,원가계산,내역서" xfId="1547" xr:uid="{00000000-0005-0000-0000-00000A060000}"/>
    <cellStyle name="1_total_총괄내역0518_진해자은수량산출서(단지내)_기초산출표-56-128-최종" xfId="1548" xr:uid="{00000000-0005-0000-0000-00000B060000}"/>
    <cellStyle name="1_total_총괄내역0518_진해자은수량산출서(단지내)_기초산출표-56-128-최종_00-설계서,원가계산,내역서" xfId="1549" xr:uid="{00000000-0005-0000-0000-00000C060000}"/>
    <cellStyle name="1_total_총괄내역0518_진해자은수량산출서(단지내)_기초산출표-56-128-최종_설계서-1" xfId="1550" xr:uid="{00000000-0005-0000-0000-00000D060000}"/>
    <cellStyle name="1_total_총괄내역0518_진해자은수량산출서(단지내)_기초산출표-56-128-최종_설계서-1_00-설계서,원가계산,내역서" xfId="1551" xr:uid="{00000000-0005-0000-0000-00000E060000}"/>
    <cellStyle name="1_total_총괄내역0518_진해자은수량산출서(단지내)_설계서-1" xfId="1552" xr:uid="{00000000-0005-0000-0000-00000F060000}"/>
    <cellStyle name="1_total_총괄내역0518_진해자은수량산출서(단지내)_설계서-1_00-설계서,원가계산,내역서" xfId="1553" xr:uid="{00000000-0005-0000-0000-000010060000}"/>
    <cellStyle name="1_total_총괄내역0518_진해자은수량산출서(단지내)_취합" xfId="1554" xr:uid="{00000000-0005-0000-0000-000011060000}"/>
    <cellStyle name="1_total_총괄내역0518_진해자은수량산출서(단지내)_취합_00-설계서,원가계산,내역서" xfId="1555" xr:uid="{00000000-0005-0000-0000-000012060000}"/>
    <cellStyle name="1_total_총괄내역0518_진해자은수량산출서(단지내)_취합_설계서-1" xfId="1556" xr:uid="{00000000-0005-0000-0000-000013060000}"/>
    <cellStyle name="1_total_총괄내역0518_진해자은수량산출서(단지내)_취합_설계서-1_00-설계서,원가계산,내역서" xfId="1557" xr:uid="{00000000-0005-0000-0000-000014060000}"/>
    <cellStyle name="1_total_현충묘지-예산서(조경)" xfId="1558" xr:uid="{00000000-0005-0000-0000-000015060000}"/>
    <cellStyle name="1_total_현충묘지-예산서(조경)_00-설계서,원가계산,내역서" xfId="1559" xr:uid="{00000000-0005-0000-0000-000016060000}"/>
    <cellStyle name="1_total_현충묘지-예산서(조경)_목동내역" xfId="1560" xr:uid="{00000000-0005-0000-0000-000017060000}"/>
    <cellStyle name="1_total_현충묘지-예산서(조경)_목동내역_00-설계서,원가계산,내역서" xfId="1561" xr:uid="{00000000-0005-0000-0000-000018060000}"/>
    <cellStyle name="1_total_현충묘지-예산서(조경)_목동내역_폐기물집계" xfId="1562" xr:uid="{00000000-0005-0000-0000-000019060000}"/>
    <cellStyle name="1_total_현충묘지-예산서(조경)_목동내역_폐기물집계_00-설계서,원가계산,내역서" xfId="1563" xr:uid="{00000000-0005-0000-0000-00001A060000}"/>
    <cellStyle name="1_total_현충묘지-예산서(조경)_예산서-엑셀변환양식100" xfId="1564" xr:uid="{00000000-0005-0000-0000-00001B060000}"/>
    <cellStyle name="1_total_현충묘지-예산서(조경)_예산서-엑셀변환양식100_00-설계서,원가계산,내역서" xfId="1565" xr:uid="{00000000-0005-0000-0000-00001C060000}"/>
    <cellStyle name="1_total_현충묘지-예산서(조경)_예산서-엑셀변환양식100_목동내역" xfId="1566" xr:uid="{00000000-0005-0000-0000-00001D060000}"/>
    <cellStyle name="1_total_현충묘지-예산서(조경)_예산서-엑셀변환양식100_목동내역_00-설계서,원가계산,내역서" xfId="1567" xr:uid="{00000000-0005-0000-0000-00001E060000}"/>
    <cellStyle name="1_total_현충묘지-예산서(조경)_예산서-엑셀변환양식100_목동내역_폐기물집계" xfId="1568" xr:uid="{00000000-0005-0000-0000-00001F060000}"/>
    <cellStyle name="1_total_현충묘지-예산서(조경)_예산서-엑셀변환양식100_목동내역_폐기물집계_00-설계서,원가계산,내역서" xfId="1569" xr:uid="{00000000-0005-0000-0000-000020060000}"/>
    <cellStyle name="1_tree" xfId="1570" xr:uid="{00000000-0005-0000-0000-000021060000}"/>
    <cellStyle name="1_tree_00-설계서,원가계산,내역서" xfId="1571" xr:uid="{00000000-0005-0000-0000-000022060000}"/>
    <cellStyle name="1_tree_00-수량산출서" xfId="1572" xr:uid="{00000000-0005-0000-0000-000023060000}"/>
    <cellStyle name="1_tree_00-수량산출서_00-설계서,원가계산,내역서" xfId="1573" xr:uid="{00000000-0005-0000-0000-000024060000}"/>
    <cellStyle name="1_tree_01-내역서(071118)" xfId="1574" xr:uid="{00000000-0005-0000-0000-000025060000}"/>
    <cellStyle name="1_tree_01-내역서(071118)_00-설계서,원가계산,내역서" xfId="1575" xr:uid="{00000000-0005-0000-0000-000026060000}"/>
    <cellStyle name="1_tree_구로리총괄내역" xfId="1576" xr:uid="{00000000-0005-0000-0000-000027060000}"/>
    <cellStyle name="1_tree_구로리총괄내역_00-설계서,원가계산,내역서" xfId="1577" xr:uid="{00000000-0005-0000-0000-000028060000}"/>
    <cellStyle name="1_tree_구로리총괄내역_구로리설계예산서1029" xfId="1578" xr:uid="{00000000-0005-0000-0000-000029060000}"/>
    <cellStyle name="1_tree_구로리총괄내역_구로리설계예산서1029_00-설계서,원가계산,내역서" xfId="1579" xr:uid="{00000000-0005-0000-0000-00002A060000}"/>
    <cellStyle name="1_tree_구로리총괄내역_구로리설계예산서1029_설계서-1" xfId="1580" xr:uid="{00000000-0005-0000-0000-00002B060000}"/>
    <cellStyle name="1_tree_구로리총괄내역_구로리설계예산서1029_설계서-1_00-설계서,원가계산,내역서" xfId="1581" xr:uid="{00000000-0005-0000-0000-00002C060000}"/>
    <cellStyle name="1_tree_구로리총괄내역_구로리설계예산서1029_진해자은수량산출서(단지내)" xfId="1582" xr:uid="{00000000-0005-0000-0000-00002D060000}"/>
    <cellStyle name="1_tree_구로리총괄내역_구로리설계예산서1029_진해자은수량산출서(단지내)_00-설계서,원가계산,내역서" xfId="1583" xr:uid="{00000000-0005-0000-0000-00002E060000}"/>
    <cellStyle name="1_tree_구로리총괄내역_구로리설계예산서1029_진해자은수량산출서(단지내)_기초산출표-56-128-최종" xfId="1584" xr:uid="{00000000-0005-0000-0000-00002F060000}"/>
    <cellStyle name="1_tree_구로리총괄내역_구로리설계예산서1029_진해자은수량산출서(단지내)_기초산출표-56-128-최종_00-설계서,원가계산,내역서" xfId="1585" xr:uid="{00000000-0005-0000-0000-000030060000}"/>
    <cellStyle name="1_tree_구로리총괄내역_구로리설계예산서1029_진해자은수량산출서(단지내)_기초산출표-56-128-최종_설계서-1" xfId="1586" xr:uid="{00000000-0005-0000-0000-000031060000}"/>
    <cellStyle name="1_tree_구로리총괄내역_구로리설계예산서1029_진해자은수량산출서(단지내)_기초산출표-56-128-최종_설계서-1_00-설계서,원가계산,내역서" xfId="1587" xr:uid="{00000000-0005-0000-0000-000032060000}"/>
    <cellStyle name="1_tree_구로리총괄내역_구로리설계예산서1029_진해자은수량산출서(단지내)_설계서-1" xfId="1588" xr:uid="{00000000-0005-0000-0000-000033060000}"/>
    <cellStyle name="1_tree_구로리총괄내역_구로리설계예산서1029_진해자은수량산출서(단지내)_설계서-1_00-설계서,원가계산,내역서" xfId="1589" xr:uid="{00000000-0005-0000-0000-000034060000}"/>
    <cellStyle name="1_tree_구로리총괄내역_구로리설계예산서1029_진해자은수량산출서(단지내)_취합" xfId="1590" xr:uid="{00000000-0005-0000-0000-000035060000}"/>
    <cellStyle name="1_tree_구로리총괄내역_구로리설계예산서1029_진해자은수량산출서(단지내)_취합_00-설계서,원가계산,내역서" xfId="1591" xr:uid="{00000000-0005-0000-0000-000036060000}"/>
    <cellStyle name="1_tree_구로리총괄내역_구로리설계예산서1029_진해자은수량산출서(단지내)_취합_설계서-1" xfId="1592" xr:uid="{00000000-0005-0000-0000-000037060000}"/>
    <cellStyle name="1_tree_구로리총괄내역_구로리설계예산서1029_진해자은수량산출서(단지내)_취합_설계서-1_00-설계서,원가계산,내역서" xfId="1593" xr:uid="{00000000-0005-0000-0000-000038060000}"/>
    <cellStyle name="1_tree_구로리총괄내역_구로리설계예산서1118준공" xfId="1594" xr:uid="{00000000-0005-0000-0000-000039060000}"/>
    <cellStyle name="1_tree_구로리총괄내역_구로리설계예산서1118준공_00-설계서,원가계산,내역서" xfId="1595" xr:uid="{00000000-0005-0000-0000-00003A060000}"/>
    <cellStyle name="1_tree_구로리총괄내역_구로리설계예산서1118준공_설계서-1" xfId="1596" xr:uid="{00000000-0005-0000-0000-00003B060000}"/>
    <cellStyle name="1_tree_구로리총괄내역_구로리설계예산서1118준공_설계서-1_00-설계서,원가계산,내역서" xfId="1597" xr:uid="{00000000-0005-0000-0000-00003C060000}"/>
    <cellStyle name="1_tree_구로리총괄내역_구로리설계예산서1118준공_진해자은수량산출서(단지내)" xfId="1598" xr:uid="{00000000-0005-0000-0000-00003D060000}"/>
    <cellStyle name="1_tree_구로리총괄내역_구로리설계예산서1118준공_진해자은수량산출서(단지내)_00-설계서,원가계산,내역서" xfId="1599" xr:uid="{00000000-0005-0000-0000-00003E060000}"/>
    <cellStyle name="1_tree_구로리총괄내역_구로리설계예산서1118준공_진해자은수량산출서(단지내)_기초산출표-56-128-최종" xfId="1600" xr:uid="{00000000-0005-0000-0000-00003F060000}"/>
    <cellStyle name="1_tree_구로리총괄내역_구로리설계예산서1118준공_진해자은수량산출서(단지내)_기초산출표-56-128-최종_00-설계서,원가계산,내역서" xfId="1601" xr:uid="{00000000-0005-0000-0000-000040060000}"/>
    <cellStyle name="1_tree_구로리총괄내역_구로리설계예산서1118준공_진해자은수량산출서(단지내)_기초산출표-56-128-최종_설계서-1" xfId="1602" xr:uid="{00000000-0005-0000-0000-000041060000}"/>
    <cellStyle name="1_tree_구로리총괄내역_구로리설계예산서1118준공_진해자은수량산출서(단지내)_기초산출표-56-128-최종_설계서-1_00-설계서,원가계산,내역서" xfId="1603" xr:uid="{00000000-0005-0000-0000-000042060000}"/>
    <cellStyle name="1_tree_구로리총괄내역_구로리설계예산서1118준공_진해자은수량산출서(단지내)_설계서-1" xfId="1604" xr:uid="{00000000-0005-0000-0000-000043060000}"/>
    <cellStyle name="1_tree_구로리총괄내역_구로리설계예산서1118준공_진해자은수량산출서(단지내)_설계서-1_00-설계서,원가계산,내역서" xfId="1605" xr:uid="{00000000-0005-0000-0000-000044060000}"/>
    <cellStyle name="1_tree_구로리총괄내역_구로리설계예산서1118준공_진해자은수량산출서(단지내)_취합" xfId="1606" xr:uid="{00000000-0005-0000-0000-000045060000}"/>
    <cellStyle name="1_tree_구로리총괄내역_구로리설계예산서1118준공_진해자은수량산출서(단지내)_취합_00-설계서,원가계산,내역서" xfId="1607" xr:uid="{00000000-0005-0000-0000-000046060000}"/>
    <cellStyle name="1_tree_구로리총괄내역_구로리설계예산서1118준공_진해자은수량산출서(단지내)_취합_설계서-1" xfId="1608" xr:uid="{00000000-0005-0000-0000-000047060000}"/>
    <cellStyle name="1_tree_구로리총괄내역_구로리설계예산서1118준공_진해자은수량산출서(단지내)_취합_설계서-1_00-설계서,원가계산,내역서" xfId="1609" xr:uid="{00000000-0005-0000-0000-000048060000}"/>
    <cellStyle name="1_tree_구로리총괄내역_구로리설계예산서조경" xfId="1610" xr:uid="{00000000-0005-0000-0000-000049060000}"/>
    <cellStyle name="1_tree_구로리총괄내역_구로리설계예산서조경_00-설계서,원가계산,내역서" xfId="1611" xr:uid="{00000000-0005-0000-0000-00004A060000}"/>
    <cellStyle name="1_tree_구로리총괄내역_구로리설계예산서조경_설계서-1" xfId="1612" xr:uid="{00000000-0005-0000-0000-00004B060000}"/>
    <cellStyle name="1_tree_구로리총괄내역_구로리설계예산서조경_설계서-1_00-설계서,원가계산,내역서" xfId="1613" xr:uid="{00000000-0005-0000-0000-00004C060000}"/>
    <cellStyle name="1_tree_구로리총괄내역_구로리설계예산서조경_진해자은수량산출서(단지내)" xfId="1614" xr:uid="{00000000-0005-0000-0000-00004D060000}"/>
    <cellStyle name="1_tree_구로리총괄내역_구로리설계예산서조경_진해자은수량산출서(단지내)_00-설계서,원가계산,내역서" xfId="1615" xr:uid="{00000000-0005-0000-0000-00004E060000}"/>
    <cellStyle name="1_tree_구로리총괄내역_구로리설계예산서조경_진해자은수량산출서(단지내)_기초산출표-56-128-최종" xfId="1616" xr:uid="{00000000-0005-0000-0000-00004F060000}"/>
    <cellStyle name="1_tree_구로리총괄내역_구로리설계예산서조경_진해자은수량산출서(단지내)_기초산출표-56-128-최종_00-설계서,원가계산,내역서" xfId="1617" xr:uid="{00000000-0005-0000-0000-000050060000}"/>
    <cellStyle name="1_tree_구로리총괄내역_구로리설계예산서조경_진해자은수량산출서(단지내)_기초산출표-56-128-최종_설계서-1" xfId="1618" xr:uid="{00000000-0005-0000-0000-000051060000}"/>
    <cellStyle name="1_tree_구로리총괄내역_구로리설계예산서조경_진해자은수량산출서(단지내)_기초산출표-56-128-최종_설계서-1_00-설계서,원가계산,내역서" xfId="1619" xr:uid="{00000000-0005-0000-0000-000052060000}"/>
    <cellStyle name="1_tree_구로리총괄내역_구로리설계예산서조경_진해자은수량산출서(단지내)_설계서-1" xfId="1620" xr:uid="{00000000-0005-0000-0000-000053060000}"/>
    <cellStyle name="1_tree_구로리총괄내역_구로리설계예산서조경_진해자은수량산출서(단지내)_설계서-1_00-설계서,원가계산,내역서" xfId="1621" xr:uid="{00000000-0005-0000-0000-000054060000}"/>
    <cellStyle name="1_tree_구로리총괄내역_구로리설계예산서조경_진해자은수량산출서(단지내)_취합" xfId="1622" xr:uid="{00000000-0005-0000-0000-000055060000}"/>
    <cellStyle name="1_tree_구로리총괄내역_구로리설계예산서조경_진해자은수량산출서(단지내)_취합_00-설계서,원가계산,내역서" xfId="1623" xr:uid="{00000000-0005-0000-0000-000056060000}"/>
    <cellStyle name="1_tree_구로리총괄내역_구로리설계예산서조경_진해자은수량산출서(단지내)_취합_설계서-1" xfId="1624" xr:uid="{00000000-0005-0000-0000-000057060000}"/>
    <cellStyle name="1_tree_구로리총괄내역_구로리설계예산서조경_진해자은수량산출서(단지내)_취합_설계서-1_00-설계서,원가계산,내역서" xfId="1625" xr:uid="{00000000-0005-0000-0000-000058060000}"/>
    <cellStyle name="1_tree_구로리총괄내역_구로리어린이공원예산서(조경)1125" xfId="1626" xr:uid="{00000000-0005-0000-0000-000059060000}"/>
    <cellStyle name="1_tree_구로리총괄내역_구로리어린이공원예산서(조경)1125_00-설계서,원가계산,내역서" xfId="1627" xr:uid="{00000000-0005-0000-0000-00005A060000}"/>
    <cellStyle name="1_tree_구로리총괄내역_구로리어린이공원예산서(조경)1125_설계서-1" xfId="1628" xr:uid="{00000000-0005-0000-0000-00005B060000}"/>
    <cellStyle name="1_tree_구로리총괄내역_구로리어린이공원예산서(조경)1125_설계서-1_00-설계서,원가계산,내역서" xfId="1629" xr:uid="{00000000-0005-0000-0000-00005C060000}"/>
    <cellStyle name="1_tree_구로리총괄내역_구로리어린이공원예산서(조경)1125_진해자은수량산출서(단지내)" xfId="1630" xr:uid="{00000000-0005-0000-0000-00005D060000}"/>
    <cellStyle name="1_tree_구로리총괄내역_구로리어린이공원예산서(조경)1125_진해자은수량산출서(단지내)_00-설계서,원가계산,내역서" xfId="1631" xr:uid="{00000000-0005-0000-0000-00005E060000}"/>
    <cellStyle name="1_tree_구로리총괄내역_구로리어린이공원예산서(조경)1125_진해자은수량산출서(단지내)_기초산출표-56-128-최종" xfId="1632" xr:uid="{00000000-0005-0000-0000-00005F060000}"/>
    <cellStyle name="1_tree_구로리총괄내역_구로리어린이공원예산서(조경)1125_진해자은수량산출서(단지내)_기초산출표-56-128-최종_00-설계서,원가계산,내역서" xfId="1633" xr:uid="{00000000-0005-0000-0000-000060060000}"/>
    <cellStyle name="1_tree_구로리총괄내역_구로리어린이공원예산서(조경)1125_진해자은수량산출서(단지내)_기초산출표-56-128-최종_설계서-1" xfId="1634" xr:uid="{00000000-0005-0000-0000-000061060000}"/>
    <cellStyle name="1_tree_구로리총괄내역_구로리어린이공원예산서(조경)1125_진해자은수량산출서(단지내)_기초산출표-56-128-최종_설계서-1_00-설계서,원가계산,내역서" xfId="1635" xr:uid="{00000000-0005-0000-0000-000062060000}"/>
    <cellStyle name="1_tree_구로리총괄내역_구로리어린이공원예산서(조경)1125_진해자은수량산출서(단지내)_설계서-1" xfId="1636" xr:uid="{00000000-0005-0000-0000-000063060000}"/>
    <cellStyle name="1_tree_구로리총괄내역_구로리어린이공원예산서(조경)1125_진해자은수량산출서(단지내)_설계서-1_00-설계서,원가계산,내역서" xfId="1637" xr:uid="{00000000-0005-0000-0000-000064060000}"/>
    <cellStyle name="1_tree_구로리총괄내역_구로리어린이공원예산서(조경)1125_진해자은수량산출서(단지내)_취합" xfId="1638" xr:uid="{00000000-0005-0000-0000-000065060000}"/>
    <cellStyle name="1_tree_구로리총괄내역_구로리어린이공원예산서(조경)1125_진해자은수량산출서(단지내)_취합_00-설계서,원가계산,내역서" xfId="1639" xr:uid="{00000000-0005-0000-0000-000066060000}"/>
    <cellStyle name="1_tree_구로리총괄내역_구로리어린이공원예산서(조경)1125_진해자은수량산출서(단지내)_취합_설계서-1" xfId="1640" xr:uid="{00000000-0005-0000-0000-000067060000}"/>
    <cellStyle name="1_tree_구로리총괄내역_구로리어린이공원예산서(조경)1125_진해자은수량산출서(단지내)_취합_설계서-1_00-설계서,원가계산,내역서" xfId="1641" xr:uid="{00000000-0005-0000-0000-000068060000}"/>
    <cellStyle name="1_tree_구로리총괄내역_내역서" xfId="1642" xr:uid="{00000000-0005-0000-0000-000069060000}"/>
    <cellStyle name="1_tree_구로리총괄내역_내역서_00-설계서,원가계산,내역서" xfId="1643" xr:uid="{00000000-0005-0000-0000-00006A060000}"/>
    <cellStyle name="1_tree_구로리총괄내역_내역서_설계서-1" xfId="1644" xr:uid="{00000000-0005-0000-0000-00006B060000}"/>
    <cellStyle name="1_tree_구로리총괄내역_내역서_설계서-1_00-설계서,원가계산,내역서" xfId="1645" xr:uid="{00000000-0005-0000-0000-00006C060000}"/>
    <cellStyle name="1_tree_구로리총괄내역_내역서_진해자은수량산출서(단지내)" xfId="1646" xr:uid="{00000000-0005-0000-0000-00006D060000}"/>
    <cellStyle name="1_tree_구로리총괄내역_내역서_진해자은수량산출서(단지내)_00-설계서,원가계산,내역서" xfId="1647" xr:uid="{00000000-0005-0000-0000-00006E060000}"/>
    <cellStyle name="1_tree_구로리총괄내역_내역서_진해자은수량산출서(단지내)_기초산출표-56-128-최종" xfId="1648" xr:uid="{00000000-0005-0000-0000-00006F060000}"/>
    <cellStyle name="1_tree_구로리총괄내역_내역서_진해자은수량산출서(단지내)_기초산출표-56-128-최종_00-설계서,원가계산,내역서" xfId="1649" xr:uid="{00000000-0005-0000-0000-000070060000}"/>
    <cellStyle name="1_tree_구로리총괄내역_내역서_진해자은수량산출서(단지내)_기초산출표-56-128-최종_설계서-1" xfId="1650" xr:uid="{00000000-0005-0000-0000-000071060000}"/>
    <cellStyle name="1_tree_구로리총괄내역_내역서_진해자은수량산출서(단지내)_기초산출표-56-128-최종_설계서-1_00-설계서,원가계산,내역서" xfId="1651" xr:uid="{00000000-0005-0000-0000-000072060000}"/>
    <cellStyle name="1_tree_구로리총괄내역_내역서_진해자은수량산출서(단지내)_설계서-1" xfId="1652" xr:uid="{00000000-0005-0000-0000-000073060000}"/>
    <cellStyle name="1_tree_구로리총괄내역_내역서_진해자은수량산출서(단지내)_설계서-1_00-설계서,원가계산,내역서" xfId="1653" xr:uid="{00000000-0005-0000-0000-000074060000}"/>
    <cellStyle name="1_tree_구로리총괄내역_내역서_진해자은수량산출서(단지내)_취합" xfId="1654" xr:uid="{00000000-0005-0000-0000-000075060000}"/>
    <cellStyle name="1_tree_구로리총괄내역_내역서_진해자은수량산출서(단지내)_취합_00-설계서,원가계산,내역서" xfId="1655" xr:uid="{00000000-0005-0000-0000-000076060000}"/>
    <cellStyle name="1_tree_구로리총괄내역_내역서_진해자은수량산출서(단지내)_취합_설계서-1" xfId="1656" xr:uid="{00000000-0005-0000-0000-000077060000}"/>
    <cellStyle name="1_tree_구로리총괄내역_내역서_진해자은수량산출서(단지내)_취합_설계서-1_00-설계서,원가계산,내역서" xfId="1657" xr:uid="{00000000-0005-0000-0000-000078060000}"/>
    <cellStyle name="1_tree_구로리총괄내역_노임단가표" xfId="1658" xr:uid="{00000000-0005-0000-0000-000079060000}"/>
    <cellStyle name="1_tree_구로리총괄내역_노임단가표_00-설계서,원가계산,내역서" xfId="1659" xr:uid="{00000000-0005-0000-0000-00007A060000}"/>
    <cellStyle name="1_tree_구로리총괄내역_노임단가표_설계서-1" xfId="1660" xr:uid="{00000000-0005-0000-0000-00007B060000}"/>
    <cellStyle name="1_tree_구로리총괄내역_노임단가표_설계서-1_00-설계서,원가계산,내역서" xfId="1661" xr:uid="{00000000-0005-0000-0000-00007C060000}"/>
    <cellStyle name="1_tree_구로리총괄내역_노임단가표_진해자은수량산출서(단지내)" xfId="1662" xr:uid="{00000000-0005-0000-0000-00007D060000}"/>
    <cellStyle name="1_tree_구로리총괄내역_노임단가표_진해자은수량산출서(단지내)_00-설계서,원가계산,내역서" xfId="1663" xr:uid="{00000000-0005-0000-0000-00007E060000}"/>
    <cellStyle name="1_tree_구로리총괄내역_노임단가표_진해자은수량산출서(단지내)_기초산출표-56-128-최종" xfId="1664" xr:uid="{00000000-0005-0000-0000-00007F060000}"/>
    <cellStyle name="1_tree_구로리총괄내역_노임단가표_진해자은수량산출서(단지내)_기초산출표-56-128-최종_00-설계서,원가계산,내역서" xfId="1665" xr:uid="{00000000-0005-0000-0000-000080060000}"/>
    <cellStyle name="1_tree_구로리총괄내역_노임단가표_진해자은수량산출서(단지내)_기초산출표-56-128-최종_설계서-1" xfId="1666" xr:uid="{00000000-0005-0000-0000-000081060000}"/>
    <cellStyle name="1_tree_구로리총괄내역_노임단가표_진해자은수량산출서(단지내)_기초산출표-56-128-최종_설계서-1_00-설계서,원가계산,내역서" xfId="1667" xr:uid="{00000000-0005-0000-0000-000082060000}"/>
    <cellStyle name="1_tree_구로리총괄내역_노임단가표_진해자은수량산출서(단지내)_설계서-1" xfId="1668" xr:uid="{00000000-0005-0000-0000-000083060000}"/>
    <cellStyle name="1_tree_구로리총괄내역_노임단가표_진해자은수량산출서(단지내)_설계서-1_00-설계서,원가계산,내역서" xfId="1669" xr:uid="{00000000-0005-0000-0000-000084060000}"/>
    <cellStyle name="1_tree_구로리총괄내역_노임단가표_진해자은수량산출서(단지내)_취합" xfId="1670" xr:uid="{00000000-0005-0000-0000-000085060000}"/>
    <cellStyle name="1_tree_구로리총괄내역_노임단가표_진해자은수량산출서(단지내)_취합_00-설계서,원가계산,내역서" xfId="1671" xr:uid="{00000000-0005-0000-0000-000086060000}"/>
    <cellStyle name="1_tree_구로리총괄내역_노임단가표_진해자은수량산출서(단지내)_취합_설계서-1" xfId="1672" xr:uid="{00000000-0005-0000-0000-000087060000}"/>
    <cellStyle name="1_tree_구로리총괄내역_노임단가표_진해자은수량산출서(단지내)_취합_설계서-1_00-설계서,원가계산,내역서" xfId="1673" xr:uid="{00000000-0005-0000-0000-000088060000}"/>
    <cellStyle name="1_tree_구로리총괄내역_설계서-1" xfId="1674" xr:uid="{00000000-0005-0000-0000-000089060000}"/>
    <cellStyle name="1_tree_구로리총괄내역_설계서-1_00-설계서,원가계산,내역서" xfId="1675" xr:uid="{00000000-0005-0000-0000-00008A060000}"/>
    <cellStyle name="1_tree_구로리총괄내역_수도권매립지" xfId="1676" xr:uid="{00000000-0005-0000-0000-00008B060000}"/>
    <cellStyle name="1_tree_구로리총괄내역_수도권매립지_00-설계서,원가계산,내역서" xfId="1677" xr:uid="{00000000-0005-0000-0000-00008C060000}"/>
    <cellStyle name="1_tree_구로리총괄내역_수도권매립지_설계서-1" xfId="1678" xr:uid="{00000000-0005-0000-0000-00008D060000}"/>
    <cellStyle name="1_tree_구로리총괄내역_수도권매립지_설계서-1_00-설계서,원가계산,내역서" xfId="1679" xr:uid="{00000000-0005-0000-0000-00008E060000}"/>
    <cellStyle name="1_tree_구로리총괄내역_수도권매립지_진해자은수량산출서(단지내)" xfId="1680" xr:uid="{00000000-0005-0000-0000-00008F060000}"/>
    <cellStyle name="1_tree_구로리총괄내역_수도권매립지_진해자은수량산출서(단지내)_00-설계서,원가계산,내역서" xfId="1681" xr:uid="{00000000-0005-0000-0000-000090060000}"/>
    <cellStyle name="1_tree_구로리총괄내역_수도권매립지_진해자은수량산출서(단지내)_기초산출표-56-128-최종" xfId="1682" xr:uid="{00000000-0005-0000-0000-000091060000}"/>
    <cellStyle name="1_tree_구로리총괄내역_수도권매립지_진해자은수량산출서(단지내)_기초산출표-56-128-최종_00-설계서,원가계산,내역서" xfId="1683" xr:uid="{00000000-0005-0000-0000-000092060000}"/>
    <cellStyle name="1_tree_구로리총괄내역_수도권매립지_진해자은수량산출서(단지내)_기초산출표-56-128-최종_설계서-1" xfId="1684" xr:uid="{00000000-0005-0000-0000-000093060000}"/>
    <cellStyle name="1_tree_구로리총괄내역_수도권매립지_진해자은수량산출서(단지내)_기초산출표-56-128-최종_설계서-1_00-설계서,원가계산,내역서" xfId="1685" xr:uid="{00000000-0005-0000-0000-000094060000}"/>
    <cellStyle name="1_tree_구로리총괄내역_수도권매립지_진해자은수량산출서(단지내)_설계서-1" xfId="1686" xr:uid="{00000000-0005-0000-0000-000095060000}"/>
    <cellStyle name="1_tree_구로리총괄내역_수도권매립지_진해자은수량산출서(단지내)_설계서-1_00-설계서,원가계산,내역서" xfId="1687" xr:uid="{00000000-0005-0000-0000-000096060000}"/>
    <cellStyle name="1_tree_구로리총괄내역_수도권매립지_진해자은수량산출서(단지내)_취합" xfId="1688" xr:uid="{00000000-0005-0000-0000-000097060000}"/>
    <cellStyle name="1_tree_구로리총괄내역_수도권매립지_진해자은수량산출서(단지내)_취합_00-설계서,원가계산,내역서" xfId="1689" xr:uid="{00000000-0005-0000-0000-000098060000}"/>
    <cellStyle name="1_tree_구로리총괄내역_수도권매립지_진해자은수량산출서(단지내)_취합_설계서-1" xfId="1690" xr:uid="{00000000-0005-0000-0000-000099060000}"/>
    <cellStyle name="1_tree_구로리총괄내역_수도권매립지_진해자은수량산출서(단지내)_취합_설계서-1_00-설계서,원가계산,내역서" xfId="1691" xr:uid="{00000000-0005-0000-0000-00009A060000}"/>
    <cellStyle name="1_tree_구로리총괄내역_수도권매립지1004(발주용)" xfId="1692" xr:uid="{00000000-0005-0000-0000-00009B060000}"/>
    <cellStyle name="1_tree_구로리총괄내역_수도권매립지1004(발주용)_00-설계서,원가계산,내역서" xfId="1693" xr:uid="{00000000-0005-0000-0000-00009C060000}"/>
    <cellStyle name="1_tree_구로리총괄내역_수도권매립지1004(발주용)_설계서-1" xfId="1694" xr:uid="{00000000-0005-0000-0000-00009D060000}"/>
    <cellStyle name="1_tree_구로리총괄내역_수도권매립지1004(발주용)_설계서-1_00-설계서,원가계산,내역서" xfId="1695" xr:uid="{00000000-0005-0000-0000-00009E060000}"/>
    <cellStyle name="1_tree_구로리총괄내역_수도권매립지1004(발주용)_진해자은수량산출서(단지내)" xfId="1696" xr:uid="{00000000-0005-0000-0000-00009F060000}"/>
    <cellStyle name="1_tree_구로리총괄내역_수도권매립지1004(발주용)_진해자은수량산출서(단지내)_00-설계서,원가계산,내역서" xfId="1697" xr:uid="{00000000-0005-0000-0000-0000A0060000}"/>
    <cellStyle name="1_tree_구로리총괄내역_수도권매립지1004(발주용)_진해자은수량산출서(단지내)_기초산출표-56-128-최종" xfId="1698" xr:uid="{00000000-0005-0000-0000-0000A1060000}"/>
    <cellStyle name="1_tree_구로리총괄내역_수도권매립지1004(발주용)_진해자은수량산출서(단지내)_기초산출표-56-128-최종_00-설계서,원가계산,내역서" xfId="1699" xr:uid="{00000000-0005-0000-0000-0000A2060000}"/>
    <cellStyle name="1_tree_구로리총괄내역_수도권매립지1004(발주용)_진해자은수량산출서(단지내)_기초산출표-56-128-최종_설계서-1" xfId="1700" xr:uid="{00000000-0005-0000-0000-0000A3060000}"/>
    <cellStyle name="1_tree_구로리총괄내역_수도권매립지1004(발주용)_진해자은수량산출서(단지내)_기초산출표-56-128-최종_설계서-1_00-설계서,원가계산,내역서" xfId="1701" xr:uid="{00000000-0005-0000-0000-0000A4060000}"/>
    <cellStyle name="1_tree_구로리총괄내역_수도권매립지1004(발주용)_진해자은수량산출서(단지내)_설계서-1" xfId="1702" xr:uid="{00000000-0005-0000-0000-0000A5060000}"/>
    <cellStyle name="1_tree_구로리총괄내역_수도권매립지1004(발주용)_진해자은수량산출서(단지내)_설계서-1_00-설계서,원가계산,내역서" xfId="1703" xr:uid="{00000000-0005-0000-0000-0000A6060000}"/>
    <cellStyle name="1_tree_구로리총괄내역_수도권매립지1004(발주용)_진해자은수량산출서(단지내)_취합" xfId="1704" xr:uid="{00000000-0005-0000-0000-0000A7060000}"/>
    <cellStyle name="1_tree_구로리총괄내역_수도권매립지1004(발주용)_진해자은수량산출서(단지내)_취합_00-설계서,원가계산,내역서" xfId="1705" xr:uid="{00000000-0005-0000-0000-0000A8060000}"/>
    <cellStyle name="1_tree_구로리총괄내역_수도권매립지1004(발주용)_진해자은수량산출서(단지내)_취합_설계서-1" xfId="1706" xr:uid="{00000000-0005-0000-0000-0000A9060000}"/>
    <cellStyle name="1_tree_구로리총괄내역_수도권매립지1004(발주용)_진해자은수량산출서(단지내)_취합_설계서-1_00-설계서,원가계산,내역서" xfId="1707" xr:uid="{00000000-0005-0000-0000-0000AA060000}"/>
    <cellStyle name="1_tree_구로리총괄내역_일신건영설계예산서(0211)" xfId="1708" xr:uid="{00000000-0005-0000-0000-0000AB060000}"/>
    <cellStyle name="1_tree_구로리총괄내역_일신건영설계예산서(0211)_00-설계서,원가계산,내역서" xfId="1709" xr:uid="{00000000-0005-0000-0000-0000AC060000}"/>
    <cellStyle name="1_tree_구로리총괄내역_일신건영설계예산서(0211)_설계서-1" xfId="1710" xr:uid="{00000000-0005-0000-0000-0000AD060000}"/>
    <cellStyle name="1_tree_구로리총괄내역_일신건영설계예산서(0211)_설계서-1_00-설계서,원가계산,내역서" xfId="1711" xr:uid="{00000000-0005-0000-0000-0000AE060000}"/>
    <cellStyle name="1_tree_구로리총괄내역_일신건영설계예산서(0211)_진해자은수량산출서(단지내)" xfId="1712" xr:uid="{00000000-0005-0000-0000-0000AF060000}"/>
    <cellStyle name="1_tree_구로리총괄내역_일신건영설계예산서(0211)_진해자은수량산출서(단지내)_00-설계서,원가계산,내역서" xfId="1713" xr:uid="{00000000-0005-0000-0000-0000B0060000}"/>
    <cellStyle name="1_tree_구로리총괄내역_일신건영설계예산서(0211)_진해자은수량산출서(단지내)_기초산출표-56-128-최종" xfId="1714" xr:uid="{00000000-0005-0000-0000-0000B1060000}"/>
    <cellStyle name="1_tree_구로리총괄내역_일신건영설계예산서(0211)_진해자은수량산출서(단지내)_기초산출표-56-128-최종_00-설계서,원가계산,내역서" xfId="1715" xr:uid="{00000000-0005-0000-0000-0000B2060000}"/>
    <cellStyle name="1_tree_구로리총괄내역_일신건영설계예산서(0211)_진해자은수량산출서(단지내)_기초산출표-56-128-최종_설계서-1" xfId="1716" xr:uid="{00000000-0005-0000-0000-0000B3060000}"/>
    <cellStyle name="1_tree_구로리총괄내역_일신건영설계예산서(0211)_진해자은수량산출서(단지내)_기초산출표-56-128-최종_설계서-1_00-설계서,원가계산,내역서" xfId="1717" xr:uid="{00000000-0005-0000-0000-0000B4060000}"/>
    <cellStyle name="1_tree_구로리총괄내역_일신건영설계예산서(0211)_진해자은수량산출서(단지내)_설계서-1" xfId="1718" xr:uid="{00000000-0005-0000-0000-0000B5060000}"/>
    <cellStyle name="1_tree_구로리총괄내역_일신건영설계예산서(0211)_진해자은수량산출서(단지내)_설계서-1_00-설계서,원가계산,내역서" xfId="1719" xr:uid="{00000000-0005-0000-0000-0000B6060000}"/>
    <cellStyle name="1_tree_구로리총괄내역_일신건영설계예산서(0211)_진해자은수량산출서(단지내)_취합" xfId="1720" xr:uid="{00000000-0005-0000-0000-0000B7060000}"/>
    <cellStyle name="1_tree_구로리총괄내역_일신건영설계예산서(0211)_진해자은수량산출서(단지내)_취합_00-설계서,원가계산,내역서" xfId="1721" xr:uid="{00000000-0005-0000-0000-0000B8060000}"/>
    <cellStyle name="1_tree_구로리총괄내역_일신건영설계예산서(0211)_진해자은수량산출서(단지내)_취합_설계서-1" xfId="1722" xr:uid="{00000000-0005-0000-0000-0000B9060000}"/>
    <cellStyle name="1_tree_구로리총괄내역_일신건영설계예산서(0211)_진해자은수량산출서(단지내)_취합_설계서-1_00-설계서,원가계산,내역서" xfId="1723" xr:uid="{00000000-0005-0000-0000-0000BA060000}"/>
    <cellStyle name="1_tree_구로리총괄내역_일위대가" xfId="1724" xr:uid="{00000000-0005-0000-0000-0000BB060000}"/>
    <cellStyle name="1_tree_구로리총괄내역_일위대가_00-설계서,원가계산,내역서" xfId="1725" xr:uid="{00000000-0005-0000-0000-0000BC060000}"/>
    <cellStyle name="1_tree_구로리총괄내역_일위대가_설계서-1" xfId="1726" xr:uid="{00000000-0005-0000-0000-0000BD060000}"/>
    <cellStyle name="1_tree_구로리총괄내역_일위대가_설계서-1_00-설계서,원가계산,내역서" xfId="1727" xr:uid="{00000000-0005-0000-0000-0000BE060000}"/>
    <cellStyle name="1_tree_구로리총괄내역_일위대가_진해자은수량산출서(단지내)" xfId="1728" xr:uid="{00000000-0005-0000-0000-0000BF060000}"/>
    <cellStyle name="1_tree_구로리총괄내역_일위대가_진해자은수량산출서(단지내)_00-설계서,원가계산,내역서" xfId="1729" xr:uid="{00000000-0005-0000-0000-0000C0060000}"/>
    <cellStyle name="1_tree_구로리총괄내역_일위대가_진해자은수량산출서(단지내)_기초산출표-56-128-최종" xfId="1730" xr:uid="{00000000-0005-0000-0000-0000C1060000}"/>
    <cellStyle name="1_tree_구로리총괄내역_일위대가_진해자은수량산출서(단지내)_기초산출표-56-128-최종_00-설계서,원가계산,내역서" xfId="1731" xr:uid="{00000000-0005-0000-0000-0000C2060000}"/>
    <cellStyle name="1_tree_구로리총괄내역_일위대가_진해자은수량산출서(단지내)_기초산출표-56-128-최종_설계서-1" xfId="1732" xr:uid="{00000000-0005-0000-0000-0000C3060000}"/>
    <cellStyle name="1_tree_구로리총괄내역_일위대가_진해자은수량산출서(단지내)_기초산출표-56-128-최종_설계서-1_00-설계서,원가계산,내역서" xfId="1733" xr:uid="{00000000-0005-0000-0000-0000C4060000}"/>
    <cellStyle name="1_tree_구로리총괄내역_일위대가_진해자은수량산출서(단지내)_설계서-1" xfId="1734" xr:uid="{00000000-0005-0000-0000-0000C5060000}"/>
    <cellStyle name="1_tree_구로리총괄내역_일위대가_진해자은수량산출서(단지내)_설계서-1_00-설계서,원가계산,내역서" xfId="1735" xr:uid="{00000000-0005-0000-0000-0000C6060000}"/>
    <cellStyle name="1_tree_구로리총괄내역_일위대가_진해자은수량산출서(단지내)_취합" xfId="1736" xr:uid="{00000000-0005-0000-0000-0000C7060000}"/>
    <cellStyle name="1_tree_구로리총괄내역_일위대가_진해자은수량산출서(단지내)_취합_00-설계서,원가계산,내역서" xfId="1737" xr:uid="{00000000-0005-0000-0000-0000C8060000}"/>
    <cellStyle name="1_tree_구로리총괄내역_일위대가_진해자은수량산출서(단지내)_취합_설계서-1" xfId="1738" xr:uid="{00000000-0005-0000-0000-0000C9060000}"/>
    <cellStyle name="1_tree_구로리총괄내역_일위대가_진해자은수량산출서(단지내)_취합_설계서-1_00-설계서,원가계산,내역서" xfId="1739" xr:uid="{00000000-0005-0000-0000-0000CA060000}"/>
    <cellStyle name="1_tree_구로리총괄내역_자재단가표" xfId="1740" xr:uid="{00000000-0005-0000-0000-0000CB060000}"/>
    <cellStyle name="1_tree_구로리총괄내역_자재단가표_00-설계서,원가계산,내역서" xfId="1741" xr:uid="{00000000-0005-0000-0000-0000CC060000}"/>
    <cellStyle name="1_tree_구로리총괄내역_자재단가표_설계서-1" xfId="1742" xr:uid="{00000000-0005-0000-0000-0000CD060000}"/>
    <cellStyle name="1_tree_구로리총괄내역_자재단가표_설계서-1_00-설계서,원가계산,내역서" xfId="1743" xr:uid="{00000000-0005-0000-0000-0000CE060000}"/>
    <cellStyle name="1_tree_구로리총괄내역_자재단가표_진해자은수량산출서(단지내)" xfId="1744" xr:uid="{00000000-0005-0000-0000-0000CF060000}"/>
    <cellStyle name="1_tree_구로리총괄내역_자재단가표_진해자은수량산출서(단지내)_00-설계서,원가계산,내역서" xfId="1745" xr:uid="{00000000-0005-0000-0000-0000D0060000}"/>
    <cellStyle name="1_tree_구로리총괄내역_자재단가표_진해자은수량산출서(단지내)_기초산출표-56-128-최종" xfId="1746" xr:uid="{00000000-0005-0000-0000-0000D1060000}"/>
    <cellStyle name="1_tree_구로리총괄내역_자재단가표_진해자은수량산출서(단지내)_기초산출표-56-128-최종_00-설계서,원가계산,내역서" xfId="1747" xr:uid="{00000000-0005-0000-0000-0000D2060000}"/>
    <cellStyle name="1_tree_구로리총괄내역_자재단가표_진해자은수량산출서(단지내)_기초산출표-56-128-최종_설계서-1" xfId="1748" xr:uid="{00000000-0005-0000-0000-0000D3060000}"/>
    <cellStyle name="1_tree_구로리총괄내역_자재단가표_진해자은수량산출서(단지내)_기초산출표-56-128-최종_설계서-1_00-설계서,원가계산,내역서" xfId="1749" xr:uid="{00000000-0005-0000-0000-0000D4060000}"/>
    <cellStyle name="1_tree_구로리총괄내역_자재단가표_진해자은수량산출서(단지내)_설계서-1" xfId="1750" xr:uid="{00000000-0005-0000-0000-0000D5060000}"/>
    <cellStyle name="1_tree_구로리총괄내역_자재단가표_진해자은수량산출서(단지내)_설계서-1_00-설계서,원가계산,내역서" xfId="1751" xr:uid="{00000000-0005-0000-0000-0000D6060000}"/>
    <cellStyle name="1_tree_구로리총괄내역_자재단가표_진해자은수량산출서(단지내)_취합" xfId="1752" xr:uid="{00000000-0005-0000-0000-0000D7060000}"/>
    <cellStyle name="1_tree_구로리총괄내역_자재단가표_진해자은수량산출서(단지내)_취합_00-설계서,원가계산,내역서" xfId="1753" xr:uid="{00000000-0005-0000-0000-0000D8060000}"/>
    <cellStyle name="1_tree_구로리총괄내역_자재단가표_진해자은수량산출서(단지내)_취합_설계서-1" xfId="1754" xr:uid="{00000000-0005-0000-0000-0000D9060000}"/>
    <cellStyle name="1_tree_구로리총괄내역_자재단가표_진해자은수량산출서(단지내)_취합_설계서-1_00-설계서,원가계산,내역서" xfId="1755" xr:uid="{00000000-0005-0000-0000-0000DA060000}"/>
    <cellStyle name="1_tree_구로리총괄내역_장안초등학교내역0814" xfId="1756" xr:uid="{00000000-0005-0000-0000-0000DB060000}"/>
    <cellStyle name="1_tree_구로리총괄내역_장안초등학교내역0814_00-설계서,원가계산,내역서" xfId="1757" xr:uid="{00000000-0005-0000-0000-0000DC060000}"/>
    <cellStyle name="1_tree_구로리총괄내역_장안초등학교내역0814_설계서-1" xfId="1758" xr:uid="{00000000-0005-0000-0000-0000DD060000}"/>
    <cellStyle name="1_tree_구로리총괄내역_장안초등학교내역0814_설계서-1_00-설계서,원가계산,내역서" xfId="1759" xr:uid="{00000000-0005-0000-0000-0000DE060000}"/>
    <cellStyle name="1_tree_구로리총괄내역_장안초등학교내역0814_진해자은수량산출서(단지내)" xfId="1760" xr:uid="{00000000-0005-0000-0000-0000DF060000}"/>
    <cellStyle name="1_tree_구로리총괄내역_장안초등학교내역0814_진해자은수량산출서(단지내)_00-설계서,원가계산,내역서" xfId="1761" xr:uid="{00000000-0005-0000-0000-0000E0060000}"/>
    <cellStyle name="1_tree_구로리총괄내역_장안초등학교내역0814_진해자은수량산출서(단지내)_기초산출표-56-128-최종" xfId="1762" xr:uid="{00000000-0005-0000-0000-0000E1060000}"/>
    <cellStyle name="1_tree_구로리총괄내역_장안초등학교내역0814_진해자은수량산출서(단지내)_기초산출표-56-128-최종_00-설계서,원가계산,내역서" xfId="1763" xr:uid="{00000000-0005-0000-0000-0000E2060000}"/>
    <cellStyle name="1_tree_구로리총괄내역_장안초등학교내역0814_진해자은수량산출서(단지내)_기초산출표-56-128-최종_설계서-1" xfId="1764" xr:uid="{00000000-0005-0000-0000-0000E3060000}"/>
    <cellStyle name="1_tree_구로리총괄내역_장안초등학교내역0814_진해자은수량산출서(단지내)_기초산출표-56-128-최종_설계서-1_00-설계서,원가계산,내역서" xfId="1765" xr:uid="{00000000-0005-0000-0000-0000E4060000}"/>
    <cellStyle name="1_tree_구로리총괄내역_장안초등학교내역0814_진해자은수량산출서(단지내)_설계서-1" xfId="1766" xr:uid="{00000000-0005-0000-0000-0000E5060000}"/>
    <cellStyle name="1_tree_구로리총괄내역_장안초등학교내역0814_진해자은수량산출서(단지내)_설계서-1_00-설계서,원가계산,내역서" xfId="1767" xr:uid="{00000000-0005-0000-0000-0000E6060000}"/>
    <cellStyle name="1_tree_구로리총괄내역_장안초등학교내역0814_진해자은수량산출서(단지내)_취합" xfId="1768" xr:uid="{00000000-0005-0000-0000-0000E7060000}"/>
    <cellStyle name="1_tree_구로리총괄내역_장안초등학교내역0814_진해자은수량산출서(단지내)_취합_00-설계서,원가계산,내역서" xfId="1769" xr:uid="{00000000-0005-0000-0000-0000E8060000}"/>
    <cellStyle name="1_tree_구로리총괄내역_장안초등학교내역0814_진해자은수량산출서(단지내)_취합_설계서-1" xfId="1770" xr:uid="{00000000-0005-0000-0000-0000E9060000}"/>
    <cellStyle name="1_tree_구로리총괄내역_장안초등학교내역0814_진해자은수량산출서(단지내)_취합_설계서-1_00-설계서,원가계산,내역서" xfId="1771" xr:uid="{00000000-0005-0000-0000-0000EA060000}"/>
    <cellStyle name="1_tree_구로리총괄내역_진해자은수량산출서(단지내)" xfId="1772" xr:uid="{00000000-0005-0000-0000-0000EB060000}"/>
    <cellStyle name="1_tree_구로리총괄내역_진해자은수량산출서(단지내)_00-설계서,원가계산,내역서" xfId="1773" xr:uid="{00000000-0005-0000-0000-0000EC060000}"/>
    <cellStyle name="1_tree_구로리총괄내역_진해자은수량산출서(단지내)_기초산출표-56-128-최종" xfId="1774" xr:uid="{00000000-0005-0000-0000-0000ED060000}"/>
    <cellStyle name="1_tree_구로리총괄내역_진해자은수량산출서(단지내)_기초산출표-56-128-최종_00-설계서,원가계산,내역서" xfId="1775" xr:uid="{00000000-0005-0000-0000-0000EE060000}"/>
    <cellStyle name="1_tree_구로리총괄내역_진해자은수량산출서(단지내)_기초산출표-56-128-최종_설계서-1" xfId="1776" xr:uid="{00000000-0005-0000-0000-0000EF060000}"/>
    <cellStyle name="1_tree_구로리총괄내역_진해자은수량산출서(단지내)_기초산출표-56-128-최종_설계서-1_00-설계서,원가계산,내역서" xfId="1777" xr:uid="{00000000-0005-0000-0000-0000F0060000}"/>
    <cellStyle name="1_tree_구로리총괄내역_진해자은수량산출서(단지내)_설계서-1" xfId="1778" xr:uid="{00000000-0005-0000-0000-0000F1060000}"/>
    <cellStyle name="1_tree_구로리총괄내역_진해자은수량산출서(단지내)_설계서-1_00-설계서,원가계산,내역서" xfId="1779" xr:uid="{00000000-0005-0000-0000-0000F2060000}"/>
    <cellStyle name="1_tree_구로리총괄내역_진해자은수량산출서(단지내)_취합" xfId="1780" xr:uid="{00000000-0005-0000-0000-0000F3060000}"/>
    <cellStyle name="1_tree_구로리총괄내역_진해자은수량산출서(단지내)_취합_00-설계서,원가계산,내역서" xfId="1781" xr:uid="{00000000-0005-0000-0000-0000F4060000}"/>
    <cellStyle name="1_tree_구로리총괄내역_진해자은수량산출서(단지내)_취합_설계서-1" xfId="1782" xr:uid="{00000000-0005-0000-0000-0000F5060000}"/>
    <cellStyle name="1_tree_구로리총괄내역_진해자은수량산출서(단지내)_취합_설계서-1_00-설계서,원가계산,내역서" xfId="1783" xr:uid="{00000000-0005-0000-0000-0000F6060000}"/>
    <cellStyle name="1_tree_목동내역" xfId="1784" xr:uid="{00000000-0005-0000-0000-0000F7060000}"/>
    <cellStyle name="1_tree_목동내역_00-설계서,원가계산,내역서" xfId="1785" xr:uid="{00000000-0005-0000-0000-0000F8060000}"/>
    <cellStyle name="1_tree_목동내역_폐기물집계" xfId="1786" xr:uid="{00000000-0005-0000-0000-0000F9060000}"/>
    <cellStyle name="1_tree_목동내역_폐기물집계_00-설계서,원가계산,내역서" xfId="1787" xr:uid="{00000000-0005-0000-0000-0000FA060000}"/>
    <cellStyle name="1_tree_설계서-1" xfId="1788" xr:uid="{00000000-0005-0000-0000-0000FB060000}"/>
    <cellStyle name="1_tree_설계서-1_00-설계서,원가계산,내역서" xfId="1789" xr:uid="{00000000-0005-0000-0000-0000FC060000}"/>
    <cellStyle name="1_tree_수량산출" xfId="1790" xr:uid="{00000000-0005-0000-0000-0000FD060000}"/>
    <cellStyle name="1_tree_수량산출_00-설계서,원가계산,내역서" xfId="1791" xr:uid="{00000000-0005-0000-0000-0000FE060000}"/>
    <cellStyle name="1_tree_수량산출_00-수량산출서" xfId="1792" xr:uid="{00000000-0005-0000-0000-0000FF060000}"/>
    <cellStyle name="1_tree_수량산출_00-수량산출서_00-설계서,원가계산,내역서" xfId="1793" xr:uid="{00000000-0005-0000-0000-000000070000}"/>
    <cellStyle name="1_tree_수량산출_01-내역서(071118)" xfId="1794" xr:uid="{00000000-0005-0000-0000-000001070000}"/>
    <cellStyle name="1_tree_수량산출_01-내역서(071118)_00-설계서,원가계산,내역서" xfId="1795" xr:uid="{00000000-0005-0000-0000-000002070000}"/>
    <cellStyle name="1_tree_수량산출_구로리총괄내역" xfId="1796" xr:uid="{00000000-0005-0000-0000-000003070000}"/>
    <cellStyle name="1_tree_수량산출_구로리총괄내역_00-설계서,원가계산,내역서" xfId="1797" xr:uid="{00000000-0005-0000-0000-000004070000}"/>
    <cellStyle name="1_tree_수량산출_구로리총괄내역_구로리설계예산서1029" xfId="1798" xr:uid="{00000000-0005-0000-0000-000005070000}"/>
    <cellStyle name="1_tree_수량산출_구로리총괄내역_구로리설계예산서1029_00-설계서,원가계산,내역서" xfId="1799" xr:uid="{00000000-0005-0000-0000-000006070000}"/>
    <cellStyle name="1_tree_수량산출_구로리총괄내역_구로리설계예산서1029_설계서-1" xfId="1800" xr:uid="{00000000-0005-0000-0000-000007070000}"/>
    <cellStyle name="1_tree_수량산출_구로리총괄내역_구로리설계예산서1029_설계서-1_00-설계서,원가계산,내역서" xfId="1801" xr:uid="{00000000-0005-0000-0000-000008070000}"/>
    <cellStyle name="1_tree_수량산출_구로리총괄내역_구로리설계예산서1029_진해자은수량산출서(단지내)" xfId="1802" xr:uid="{00000000-0005-0000-0000-000009070000}"/>
    <cellStyle name="1_tree_수량산출_구로리총괄내역_구로리설계예산서1029_진해자은수량산출서(단지내)_00-설계서,원가계산,내역서" xfId="1803" xr:uid="{00000000-0005-0000-0000-00000A070000}"/>
    <cellStyle name="1_tree_수량산출_구로리총괄내역_구로리설계예산서1029_진해자은수량산출서(단지내)_기초산출표-56-128-최종" xfId="1804" xr:uid="{00000000-0005-0000-0000-00000B070000}"/>
    <cellStyle name="1_tree_수량산출_구로리총괄내역_구로리설계예산서1029_진해자은수량산출서(단지내)_기초산출표-56-128-최종_00-설계서,원가계산,내역서" xfId="1805" xr:uid="{00000000-0005-0000-0000-00000C070000}"/>
    <cellStyle name="1_tree_수량산출_구로리총괄내역_구로리설계예산서1029_진해자은수량산출서(단지내)_기초산출표-56-128-최종_설계서-1" xfId="1806" xr:uid="{00000000-0005-0000-0000-00000D070000}"/>
    <cellStyle name="1_tree_수량산출_구로리총괄내역_구로리설계예산서1029_진해자은수량산출서(단지내)_기초산출표-56-128-최종_설계서-1_00-설계서,원가계산,내역서" xfId="1807" xr:uid="{00000000-0005-0000-0000-00000E070000}"/>
    <cellStyle name="1_tree_수량산출_구로리총괄내역_구로리설계예산서1029_진해자은수량산출서(단지내)_설계서-1" xfId="1808" xr:uid="{00000000-0005-0000-0000-00000F070000}"/>
    <cellStyle name="1_tree_수량산출_구로리총괄내역_구로리설계예산서1029_진해자은수량산출서(단지내)_설계서-1_00-설계서,원가계산,내역서" xfId="1809" xr:uid="{00000000-0005-0000-0000-000010070000}"/>
    <cellStyle name="1_tree_수량산출_구로리총괄내역_구로리설계예산서1029_진해자은수량산출서(단지내)_취합" xfId="1810" xr:uid="{00000000-0005-0000-0000-000011070000}"/>
    <cellStyle name="1_tree_수량산출_구로리총괄내역_구로리설계예산서1029_진해자은수량산출서(단지내)_취합_00-설계서,원가계산,내역서" xfId="1811" xr:uid="{00000000-0005-0000-0000-000012070000}"/>
    <cellStyle name="1_tree_수량산출_구로리총괄내역_구로리설계예산서1029_진해자은수량산출서(단지내)_취합_설계서-1" xfId="1812" xr:uid="{00000000-0005-0000-0000-000013070000}"/>
    <cellStyle name="1_tree_수량산출_구로리총괄내역_구로리설계예산서1029_진해자은수량산출서(단지내)_취합_설계서-1_00-설계서,원가계산,내역서" xfId="1813" xr:uid="{00000000-0005-0000-0000-000014070000}"/>
    <cellStyle name="1_tree_수량산출_구로리총괄내역_구로리설계예산서1118준공" xfId="1814" xr:uid="{00000000-0005-0000-0000-000015070000}"/>
    <cellStyle name="1_tree_수량산출_구로리총괄내역_구로리설계예산서1118준공_00-설계서,원가계산,내역서" xfId="1815" xr:uid="{00000000-0005-0000-0000-000016070000}"/>
    <cellStyle name="1_tree_수량산출_구로리총괄내역_구로리설계예산서1118준공_설계서-1" xfId="1816" xr:uid="{00000000-0005-0000-0000-000017070000}"/>
    <cellStyle name="1_tree_수량산출_구로리총괄내역_구로리설계예산서1118준공_설계서-1_00-설계서,원가계산,내역서" xfId="1817" xr:uid="{00000000-0005-0000-0000-000018070000}"/>
    <cellStyle name="1_tree_수량산출_구로리총괄내역_구로리설계예산서1118준공_진해자은수량산출서(단지내)" xfId="1818" xr:uid="{00000000-0005-0000-0000-000019070000}"/>
    <cellStyle name="1_tree_수량산출_구로리총괄내역_구로리설계예산서1118준공_진해자은수량산출서(단지내)_00-설계서,원가계산,내역서" xfId="1819" xr:uid="{00000000-0005-0000-0000-00001A070000}"/>
    <cellStyle name="1_tree_수량산출_구로리총괄내역_구로리설계예산서1118준공_진해자은수량산출서(단지내)_기초산출표-56-128-최종" xfId="1820" xr:uid="{00000000-0005-0000-0000-00001B070000}"/>
    <cellStyle name="1_tree_수량산출_구로리총괄내역_구로리설계예산서1118준공_진해자은수량산출서(단지내)_기초산출표-56-128-최종_00-설계서,원가계산,내역서" xfId="1821" xr:uid="{00000000-0005-0000-0000-00001C070000}"/>
    <cellStyle name="1_tree_수량산출_구로리총괄내역_구로리설계예산서1118준공_진해자은수량산출서(단지내)_기초산출표-56-128-최종_설계서-1" xfId="1822" xr:uid="{00000000-0005-0000-0000-00001D070000}"/>
    <cellStyle name="1_tree_수량산출_구로리총괄내역_구로리설계예산서1118준공_진해자은수량산출서(단지내)_기초산출표-56-128-최종_설계서-1_00-설계서,원가계산,내역서" xfId="1823" xr:uid="{00000000-0005-0000-0000-00001E070000}"/>
    <cellStyle name="1_tree_수량산출_구로리총괄내역_구로리설계예산서1118준공_진해자은수량산출서(단지내)_설계서-1" xfId="1824" xr:uid="{00000000-0005-0000-0000-00001F070000}"/>
    <cellStyle name="1_tree_수량산출_구로리총괄내역_구로리설계예산서1118준공_진해자은수량산출서(단지내)_설계서-1_00-설계서,원가계산,내역서" xfId="1825" xr:uid="{00000000-0005-0000-0000-000020070000}"/>
    <cellStyle name="1_tree_수량산출_구로리총괄내역_구로리설계예산서1118준공_진해자은수량산출서(단지내)_취합" xfId="1826" xr:uid="{00000000-0005-0000-0000-000021070000}"/>
    <cellStyle name="1_tree_수량산출_구로리총괄내역_구로리설계예산서1118준공_진해자은수량산출서(단지내)_취합_00-설계서,원가계산,내역서" xfId="1827" xr:uid="{00000000-0005-0000-0000-000022070000}"/>
    <cellStyle name="1_tree_수량산출_구로리총괄내역_구로리설계예산서1118준공_진해자은수량산출서(단지내)_취합_설계서-1" xfId="1828" xr:uid="{00000000-0005-0000-0000-000023070000}"/>
    <cellStyle name="1_tree_수량산출_구로리총괄내역_구로리설계예산서1118준공_진해자은수량산출서(단지내)_취합_설계서-1_00-설계서,원가계산,내역서" xfId="1829" xr:uid="{00000000-0005-0000-0000-000024070000}"/>
    <cellStyle name="1_tree_수량산출_구로리총괄내역_구로리설계예산서조경" xfId="1830" xr:uid="{00000000-0005-0000-0000-000025070000}"/>
    <cellStyle name="1_tree_수량산출_구로리총괄내역_구로리설계예산서조경_00-설계서,원가계산,내역서" xfId="1831" xr:uid="{00000000-0005-0000-0000-000026070000}"/>
    <cellStyle name="1_tree_수량산출_구로리총괄내역_구로리설계예산서조경_설계서-1" xfId="1832" xr:uid="{00000000-0005-0000-0000-000027070000}"/>
    <cellStyle name="1_tree_수량산출_구로리총괄내역_구로리설계예산서조경_설계서-1_00-설계서,원가계산,내역서" xfId="1833" xr:uid="{00000000-0005-0000-0000-000028070000}"/>
    <cellStyle name="1_tree_수량산출_구로리총괄내역_구로리설계예산서조경_진해자은수량산출서(단지내)" xfId="1834" xr:uid="{00000000-0005-0000-0000-000029070000}"/>
    <cellStyle name="1_tree_수량산출_구로리총괄내역_구로리설계예산서조경_진해자은수량산출서(단지내)_00-설계서,원가계산,내역서" xfId="1835" xr:uid="{00000000-0005-0000-0000-00002A070000}"/>
    <cellStyle name="1_tree_수량산출_구로리총괄내역_구로리설계예산서조경_진해자은수량산출서(단지내)_기초산출표-56-128-최종" xfId="1836" xr:uid="{00000000-0005-0000-0000-00002B070000}"/>
    <cellStyle name="1_tree_수량산출_구로리총괄내역_구로리설계예산서조경_진해자은수량산출서(단지내)_기초산출표-56-128-최종_00-설계서,원가계산,내역서" xfId="1837" xr:uid="{00000000-0005-0000-0000-00002C070000}"/>
    <cellStyle name="1_tree_수량산출_구로리총괄내역_구로리설계예산서조경_진해자은수량산출서(단지내)_기초산출표-56-128-최종_설계서-1" xfId="1838" xr:uid="{00000000-0005-0000-0000-00002D070000}"/>
    <cellStyle name="1_tree_수량산출_구로리총괄내역_구로리설계예산서조경_진해자은수량산출서(단지내)_기초산출표-56-128-최종_설계서-1_00-설계서,원가계산,내역서" xfId="1839" xr:uid="{00000000-0005-0000-0000-00002E070000}"/>
    <cellStyle name="1_tree_수량산출_구로리총괄내역_구로리설계예산서조경_진해자은수량산출서(단지내)_설계서-1" xfId="1840" xr:uid="{00000000-0005-0000-0000-00002F070000}"/>
    <cellStyle name="1_tree_수량산출_구로리총괄내역_구로리설계예산서조경_진해자은수량산출서(단지내)_설계서-1_00-설계서,원가계산,내역서" xfId="1841" xr:uid="{00000000-0005-0000-0000-000030070000}"/>
    <cellStyle name="1_tree_수량산출_구로리총괄내역_구로리설계예산서조경_진해자은수량산출서(단지내)_취합" xfId="1842" xr:uid="{00000000-0005-0000-0000-000031070000}"/>
    <cellStyle name="1_tree_수량산출_구로리총괄내역_구로리설계예산서조경_진해자은수량산출서(단지내)_취합_00-설계서,원가계산,내역서" xfId="1843" xr:uid="{00000000-0005-0000-0000-000032070000}"/>
    <cellStyle name="1_tree_수량산출_구로리총괄내역_구로리설계예산서조경_진해자은수량산출서(단지내)_취합_설계서-1" xfId="1844" xr:uid="{00000000-0005-0000-0000-000033070000}"/>
    <cellStyle name="1_tree_수량산출_구로리총괄내역_구로리설계예산서조경_진해자은수량산출서(단지내)_취합_설계서-1_00-설계서,원가계산,내역서" xfId="1845" xr:uid="{00000000-0005-0000-0000-000034070000}"/>
    <cellStyle name="1_tree_수량산출_구로리총괄내역_구로리어린이공원예산서(조경)1125" xfId="1846" xr:uid="{00000000-0005-0000-0000-000035070000}"/>
    <cellStyle name="1_tree_수량산출_구로리총괄내역_구로리어린이공원예산서(조경)1125_00-설계서,원가계산,내역서" xfId="1847" xr:uid="{00000000-0005-0000-0000-000036070000}"/>
    <cellStyle name="1_tree_수량산출_구로리총괄내역_구로리어린이공원예산서(조경)1125_설계서-1" xfId="1848" xr:uid="{00000000-0005-0000-0000-000037070000}"/>
    <cellStyle name="1_tree_수량산출_구로리총괄내역_구로리어린이공원예산서(조경)1125_설계서-1_00-설계서,원가계산,내역서" xfId="1849" xr:uid="{00000000-0005-0000-0000-000038070000}"/>
    <cellStyle name="1_tree_수량산출_구로리총괄내역_구로리어린이공원예산서(조경)1125_진해자은수량산출서(단지내)" xfId="1850" xr:uid="{00000000-0005-0000-0000-000039070000}"/>
    <cellStyle name="1_tree_수량산출_구로리총괄내역_구로리어린이공원예산서(조경)1125_진해자은수량산출서(단지내)_00-설계서,원가계산,내역서" xfId="1851" xr:uid="{00000000-0005-0000-0000-00003A070000}"/>
    <cellStyle name="1_tree_수량산출_구로리총괄내역_구로리어린이공원예산서(조경)1125_진해자은수량산출서(단지내)_기초산출표-56-128-최종" xfId="1852" xr:uid="{00000000-0005-0000-0000-00003B070000}"/>
    <cellStyle name="1_tree_수량산출_구로리총괄내역_구로리어린이공원예산서(조경)1125_진해자은수량산출서(단지내)_기초산출표-56-128-최종_00-설계서,원가계산,내역서" xfId="1853" xr:uid="{00000000-0005-0000-0000-00003C070000}"/>
    <cellStyle name="1_tree_수량산출_구로리총괄내역_구로리어린이공원예산서(조경)1125_진해자은수량산출서(단지내)_기초산출표-56-128-최종_설계서-1" xfId="1854" xr:uid="{00000000-0005-0000-0000-00003D070000}"/>
    <cellStyle name="1_tree_수량산출_구로리총괄내역_구로리어린이공원예산서(조경)1125_진해자은수량산출서(단지내)_기초산출표-56-128-최종_설계서-1_00-설계서,원가계산,내역서" xfId="1855" xr:uid="{00000000-0005-0000-0000-00003E070000}"/>
    <cellStyle name="1_tree_수량산출_구로리총괄내역_구로리어린이공원예산서(조경)1125_진해자은수량산출서(단지내)_설계서-1" xfId="1856" xr:uid="{00000000-0005-0000-0000-00003F070000}"/>
    <cellStyle name="1_tree_수량산출_구로리총괄내역_구로리어린이공원예산서(조경)1125_진해자은수량산출서(단지내)_설계서-1_00-설계서,원가계산,내역서" xfId="1857" xr:uid="{00000000-0005-0000-0000-000040070000}"/>
    <cellStyle name="1_tree_수량산출_구로리총괄내역_구로리어린이공원예산서(조경)1125_진해자은수량산출서(단지내)_취합" xfId="1858" xr:uid="{00000000-0005-0000-0000-000041070000}"/>
    <cellStyle name="1_tree_수량산출_구로리총괄내역_구로리어린이공원예산서(조경)1125_진해자은수량산출서(단지내)_취합_00-설계서,원가계산,내역서" xfId="1859" xr:uid="{00000000-0005-0000-0000-000042070000}"/>
    <cellStyle name="1_tree_수량산출_구로리총괄내역_구로리어린이공원예산서(조경)1125_진해자은수량산출서(단지내)_취합_설계서-1" xfId="1860" xr:uid="{00000000-0005-0000-0000-000043070000}"/>
    <cellStyle name="1_tree_수량산출_구로리총괄내역_구로리어린이공원예산서(조경)1125_진해자은수량산출서(단지내)_취합_설계서-1_00-설계서,원가계산,내역서" xfId="1861" xr:uid="{00000000-0005-0000-0000-000044070000}"/>
    <cellStyle name="1_tree_수량산출_구로리총괄내역_내역서" xfId="1862" xr:uid="{00000000-0005-0000-0000-000045070000}"/>
    <cellStyle name="1_tree_수량산출_구로리총괄내역_내역서_00-설계서,원가계산,내역서" xfId="1863" xr:uid="{00000000-0005-0000-0000-000046070000}"/>
    <cellStyle name="1_tree_수량산출_구로리총괄내역_내역서_설계서-1" xfId="1864" xr:uid="{00000000-0005-0000-0000-000047070000}"/>
    <cellStyle name="1_tree_수량산출_구로리총괄내역_내역서_설계서-1_00-설계서,원가계산,내역서" xfId="1865" xr:uid="{00000000-0005-0000-0000-000048070000}"/>
    <cellStyle name="1_tree_수량산출_구로리총괄내역_내역서_진해자은수량산출서(단지내)" xfId="1866" xr:uid="{00000000-0005-0000-0000-000049070000}"/>
    <cellStyle name="1_tree_수량산출_구로리총괄내역_내역서_진해자은수량산출서(단지내)_00-설계서,원가계산,내역서" xfId="1867" xr:uid="{00000000-0005-0000-0000-00004A070000}"/>
    <cellStyle name="1_tree_수량산출_구로리총괄내역_내역서_진해자은수량산출서(단지내)_기초산출표-56-128-최종" xfId="1868" xr:uid="{00000000-0005-0000-0000-00004B070000}"/>
    <cellStyle name="1_tree_수량산출_구로리총괄내역_내역서_진해자은수량산출서(단지내)_기초산출표-56-128-최종_00-설계서,원가계산,내역서" xfId="1869" xr:uid="{00000000-0005-0000-0000-00004C070000}"/>
    <cellStyle name="1_tree_수량산출_구로리총괄내역_내역서_진해자은수량산출서(단지내)_기초산출표-56-128-최종_설계서-1" xfId="1870" xr:uid="{00000000-0005-0000-0000-00004D070000}"/>
    <cellStyle name="1_tree_수량산출_구로리총괄내역_내역서_진해자은수량산출서(단지내)_기초산출표-56-128-최종_설계서-1_00-설계서,원가계산,내역서" xfId="1871" xr:uid="{00000000-0005-0000-0000-00004E070000}"/>
    <cellStyle name="1_tree_수량산출_구로리총괄내역_내역서_진해자은수량산출서(단지내)_설계서-1" xfId="1872" xr:uid="{00000000-0005-0000-0000-00004F070000}"/>
    <cellStyle name="1_tree_수량산출_구로리총괄내역_내역서_진해자은수량산출서(단지내)_설계서-1_00-설계서,원가계산,내역서" xfId="1873" xr:uid="{00000000-0005-0000-0000-000050070000}"/>
    <cellStyle name="1_tree_수량산출_구로리총괄내역_내역서_진해자은수량산출서(단지내)_취합" xfId="1874" xr:uid="{00000000-0005-0000-0000-000051070000}"/>
    <cellStyle name="1_tree_수량산출_구로리총괄내역_내역서_진해자은수량산출서(단지내)_취합_00-설계서,원가계산,내역서" xfId="1875" xr:uid="{00000000-0005-0000-0000-000052070000}"/>
    <cellStyle name="1_tree_수량산출_구로리총괄내역_내역서_진해자은수량산출서(단지내)_취합_설계서-1" xfId="1876" xr:uid="{00000000-0005-0000-0000-000053070000}"/>
    <cellStyle name="1_tree_수량산출_구로리총괄내역_내역서_진해자은수량산출서(단지내)_취합_설계서-1_00-설계서,원가계산,내역서" xfId="1877" xr:uid="{00000000-0005-0000-0000-000054070000}"/>
    <cellStyle name="1_tree_수량산출_구로리총괄내역_노임단가표" xfId="1878" xr:uid="{00000000-0005-0000-0000-000055070000}"/>
    <cellStyle name="1_tree_수량산출_구로리총괄내역_노임단가표_00-설계서,원가계산,내역서" xfId="1879" xr:uid="{00000000-0005-0000-0000-000056070000}"/>
    <cellStyle name="1_tree_수량산출_구로리총괄내역_노임단가표_설계서-1" xfId="1880" xr:uid="{00000000-0005-0000-0000-000057070000}"/>
    <cellStyle name="1_tree_수량산출_구로리총괄내역_노임단가표_설계서-1_00-설계서,원가계산,내역서" xfId="1881" xr:uid="{00000000-0005-0000-0000-000058070000}"/>
    <cellStyle name="1_tree_수량산출_구로리총괄내역_노임단가표_진해자은수량산출서(단지내)" xfId="1882" xr:uid="{00000000-0005-0000-0000-000059070000}"/>
    <cellStyle name="1_tree_수량산출_구로리총괄내역_노임단가표_진해자은수량산출서(단지내)_00-설계서,원가계산,내역서" xfId="1883" xr:uid="{00000000-0005-0000-0000-00005A070000}"/>
    <cellStyle name="1_tree_수량산출_구로리총괄내역_노임단가표_진해자은수량산출서(단지내)_기초산출표-56-128-최종" xfId="1884" xr:uid="{00000000-0005-0000-0000-00005B070000}"/>
    <cellStyle name="1_tree_수량산출_구로리총괄내역_노임단가표_진해자은수량산출서(단지내)_기초산출표-56-128-최종_00-설계서,원가계산,내역서" xfId="1885" xr:uid="{00000000-0005-0000-0000-00005C070000}"/>
    <cellStyle name="1_tree_수량산출_구로리총괄내역_노임단가표_진해자은수량산출서(단지내)_기초산출표-56-128-최종_설계서-1" xfId="1886" xr:uid="{00000000-0005-0000-0000-00005D070000}"/>
    <cellStyle name="1_tree_수량산출_구로리총괄내역_노임단가표_진해자은수량산출서(단지내)_기초산출표-56-128-최종_설계서-1_00-설계서,원가계산,내역서" xfId="1887" xr:uid="{00000000-0005-0000-0000-00005E070000}"/>
    <cellStyle name="1_tree_수량산출_구로리총괄내역_노임단가표_진해자은수량산출서(단지내)_설계서-1" xfId="1888" xr:uid="{00000000-0005-0000-0000-00005F070000}"/>
    <cellStyle name="1_tree_수량산출_구로리총괄내역_노임단가표_진해자은수량산출서(단지내)_설계서-1_00-설계서,원가계산,내역서" xfId="1889" xr:uid="{00000000-0005-0000-0000-000060070000}"/>
    <cellStyle name="1_tree_수량산출_구로리총괄내역_노임단가표_진해자은수량산출서(단지내)_취합" xfId="1890" xr:uid="{00000000-0005-0000-0000-000061070000}"/>
    <cellStyle name="1_tree_수량산출_구로리총괄내역_노임단가표_진해자은수량산출서(단지내)_취합_00-설계서,원가계산,내역서" xfId="1891" xr:uid="{00000000-0005-0000-0000-000062070000}"/>
    <cellStyle name="1_tree_수량산출_구로리총괄내역_노임단가표_진해자은수량산출서(단지내)_취합_설계서-1" xfId="1892" xr:uid="{00000000-0005-0000-0000-000063070000}"/>
    <cellStyle name="1_tree_수량산출_구로리총괄내역_노임단가표_진해자은수량산출서(단지내)_취합_설계서-1_00-설계서,원가계산,내역서" xfId="1893" xr:uid="{00000000-0005-0000-0000-000064070000}"/>
    <cellStyle name="1_tree_수량산출_구로리총괄내역_설계서-1" xfId="1894" xr:uid="{00000000-0005-0000-0000-000065070000}"/>
    <cellStyle name="1_tree_수량산출_구로리총괄내역_설계서-1_00-설계서,원가계산,내역서" xfId="1895" xr:uid="{00000000-0005-0000-0000-000066070000}"/>
    <cellStyle name="1_tree_수량산출_구로리총괄내역_수도권매립지" xfId="1896" xr:uid="{00000000-0005-0000-0000-000067070000}"/>
    <cellStyle name="1_tree_수량산출_구로리총괄내역_수도권매립지_00-설계서,원가계산,내역서" xfId="1897" xr:uid="{00000000-0005-0000-0000-000068070000}"/>
    <cellStyle name="1_tree_수량산출_구로리총괄내역_수도권매립지_설계서-1" xfId="1898" xr:uid="{00000000-0005-0000-0000-000069070000}"/>
    <cellStyle name="1_tree_수량산출_구로리총괄내역_수도권매립지_설계서-1_00-설계서,원가계산,내역서" xfId="1899" xr:uid="{00000000-0005-0000-0000-00006A070000}"/>
    <cellStyle name="1_tree_수량산출_구로리총괄내역_수도권매립지_진해자은수량산출서(단지내)" xfId="1900" xr:uid="{00000000-0005-0000-0000-00006B070000}"/>
    <cellStyle name="1_tree_수량산출_구로리총괄내역_수도권매립지_진해자은수량산출서(단지내)_00-설계서,원가계산,내역서" xfId="1901" xr:uid="{00000000-0005-0000-0000-00006C070000}"/>
    <cellStyle name="1_tree_수량산출_구로리총괄내역_수도권매립지_진해자은수량산출서(단지내)_기초산출표-56-128-최종" xfId="1902" xr:uid="{00000000-0005-0000-0000-00006D070000}"/>
    <cellStyle name="1_tree_수량산출_구로리총괄내역_수도권매립지_진해자은수량산출서(단지내)_기초산출표-56-128-최종_00-설계서,원가계산,내역서" xfId="1903" xr:uid="{00000000-0005-0000-0000-00006E070000}"/>
    <cellStyle name="1_tree_수량산출_구로리총괄내역_수도권매립지_진해자은수량산출서(단지내)_기초산출표-56-128-최종_설계서-1" xfId="1904" xr:uid="{00000000-0005-0000-0000-00006F070000}"/>
    <cellStyle name="1_tree_수량산출_구로리총괄내역_수도권매립지_진해자은수량산출서(단지내)_기초산출표-56-128-최종_설계서-1_00-설계서,원가계산,내역서" xfId="1905" xr:uid="{00000000-0005-0000-0000-000070070000}"/>
    <cellStyle name="1_tree_수량산출_구로리총괄내역_수도권매립지_진해자은수량산출서(단지내)_설계서-1" xfId="1906" xr:uid="{00000000-0005-0000-0000-000071070000}"/>
    <cellStyle name="1_tree_수량산출_구로리총괄내역_수도권매립지_진해자은수량산출서(단지내)_설계서-1_00-설계서,원가계산,내역서" xfId="1907" xr:uid="{00000000-0005-0000-0000-000072070000}"/>
    <cellStyle name="1_tree_수량산출_구로리총괄내역_수도권매립지_진해자은수량산출서(단지내)_취합" xfId="1908" xr:uid="{00000000-0005-0000-0000-000073070000}"/>
    <cellStyle name="1_tree_수량산출_구로리총괄내역_수도권매립지_진해자은수량산출서(단지내)_취합_00-설계서,원가계산,내역서" xfId="1909" xr:uid="{00000000-0005-0000-0000-000074070000}"/>
    <cellStyle name="1_tree_수량산출_구로리총괄내역_수도권매립지_진해자은수량산출서(단지내)_취합_설계서-1" xfId="1910" xr:uid="{00000000-0005-0000-0000-000075070000}"/>
    <cellStyle name="1_tree_수량산출_구로리총괄내역_수도권매립지_진해자은수량산출서(단지내)_취합_설계서-1_00-설계서,원가계산,내역서" xfId="1911" xr:uid="{00000000-0005-0000-0000-000076070000}"/>
    <cellStyle name="1_tree_수량산출_구로리총괄내역_수도권매립지1004(발주용)" xfId="1912" xr:uid="{00000000-0005-0000-0000-000077070000}"/>
    <cellStyle name="1_tree_수량산출_구로리총괄내역_수도권매립지1004(발주용)_00-설계서,원가계산,내역서" xfId="1913" xr:uid="{00000000-0005-0000-0000-000078070000}"/>
    <cellStyle name="1_tree_수량산출_구로리총괄내역_수도권매립지1004(발주용)_설계서-1" xfId="1914" xr:uid="{00000000-0005-0000-0000-000079070000}"/>
    <cellStyle name="1_tree_수량산출_구로리총괄내역_수도권매립지1004(발주용)_설계서-1_00-설계서,원가계산,내역서" xfId="1915" xr:uid="{00000000-0005-0000-0000-00007A070000}"/>
    <cellStyle name="1_tree_수량산출_구로리총괄내역_수도권매립지1004(발주용)_진해자은수량산출서(단지내)" xfId="1916" xr:uid="{00000000-0005-0000-0000-00007B070000}"/>
    <cellStyle name="1_tree_수량산출_구로리총괄내역_수도권매립지1004(발주용)_진해자은수량산출서(단지내)_00-설계서,원가계산,내역서" xfId="1917" xr:uid="{00000000-0005-0000-0000-00007C070000}"/>
    <cellStyle name="1_tree_수량산출_구로리총괄내역_수도권매립지1004(발주용)_진해자은수량산출서(단지내)_기초산출표-56-128-최종" xfId="1918" xr:uid="{00000000-0005-0000-0000-00007D070000}"/>
    <cellStyle name="1_tree_수량산출_구로리총괄내역_수도권매립지1004(발주용)_진해자은수량산출서(단지내)_기초산출표-56-128-최종_00-설계서,원가계산,내역서" xfId="1919" xr:uid="{00000000-0005-0000-0000-00007E070000}"/>
    <cellStyle name="1_tree_수량산출_구로리총괄내역_수도권매립지1004(발주용)_진해자은수량산출서(단지내)_기초산출표-56-128-최종_설계서-1" xfId="1920" xr:uid="{00000000-0005-0000-0000-00007F070000}"/>
    <cellStyle name="1_tree_수량산출_구로리총괄내역_수도권매립지1004(발주용)_진해자은수량산출서(단지내)_기초산출표-56-128-최종_설계서-1_00-설계서,원가계산,내역서" xfId="1921" xr:uid="{00000000-0005-0000-0000-000080070000}"/>
    <cellStyle name="1_tree_수량산출_구로리총괄내역_수도권매립지1004(발주용)_진해자은수량산출서(단지내)_설계서-1" xfId="1922" xr:uid="{00000000-0005-0000-0000-000081070000}"/>
    <cellStyle name="1_tree_수량산출_구로리총괄내역_수도권매립지1004(발주용)_진해자은수량산출서(단지내)_설계서-1_00-설계서,원가계산,내역서" xfId="1923" xr:uid="{00000000-0005-0000-0000-000082070000}"/>
    <cellStyle name="1_tree_수량산출_구로리총괄내역_수도권매립지1004(발주용)_진해자은수량산출서(단지내)_취합" xfId="1924" xr:uid="{00000000-0005-0000-0000-000083070000}"/>
    <cellStyle name="1_tree_수량산출_구로리총괄내역_수도권매립지1004(발주용)_진해자은수량산출서(단지내)_취합_00-설계서,원가계산,내역서" xfId="1925" xr:uid="{00000000-0005-0000-0000-000084070000}"/>
    <cellStyle name="1_tree_수량산출_구로리총괄내역_수도권매립지1004(발주용)_진해자은수량산출서(단지내)_취합_설계서-1" xfId="1926" xr:uid="{00000000-0005-0000-0000-000085070000}"/>
    <cellStyle name="1_tree_수량산출_구로리총괄내역_수도권매립지1004(발주용)_진해자은수량산출서(단지내)_취합_설계서-1_00-설계서,원가계산,내역서" xfId="1927" xr:uid="{00000000-0005-0000-0000-000086070000}"/>
    <cellStyle name="1_tree_수량산출_구로리총괄내역_일신건영설계예산서(0211)" xfId="1928" xr:uid="{00000000-0005-0000-0000-000087070000}"/>
    <cellStyle name="1_tree_수량산출_구로리총괄내역_일신건영설계예산서(0211)_00-설계서,원가계산,내역서" xfId="1929" xr:uid="{00000000-0005-0000-0000-000088070000}"/>
    <cellStyle name="1_tree_수량산출_구로리총괄내역_일신건영설계예산서(0211)_설계서-1" xfId="1930" xr:uid="{00000000-0005-0000-0000-000089070000}"/>
    <cellStyle name="1_tree_수량산출_구로리총괄내역_일신건영설계예산서(0211)_설계서-1_00-설계서,원가계산,내역서" xfId="1931" xr:uid="{00000000-0005-0000-0000-00008A070000}"/>
    <cellStyle name="1_tree_수량산출_구로리총괄내역_일신건영설계예산서(0211)_진해자은수량산출서(단지내)" xfId="1932" xr:uid="{00000000-0005-0000-0000-00008B070000}"/>
    <cellStyle name="1_tree_수량산출_구로리총괄내역_일신건영설계예산서(0211)_진해자은수량산출서(단지내)_00-설계서,원가계산,내역서" xfId="1933" xr:uid="{00000000-0005-0000-0000-00008C070000}"/>
    <cellStyle name="1_tree_수량산출_구로리총괄내역_일신건영설계예산서(0211)_진해자은수량산출서(단지내)_기초산출표-56-128-최종" xfId="1934" xr:uid="{00000000-0005-0000-0000-00008D070000}"/>
    <cellStyle name="1_tree_수량산출_구로리총괄내역_일신건영설계예산서(0211)_진해자은수량산출서(단지내)_기초산출표-56-128-최종_00-설계서,원가계산,내역서" xfId="1935" xr:uid="{00000000-0005-0000-0000-00008E070000}"/>
    <cellStyle name="1_tree_수량산출_구로리총괄내역_일신건영설계예산서(0211)_진해자은수량산출서(단지내)_기초산출표-56-128-최종_설계서-1" xfId="1936" xr:uid="{00000000-0005-0000-0000-00008F070000}"/>
    <cellStyle name="1_tree_수량산출_구로리총괄내역_일신건영설계예산서(0211)_진해자은수량산출서(단지내)_기초산출표-56-128-최종_설계서-1_00-설계서,원가계산,내역서" xfId="1937" xr:uid="{00000000-0005-0000-0000-000090070000}"/>
    <cellStyle name="1_tree_수량산출_구로리총괄내역_일신건영설계예산서(0211)_진해자은수량산출서(단지내)_설계서-1" xfId="1938" xr:uid="{00000000-0005-0000-0000-000091070000}"/>
    <cellStyle name="1_tree_수량산출_구로리총괄내역_일신건영설계예산서(0211)_진해자은수량산출서(단지내)_설계서-1_00-설계서,원가계산,내역서" xfId="1939" xr:uid="{00000000-0005-0000-0000-000092070000}"/>
    <cellStyle name="1_tree_수량산출_구로리총괄내역_일신건영설계예산서(0211)_진해자은수량산출서(단지내)_취합" xfId="1940" xr:uid="{00000000-0005-0000-0000-000093070000}"/>
    <cellStyle name="1_tree_수량산출_구로리총괄내역_일신건영설계예산서(0211)_진해자은수량산출서(단지내)_취합_00-설계서,원가계산,내역서" xfId="1941" xr:uid="{00000000-0005-0000-0000-000094070000}"/>
    <cellStyle name="1_tree_수량산출_구로리총괄내역_일신건영설계예산서(0211)_진해자은수량산출서(단지내)_취합_설계서-1" xfId="1942" xr:uid="{00000000-0005-0000-0000-000095070000}"/>
    <cellStyle name="1_tree_수량산출_구로리총괄내역_일신건영설계예산서(0211)_진해자은수량산출서(단지내)_취합_설계서-1_00-설계서,원가계산,내역서" xfId="1943" xr:uid="{00000000-0005-0000-0000-000096070000}"/>
    <cellStyle name="1_tree_수량산출_구로리총괄내역_일위대가" xfId="1944" xr:uid="{00000000-0005-0000-0000-000097070000}"/>
    <cellStyle name="1_tree_수량산출_구로리총괄내역_일위대가_00-설계서,원가계산,내역서" xfId="1945" xr:uid="{00000000-0005-0000-0000-000098070000}"/>
    <cellStyle name="1_tree_수량산출_구로리총괄내역_일위대가_설계서-1" xfId="1946" xr:uid="{00000000-0005-0000-0000-000099070000}"/>
    <cellStyle name="1_tree_수량산출_구로리총괄내역_일위대가_설계서-1_00-설계서,원가계산,내역서" xfId="1947" xr:uid="{00000000-0005-0000-0000-00009A070000}"/>
    <cellStyle name="1_tree_수량산출_구로리총괄내역_일위대가_진해자은수량산출서(단지내)" xfId="1948" xr:uid="{00000000-0005-0000-0000-00009B070000}"/>
    <cellStyle name="1_tree_수량산출_구로리총괄내역_일위대가_진해자은수량산출서(단지내)_00-설계서,원가계산,내역서" xfId="1949" xr:uid="{00000000-0005-0000-0000-00009C070000}"/>
    <cellStyle name="1_tree_수량산출_구로리총괄내역_일위대가_진해자은수량산출서(단지내)_기초산출표-56-128-최종" xfId="1950" xr:uid="{00000000-0005-0000-0000-00009D070000}"/>
    <cellStyle name="1_tree_수량산출_구로리총괄내역_일위대가_진해자은수량산출서(단지내)_기초산출표-56-128-최종_00-설계서,원가계산,내역서" xfId="1951" xr:uid="{00000000-0005-0000-0000-00009E070000}"/>
    <cellStyle name="1_tree_수량산출_구로리총괄내역_일위대가_진해자은수량산출서(단지내)_기초산출표-56-128-최종_설계서-1" xfId="1952" xr:uid="{00000000-0005-0000-0000-00009F070000}"/>
    <cellStyle name="1_tree_수량산출_구로리총괄내역_일위대가_진해자은수량산출서(단지내)_기초산출표-56-128-최종_설계서-1_00-설계서,원가계산,내역서" xfId="1953" xr:uid="{00000000-0005-0000-0000-0000A0070000}"/>
    <cellStyle name="1_tree_수량산출_구로리총괄내역_일위대가_진해자은수량산출서(단지내)_설계서-1" xfId="1954" xr:uid="{00000000-0005-0000-0000-0000A1070000}"/>
    <cellStyle name="1_tree_수량산출_구로리총괄내역_일위대가_진해자은수량산출서(단지내)_설계서-1_00-설계서,원가계산,내역서" xfId="1955" xr:uid="{00000000-0005-0000-0000-0000A2070000}"/>
    <cellStyle name="1_tree_수량산출_구로리총괄내역_일위대가_진해자은수량산출서(단지내)_취합" xfId="1956" xr:uid="{00000000-0005-0000-0000-0000A3070000}"/>
    <cellStyle name="1_tree_수량산출_구로리총괄내역_일위대가_진해자은수량산출서(단지내)_취합_00-설계서,원가계산,내역서" xfId="1957" xr:uid="{00000000-0005-0000-0000-0000A4070000}"/>
    <cellStyle name="1_tree_수량산출_구로리총괄내역_일위대가_진해자은수량산출서(단지내)_취합_설계서-1" xfId="1958" xr:uid="{00000000-0005-0000-0000-0000A5070000}"/>
    <cellStyle name="1_tree_수량산출_구로리총괄내역_일위대가_진해자은수량산출서(단지내)_취합_설계서-1_00-설계서,원가계산,내역서" xfId="1959" xr:uid="{00000000-0005-0000-0000-0000A6070000}"/>
    <cellStyle name="1_tree_수량산출_구로리총괄내역_자재단가표" xfId="1960" xr:uid="{00000000-0005-0000-0000-0000A7070000}"/>
    <cellStyle name="1_tree_수량산출_구로리총괄내역_자재단가표_00-설계서,원가계산,내역서" xfId="1961" xr:uid="{00000000-0005-0000-0000-0000A8070000}"/>
    <cellStyle name="1_tree_수량산출_구로리총괄내역_자재단가표_설계서-1" xfId="1962" xr:uid="{00000000-0005-0000-0000-0000A9070000}"/>
    <cellStyle name="1_tree_수량산출_구로리총괄내역_자재단가표_설계서-1_00-설계서,원가계산,내역서" xfId="1963" xr:uid="{00000000-0005-0000-0000-0000AA070000}"/>
    <cellStyle name="1_tree_수량산출_구로리총괄내역_자재단가표_진해자은수량산출서(단지내)" xfId="1964" xr:uid="{00000000-0005-0000-0000-0000AB070000}"/>
    <cellStyle name="1_tree_수량산출_구로리총괄내역_자재단가표_진해자은수량산출서(단지내)_00-설계서,원가계산,내역서" xfId="1965" xr:uid="{00000000-0005-0000-0000-0000AC070000}"/>
    <cellStyle name="1_tree_수량산출_구로리총괄내역_자재단가표_진해자은수량산출서(단지내)_기초산출표-56-128-최종" xfId="1966" xr:uid="{00000000-0005-0000-0000-0000AD070000}"/>
    <cellStyle name="1_tree_수량산출_구로리총괄내역_자재단가표_진해자은수량산출서(단지내)_기초산출표-56-128-최종_00-설계서,원가계산,내역서" xfId="1967" xr:uid="{00000000-0005-0000-0000-0000AE070000}"/>
    <cellStyle name="1_tree_수량산출_구로리총괄내역_자재단가표_진해자은수량산출서(단지내)_기초산출표-56-128-최종_설계서-1" xfId="1968" xr:uid="{00000000-0005-0000-0000-0000AF070000}"/>
    <cellStyle name="1_tree_수량산출_구로리총괄내역_자재단가표_진해자은수량산출서(단지내)_기초산출표-56-128-최종_설계서-1_00-설계서,원가계산,내역서" xfId="1969" xr:uid="{00000000-0005-0000-0000-0000B0070000}"/>
    <cellStyle name="1_tree_수량산출_구로리총괄내역_자재단가표_진해자은수량산출서(단지내)_설계서-1" xfId="1970" xr:uid="{00000000-0005-0000-0000-0000B1070000}"/>
    <cellStyle name="1_tree_수량산출_구로리총괄내역_자재단가표_진해자은수량산출서(단지내)_설계서-1_00-설계서,원가계산,내역서" xfId="1971" xr:uid="{00000000-0005-0000-0000-0000B2070000}"/>
    <cellStyle name="1_tree_수량산출_구로리총괄내역_자재단가표_진해자은수량산출서(단지내)_취합" xfId="1972" xr:uid="{00000000-0005-0000-0000-0000B3070000}"/>
    <cellStyle name="1_tree_수량산출_구로리총괄내역_자재단가표_진해자은수량산출서(단지내)_취합_00-설계서,원가계산,내역서" xfId="1973" xr:uid="{00000000-0005-0000-0000-0000B4070000}"/>
    <cellStyle name="1_tree_수량산출_구로리총괄내역_자재단가표_진해자은수량산출서(단지내)_취합_설계서-1" xfId="1974" xr:uid="{00000000-0005-0000-0000-0000B5070000}"/>
    <cellStyle name="1_tree_수량산출_구로리총괄내역_자재단가표_진해자은수량산출서(단지내)_취합_설계서-1_00-설계서,원가계산,내역서" xfId="1975" xr:uid="{00000000-0005-0000-0000-0000B6070000}"/>
    <cellStyle name="1_tree_수량산출_구로리총괄내역_장안초등학교내역0814" xfId="1976" xr:uid="{00000000-0005-0000-0000-0000B7070000}"/>
    <cellStyle name="1_tree_수량산출_구로리총괄내역_장안초등학교내역0814_00-설계서,원가계산,내역서" xfId="1977" xr:uid="{00000000-0005-0000-0000-0000B8070000}"/>
    <cellStyle name="1_tree_수량산출_구로리총괄내역_장안초등학교내역0814_설계서-1" xfId="1978" xr:uid="{00000000-0005-0000-0000-0000B9070000}"/>
    <cellStyle name="1_tree_수량산출_구로리총괄내역_장안초등학교내역0814_설계서-1_00-설계서,원가계산,내역서" xfId="1979" xr:uid="{00000000-0005-0000-0000-0000BA070000}"/>
    <cellStyle name="1_tree_수량산출_구로리총괄내역_장안초등학교내역0814_진해자은수량산출서(단지내)" xfId="1980" xr:uid="{00000000-0005-0000-0000-0000BB070000}"/>
    <cellStyle name="1_tree_수량산출_구로리총괄내역_장안초등학교내역0814_진해자은수량산출서(단지내)_00-설계서,원가계산,내역서" xfId="1981" xr:uid="{00000000-0005-0000-0000-0000BC070000}"/>
    <cellStyle name="1_tree_수량산출_구로리총괄내역_장안초등학교내역0814_진해자은수량산출서(단지내)_기초산출표-56-128-최종" xfId="1982" xr:uid="{00000000-0005-0000-0000-0000BD070000}"/>
    <cellStyle name="1_tree_수량산출_구로리총괄내역_장안초등학교내역0814_진해자은수량산출서(단지내)_기초산출표-56-128-최종_00-설계서,원가계산,내역서" xfId="1983" xr:uid="{00000000-0005-0000-0000-0000BE070000}"/>
    <cellStyle name="1_tree_수량산출_구로리총괄내역_장안초등학교내역0814_진해자은수량산출서(단지내)_기초산출표-56-128-최종_설계서-1" xfId="1984" xr:uid="{00000000-0005-0000-0000-0000BF070000}"/>
    <cellStyle name="1_tree_수량산출_구로리총괄내역_장안초등학교내역0814_진해자은수량산출서(단지내)_기초산출표-56-128-최종_설계서-1_00-설계서,원가계산,내역서" xfId="1985" xr:uid="{00000000-0005-0000-0000-0000C0070000}"/>
    <cellStyle name="1_tree_수량산출_구로리총괄내역_장안초등학교내역0814_진해자은수량산출서(단지내)_설계서-1" xfId="1986" xr:uid="{00000000-0005-0000-0000-0000C1070000}"/>
    <cellStyle name="1_tree_수량산출_구로리총괄내역_장안초등학교내역0814_진해자은수량산출서(단지내)_설계서-1_00-설계서,원가계산,내역서" xfId="1987" xr:uid="{00000000-0005-0000-0000-0000C2070000}"/>
    <cellStyle name="1_tree_수량산출_구로리총괄내역_장안초등학교내역0814_진해자은수량산출서(단지내)_취합" xfId="1988" xr:uid="{00000000-0005-0000-0000-0000C3070000}"/>
    <cellStyle name="1_tree_수량산출_구로리총괄내역_장안초등학교내역0814_진해자은수량산출서(단지내)_취합_00-설계서,원가계산,내역서" xfId="1989" xr:uid="{00000000-0005-0000-0000-0000C4070000}"/>
    <cellStyle name="1_tree_수량산출_구로리총괄내역_장안초등학교내역0814_진해자은수량산출서(단지내)_취합_설계서-1" xfId="1990" xr:uid="{00000000-0005-0000-0000-0000C5070000}"/>
    <cellStyle name="1_tree_수량산출_구로리총괄내역_장안초등학교내역0814_진해자은수량산출서(단지내)_취합_설계서-1_00-설계서,원가계산,내역서" xfId="1991" xr:uid="{00000000-0005-0000-0000-0000C6070000}"/>
    <cellStyle name="1_tree_수량산출_구로리총괄내역_진해자은수량산출서(단지내)" xfId="1992" xr:uid="{00000000-0005-0000-0000-0000C7070000}"/>
    <cellStyle name="1_tree_수량산출_구로리총괄내역_진해자은수량산출서(단지내)_00-설계서,원가계산,내역서" xfId="1993" xr:uid="{00000000-0005-0000-0000-0000C8070000}"/>
    <cellStyle name="1_tree_수량산출_구로리총괄내역_진해자은수량산출서(단지내)_기초산출표-56-128-최종" xfId="1994" xr:uid="{00000000-0005-0000-0000-0000C9070000}"/>
    <cellStyle name="1_tree_수량산출_구로리총괄내역_진해자은수량산출서(단지내)_기초산출표-56-128-최종_00-설계서,원가계산,내역서" xfId="1995" xr:uid="{00000000-0005-0000-0000-0000CA070000}"/>
    <cellStyle name="1_tree_수량산출_구로리총괄내역_진해자은수량산출서(단지내)_기초산출표-56-128-최종_설계서-1" xfId="1996" xr:uid="{00000000-0005-0000-0000-0000CB070000}"/>
    <cellStyle name="1_tree_수량산출_구로리총괄내역_진해자은수량산출서(단지내)_기초산출표-56-128-최종_설계서-1_00-설계서,원가계산,내역서" xfId="1997" xr:uid="{00000000-0005-0000-0000-0000CC070000}"/>
    <cellStyle name="1_tree_수량산출_구로리총괄내역_진해자은수량산출서(단지내)_설계서-1" xfId="1998" xr:uid="{00000000-0005-0000-0000-0000CD070000}"/>
    <cellStyle name="1_tree_수량산출_구로리총괄내역_진해자은수량산출서(단지내)_설계서-1_00-설계서,원가계산,내역서" xfId="1999" xr:uid="{00000000-0005-0000-0000-0000CE070000}"/>
    <cellStyle name="1_tree_수량산출_구로리총괄내역_진해자은수량산출서(단지내)_취합" xfId="2000" xr:uid="{00000000-0005-0000-0000-0000CF070000}"/>
    <cellStyle name="1_tree_수량산출_구로리총괄내역_진해자은수량산출서(단지내)_취합_00-설계서,원가계산,내역서" xfId="2001" xr:uid="{00000000-0005-0000-0000-0000D0070000}"/>
    <cellStyle name="1_tree_수량산출_구로리총괄내역_진해자은수량산출서(단지내)_취합_설계서-1" xfId="2002" xr:uid="{00000000-0005-0000-0000-0000D1070000}"/>
    <cellStyle name="1_tree_수량산출_구로리총괄내역_진해자은수량산출서(단지내)_취합_설계서-1_00-설계서,원가계산,내역서" xfId="2003" xr:uid="{00000000-0005-0000-0000-0000D2070000}"/>
    <cellStyle name="1_tree_수량산출_목동내역" xfId="2004" xr:uid="{00000000-0005-0000-0000-0000D3070000}"/>
    <cellStyle name="1_tree_수량산출_목동내역_00-설계서,원가계산,내역서" xfId="2005" xr:uid="{00000000-0005-0000-0000-0000D4070000}"/>
    <cellStyle name="1_tree_수량산출_목동내역_폐기물집계" xfId="2006" xr:uid="{00000000-0005-0000-0000-0000D5070000}"/>
    <cellStyle name="1_tree_수량산출_목동내역_폐기물집계_00-설계서,원가계산,내역서" xfId="2007" xr:uid="{00000000-0005-0000-0000-0000D6070000}"/>
    <cellStyle name="1_tree_수량산출_설계서-1" xfId="2008" xr:uid="{00000000-0005-0000-0000-0000D7070000}"/>
    <cellStyle name="1_tree_수량산출_설계서-1_00-설계서,원가계산,내역서" xfId="2009" xr:uid="{00000000-0005-0000-0000-0000D8070000}"/>
    <cellStyle name="1_tree_수량산출_이문동구간중랑천변녹화사업(수량산출서, 071127)-최종" xfId="2010" xr:uid="{00000000-0005-0000-0000-0000D9070000}"/>
    <cellStyle name="1_tree_수량산출_이문동구간중랑천변녹화사업(수량산출서, 071127)-최종_00-설계서,원가계산,내역서" xfId="2011" xr:uid="{00000000-0005-0000-0000-0000DA070000}"/>
    <cellStyle name="1_tree_수량산출_진해자은수량산출서(단지내)" xfId="2012" xr:uid="{00000000-0005-0000-0000-0000DB070000}"/>
    <cellStyle name="1_tree_수량산출_진해자은수량산출서(단지내)_00-설계서,원가계산,내역서" xfId="2013" xr:uid="{00000000-0005-0000-0000-0000DC070000}"/>
    <cellStyle name="1_tree_수량산출_진해자은수량산출서(단지내)_기초산출표-56-128-최종" xfId="2014" xr:uid="{00000000-0005-0000-0000-0000DD070000}"/>
    <cellStyle name="1_tree_수량산출_진해자은수량산출서(단지내)_기초산출표-56-128-최종_00-설계서,원가계산,내역서" xfId="2015" xr:uid="{00000000-0005-0000-0000-0000DE070000}"/>
    <cellStyle name="1_tree_수량산출_진해자은수량산출서(단지내)_기초산출표-56-128-최종_설계서-1" xfId="2016" xr:uid="{00000000-0005-0000-0000-0000DF070000}"/>
    <cellStyle name="1_tree_수량산출_진해자은수량산출서(단지내)_기초산출표-56-128-최종_설계서-1_00-설계서,원가계산,내역서" xfId="2017" xr:uid="{00000000-0005-0000-0000-0000E0070000}"/>
    <cellStyle name="1_tree_수량산출_진해자은수량산출서(단지내)_설계서-1" xfId="2018" xr:uid="{00000000-0005-0000-0000-0000E1070000}"/>
    <cellStyle name="1_tree_수량산출_진해자은수량산출서(단지내)_설계서-1_00-설계서,원가계산,내역서" xfId="2019" xr:uid="{00000000-0005-0000-0000-0000E2070000}"/>
    <cellStyle name="1_tree_수량산출_진해자은수량산출서(단지내)_취합" xfId="2020" xr:uid="{00000000-0005-0000-0000-0000E3070000}"/>
    <cellStyle name="1_tree_수량산출_진해자은수량산출서(단지내)_취합_00-설계서,원가계산,내역서" xfId="2021" xr:uid="{00000000-0005-0000-0000-0000E4070000}"/>
    <cellStyle name="1_tree_수량산출_진해자은수량산출서(단지내)_취합_설계서-1" xfId="2022" xr:uid="{00000000-0005-0000-0000-0000E5070000}"/>
    <cellStyle name="1_tree_수량산출_진해자은수량산출서(단지내)_취합_설계서-1_00-설계서,원가계산,내역서" xfId="2023" xr:uid="{00000000-0005-0000-0000-0000E6070000}"/>
    <cellStyle name="1_tree_수량산출_총괄내역0518" xfId="2024" xr:uid="{00000000-0005-0000-0000-0000E7070000}"/>
    <cellStyle name="1_tree_수량산출_총괄내역0518_00-설계서,원가계산,내역서" xfId="2025" xr:uid="{00000000-0005-0000-0000-0000E8070000}"/>
    <cellStyle name="1_tree_수량산출_총괄내역0518_구로리설계예산서1029" xfId="2026" xr:uid="{00000000-0005-0000-0000-0000E9070000}"/>
    <cellStyle name="1_tree_수량산출_총괄내역0518_구로리설계예산서1029_00-설계서,원가계산,내역서" xfId="2027" xr:uid="{00000000-0005-0000-0000-0000EA070000}"/>
    <cellStyle name="1_tree_수량산출_총괄내역0518_구로리설계예산서1029_설계서-1" xfId="2028" xr:uid="{00000000-0005-0000-0000-0000EB070000}"/>
    <cellStyle name="1_tree_수량산출_총괄내역0518_구로리설계예산서1029_설계서-1_00-설계서,원가계산,내역서" xfId="2029" xr:uid="{00000000-0005-0000-0000-0000EC070000}"/>
    <cellStyle name="1_tree_수량산출_총괄내역0518_구로리설계예산서1029_진해자은수량산출서(단지내)" xfId="2030" xr:uid="{00000000-0005-0000-0000-0000ED070000}"/>
    <cellStyle name="1_tree_수량산출_총괄내역0518_구로리설계예산서1029_진해자은수량산출서(단지내)_00-설계서,원가계산,내역서" xfId="2031" xr:uid="{00000000-0005-0000-0000-0000EE070000}"/>
    <cellStyle name="1_tree_수량산출_총괄내역0518_구로리설계예산서1029_진해자은수량산출서(단지내)_기초산출표-56-128-최종" xfId="2032" xr:uid="{00000000-0005-0000-0000-0000EF070000}"/>
    <cellStyle name="1_tree_수량산출_총괄내역0518_구로리설계예산서1029_진해자은수량산출서(단지내)_기초산출표-56-128-최종_00-설계서,원가계산,내역서" xfId="2033" xr:uid="{00000000-0005-0000-0000-0000F0070000}"/>
    <cellStyle name="1_tree_수량산출_총괄내역0518_구로리설계예산서1029_진해자은수량산출서(단지내)_기초산출표-56-128-최종_설계서-1" xfId="2034" xr:uid="{00000000-0005-0000-0000-0000F1070000}"/>
    <cellStyle name="1_tree_수량산출_총괄내역0518_구로리설계예산서1029_진해자은수량산출서(단지내)_기초산출표-56-128-최종_설계서-1_00-설계서,원가계산,내역서" xfId="2035" xr:uid="{00000000-0005-0000-0000-0000F2070000}"/>
    <cellStyle name="1_tree_수량산출_총괄내역0518_구로리설계예산서1029_진해자은수량산출서(단지내)_설계서-1" xfId="2036" xr:uid="{00000000-0005-0000-0000-0000F3070000}"/>
    <cellStyle name="1_tree_수량산출_총괄내역0518_구로리설계예산서1029_진해자은수량산출서(단지내)_설계서-1_00-설계서,원가계산,내역서" xfId="2037" xr:uid="{00000000-0005-0000-0000-0000F4070000}"/>
    <cellStyle name="1_tree_수량산출_총괄내역0518_구로리설계예산서1029_진해자은수량산출서(단지내)_취합" xfId="2038" xr:uid="{00000000-0005-0000-0000-0000F5070000}"/>
    <cellStyle name="1_tree_수량산출_총괄내역0518_구로리설계예산서1029_진해자은수량산출서(단지내)_취합_00-설계서,원가계산,내역서" xfId="2039" xr:uid="{00000000-0005-0000-0000-0000F6070000}"/>
    <cellStyle name="1_tree_수량산출_총괄내역0518_구로리설계예산서1029_진해자은수량산출서(단지내)_취합_설계서-1" xfId="2040" xr:uid="{00000000-0005-0000-0000-0000F7070000}"/>
    <cellStyle name="1_tree_수량산출_총괄내역0518_구로리설계예산서1029_진해자은수량산출서(단지내)_취합_설계서-1_00-설계서,원가계산,내역서" xfId="2041" xr:uid="{00000000-0005-0000-0000-0000F8070000}"/>
    <cellStyle name="1_tree_수량산출_총괄내역0518_구로리설계예산서1118준공" xfId="2042" xr:uid="{00000000-0005-0000-0000-0000F9070000}"/>
    <cellStyle name="1_tree_수량산출_총괄내역0518_구로리설계예산서1118준공_00-설계서,원가계산,내역서" xfId="2043" xr:uid="{00000000-0005-0000-0000-0000FA070000}"/>
    <cellStyle name="1_tree_수량산출_총괄내역0518_구로리설계예산서1118준공_설계서-1" xfId="2044" xr:uid="{00000000-0005-0000-0000-0000FB070000}"/>
    <cellStyle name="1_tree_수량산출_총괄내역0518_구로리설계예산서1118준공_설계서-1_00-설계서,원가계산,내역서" xfId="2045" xr:uid="{00000000-0005-0000-0000-0000FC070000}"/>
    <cellStyle name="1_tree_수량산출_총괄내역0518_구로리설계예산서1118준공_진해자은수량산출서(단지내)" xfId="2046" xr:uid="{00000000-0005-0000-0000-0000FD070000}"/>
    <cellStyle name="1_tree_수량산출_총괄내역0518_구로리설계예산서1118준공_진해자은수량산출서(단지내)_00-설계서,원가계산,내역서" xfId="2047" xr:uid="{00000000-0005-0000-0000-0000FE070000}"/>
    <cellStyle name="1_tree_수량산출_총괄내역0518_구로리설계예산서1118준공_진해자은수량산출서(단지내)_기초산출표-56-128-최종" xfId="2048" xr:uid="{00000000-0005-0000-0000-0000FF070000}"/>
    <cellStyle name="1_tree_수량산출_총괄내역0518_구로리설계예산서1118준공_진해자은수량산출서(단지내)_기초산출표-56-128-최종_00-설계서,원가계산,내역서" xfId="2049" xr:uid="{00000000-0005-0000-0000-000000080000}"/>
    <cellStyle name="1_tree_수량산출_총괄내역0518_구로리설계예산서1118준공_진해자은수량산출서(단지내)_기초산출표-56-128-최종_설계서-1" xfId="2050" xr:uid="{00000000-0005-0000-0000-000001080000}"/>
    <cellStyle name="1_tree_수량산출_총괄내역0518_구로리설계예산서1118준공_진해자은수량산출서(단지내)_기초산출표-56-128-최종_설계서-1_00-설계서,원가계산,내역서" xfId="2051" xr:uid="{00000000-0005-0000-0000-000002080000}"/>
    <cellStyle name="1_tree_수량산출_총괄내역0518_구로리설계예산서1118준공_진해자은수량산출서(단지내)_설계서-1" xfId="2052" xr:uid="{00000000-0005-0000-0000-000003080000}"/>
    <cellStyle name="1_tree_수량산출_총괄내역0518_구로리설계예산서1118준공_진해자은수량산출서(단지내)_설계서-1_00-설계서,원가계산,내역서" xfId="2053" xr:uid="{00000000-0005-0000-0000-000004080000}"/>
    <cellStyle name="1_tree_수량산출_총괄내역0518_구로리설계예산서1118준공_진해자은수량산출서(단지내)_취합" xfId="2054" xr:uid="{00000000-0005-0000-0000-000005080000}"/>
    <cellStyle name="1_tree_수량산출_총괄내역0518_구로리설계예산서1118준공_진해자은수량산출서(단지내)_취합_00-설계서,원가계산,내역서" xfId="2055" xr:uid="{00000000-0005-0000-0000-000006080000}"/>
    <cellStyle name="1_tree_수량산출_총괄내역0518_구로리설계예산서1118준공_진해자은수량산출서(단지내)_취합_설계서-1" xfId="2056" xr:uid="{00000000-0005-0000-0000-000007080000}"/>
    <cellStyle name="1_tree_수량산출_총괄내역0518_구로리설계예산서1118준공_진해자은수량산출서(단지내)_취합_설계서-1_00-설계서,원가계산,내역서" xfId="2057" xr:uid="{00000000-0005-0000-0000-000008080000}"/>
    <cellStyle name="1_tree_수량산출_총괄내역0518_구로리설계예산서조경" xfId="2058" xr:uid="{00000000-0005-0000-0000-000009080000}"/>
    <cellStyle name="1_tree_수량산출_총괄내역0518_구로리설계예산서조경_00-설계서,원가계산,내역서" xfId="2059" xr:uid="{00000000-0005-0000-0000-00000A080000}"/>
    <cellStyle name="1_tree_수량산출_총괄내역0518_구로리설계예산서조경_설계서-1" xfId="2060" xr:uid="{00000000-0005-0000-0000-00000B080000}"/>
    <cellStyle name="1_tree_수량산출_총괄내역0518_구로리설계예산서조경_설계서-1_00-설계서,원가계산,내역서" xfId="2061" xr:uid="{00000000-0005-0000-0000-00000C080000}"/>
    <cellStyle name="1_tree_수량산출_총괄내역0518_구로리설계예산서조경_진해자은수량산출서(단지내)" xfId="2062" xr:uid="{00000000-0005-0000-0000-00000D080000}"/>
    <cellStyle name="1_tree_수량산출_총괄내역0518_구로리설계예산서조경_진해자은수량산출서(단지내)_00-설계서,원가계산,내역서" xfId="2063" xr:uid="{00000000-0005-0000-0000-00000E080000}"/>
    <cellStyle name="1_tree_수량산출_총괄내역0518_구로리설계예산서조경_진해자은수량산출서(단지내)_기초산출표-56-128-최종" xfId="2064" xr:uid="{00000000-0005-0000-0000-00000F080000}"/>
    <cellStyle name="1_tree_수량산출_총괄내역0518_구로리설계예산서조경_진해자은수량산출서(단지내)_기초산출표-56-128-최종_00-설계서,원가계산,내역서" xfId="2065" xr:uid="{00000000-0005-0000-0000-000010080000}"/>
    <cellStyle name="1_tree_수량산출_총괄내역0518_구로리설계예산서조경_진해자은수량산출서(단지내)_기초산출표-56-128-최종_설계서-1" xfId="2066" xr:uid="{00000000-0005-0000-0000-000011080000}"/>
    <cellStyle name="1_tree_수량산출_총괄내역0518_구로리설계예산서조경_진해자은수량산출서(단지내)_기초산출표-56-128-최종_설계서-1_00-설계서,원가계산,내역서" xfId="2067" xr:uid="{00000000-0005-0000-0000-000012080000}"/>
    <cellStyle name="1_tree_수량산출_총괄내역0518_구로리설계예산서조경_진해자은수량산출서(단지내)_설계서-1" xfId="2068" xr:uid="{00000000-0005-0000-0000-000013080000}"/>
    <cellStyle name="1_tree_수량산출_총괄내역0518_구로리설계예산서조경_진해자은수량산출서(단지내)_설계서-1_00-설계서,원가계산,내역서" xfId="2069" xr:uid="{00000000-0005-0000-0000-000014080000}"/>
    <cellStyle name="1_tree_수량산출_총괄내역0518_구로리설계예산서조경_진해자은수량산출서(단지내)_취합" xfId="2070" xr:uid="{00000000-0005-0000-0000-000015080000}"/>
    <cellStyle name="1_tree_수량산출_총괄내역0518_구로리설계예산서조경_진해자은수량산출서(단지내)_취합_00-설계서,원가계산,내역서" xfId="2071" xr:uid="{00000000-0005-0000-0000-000016080000}"/>
    <cellStyle name="1_tree_수량산출_총괄내역0518_구로리설계예산서조경_진해자은수량산출서(단지내)_취합_설계서-1" xfId="2072" xr:uid="{00000000-0005-0000-0000-000017080000}"/>
    <cellStyle name="1_tree_수량산출_총괄내역0518_구로리설계예산서조경_진해자은수량산출서(단지내)_취합_설계서-1_00-설계서,원가계산,내역서" xfId="2073" xr:uid="{00000000-0005-0000-0000-000018080000}"/>
    <cellStyle name="1_tree_수량산출_총괄내역0518_구로리어린이공원예산서(조경)1125" xfId="2074" xr:uid="{00000000-0005-0000-0000-000019080000}"/>
    <cellStyle name="1_tree_수량산출_총괄내역0518_구로리어린이공원예산서(조경)1125_00-설계서,원가계산,내역서" xfId="2075" xr:uid="{00000000-0005-0000-0000-00001A080000}"/>
    <cellStyle name="1_tree_수량산출_총괄내역0518_구로리어린이공원예산서(조경)1125_설계서-1" xfId="2076" xr:uid="{00000000-0005-0000-0000-00001B080000}"/>
    <cellStyle name="1_tree_수량산출_총괄내역0518_구로리어린이공원예산서(조경)1125_설계서-1_00-설계서,원가계산,내역서" xfId="2077" xr:uid="{00000000-0005-0000-0000-00001C080000}"/>
    <cellStyle name="1_tree_수량산출_총괄내역0518_구로리어린이공원예산서(조경)1125_진해자은수량산출서(단지내)" xfId="2078" xr:uid="{00000000-0005-0000-0000-00001D080000}"/>
    <cellStyle name="1_tree_수량산출_총괄내역0518_구로리어린이공원예산서(조경)1125_진해자은수량산출서(단지내)_00-설계서,원가계산,내역서" xfId="2079" xr:uid="{00000000-0005-0000-0000-00001E080000}"/>
    <cellStyle name="1_tree_수량산출_총괄내역0518_구로리어린이공원예산서(조경)1125_진해자은수량산출서(단지내)_기초산출표-56-128-최종" xfId="2080" xr:uid="{00000000-0005-0000-0000-00001F080000}"/>
    <cellStyle name="1_tree_수량산출_총괄내역0518_구로리어린이공원예산서(조경)1125_진해자은수량산출서(단지내)_기초산출표-56-128-최종_00-설계서,원가계산,내역서" xfId="2081" xr:uid="{00000000-0005-0000-0000-000020080000}"/>
    <cellStyle name="1_tree_수량산출_총괄내역0518_구로리어린이공원예산서(조경)1125_진해자은수량산출서(단지내)_기초산출표-56-128-최종_설계서-1" xfId="2082" xr:uid="{00000000-0005-0000-0000-000021080000}"/>
    <cellStyle name="1_tree_수량산출_총괄내역0518_구로리어린이공원예산서(조경)1125_진해자은수량산출서(단지내)_기초산출표-56-128-최종_설계서-1_00-설계서,원가계산,내역서" xfId="2083" xr:uid="{00000000-0005-0000-0000-000022080000}"/>
    <cellStyle name="1_tree_수량산출_총괄내역0518_구로리어린이공원예산서(조경)1125_진해자은수량산출서(단지내)_설계서-1" xfId="2084" xr:uid="{00000000-0005-0000-0000-000023080000}"/>
    <cellStyle name="1_tree_수량산출_총괄내역0518_구로리어린이공원예산서(조경)1125_진해자은수량산출서(단지내)_설계서-1_00-설계서,원가계산,내역서" xfId="2085" xr:uid="{00000000-0005-0000-0000-000024080000}"/>
    <cellStyle name="1_tree_수량산출_총괄내역0518_구로리어린이공원예산서(조경)1125_진해자은수량산출서(단지내)_취합" xfId="2086" xr:uid="{00000000-0005-0000-0000-000025080000}"/>
    <cellStyle name="1_tree_수량산출_총괄내역0518_구로리어린이공원예산서(조경)1125_진해자은수량산출서(단지내)_취합_00-설계서,원가계산,내역서" xfId="2087" xr:uid="{00000000-0005-0000-0000-000026080000}"/>
    <cellStyle name="1_tree_수량산출_총괄내역0518_구로리어린이공원예산서(조경)1125_진해자은수량산출서(단지내)_취합_설계서-1" xfId="2088" xr:uid="{00000000-0005-0000-0000-000027080000}"/>
    <cellStyle name="1_tree_수량산출_총괄내역0518_구로리어린이공원예산서(조경)1125_진해자은수량산출서(단지내)_취합_설계서-1_00-설계서,원가계산,내역서" xfId="2089" xr:uid="{00000000-0005-0000-0000-000028080000}"/>
    <cellStyle name="1_tree_수량산출_총괄내역0518_내역서" xfId="2090" xr:uid="{00000000-0005-0000-0000-000029080000}"/>
    <cellStyle name="1_tree_수량산출_총괄내역0518_내역서_00-설계서,원가계산,내역서" xfId="2091" xr:uid="{00000000-0005-0000-0000-00002A080000}"/>
    <cellStyle name="1_tree_수량산출_총괄내역0518_내역서_설계서-1" xfId="2092" xr:uid="{00000000-0005-0000-0000-00002B080000}"/>
    <cellStyle name="1_tree_수량산출_총괄내역0518_내역서_설계서-1_00-설계서,원가계산,내역서" xfId="2093" xr:uid="{00000000-0005-0000-0000-00002C080000}"/>
    <cellStyle name="1_tree_수량산출_총괄내역0518_내역서_진해자은수량산출서(단지내)" xfId="2094" xr:uid="{00000000-0005-0000-0000-00002D080000}"/>
    <cellStyle name="1_tree_수량산출_총괄내역0518_내역서_진해자은수량산출서(단지내)_00-설계서,원가계산,내역서" xfId="2095" xr:uid="{00000000-0005-0000-0000-00002E080000}"/>
    <cellStyle name="1_tree_수량산출_총괄내역0518_내역서_진해자은수량산출서(단지내)_기초산출표-56-128-최종" xfId="2096" xr:uid="{00000000-0005-0000-0000-00002F080000}"/>
    <cellStyle name="1_tree_수량산출_총괄내역0518_내역서_진해자은수량산출서(단지내)_기초산출표-56-128-최종_00-설계서,원가계산,내역서" xfId="2097" xr:uid="{00000000-0005-0000-0000-000030080000}"/>
    <cellStyle name="1_tree_수량산출_총괄내역0518_내역서_진해자은수량산출서(단지내)_기초산출표-56-128-최종_설계서-1" xfId="2098" xr:uid="{00000000-0005-0000-0000-000031080000}"/>
    <cellStyle name="1_tree_수량산출_총괄내역0518_내역서_진해자은수량산출서(단지내)_기초산출표-56-128-최종_설계서-1_00-설계서,원가계산,내역서" xfId="2099" xr:uid="{00000000-0005-0000-0000-000032080000}"/>
    <cellStyle name="1_tree_수량산출_총괄내역0518_내역서_진해자은수량산출서(단지내)_설계서-1" xfId="2100" xr:uid="{00000000-0005-0000-0000-000033080000}"/>
    <cellStyle name="1_tree_수량산출_총괄내역0518_내역서_진해자은수량산출서(단지내)_설계서-1_00-설계서,원가계산,내역서" xfId="2101" xr:uid="{00000000-0005-0000-0000-000034080000}"/>
    <cellStyle name="1_tree_수량산출_총괄내역0518_내역서_진해자은수량산출서(단지내)_취합" xfId="2102" xr:uid="{00000000-0005-0000-0000-000035080000}"/>
    <cellStyle name="1_tree_수량산출_총괄내역0518_내역서_진해자은수량산출서(단지내)_취합_00-설계서,원가계산,내역서" xfId="2103" xr:uid="{00000000-0005-0000-0000-000036080000}"/>
    <cellStyle name="1_tree_수량산출_총괄내역0518_내역서_진해자은수량산출서(단지내)_취합_설계서-1" xfId="2104" xr:uid="{00000000-0005-0000-0000-000037080000}"/>
    <cellStyle name="1_tree_수량산출_총괄내역0518_내역서_진해자은수량산출서(단지내)_취합_설계서-1_00-설계서,원가계산,내역서" xfId="2105" xr:uid="{00000000-0005-0000-0000-000038080000}"/>
    <cellStyle name="1_tree_수량산출_총괄내역0518_노임단가표" xfId="2106" xr:uid="{00000000-0005-0000-0000-000039080000}"/>
    <cellStyle name="1_tree_수량산출_총괄내역0518_노임단가표_00-설계서,원가계산,내역서" xfId="2107" xr:uid="{00000000-0005-0000-0000-00003A080000}"/>
    <cellStyle name="1_tree_수량산출_총괄내역0518_노임단가표_설계서-1" xfId="2108" xr:uid="{00000000-0005-0000-0000-00003B080000}"/>
    <cellStyle name="1_tree_수량산출_총괄내역0518_노임단가표_설계서-1_00-설계서,원가계산,내역서" xfId="2109" xr:uid="{00000000-0005-0000-0000-00003C080000}"/>
    <cellStyle name="1_tree_수량산출_총괄내역0518_노임단가표_진해자은수량산출서(단지내)" xfId="2110" xr:uid="{00000000-0005-0000-0000-00003D080000}"/>
    <cellStyle name="1_tree_수량산출_총괄내역0518_노임단가표_진해자은수량산출서(단지내)_00-설계서,원가계산,내역서" xfId="2111" xr:uid="{00000000-0005-0000-0000-00003E080000}"/>
    <cellStyle name="1_tree_수량산출_총괄내역0518_노임단가표_진해자은수량산출서(단지내)_기초산출표-56-128-최종" xfId="2112" xr:uid="{00000000-0005-0000-0000-00003F080000}"/>
    <cellStyle name="1_tree_수량산출_총괄내역0518_노임단가표_진해자은수량산출서(단지내)_기초산출표-56-128-최종_00-설계서,원가계산,내역서" xfId="2113" xr:uid="{00000000-0005-0000-0000-000040080000}"/>
    <cellStyle name="1_tree_수량산출_총괄내역0518_노임단가표_진해자은수량산출서(단지내)_기초산출표-56-128-최종_설계서-1" xfId="2114" xr:uid="{00000000-0005-0000-0000-000041080000}"/>
    <cellStyle name="1_tree_수량산출_총괄내역0518_노임단가표_진해자은수량산출서(단지내)_기초산출표-56-128-최종_설계서-1_00-설계서,원가계산,내역서" xfId="2115" xr:uid="{00000000-0005-0000-0000-000042080000}"/>
    <cellStyle name="1_tree_수량산출_총괄내역0518_노임단가표_진해자은수량산출서(단지내)_설계서-1" xfId="2116" xr:uid="{00000000-0005-0000-0000-000043080000}"/>
    <cellStyle name="1_tree_수량산출_총괄내역0518_노임단가표_진해자은수량산출서(단지내)_설계서-1_00-설계서,원가계산,내역서" xfId="2117" xr:uid="{00000000-0005-0000-0000-000044080000}"/>
    <cellStyle name="1_tree_수량산출_총괄내역0518_노임단가표_진해자은수량산출서(단지내)_취합" xfId="2118" xr:uid="{00000000-0005-0000-0000-000045080000}"/>
    <cellStyle name="1_tree_수량산출_총괄내역0518_노임단가표_진해자은수량산출서(단지내)_취합_00-설계서,원가계산,내역서" xfId="2119" xr:uid="{00000000-0005-0000-0000-000046080000}"/>
    <cellStyle name="1_tree_수량산출_총괄내역0518_노임단가표_진해자은수량산출서(단지내)_취합_설계서-1" xfId="2120" xr:uid="{00000000-0005-0000-0000-000047080000}"/>
    <cellStyle name="1_tree_수량산출_총괄내역0518_노임단가표_진해자은수량산출서(단지내)_취합_설계서-1_00-설계서,원가계산,내역서" xfId="2121" xr:uid="{00000000-0005-0000-0000-000048080000}"/>
    <cellStyle name="1_tree_수량산출_총괄내역0518_설계서-1" xfId="2122" xr:uid="{00000000-0005-0000-0000-000049080000}"/>
    <cellStyle name="1_tree_수량산출_총괄내역0518_설계서-1_00-설계서,원가계산,내역서" xfId="2123" xr:uid="{00000000-0005-0000-0000-00004A080000}"/>
    <cellStyle name="1_tree_수량산출_총괄내역0518_수도권매립지" xfId="2124" xr:uid="{00000000-0005-0000-0000-00004B080000}"/>
    <cellStyle name="1_tree_수량산출_총괄내역0518_수도권매립지_00-설계서,원가계산,내역서" xfId="2125" xr:uid="{00000000-0005-0000-0000-00004C080000}"/>
    <cellStyle name="1_tree_수량산출_총괄내역0518_수도권매립지_설계서-1" xfId="2126" xr:uid="{00000000-0005-0000-0000-00004D080000}"/>
    <cellStyle name="1_tree_수량산출_총괄내역0518_수도권매립지_설계서-1_00-설계서,원가계산,내역서" xfId="2127" xr:uid="{00000000-0005-0000-0000-00004E080000}"/>
    <cellStyle name="1_tree_수량산출_총괄내역0518_수도권매립지_진해자은수량산출서(단지내)" xfId="2128" xr:uid="{00000000-0005-0000-0000-00004F080000}"/>
    <cellStyle name="1_tree_수량산출_총괄내역0518_수도권매립지_진해자은수량산출서(단지내)_00-설계서,원가계산,내역서" xfId="2129" xr:uid="{00000000-0005-0000-0000-000050080000}"/>
    <cellStyle name="1_tree_수량산출_총괄내역0518_수도권매립지_진해자은수량산출서(단지내)_기초산출표-56-128-최종" xfId="2130" xr:uid="{00000000-0005-0000-0000-000051080000}"/>
    <cellStyle name="1_tree_수량산출_총괄내역0518_수도권매립지_진해자은수량산출서(단지내)_기초산출표-56-128-최종_00-설계서,원가계산,내역서" xfId="2131" xr:uid="{00000000-0005-0000-0000-000052080000}"/>
    <cellStyle name="1_tree_수량산출_총괄내역0518_수도권매립지_진해자은수량산출서(단지내)_기초산출표-56-128-최종_설계서-1" xfId="2132" xr:uid="{00000000-0005-0000-0000-000053080000}"/>
    <cellStyle name="1_tree_수량산출_총괄내역0518_수도권매립지_진해자은수량산출서(단지내)_기초산출표-56-128-최종_설계서-1_00-설계서,원가계산,내역서" xfId="2133" xr:uid="{00000000-0005-0000-0000-000054080000}"/>
    <cellStyle name="1_tree_수량산출_총괄내역0518_수도권매립지_진해자은수량산출서(단지내)_설계서-1" xfId="2134" xr:uid="{00000000-0005-0000-0000-000055080000}"/>
    <cellStyle name="1_tree_수량산출_총괄내역0518_수도권매립지_진해자은수량산출서(단지내)_설계서-1_00-설계서,원가계산,내역서" xfId="2135" xr:uid="{00000000-0005-0000-0000-000056080000}"/>
    <cellStyle name="1_tree_수량산출_총괄내역0518_수도권매립지_진해자은수량산출서(단지내)_취합" xfId="2136" xr:uid="{00000000-0005-0000-0000-000057080000}"/>
    <cellStyle name="1_tree_수량산출_총괄내역0518_수도권매립지_진해자은수량산출서(단지내)_취합_00-설계서,원가계산,내역서" xfId="2137" xr:uid="{00000000-0005-0000-0000-000058080000}"/>
    <cellStyle name="1_tree_수량산출_총괄내역0518_수도권매립지_진해자은수량산출서(단지내)_취합_설계서-1" xfId="2138" xr:uid="{00000000-0005-0000-0000-000059080000}"/>
    <cellStyle name="1_tree_수량산출_총괄내역0518_수도권매립지_진해자은수량산출서(단지내)_취합_설계서-1_00-설계서,원가계산,내역서" xfId="2139" xr:uid="{00000000-0005-0000-0000-00005A080000}"/>
    <cellStyle name="1_tree_수량산출_총괄내역0518_수도권매립지1004(발주용)" xfId="2140" xr:uid="{00000000-0005-0000-0000-00005B080000}"/>
    <cellStyle name="1_tree_수량산출_총괄내역0518_수도권매립지1004(발주용)_00-설계서,원가계산,내역서" xfId="2141" xr:uid="{00000000-0005-0000-0000-00005C080000}"/>
    <cellStyle name="1_tree_수량산출_총괄내역0518_수도권매립지1004(발주용)_설계서-1" xfId="2142" xr:uid="{00000000-0005-0000-0000-00005D080000}"/>
    <cellStyle name="1_tree_수량산출_총괄내역0518_수도권매립지1004(발주용)_설계서-1_00-설계서,원가계산,내역서" xfId="2143" xr:uid="{00000000-0005-0000-0000-00005E080000}"/>
    <cellStyle name="1_tree_수량산출_총괄내역0518_수도권매립지1004(발주용)_진해자은수량산출서(단지내)" xfId="2144" xr:uid="{00000000-0005-0000-0000-00005F080000}"/>
    <cellStyle name="1_tree_수량산출_총괄내역0518_수도권매립지1004(발주용)_진해자은수량산출서(단지내)_00-설계서,원가계산,내역서" xfId="2145" xr:uid="{00000000-0005-0000-0000-000060080000}"/>
    <cellStyle name="1_tree_수량산출_총괄내역0518_수도권매립지1004(발주용)_진해자은수량산출서(단지내)_기초산출표-56-128-최종" xfId="2146" xr:uid="{00000000-0005-0000-0000-000061080000}"/>
    <cellStyle name="1_tree_수량산출_총괄내역0518_수도권매립지1004(발주용)_진해자은수량산출서(단지내)_기초산출표-56-128-최종_00-설계서,원가계산,내역서" xfId="2147" xr:uid="{00000000-0005-0000-0000-000062080000}"/>
    <cellStyle name="1_tree_수량산출_총괄내역0518_수도권매립지1004(발주용)_진해자은수량산출서(단지내)_기초산출표-56-128-최종_설계서-1" xfId="2148" xr:uid="{00000000-0005-0000-0000-000063080000}"/>
    <cellStyle name="1_tree_수량산출_총괄내역0518_수도권매립지1004(발주용)_진해자은수량산출서(단지내)_기초산출표-56-128-최종_설계서-1_00-설계서,원가계산,내역서" xfId="2149" xr:uid="{00000000-0005-0000-0000-000064080000}"/>
    <cellStyle name="1_tree_수량산출_총괄내역0518_수도권매립지1004(발주용)_진해자은수량산출서(단지내)_설계서-1" xfId="2150" xr:uid="{00000000-0005-0000-0000-000065080000}"/>
    <cellStyle name="1_tree_수량산출_총괄내역0518_수도권매립지1004(발주용)_진해자은수량산출서(단지내)_설계서-1_00-설계서,원가계산,내역서" xfId="2151" xr:uid="{00000000-0005-0000-0000-000066080000}"/>
    <cellStyle name="1_tree_수량산출_총괄내역0518_수도권매립지1004(발주용)_진해자은수량산출서(단지내)_취합" xfId="2152" xr:uid="{00000000-0005-0000-0000-000067080000}"/>
    <cellStyle name="1_tree_수량산출_총괄내역0518_수도권매립지1004(발주용)_진해자은수량산출서(단지내)_취합_00-설계서,원가계산,내역서" xfId="2153" xr:uid="{00000000-0005-0000-0000-000068080000}"/>
    <cellStyle name="1_tree_수량산출_총괄내역0518_수도권매립지1004(발주용)_진해자은수량산출서(단지내)_취합_설계서-1" xfId="2154" xr:uid="{00000000-0005-0000-0000-000069080000}"/>
    <cellStyle name="1_tree_수량산출_총괄내역0518_수도권매립지1004(발주용)_진해자은수량산출서(단지내)_취합_설계서-1_00-설계서,원가계산,내역서" xfId="2155" xr:uid="{00000000-0005-0000-0000-00006A080000}"/>
    <cellStyle name="1_tree_수량산출_총괄내역0518_일신건영설계예산서(0211)" xfId="2156" xr:uid="{00000000-0005-0000-0000-00006B080000}"/>
    <cellStyle name="1_tree_수량산출_총괄내역0518_일신건영설계예산서(0211)_00-설계서,원가계산,내역서" xfId="2157" xr:uid="{00000000-0005-0000-0000-00006C080000}"/>
    <cellStyle name="1_tree_수량산출_총괄내역0518_일신건영설계예산서(0211)_설계서-1" xfId="2158" xr:uid="{00000000-0005-0000-0000-00006D080000}"/>
    <cellStyle name="1_tree_수량산출_총괄내역0518_일신건영설계예산서(0211)_설계서-1_00-설계서,원가계산,내역서" xfId="2159" xr:uid="{00000000-0005-0000-0000-00006E080000}"/>
    <cellStyle name="1_tree_수량산출_총괄내역0518_일신건영설계예산서(0211)_진해자은수량산출서(단지내)" xfId="2160" xr:uid="{00000000-0005-0000-0000-00006F080000}"/>
    <cellStyle name="1_tree_수량산출_총괄내역0518_일신건영설계예산서(0211)_진해자은수량산출서(단지내)_00-설계서,원가계산,내역서" xfId="2161" xr:uid="{00000000-0005-0000-0000-000070080000}"/>
    <cellStyle name="1_tree_수량산출_총괄내역0518_일신건영설계예산서(0211)_진해자은수량산출서(단지내)_기초산출표-56-128-최종" xfId="2162" xr:uid="{00000000-0005-0000-0000-000071080000}"/>
    <cellStyle name="1_tree_수량산출_총괄내역0518_일신건영설계예산서(0211)_진해자은수량산출서(단지내)_기초산출표-56-128-최종_00-설계서,원가계산,내역서" xfId="2163" xr:uid="{00000000-0005-0000-0000-000072080000}"/>
    <cellStyle name="1_tree_수량산출_총괄내역0518_일신건영설계예산서(0211)_진해자은수량산출서(단지내)_기초산출표-56-128-최종_설계서-1" xfId="2164" xr:uid="{00000000-0005-0000-0000-000073080000}"/>
    <cellStyle name="1_tree_수량산출_총괄내역0518_일신건영설계예산서(0211)_진해자은수량산출서(단지내)_기초산출표-56-128-최종_설계서-1_00-설계서,원가계산,내역서" xfId="2165" xr:uid="{00000000-0005-0000-0000-000074080000}"/>
    <cellStyle name="1_tree_수량산출_총괄내역0518_일신건영설계예산서(0211)_진해자은수량산출서(단지내)_설계서-1" xfId="2166" xr:uid="{00000000-0005-0000-0000-000075080000}"/>
    <cellStyle name="1_tree_수량산출_총괄내역0518_일신건영설계예산서(0211)_진해자은수량산출서(단지내)_설계서-1_00-설계서,원가계산,내역서" xfId="2167" xr:uid="{00000000-0005-0000-0000-000076080000}"/>
    <cellStyle name="1_tree_수량산출_총괄내역0518_일신건영설계예산서(0211)_진해자은수량산출서(단지내)_취합" xfId="2168" xr:uid="{00000000-0005-0000-0000-000077080000}"/>
    <cellStyle name="1_tree_수량산출_총괄내역0518_일신건영설계예산서(0211)_진해자은수량산출서(단지내)_취합_00-설계서,원가계산,내역서" xfId="2169" xr:uid="{00000000-0005-0000-0000-000078080000}"/>
    <cellStyle name="1_tree_수량산출_총괄내역0518_일신건영설계예산서(0211)_진해자은수량산출서(단지내)_취합_설계서-1" xfId="2170" xr:uid="{00000000-0005-0000-0000-000079080000}"/>
    <cellStyle name="1_tree_수량산출_총괄내역0518_일신건영설계예산서(0211)_진해자은수량산출서(단지내)_취합_설계서-1_00-설계서,원가계산,내역서" xfId="2171" xr:uid="{00000000-0005-0000-0000-00007A080000}"/>
    <cellStyle name="1_tree_수량산출_총괄내역0518_일위대가" xfId="2172" xr:uid="{00000000-0005-0000-0000-00007B080000}"/>
    <cellStyle name="1_tree_수량산출_총괄내역0518_일위대가_00-설계서,원가계산,내역서" xfId="2173" xr:uid="{00000000-0005-0000-0000-00007C080000}"/>
    <cellStyle name="1_tree_수량산출_총괄내역0518_일위대가_설계서-1" xfId="2174" xr:uid="{00000000-0005-0000-0000-00007D080000}"/>
    <cellStyle name="1_tree_수량산출_총괄내역0518_일위대가_설계서-1_00-설계서,원가계산,내역서" xfId="2175" xr:uid="{00000000-0005-0000-0000-00007E080000}"/>
    <cellStyle name="1_tree_수량산출_총괄내역0518_일위대가_진해자은수량산출서(단지내)" xfId="2176" xr:uid="{00000000-0005-0000-0000-00007F080000}"/>
    <cellStyle name="1_tree_수량산출_총괄내역0518_일위대가_진해자은수량산출서(단지내)_00-설계서,원가계산,내역서" xfId="2177" xr:uid="{00000000-0005-0000-0000-000080080000}"/>
    <cellStyle name="1_tree_수량산출_총괄내역0518_일위대가_진해자은수량산출서(단지내)_기초산출표-56-128-최종" xfId="2178" xr:uid="{00000000-0005-0000-0000-000081080000}"/>
    <cellStyle name="1_tree_수량산출_총괄내역0518_일위대가_진해자은수량산출서(단지내)_기초산출표-56-128-최종_00-설계서,원가계산,내역서" xfId="2179" xr:uid="{00000000-0005-0000-0000-000082080000}"/>
    <cellStyle name="1_tree_수량산출_총괄내역0518_일위대가_진해자은수량산출서(단지내)_기초산출표-56-128-최종_설계서-1" xfId="2180" xr:uid="{00000000-0005-0000-0000-000083080000}"/>
    <cellStyle name="1_tree_수량산출_총괄내역0518_일위대가_진해자은수량산출서(단지내)_기초산출표-56-128-최종_설계서-1_00-설계서,원가계산,내역서" xfId="2181" xr:uid="{00000000-0005-0000-0000-000084080000}"/>
    <cellStyle name="1_tree_수량산출_총괄내역0518_일위대가_진해자은수량산출서(단지내)_설계서-1" xfId="2182" xr:uid="{00000000-0005-0000-0000-000085080000}"/>
    <cellStyle name="1_tree_수량산출_총괄내역0518_일위대가_진해자은수량산출서(단지내)_설계서-1_00-설계서,원가계산,내역서" xfId="2183" xr:uid="{00000000-0005-0000-0000-000086080000}"/>
    <cellStyle name="1_tree_수량산출_총괄내역0518_일위대가_진해자은수량산출서(단지내)_취합" xfId="2184" xr:uid="{00000000-0005-0000-0000-000087080000}"/>
    <cellStyle name="1_tree_수량산출_총괄내역0518_일위대가_진해자은수량산출서(단지내)_취합_00-설계서,원가계산,내역서" xfId="2185" xr:uid="{00000000-0005-0000-0000-000088080000}"/>
    <cellStyle name="1_tree_수량산출_총괄내역0518_일위대가_진해자은수량산출서(단지내)_취합_설계서-1" xfId="2186" xr:uid="{00000000-0005-0000-0000-000089080000}"/>
    <cellStyle name="1_tree_수량산출_총괄내역0518_일위대가_진해자은수량산출서(단지내)_취합_설계서-1_00-설계서,원가계산,내역서" xfId="2187" xr:uid="{00000000-0005-0000-0000-00008A080000}"/>
    <cellStyle name="1_tree_수량산출_총괄내역0518_자재단가표" xfId="2188" xr:uid="{00000000-0005-0000-0000-00008B080000}"/>
    <cellStyle name="1_tree_수량산출_총괄내역0518_자재단가표_00-설계서,원가계산,내역서" xfId="2189" xr:uid="{00000000-0005-0000-0000-00008C080000}"/>
    <cellStyle name="1_tree_수량산출_총괄내역0518_자재단가표_설계서-1" xfId="2190" xr:uid="{00000000-0005-0000-0000-00008D080000}"/>
    <cellStyle name="1_tree_수량산출_총괄내역0518_자재단가표_설계서-1_00-설계서,원가계산,내역서" xfId="2191" xr:uid="{00000000-0005-0000-0000-00008E080000}"/>
    <cellStyle name="1_tree_수량산출_총괄내역0518_자재단가표_진해자은수량산출서(단지내)" xfId="2192" xr:uid="{00000000-0005-0000-0000-00008F080000}"/>
    <cellStyle name="1_tree_수량산출_총괄내역0518_자재단가표_진해자은수량산출서(단지내)_00-설계서,원가계산,내역서" xfId="2193" xr:uid="{00000000-0005-0000-0000-000090080000}"/>
    <cellStyle name="1_tree_수량산출_총괄내역0518_자재단가표_진해자은수량산출서(단지내)_기초산출표-56-128-최종" xfId="2194" xr:uid="{00000000-0005-0000-0000-000091080000}"/>
    <cellStyle name="1_tree_수량산출_총괄내역0518_자재단가표_진해자은수량산출서(단지내)_기초산출표-56-128-최종_00-설계서,원가계산,내역서" xfId="2195" xr:uid="{00000000-0005-0000-0000-000092080000}"/>
    <cellStyle name="1_tree_수량산출_총괄내역0518_자재단가표_진해자은수량산출서(단지내)_기초산출표-56-128-최종_설계서-1" xfId="2196" xr:uid="{00000000-0005-0000-0000-000093080000}"/>
    <cellStyle name="1_tree_수량산출_총괄내역0518_자재단가표_진해자은수량산출서(단지내)_기초산출표-56-128-최종_설계서-1_00-설계서,원가계산,내역서" xfId="2197" xr:uid="{00000000-0005-0000-0000-000094080000}"/>
    <cellStyle name="1_tree_수량산출_총괄내역0518_자재단가표_진해자은수량산출서(단지내)_설계서-1" xfId="2198" xr:uid="{00000000-0005-0000-0000-000095080000}"/>
    <cellStyle name="1_tree_수량산출_총괄내역0518_자재단가표_진해자은수량산출서(단지내)_설계서-1_00-설계서,원가계산,내역서" xfId="2199" xr:uid="{00000000-0005-0000-0000-000096080000}"/>
    <cellStyle name="1_tree_수량산출_총괄내역0518_자재단가표_진해자은수량산출서(단지내)_취합" xfId="2200" xr:uid="{00000000-0005-0000-0000-000097080000}"/>
    <cellStyle name="1_tree_수량산출_총괄내역0518_자재단가표_진해자은수량산출서(단지내)_취합_00-설계서,원가계산,내역서" xfId="2201" xr:uid="{00000000-0005-0000-0000-000098080000}"/>
    <cellStyle name="1_tree_수량산출_총괄내역0518_자재단가표_진해자은수량산출서(단지내)_취합_설계서-1" xfId="2202" xr:uid="{00000000-0005-0000-0000-000099080000}"/>
    <cellStyle name="1_tree_수량산출_총괄내역0518_자재단가표_진해자은수량산출서(단지내)_취합_설계서-1_00-설계서,원가계산,내역서" xfId="2203" xr:uid="{00000000-0005-0000-0000-00009A080000}"/>
    <cellStyle name="1_tree_수량산출_총괄내역0518_장안초등학교내역0814" xfId="2204" xr:uid="{00000000-0005-0000-0000-00009B080000}"/>
    <cellStyle name="1_tree_수량산출_총괄내역0518_장안초등학교내역0814_00-설계서,원가계산,내역서" xfId="2205" xr:uid="{00000000-0005-0000-0000-00009C080000}"/>
    <cellStyle name="1_tree_수량산출_총괄내역0518_장안초등학교내역0814_설계서-1" xfId="2206" xr:uid="{00000000-0005-0000-0000-00009D080000}"/>
    <cellStyle name="1_tree_수량산출_총괄내역0518_장안초등학교내역0814_설계서-1_00-설계서,원가계산,내역서" xfId="2207" xr:uid="{00000000-0005-0000-0000-00009E080000}"/>
    <cellStyle name="1_tree_수량산출_총괄내역0518_장안초등학교내역0814_진해자은수량산출서(단지내)" xfId="2208" xr:uid="{00000000-0005-0000-0000-00009F080000}"/>
    <cellStyle name="1_tree_수량산출_총괄내역0518_장안초등학교내역0814_진해자은수량산출서(단지내)_00-설계서,원가계산,내역서" xfId="2209" xr:uid="{00000000-0005-0000-0000-0000A0080000}"/>
    <cellStyle name="1_tree_수량산출_총괄내역0518_장안초등학교내역0814_진해자은수량산출서(단지내)_기초산출표-56-128-최종" xfId="2210" xr:uid="{00000000-0005-0000-0000-0000A1080000}"/>
    <cellStyle name="1_tree_수량산출_총괄내역0518_장안초등학교내역0814_진해자은수량산출서(단지내)_기초산출표-56-128-최종_00-설계서,원가계산,내역서" xfId="2211" xr:uid="{00000000-0005-0000-0000-0000A2080000}"/>
    <cellStyle name="1_tree_수량산출_총괄내역0518_장안초등학교내역0814_진해자은수량산출서(단지내)_기초산출표-56-128-최종_설계서-1" xfId="2212" xr:uid="{00000000-0005-0000-0000-0000A3080000}"/>
    <cellStyle name="1_tree_수량산출_총괄내역0518_장안초등학교내역0814_진해자은수량산출서(단지내)_기초산출표-56-128-최종_설계서-1_00-설계서,원가계산,내역서" xfId="2213" xr:uid="{00000000-0005-0000-0000-0000A4080000}"/>
    <cellStyle name="1_tree_수량산출_총괄내역0518_장안초등학교내역0814_진해자은수량산출서(단지내)_설계서-1" xfId="2214" xr:uid="{00000000-0005-0000-0000-0000A5080000}"/>
    <cellStyle name="1_tree_수량산출_총괄내역0518_장안초등학교내역0814_진해자은수량산출서(단지내)_설계서-1_00-설계서,원가계산,내역서" xfId="2215" xr:uid="{00000000-0005-0000-0000-0000A6080000}"/>
    <cellStyle name="1_tree_수량산출_총괄내역0518_장안초등학교내역0814_진해자은수량산출서(단지내)_취합" xfId="2216" xr:uid="{00000000-0005-0000-0000-0000A7080000}"/>
    <cellStyle name="1_tree_수량산출_총괄내역0518_장안초등학교내역0814_진해자은수량산출서(단지내)_취합_00-설계서,원가계산,내역서" xfId="2217" xr:uid="{00000000-0005-0000-0000-0000A8080000}"/>
    <cellStyle name="1_tree_수량산출_총괄내역0518_장안초등학교내역0814_진해자은수량산출서(단지내)_취합_설계서-1" xfId="2218" xr:uid="{00000000-0005-0000-0000-0000A9080000}"/>
    <cellStyle name="1_tree_수량산출_총괄내역0518_장안초등학교내역0814_진해자은수량산출서(단지내)_취합_설계서-1_00-설계서,원가계산,내역서" xfId="2219" xr:uid="{00000000-0005-0000-0000-0000AA080000}"/>
    <cellStyle name="1_tree_수량산출_총괄내역0518_진해자은수량산출서(단지내)" xfId="2220" xr:uid="{00000000-0005-0000-0000-0000AB080000}"/>
    <cellStyle name="1_tree_수량산출_총괄내역0518_진해자은수량산출서(단지내)_00-설계서,원가계산,내역서" xfId="2221" xr:uid="{00000000-0005-0000-0000-0000AC080000}"/>
    <cellStyle name="1_tree_수량산출_총괄내역0518_진해자은수량산출서(단지내)_기초산출표-56-128-최종" xfId="2222" xr:uid="{00000000-0005-0000-0000-0000AD080000}"/>
    <cellStyle name="1_tree_수량산출_총괄내역0518_진해자은수량산출서(단지내)_기초산출표-56-128-최종_00-설계서,원가계산,내역서" xfId="2223" xr:uid="{00000000-0005-0000-0000-0000AE080000}"/>
    <cellStyle name="1_tree_수량산출_총괄내역0518_진해자은수량산출서(단지내)_기초산출표-56-128-최종_설계서-1" xfId="2224" xr:uid="{00000000-0005-0000-0000-0000AF080000}"/>
    <cellStyle name="1_tree_수량산출_총괄내역0518_진해자은수량산출서(단지내)_기초산출표-56-128-최종_설계서-1_00-설계서,원가계산,내역서" xfId="2225" xr:uid="{00000000-0005-0000-0000-0000B0080000}"/>
    <cellStyle name="1_tree_수량산출_총괄내역0518_진해자은수량산출서(단지내)_설계서-1" xfId="2226" xr:uid="{00000000-0005-0000-0000-0000B1080000}"/>
    <cellStyle name="1_tree_수량산출_총괄내역0518_진해자은수량산출서(단지내)_설계서-1_00-설계서,원가계산,내역서" xfId="2227" xr:uid="{00000000-0005-0000-0000-0000B2080000}"/>
    <cellStyle name="1_tree_수량산출_총괄내역0518_진해자은수량산출서(단지내)_취합" xfId="2228" xr:uid="{00000000-0005-0000-0000-0000B3080000}"/>
    <cellStyle name="1_tree_수량산출_총괄내역0518_진해자은수량산출서(단지내)_취합_00-설계서,원가계산,내역서" xfId="2229" xr:uid="{00000000-0005-0000-0000-0000B4080000}"/>
    <cellStyle name="1_tree_수량산출_총괄내역0518_진해자은수량산출서(단지내)_취합_설계서-1" xfId="2230" xr:uid="{00000000-0005-0000-0000-0000B5080000}"/>
    <cellStyle name="1_tree_수량산출_총괄내역0518_진해자은수량산출서(단지내)_취합_설계서-1_00-설계서,원가계산,내역서" xfId="2231" xr:uid="{00000000-0005-0000-0000-0000B6080000}"/>
    <cellStyle name="1_tree_수량산출_현충묘지-예산서(조경)" xfId="2232" xr:uid="{00000000-0005-0000-0000-0000B7080000}"/>
    <cellStyle name="1_tree_수량산출_현충묘지-예산서(조경)_00-설계서,원가계산,내역서" xfId="2233" xr:uid="{00000000-0005-0000-0000-0000B8080000}"/>
    <cellStyle name="1_tree_수량산출_현충묘지-예산서(조경)_목동내역" xfId="2234" xr:uid="{00000000-0005-0000-0000-0000B9080000}"/>
    <cellStyle name="1_tree_수량산출_현충묘지-예산서(조경)_목동내역_00-설계서,원가계산,내역서" xfId="2235" xr:uid="{00000000-0005-0000-0000-0000BA080000}"/>
    <cellStyle name="1_tree_수량산출_현충묘지-예산서(조경)_목동내역_폐기물집계" xfId="2236" xr:uid="{00000000-0005-0000-0000-0000BB080000}"/>
    <cellStyle name="1_tree_수량산출_현충묘지-예산서(조경)_목동내역_폐기물집계_00-설계서,원가계산,내역서" xfId="2237" xr:uid="{00000000-0005-0000-0000-0000BC080000}"/>
    <cellStyle name="1_tree_수량산출_현충묘지-예산서(조경)_예산서-엑셀변환양식100" xfId="2238" xr:uid="{00000000-0005-0000-0000-0000BD080000}"/>
    <cellStyle name="1_tree_수량산출_현충묘지-예산서(조경)_예산서-엑셀변환양식100_00-설계서,원가계산,내역서" xfId="2239" xr:uid="{00000000-0005-0000-0000-0000BE080000}"/>
    <cellStyle name="1_tree_수량산출_현충묘지-예산서(조경)_예산서-엑셀변환양식100_목동내역" xfId="2240" xr:uid="{00000000-0005-0000-0000-0000BF080000}"/>
    <cellStyle name="1_tree_수량산출_현충묘지-예산서(조경)_예산서-엑셀변환양식100_목동내역_00-설계서,원가계산,내역서" xfId="2241" xr:uid="{00000000-0005-0000-0000-0000C0080000}"/>
    <cellStyle name="1_tree_수량산출_현충묘지-예산서(조경)_예산서-엑셀변환양식100_목동내역_폐기물집계" xfId="2242" xr:uid="{00000000-0005-0000-0000-0000C1080000}"/>
    <cellStyle name="1_tree_수량산출_현충묘지-예산서(조경)_예산서-엑셀변환양식100_목동내역_폐기물집계_00-설계서,원가계산,내역서" xfId="2243" xr:uid="{00000000-0005-0000-0000-0000C2080000}"/>
    <cellStyle name="1_tree_이문동구간중랑천변녹화사업(수량산출서, 071127)-최종" xfId="2244" xr:uid="{00000000-0005-0000-0000-0000C3080000}"/>
    <cellStyle name="1_tree_이문동구간중랑천변녹화사업(수량산출서, 071127)-최종_00-설계서,원가계산,내역서" xfId="2245" xr:uid="{00000000-0005-0000-0000-0000C4080000}"/>
    <cellStyle name="1_tree_진해자은수량산출서(단지내)" xfId="2246" xr:uid="{00000000-0005-0000-0000-0000C5080000}"/>
    <cellStyle name="1_tree_진해자은수량산출서(단지내)_00-설계서,원가계산,내역서" xfId="2247" xr:uid="{00000000-0005-0000-0000-0000C6080000}"/>
    <cellStyle name="1_tree_진해자은수량산출서(단지내)_기초산출표-56-128-최종" xfId="2248" xr:uid="{00000000-0005-0000-0000-0000C7080000}"/>
    <cellStyle name="1_tree_진해자은수량산출서(단지내)_기초산출표-56-128-최종_00-설계서,원가계산,내역서" xfId="2249" xr:uid="{00000000-0005-0000-0000-0000C8080000}"/>
    <cellStyle name="1_tree_진해자은수량산출서(단지내)_기초산출표-56-128-최종_설계서-1" xfId="2250" xr:uid="{00000000-0005-0000-0000-0000C9080000}"/>
    <cellStyle name="1_tree_진해자은수량산출서(단지내)_기초산출표-56-128-최종_설계서-1_00-설계서,원가계산,내역서" xfId="2251" xr:uid="{00000000-0005-0000-0000-0000CA080000}"/>
    <cellStyle name="1_tree_진해자은수량산출서(단지내)_설계서-1" xfId="2252" xr:uid="{00000000-0005-0000-0000-0000CB080000}"/>
    <cellStyle name="1_tree_진해자은수량산출서(단지내)_설계서-1_00-설계서,원가계산,내역서" xfId="2253" xr:uid="{00000000-0005-0000-0000-0000CC080000}"/>
    <cellStyle name="1_tree_진해자은수량산출서(단지내)_취합" xfId="2254" xr:uid="{00000000-0005-0000-0000-0000CD080000}"/>
    <cellStyle name="1_tree_진해자은수량산출서(단지내)_취합_00-설계서,원가계산,내역서" xfId="2255" xr:uid="{00000000-0005-0000-0000-0000CE080000}"/>
    <cellStyle name="1_tree_진해자은수량산출서(단지내)_취합_설계서-1" xfId="2256" xr:uid="{00000000-0005-0000-0000-0000CF080000}"/>
    <cellStyle name="1_tree_진해자은수량산출서(단지내)_취합_설계서-1_00-설계서,원가계산,내역서" xfId="2257" xr:uid="{00000000-0005-0000-0000-0000D0080000}"/>
    <cellStyle name="1_tree_총괄내역0518" xfId="2258" xr:uid="{00000000-0005-0000-0000-0000D1080000}"/>
    <cellStyle name="1_tree_총괄내역0518_00-설계서,원가계산,내역서" xfId="2259" xr:uid="{00000000-0005-0000-0000-0000D2080000}"/>
    <cellStyle name="1_tree_총괄내역0518_구로리설계예산서1029" xfId="2260" xr:uid="{00000000-0005-0000-0000-0000D3080000}"/>
    <cellStyle name="1_tree_총괄내역0518_구로리설계예산서1029_00-설계서,원가계산,내역서" xfId="2261" xr:uid="{00000000-0005-0000-0000-0000D4080000}"/>
    <cellStyle name="1_tree_총괄내역0518_구로리설계예산서1029_설계서-1" xfId="2262" xr:uid="{00000000-0005-0000-0000-0000D5080000}"/>
    <cellStyle name="1_tree_총괄내역0518_구로리설계예산서1029_설계서-1_00-설계서,원가계산,내역서" xfId="2263" xr:uid="{00000000-0005-0000-0000-0000D6080000}"/>
    <cellStyle name="1_tree_총괄내역0518_구로리설계예산서1029_진해자은수량산출서(단지내)" xfId="2264" xr:uid="{00000000-0005-0000-0000-0000D7080000}"/>
    <cellStyle name="1_tree_총괄내역0518_구로리설계예산서1029_진해자은수량산출서(단지내)_00-설계서,원가계산,내역서" xfId="2265" xr:uid="{00000000-0005-0000-0000-0000D8080000}"/>
    <cellStyle name="1_tree_총괄내역0518_구로리설계예산서1029_진해자은수량산출서(단지내)_기초산출표-56-128-최종" xfId="2266" xr:uid="{00000000-0005-0000-0000-0000D9080000}"/>
    <cellStyle name="1_tree_총괄내역0518_구로리설계예산서1029_진해자은수량산출서(단지내)_기초산출표-56-128-최종_00-설계서,원가계산,내역서" xfId="2267" xr:uid="{00000000-0005-0000-0000-0000DA080000}"/>
    <cellStyle name="1_tree_총괄내역0518_구로리설계예산서1029_진해자은수량산출서(단지내)_기초산출표-56-128-최종_설계서-1" xfId="2268" xr:uid="{00000000-0005-0000-0000-0000DB080000}"/>
    <cellStyle name="1_tree_총괄내역0518_구로리설계예산서1029_진해자은수량산출서(단지내)_기초산출표-56-128-최종_설계서-1_00-설계서,원가계산,내역서" xfId="2269" xr:uid="{00000000-0005-0000-0000-0000DC080000}"/>
    <cellStyle name="1_tree_총괄내역0518_구로리설계예산서1029_진해자은수량산출서(단지내)_설계서-1" xfId="2270" xr:uid="{00000000-0005-0000-0000-0000DD080000}"/>
    <cellStyle name="1_tree_총괄내역0518_구로리설계예산서1029_진해자은수량산출서(단지내)_설계서-1_00-설계서,원가계산,내역서" xfId="2271" xr:uid="{00000000-0005-0000-0000-0000DE080000}"/>
    <cellStyle name="1_tree_총괄내역0518_구로리설계예산서1029_진해자은수량산출서(단지내)_취합" xfId="2272" xr:uid="{00000000-0005-0000-0000-0000DF080000}"/>
    <cellStyle name="1_tree_총괄내역0518_구로리설계예산서1029_진해자은수량산출서(단지내)_취합_00-설계서,원가계산,내역서" xfId="2273" xr:uid="{00000000-0005-0000-0000-0000E0080000}"/>
    <cellStyle name="1_tree_총괄내역0518_구로리설계예산서1029_진해자은수량산출서(단지내)_취합_설계서-1" xfId="2274" xr:uid="{00000000-0005-0000-0000-0000E1080000}"/>
    <cellStyle name="1_tree_총괄내역0518_구로리설계예산서1029_진해자은수량산출서(단지내)_취합_설계서-1_00-설계서,원가계산,내역서" xfId="2275" xr:uid="{00000000-0005-0000-0000-0000E2080000}"/>
    <cellStyle name="1_tree_총괄내역0518_구로리설계예산서1118준공" xfId="2276" xr:uid="{00000000-0005-0000-0000-0000E3080000}"/>
    <cellStyle name="1_tree_총괄내역0518_구로리설계예산서1118준공_00-설계서,원가계산,내역서" xfId="2277" xr:uid="{00000000-0005-0000-0000-0000E4080000}"/>
    <cellStyle name="1_tree_총괄내역0518_구로리설계예산서1118준공_설계서-1" xfId="2278" xr:uid="{00000000-0005-0000-0000-0000E5080000}"/>
    <cellStyle name="1_tree_총괄내역0518_구로리설계예산서1118준공_설계서-1_00-설계서,원가계산,내역서" xfId="2279" xr:uid="{00000000-0005-0000-0000-0000E6080000}"/>
    <cellStyle name="1_tree_총괄내역0518_구로리설계예산서1118준공_진해자은수량산출서(단지내)" xfId="2280" xr:uid="{00000000-0005-0000-0000-0000E7080000}"/>
    <cellStyle name="1_tree_총괄내역0518_구로리설계예산서1118준공_진해자은수량산출서(단지내)_00-설계서,원가계산,내역서" xfId="2281" xr:uid="{00000000-0005-0000-0000-0000E8080000}"/>
    <cellStyle name="1_tree_총괄내역0518_구로리설계예산서1118준공_진해자은수량산출서(단지내)_기초산출표-56-128-최종" xfId="2282" xr:uid="{00000000-0005-0000-0000-0000E9080000}"/>
    <cellStyle name="1_tree_총괄내역0518_구로리설계예산서1118준공_진해자은수량산출서(단지내)_기초산출표-56-128-최종_00-설계서,원가계산,내역서" xfId="2283" xr:uid="{00000000-0005-0000-0000-0000EA080000}"/>
    <cellStyle name="1_tree_총괄내역0518_구로리설계예산서1118준공_진해자은수량산출서(단지내)_기초산출표-56-128-최종_설계서-1" xfId="2284" xr:uid="{00000000-0005-0000-0000-0000EB080000}"/>
    <cellStyle name="1_tree_총괄내역0518_구로리설계예산서1118준공_진해자은수량산출서(단지내)_기초산출표-56-128-최종_설계서-1_00-설계서,원가계산,내역서" xfId="2285" xr:uid="{00000000-0005-0000-0000-0000EC080000}"/>
    <cellStyle name="1_tree_총괄내역0518_구로리설계예산서1118준공_진해자은수량산출서(단지내)_설계서-1" xfId="2286" xr:uid="{00000000-0005-0000-0000-0000ED080000}"/>
    <cellStyle name="1_tree_총괄내역0518_구로리설계예산서1118준공_진해자은수량산출서(단지내)_설계서-1_00-설계서,원가계산,내역서" xfId="2287" xr:uid="{00000000-0005-0000-0000-0000EE080000}"/>
    <cellStyle name="1_tree_총괄내역0518_구로리설계예산서1118준공_진해자은수량산출서(단지내)_취합" xfId="2288" xr:uid="{00000000-0005-0000-0000-0000EF080000}"/>
    <cellStyle name="1_tree_총괄내역0518_구로리설계예산서1118준공_진해자은수량산출서(단지내)_취합_00-설계서,원가계산,내역서" xfId="2289" xr:uid="{00000000-0005-0000-0000-0000F0080000}"/>
    <cellStyle name="1_tree_총괄내역0518_구로리설계예산서1118준공_진해자은수량산출서(단지내)_취합_설계서-1" xfId="2290" xr:uid="{00000000-0005-0000-0000-0000F1080000}"/>
    <cellStyle name="1_tree_총괄내역0518_구로리설계예산서1118준공_진해자은수량산출서(단지내)_취합_설계서-1_00-설계서,원가계산,내역서" xfId="2291" xr:uid="{00000000-0005-0000-0000-0000F2080000}"/>
    <cellStyle name="1_tree_총괄내역0518_구로리설계예산서조경" xfId="2292" xr:uid="{00000000-0005-0000-0000-0000F3080000}"/>
    <cellStyle name="1_tree_총괄내역0518_구로리설계예산서조경_00-설계서,원가계산,내역서" xfId="2293" xr:uid="{00000000-0005-0000-0000-0000F4080000}"/>
    <cellStyle name="1_tree_총괄내역0518_구로리설계예산서조경_설계서-1" xfId="2294" xr:uid="{00000000-0005-0000-0000-0000F5080000}"/>
    <cellStyle name="1_tree_총괄내역0518_구로리설계예산서조경_설계서-1_00-설계서,원가계산,내역서" xfId="2295" xr:uid="{00000000-0005-0000-0000-0000F6080000}"/>
    <cellStyle name="1_tree_총괄내역0518_구로리설계예산서조경_진해자은수량산출서(단지내)" xfId="2296" xr:uid="{00000000-0005-0000-0000-0000F7080000}"/>
    <cellStyle name="1_tree_총괄내역0518_구로리설계예산서조경_진해자은수량산출서(단지내)_00-설계서,원가계산,내역서" xfId="2297" xr:uid="{00000000-0005-0000-0000-0000F8080000}"/>
    <cellStyle name="1_tree_총괄내역0518_구로리설계예산서조경_진해자은수량산출서(단지내)_기초산출표-56-128-최종" xfId="2298" xr:uid="{00000000-0005-0000-0000-0000F9080000}"/>
    <cellStyle name="1_tree_총괄내역0518_구로리설계예산서조경_진해자은수량산출서(단지내)_기초산출표-56-128-최종_00-설계서,원가계산,내역서" xfId="2299" xr:uid="{00000000-0005-0000-0000-0000FA080000}"/>
    <cellStyle name="1_tree_총괄내역0518_구로리설계예산서조경_진해자은수량산출서(단지내)_기초산출표-56-128-최종_설계서-1" xfId="2300" xr:uid="{00000000-0005-0000-0000-0000FB080000}"/>
    <cellStyle name="1_tree_총괄내역0518_구로리설계예산서조경_진해자은수량산출서(단지내)_기초산출표-56-128-최종_설계서-1_00-설계서,원가계산,내역서" xfId="2301" xr:uid="{00000000-0005-0000-0000-0000FC080000}"/>
    <cellStyle name="1_tree_총괄내역0518_구로리설계예산서조경_진해자은수량산출서(단지내)_설계서-1" xfId="2302" xr:uid="{00000000-0005-0000-0000-0000FD080000}"/>
    <cellStyle name="1_tree_총괄내역0518_구로리설계예산서조경_진해자은수량산출서(단지내)_설계서-1_00-설계서,원가계산,내역서" xfId="2303" xr:uid="{00000000-0005-0000-0000-0000FE080000}"/>
    <cellStyle name="1_tree_총괄내역0518_구로리설계예산서조경_진해자은수량산출서(단지내)_취합" xfId="2304" xr:uid="{00000000-0005-0000-0000-0000FF080000}"/>
    <cellStyle name="1_tree_총괄내역0518_구로리설계예산서조경_진해자은수량산출서(단지내)_취합_00-설계서,원가계산,내역서" xfId="2305" xr:uid="{00000000-0005-0000-0000-000000090000}"/>
    <cellStyle name="1_tree_총괄내역0518_구로리설계예산서조경_진해자은수량산출서(단지내)_취합_설계서-1" xfId="2306" xr:uid="{00000000-0005-0000-0000-000001090000}"/>
    <cellStyle name="1_tree_총괄내역0518_구로리설계예산서조경_진해자은수량산출서(단지내)_취합_설계서-1_00-설계서,원가계산,내역서" xfId="2307" xr:uid="{00000000-0005-0000-0000-000002090000}"/>
    <cellStyle name="1_tree_총괄내역0518_구로리어린이공원예산서(조경)1125" xfId="2308" xr:uid="{00000000-0005-0000-0000-000003090000}"/>
    <cellStyle name="1_tree_총괄내역0518_구로리어린이공원예산서(조경)1125_00-설계서,원가계산,내역서" xfId="2309" xr:uid="{00000000-0005-0000-0000-000004090000}"/>
    <cellStyle name="1_tree_총괄내역0518_구로리어린이공원예산서(조경)1125_설계서-1" xfId="2310" xr:uid="{00000000-0005-0000-0000-000005090000}"/>
    <cellStyle name="1_tree_총괄내역0518_구로리어린이공원예산서(조경)1125_설계서-1_00-설계서,원가계산,내역서" xfId="2311" xr:uid="{00000000-0005-0000-0000-000006090000}"/>
    <cellStyle name="1_tree_총괄내역0518_구로리어린이공원예산서(조경)1125_진해자은수량산출서(단지내)" xfId="2312" xr:uid="{00000000-0005-0000-0000-000007090000}"/>
    <cellStyle name="1_tree_총괄내역0518_구로리어린이공원예산서(조경)1125_진해자은수량산출서(단지내)_00-설계서,원가계산,내역서" xfId="2313" xr:uid="{00000000-0005-0000-0000-000008090000}"/>
    <cellStyle name="1_tree_총괄내역0518_구로리어린이공원예산서(조경)1125_진해자은수량산출서(단지내)_기초산출표-56-128-최종" xfId="2314" xr:uid="{00000000-0005-0000-0000-000009090000}"/>
    <cellStyle name="1_tree_총괄내역0518_구로리어린이공원예산서(조경)1125_진해자은수량산출서(단지내)_기초산출표-56-128-최종_00-설계서,원가계산,내역서" xfId="2315" xr:uid="{00000000-0005-0000-0000-00000A090000}"/>
    <cellStyle name="1_tree_총괄내역0518_구로리어린이공원예산서(조경)1125_진해자은수량산출서(단지내)_기초산출표-56-128-최종_설계서-1" xfId="2316" xr:uid="{00000000-0005-0000-0000-00000B090000}"/>
    <cellStyle name="1_tree_총괄내역0518_구로리어린이공원예산서(조경)1125_진해자은수량산출서(단지내)_기초산출표-56-128-최종_설계서-1_00-설계서,원가계산,내역서" xfId="2317" xr:uid="{00000000-0005-0000-0000-00000C090000}"/>
    <cellStyle name="1_tree_총괄내역0518_구로리어린이공원예산서(조경)1125_진해자은수량산출서(단지내)_설계서-1" xfId="2318" xr:uid="{00000000-0005-0000-0000-00000D090000}"/>
    <cellStyle name="1_tree_총괄내역0518_구로리어린이공원예산서(조경)1125_진해자은수량산출서(단지내)_설계서-1_00-설계서,원가계산,내역서" xfId="2319" xr:uid="{00000000-0005-0000-0000-00000E090000}"/>
    <cellStyle name="1_tree_총괄내역0518_구로리어린이공원예산서(조경)1125_진해자은수량산출서(단지내)_취합" xfId="2320" xr:uid="{00000000-0005-0000-0000-00000F090000}"/>
    <cellStyle name="1_tree_총괄내역0518_구로리어린이공원예산서(조경)1125_진해자은수량산출서(단지내)_취합_00-설계서,원가계산,내역서" xfId="2321" xr:uid="{00000000-0005-0000-0000-000010090000}"/>
    <cellStyle name="1_tree_총괄내역0518_구로리어린이공원예산서(조경)1125_진해자은수량산출서(단지내)_취합_설계서-1" xfId="2322" xr:uid="{00000000-0005-0000-0000-000011090000}"/>
    <cellStyle name="1_tree_총괄내역0518_구로리어린이공원예산서(조경)1125_진해자은수량산출서(단지내)_취합_설계서-1_00-설계서,원가계산,내역서" xfId="2323" xr:uid="{00000000-0005-0000-0000-000012090000}"/>
    <cellStyle name="1_tree_총괄내역0518_내역서" xfId="2324" xr:uid="{00000000-0005-0000-0000-000013090000}"/>
    <cellStyle name="1_tree_총괄내역0518_내역서_00-설계서,원가계산,내역서" xfId="2325" xr:uid="{00000000-0005-0000-0000-000014090000}"/>
    <cellStyle name="1_tree_총괄내역0518_내역서_설계서-1" xfId="2326" xr:uid="{00000000-0005-0000-0000-000015090000}"/>
    <cellStyle name="1_tree_총괄내역0518_내역서_설계서-1_00-설계서,원가계산,내역서" xfId="2327" xr:uid="{00000000-0005-0000-0000-000016090000}"/>
    <cellStyle name="1_tree_총괄내역0518_내역서_진해자은수량산출서(단지내)" xfId="2328" xr:uid="{00000000-0005-0000-0000-000017090000}"/>
    <cellStyle name="1_tree_총괄내역0518_내역서_진해자은수량산출서(단지내)_00-설계서,원가계산,내역서" xfId="2329" xr:uid="{00000000-0005-0000-0000-000018090000}"/>
    <cellStyle name="1_tree_총괄내역0518_내역서_진해자은수량산출서(단지내)_기초산출표-56-128-최종" xfId="2330" xr:uid="{00000000-0005-0000-0000-000019090000}"/>
    <cellStyle name="1_tree_총괄내역0518_내역서_진해자은수량산출서(단지내)_기초산출표-56-128-최종_00-설계서,원가계산,내역서" xfId="2331" xr:uid="{00000000-0005-0000-0000-00001A090000}"/>
    <cellStyle name="1_tree_총괄내역0518_내역서_진해자은수량산출서(단지내)_기초산출표-56-128-최종_설계서-1" xfId="2332" xr:uid="{00000000-0005-0000-0000-00001B090000}"/>
    <cellStyle name="1_tree_총괄내역0518_내역서_진해자은수량산출서(단지내)_기초산출표-56-128-최종_설계서-1_00-설계서,원가계산,내역서" xfId="2333" xr:uid="{00000000-0005-0000-0000-00001C090000}"/>
    <cellStyle name="1_tree_총괄내역0518_내역서_진해자은수량산출서(단지내)_설계서-1" xfId="2334" xr:uid="{00000000-0005-0000-0000-00001D090000}"/>
    <cellStyle name="1_tree_총괄내역0518_내역서_진해자은수량산출서(단지내)_설계서-1_00-설계서,원가계산,내역서" xfId="2335" xr:uid="{00000000-0005-0000-0000-00001E090000}"/>
    <cellStyle name="1_tree_총괄내역0518_내역서_진해자은수량산출서(단지내)_취합" xfId="2336" xr:uid="{00000000-0005-0000-0000-00001F090000}"/>
    <cellStyle name="1_tree_총괄내역0518_내역서_진해자은수량산출서(단지내)_취합_00-설계서,원가계산,내역서" xfId="2337" xr:uid="{00000000-0005-0000-0000-000020090000}"/>
    <cellStyle name="1_tree_총괄내역0518_내역서_진해자은수량산출서(단지내)_취합_설계서-1" xfId="2338" xr:uid="{00000000-0005-0000-0000-000021090000}"/>
    <cellStyle name="1_tree_총괄내역0518_내역서_진해자은수량산출서(단지내)_취합_설계서-1_00-설계서,원가계산,내역서" xfId="2339" xr:uid="{00000000-0005-0000-0000-000022090000}"/>
    <cellStyle name="1_tree_총괄내역0518_노임단가표" xfId="2340" xr:uid="{00000000-0005-0000-0000-000023090000}"/>
    <cellStyle name="1_tree_총괄내역0518_노임단가표_00-설계서,원가계산,내역서" xfId="2341" xr:uid="{00000000-0005-0000-0000-000024090000}"/>
    <cellStyle name="1_tree_총괄내역0518_노임단가표_설계서-1" xfId="2342" xr:uid="{00000000-0005-0000-0000-000025090000}"/>
    <cellStyle name="1_tree_총괄내역0518_노임단가표_설계서-1_00-설계서,원가계산,내역서" xfId="2343" xr:uid="{00000000-0005-0000-0000-000026090000}"/>
    <cellStyle name="1_tree_총괄내역0518_노임단가표_진해자은수량산출서(단지내)" xfId="2344" xr:uid="{00000000-0005-0000-0000-000027090000}"/>
    <cellStyle name="1_tree_총괄내역0518_노임단가표_진해자은수량산출서(단지내)_00-설계서,원가계산,내역서" xfId="2345" xr:uid="{00000000-0005-0000-0000-000028090000}"/>
    <cellStyle name="1_tree_총괄내역0518_노임단가표_진해자은수량산출서(단지내)_기초산출표-56-128-최종" xfId="2346" xr:uid="{00000000-0005-0000-0000-000029090000}"/>
    <cellStyle name="1_tree_총괄내역0518_노임단가표_진해자은수량산출서(단지내)_기초산출표-56-128-최종_00-설계서,원가계산,내역서" xfId="2347" xr:uid="{00000000-0005-0000-0000-00002A090000}"/>
    <cellStyle name="1_tree_총괄내역0518_노임단가표_진해자은수량산출서(단지내)_기초산출표-56-128-최종_설계서-1" xfId="2348" xr:uid="{00000000-0005-0000-0000-00002B090000}"/>
    <cellStyle name="1_tree_총괄내역0518_노임단가표_진해자은수량산출서(단지내)_기초산출표-56-128-최종_설계서-1_00-설계서,원가계산,내역서" xfId="2349" xr:uid="{00000000-0005-0000-0000-00002C090000}"/>
    <cellStyle name="1_tree_총괄내역0518_노임단가표_진해자은수량산출서(단지내)_설계서-1" xfId="2350" xr:uid="{00000000-0005-0000-0000-00002D090000}"/>
    <cellStyle name="1_tree_총괄내역0518_노임단가표_진해자은수량산출서(단지내)_설계서-1_00-설계서,원가계산,내역서" xfId="2351" xr:uid="{00000000-0005-0000-0000-00002E090000}"/>
    <cellStyle name="1_tree_총괄내역0518_노임단가표_진해자은수량산출서(단지내)_취합" xfId="2352" xr:uid="{00000000-0005-0000-0000-00002F090000}"/>
    <cellStyle name="1_tree_총괄내역0518_노임단가표_진해자은수량산출서(단지내)_취합_00-설계서,원가계산,내역서" xfId="2353" xr:uid="{00000000-0005-0000-0000-000030090000}"/>
    <cellStyle name="1_tree_총괄내역0518_노임단가표_진해자은수량산출서(단지내)_취합_설계서-1" xfId="2354" xr:uid="{00000000-0005-0000-0000-000031090000}"/>
    <cellStyle name="1_tree_총괄내역0518_노임단가표_진해자은수량산출서(단지내)_취합_설계서-1_00-설계서,원가계산,내역서" xfId="2355" xr:uid="{00000000-0005-0000-0000-000032090000}"/>
    <cellStyle name="1_tree_총괄내역0518_설계서-1" xfId="2356" xr:uid="{00000000-0005-0000-0000-000033090000}"/>
    <cellStyle name="1_tree_총괄내역0518_설계서-1_00-설계서,원가계산,내역서" xfId="2357" xr:uid="{00000000-0005-0000-0000-000034090000}"/>
    <cellStyle name="1_tree_총괄내역0518_수도권매립지" xfId="2358" xr:uid="{00000000-0005-0000-0000-000035090000}"/>
    <cellStyle name="1_tree_총괄내역0518_수도권매립지_00-설계서,원가계산,내역서" xfId="2359" xr:uid="{00000000-0005-0000-0000-000036090000}"/>
    <cellStyle name="1_tree_총괄내역0518_수도권매립지_설계서-1" xfId="2360" xr:uid="{00000000-0005-0000-0000-000037090000}"/>
    <cellStyle name="1_tree_총괄내역0518_수도권매립지_설계서-1_00-설계서,원가계산,내역서" xfId="2361" xr:uid="{00000000-0005-0000-0000-000038090000}"/>
    <cellStyle name="1_tree_총괄내역0518_수도권매립지_진해자은수량산출서(단지내)" xfId="2362" xr:uid="{00000000-0005-0000-0000-000039090000}"/>
    <cellStyle name="1_tree_총괄내역0518_수도권매립지_진해자은수량산출서(단지내)_00-설계서,원가계산,내역서" xfId="2363" xr:uid="{00000000-0005-0000-0000-00003A090000}"/>
    <cellStyle name="1_tree_총괄내역0518_수도권매립지_진해자은수량산출서(단지내)_기초산출표-56-128-최종" xfId="2364" xr:uid="{00000000-0005-0000-0000-00003B090000}"/>
    <cellStyle name="1_tree_총괄내역0518_수도권매립지_진해자은수량산출서(단지내)_기초산출표-56-128-최종_00-설계서,원가계산,내역서" xfId="2365" xr:uid="{00000000-0005-0000-0000-00003C090000}"/>
    <cellStyle name="1_tree_총괄내역0518_수도권매립지_진해자은수량산출서(단지내)_기초산출표-56-128-최종_설계서-1" xfId="2366" xr:uid="{00000000-0005-0000-0000-00003D090000}"/>
    <cellStyle name="1_tree_총괄내역0518_수도권매립지_진해자은수량산출서(단지내)_기초산출표-56-128-최종_설계서-1_00-설계서,원가계산,내역서" xfId="2367" xr:uid="{00000000-0005-0000-0000-00003E090000}"/>
    <cellStyle name="1_tree_총괄내역0518_수도권매립지_진해자은수량산출서(단지내)_설계서-1" xfId="2368" xr:uid="{00000000-0005-0000-0000-00003F090000}"/>
    <cellStyle name="1_tree_총괄내역0518_수도권매립지_진해자은수량산출서(단지내)_설계서-1_00-설계서,원가계산,내역서" xfId="2369" xr:uid="{00000000-0005-0000-0000-000040090000}"/>
    <cellStyle name="1_tree_총괄내역0518_수도권매립지_진해자은수량산출서(단지내)_취합" xfId="2370" xr:uid="{00000000-0005-0000-0000-000041090000}"/>
    <cellStyle name="1_tree_총괄내역0518_수도권매립지_진해자은수량산출서(단지내)_취합_00-설계서,원가계산,내역서" xfId="2371" xr:uid="{00000000-0005-0000-0000-000042090000}"/>
    <cellStyle name="1_tree_총괄내역0518_수도권매립지_진해자은수량산출서(단지내)_취합_설계서-1" xfId="2372" xr:uid="{00000000-0005-0000-0000-000043090000}"/>
    <cellStyle name="1_tree_총괄내역0518_수도권매립지_진해자은수량산출서(단지내)_취합_설계서-1_00-설계서,원가계산,내역서" xfId="2373" xr:uid="{00000000-0005-0000-0000-000044090000}"/>
    <cellStyle name="1_tree_총괄내역0518_수도권매립지1004(발주용)" xfId="2374" xr:uid="{00000000-0005-0000-0000-000045090000}"/>
    <cellStyle name="1_tree_총괄내역0518_수도권매립지1004(발주용)_00-설계서,원가계산,내역서" xfId="2375" xr:uid="{00000000-0005-0000-0000-000046090000}"/>
    <cellStyle name="1_tree_총괄내역0518_수도권매립지1004(발주용)_설계서-1" xfId="2376" xr:uid="{00000000-0005-0000-0000-000047090000}"/>
    <cellStyle name="1_tree_총괄내역0518_수도권매립지1004(발주용)_설계서-1_00-설계서,원가계산,내역서" xfId="2377" xr:uid="{00000000-0005-0000-0000-000048090000}"/>
    <cellStyle name="1_tree_총괄내역0518_수도권매립지1004(발주용)_진해자은수량산출서(단지내)" xfId="2378" xr:uid="{00000000-0005-0000-0000-000049090000}"/>
    <cellStyle name="1_tree_총괄내역0518_수도권매립지1004(발주용)_진해자은수량산출서(단지내)_00-설계서,원가계산,내역서" xfId="2379" xr:uid="{00000000-0005-0000-0000-00004A090000}"/>
    <cellStyle name="1_tree_총괄내역0518_수도권매립지1004(발주용)_진해자은수량산출서(단지내)_기초산출표-56-128-최종" xfId="2380" xr:uid="{00000000-0005-0000-0000-00004B090000}"/>
    <cellStyle name="1_tree_총괄내역0518_수도권매립지1004(발주용)_진해자은수량산출서(단지내)_기초산출표-56-128-최종_00-설계서,원가계산,내역서" xfId="2381" xr:uid="{00000000-0005-0000-0000-00004C090000}"/>
    <cellStyle name="1_tree_총괄내역0518_수도권매립지1004(발주용)_진해자은수량산출서(단지내)_기초산출표-56-128-최종_설계서-1" xfId="2382" xr:uid="{00000000-0005-0000-0000-00004D090000}"/>
    <cellStyle name="1_tree_총괄내역0518_수도권매립지1004(발주용)_진해자은수량산출서(단지내)_기초산출표-56-128-최종_설계서-1_00-설계서,원가계산,내역서" xfId="2383" xr:uid="{00000000-0005-0000-0000-00004E090000}"/>
    <cellStyle name="1_tree_총괄내역0518_수도권매립지1004(발주용)_진해자은수량산출서(단지내)_설계서-1" xfId="2384" xr:uid="{00000000-0005-0000-0000-00004F090000}"/>
    <cellStyle name="1_tree_총괄내역0518_수도권매립지1004(발주용)_진해자은수량산출서(단지내)_설계서-1_00-설계서,원가계산,내역서" xfId="2385" xr:uid="{00000000-0005-0000-0000-000050090000}"/>
    <cellStyle name="1_tree_총괄내역0518_수도권매립지1004(발주용)_진해자은수량산출서(단지내)_취합" xfId="2386" xr:uid="{00000000-0005-0000-0000-000051090000}"/>
    <cellStyle name="1_tree_총괄내역0518_수도권매립지1004(발주용)_진해자은수량산출서(단지내)_취합_00-설계서,원가계산,내역서" xfId="2387" xr:uid="{00000000-0005-0000-0000-000052090000}"/>
    <cellStyle name="1_tree_총괄내역0518_수도권매립지1004(발주용)_진해자은수량산출서(단지내)_취합_설계서-1" xfId="2388" xr:uid="{00000000-0005-0000-0000-000053090000}"/>
    <cellStyle name="1_tree_총괄내역0518_수도권매립지1004(발주용)_진해자은수량산출서(단지내)_취합_설계서-1_00-설계서,원가계산,내역서" xfId="2389" xr:uid="{00000000-0005-0000-0000-000054090000}"/>
    <cellStyle name="1_tree_총괄내역0518_일신건영설계예산서(0211)" xfId="2390" xr:uid="{00000000-0005-0000-0000-000055090000}"/>
    <cellStyle name="1_tree_총괄내역0518_일신건영설계예산서(0211)_00-설계서,원가계산,내역서" xfId="2391" xr:uid="{00000000-0005-0000-0000-000056090000}"/>
    <cellStyle name="1_tree_총괄내역0518_일신건영설계예산서(0211)_설계서-1" xfId="2392" xr:uid="{00000000-0005-0000-0000-000057090000}"/>
    <cellStyle name="1_tree_총괄내역0518_일신건영설계예산서(0211)_설계서-1_00-설계서,원가계산,내역서" xfId="2393" xr:uid="{00000000-0005-0000-0000-000058090000}"/>
    <cellStyle name="1_tree_총괄내역0518_일신건영설계예산서(0211)_진해자은수량산출서(단지내)" xfId="2394" xr:uid="{00000000-0005-0000-0000-000059090000}"/>
    <cellStyle name="1_tree_총괄내역0518_일신건영설계예산서(0211)_진해자은수량산출서(단지내)_00-설계서,원가계산,내역서" xfId="2395" xr:uid="{00000000-0005-0000-0000-00005A090000}"/>
    <cellStyle name="1_tree_총괄내역0518_일신건영설계예산서(0211)_진해자은수량산출서(단지내)_기초산출표-56-128-최종" xfId="2396" xr:uid="{00000000-0005-0000-0000-00005B090000}"/>
    <cellStyle name="1_tree_총괄내역0518_일신건영설계예산서(0211)_진해자은수량산출서(단지내)_기초산출표-56-128-최종_00-설계서,원가계산,내역서" xfId="2397" xr:uid="{00000000-0005-0000-0000-00005C090000}"/>
    <cellStyle name="1_tree_총괄내역0518_일신건영설계예산서(0211)_진해자은수량산출서(단지내)_기초산출표-56-128-최종_설계서-1" xfId="2398" xr:uid="{00000000-0005-0000-0000-00005D090000}"/>
    <cellStyle name="1_tree_총괄내역0518_일신건영설계예산서(0211)_진해자은수량산출서(단지내)_기초산출표-56-128-최종_설계서-1_00-설계서,원가계산,내역서" xfId="2399" xr:uid="{00000000-0005-0000-0000-00005E090000}"/>
    <cellStyle name="1_tree_총괄내역0518_일신건영설계예산서(0211)_진해자은수량산출서(단지내)_설계서-1" xfId="2400" xr:uid="{00000000-0005-0000-0000-00005F090000}"/>
    <cellStyle name="1_tree_총괄내역0518_일신건영설계예산서(0211)_진해자은수량산출서(단지내)_설계서-1_00-설계서,원가계산,내역서" xfId="2401" xr:uid="{00000000-0005-0000-0000-000060090000}"/>
    <cellStyle name="1_tree_총괄내역0518_일신건영설계예산서(0211)_진해자은수량산출서(단지내)_취합" xfId="2402" xr:uid="{00000000-0005-0000-0000-000061090000}"/>
    <cellStyle name="1_tree_총괄내역0518_일신건영설계예산서(0211)_진해자은수량산출서(단지내)_취합_00-설계서,원가계산,내역서" xfId="2403" xr:uid="{00000000-0005-0000-0000-000062090000}"/>
    <cellStyle name="1_tree_총괄내역0518_일신건영설계예산서(0211)_진해자은수량산출서(단지내)_취합_설계서-1" xfId="2404" xr:uid="{00000000-0005-0000-0000-000063090000}"/>
    <cellStyle name="1_tree_총괄내역0518_일신건영설계예산서(0211)_진해자은수량산출서(단지내)_취합_설계서-1_00-설계서,원가계산,내역서" xfId="2405" xr:uid="{00000000-0005-0000-0000-000064090000}"/>
    <cellStyle name="1_tree_총괄내역0518_일위대가" xfId="2406" xr:uid="{00000000-0005-0000-0000-000065090000}"/>
    <cellStyle name="1_tree_총괄내역0518_일위대가_00-설계서,원가계산,내역서" xfId="2407" xr:uid="{00000000-0005-0000-0000-000066090000}"/>
    <cellStyle name="1_tree_총괄내역0518_일위대가_설계서-1" xfId="2408" xr:uid="{00000000-0005-0000-0000-000067090000}"/>
    <cellStyle name="1_tree_총괄내역0518_일위대가_설계서-1_00-설계서,원가계산,내역서" xfId="2409" xr:uid="{00000000-0005-0000-0000-000068090000}"/>
    <cellStyle name="1_tree_총괄내역0518_일위대가_진해자은수량산출서(단지내)" xfId="2410" xr:uid="{00000000-0005-0000-0000-000069090000}"/>
    <cellStyle name="1_tree_총괄내역0518_일위대가_진해자은수량산출서(단지내)_00-설계서,원가계산,내역서" xfId="2411" xr:uid="{00000000-0005-0000-0000-00006A090000}"/>
    <cellStyle name="1_tree_총괄내역0518_일위대가_진해자은수량산출서(단지내)_기초산출표-56-128-최종" xfId="2412" xr:uid="{00000000-0005-0000-0000-00006B090000}"/>
    <cellStyle name="1_tree_총괄내역0518_일위대가_진해자은수량산출서(단지내)_기초산출표-56-128-최종_00-설계서,원가계산,내역서" xfId="2413" xr:uid="{00000000-0005-0000-0000-00006C090000}"/>
    <cellStyle name="1_tree_총괄내역0518_일위대가_진해자은수량산출서(단지내)_기초산출표-56-128-최종_설계서-1" xfId="2414" xr:uid="{00000000-0005-0000-0000-00006D090000}"/>
    <cellStyle name="1_tree_총괄내역0518_일위대가_진해자은수량산출서(단지내)_기초산출표-56-128-최종_설계서-1_00-설계서,원가계산,내역서" xfId="2415" xr:uid="{00000000-0005-0000-0000-00006E090000}"/>
    <cellStyle name="1_tree_총괄내역0518_일위대가_진해자은수량산출서(단지내)_설계서-1" xfId="2416" xr:uid="{00000000-0005-0000-0000-00006F090000}"/>
    <cellStyle name="1_tree_총괄내역0518_일위대가_진해자은수량산출서(단지내)_설계서-1_00-설계서,원가계산,내역서" xfId="2417" xr:uid="{00000000-0005-0000-0000-000070090000}"/>
    <cellStyle name="1_tree_총괄내역0518_일위대가_진해자은수량산출서(단지내)_취합" xfId="2418" xr:uid="{00000000-0005-0000-0000-000071090000}"/>
    <cellStyle name="1_tree_총괄내역0518_일위대가_진해자은수량산출서(단지내)_취합_00-설계서,원가계산,내역서" xfId="2419" xr:uid="{00000000-0005-0000-0000-000072090000}"/>
    <cellStyle name="1_tree_총괄내역0518_일위대가_진해자은수량산출서(단지내)_취합_설계서-1" xfId="2420" xr:uid="{00000000-0005-0000-0000-000073090000}"/>
    <cellStyle name="1_tree_총괄내역0518_일위대가_진해자은수량산출서(단지내)_취합_설계서-1_00-설계서,원가계산,내역서" xfId="2421" xr:uid="{00000000-0005-0000-0000-000074090000}"/>
    <cellStyle name="1_tree_총괄내역0518_자재단가표" xfId="2422" xr:uid="{00000000-0005-0000-0000-000075090000}"/>
    <cellStyle name="1_tree_총괄내역0518_자재단가표_00-설계서,원가계산,내역서" xfId="2423" xr:uid="{00000000-0005-0000-0000-000076090000}"/>
    <cellStyle name="1_tree_총괄내역0518_자재단가표_설계서-1" xfId="2424" xr:uid="{00000000-0005-0000-0000-000077090000}"/>
    <cellStyle name="1_tree_총괄내역0518_자재단가표_설계서-1_00-설계서,원가계산,내역서" xfId="2425" xr:uid="{00000000-0005-0000-0000-000078090000}"/>
    <cellStyle name="1_tree_총괄내역0518_자재단가표_진해자은수량산출서(단지내)" xfId="2426" xr:uid="{00000000-0005-0000-0000-000079090000}"/>
    <cellStyle name="1_tree_총괄내역0518_자재단가표_진해자은수량산출서(단지내)_00-설계서,원가계산,내역서" xfId="2427" xr:uid="{00000000-0005-0000-0000-00007A090000}"/>
    <cellStyle name="1_tree_총괄내역0518_자재단가표_진해자은수량산출서(단지내)_기초산출표-56-128-최종" xfId="2428" xr:uid="{00000000-0005-0000-0000-00007B090000}"/>
    <cellStyle name="1_tree_총괄내역0518_자재단가표_진해자은수량산출서(단지내)_기초산출표-56-128-최종_00-설계서,원가계산,내역서" xfId="2429" xr:uid="{00000000-0005-0000-0000-00007C090000}"/>
    <cellStyle name="1_tree_총괄내역0518_자재단가표_진해자은수량산출서(단지내)_기초산출표-56-128-최종_설계서-1" xfId="2430" xr:uid="{00000000-0005-0000-0000-00007D090000}"/>
    <cellStyle name="1_tree_총괄내역0518_자재단가표_진해자은수량산출서(단지내)_기초산출표-56-128-최종_설계서-1_00-설계서,원가계산,내역서" xfId="2431" xr:uid="{00000000-0005-0000-0000-00007E090000}"/>
    <cellStyle name="1_tree_총괄내역0518_자재단가표_진해자은수량산출서(단지내)_설계서-1" xfId="2432" xr:uid="{00000000-0005-0000-0000-00007F090000}"/>
    <cellStyle name="1_tree_총괄내역0518_자재단가표_진해자은수량산출서(단지내)_설계서-1_00-설계서,원가계산,내역서" xfId="2433" xr:uid="{00000000-0005-0000-0000-000080090000}"/>
    <cellStyle name="1_tree_총괄내역0518_자재단가표_진해자은수량산출서(단지내)_취합" xfId="2434" xr:uid="{00000000-0005-0000-0000-000081090000}"/>
    <cellStyle name="1_tree_총괄내역0518_자재단가표_진해자은수량산출서(단지내)_취합_00-설계서,원가계산,내역서" xfId="2435" xr:uid="{00000000-0005-0000-0000-000082090000}"/>
    <cellStyle name="1_tree_총괄내역0518_자재단가표_진해자은수량산출서(단지내)_취합_설계서-1" xfId="2436" xr:uid="{00000000-0005-0000-0000-000083090000}"/>
    <cellStyle name="1_tree_총괄내역0518_자재단가표_진해자은수량산출서(단지내)_취합_설계서-1_00-설계서,원가계산,내역서" xfId="2437" xr:uid="{00000000-0005-0000-0000-000084090000}"/>
    <cellStyle name="1_tree_총괄내역0518_장안초등학교내역0814" xfId="2438" xr:uid="{00000000-0005-0000-0000-000085090000}"/>
    <cellStyle name="1_tree_총괄내역0518_장안초등학교내역0814_00-설계서,원가계산,내역서" xfId="2439" xr:uid="{00000000-0005-0000-0000-000086090000}"/>
    <cellStyle name="1_tree_총괄내역0518_장안초등학교내역0814_설계서-1" xfId="2440" xr:uid="{00000000-0005-0000-0000-000087090000}"/>
    <cellStyle name="1_tree_총괄내역0518_장안초등학교내역0814_설계서-1_00-설계서,원가계산,내역서" xfId="2441" xr:uid="{00000000-0005-0000-0000-000088090000}"/>
    <cellStyle name="1_tree_총괄내역0518_장안초등학교내역0814_진해자은수량산출서(단지내)" xfId="2442" xr:uid="{00000000-0005-0000-0000-000089090000}"/>
    <cellStyle name="1_tree_총괄내역0518_장안초등학교내역0814_진해자은수량산출서(단지내)_00-설계서,원가계산,내역서" xfId="2443" xr:uid="{00000000-0005-0000-0000-00008A090000}"/>
    <cellStyle name="1_tree_총괄내역0518_장안초등학교내역0814_진해자은수량산출서(단지내)_기초산출표-56-128-최종" xfId="2444" xr:uid="{00000000-0005-0000-0000-00008B090000}"/>
    <cellStyle name="1_tree_총괄내역0518_장안초등학교내역0814_진해자은수량산출서(단지내)_기초산출표-56-128-최종_00-설계서,원가계산,내역서" xfId="2445" xr:uid="{00000000-0005-0000-0000-00008C090000}"/>
    <cellStyle name="1_tree_총괄내역0518_장안초등학교내역0814_진해자은수량산출서(단지내)_기초산출표-56-128-최종_설계서-1" xfId="2446" xr:uid="{00000000-0005-0000-0000-00008D090000}"/>
    <cellStyle name="1_tree_총괄내역0518_장안초등학교내역0814_진해자은수량산출서(단지내)_기초산출표-56-128-최종_설계서-1_00-설계서,원가계산,내역서" xfId="2447" xr:uid="{00000000-0005-0000-0000-00008E090000}"/>
    <cellStyle name="1_tree_총괄내역0518_장안초등학교내역0814_진해자은수량산출서(단지내)_설계서-1" xfId="2448" xr:uid="{00000000-0005-0000-0000-00008F090000}"/>
    <cellStyle name="1_tree_총괄내역0518_장안초등학교내역0814_진해자은수량산출서(단지내)_설계서-1_00-설계서,원가계산,내역서" xfId="2449" xr:uid="{00000000-0005-0000-0000-000090090000}"/>
    <cellStyle name="1_tree_총괄내역0518_장안초등학교내역0814_진해자은수량산출서(단지내)_취합" xfId="2450" xr:uid="{00000000-0005-0000-0000-000091090000}"/>
    <cellStyle name="1_tree_총괄내역0518_장안초등학교내역0814_진해자은수량산출서(단지내)_취합_00-설계서,원가계산,내역서" xfId="2451" xr:uid="{00000000-0005-0000-0000-000092090000}"/>
    <cellStyle name="1_tree_총괄내역0518_장안초등학교내역0814_진해자은수량산출서(단지내)_취합_설계서-1" xfId="2452" xr:uid="{00000000-0005-0000-0000-000093090000}"/>
    <cellStyle name="1_tree_총괄내역0518_장안초등학교내역0814_진해자은수량산출서(단지내)_취합_설계서-1_00-설계서,원가계산,내역서" xfId="2453" xr:uid="{00000000-0005-0000-0000-000094090000}"/>
    <cellStyle name="1_tree_총괄내역0518_진해자은수량산출서(단지내)" xfId="2454" xr:uid="{00000000-0005-0000-0000-000095090000}"/>
    <cellStyle name="1_tree_총괄내역0518_진해자은수량산출서(단지내)_00-설계서,원가계산,내역서" xfId="2455" xr:uid="{00000000-0005-0000-0000-000096090000}"/>
    <cellStyle name="1_tree_총괄내역0518_진해자은수량산출서(단지내)_기초산출표-56-128-최종" xfId="2456" xr:uid="{00000000-0005-0000-0000-000097090000}"/>
    <cellStyle name="1_tree_총괄내역0518_진해자은수량산출서(단지내)_기초산출표-56-128-최종_00-설계서,원가계산,내역서" xfId="2457" xr:uid="{00000000-0005-0000-0000-000098090000}"/>
    <cellStyle name="1_tree_총괄내역0518_진해자은수량산출서(단지내)_기초산출표-56-128-최종_설계서-1" xfId="2458" xr:uid="{00000000-0005-0000-0000-000099090000}"/>
    <cellStyle name="1_tree_총괄내역0518_진해자은수량산출서(단지내)_기초산출표-56-128-최종_설계서-1_00-설계서,원가계산,내역서" xfId="2459" xr:uid="{00000000-0005-0000-0000-00009A090000}"/>
    <cellStyle name="1_tree_총괄내역0518_진해자은수량산출서(단지내)_설계서-1" xfId="2460" xr:uid="{00000000-0005-0000-0000-00009B090000}"/>
    <cellStyle name="1_tree_총괄내역0518_진해자은수량산출서(단지내)_설계서-1_00-설계서,원가계산,내역서" xfId="2461" xr:uid="{00000000-0005-0000-0000-00009C090000}"/>
    <cellStyle name="1_tree_총괄내역0518_진해자은수량산출서(단지내)_취합" xfId="2462" xr:uid="{00000000-0005-0000-0000-00009D090000}"/>
    <cellStyle name="1_tree_총괄내역0518_진해자은수량산출서(단지내)_취합_00-설계서,원가계산,내역서" xfId="2463" xr:uid="{00000000-0005-0000-0000-00009E090000}"/>
    <cellStyle name="1_tree_총괄내역0518_진해자은수량산출서(단지내)_취합_설계서-1" xfId="2464" xr:uid="{00000000-0005-0000-0000-00009F090000}"/>
    <cellStyle name="1_tree_총괄내역0518_진해자은수량산출서(단지내)_취합_설계서-1_00-설계서,원가계산,내역서" xfId="2465" xr:uid="{00000000-0005-0000-0000-0000A0090000}"/>
    <cellStyle name="1_tree_현충묘지-예산서(조경)" xfId="2466" xr:uid="{00000000-0005-0000-0000-0000A1090000}"/>
    <cellStyle name="1_tree_현충묘지-예산서(조경)_00-설계서,원가계산,내역서" xfId="2467" xr:uid="{00000000-0005-0000-0000-0000A2090000}"/>
    <cellStyle name="1_tree_현충묘지-예산서(조경)_목동내역" xfId="2468" xr:uid="{00000000-0005-0000-0000-0000A3090000}"/>
    <cellStyle name="1_tree_현충묘지-예산서(조경)_목동내역_00-설계서,원가계산,내역서" xfId="2469" xr:uid="{00000000-0005-0000-0000-0000A4090000}"/>
    <cellStyle name="1_tree_현충묘지-예산서(조경)_목동내역_폐기물집계" xfId="2470" xr:uid="{00000000-0005-0000-0000-0000A5090000}"/>
    <cellStyle name="1_tree_현충묘지-예산서(조경)_목동내역_폐기물집계_00-설계서,원가계산,내역서" xfId="2471" xr:uid="{00000000-0005-0000-0000-0000A6090000}"/>
    <cellStyle name="1_tree_현충묘지-예산서(조경)_예산서-엑셀변환양식100" xfId="2472" xr:uid="{00000000-0005-0000-0000-0000A7090000}"/>
    <cellStyle name="1_tree_현충묘지-예산서(조경)_예산서-엑셀변환양식100_00-설계서,원가계산,내역서" xfId="2473" xr:uid="{00000000-0005-0000-0000-0000A8090000}"/>
    <cellStyle name="1_tree_현충묘지-예산서(조경)_예산서-엑셀변환양식100_목동내역" xfId="2474" xr:uid="{00000000-0005-0000-0000-0000A9090000}"/>
    <cellStyle name="1_tree_현충묘지-예산서(조경)_예산서-엑셀변환양식100_목동내역_00-설계서,원가계산,내역서" xfId="2475" xr:uid="{00000000-0005-0000-0000-0000AA090000}"/>
    <cellStyle name="1_tree_현충묘지-예산서(조경)_예산서-엑셀변환양식100_목동내역_폐기물집계" xfId="2476" xr:uid="{00000000-0005-0000-0000-0000AB090000}"/>
    <cellStyle name="1_tree_현충묘지-예산서(조경)_예산서-엑셀변환양식100_목동내역_폐기물집계_00-설계서,원가계산,내역서" xfId="2477" xr:uid="{00000000-0005-0000-0000-0000AC090000}"/>
    <cellStyle name="11" xfId="2595" xr:uid="{00000000-0005-0000-0000-0000220A0000}"/>
    <cellStyle name="111" xfId="2596" xr:uid="{00000000-0005-0000-0000-0000230A0000}"/>
    <cellStyle name="2" xfId="2597" xr:uid="{00000000-0005-0000-0000-0000240A0000}"/>
    <cellStyle name="2_단가조사표" xfId="2601" xr:uid="{00000000-0005-0000-0000-0000280A0000}"/>
    <cellStyle name="2_단가조사표_1011소각" xfId="2602" xr:uid="{00000000-0005-0000-0000-0000290A0000}"/>
    <cellStyle name="2_단가조사표_1113교~1" xfId="2603" xr:uid="{00000000-0005-0000-0000-00002A0A0000}"/>
    <cellStyle name="2_단가조사표_121내역" xfId="2604" xr:uid="{00000000-0005-0000-0000-00002B0A0000}"/>
    <cellStyle name="2_단가조사표_객토량" xfId="2605" xr:uid="{00000000-0005-0000-0000-00002C0A0000}"/>
    <cellStyle name="2_단가조사표_교통센~1" xfId="2606" xr:uid="{00000000-0005-0000-0000-00002D0A0000}"/>
    <cellStyle name="2_단가조사표_교통센터412" xfId="2607" xr:uid="{00000000-0005-0000-0000-00002E0A0000}"/>
    <cellStyle name="2_단가조사표_교통수" xfId="2608" xr:uid="{00000000-0005-0000-0000-00002F0A0000}"/>
    <cellStyle name="2_단가조사표_교통수량산출서" xfId="2609" xr:uid="{00000000-0005-0000-0000-0000300A0000}"/>
    <cellStyle name="2_단가조사표_구조물대가 (2)" xfId="2610" xr:uid="{00000000-0005-0000-0000-0000310A0000}"/>
    <cellStyle name="2_단가조사표_내역서 (2)" xfId="2611" xr:uid="{00000000-0005-0000-0000-0000320A0000}"/>
    <cellStyle name="2_단가조사표_대전관저지구" xfId="2612" xr:uid="{00000000-0005-0000-0000-0000330A0000}"/>
    <cellStyle name="2_단가조사표_동측지~1" xfId="2613" xr:uid="{00000000-0005-0000-0000-0000340A0000}"/>
    <cellStyle name="2_단가조사표_동측지원422" xfId="2614" xr:uid="{00000000-0005-0000-0000-0000350A0000}"/>
    <cellStyle name="2_단가조사표_동측지원512" xfId="2615" xr:uid="{00000000-0005-0000-0000-0000360A0000}"/>
    <cellStyle name="2_단가조사표_동측지원524" xfId="2616" xr:uid="{00000000-0005-0000-0000-0000370A0000}"/>
    <cellStyle name="2_단가조사표_부대422" xfId="2617" xr:uid="{00000000-0005-0000-0000-0000380A0000}"/>
    <cellStyle name="2_단가조사표_부대시설" xfId="2618" xr:uid="{00000000-0005-0000-0000-0000390A0000}"/>
    <cellStyle name="2_단가조사표_소각수~1" xfId="2619" xr:uid="{00000000-0005-0000-0000-00003A0A0000}"/>
    <cellStyle name="2_단가조사표_소각수내역서" xfId="2620" xr:uid="{00000000-0005-0000-0000-00003B0A0000}"/>
    <cellStyle name="2_단가조사표_소각수목2" xfId="2621" xr:uid="{00000000-0005-0000-0000-00003C0A0000}"/>
    <cellStyle name="2_단가조사표_수량산출서 (2)" xfId="2622" xr:uid="{00000000-0005-0000-0000-00003D0A0000}"/>
    <cellStyle name="2_단가조사표_엑스포~1" xfId="2623" xr:uid="{00000000-0005-0000-0000-00003E0A0000}"/>
    <cellStyle name="2_단가조사표_엑스포한빛1" xfId="2624" xr:uid="{00000000-0005-0000-0000-00003F0A0000}"/>
    <cellStyle name="2_단가조사표_여객터미널331" xfId="2625" xr:uid="{00000000-0005-0000-0000-0000400A0000}"/>
    <cellStyle name="2_단가조사표_여객터미널513" xfId="2626" xr:uid="{00000000-0005-0000-0000-0000410A0000}"/>
    <cellStyle name="2_단가조사표_여객터미널629" xfId="2627" xr:uid="{00000000-0005-0000-0000-0000420A0000}"/>
    <cellStyle name="2_단가조사표_외곽도로616" xfId="2628" xr:uid="{00000000-0005-0000-0000-0000430A0000}"/>
    <cellStyle name="2_단가조사표_원가계~1" xfId="2629" xr:uid="{00000000-0005-0000-0000-0000440A0000}"/>
    <cellStyle name="2_단가조사표_유기질" xfId="2630" xr:uid="{00000000-0005-0000-0000-0000450A0000}"/>
    <cellStyle name="2_단가조사표_자재조서 (2)" xfId="2631" xr:uid="{00000000-0005-0000-0000-0000460A0000}"/>
    <cellStyle name="2_단가조사표_총괄내역" xfId="2632" xr:uid="{00000000-0005-0000-0000-0000470A0000}"/>
    <cellStyle name="2_단가조사표_총괄내역 (2)" xfId="2633" xr:uid="{00000000-0005-0000-0000-0000480A0000}"/>
    <cellStyle name="2_단가조사표_터미널도로403" xfId="2634" xr:uid="{00000000-0005-0000-0000-0000490A0000}"/>
    <cellStyle name="2_단가조사표_터미널도로429" xfId="2635" xr:uid="{00000000-0005-0000-0000-00004A0A0000}"/>
    <cellStyle name="2_단가조사표_포장일위" xfId="2636" xr:uid="{00000000-0005-0000-0000-00004B0A0000}"/>
    <cellStyle name="2_laroux" xfId="2599" xr:uid="{00000000-0005-0000-0000-0000260A0000}"/>
    <cellStyle name="2_laroux_ATC-YOON1" xfId="2600" xr:uid="{00000000-0005-0000-0000-0000270A0000}"/>
    <cellStyle name="2)" xfId="2598" xr:uid="{00000000-0005-0000-0000-0000250A0000}"/>
    <cellStyle name="20% - 강조색1 2" xfId="2637" xr:uid="{00000000-0005-0000-0000-00004C0A0000}"/>
    <cellStyle name="2자리" xfId="2638" xr:uid="{00000000-0005-0000-0000-00004D0A0000}"/>
    <cellStyle name="가운데" xfId="2752" xr:uid="{00000000-0005-0000-0000-0000C20A0000}"/>
    <cellStyle name="고정소숫점" xfId="2753" xr:uid="{00000000-0005-0000-0000-0000C30A0000}"/>
    <cellStyle name="고정출력1" xfId="2754" xr:uid="{00000000-0005-0000-0000-0000C40A0000}"/>
    <cellStyle name="고정출력2" xfId="2755" xr:uid="{00000000-0005-0000-0000-0000C50A0000}"/>
    <cellStyle name="공사원가계산서(조경)" xfId="2756" xr:uid="{00000000-0005-0000-0000-0000C60A0000}"/>
    <cellStyle name="공종" xfId="2757" xr:uid="{00000000-0005-0000-0000-0000C70A0000}"/>
    <cellStyle name="괘선" xfId="2758" xr:uid="{00000000-0005-0000-0000-0000C80A0000}"/>
    <cellStyle name="괘선1" xfId="2759" xr:uid="{00000000-0005-0000-0000-0000C90A0000}"/>
    <cellStyle name="기계" xfId="2760" xr:uid="{00000000-0005-0000-0000-0000CA0A0000}"/>
    <cellStyle name="기본숫자" xfId="2761" xr:uid="{00000000-0005-0000-0000-0000CB0A0000}"/>
    <cellStyle name="날짜" xfId="2762" xr:uid="{00000000-0005-0000-0000-0000CC0A0000}"/>
    <cellStyle name="내역서" xfId="2763" xr:uid="{00000000-0005-0000-0000-0000CD0A0000}"/>
    <cellStyle name="네모제목" xfId="2764" xr:uid="{00000000-0005-0000-0000-0000CE0A0000}"/>
    <cellStyle name="달러" xfId="2765" xr:uid="{00000000-0005-0000-0000-0000CF0A0000}"/>
    <cellStyle name="뒤에 오는 하이퍼링크" xfId="2766" xr:uid="{00000000-0005-0000-0000-0000D00A0000}"/>
    <cellStyle name="똿뗦먛귟 [0.00]_laroux" xfId="2767" xr:uid="{00000000-0005-0000-0000-0000D10A0000}"/>
    <cellStyle name="똿뗦먛귟_laroux" xfId="2768" xr:uid="{00000000-0005-0000-0000-0000D20A0000}"/>
    <cellStyle name="마이너스키" xfId="2769" xr:uid="{00000000-0005-0000-0000-0000D30A0000}"/>
    <cellStyle name="믅됞 [0.00]_laroux" xfId="2770" xr:uid="{00000000-0005-0000-0000-0000D40A0000}"/>
    <cellStyle name="믅됞_laroux" xfId="2771" xr:uid="{00000000-0005-0000-0000-0000D50A0000}"/>
    <cellStyle name="배분" xfId="2772" xr:uid="{00000000-0005-0000-0000-0000D60A0000}"/>
    <cellStyle name="백" xfId="2773" xr:uid="{00000000-0005-0000-0000-0000D70A0000}"/>
    <cellStyle name="백_22수량산출서(총괄)" xfId="2775" xr:uid="{00000000-0005-0000-0000-0000D90A0000}"/>
    <cellStyle name="백_22bl3lot수량산출" xfId="2774" xr:uid="{00000000-0005-0000-0000-0000D80A0000}"/>
    <cellStyle name="백분율 [△1]" xfId="2776" xr:uid="{00000000-0005-0000-0000-0000DA0A0000}"/>
    <cellStyle name="백분율 [△2]" xfId="2777" xr:uid="{00000000-0005-0000-0000-0000DB0A0000}"/>
    <cellStyle name="백분율 [0]" xfId="2778" xr:uid="{00000000-0005-0000-0000-0000DC0A0000}"/>
    <cellStyle name="백분율 [2]" xfId="2779" xr:uid="{00000000-0005-0000-0000-0000DD0A0000}"/>
    <cellStyle name="백분율［△1］" xfId="2780" xr:uid="{00000000-0005-0000-0000-0000DE0A0000}"/>
    <cellStyle name="백분율［△2］" xfId="2781" xr:uid="{00000000-0005-0000-0000-0000DF0A0000}"/>
    <cellStyle name="병합 후 가운데 맞춤" xfId="2782" xr:uid="{00000000-0005-0000-0000-0000E00A0000}"/>
    <cellStyle name="병합 후 가운데 정열" xfId="2783" xr:uid="{00000000-0005-0000-0000-0000E10A0000}"/>
    <cellStyle name="분수" xfId="2784" xr:uid="{00000000-0005-0000-0000-0000E20A0000}"/>
    <cellStyle name="뷭?" xfId="2785" xr:uid="{00000000-0005-0000-0000-0000E30A0000}"/>
    <cellStyle name="빨간색" xfId="2786" xr:uid="{00000000-0005-0000-0000-0000E40A0000}"/>
    <cellStyle name="선택영역의 가운데로" xfId="2787" xr:uid="{00000000-0005-0000-0000-0000E50A0000}"/>
    <cellStyle name="설계서" xfId="2788" xr:uid="{00000000-0005-0000-0000-0000E60A0000}"/>
    <cellStyle name="수량1" xfId="2789" xr:uid="{00000000-0005-0000-0000-0000E70A0000}"/>
    <cellStyle name="수목명" xfId="2790" xr:uid="{00000000-0005-0000-0000-0000E80A0000}"/>
    <cellStyle name="숫자(R)" xfId="2791" xr:uid="{00000000-0005-0000-0000-0000E90A0000}"/>
    <cellStyle name="쉼표 [0] 2" xfId="2792" xr:uid="{00000000-0005-0000-0000-0000EA0A0000}"/>
    <cellStyle name="쉼표 [0] 2 2" xfId="2793" xr:uid="{00000000-0005-0000-0000-0000EB0A0000}"/>
    <cellStyle name="쉼표 [0] 2 3" xfId="2794" xr:uid="{00000000-0005-0000-0000-0000EC0A0000}"/>
    <cellStyle name="쉼표 [0] 3" xfId="2795" xr:uid="{00000000-0005-0000-0000-0000ED0A0000}"/>
    <cellStyle name="쉼표 [0] 3 2" xfId="2796" xr:uid="{00000000-0005-0000-0000-0000EE0A0000}"/>
    <cellStyle name="쉼표 [0] 3 3" xfId="2797" xr:uid="{00000000-0005-0000-0000-0000EF0A0000}"/>
    <cellStyle name="쉼표 [0] 4" xfId="3114" xr:uid="{00000000-0005-0000-0000-0000F00A0000}"/>
    <cellStyle name="쉼표 [0] 5" xfId="3118" xr:uid="{00000000-0005-0000-0000-0000F10A0000}"/>
    <cellStyle name="스타일 1" xfId="2798" xr:uid="{00000000-0005-0000-0000-0000F20A0000}"/>
    <cellStyle name="스타일 1 2" xfId="2799" xr:uid="{00000000-0005-0000-0000-0000F30A0000}"/>
    <cellStyle name="스타일 10" xfId="2800" xr:uid="{00000000-0005-0000-0000-0000F40A0000}"/>
    <cellStyle name="스타일 100" xfId="2801" xr:uid="{00000000-0005-0000-0000-0000F50A0000}"/>
    <cellStyle name="스타일 101" xfId="2802" xr:uid="{00000000-0005-0000-0000-0000F60A0000}"/>
    <cellStyle name="스타일 102" xfId="2803" xr:uid="{00000000-0005-0000-0000-0000F70A0000}"/>
    <cellStyle name="스타일 103" xfId="2804" xr:uid="{00000000-0005-0000-0000-0000F80A0000}"/>
    <cellStyle name="스타일 104" xfId="2805" xr:uid="{00000000-0005-0000-0000-0000F90A0000}"/>
    <cellStyle name="스타일 105" xfId="2806" xr:uid="{00000000-0005-0000-0000-0000FA0A0000}"/>
    <cellStyle name="스타일 106" xfId="2807" xr:uid="{00000000-0005-0000-0000-0000FB0A0000}"/>
    <cellStyle name="스타일 107" xfId="2808" xr:uid="{00000000-0005-0000-0000-0000FC0A0000}"/>
    <cellStyle name="스타일 108" xfId="2809" xr:uid="{00000000-0005-0000-0000-0000FD0A0000}"/>
    <cellStyle name="스타일 109" xfId="2810" xr:uid="{00000000-0005-0000-0000-0000FE0A0000}"/>
    <cellStyle name="스타일 11" xfId="2811" xr:uid="{00000000-0005-0000-0000-0000FF0A0000}"/>
    <cellStyle name="스타일 110" xfId="2812" xr:uid="{00000000-0005-0000-0000-0000000B0000}"/>
    <cellStyle name="스타일 111" xfId="2813" xr:uid="{00000000-0005-0000-0000-0000010B0000}"/>
    <cellStyle name="스타일 112" xfId="2814" xr:uid="{00000000-0005-0000-0000-0000020B0000}"/>
    <cellStyle name="스타일 113" xfId="2815" xr:uid="{00000000-0005-0000-0000-0000030B0000}"/>
    <cellStyle name="스타일 114" xfId="2816" xr:uid="{00000000-0005-0000-0000-0000040B0000}"/>
    <cellStyle name="스타일 115" xfId="2817" xr:uid="{00000000-0005-0000-0000-0000050B0000}"/>
    <cellStyle name="스타일 116" xfId="2818" xr:uid="{00000000-0005-0000-0000-0000060B0000}"/>
    <cellStyle name="스타일 117" xfId="2819" xr:uid="{00000000-0005-0000-0000-0000070B0000}"/>
    <cellStyle name="스타일 118" xfId="2820" xr:uid="{00000000-0005-0000-0000-0000080B0000}"/>
    <cellStyle name="스타일 119" xfId="2821" xr:uid="{00000000-0005-0000-0000-0000090B0000}"/>
    <cellStyle name="스타일 12" xfId="2822" xr:uid="{00000000-0005-0000-0000-00000A0B0000}"/>
    <cellStyle name="스타일 120" xfId="2823" xr:uid="{00000000-0005-0000-0000-00000B0B0000}"/>
    <cellStyle name="스타일 121" xfId="2824" xr:uid="{00000000-0005-0000-0000-00000C0B0000}"/>
    <cellStyle name="스타일 122" xfId="2825" xr:uid="{00000000-0005-0000-0000-00000D0B0000}"/>
    <cellStyle name="스타일 123" xfId="2826" xr:uid="{00000000-0005-0000-0000-00000E0B0000}"/>
    <cellStyle name="스타일 124" xfId="2827" xr:uid="{00000000-0005-0000-0000-00000F0B0000}"/>
    <cellStyle name="스타일 125" xfId="2828" xr:uid="{00000000-0005-0000-0000-0000100B0000}"/>
    <cellStyle name="스타일 126" xfId="2829" xr:uid="{00000000-0005-0000-0000-0000110B0000}"/>
    <cellStyle name="스타일 127" xfId="2830" xr:uid="{00000000-0005-0000-0000-0000120B0000}"/>
    <cellStyle name="스타일 128" xfId="2831" xr:uid="{00000000-0005-0000-0000-0000130B0000}"/>
    <cellStyle name="스타일 129" xfId="2832" xr:uid="{00000000-0005-0000-0000-0000140B0000}"/>
    <cellStyle name="스타일 13" xfId="2833" xr:uid="{00000000-0005-0000-0000-0000150B0000}"/>
    <cellStyle name="스타일 130" xfId="2834" xr:uid="{00000000-0005-0000-0000-0000160B0000}"/>
    <cellStyle name="스타일 131" xfId="2835" xr:uid="{00000000-0005-0000-0000-0000170B0000}"/>
    <cellStyle name="스타일 132" xfId="2836" xr:uid="{00000000-0005-0000-0000-0000180B0000}"/>
    <cellStyle name="스타일 133" xfId="2837" xr:uid="{00000000-0005-0000-0000-0000190B0000}"/>
    <cellStyle name="스타일 134" xfId="2838" xr:uid="{00000000-0005-0000-0000-00001A0B0000}"/>
    <cellStyle name="스타일 135" xfId="2839" xr:uid="{00000000-0005-0000-0000-00001B0B0000}"/>
    <cellStyle name="스타일 136" xfId="2840" xr:uid="{00000000-0005-0000-0000-00001C0B0000}"/>
    <cellStyle name="스타일 137" xfId="2841" xr:uid="{00000000-0005-0000-0000-00001D0B0000}"/>
    <cellStyle name="스타일 138" xfId="2842" xr:uid="{00000000-0005-0000-0000-00001E0B0000}"/>
    <cellStyle name="스타일 139" xfId="2843" xr:uid="{00000000-0005-0000-0000-00001F0B0000}"/>
    <cellStyle name="스타일 14" xfId="2844" xr:uid="{00000000-0005-0000-0000-0000200B0000}"/>
    <cellStyle name="스타일 140" xfId="2845" xr:uid="{00000000-0005-0000-0000-0000210B0000}"/>
    <cellStyle name="스타일 141" xfId="2846" xr:uid="{00000000-0005-0000-0000-0000220B0000}"/>
    <cellStyle name="스타일 142" xfId="2847" xr:uid="{00000000-0005-0000-0000-0000230B0000}"/>
    <cellStyle name="스타일 143" xfId="2848" xr:uid="{00000000-0005-0000-0000-0000240B0000}"/>
    <cellStyle name="스타일 144" xfId="2849" xr:uid="{00000000-0005-0000-0000-0000250B0000}"/>
    <cellStyle name="스타일 145" xfId="2850" xr:uid="{00000000-0005-0000-0000-0000260B0000}"/>
    <cellStyle name="스타일 146" xfId="2851" xr:uid="{00000000-0005-0000-0000-0000270B0000}"/>
    <cellStyle name="스타일 147" xfId="2852" xr:uid="{00000000-0005-0000-0000-0000280B0000}"/>
    <cellStyle name="스타일 148" xfId="2853" xr:uid="{00000000-0005-0000-0000-0000290B0000}"/>
    <cellStyle name="스타일 149" xfId="2854" xr:uid="{00000000-0005-0000-0000-00002A0B0000}"/>
    <cellStyle name="스타일 15" xfId="2855" xr:uid="{00000000-0005-0000-0000-00002B0B0000}"/>
    <cellStyle name="스타일 150" xfId="2856" xr:uid="{00000000-0005-0000-0000-00002C0B0000}"/>
    <cellStyle name="스타일 151" xfId="2857" xr:uid="{00000000-0005-0000-0000-00002D0B0000}"/>
    <cellStyle name="스타일 152" xfId="2858" xr:uid="{00000000-0005-0000-0000-00002E0B0000}"/>
    <cellStyle name="스타일 153" xfId="2859" xr:uid="{00000000-0005-0000-0000-00002F0B0000}"/>
    <cellStyle name="스타일 154" xfId="2860" xr:uid="{00000000-0005-0000-0000-0000300B0000}"/>
    <cellStyle name="스타일 155" xfId="2861" xr:uid="{00000000-0005-0000-0000-0000310B0000}"/>
    <cellStyle name="스타일 156" xfId="2862" xr:uid="{00000000-0005-0000-0000-0000320B0000}"/>
    <cellStyle name="스타일 157" xfId="2863" xr:uid="{00000000-0005-0000-0000-0000330B0000}"/>
    <cellStyle name="스타일 158" xfId="2864" xr:uid="{00000000-0005-0000-0000-0000340B0000}"/>
    <cellStyle name="스타일 159" xfId="2865" xr:uid="{00000000-0005-0000-0000-0000350B0000}"/>
    <cellStyle name="스타일 16" xfId="2866" xr:uid="{00000000-0005-0000-0000-0000360B0000}"/>
    <cellStyle name="스타일 160" xfId="2867" xr:uid="{00000000-0005-0000-0000-0000370B0000}"/>
    <cellStyle name="스타일 161" xfId="2868" xr:uid="{00000000-0005-0000-0000-0000380B0000}"/>
    <cellStyle name="스타일 162" xfId="2869" xr:uid="{00000000-0005-0000-0000-0000390B0000}"/>
    <cellStyle name="스타일 163" xfId="2870" xr:uid="{00000000-0005-0000-0000-00003A0B0000}"/>
    <cellStyle name="스타일 164" xfId="2871" xr:uid="{00000000-0005-0000-0000-00003B0B0000}"/>
    <cellStyle name="스타일 165" xfId="2872" xr:uid="{00000000-0005-0000-0000-00003C0B0000}"/>
    <cellStyle name="스타일 166" xfId="2873" xr:uid="{00000000-0005-0000-0000-00003D0B0000}"/>
    <cellStyle name="스타일 167" xfId="2874" xr:uid="{00000000-0005-0000-0000-00003E0B0000}"/>
    <cellStyle name="스타일 168" xfId="2875" xr:uid="{00000000-0005-0000-0000-00003F0B0000}"/>
    <cellStyle name="스타일 169" xfId="2876" xr:uid="{00000000-0005-0000-0000-0000400B0000}"/>
    <cellStyle name="스타일 17" xfId="2877" xr:uid="{00000000-0005-0000-0000-0000410B0000}"/>
    <cellStyle name="스타일 170" xfId="2878" xr:uid="{00000000-0005-0000-0000-0000420B0000}"/>
    <cellStyle name="스타일 171" xfId="2879" xr:uid="{00000000-0005-0000-0000-0000430B0000}"/>
    <cellStyle name="스타일 172" xfId="2880" xr:uid="{00000000-0005-0000-0000-0000440B0000}"/>
    <cellStyle name="스타일 173" xfId="2881" xr:uid="{00000000-0005-0000-0000-0000450B0000}"/>
    <cellStyle name="스타일 174" xfId="2882" xr:uid="{00000000-0005-0000-0000-0000460B0000}"/>
    <cellStyle name="스타일 175" xfId="2883" xr:uid="{00000000-0005-0000-0000-0000470B0000}"/>
    <cellStyle name="스타일 176" xfId="2884" xr:uid="{00000000-0005-0000-0000-0000480B0000}"/>
    <cellStyle name="스타일 177" xfId="2885" xr:uid="{00000000-0005-0000-0000-0000490B0000}"/>
    <cellStyle name="스타일 178" xfId="2886" xr:uid="{00000000-0005-0000-0000-00004A0B0000}"/>
    <cellStyle name="스타일 179" xfId="2887" xr:uid="{00000000-0005-0000-0000-00004B0B0000}"/>
    <cellStyle name="스타일 18" xfId="2888" xr:uid="{00000000-0005-0000-0000-00004C0B0000}"/>
    <cellStyle name="스타일 180" xfId="2889" xr:uid="{00000000-0005-0000-0000-00004D0B0000}"/>
    <cellStyle name="스타일 181" xfId="2890" xr:uid="{00000000-0005-0000-0000-00004E0B0000}"/>
    <cellStyle name="스타일 182" xfId="2891" xr:uid="{00000000-0005-0000-0000-00004F0B0000}"/>
    <cellStyle name="스타일 183" xfId="2892" xr:uid="{00000000-0005-0000-0000-0000500B0000}"/>
    <cellStyle name="스타일 184" xfId="2893" xr:uid="{00000000-0005-0000-0000-0000510B0000}"/>
    <cellStyle name="스타일 185" xfId="2894" xr:uid="{00000000-0005-0000-0000-0000520B0000}"/>
    <cellStyle name="스타일 186" xfId="2895" xr:uid="{00000000-0005-0000-0000-0000530B0000}"/>
    <cellStyle name="스타일 187" xfId="2896" xr:uid="{00000000-0005-0000-0000-0000540B0000}"/>
    <cellStyle name="스타일 188" xfId="2897" xr:uid="{00000000-0005-0000-0000-0000550B0000}"/>
    <cellStyle name="스타일 189" xfId="2898" xr:uid="{00000000-0005-0000-0000-0000560B0000}"/>
    <cellStyle name="스타일 19" xfId="2899" xr:uid="{00000000-0005-0000-0000-0000570B0000}"/>
    <cellStyle name="스타일 190" xfId="2900" xr:uid="{00000000-0005-0000-0000-0000580B0000}"/>
    <cellStyle name="스타일 191" xfId="2901" xr:uid="{00000000-0005-0000-0000-0000590B0000}"/>
    <cellStyle name="스타일 192" xfId="2902" xr:uid="{00000000-0005-0000-0000-00005A0B0000}"/>
    <cellStyle name="스타일 193" xfId="2903" xr:uid="{00000000-0005-0000-0000-00005B0B0000}"/>
    <cellStyle name="스타일 194" xfId="2904" xr:uid="{00000000-0005-0000-0000-00005C0B0000}"/>
    <cellStyle name="스타일 195" xfId="2905" xr:uid="{00000000-0005-0000-0000-00005D0B0000}"/>
    <cellStyle name="스타일 196" xfId="2906" xr:uid="{00000000-0005-0000-0000-00005E0B0000}"/>
    <cellStyle name="스타일 197" xfId="2907" xr:uid="{00000000-0005-0000-0000-00005F0B0000}"/>
    <cellStyle name="스타일 198" xfId="2908" xr:uid="{00000000-0005-0000-0000-0000600B0000}"/>
    <cellStyle name="스타일 199" xfId="2909" xr:uid="{00000000-0005-0000-0000-0000610B0000}"/>
    <cellStyle name="스타일 2" xfId="2910" xr:uid="{00000000-0005-0000-0000-0000620B0000}"/>
    <cellStyle name="스타일 20" xfId="2911" xr:uid="{00000000-0005-0000-0000-0000630B0000}"/>
    <cellStyle name="스타일 200" xfId="2912" xr:uid="{00000000-0005-0000-0000-0000640B0000}"/>
    <cellStyle name="스타일 201" xfId="2913" xr:uid="{00000000-0005-0000-0000-0000650B0000}"/>
    <cellStyle name="스타일 202" xfId="2914" xr:uid="{00000000-0005-0000-0000-0000660B0000}"/>
    <cellStyle name="스타일 203" xfId="2915" xr:uid="{00000000-0005-0000-0000-0000670B0000}"/>
    <cellStyle name="스타일 204" xfId="2916" xr:uid="{00000000-0005-0000-0000-0000680B0000}"/>
    <cellStyle name="스타일 205" xfId="2917" xr:uid="{00000000-0005-0000-0000-0000690B0000}"/>
    <cellStyle name="스타일 206" xfId="2918" xr:uid="{00000000-0005-0000-0000-00006A0B0000}"/>
    <cellStyle name="스타일 207" xfId="2919" xr:uid="{00000000-0005-0000-0000-00006B0B0000}"/>
    <cellStyle name="스타일 208" xfId="2920" xr:uid="{00000000-0005-0000-0000-00006C0B0000}"/>
    <cellStyle name="스타일 209" xfId="2921" xr:uid="{00000000-0005-0000-0000-00006D0B0000}"/>
    <cellStyle name="스타일 21" xfId="2922" xr:uid="{00000000-0005-0000-0000-00006E0B0000}"/>
    <cellStyle name="스타일 210" xfId="2923" xr:uid="{00000000-0005-0000-0000-00006F0B0000}"/>
    <cellStyle name="스타일 211" xfId="2924" xr:uid="{00000000-0005-0000-0000-0000700B0000}"/>
    <cellStyle name="스타일 212" xfId="2925" xr:uid="{00000000-0005-0000-0000-0000710B0000}"/>
    <cellStyle name="스타일 213" xfId="2926" xr:uid="{00000000-0005-0000-0000-0000720B0000}"/>
    <cellStyle name="스타일 214" xfId="2927" xr:uid="{00000000-0005-0000-0000-0000730B0000}"/>
    <cellStyle name="스타일 215" xfId="2928" xr:uid="{00000000-0005-0000-0000-0000740B0000}"/>
    <cellStyle name="스타일 216" xfId="2929" xr:uid="{00000000-0005-0000-0000-0000750B0000}"/>
    <cellStyle name="스타일 217" xfId="2930" xr:uid="{00000000-0005-0000-0000-0000760B0000}"/>
    <cellStyle name="스타일 218" xfId="2931" xr:uid="{00000000-0005-0000-0000-0000770B0000}"/>
    <cellStyle name="스타일 219" xfId="2932" xr:uid="{00000000-0005-0000-0000-0000780B0000}"/>
    <cellStyle name="스타일 22" xfId="2933" xr:uid="{00000000-0005-0000-0000-0000790B0000}"/>
    <cellStyle name="스타일 220" xfId="2934" xr:uid="{00000000-0005-0000-0000-00007A0B0000}"/>
    <cellStyle name="스타일 221" xfId="2935" xr:uid="{00000000-0005-0000-0000-00007B0B0000}"/>
    <cellStyle name="스타일 222" xfId="2936" xr:uid="{00000000-0005-0000-0000-00007C0B0000}"/>
    <cellStyle name="스타일 223" xfId="2937" xr:uid="{00000000-0005-0000-0000-00007D0B0000}"/>
    <cellStyle name="스타일 224" xfId="2938" xr:uid="{00000000-0005-0000-0000-00007E0B0000}"/>
    <cellStyle name="스타일 225" xfId="2939" xr:uid="{00000000-0005-0000-0000-00007F0B0000}"/>
    <cellStyle name="스타일 226" xfId="2940" xr:uid="{00000000-0005-0000-0000-0000800B0000}"/>
    <cellStyle name="스타일 227" xfId="2941" xr:uid="{00000000-0005-0000-0000-0000810B0000}"/>
    <cellStyle name="스타일 228" xfId="2942" xr:uid="{00000000-0005-0000-0000-0000820B0000}"/>
    <cellStyle name="스타일 229" xfId="2943" xr:uid="{00000000-0005-0000-0000-0000830B0000}"/>
    <cellStyle name="스타일 23" xfId="2944" xr:uid="{00000000-0005-0000-0000-0000840B0000}"/>
    <cellStyle name="스타일 230" xfId="2945" xr:uid="{00000000-0005-0000-0000-0000850B0000}"/>
    <cellStyle name="스타일 231" xfId="2946" xr:uid="{00000000-0005-0000-0000-0000860B0000}"/>
    <cellStyle name="스타일 232" xfId="2947" xr:uid="{00000000-0005-0000-0000-0000870B0000}"/>
    <cellStyle name="스타일 233" xfId="2948" xr:uid="{00000000-0005-0000-0000-0000880B0000}"/>
    <cellStyle name="스타일 234" xfId="2949" xr:uid="{00000000-0005-0000-0000-0000890B0000}"/>
    <cellStyle name="스타일 235" xfId="2950" xr:uid="{00000000-0005-0000-0000-00008A0B0000}"/>
    <cellStyle name="스타일 236" xfId="2951" xr:uid="{00000000-0005-0000-0000-00008B0B0000}"/>
    <cellStyle name="스타일 237" xfId="2952" xr:uid="{00000000-0005-0000-0000-00008C0B0000}"/>
    <cellStyle name="스타일 238" xfId="2953" xr:uid="{00000000-0005-0000-0000-00008D0B0000}"/>
    <cellStyle name="스타일 239" xfId="2954" xr:uid="{00000000-0005-0000-0000-00008E0B0000}"/>
    <cellStyle name="스타일 24" xfId="2955" xr:uid="{00000000-0005-0000-0000-00008F0B0000}"/>
    <cellStyle name="스타일 240" xfId="2956" xr:uid="{00000000-0005-0000-0000-0000900B0000}"/>
    <cellStyle name="스타일 241" xfId="2957" xr:uid="{00000000-0005-0000-0000-0000910B0000}"/>
    <cellStyle name="스타일 242" xfId="2958" xr:uid="{00000000-0005-0000-0000-0000920B0000}"/>
    <cellStyle name="스타일 243" xfId="2959" xr:uid="{00000000-0005-0000-0000-0000930B0000}"/>
    <cellStyle name="스타일 244" xfId="2960" xr:uid="{00000000-0005-0000-0000-0000940B0000}"/>
    <cellStyle name="스타일 245" xfId="2961" xr:uid="{00000000-0005-0000-0000-0000950B0000}"/>
    <cellStyle name="스타일 246" xfId="2962" xr:uid="{00000000-0005-0000-0000-0000960B0000}"/>
    <cellStyle name="스타일 247" xfId="2963" xr:uid="{00000000-0005-0000-0000-0000970B0000}"/>
    <cellStyle name="스타일 248" xfId="2964" xr:uid="{00000000-0005-0000-0000-0000980B0000}"/>
    <cellStyle name="스타일 249" xfId="2965" xr:uid="{00000000-0005-0000-0000-0000990B0000}"/>
    <cellStyle name="스타일 25" xfId="2966" xr:uid="{00000000-0005-0000-0000-00009A0B0000}"/>
    <cellStyle name="스타일 250" xfId="2967" xr:uid="{00000000-0005-0000-0000-00009B0B0000}"/>
    <cellStyle name="스타일 251" xfId="2968" xr:uid="{00000000-0005-0000-0000-00009C0B0000}"/>
    <cellStyle name="스타일 252" xfId="2969" xr:uid="{00000000-0005-0000-0000-00009D0B0000}"/>
    <cellStyle name="스타일 253" xfId="2970" xr:uid="{00000000-0005-0000-0000-00009E0B0000}"/>
    <cellStyle name="스타일 254" xfId="2971" xr:uid="{00000000-0005-0000-0000-00009F0B0000}"/>
    <cellStyle name="스타일 255" xfId="2972" xr:uid="{00000000-0005-0000-0000-0000A00B0000}"/>
    <cellStyle name="스타일 26" xfId="2973" xr:uid="{00000000-0005-0000-0000-0000A10B0000}"/>
    <cellStyle name="스타일 27" xfId="2974" xr:uid="{00000000-0005-0000-0000-0000A20B0000}"/>
    <cellStyle name="스타일 28" xfId="2975" xr:uid="{00000000-0005-0000-0000-0000A30B0000}"/>
    <cellStyle name="스타일 29" xfId="2976" xr:uid="{00000000-0005-0000-0000-0000A40B0000}"/>
    <cellStyle name="스타일 3" xfId="2977" xr:uid="{00000000-0005-0000-0000-0000A50B0000}"/>
    <cellStyle name="스타일 30" xfId="2978" xr:uid="{00000000-0005-0000-0000-0000A60B0000}"/>
    <cellStyle name="스타일 31" xfId="2979" xr:uid="{00000000-0005-0000-0000-0000A70B0000}"/>
    <cellStyle name="스타일 32" xfId="2980" xr:uid="{00000000-0005-0000-0000-0000A80B0000}"/>
    <cellStyle name="스타일 33" xfId="2981" xr:uid="{00000000-0005-0000-0000-0000A90B0000}"/>
    <cellStyle name="스타일 34" xfId="2982" xr:uid="{00000000-0005-0000-0000-0000AA0B0000}"/>
    <cellStyle name="스타일 35" xfId="2983" xr:uid="{00000000-0005-0000-0000-0000AB0B0000}"/>
    <cellStyle name="스타일 36" xfId="2984" xr:uid="{00000000-0005-0000-0000-0000AC0B0000}"/>
    <cellStyle name="스타일 37" xfId="2985" xr:uid="{00000000-0005-0000-0000-0000AD0B0000}"/>
    <cellStyle name="스타일 38" xfId="2986" xr:uid="{00000000-0005-0000-0000-0000AE0B0000}"/>
    <cellStyle name="스타일 39" xfId="2987" xr:uid="{00000000-0005-0000-0000-0000AF0B0000}"/>
    <cellStyle name="스타일 4" xfId="2988" xr:uid="{00000000-0005-0000-0000-0000B00B0000}"/>
    <cellStyle name="스타일 40" xfId="2989" xr:uid="{00000000-0005-0000-0000-0000B10B0000}"/>
    <cellStyle name="스타일 41" xfId="2990" xr:uid="{00000000-0005-0000-0000-0000B20B0000}"/>
    <cellStyle name="스타일 42" xfId="2991" xr:uid="{00000000-0005-0000-0000-0000B30B0000}"/>
    <cellStyle name="스타일 43" xfId="2992" xr:uid="{00000000-0005-0000-0000-0000B40B0000}"/>
    <cellStyle name="스타일 44" xfId="2993" xr:uid="{00000000-0005-0000-0000-0000B50B0000}"/>
    <cellStyle name="스타일 45" xfId="2994" xr:uid="{00000000-0005-0000-0000-0000B60B0000}"/>
    <cellStyle name="스타일 46" xfId="2995" xr:uid="{00000000-0005-0000-0000-0000B70B0000}"/>
    <cellStyle name="스타일 47" xfId="2996" xr:uid="{00000000-0005-0000-0000-0000B80B0000}"/>
    <cellStyle name="스타일 48" xfId="2997" xr:uid="{00000000-0005-0000-0000-0000B90B0000}"/>
    <cellStyle name="스타일 49" xfId="2998" xr:uid="{00000000-0005-0000-0000-0000BA0B0000}"/>
    <cellStyle name="스타일 5" xfId="2999" xr:uid="{00000000-0005-0000-0000-0000BB0B0000}"/>
    <cellStyle name="스타일 50" xfId="3000" xr:uid="{00000000-0005-0000-0000-0000BC0B0000}"/>
    <cellStyle name="스타일 51" xfId="3001" xr:uid="{00000000-0005-0000-0000-0000BD0B0000}"/>
    <cellStyle name="스타일 52" xfId="3002" xr:uid="{00000000-0005-0000-0000-0000BE0B0000}"/>
    <cellStyle name="스타일 53" xfId="3003" xr:uid="{00000000-0005-0000-0000-0000BF0B0000}"/>
    <cellStyle name="스타일 54" xfId="3004" xr:uid="{00000000-0005-0000-0000-0000C00B0000}"/>
    <cellStyle name="스타일 55" xfId="3005" xr:uid="{00000000-0005-0000-0000-0000C10B0000}"/>
    <cellStyle name="스타일 56" xfId="3006" xr:uid="{00000000-0005-0000-0000-0000C20B0000}"/>
    <cellStyle name="스타일 57" xfId="3007" xr:uid="{00000000-0005-0000-0000-0000C30B0000}"/>
    <cellStyle name="스타일 58" xfId="3008" xr:uid="{00000000-0005-0000-0000-0000C40B0000}"/>
    <cellStyle name="스타일 59" xfId="3009" xr:uid="{00000000-0005-0000-0000-0000C50B0000}"/>
    <cellStyle name="스타일 6" xfId="3010" xr:uid="{00000000-0005-0000-0000-0000C60B0000}"/>
    <cellStyle name="스타일 60" xfId="3011" xr:uid="{00000000-0005-0000-0000-0000C70B0000}"/>
    <cellStyle name="스타일 61" xfId="3012" xr:uid="{00000000-0005-0000-0000-0000C80B0000}"/>
    <cellStyle name="스타일 62" xfId="3013" xr:uid="{00000000-0005-0000-0000-0000C90B0000}"/>
    <cellStyle name="스타일 63" xfId="3014" xr:uid="{00000000-0005-0000-0000-0000CA0B0000}"/>
    <cellStyle name="스타일 64" xfId="3015" xr:uid="{00000000-0005-0000-0000-0000CB0B0000}"/>
    <cellStyle name="스타일 65" xfId="3016" xr:uid="{00000000-0005-0000-0000-0000CC0B0000}"/>
    <cellStyle name="스타일 66" xfId="3017" xr:uid="{00000000-0005-0000-0000-0000CD0B0000}"/>
    <cellStyle name="스타일 67" xfId="3018" xr:uid="{00000000-0005-0000-0000-0000CE0B0000}"/>
    <cellStyle name="스타일 68" xfId="3019" xr:uid="{00000000-0005-0000-0000-0000CF0B0000}"/>
    <cellStyle name="스타일 69" xfId="3020" xr:uid="{00000000-0005-0000-0000-0000D00B0000}"/>
    <cellStyle name="스타일 7" xfId="3021" xr:uid="{00000000-0005-0000-0000-0000D10B0000}"/>
    <cellStyle name="스타일 70" xfId="3022" xr:uid="{00000000-0005-0000-0000-0000D20B0000}"/>
    <cellStyle name="스타일 71" xfId="3023" xr:uid="{00000000-0005-0000-0000-0000D30B0000}"/>
    <cellStyle name="스타일 72" xfId="3024" xr:uid="{00000000-0005-0000-0000-0000D40B0000}"/>
    <cellStyle name="스타일 73" xfId="3025" xr:uid="{00000000-0005-0000-0000-0000D50B0000}"/>
    <cellStyle name="스타일 74" xfId="3026" xr:uid="{00000000-0005-0000-0000-0000D60B0000}"/>
    <cellStyle name="스타일 75" xfId="3027" xr:uid="{00000000-0005-0000-0000-0000D70B0000}"/>
    <cellStyle name="스타일 76" xfId="3028" xr:uid="{00000000-0005-0000-0000-0000D80B0000}"/>
    <cellStyle name="스타일 77" xfId="3029" xr:uid="{00000000-0005-0000-0000-0000D90B0000}"/>
    <cellStyle name="스타일 78" xfId="3030" xr:uid="{00000000-0005-0000-0000-0000DA0B0000}"/>
    <cellStyle name="스타일 79" xfId="3031" xr:uid="{00000000-0005-0000-0000-0000DB0B0000}"/>
    <cellStyle name="스타일 8" xfId="3032" xr:uid="{00000000-0005-0000-0000-0000DC0B0000}"/>
    <cellStyle name="스타일 80" xfId="3033" xr:uid="{00000000-0005-0000-0000-0000DD0B0000}"/>
    <cellStyle name="스타일 81" xfId="3034" xr:uid="{00000000-0005-0000-0000-0000DE0B0000}"/>
    <cellStyle name="스타일 82" xfId="3035" xr:uid="{00000000-0005-0000-0000-0000DF0B0000}"/>
    <cellStyle name="스타일 83" xfId="3036" xr:uid="{00000000-0005-0000-0000-0000E00B0000}"/>
    <cellStyle name="스타일 84" xfId="3037" xr:uid="{00000000-0005-0000-0000-0000E10B0000}"/>
    <cellStyle name="스타일 85" xfId="3038" xr:uid="{00000000-0005-0000-0000-0000E20B0000}"/>
    <cellStyle name="스타일 86" xfId="3039" xr:uid="{00000000-0005-0000-0000-0000E30B0000}"/>
    <cellStyle name="스타일 87" xfId="3040" xr:uid="{00000000-0005-0000-0000-0000E40B0000}"/>
    <cellStyle name="스타일 88" xfId="3041" xr:uid="{00000000-0005-0000-0000-0000E50B0000}"/>
    <cellStyle name="스타일 89" xfId="3042" xr:uid="{00000000-0005-0000-0000-0000E60B0000}"/>
    <cellStyle name="스타일 9" xfId="3043" xr:uid="{00000000-0005-0000-0000-0000E70B0000}"/>
    <cellStyle name="스타일 90" xfId="3044" xr:uid="{00000000-0005-0000-0000-0000E80B0000}"/>
    <cellStyle name="스타일 91" xfId="3045" xr:uid="{00000000-0005-0000-0000-0000E90B0000}"/>
    <cellStyle name="스타일 92" xfId="3046" xr:uid="{00000000-0005-0000-0000-0000EA0B0000}"/>
    <cellStyle name="스타일 93" xfId="3047" xr:uid="{00000000-0005-0000-0000-0000EB0B0000}"/>
    <cellStyle name="스타일 94" xfId="3048" xr:uid="{00000000-0005-0000-0000-0000EC0B0000}"/>
    <cellStyle name="스타일 95" xfId="3049" xr:uid="{00000000-0005-0000-0000-0000ED0B0000}"/>
    <cellStyle name="스타일 96" xfId="3050" xr:uid="{00000000-0005-0000-0000-0000EE0B0000}"/>
    <cellStyle name="스타일 97" xfId="3051" xr:uid="{00000000-0005-0000-0000-0000EF0B0000}"/>
    <cellStyle name="스타일 98" xfId="3052" xr:uid="{00000000-0005-0000-0000-0000F00B0000}"/>
    <cellStyle name="스타일 99" xfId="3053" xr:uid="{00000000-0005-0000-0000-0000F10B0000}"/>
    <cellStyle name="안건회계법인" xfId="3054" xr:uid="{00000000-0005-0000-0000-0000F20B0000}"/>
    <cellStyle name="왼쪽2" xfId="3055" xr:uid="{00000000-0005-0000-0000-0000F30B0000}"/>
    <cellStyle name="원" xfId="3056" xr:uid="{00000000-0005-0000-0000-0000F40B0000}"/>
    <cellStyle name="유1" xfId="3057" xr:uid="{00000000-0005-0000-0000-0000F50B0000}"/>
    <cellStyle name="유영" xfId="3058" xr:uid="{00000000-0005-0000-0000-0000F60B0000}"/>
    <cellStyle name="자리수" xfId="3059" xr:uid="{00000000-0005-0000-0000-0000F70B0000}"/>
    <cellStyle name="자리수 - 유형1" xfId="3060" xr:uid="{00000000-0005-0000-0000-0000F80B0000}"/>
    <cellStyle name="자리수_~MGaE" xfId="3061" xr:uid="{00000000-0005-0000-0000-0000F90B0000}"/>
    <cellStyle name="자리수0" xfId="3062" xr:uid="{00000000-0005-0000-0000-0000FA0B0000}"/>
    <cellStyle name="정기수 - 유형1" xfId="3063" xr:uid="{00000000-0005-0000-0000-0000FB0B0000}"/>
    <cellStyle name="제목 1(左)" xfId="3064" xr:uid="{00000000-0005-0000-0000-0000FC0B0000}"/>
    <cellStyle name="제목 1(中)" xfId="3065" xr:uid="{00000000-0005-0000-0000-0000FD0B0000}"/>
    <cellStyle name="제목[1 줄]" xfId="3066" xr:uid="{00000000-0005-0000-0000-0000FE0B0000}"/>
    <cellStyle name="제목[2줄 아래]" xfId="3067" xr:uid="{00000000-0005-0000-0000-0000FF0B0000}"/>
    <cellStyle name="제목[2줄 위]" xfId="3068" xr:uid="{00000000-0005-0000-0000-0000000C0000}"/>
    <cellStyle name="제목1" xfId="3069" xr:uid="{00000000-0005-0000-0000-0000010C0000}"/>
    <cellStyle name="제목2" xfId="3070" xr:uid="{00000000-0005-0000-0000-0000020C0000}"/>
    <cellStyle name="좋음 2" xfId="3071" xr:uid="{00000000-0005-0000-0000-0000030C0000}"/>
    <cellStyle name="지정되지 않음" xfId="3072" xr:uid="{00000000-0005-0000-0000-0000040C0000}"/>
    <cellStyle name="콤" xfId="3073" xr:uid="{00000000-0005-0000-0000-0000050C0000}"/>
    <cellStyle name="콤마 [" xfId="3074" xr:uid="{00000000-0005-0000-0000-0000060C0000}"/>
    <cellStyle name="콤마 []" xfId="3076" xr:uid="{00000000-0005-0000-0000-0000080C0000}"/>
    <cellStyle name="콤마 [#]" xfId="3075" xr:uid="{00000000-0005-0000-0000-0000070C0000}"/>
    <cellStyle name="콤마 [0]" xfId="3077" xr:uid="{00000000-0005-0000-0000-0000090C0000}"/>
    <cellStyle name="콤마 [1]" xfId="3078" xr:uid="{00000000-0005-0000-0000-00000A0C0000}"/>
    <cellStyle name="콤마 [2]" xfId="3079" xr:uid="{00000000-0005-0000-0000-00000B0C0000}"/>
    <cellStyle name="콤마 [금액]" xfId="3080" xr:uid="{00000000-0005-0000-0000-00000C0C0000}"/>
    <cellStyle name="콤마 [소수]" xfId="3081" xr:uid="{00000000-0005-0000-0000-00000D0C0000}"/>
    <cellStyle name="콤마 [수량]" xfId="3082" xr:uid="{00000000-0005-0000-0000-00000E0C0000}"/>
    <cellStyle name="콤마 1" xfId="3083" xr:uid="{00000000-0005-0000-0000-00000F0C0000}"/>
    <cellStyle name="콤마_  종  합  " xfId="3089" xr:uid="{00000000-0005-0000-0000-0000150C0000}"/>
    <cellStyle name="콤마[ ]" xfId="3084" xr:uid="{00000000-0005-0000-0000-0000100C0000}"/>
    <cellStyle name="콤마[,]" xfId="3086" xr:uid="{00000000-0005-0000-0000-0000120C0000}"/>
    <cellStyle name="콤마[.]" xfId="3087" xr:uid="{00000000-0005-0000-0000-0000130C0000}"/>
    <cellStyle name="콤마[*]" xfId="3085" xr:uid="{00000000-0005-0000-0000-0000110C0000}"/>
    <cellStyle name="콤마[0]" xfId="3088" xr:uid="{00000000-0005-0000-0000-0000140C0000}"/>
    <cellStyle name="통" xfId="3090" xr:uid="{00000000-0005-0000-0000-0000160C0000}"/>
    <cellStyle name="통화 [" xfId="3091" xr:uid="{00000000-0005-0000-0000-0000170C0000}"/>
    <cellStyle name="통화 [0㉝〸" xfId="3092" xr:uid="{00000000-0005-0000-0000-0000180C0000}"/>
    <cellStyle name="퍼센트" xfId="3093" xr:uid="{00000000-0005-0000-0000-0000190C0000}"/>
    <cellStyle name="표" xfId="3094" xr:uid="{00000000-0005-0000-0000-00001A0C0000}"/>
    <cellStyle name="표(가는선,가운데,중앙)" xfId="3095" xr:uid="{00000000-0005-0000-0000-00001B0C0000}"/>
    <cellStyle name="표(가는선,왼쪽,중앙)" xfId="3096" xr:uid="{00000000-0005-0000-0000-00001C0C0000}"/>
    <cellStyle name="표(세로쓰기)" xfId="3097" xr:uid="{00000000-0005-0000-0000-00001D0C0000}"/>
    <cellStyle name="표머릿글(上)" xfId="3098" xr:uid="{00000000-0005-0000-0000-00001E0C0000}"/>
    <cellStyle name="표머릿글(中)" xfId="3099" xr:uid="{00000000-0005-0000-0000-00001F0C0000}"/>
    <cellStyle name="표머릿글(下)" xfId="3100" xr:uid="{00000000-0005-0000-0000-0000200C0000}"/>
    <cellStyle name="표준" xfId="0" builtinId="0"/>
    <cellStyle name="표준 2" xfId="3101" xr:uid="{00000000-0005-0000-0000-0000220C0000}"/>
    <cellStyle name="표준 2 2" xfId="3102" xr:uid="{00000000-0005-0000-0000-0000230C0000}"/>
    <cellStyle name="표준 3" xfId="3103" xr:uid="{00000000-0005-0000-0000-0000240C0000}"/>
    <cellStyle name="표준 4" xfId="3104" xr:uid="{00000000-0005-0000-0000-0000250C0000}"/>
    <cellStyle name="표준 5" xfId="3105" xr:uid="{00000000-0005-0000-0000-0000260C0000}"/>
    <cellStyle name="표준 6" xfId="3113" xr:uid="{00000000-0005-0000-0000-0000270C0000}"/>
    <cellStyle name="標準_Akia(F）-8" xfId="3106" xr:uid="{00000000-0005-0000-0000-0000280C0000}"/>
    <cellStyle name="표준℘Sheet8 (3)" xfId="3109" xr:uid="{00000000-0005-0000-0000-00002B0C0000}"/>
    <cellStyle name="표준1" xfId="3107" xr:uid="{00000000-0005-0000-0000-0000290C0000}"/>
    <cellStyle name="표준2" xfId="3108" xr:uid="{00000000-0005-0000-0000-00002A0C0000}"/>
    <cellStyle name="합산" xfId="3110" xr:uid="{00000000-0005-0000-0000-00002C0C0000}"/>
    <cellStyle name="화폐기호" xfId="3111" xr:uid="{00000000-0005-0000-0000-00002D0C0000}"/>
    <cellStyle name="화폐기호0" xfId="3112" xr:uid="{00000000-0005-0000-0000-00002E0C0000}"/>
    <cellStyle name="A¨­￠￢￠O [0]_AO¨uRCN¡¾U " xfId="2639" xr:uid="{00000000-0005-0000-0000-00004E0A0000}"/>
    <cellStyle name="A¨­￠￢￠O_AO¨uRCN¡¾U " xfId="2640" xr:uid="{00000000-0005-0000-0000-00004F0A0000}"/>
    <cellStyle name="AeE­ [0]_ 2ÆAAþº° " xfId="2641" xr:uid="{00000000-0005-0000-0000-0000500A0000}"/>
    <cellStyle name="ÅëÈ­ [0]_¸ðÇü¸·" xfId="2642" xr:uid="{00000000-0005-0000-0000-0000510A0000}"/>
    <cellStyle name="AeE­ [0]_95³aAN°y¼o·R " xfId="2643" xr:uid="{00000000-0005-0000-0000-0000520A0000}"/>
    <cellStyle name="ÅëÈ­ [0]_Á¤»ê¼­°©Áö" xfId="2644" xr:uid="{00000000-0005-0000-0000-0000530A0000}"/>
    <cellStyle name="AeE­ [0]_A¾CO½A¼³ " xfId="2645" xr:uid="{00000000-0005-0000-0000-0000540A0000}"/>
    <cellStyle name="AeE­_ 2ÆAAþº° " xfId="2646" xr:uid="{00000000-0005-0000-0000-0000550A0000}"/>
    <cellStyle name="ÅëÈ­_¸ðÇü¸·" xfId="2647" xr:uid="{00000000-0005-0000-0000-0000560A0000}"/>
    <cellStyle name="AeE­_95³aAN°y¼o·R " xfId="2648" xr:uid="{00000000-0005-0000-0000-0000570A0000}"/>
    <cellStyle name="ÅëÈ­_Á¤»ê¼­°©Áö" xfId="2649" xr:uid="{00000000-0005-0000-0000-0000580A0000}"/>
    <cellStyle name="AeE­_A¾CO½A¼³ " xfId="2650" xr:uid="{00000000-0005-0000-0000-0000590A0000}"/>
    <cellStyle name="AeE¡ⓒ [0]_AO¨uRCN¡¾U " xfId="2651" xr:uid="{00000000-0005-0000-0000-00005A0A0000}"/>
    <cellStyle name="AeE¡ⓒ_AO¨uRCN¡¾U " xfId="2652" xr:uid="{00000000-0005-0000-0000-00005B0A0000}"/>
    <cellStyle name="ALIGNMENT" xfId="2653" xr:uid="{00000000-0005-0000-0000-00005C0A0000}"/>
    <cellStyle name="args.style" xfId="2654" xr:uid="{00000000-0005-0000-0000-00005D0A0000}"/>
    <cellStyle name="AÞ¸¶ [0]_ 2ÆAAþº° " xfId="2655" xr:uid="{00000000-0005-0000-0000-00005E0A0000}"/>
    <cellStyle name="ÄÞ¸¶ [0]_¸ðÇü¸·" xfId="2656" xr:uid="{00000000-0005-0000-0000-00005F0A0000}"/>
    <cellStyle name="AÞ¸¶ [0]_95³aAN°y¼o·R " xfId="2657" xr:uid="{00000000-0005-0000-0000-0000600A0000}"/>
    <cellStyle name="ÄÞ¸¶ [0]_Á¤»ê¼­°©Áö" xfId="2658" xr:uid="{00000000-0005-0000-0000-0000610A0000}"/>
    <cellStyle name="AÞ¸¶ [0]_A¾CO½A¼³ " xfId="2659" xr:uid="{00000000-0005-0000-0000-0000620A0000}"/>
    <cellStyle name="AÞ¸¶_ 2ÆAAþº° " xfId="2660" xr:uid="{00000000-0005-0000-0000-0000630A0000}"/>
    <cellStyle name="ÄÞ¸¶_¸ðÇü¸·" xfId="2661" xr:uid="{00000000-0005-0000-0000-0000640A0000}"/>
    <cellStyle name="AÞ¸¶_95³aAN°y¼o·R " xfId="2662" xr:uid="{00000000-0005-0000-0000-0000650A0000}"/>
    <cellStyle name="ÄÞ¸¶_Á¤»ê¼­°©Áö" xfId="2663" xr:uid="{00000000-0005-0000-0000-0000660A0000}"/>
    <cellStyle name="AÞ¸¶_A¾CO½A¼³ " xfId="2664" xr:uid="{00000000-0005-0000-0000-0000670A0000}"/>
    <cellStyle name="C¡IA¨ª_¡ic¨u¡A¨￢I¨￢¡Æ AN¡Æe " xfId="2665" xr:uid="{00000000-0005-0000-0000-0000680A0000}"/>
    <cellStyle name="C￥AØ_ °u¸R½CCa1" xfId="2666" xr:uid="{00000000-0005-0000-0000-0000690A0000}"/>
    <cellStyle name="Ç¥ÁØ_»óºÎ¼ö·®Áý°è " xfId="2667" xr:uid="{00000000-0005-0000-0000-00006A0A0000}"/>
    <cellStyle name="C￥AØ_°­´c (2)" xfId="2668" xr:uid="{00000000-0005-0000-0000-00006B0A0000}"/>
    <cellStyle name="Ç¥ÁØ_°­´ç (2)" xfId="2669" xr:uid="{00000000-0005-0000-0000-00006C0A0000}"/>
    <cellStyle name="C￥AØ_¼³°e¿e¿ª" xfId="2670" xr:uid="{00000000-0005-0000-0000-00006D0A0000}"/>
    <cellStyle name="Ç¥ÁØ_¼öÀÍ¼º " xfId="2671" xr:uid="{00000000-0005-0000-0000-00006E0A0000}"/>
    <cellStyle name="C￥AØ_95³aAN°y¼o·R " xfId="2672" xr:uid="{00000000-0005-0000-0000-00006F0A0000}"/>
    <cellStyle name="Calc Currency (0)" xfId="2673" xr:uid="{00000000-0005-0000-0000-0000700A0000}"/>
    <cellStyle name="category" xfId="2674" xr:uid="{00000000-0005-0000-0000-0000710A0000}"/>
    <cellStyle name="CIAIÆU¸μAⓒ" xfId="2675" xr:uid="{00000000-0005-0000-0000-0000720A0000}"/>
    <cellStyle name="Comma [0] 2" xfId="3115" xr:uid="{00000000-0005-0000-0000-0000730A0000}"/>
    <cellStyle name="comma zerodec" xfId="2676" xr:uid="{00000000-0005-0000-0000-0000740A0000}"/>
    <cellStyle name="Comma0" xfId="2677" xr:uid="{00000000-0005-0000-0000-0000750A0000}"/>
    <cellStyle name="Copied" xfId="2678" xr:uid="{00000000-0005-0000-0000-0000760A0000}"/>
    <cellStyle name="COST1" xfId="2679" xr:uid="{00000000-0005-0000-0000-0000770A0000}"/>
    <cellStyle name="Curre~cy [0]_MATERAL2" xfId="2680" xr:uid="{00000000-0005-0000-0000-0000780A0000}"/>
    <cellStyle name="Curren?_x0012_퐀_x0017_?" xfId="2681" xr:uid="{00000000-0005-0000-0000-0000790A0000}"/>
    <cellStyle name="Currency [0] 2" xfId="3116" xr:uid="{00000000-0005-0000-0000-00007A0A0000}"/>
    <cellStyle name="Currency [0]͢laroux_1" xfId="2682" xr:uid="{00000000-0005-0000-0000-00007B0A0000}"/>
    <cellStyle name="currency-$" xfId="2683" xr:uid="{00000000-0005-0000-0000-00007C0A0000}"/>
    <cellStyle name="Currency0" xfId="2684" xr:uid="{00000000-0005-0000-0000-00007D0A0000}"/>
    <cellStyle name="Currency1" xfId="2685" xr:uid="{00000000-0005-0000-0000-00007E0A0000}"/>
    <cellStyle name="Date" xfId="2686" xr:uid="{00000000-0005-0000-0000-00007F0A0000}"/>
    <cellStyle name="Dezimal [0]_laroux" xfId="2687" xr:uid="{00000000-0005-0000-0000-0000800A0000}"/>
    <cellStyle name="Dezimal_laroux" xfId="2688" xr:uid="{00000000-0005-0000-0000-0000810A0000}"/>
    <cellStyle name="Dollar (zero dec)" xfId="2689" xr:uid="{00000000-0005-0000-0000-0000820A0000}"/>
    <cellStyle name="EA" xfId="2690" xr:uid="{00000000-0005-0000-0000-0000830A0000}"/>
    <cellStyle name="Entered" xfId="2691" xr:uid="{00000000-0005-0000-0000-0000840A0000}"/>
    <cellStyle name="ÊÝ [0.00]_Region Orders (2)" xfId="1101" xr:uid="{00000000-0005-0000-0000-00004C040000}"/>
    <cellStyle name="ÊÝ_Region Orders (2)" xfId="1102" xr:uid="{00000000-0005-0000-0000-00004D040000}"/>
    <cellStyle name="F2" xfId="2692" xr:uid="{00000000-0005-0000-0000-0000850A0000}"/>
    <cellStyle name="F3" xfId="2693" xr:uid="{00000000-0005-0000-0000-0000860A0000}"/>
    <cellStyle name="F4" xfId="2694" xr:uid="{00000000-0005-0000-0000-0000870A0000}"/>
    <cellStyle name="F5" xfId="2695" xr:uid="{00000000-0005-0000-0000-0000880A0000}"/>
    <cellStyle name="F6" xfId="2696" xr:uid="{00000000-0005-0000-0000-0000890A0000}"/>
    <cellStyle name="F7" xfId="2697" xr:uid="{00000000-0005-0000-0000-00008A0A0000}"/>
    <cellStyle name="F8" xfId="2698" xr:uid="{00000000-0005-0000-0000-00008B0A0000}"/>
    <cellStyle name="Fixed" xfId="2699" xr:uid="{00000000-0005-0000-0000-00008C0A0000}"/>
    <cellStyle name="Grey" xfId="2700" xr:uid="{00000000-0005-0000-0000-00008D0A0000}"/>
    <cellStyle name="H1" xfId="2701" xr:uid="{00000000-0005-0000-0000-00008E0A0000}"/>
    <cellStyle name="H2" xfId="2702" xr:uid="{00000000-0005-0000-0000-00008F0A0000}"/>
    <cellStyle name="HEADER" xfId="2703" xr:uid="{00000000-0005-0000-0000-0000900A0000}"/>
    <cellStyle name="Header1" xfId="2704" xr:uid="{00000000-0005-0000-0000-0000910A0000}"/>
    <cellStyle name="Header2" xfId="2705" xr:uid="{00000000-0005-0000-0000-0000920A0000}"/>
    <cellStyle name="Heading 1" xfId="2706" xr:uid="{00000000-0005-0000-0000-0000930A0000}"/>
    <cellStyle name="Heading 2" xfId="2707" xr:uid="{00000000-0005-0000-0000-0000940A0000}"/>
    <cellStyle name="Heading1" xfId="2708" xr:uid="{00000000-0005-0000-0000-0000950A0000}"/>
    <cellStyle name="Heading2" xfId="2709" xr:uid="{00000000-0005-0000-0000-0000960A0000}"/>
    <cellStyle name="Input [yellow]" xfId="2710" xr:uid="{00000000-0005-0000-0000-0000970A0000}"/>
    <cellStyle name="Input Cells" xfId="2711" xr:uid="{00000000-0005-0000-0000-0000980A0000}"/>
    <cellStyle name="kg" xfId="2712" xr:uid="{00000000-0005-0000-0000-0000990A0000}"/>
    <cellStyle name="Linked Cells" xfId="2713" xr:uid="{00000000-0005-0000-0000-00009A0A0000}"/>
    <cellStyle name="M" xfId="2714" xr:uid="{00000000-0005-0000-0000-00009B0A0000}"/>
    <cellStyle name="M2" xfId="2715" xr:uid="{00000000-0005-0000-0000-00009C0A0000}"/>
    <cellStyle name="M3" xfId="2716" xr:uid="{00000000-0005-0000-0000-00009D0A0000}"/>
    <cellStyle name="Milliers [0]_Arabian Spec" xfId="2717" xr:uid="{00000000-0005-0000-0000-00009E0A0000}"/>
    <cellStyle name="Milliers_Arabian Spec" xfId="2718" xr:uid="{00000000-0005-0000-0000-00009F0A0000}"/>
    <cellStyle name="mma_CASH &amp; DSO" xfId="2719" xr:uid="{00000000-0005-0000-0000-0000A00A0000}"/>
    <cellStyle name="Model" xfId="2720" xr:uid="{00000000-0005-0000-0000-0000A10A0000}"/>
    <cellStyle name="Mon?aire [0]_Arabian Spec" xfId="2721" xr:uid="{00000000-0005-0000-0000-0000A20A0000}"/>
    <cellStyle name="Mon?aire_Arabian Spec" xfId="2722" xr:uid="{00000000-0005-0000-0000-0000A30A0000}"/>
    <cellStyle name="Monétaire [0]_CTC" xfId="2723" xr:uid="{00000000-0005-0000-0000-0000A40A0000}"/>
    <cellStyle name="Monétaire_CTC" xfId="2724" xr:uid="{00000000-0005-0000-0000-0000A50A0000}"/>
    <cellStyle name="no dec" xfId="2725" xr:uid="{00000000-0005-0000-0000-0000A60A0000}"/>
    <cellStyle name="Normal - 유형1" xfId="2727" xr:uid="{00000000-0005-0000-0000-0000A80A0000}"/>
    <cellStyle name="Normal - Style1" xfId="2726" xr:uid="{00000000-0005-0000-0000-0000A70A0000}"/>
    <cellStyle name="Normal 2" xfId="3117" xr:uid="{00000000-0005-0000-0000-0000A90A0000}"/>
    <cellStyle name="Œ…?æ맖?e [0.00]_laroux" xfId="2728" xr:uid="{00000000-0005-0000-0000-0000AA0A0000}"/>
    <cellStyle name="Œ…?æ맖?e_laroux" xfId="2729" xr:uid="{00000000-0005-0000-0000-0000AB0A0000}"/>
    <cellStyle name="oft Excel]_x000d__x000a_Comment=The open=/f lines load custom functions into the Paste Function list._x000d__x000a_Maximized=3_x000d__x000a_AutoFormat=" xfId="2730" xr:uid="{00000000-0005-0000-0000-0000AC0A0000}"/>
    <cellStyle name="oh" xfId="2731" xr:uid="{00000000-0005-0000-0000-0000AD0A0000}"/>
    <cellStyle name="per.style" xfId="2732" xr:uid="{00000000-0005-0000-0000-0000AE0A0000}"/>
    <cellStyle name="Percent [2]" xfId="2733" xr:uid="{00000000-0005-0000-0000-0000AF0A0000}"/>
    <cellStyle name="pricing" xfId="2734" xr:uid="{00000000-0005-0000-0000-0000B00A0000}"/>
    <cellStyle name="PSChar" xfId="2735" xr:uid="{00000000-0005-0000-0000-0000B10A0000}"/>
    <cellStyle name="RevList" xfId="2736" xr:uid="{00000000-0005-0000-0000-0000B20A0000}"/>
    <cellStyle name="s]_x000d__x000a_run=c:\Hedgehog\app31.exe_x000d__x000a_spooler=yes_x000d__x000a_load=_x000d__x000a_run=_x000d__x000a_Beep=yes_x000d__x000a_NullPort=None_x000d__x000a_BorderWidth=3_x000d__x000a_CursorBlinkRate=530_x000d__x000a_D" xfId="2737" xr:uid="{00000000-0005-0000-0000-0000B30A0000}"/>
    <cellStyle name="sh" xfId="2738" xr:uid="{00000000-0005-0000-0000-0000B40A0000}"/>
    <cellStyle name="ssh" xfId="2739" xr:uid="{00000000-0005-0000-0000-0000B50A0000}"/>
    <cellStyle name="STANDARD" xfId="2740" xr:uid="{00000000-0005-0000-0000-0000B60A0000}"/>
    <cellStyle name="STD" xfId="2741" xr:uid="{00000000-0005-0000-0000-0000B70A0000}"/>
    <cellStyle name="subhead" xfId="2742" xr:uid="{00000000-0005-0000-0000-0000B80A0000}"/>
    <cellStyle name="Subtotal" xfId="2743" xr:uid="{00000000-0005-0000-0000-0000B90A0000}"/>
    <cellStyle name="Title" xfId="2744" xr:uid="{00000000-0005-0000-0000-0000BA0A0000}"/>
    <cellStyle name="title [1]" xfId="2745" xr:uid="{00000000-0005-0000-0000-0000BB0A0000}"/>
    <cellStyle name="title [2]" xfId="2746" xr:uid="{00000000-0005-0000-0000-0000BC0A0000}"/>
    <cellStyle name="Total" xfId="2747" xr:uid="{00000000-0005-0000-0000-0000BD0A0000}"/>
    <cellStyle name="UM" xfId="2748" xr:uid="{00000000-0005-0000-0000-0000BE0A0000}"/>
    <cellStyle name="W_Pacific Region P&amp;L" xfId="1103" xr:uid="{00000000-0005-0000-0000-00004E040000}"/>
    <cellStyle name="W?rung [0]_laroux" xfId="2749" xr:uid="{00000000-0005-0000-0000-0000BF0A0000}"/>
    <cellStyle name="W?rung_laroux" xfId="2750" xr:uid="{00000000-0005-0000-0000-0000C00A0000}"/>
    <cellStyle name="μU¿¡ ¿A´A CIAIÆU¸μAⓒ" xfId="2751" xr:uid="{00000000-0005-0000-0000-0000C10A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225425</xdr:colOff>
      <xdr:row>0</xdr:row>
      <xdr:rowOff>0</xdr:rowOff>
    </xdr:from>
    <xdr:to>
      <xdr:col>1</xdr:col>
      <xdr:colOff>228283</xdr:colOff>
      <xdr:row>0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911AC37D-E68A-AF61-FFCC-81CB559B832E}"/>
            </a:ext>
          </a:extLst>
        </xdr:cNvPr>
        <xdr:cNvSpPr txBox="1">
          <a:spLocks noChangeArrowheads="1"/>
        </xdr:cNvSpPr>
      </xdr:nvSpPr>
      <xdr:spPr bwMode="auto">
        <a:xfrm>
          <a:off x="225425" y="0"/>
          <a:ext cx="764858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41148" rIns="54864" bIns="41148" anchor="ctr" upright="1"/>
        <a:lstStyle/>
        <a:p>
          <a:pPr algn="ctr" rtl="0">
            <a:defRPr sz="1000"/>
          </a:pPr>
          <a:r>
            <a:rPr lang="ko-KR" altLang="en-US" sz="2400" b="1" i="0" strike="noStrike">
              <a:solidFill>
                <a:srgbClr val="000000"/>
              </a:solidFill>
              <a:latin typeface="바탕"/>
              <a:ea typeface="바탕"/>
            </a:rPr>
            <a:t>見 積 書</a:t>
          </a:r>
        </a:p>
      </xdr:txBody>
    </xdr:sp>
    <xdr:clientData/>
  </xdr:twoCellAnchor>
  <xdr:twoCellAnchor editAs="oneCell">
    <xdr:from>
      <xdr:col>22</xdr:col>
      <xdr:colOff>69850</xdr:colOff>
      <xdr:row>35</xdr:row>
      <xdr:rowOff>200025</xdr:rowOff>
    </xdr:from>
    <xdr:to>
      <xdr:col>25</xdr:col>
      <xdr:colOff>92982</xdr:colOff>
      <xdr:row>37</xdr:row>
      <xdr:rowOff>568325</xdr:rowOff>
    </xdr:to>
    <xdr:pic>
      <xdr:nvPicPr>
        <xdr:cNvPr id="3" name="그림 1">
          <a:extLst>
            <a:ext uri="{FF2B5EF4-FFF2-40B4-BE49-F238E27FC236}">
              <a16:creationId xmlns:a16="http://schemas.microsoft.com/office/drawing/2014/main" id="{06B4EF81-72DD-653B-7F24-5A127D562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70475" y="8058150"/>
          <a:ext cx="850900" cy="863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31</xdr:row>
      <xdr:rowOff>0</xdr:rowOff>
    </xdr:from>
    <xdr:to>
      <xdr:col>8</xdr:col>
      <xdr:colOff>0</xdr:colOff>
      <xdr:row>31</xdr:row>
      <xdr:rowOff>0</xdr:rowOff>
    </xdr:to>
    <xdr:grpSp>
      <xdr:nvGrpSpPr>
        <xdr:cNvPr id="2" name="Group 36">
          <a:extLst>
            <a:ext uri="{FF2B5EF4-FFF2-40B4-BE49-F238E27FC236}">
              <a16:creationId xmlns:a16="http://schemas.microsoft.com/office/drawing/2014/main" id="{E35915A0-EF4C-4F15-D05A-CAF5E35944E9}"/>
            </a:ext>
          </a:extLst>
        </xdr:cNvPr>
        <xdr:cNvGrpSpPr>
          <a:grpSpLocks/>
        </xdr:cNvGrpSpPr>
      </xdr:nvGrpSpPr>
      <xdr:grpSpPr bwMode="auto">
        <a:xfrm>
          <a:off x="3073400" y="8305800"/>
          <a:ext cx="2616200" cy="0"/>
          <a:chOff x="375" y="886"/>
          <a:chExt cx="307" cy="66"/>
        </a:xfrm>
      </xdr:grpSpPr>
      <xdr:sp macro="" textlink="">
        <xdr:nvSpPr>
          <xdr:cNvPr id="3" name="Text Box 37">
            <a:extLst>
              <a:ext uri="{FF2B5EF4-FFF2-40B4-BE49-F238E27FC236}">
                <a16:creationId xmlns:a16="http://schemas.microsoft.com/office/drawing/2014/main" id="{702E97DB-E081-0603-0FBE-DDEEAD95C637}"/>
              </a:ext>
            </a:extLst>
          </xdr:cNvPr>
          <xdr:cNvSpPr txBox="1">
            <a:spLocks noChangeArrowheads="1"/>
          </xdr:cNvSpPr>
        </xdr:nvSpPr>
        <xdr:spPr bwMode="auto">
          <a:xfrm>
            <a:off x="-7980093501300" y="8991600"/>
            <a:ext cx="0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  <a:effectLst/>
        </xdr:spPr>
        <xdr:txBody>
          <a:bodyPr vertOverflow="clip" wrap="square" lIns="36576" tIns="27432" rIns="0" bIns="0" anchor="t" upright="1"/>
          <a:lstStyle/>
          <a:p>
            <a:pPr algn="l" rtl="0">
              <a:defRPr sz="1000"/>
            </a:pPr>
            <a:r>
              <a:rPr lang="ko-KR" altLang="en-US" sz="1600" b="0" i="0" strike="noStrike">
                <a:solidFill>
                  <a:srgbClr val="000000"/>
                </a:solidFill>
                <a:latin typeface="돋움"/>
                <a:ea typeface="돋움"/>
              </a:rPr>
              <a:t>㈜세진구조안전기술사사무소</a:t>
            </a:r>
          </a:p>
        </xdr:txBody>
      </xdr:sp>
      <xdr:sp macro="" textlink="">
        <xdr:nvSpPr>
          <xdr:cNvPr id="4" name="Text Box 38">
            <a:extLst>
              <a:ext uri="{FF2B5EF4-FFF2-40B4-BE49-F238E27FC236}">
                <a16:creationId xmlns:a16="http://schemas.microsoft.com/office/drawing/2014/main" id="{6B23F444-C1D9-C727-6D5B-1D4EBCCABC20}"/>
              </a:ext>
            </a:extLst>
          </xdr:cNvPr>
          <xdr:cNvSpPr txBox="1">
            <a:spLocks noChangeArrowheads="1"/>
          </xdr:cNvSpPr>
        </xdr:nvSpPr>
        <xdr:spPr bwMode="auto">
          <a:xfrm>
            <a:off x="-7980093501300" y="8991600"/>
            <a:ext cx="0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  <a:effectLst/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ko-KR" altLang="en-US" sz="1000" b="0" i="0" strike="noStrike">
                <a:solidFill>
                  <a:srgbClr val="000000"/>
                </a:solidFill>
                <a:latin typeface="돋움"/>
                <a:ea typeface="돋움"/>
              </a:rPr>
              <a:t> 대   표     이   사</a:t>
            </a:r>
          </a:p>
        </xdr:txBody>
      </xdr:sp>
      <xdr:sp macro="" textlink="">
        <xdr:nvSpPr>
          <xdr:cNvPr id="5" name="Text Box 39">
            <a:extLst>
              <a:ext uri="{FF2B5EF4-FFF2-40B4-BE49-F238E27FC236}">
                <a16:creationId xmlns:a16="http://schemas.microsoft.com/office/drawing/2014/main" id="{E3BDCBC6-771D-DA6C-DD26-2C90AE0BC896}"/>
              </a:ext>
            </a:extLst>
          </xdr:cNvPr>
          <xdr:cNvSpPr txBox="1">
            <a:spLocks noChangeArrowheads="1"/>
          </xdr:cNvSpPr>
        </xdr:nvSpPr>
        <xdr:spPr bwMode="auto">
          <a:xfrm>
            <a:off x="-7980093501300" y="8991600"/>
            <a:ext cx="0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  <a:effectLst/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ko-KR" altLang="en-US" sz="1000" b="0" i="0" strike="noStrike">
                <a:solidFill>
                  <a:srgbClr val="000000"/>
                </a:solidFill>
                <a:latin typeface="돋움"/>
                <a:ea typeface="돋움"/>
              </a:rPr>
              <a:t> 구  조  기  술  사  </a:t>
            </a:r>
            <a:endParaRPr lang="ko-KR" altLang="en-US" sz="11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l" rtl="0">
              <a:defRPr sz="1000"/>
            </a:pPr>
            <a:r>
              <a:rPr lang="ko-KR" altLang="en-US" sz="1100" b="0" i="0" strike="noStrike">
                <a:solidFill>
                  <a:srgbClr val="000000"/>
                </a:solidFill>
                <a:latin typeface="돋움"/>
                <a:ea typeface="돋움"/>
              </a:rPr>
              <a:t>사</a:t>
            </a:r>
          </a:p>
        </xdr:txBody>
      </xdr:sp>
      <xdr:sp macro="" textlink="">
        <xdr:nvSpPr>
          <xdr:cNvPr id="6" name="Text Box 40">
            <a:extLst>
              <a:ext uri="{FF2B5EF4-FFF2-40B4-BE49-F238E27FC236}">
                <a16:creationId xmlns:a16="http://schemas.microsoft.com/office/drawing/2014/main" id="{A5A948C5-591F-BD81-0079-07F0073B8FBE}"/>
              </a:ext>
            </a:extLst>
          </xdr:cNvPr>
          <xdr:cNvSpPr txBox="1">
            <a:spLocks noChangeArrowheads="1"/>
          </xdr:cNvSpPr>
        </xdr:nvSpPr>
        <xdr:spPr bwMode="auto">
          <a:xfrm>
            <a:off x="-7980093501300" y="8991600"/>
            <a:ext cx="0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  <a:effectLst/>
        </xdr:spPr>
        <xdr:txBody>
          <a:bodyPr vertOverflow="clip" wrap="square" lIns="36576" tIns="27432" rIns="0" bIns="0" anchor="t" upright="1"/>
          <a:lstStyle/>
          <a:p>
            <a:pPr algn="l" rtl="0">
              <a:defRPr sz="1000"/>
            </a:pPr>
            <a:r>
              <a:rPr lang="ko-KR" altLang="en-US" sz="1600" b="0" i="0" strike="noStrike">
                <a:solidFill>
                  <a:srgbClr val="000000"/>
                </a:solidFill>
                <a:latin typeface="돋움"/>
                <a:ea typeface="돋움"/>
              </a:rPr>
              <a:t>김      형      균</a:t>
            </a:r>
          </a:p>
        </xdr:txBody>
      </xdr:sp>
    </xdr:grpSp>
    <xdr:clientData/>
  </xdr:twoCellAnchor>
  <xdr:twoCellAnchor editAs="oneCell">
    <xdr:from>
      <xdr:col>5</xdr:col>
      <xdr:colOff>330200</xdr:colOff>
      <xdr:row>32</xdr:row>
      <xdr:rowOff>190500</xdr:rowOff>
    </xdr:from>
    <xdr:to>
      <xdr:col>6</xdr:col>
      <xdr:colOff>660400</xdr:colOff>
      <xdr:row>35</xdr:row>
      <xdr:rowOff>215900</xdr:rowOff>
    </xdr:to>
    <xdr:pic>
      <xdr:nvPicPr>
        <xdr:cNvPr id="7" name="그림 7">
          <a:extLst>
            <a:ext uri="{FF2B5EF4-FFF2-40B4-BE49-F238E27FC236}">
              <a16:creationId xmlns:a16="http://schemas.microsoft.com/office/drawing/2014/main" id="{24C5C766-B298-B9A7-62A7-0BEAF887D8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02225" y="8772525"/>
          <a:ext cx="825500" cy="882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241300</xdr:colOff>
      <xdr:row>31</xdr:row>
      <xdr:rowOff>317500</xdr:rowOff>
    </xdr:from>
    <xdr:to>
      <xdr:col>2</xdr:col>
      <xdr:colOff>508000</xdr:colOff>
      <xdr:row>35</xdr:row>
      <xdr:rowOff>101600</xdr:rowOff>
    </xdr:to>
    <xdr:pic>
      <xdr:nvPicPr>
        <xdr:cNvPr id="8" name="_x224090752" descr="EMB0000176c6721">
          <a:extLst>
            <a:ext uri="{FF2B5EF4-FFF2-40B4-BE49-F238E27FC236}">
              <a16:creationId xmlns:a16="http://schemas.microsoft.com/office/drawing/2014/main" id="{1980DCC6-EFB9-53EB-128D-592C32A11C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3775" y="8585200"/>
          <a:ext cx="1190625" cy="955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25400</xdr:colOff>
      <xdr:row>22</xdr:row>
      <xdr:rowOff>38100</xdr:rowOff>
    </xdr:from>
    <xdr:to>
      <xdr:col>8</xdr:col>
      <xdr:colOff>0</xdr:colOff>
      <xdr:row>25</xdr:row>
      <xdr:rowOff>0</xdr:rowOff>
    </xdr:to>
    <xdr:pic>
      <xdr:nvPicPr>
        <xdr:cNvPr id="2" name="_x206956912" descr="EMB000038d80e12">
          <a:extLst>
            <a:ext uri="{FF2B5EF4-FFF2-40B4-BE49-F238E27FC236}">
              <a16:creationId xmlns:a16="http://schemas.microsoft.com/office/drawing/2014/main" id="{97834D2C-E033-8F4A-80AC-4FA3E9B353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74800" y="8674100"/>
          <a:ext cx="1384300" cy="1244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(&#51452;)&#50640;&#51060;&#50532;&#48708;%20-%20&#54952;&#49457;&#45684;&#49436;&#50872;5&#52264;&#50500;&#54028;&#53944;%20-%20&#44048;&#47532;%20&#44204;&#51201;&#4943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견적서(조정D)"/>
      <sheetName val="견적서(D)"/>
      <sheetName val="숫자읽기"/>
      <sheetName val="갑지"/>
      <sheetName val="산출내역(감리)"/>
      <sheetName val="계약서1"/>
    </sheetNames>
    <sheetDataSet>
      <sheetData sheetId="0"/>
      <sheetData sheetId="1"/>
      <sheetData sheetId="2">
        <row r="3">
          <cell r="U3">
            <v>0</v>
          </cell>
        </row>
        <row r="4">
          <cell r="U4">
            <v>1</v>
          </cell>
          <cell r="V4" t="str">
            <v>壹</v>
          </cell>
        </row>
        <row r="5">
          <cell r="U5">
            <v>2</v>
          </cell>
          <cell r="V5" t="str">
            <v>貳</v>
          </cell>
        </row>
        <row r="6">
          <cell r="U6">
            <v>3</v>
          </cell>
          <cell r="V6" t="str">
            <v>參</v>
          </cell>
        </row>
        <row r="7">
          <cell r="U7">
            <v>4</v>
          </cell>
          <cell r="V7" t="str">
            <v>四</v>
          </cell>
        </row>
        <row r="8">
          <cell r="U8">
            <v>5</v>
          </cell>
          <cell r="V8" t="str">
            <v>五</v>
          </cell>
        </row>
        <row r="9">
          <cell r="U9">
            <v>6</v>
          </cell>
          <cell r="V9" t="str">
            <v>六</v>
          </cell>
        </row>
        <row r="10">
          <cell r="U10">
            <v>7</v>
          </cell>
          <cell r="V10" t="str">
            <v>七</v>
          </cell>
        </row>
        <row r="11">
          <cell r="U11">
            <v>8</v>
          </cell>
          <cell r="V11" t="str">
            <v>八</v>
          </cell>
        </row>
        <row r="12">
          <cell r="U12">
            <v>9</v>
          </cell>
          <cell r="V12" t="str">
            <v>九</v>
          </cell>
        </row>
      </sheetData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591"/>
  <sheetViews>
    <sheetView view="pageBreakPreview" zoomScaleNormal="100" zoomScaleSheetLayoutView="100" workbookViewId="0">
      <selection activeCell="F26" sqref="F26"/>
    </sheetView>
  </sheetViews>
  <sheetFormatPr baseColWidth="10" defaultColWidth="8.83203125" defaultRowHeight="14"/>
  <cols>
    <col min="1" max="1" width="2.83203125" style="33" customWidth="1"/>
    <col min="2" max="2" width="3.33203125" style="33" customWidth="1"/>
    <col min="3" max="9" width="3.33203125" style="32" customWidth="1"/>
    <col min="10" max="29" width="3.33203125" style="31" customWidth="1"/>
    <col min="30" max="256" width="6.83203125" style="31" customWidth="1"/>
    <col min="257" max="16384" width="8.83203125" style="31"/>
  </cols>
  <sheetData>
    <row r="1" spans="2:29" s="37" customFormat="1" ht="42" customHeight="1">
      <c r="B1" s="187" t="s">
        <v>66</v>
      </c>
      <c r="C1" s="187"/>
      <c r="D1" s="187"/>
      <c r="E1" s="187"/>
      <c r="F1" s="187"/>
      <c r="G1" s="187"/>
      <c r="H1" s="187"/>
      <c r="I1" s="187"/>
      <c r="J1" s="187"/>
      <c r="K1" s="187"/>
      <c r="L1" s="187"/>
      <c r="M1" s="187"/>
      <c r="N1" s="187"/>
      <c r="O1" s="187"/>
      <c r="P1" s="187"/>
      <c r="Q1" s="187"/>
      <c r="R1" s="187"/>
      <c r="S1" s="187"/>
      <c r="T1" s="187"/>
      <c r="U1" s="187"/>
      <c r="V1" s="187"/>
      <c r="W1" s="187"/>
      <c r="X1" s="187"/>
      <c r="Y1" s="187"/>
      <c r="Z1" s="187"/>
      <c r="AA1" s="187"/>
      <c r="AB1" s="187"/>
      <c r="AC1" s="187"/>
    </row>
    <row r="2" spans="2:29" s="37" customFormat="1" ht="12" customHeight="1"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40"/>
      <c r="AA2" s="40"/>
      <c r="AB2" s="40"/>
      <c r="AC2" s="40"/>
    </row>
    <row r="3" spans="2:29" s="37" customFormat="1" ht="18" customHeight="1">
      <c r="B3" s="188" t="s">
        <v>65</v>
      </c>
      <c r="C3" s="188"/>
      <c r="D3" s="188"/>
      <c r="E3" s="188"/>
      <c r="F3" s="188"/>
      <c r="G3" s="188"/>
      <c r="H3" s="188"/>
      <c r="I3" s="188"/>
      <c r="J3" s="188"/>
      <c r="K3" s="188"/>
      <c r="L3" s="188"/>
      <c r="M3" s="188"/>
      <c r="N3" s="188"/>
      <c r="O3" s="188"/>
      <c r="P3" s="188"/>
      <c r="Q3" s="188"/>
      <c r="R3" s="188"/>
      <c r="S3" s="188"/>
      <c r="T3" s="188"/>
      <c r="U3" s="188"/>
      <c r="V3" s="188"/>
      <c r="W3" s="188"/>
      <c r="X3" s="188"/>
      <c r="Y3" s="188"/>
      <c r="Z3" s="188"/>
      <c r="AA3" s="188"/>
      <c r="AB3" s="188"/>
      <c r="AC3" s="188"/>
    </row>
    <row r="4" spans="2:29" s="37" customFormat="1" ht="7.5" customHeight="1"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6"/>
      <c r="AA4" s="46"/>
      <c r="AB4" s="46"/>
      <c r="AC4" s="46"/>
    </row>
    <row r="5" spans="2:29" s="37" customFormat="1" ht="5" customHeight="1"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40"/>
      <c r="AA5" s="40"/>
      <c r="AB5" s="40"/>
      <c r="AC5" s="40"/>
    </row>
    <row r="6" spans="2:29" s="37" customFormat="1" ht="20" customHeight="1">
      <c r="B6" s="185" t="s">
        <v>64</v>
      </c>
      <c r="C6" s="185"/>
      <c r="D6" s="185"/>
      <c r="E6" s="185"/>
      <c r="F6" s="38" t="s">
        <v>63</v>
      </c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40"/>
      <c r="AA6" s="40"/>
      <c r="AB6" s="40"/>
      <c r="AC6" s="40"/>
    </row>
    <row r="7" spans="2:29" s="37" customFormat="1" ht="20" customHeight="1">
      <c r="B7" s="185" t="s">
        <v>62</v>
      </c>
      <c r="C7" s="185"/>
      <c r="D7" s="185"/>
      <c r="E7" s="185"/>
      <c r="F7" s="189">
        <v>46072</v>
      </c>
      <c r="G7" s="189"/>
      <c r="H7" s="189"/>
      <c r="I7" s="189"/>
      <c r="J7" s="189"/>
      <c r="K7" s="189"/>
      <c r="L7" s="189"/>
      <c r="M7" s="189"/>
      <c r="N7" s="189"/>
      <c r="O7" s="189"/>
      <c r="P7" s="189"/>
      <c r="Q7" s="189"/>
      <c r="R7" s="189"/>
      <c r="S7" s="38"/>
      <c r="T7" s="38"/>
      <c r="U7" s="38"/>
      <c r="V7" s="38"/>
      <c r="W7" s="38"/>
      <c r="X7" s="38"/>
      <c r="Y7" s="38"/>
      <c r="Z7" s="40"/>
      <c r="AA7" s="40"/>
      <c r="AB7" s="40"/>
      <c r="AC7" s="40"/>
    </row>
    <row r="8" spans="2:29" s="37" customFormat="1" ht="20" customHeight="1">
      <c r="B8" s="185" t="s">
        <v>61</v>
      </c>
      <c r="C8" s="185"/>
      <c r="D8" s="185"/>
      <c r="E8" s="185"/>
      <c r="F8" s="119" t="s">
        <v>68</v>
      </c>
      <c r="G8" s="44"/>
      <c r="H8" s="44"/>
      <c r="I8" s="44"/>
      <c r="J8" s="44"/>
      <c r="K8" s="44"/>
      <c r="L8" s="44"/>
      <c r="M8" s="44"/>
      <c r="N8" s="38" t="s">
        <v>67</v>
      </c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40"/>
      <c r="AA8" s="40"/>
      <c r="AB8" s="40"/>
      <c r="AC8" s="40"/>
    </row>
    <row r="9" spans="2:29" s="37" customFormat="1" ht="20" customHeight="1">
      <c r="B9" s="185" t="s">
        <v>60</v>
      </c>
      <c r="C9" s="185"/>
      <c r="D9" s="185"/>
      <c r="E9" s="185"/>
      <c r="F9" s="38" t="s">
        <v>59</v>
      </c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40"/>
      <c r="AA9" s="40"/>
      <c r="AB9" s="40"/>
      <c r="AC9" s="40"/>
    </row>
    <row r="10" spans="2:29" s="37" customFormat="1" ht="20" customHeight="1">
      <c r="B10" s="185" t="s">
        <v>58</v>
      </c>
      <c r="C10" s="185"/>
      <c r="D10" s="185"/>
      <c r="E10" s="185"/>
      <c r="F10" s="119" t="s">
        <v>137</v>
      </c>
      <c r="G10" s="44"/>
      <c r="H10" s="44"/>
      <c r="I10" s="44"/>
      <c r="J10" s="44"/>
      <c r="K10" s="44"/>
      <c r="L10" s="44"/>
      <c r="M10" s="44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40"/>
      <c r="AA10" s="40"/>
      <c r="AB10" s="40"/>
      <c r="AC10" s="40"/>
    </row>
    <row r="11" spans="2:29" s="37" customFormat="1" ht="13.5" hidden="1" customHeight="1" thickBot="1"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1"/>
      <c r="AA11" s="41"/>
      <c r="AB11" s="41"/>
      <c r="AC11" s="41"/>
    </row>
    <row r="12" spans="2:29" s="37" customFormat="1" ht="7.5" customHeight="1"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6"/>
      <c r="AA12" s="46"/>
      <c r="AB12" s="46"/>
      <c r="AC12" s="46"/>
    </row>
    <row r="13" spans="2:29" s="37" customFormat="1" ht="5" customHeight="1"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40"/>
      <c r="AA13" s="40"/>
      <c r="AB13" s="40"/>
      <c r="AC13" s="40"/>
    </row>
    <row r="14" spans="2:29" s="37" customFormat="1" ht="20" customHeight="1">
      <c r="B14" s="190" t="s">
        <v>57</v>
      </c>
      <c r="C14" s="190"/>
      <c r="D14" s="190"/>
      <c r="E14" s="190"/>
      <c r="F14" s="190"/>
      <c r="G14" s="190"/>
      <c r="H14" s="190"/>
      <c r="I14" s="190"/>
      <c r="J14" s="190"/>
      <c r="K14" s="190"/>
      <c r="L14" s="190"/>
      <c r="M14" s="190"/>
      <c r="N14" s="190"/>
      <c r="O14" s="190"/>
      <c r="P14" s="190"/>
      <c r="Q14" s="190"/>
      <c r="R14" s="190"/>
      <c r="S14" s="190"/>
      <c r="T14" s="190"/>
      <c r="U14" s="190"/>
      <c r="V14" s="190"/>
      <c r="W14" s="190"/>
      <c r="X14" s="190"/>
      <c r="Y14" s="190"/>
      <c r="Z14" s="190"/>
      <c r="AA14" s="190"/>
      <c r="AB14" s="190"/>
      <c r="AC14" s="190"/>
    </row>
    <row r="15" spans="2:29" s="37" customFormat="1" ht="10" customHeight="1">
      <c r="B15" s="114"/>
      <c r="C15" s="114"/>
      <c r="D15" s="114"/>
      <c r="E15" s="114"/>
      <c r="F15" s="114"/>
      <c r="G15" s="114"/>
      <c r="H15" s="114"/>
      <c r="I15" s="114"/>
      <c r="J15" s="114"/>
      <c r="K15" s="114"/>
      <c r="L15" s="114"/>
      <c r="M15" s="114"/>
      <c r="N15" s="114"/>
      <c r="O15" s="114"/>
      <c r="P15" s="114"/>
      <c r="Q15" s="114"/>
      <c r="R15" s="114"/>
      <c r="S15" s="114"/>
      <c r="T15" s="114"/>
      <c r="U15" s="114"/>
      <c r="V15" s="114"/>
      <c r="W15" s="114"/>
      <c r="X15" s="114"/>
      <c r="Y15" s="114"/>
      <c r="Z15" s="116"/>
      <c r="AA15" s="116"/>
      <c r="AB15" s="116"/>
      <c r="AC15" s="116"/>
    </row>
    <row r="16" spans="2:29" s="37" customFormat="1" ht="70.5" customHeight="1">
      <c r="B16" s="186" t="s">
        <v>165</v>
      </c>
      <c r="C16" s="186"/>
      <c r="D16" s="186"/>
      <c r="E16" s="186"/>
      <c r="F16" s="186"/>
      <c r="G16" s="186"/>
      <c r="H16" s="186"/>
      <c r="I16" s="186"/>
      <c r="J16" s="186"/>
      <c r="K16" s="186"/>
      <c r="L16" s="186"/>
      <c r="M16" s="186"/>
      <c r="N16" s="186"/>
      <c r="O16" s="186"/>
      <c r="P16" s="186"/>
      <c r="Q16" s="186"/>
      <c r="R16" s="186"/>
      <c r="S16" s="186"/>
      <c r="T16" s="186"/>
      <c r="U16" s="186"/>
      <c r="V16" s="186"/>
      <c r="W16" s="186"/>
      <c r="X16" s="186"/>
      <c r="Y16" s="186"/>
      <c r="Z16" s="186"/>
      <c r="AA16" s="186"/>
      <c r="AB16" s="186"/>
      <c r="AC16" s="186"/>
    </row>
    <row r="17" spans="2:29" s="37" customFormat="1" ht="5" customHeight="1">
      <c r="B17" s="114"/>
      <c r="C17" s="114"/>
      <c r="D17" s="114"/>
      <c r="E17" s="114"/>
      <c r="F17" s="114"/>
      <c r="G17" s="114"/>
      <c r="H17" s="114"/>
      <c r="I17" s="114"/>
      <c r="J17" s="114"/>
      <c r="K17" s="114"/>
      <c r="L17" s="114"/>
      <c r="M17" s="114"/>
      <c r="N17" s="114"/>
      <c r="O17" s="114"/>
      <c r="P17" s="114"/>
      <c r="Q17" s="114"/>
      <c r="R17" s="114"/>
      <c r="S17" s="114"/>
      <c r="T17" s="114"/>
      <c r="U17" s="114"/>
      <c r="V17" s="114"/>
      <c r="W17" s="114"/>
      <c r="X17" s="114"/>
      <c r="Y17" s="114"/>
      <c r="Z17" s="116"/>
      <c r="AA17" s="116"/>
      <c r="AB17" s="116"/>
      <c r="AC17" s="116"/>
    </row>
    <row r="18" spans="2:29" s="37" customFormat="1" ht="39" customHeight="1">
      <c r="B18" s="186" t="s">
        <v>161</v>
      </c>
      <c r="C18" s="186"/>
      <c r="D18" s="186"/>
      <c r="E18" s="186"/>
      <c r="F18" s="186"/>
      <c r="G18" s="186"/>
      <c r="H18" s="186"/>
      <c r="I18" s="186"/>
      <c r="J18" s="186"/>
      <c r="K18" s="186"/>
      <c r="L18" s="186"/>
      <c r="M18" s="186"/>
      <c r="N18" s="186"/>
      <c r="O18" s="186"/>
      <c r="P18" s="186"/>
      <c r="Q18" s="186"/>
      <c r="R18" s="186"/>
      <c r="S18" s="186"/>
      <c r="T18" s="186"/>
      <c r="U18" s="186"/>
      <c r="V18" s="186"/>
      <c r="W18" s="186"/>
      <c r="X18" s="186"/>
      <c r="Y18" s="186"/>
      <c r="Z18" s="186"/>
      <c r="AA18" s="186"/>
      <c r="AB18" s="186"/>
      <c r="AC18" s="186"/>
    </row>
    <row r="19" spans="2:29" s="37" customFormat="1" ht="10" customHeight="1">
      <c r="B19" s="114"/>
      <c r="C19" s="114"/>
      <c r="D19" s="114"/>
      <c r="E19" s="114"/>
      <c r="F19" s="114"/>
      <c r="G19" s="114"/>
      <c r="H19" s="114"/>
      <c r="I19" s="114"/>
      <c r="J19" s="114"/>
      <c r="K19" s="114"/>
      <c r="L19" s="114"/>
      <c r="M19" s="114"/>
      <c r="N19" s="114"/>
      <c r="O19" s="114"/>
      <c r="P19" s="114"/>
      <c r="Q19" s="114"/>
      <c r="R19" s="114"/>
      <c r="S19" s="114"/>
      <c r="T19" s="114"/>
      <c r="U19" s="114"/>
      <c r="V19" s="114"/>
      <c r="W19" s="114"/>
      <c r="X19" s="114"/>
      <c r="Y19" s="114"/>
      <c r="Z19" s="116"/>
      <c r="AA19" s="116"/>
      <c r="AB19" s="116"/>
      <c r="AC19" s="116"/>
    </row>
    <row r="20" spans="2:29" s="37" customFormat="1" ht="20" customHeight="1">
      <c r="B20" s="190" t="s">
        <v>138</v>
      </c>
      <c r="C20" s="190"/>
      <c r="D20" s="190"/>
      <c r="E20" s="190"/>
      <c r="F20" s="190"/>
      <c r="G20" s="190"/>
      <c r="H20" s="190"/>
      <c r="I20" s="190"/>
      <c r="J20" s="190"/>
      <c r="K20" s="190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</row>
    <row r="21" spans="2:29" s="37" customFormat="1" ht="20" customHeight="1">
      <c r="B21" s="114"/>
      <c r="C21" s="114"/>
      <c r="D21" s="114"/>
      <c r="E21" s="114"/>
      <c r="F21" s="190" t="s">
        <v>166</v>
      </c>
      <c r="G21" s="190"/>
      <c r="H21" s="190"/>
      <c r="I21" s="190"/>
      <c r="J21" s="190"/>
      <c r="K21" s="190"/>
      <c r="L21" s="120" t="str">
        <f>F8</f>
        <v>효성뉴서울5차아파트</v>
      </c>
      <c r="M21" s="120"/>
      <c r="N21" s="120"/>
      <c r="O21" s="120"/>
      <c r="P21" s="115"/>
      <c r="Q21" s="115"/>
      <c r="R21" s="115"/>
      <c r="S21" s="115"/>
      <c r="T21" s="115"/>
      <c r="U21" s="115"/>
      <c r="V21" s="115"/>
      <c r="W21" s="115"/>
      <c r="X21" s="115"/>
      <c r="Y21" s="115"/>
      <c r="Z21" s="115"/>
      <c r="AA21" s="115"/>
      <c r="AB21" s="115"/>
      <c r="AC21" s="115"/>
    </row>
    <row r="22" spans="2:29" s="37" customFormat="1" ht="20" customHeight="1">
      <c r="B22" s="114"/>
      <c r="C22" s="114"/>
      <c r="D22" s="114"/>
      <c r="E22" s="114"/>
      <c r="F22" s="190" t="s">
        <v>167</v>
      </c>
      <c r="G22" s="190"/>
      <c r="H22" s="190"/>
      <c r="I22" s="190"/>
      <c r="J22" s="190"/>
      <c r="K22" s="190"/>
      <c r="L22" s="120" t="s">
        <v>69</v>
      </c>
      <c r="M22" s="120"/>
      <c r="N22" s="120"/>
      <c r="O22" s="120"/>
      <c r="P22" s="115"/>
      <c r="Q22" s="115"/>
      <c r="R22" s="115"/>
      <c r="S22" s="115"/>
      <c r="T22" s="115"/>
      <c r="U22" s="115"/>
      <c r="V22" s="115"/>
      <c r="W22" s="115"/>
      <c r="X22" s="115"/>
      <c r="Y22" s="115"/>
      <c r="Z22" s="115"/>
      <c r="AA22" s="115"/>
      <c r="AB22" s="115"/>
      <c r="AC22" s="115"/>
    </row>
    <row r="23" spans="2:29" s="37" customFormat="1" ht="20" customHeight="1">
      <c r="B23" s="114"/>
      <c r="C23" s="114"/>
      <c r="D23" s="114"/>
      <c r="E23" s="114"/>
      <c r="F23" s="190" t="s">
        <v>168</v>
      </c>
      <c r="G23" s="190"/>
      <c r="H23" s="190"/>
      <c r="I23" s="190"/>
      <c r="J23" s="190"/>
      <c r="K23" s="190"/>
      <c r="L23" s="120" t="s">
        <v>70</v>
      </c>
      <c r="M23" s="120"/>
      <c r="N23" s="120"/>
      <c r="O23" s="120"/>
      <c r="P23" s="115"/>
      <c r="Q23" s="115"/>
      <c r="R23" s="115"/>
      <c r="S23" s="115"/>
      <c r="T23" s="115"/>
      <c r="U23" s="115"/>
      <c r="V23" s="115"/>
      <c r="W23" s="115"/>
      <c r="X23" s="115"/>
      <c r="Y23" s="115"/>
      <c r="Z23" s="115"/>
      <c r="AA23" s="115"/>
      <c r="AB23" s="115"/>
      <c r="AC23" s="115"/>
    </row>
    <row r="24" spans="2:29" s="37" customFormat="1" ht="20" customHeight="1">
      <c r="B24" s="114"/>
      <c r="C24" s="114"/>
      <c r="D24" s="114"/>
      <c r="E24" s="114"/>
      <c r="F24" s="190" t="s">
        <v>169</v>
      </c>
      <c r="G24" s="190"/>
      <c r="H24" s="190"/>
      <c r="I24" s="190"/>
      <c r="J24" s="190"/>
      <c r="K24" s="190"/>
      <c r="L24" s="120" t="s">
        <v>71</v>
      </c>
      <c r="M24" s="120"/>
      <c r="N24" s="120"/>
      <c r="O24" s="120"/>
      <c r="P24" s="115"/>
      <c r="Q24" s="115"/>
      <c r="R24" s="115"/>
      <c r="S24" s="115"/>
      <c r="T24" s="115"/>
      <c r="U24" s="115"/>
      <c r="V24" s="115"/>
      <c r="W24" s="115"/>
      <c r="X24" s="115"/>
      <c r="Y24" s="115"/>
      <c r="Z24" s="115"/>
      <c r="AA24" s="115"/>
      <c r="AB24" s="115"/>
      <c r="AC24" s="115"/>
    </row>
    <row r="25" spans="2:29" s="37" customFormat="1" ht="20" customHeight="1">
      <c r="B25" s="114"/>
      <c r="C25" s="114"/>
      <c r="D25" s="114"/>
      <c r="E25" s="114"/>
      <c r="F25" s="190" t="s">
        <v>170</v>
      </c>
      <c r="G25" s="190"/>
      <c r="H25" s="190"/>
      <c r="I25" s="190"/>
      <c r="J25" s="190"/>
      <c r="K25" s="190"/>
      <c r="L25" s="120"/>
      <c r="M25" s="120"/>
      <c r="N25" s="120"/>
      <c r="O25" s="120"/>
      <c r="P25" s="115"/>
      <c r="Q25" s="115"/>
      <c r="R25" s="115"/>
      <c r="S25" s="115"/>
      <c r="T25" s="115"/>
      <c r="U25" s="115"/>
      <c r="V25" s="115"/>
      <c r="W25" s="115"/>
      <c r="X25" s="115"/>
      <c r="Y25" s="115"/>
      <c r="Z25" s="115"/>
      <c r="AA25" s="115"/>
      <c r="AB25" s="115"/>
      <c r="AC25" s="115"/>
    </row>
    <row r="26" spans="2:29" s="37" customFormat="1" ht="10" customHeight="1">
      <c r="B26" s="114"/>
      <c r="C26" s="114"/>
      <c r="D26" s="114"/>
      <c r="E26" s="114"/>
      <c r="F26" s="114"/>
      <c r="G26" s="114"/>
      <c r="H26" s="114"/>
      <c r="I26" s="114"/>
      <c r="J26" s="114"/>
      <c r="K26" s="114"/>
      <c r="L26" s="114"/>
      <c r="M26" s="114"/>
      <c r="N26" s="114"/>
      <c r="O26" s="114"/>
      <c r="P26" s="114"/>
      <c r="Q26" s="114"/>
      <c r="R26" s="114"/>
      <c r="S26" s="114"/>
      <c r="T26" s="114"/>
      <c r="U26" s="114"/>
      <c r="V26" s="114"/>
      <c r="W26" s="114"/>
      <c r="X26" s="114"/>
      <c r="Y26" s="114"/>
      <c r="Z26" s="116"/>
      <c r="AA26" s="116"/>
      <c r="AB26" s="116"/>
      <c r="AC26" s="116"/>
    </row>
    <row r="27" spans="2:29" s="37" customFormat="1" ht="20" customHeight="1">
      <c r="B27" s="190" t="s">
        <v>139</v>
      </c>
      <c r="C27" s="190"/>
      <c r="D27" s="190"/>
      <c r="E27" s="190"/>
      <c r="F27" s="190"/>
      <c r="G27" s="190"/>
      <c r="H27" s="190"/>
      <c r="I27" s="190"/>
      <c r="J27" s="190"/>
      <c r="K27" s="190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</row>
    <row r="28" spans="2:29" s="37" customFormat="1" ht="20" customHeight="1">
      <c r="B28" s="114"/>
      <c r="C28" s="114"/>
      <c r="D28" s="114"/>
      <c r="E28" s="114"/>
      <c r="F28" s="193" t="s">
        <v>121</v>
      </c>
      <c r="G28" s="193"/>
      <c r="H28" s="193"/>
      <c r="I28" s="193"/>
      <c r="J28" s="193"/>
      <c r="K28" s="193"/>
      <c r="L28" s="193"/>
      <c r="M28" s="193"/>
      <c r="N28" s="193"/>
      <c r="O28" s="193"/>
      <c r="P28" s="193"/>
      <c r="Q28" s="193"/>
      <c r="R28" s="193"/>
      <c r="S28" s="193"/>
      <c r="T28" s="193"/>
      <c r="U28" s="193"/>
      <c r="V28" s="193"/>
      <c r="W28" s="193"/>
      <c r="X28" s="193"/>
      <c r="Y28" s="193"/>
      <c r="Z28" s="193"/>
      <c r="AA28" s="193"/>
      <c r="AB28" s="193"/>
      <c r="AC28" s="193"/>
    </row>
    <row r="29" spans="2:29" s="37" customFormat="1" ht="20" customHeight="1">
      <c r="B29" s="114"/>
      <c r="C29" s="114"/>
      <c r="D29" s="114"/>
      <c r="E29" s="114"/>
      <c r="F29" s="193" t="s">
        <v>164</v>
      </c>
      <c r="G29" s="193"/>
      <c r="H29" s="193"/>
      <c r="I29" s="193"/>
      <c r="J29" s="193"/>
      <c r="K29" s="193"/>
      <c r="L29" s="193"/>
      <c r="M29" s="193"/>
      <c r="N29" s="193"/>
      <c r="O29" s="193"/>
      <c r="P29" s="193"/>
      <c r="Q29" s="193"/>
      <c r="R29" s="193"/>
      <c r="S29" s="193"/>
      <c r="T29" s="193"/>
      <c r="U29" s="193"/>
      <c r="V29" s="193"/>
      <c r="W29" s="193"/>
      <c r="X29" s="193"/>
      <c r="Y29" s="193"/>
      <c r="Z29" s="193"/>
      <c r="AA29" s="193"/>
      <c r="AB29" s="193"/>
      <c r="AC29" s="193"/>
    </row>
    <row r="30" spans="2:29" s="37" customFormat="1" ht="10" customHeight="1">
      <c r="B30" s="114"/>
      <c r="C30" s="114"/>
      <c r="D30" s="114"/>
      <c r="E30" s="114"/>
      <c r="F30" s="114"/>
      <c r="G30" s="114"/>
      <c r="H30" s="114"/>
      <c r="I30" s="114"/>
      <c r="J30" s="114"/>
      <c r="K30" s="114"/>
      <c r="L30" s="114"/>
      <c r="M30" s="114"/>
      <c r="N30" s="114"/>
      <c r="O30" s="114"/>
      <c r="P30" s="114"/>
      <c r="Q30" s="114"/>
      <c r="R30" s="114"/>
      <c r="S30" s="114"/>
      <c r="T30" s="114"/>
      <c r="U30" s="114"/>
      <c r="V30" s="114"/>
      <c r="W30" s="114"/>
      <c r="X30" s="114"/>
      <c r="Y30" s="114"/>
      <c r="Z30" s="116"/>
      <c r="AA30" s="116"/>
      <c r="AB30" s="116"/>
      <c r="AC30" s="116"/>
    </row>
    <row r="31" spans="2:29" s="37" customFormat="1" ht="20" customHeight="1">
      <c r="B31" s="192" t="s">
        <v>141</v>
      </c>
      <c r="C31" s="192"/>
      <c r="D31" s="192"/>
      <c r="E31" s="192"/>
      <c r="F31" s="192"/>
      <c r="G31" s="192"/>
      <c r="H31" s="192"/>
      <c r="I31" s="192"/>
      <c r="J31" s="192"/>
      <c r="K31" s="192"/>
      <c r="L31" s="194" t="str">
        <f>대가산출!D3</f>
        <v>일금일백팔십만원정 (₩1,800,000)-VAT별도</v>
      </c>
      <c r="M31" s="194"/>
      <c r="N31" s="194"/>
      <c r="O31" s="194"/>
      <c r="P31" s="194"/>
      <c r="Q31" s="194"/>
      <c r="R31" s="194"/>
      <c r="S31" s="194"/>
      <c r="T31" s="194"/>
      <c r="U31" s="194"/>
      <c r="V31" s="194"/>
      <c r="W31" s="194"/>
      <c r="X31" s="194"/>
      <c r="Y31" s="194"/>
      <c r="Z31" s="194"/>
      <c r="AA31" s="194"/>
      <c r="AB31" s="194"/>
      <c r="AC31" s="194"/>
    </row>
    <row r="32" spans="2:29" s="37" customFormat="1" ht="10" customHeight="1">
      <c r="B32" s="114"/>
      <c r="C32" s="114"/>
      <c r="D32" s="114"/>
      <c r="E32" s="114"/>
      <c r="F32" s="114"/>
      <c r="G32" s="114"/>
      <c r="H32" s="114"/>
      <c r="I32" s="114"/>
      <c r="J32" s="114"/>
      <c r="K32" s="114"/>
      <c r="L32" s="114"/>
      <c r="M32" s="114"/>
      <c r="N32" s="114"/>
      <c r="O32" s="114"/>
      <c r="P32" s="114"/>
      <c r="Q32" s="114"/>
      <c r="R32" s="114"/>
      <c r="S32" s="114"/>
      <c r="T32" s="114"/>
      <c r="U32" s="114"/>
      <c r="V32" s="114"/>
      <c r="W32" s="114"/>
      <c r="X32" s="114"/>
      <c r="Y32" s="114"/>
      <c r="Z32" s="116"/>
      <c r="AA32" s="116"/>
      <c r="AB32" s="116"/>
      <c r="AC32" s="116"/>
    </row>
    <row r="33" spans="1:29" s="37" customFormat="1" ht="20" customHeight="1">
      <c r="B33" s="190" t="s">
        <v>140</v>
      </c>
      <c r="C33" s="190"/>
      <c r="D33" s="190"/>
      <c r="E33" s="190"/>
      <c r="F33" s="190"/>
      <c r="G33" s="190"/>
      <c r="H33" s="190"/>
      <c r="I33" s="190"/>
      <c r="J33" s="190"/>
      <c r="K33" s="190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</row>
    <row r="34" spans="1:29" s="37" customFormat="1" ht="38.25" customHeight="1"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</row>
    <row r="35" spans="1:29" s="37" customFormat="1" ht="10" customHeight="1"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</row>
    <row r="36" spans="1:29" s="37" customFormat="1" ht="19.5" customHeight="1">
      <c r="B36" s="190" t="s">
        <v>150</v>
      </c>
      <c r="C36" s="190"/>
      <c r="D36" s="190"/>
      <c r="E36" s="190"/>
      <c r="F36" s="190"/>
      <c r="G36" s="190"/>
      <c r="H36" s="190"/>
      <c r="I36" s="190"/>
      <c r="J36" s="190"/>
      <c r="K36" s="190"/>
      <c r="L36" s="190"/>
      <c r="M36" s="190"/>
      <c r="N36" s="190"/>
      <c r="O36" s="190"/>
      <c r="P36" s="190"/>
      <c r="Q36" s="190"/>
      <c r="R36" s="190"/>
      <c r="S36" s="190"/>
      <c r="T36" s="190"/>
      <c r="U36" s="190"/>
      <c r="V36" s="190"/>
      <c r="W36" s="190"/>
      <c r="X36" s="190"/>
      <c r="Y36" s="190"/>
      <c r="Z36" s="190"/>
      <c r="AA36" s="190"/>
      <c r="AB36" s="190"/>
      <c r="AC36" s="190"/>
    </row>
    <row r="37" spans="1:29" s="37" customFormat="1" ht="19.5" customHeight="1">
      <c r="B37" s="38"/>
      <c r="C37" s="38"/>
      <c r="D37" s="38"/>
      <c r="E37" s="38"/>
      <c r="F37" s="38"/>
      <c r="G37" s="38"/>
      <c r="H37" s="39"/>
      <c r="I37" s="39"/>
      <c r="J37" s="38"/>
      <c r="K37" s="38"/>
      <c r="L37" s="38"/>
      <c r="M37" s="38"/>
      <c r="N37" s="38"/>
    </row>
    <row r="38" spans="1:29" s="37" customFormat="1" ht="46.5" customHeight="1">
      <c r="B38" s="191" t="s">
        <v>56</v>
      </c>
      <c r="C38" s="191"/>
      <c r="D38" s="191"/>
      <c r="E38" s="191"/>
      <c r="F38" s="191"/>
      <c r="G38" s="191"/>
      <c r="H38" s="191"/>
      <c r="I38" s="191"/>
      <c r="J38" s="191"/>
      <c r="K38" s="191"/>
      <c r="L38" s="191"/>
      <c r="M38" s="191"/>
      <c r="N38" s="191"/>
      <c r="O38" s="191"/>
      <c r="P38" s="191"/>
      <c r="Q38" s="191"/>
      <c r="R38" s="191"/>
      <c r="S38" s="191"/>
      <c r="T38" s="191"/>
      <c r="U38" s="191"/>
      <c r="V38" s="191"/>
      <c r="W38" s="191"/>
      <c r="X38" s="191"/>
      <c r="Y38" s="191"/>
      <c r="Z38" s="191"/>
      <c r="AA38" s="191"/>
      <c r="AB38" s="191"/>
      <c r="AC38" s="191"/>
    </row>
    <row r="39" spans="1:29">
      <c r="A39" s="31"/>
      <c r="B39" s="31"/>
      <c r="C39" s="36"/>
      <c r="D39" s="36"/>
      <c r="E39" s="36"/>
      <c r="F39" s="36"/>
      <c r="G39" s="36"/>
      <c r="H39" s="36"/>
      <c r="I39" s="36"/>
    </row>
    <row r="40" spans="1:29">
      <c r="A40" s="31"/>
      <c r="B40" s="31"/>
      <c r="C40" s="36"/>
      <c r="D40" s="36"/>
      <c r="E40" s="36"/>
      <c r="F40" s="36"/>
      <c r="G40" s="36"/>
      <c r="H40" s="36"/>
      <c r="I40" s="36"/>
    </row>
    <row r="41" spans="1:29">
      <c r="A41" s="31"/>
      <c r="B41" s="31"/>
      <c r="C41" s="36"/>
      <c r="D41" s="36"/>
      <c r="E41" s="36"/>
      <c r="F41" s="36"/>
      <c r="G41" s="36"/>
      <c r="H41" s="36"/>
      <c r="I41" s="36"/>
    </row>
    <row r="42" spans="1:29">
      <c r="A42" s="31"/>
      <c r="B42" s="31"/>
      <c r="C42" s="36"/>
      <c r="D42" s="36"/>
      <c r="E42" s="36"/>
      <c r="F42" s="36"/>
      <c r="G42" s="36"/>
      <c r="H42" s="36"/>
      <c r="I42" s="36"/>
    </row>
    <row r="43" spans="1:29">
      <c r="A43" s="31"/>
      <c r="B43" s="31"/>
      <c r="C43" s="36"/>
      <c r="D43" s="36"/>
      <c r="E43" s="36"/>
      <c r="F43" s="36"/>
      <c r="G43" s="36"/>
      <c r="H43" s="36"/>
      <c r="I43" s="36"/>
    </row>
    <row r="44" spans="1:29">
      <c r="A44" s="31"/>
      <c r="B44" s="31"/>
      <c r="C44" s="36"/>
      <c r="D44" s="36"/>
      <c r="E44" s="36"/>
      <c r="F44" s="36"/>
      <c r="G44" s="36"/>
      <c r="H44" s="36"/>
      <c r="I44" s="36"/>
    </row>
    <row r="45" spans="1:29">
      <c r="A45" s="31"/>
      <c r="B45" s="31"/>
      <c r="C45" s="36"/>
      <c r="D45" s="36"/>
      <c r="E45" s="36"/>
      <c r="F45" s="36"/>
      <c r="G45" s="36"/>
      <c r="H45" s="36"/>
      <c r="I45" s="36"/>
    </row>
    <row r="46" spans="1:29">
      <c r="A46" s="31"/>
      <c r="B46" s="31"/>
      <c r="C46" s="36"/>
      <c r="D46" s="36"/>
      <c r="E46" s="36"/>
      <c r="F46" s="36"/>
      <c r="G46" s="36"/>
      <c r="H46" s="36"/>
      <c r="I46" s="36"/>
    </row>
    <row r="47" spans="1:29">
      <c r="A47" s="31"/>
      <c r="B47" s="31"/>
      <c r="C47" s="36"/>
      <c r="D47" s="36"/>
      <c r="E47" s="36"/>
      <c r="F47" s="36"/>
      <c r="G47" s="36"/>
      <c r="H47" s="36"/>
      <c r="I47" s="36"/>
    </row>
    <row r="48" spans="1:29">
      <c r="A48" s="31"/>
      <c r="B48" s="31"/>
      <c r="C48" s="36"/>
      <c r="D48" s="36"/>
      <c r="E48" s="36"/>
      <c r="F48" s="36"/>
      <c r="G48" s="36"/>
      <c r="H48" s="36"/>
      <c r="I48" s="36"/>
    </row>
    <row r="49" spans="1:9">
      <c r="A49" s="31"/>
      <c r="B49" s="31"/>
      <c r="C49" s="36"/>
      <c r="D49" s="36"/>
      <c r="E49" s="36"/>
      <c r="F49" s="36"/>
      <c r="G49" s="36"/>
      <c r="H49" s="36"/>
      <c r="I49" s="36"/>
    </row>
    <row r="50" spans="1:9">
      <c r="A50" s="31"/>
      <c r="B50" s="31"/>
      <c r="C50" s="36"/>
      <c r="D50" s="36"/>
      <c r="E50" s="36"/>
      <c r="F50" s="36"/>
      <c r="G50" s="36"/>
      <c r="H50" s="36"/>
      <c r="I50" s="36"/>
    </row>
    <row r="51" spans="1:9">
      <c r="A51" s="31"/>
      <c r="B51" s="31"/>
      <c r="C51" s="36"/>
      <c r="D51" s="36"/>
      <c r="E51" s="36"/>
      <c r="F51" s="36"/>
      <c r="G51" s="36"/>
      <c r="H51" s="36"/>
      <c r="I51" s="36"/>
    </row>
    <row r="52" spans="1:9">
      <c r="A52" s="31"/>
      <c r="B52" s="31"/>
      <c r="C52" s="36"/>
      <c r="D52" s="36"/>
      <c r="E52" s="36"/>
      <c r="F52" s="36"/>
      <c r="G52" s="36"/>
      <c r="H52" s="36"/>
      <c r="I52" s="36"/>
    </row>
    <row r="53" spans="1:9">
      <c r="A53" s="31"/>
      <c r="B53" s="31"/>
      <c r="C53" s="36"/>
      <c r="D53" s="36"/>
      <c r="E53" s="36"/>
      <c r="F53" s="36"/>
      <c r="G53" s="36"/>
      <c r="H53" s="36"/>
      <c r="I53" s="36"/>
    </row>
    <row r="54" spans="1:9">
      <c r="A54" s="31"/>
      <c r="B54" s="31"/>
      <c r="C54" s="36"/>
      <c r="D54" s="36"/>
      <c r="E54" s="36"/>
      <c r="F54" s="36"/>
      <c r="G54" s="36"/>
      <c r="H54" s="36"/>
      <c r="I54" s="36"/>
    </row>
    <row r="55" spans="1:9">
      <c r="A55" s="31"/>
      <c r="B55" s="31"/>
      <c r="C55" s="36"/>
      <c r="D55" s="36"/>
      <c r="E55" s="36"/>
      <c r="F55" s="36"/>
      <c r="G55" s="36"/>
      <c r="H55" s="36"/>
      <c r="I55" s="36"/>
    </row>
    <row r="56" spans="1:9">
      <c r="A56" s="31"/>
      <c r="B56" s="31"/>
      <c r="C56" s="36"/>
      <c r="D56" s="36"/>
      <c r="E56" s="36"/>
      <c r="F56" s="36"/>
      <c r="G56" s="36"/>
      <c r="H56" s="36"/>
      <c r="I56" s="36"/>
    </row>
    <row r="57" spans="1:9">
      <c r="A57" s="31"/>
      <c r="B57" s="31"/>
      <c r="C57" s="36"/>
      <c r="D57" s="36"/>
      <c r="E57" s="36"/>
      <c r="F57" s="36"/>
      <c r="G57" s="36"/>
      <c r="H57" s="36"/>
      <c r="I57" s="36"/>
    </row>
    <row r="58" spans="1:9">
      <c r="A58" s="31"/>
      <c r="B58" s="31"/>
      <c r="C58" s="36"/>
      <c r="D58" s="36"/>
      <c r="E58" s="36"/>
      <c r="F58" s="36"/>
      <c r="G58" s="36"/>
      <c r="H58" s="36"/>
      <c r="I58" s="36"/>
    </row>
    <row r="59" spans="1:9">
      <c r="A59" s="31"/>
      <c r="B59" s="31"/>
      <c r="C59" s="36"/>
      <c r="D59" s="36"/>
      <c r="E59" s="36"/>
      <c r="F59" s="36"/>
      <c r="G59" s="36"/>
      <c r="H59" s="36"/>
      <c r="I59" s="36"/>
    </row>
    <row r="60" spans="1:9">
      <c r="A60" s="31"/>
      <c r="B60" s="31"/>
      <c r="C60" s="36"/>
      <c r="D60" s="36"/>
      <c r="E60" s="36"/>
      <c r="F60" s="36"/>
      <c r="G60" s="36"/>
      <c r="H60" s="36"/>
      <c r="I60" s="36"/>
    </row>
    <row r="61" spans="1:9">
      <c r="A61" s="31"/>
      <c r="B61" s="31"/>
      <c r="C61" s="36"/>
      <c r="D61" s="36"/>
      <c r="E61" s="36"/>
      <c r="F61" s="36"/>
      <c r="G61" s="36"/>
      <c r="H61" s="36"/>
      <c r="I61" s="36"/>
    </row>
    <row r="62" spans="1:9">
      <c r="A62" s="31"/>
      <c r="B62" s="31"/>
      <c r="C62" s="36"/>
      <c r="D62" s="36"/>
      <c r="E62" s="36"/>
      <c r="F62" s="36"/>
      <c r="G62" s="36"/>
      <c r="H62" s="36"/>
      <c r="I62" s="36"/>
    </row>
    <row r="63" spans="1:9">
      <c r="A63" s="31"/>
      <c r="B63" s="31"/>
      <c r="C63" s="36"/>
      <c r="D63" s="36"/>
      <c r="E63" s="36"/>
      <c r="F63" s="36"/>
      <c r="G63" s="36"/>
      <c r="H63" s="36"/>
      <c r="I63" s="36"/>
    </row>
    <row r="64" spans="1:9">
      <c r="A64" s="31"/>
      <c r="B64" s="31"/>
      <c r="C64" s="36"/>
      <c r="D64" s="36"/>
      <c r="E64" s="36"/>
      <c r="F64" s="36"/>
      <c r="G64" s="36"/>
      <c r="H64" s="36"/>
      <c r="I64" s="36"/>
    </row>
    <row r="65" spans="1:9">
      <c r="A65" s="31"/>
      <c r="B65" s="31"/>
      <c r="C65" s="36"/>
      <c r="D65" s="36"/>
      <c r="E65" s="36"/>
      <c r="F65" s="36"/>
      <c r="G65" s="36"/>
      <c r="H65" s="36"/>
      <c r="I65" s="36"/>
    </row>
    <row r="66" spans="1:9">
      <c r="A66" s="31"/>
      <c r="B66" s="31"/>
      <c r="C66" s="36"/>
      <c r="D66" s="36"/>
      <c r="E66" s="36"/>
      <c r="F66" s="36"/>
      <c r="G66" s="36"/>
      <c r="H66" s="36"/>
      <c r="I66" s="36"/>
    </row>
    <row r="67" spans="1:9">
      <c r="A67" s="31"/>
      <c r="B67" s="31"/>
      <c r="C67" s="36"/>
      <c r="D67" s="36"/>
      <c r="E67" s="36"/>
      <c r="F67" s="36"/>
      <c r="G67" s="36"/>
      <c r="H67" s="36"/>
      <c r="I67" s="36"/>
    </row>
    <row r="68" spans="1:9">
      <c r="A68" s="31"/>
      <c r="B68" s="31"/>
      <c r="C68" s="36"/>
      <c r="D68" s="36"/>
      <c r="E68" s="36"/>
      <c r="F68" s="36"/>
      <c r="G68" s="36"/>
      <c r="H68" s="36"/>
      <c r="I68" s="36"/>
    </row>
    <row r="69" spans="1:9">
      <c r="A69" s="31"/>
      <c r="B69" s="31"/>
      <c r="C69" s="36"/>
      <c r="D69" s="36"/>
      <c r="E69" s="36"/>
      <c r="F69" s="36"/>
      <c r="G69" s="36"/>
      <c r="H69" s="36"/>
      <c r="I69" s="36"/>
    </row>
    <row r="70" spans="1:9">
      <c r="A70" s="31"/>
      <c r="B70" s="31"/>
      <c r="C70" s="36"/>
      <c r="D70" s="36"/>
      <c r="E70" s="36"/>
      <c r="F70" s="36"/>
      <c r="G70" s="36"/>
      <c r="H70" s="36"/>
      <c r="I70" s="36"/>
    </row>
    <row r="71" spans="1:9">
      <c r="A71" s="31"/>
      <c r="B71" s="31"/>
      <c r="C71" s="36"/>
      <c r="D71" s="36"/>
      <c r="E71" s="36"/>
      <c r="F71" s="36"/>
      <c r="G71" s="36"/>
      <c r="H71" s="36"/>
      <c r="I71" s="36"/>
    </row>
    <row r="72" spans="1:9">
      <c r="A72" s="31"/>
      <c r="B72" s="31"/>
      <c r="C72" s="36"/>
      <c r="D72" s="36"/>
      <c r="E72" s="36"/>
      <c r="F72" s="36"/>
      <c r="G72" s="36"/>
      <c r="H72" s="36"/>
      <c r="I72" s="36"/>
    </row>
    <row r="73" spans="1:9">
      <c r="A73" s="31"/>
      <c r="B73" s="31"/>
      <c r="C73" s="36"/>
      <c r="D73" s="36"/>
      <c r="E73" s="36"/>
      <c r="F73" s="36"/>
      <c r="G73" s="36"/>
      <c r="H73" s="36"/>
      <c r="I73" s="36"/>
    </row>
    <row r="74" spans="1:9">
      <c r="A74" s="31"/>
      <c r="B74" s="31"/>
      <c r="C74" s="36"/>
      <c r="D74" s="36"/>
      <c r="E74" s="36"/>
      <c r="F74" s="36"/>
      <c r="G74" s="36"/>
      <c r="H74" s="36"/>
      <c r="I74" s="36"/>
    </row>
    <row r="75" spans="1:9">
      <c r="A75" s="31"/>
      <c r="B75" s="31"/>
      <c r="C75" s="36"/>
      <c r="D75" s="36"/>
      <c r="E75" s="36"/>
      <c r="F75" s="36"/>
      <c r="G75" s="36"/>
      <c r="H75" s="36"/>
      <c r="I75" s="36"/>
    </row>
    <row r="76" spans="1:9">
      <c r="A76" s="31"/>
      <c r="B76" s="31"/>
      <c r="C76" s="36"/>
      <c r="D76" s="36"/>
      <c r="E76" s="36"/>
      <c r="F76" s="36"/>
      <c r="G76" s="36"/>
      <c r="H76" s="36"/>
      <c r="I76" s="36"/>
    </row>
    <row r="77" spans="1:9">
      <c r="A77" s="31"/>
      <c r="B77" s="31"/>
      <c r="C77" s="36"/>
      <c r="D77" s="36"/>
      <c r="E77" s="36"/>
      <c r="F77" s="36"/>
      <c r="G77" s="36"/>
      <c r="H77" s="36"/>
      <c r="I77" s="36"/>
    </row>
    <row r="78" spans="1:9">
      <c r="A78" s="31"/>
      <c r="B78" s="31"/>
      <c r="C78" s="36"/>
      <c r="D78" s="36"/>
      <c r="E78" s="36"/>
      <c r="F78" s="36"/>
      <c r="G78" s="36"/>
      <c r="H78" s="36"/>
      <c r="I78" s="36"/>
    </row>
    <row r="79" spans="1:9">
      <c r="A79" s="31"/>
      <c r="B79" s="31"/>
      <c r="C79" s="36"/>
      <c r="D79" s="36"/>
      <c r="E79" s="36"/>
      <c r="F79" s="36"/>
      <c r="G79" s="36"/>
      <c r="H79" s="36"/>
      <c r="I79" s="36"/>
    </row>
    <row r="80" spans="1:9">
      <c r="A80" s="31"/>
      <c r="B80" s="31"/>
      <c r="C80" s="36"/>
      <c r="D80" s="36"/>
      <c r="E80" s="36"/>
      <c r="F80" s="36"/>
      <c r="G80" s="36"/>
      <c r="H80" s="36"/>
      <c r="I80" s="36"/>
    </row>
    <row r="81" spans="1:9">
      <c r="A81" s="31"/>
      <c r="B81" s="31"/>
      <c r="C81" s="36"/>
      <c r="D81" s="36"/>
      <c r="E81" s="36"/>
      <c r="F81" s="36"/>
      <c r="G81" s="36"/>
      <c r="H81" s="36"/>
      <c r="I81" s="36"/>
    </row>
    <row r="82" spans="1:9">
      <c r="A82" s="31"/>
      <c r="B82" s="31"/>
      <c r="C82" s="36"/>
      <c r="D82" s="36"/>
      <c r="E82" s="36"/>
      <c r="F82" s="36"/>
      <c r="G82" s="36"/>
      <c r="H82" s="36"/>
      <c r="I82" s="36"/>
    </row>
    <row r="83" spans="1:9">
      <c r="A83" s="31"/>
      <c r="B83" s="31"/>
      <c r="C83" s="36"/>
      <c r="D83" s="36"/>
      <c r="E83" s="36"/>
      <c r="F83" s="36"/>
      <c r="G83" s="36"/>
      <c r="H83" s="36"/>
      <c r="I83" s="36"/>
    </row>
    <row r="84" spans="1:9">
      <c r="A84" s="31"/>
      <c r="B84" s="31"/>
      <c r="C84" s="36"/>
      <c r="D84" s="36"/>
      <c r="E84" s="36"/>
      <c r="F84" s="36"/>
      <c r="G84" s="36"/>
      <c r="H84" s="36"/>
      <c r="I84" s="36"/>
    </row>
    <row r="85" spans="1:9">
      <c r="A85" s="31"/>
      <c r="B85" s="31"/>
      <c r="C85" s="36"/>
      <c r="D85" s="36"/>
      <c r="E85" s="36"/>
      <c r="F85" s="36"/>
      <c r="G85" s="36"/>
      <c r="H85" s="36"/>
      <c r="I85" s="36"/>
    </row>
    <row r="86" spans="1:9">
      <c r="A86" s="31"/>
      <c r="B86" s="31"/>
      <c r="C86" s="36"/>
      <c r="D86" s="36"/>
      <c r="E86" s="36"/>
      <c r="F86" s="36"/>
      <c r="G86" s="36"/>
      <c r="H86" s="36"/>
      <c r="I86" s="36"/>
    </row>
    <row r="87" spans="1:9">
      <c r="A87" s="31"/>
      <c r="B87" s="31"/>
      <c r="C87" s="36"/>
      <c r="D87" s="36"/>
      <c r="E87" s="36"/>
      <c r="F87" s="36"/>
      <c r="G87" s="36"/>
      <c r="H87" s="36"/>
      <c r="I87" s="36"/>
    </row>
    <row r="88" spans="1:9">
      <c r="A88" s="31"/>
      <c r="B88" s="31"/>
      <c r="C88" s="36"/>
      <c r="D88" s="36"/>
      <c r="E88" s="36"/>
      <c r="F88" s="36"/>
      <c r="G88" s="36"/>
      <c r="H88" s="36"/>
      <c r="I88" s="36"/>
    </row>
    <row r="89" spans="1:9">
      <c r="A89" s="31"/>
      <c r="B89" s="31"/>
      <c r="C89" s="36"/>
      <c r="D89" s="36"/>
      <c r="E89" s="36"/>
      <c r="F89" s="36"/>
      <c r="G89" s="36"/>
      <c r="H89" s="36"/>
      <c r="I89" s="36"/>
    </row>
    <row r="90" spans="1:9">
      <c r="A90" s="31"/>
      <c r="B90" s="31"/>
      <c r="C90" s="36"/>
      <c r="D90" s="36"/>
      <c r="E90" s="36"/>
      <c r="F90" s="36"/>
      <c r="G90" s="36"/>
      <c r="H90" s="36"/>
      <c r="I90" s="36"/>
    </row>
    <row r="91" spans="1:9">
      <c r="A91" s="31"/>
      <c r="B91" s="31"/>
      <c r="C91" s="36"/>
      <c r="D91" s="36"/>
      <c r="E91" s="36"/>
      <c r="F91" s="36"/>
      <c r="G91" s="36"/>
      <c r="H91" s="36"/>
      <c r="I91" s="36"/>
    </row>
    <row r="92" spans="1:9">
      <c r="A92" s="31"/>
      <c r="B92" s="31"/>
      <c r="C92" s="36"/>
      <c r="D92" s="36"/>
      <c r="E92" s="36"/>
      <c r="F92" s="36"/>
      <c r="G92" s="36"/>
      <c r="H92" s="36"/>
      <c r="I92" s="36"/>
    </row>
    <row r="93" spans="1:9">
      <c r="A93" s="31"/>
      <c r="B93" s="31"/>
      <c r="C93" s="36"/>
      <c r="D93" s="36"/>
      <c r="E93" s="36"/>
      <c r="F93" s="36"/>
      <c r="G93" s="36"/>
      <c r="H93" s="36"/>
      <c r="I93" s="36"/>
    </row>
    <row r="94" spans="1:9">
      <c r="A94" s="31"/>
      <c r="B94" s="31"/>
      <c r="C94" s="36"/>
      <c r="D94" s="36"/>
      <c r="E94" s="36"/>
      <c r="F94" s="36"/>
      <c r="G94" s="36"/>
      <c r="H94" s="36"/>
      <c r="I94" s="36"/>
    </row>
    <row r="95" spans="1:9">
      <c r="A95" s="31"/>
      <c r="B95" s="31"/>
      <c r="C95" s="36"/>
      <c r="D95" s="36"/>
      <c r="E95" s="36"/>
      <c r="F95" s="36"/>
      <c r="G95" s="36"/>
      <c r="H95" s="36"/>
      <c r="I95" s="36"/>
    </row>
    <row r="96" spans="1:9">
      <c r="A96" s="31"/>
      <c r="B96" s="31"/>
      <c r="C96" s="36"/>
      <c r="D96" s="36"/>
      <c r="E96" s="36"/>
      <c r="F96" s="36"/>
      <c r="G96" s="36"/>
      <c r="H96" s="36"/>
      <c r="I96" s="36"/>
    </row>
    <row r="97" spans="1:9">
      <c r="A97" s="31"/>
      <c r="B97" s="31"/>
      <c r="C97" s="36"/>
      <c r="D97" s="36"/>
      <c r="E97" s="36"/>
      <c r="F97" s="36"/>
      <c r="G97" s="36"/>
      <c r="H97" s="36"/>
      <c r="I97" s="36"/>
    </row>
    <row r="98" spans="1:9">
      <c r="A98" s="31"/>
      <c r="B98" s="31"/>
      <c r="C98" s="36"/>
      <c r="D98" s="36"/>
      <c r="E98" s="36"/>
      <c r="F98" s="36"/>
      <c r="G98" s="36"/>
      <c r="H98" s="36"/>
      <c r="I98" s="36"/>
    </row>
    <row r="99" spans="1:9">
      <c r="A99" s="31"/>
      <c r="B99" s="31"/>
      <c r="C99" s="36"/>
      <c r="D99" s="36"/>
      <c r="E99" s="36"/>
      <c r="F99" s="36"/>
      <c r="G99" s="36"/>
      <c r="H99" s="36"/>
      <c r="I99" s="36"/>
    </row>
    <row r="100" spans="1:9">
      <c r="A100" s="31"/>
      <c r="B100" s="31"/>
      <c r="C100" s="36"/>
      <c r="D100" s="36"/>
      <c r="E100" s="36"/>
      <c r="F100" s="36"/>
      <c r="G100" s="36"/>
      <c r="H100" s="36"/>
      <c r="I100" s="36"/>
    </row>
    <row r="101" spans="1:9">
      <c r="A101" s="31"/>
      <c r="B101" s="31"/>
      <c r="C101" s="36"/>
      <c r="D101" s="36"/>
      <c r="E101" s="36"/>
      <c r="F101" s="36"/>
      <c r="G101" s="36"/>
      <c r="H101" s="36"/>
      <c r="I101" s="36"/>
    </row>
    <row r="102" spans="1:9">
      <c r="A102" s="31"/>
      <c r="B102" s="31"/>
      <c r="C102" s="36"/>
      <c r="D102" s="36"/>
      <c r="E102" s="36"/>
      <c r="F102" s="36"/>
      <c r="G102" s="36"/>
      <c r="H102" s="36"/>
      <c r="I102" s="36"/>
    </row>
    <row r="103" spans="1:9">
      <c r="A103" s="31"/>
      <c r="B103" s="31"/>
      <c r="C103" s="36"/>
      <c r="D103" s="36"/>
      <c r="E103" s="36"/>
      <c r="F103" s="36"/>
      <c r="G103" s="36"/>
      <c r="H103" s="36"/>
      <c r="I103" s="36"/>
    </row>
    <row r="104" spans="1:9">
      <c r="A104" s="31"/>
      <c r="B104" s="31"/>
      <c r="C104" s="36"/>
      <c r="D104" s="36"/>
      <c r="E104" s="36"/>
      <c r="F104" s="36"/>
      <c r="G104" s="36"/>
      <c r="H104" s="36"/>
      <c r="I104" s="36"/>
    </row>
    <row r="105" spans="1:9">
      <c r="A105" s="31"/>
      <c r="B105" s="31"/>
      <c r="C105" s="36"/>
      <c r="D105" s="36"/>
      <c r="E105" s="36"/>
      <c r="F105" s="36"/>
      <c r="G105" s="36"/>
      <c r="H105" s="36"/>
      <c r="I105" s="36"/>
    </row>
    <row r="106" spans="1:9">
      <c r="A106" s="31"/>
      <c r="B106" s="31"/>
      <c r="C106" s="36"/>
      <c r="D106" s="36"/>
      <c r="E106" s="36"/>
      <c r="F106" s="36"/>
      <c r="G106" s="36"/>
      <c r="H106" s="36"/>
      <c r="I106" s="36"/>
    </row>
    <row r="107" spans="1:9">
      <c r="A107" s="31"/>
      <c r="B107" s="31"/>
      <c r="C107" s="36"/>
      <c r="D107" s="36"/>
      <c r="E107" s="36"/>
      <c r="F107" s="36"/>
      <c r="G107" s="36"/>
      <c r="H107" s="36"/>
      <c r="I107" s="36"/>
    </row>
    <row r="108" spans="1:9">
      <c r="A108" s="31"/>
      <c r="B108" s="31"/>
      <c r="C108" s="36"/>
      <c r="D108" s="36"/>
      <c r="E108" s="36"/>
      <c r="F108" s="36"/>
      <c r="G108" s="36"/>
      <c r="H108" s="36"/>
      <c r="I108" s="36"/>
    </row>
    <row r="109" spans="1:9">
      <c r="A109" s="31"/>
      <c r="B109" s="31"/>
      <c r="C109" s="36"/>
      <c r="D109" s="36"/>
      <c r="E109" s="36"/>
      <c r="F109" s="36"/>
      <c r="G109" s="36"/>
      <c r="H109" s="36"/>
      <c r="I109" s="36"/>
    </row>
    <row r="110" spans="1:9">
      <c r="A110" s="31"/>
      <c r="B110" s="31"/>
      <c r="C110" s="36"/>
      <c r="D110" s="36"/>
      <c r="E110" s="36"/>
      <c r="F110" s="36"/>
      <c r="G110" s="36"/>
      <c r="H110" s="36"/>
      <c r="I110" s="36"/>
    </row>
    <row r="111" spans="1:9">
      <c r="A111" s="31"/>
      <c r="B111" s="31"/>
      <c r="C111" s="36"/>
      <c r="D111" s="36"/>
      <c r="E111" s="36"/>
      <c r="F111" s="36"/>
      <c r="G111" s="36"/>
      <c r="H111" s="36"/>
      <c r="I111" s="36"/>
    </row>
    <row r="112" spans="1:9">
      <c r="A112" s="31"/>
      <c r="B112" s="31"/>
      <c r="C112" s="36"/>
      <c r="D112" s="36"/>
      <c r="E112" s="36"/>
      <c r="F112" s="36"/>
      <c r="G112" s="36"/>
      <c r="H112" s="36"/>
      <c r="I112" s="36"/>
    </row>
    <row r="113" spans="1:9">
      <c r="A113" s="31"/>
      <c r="B113" s="31"/>
      <c r="C113" s="36"/>
      <c r="D113" s="36"/>
      <c r="E113" s="36"/>
      <c r="F113" s="36"/>
      <c r="G113" s="36"/>
      <c r="H113" s="36"/>
      <c r="I113" s="36"/>
    </row>
    <row r="114" spans="1:9">
      <c r="A114" s="31"/>
      <c r="B114" s="31"/>
      <c r="C114" s="36"/>
      <c r="D114" s="36"/>
      <c r="E114" s="36"/>
      <c r="F114" s="36"/>
      <c r="G114" s="36"/>
      <c r="H114" s="36"/>
      <c r="I114" s="36"/>
    </row>
    <row r="115" spans="1:9">
      <c r="A115" s="31"/>
      <c r="B115" s="31"/>
      <c r="C115" s="36"/>
      <c r="D115" s="36"/>
      <c r="E115" s="36"/>
      <c r="F115" s="36"/>
      <c r="G115" s="36"/>
      <c r="H115" s="36"/>
      <c r="I115" s="36"/>
    </row>
    <row r="116" spans="1:9">
      <c r="A116" s="31"/>
      <c r="B116" s="31"/>
      <c r="C116" s="36"/>
      <c r="D116" s="36"/>
      <c r="E116" s="36"/>
      <c r="F116" s="36"/>
      <c r="G116" s="36"/>
      <c r="H116" s="36"/>
      <c r="I116" s="36"/>
    </row>
    <row r="117" spans="1:9">
      <c r="A117" s="31"/>
      <c r="B117" s="31"/>
      <c r="C117" s="36"/>
      <c r="D117" s="36"/>
      <c r="E117" s="36"/>
      <c r="F117" s="36"/>
      <c r="G117" s="36"/>
      <c r="H117" s="36"/>
      <c r="I117" s="36"/>
    </row>
    <row r="118" spans="1:9">
      <c r="A118" s="31"/>
      <c r="B118" s="31"/>
      <c r="C118" s="36"/>
      <c r="D118" s="36"/>
      <c r="E118" s="36"/>
      <c r="F118" s="36"/>
      <c r="G118" s="36"/>
      <c r="H118" s="36"/>
      <c r="I118" s="36"/>
    </row>
    <row r="119" spans="1:9">
      <c r="A119" s="31"/>
      <c r="B119" s="31"/>
      <c r="C119" s="36"/>
      <c r="D119" s="36"/>
      <c r="E119" s="36"/>
      <c r="F119" s="36"/>
      <c r="G119" s="36"/>
      <c r="H119" s="36"/>
      <c r="I119" s="36"/>
    </row>
    <row r="120" spans="1:9">
      <c r="A120" s="31"/>
      <c r="B120" s="31"/>
      <c r="C120" s="36"/>
      <c r="D120" s="36"/>
      <c r="E120" s="36"/>
      <c r="F120" s="36"/>
      <c r="G120" s="36"/>
      <c r="H120" s="36"/>
      <c r="I120" s="36"/>
    </row>
    <row r="121" spans="1:9">
      <c r="A121" s="31"/>
      <c r="B121" s="31"/>
      <c r="C121" s="36"/>
      <c r="D121" s="36"/>
      <c r="E121" s="36"/>
      <c r="F121" s="36"/>
      <c r="G121" s="36"/>
      <c r="H121" s="36"/>
      <c r="I121" s="36"/>
    </row>
    <row r="122" spans="1:9">
      <c r="A122" s="31"/>
      <c r="B122" s="31"/>
      <c r="C122" s="36"/>
      <c r="D122" s="36"/>
      <c r="E122" s="36"/>
      <c r="F122" s="36"/>
      <c r="G122" s="36"/>
      <c r="H122" s="36"/>
      <c r="I122" s="36"/>
    </row>
    <row r="123" spans="1:9">
      <c r="A123" s="31"/>
      <c r="B123" s="31"/>
      <c r="C123" s="36"/>
      <c r="D123" s="36"/>
      <c r="E123" s="36"/>
      <c r="F123" s="36"/>
      <c r="G123" s="36"/>
      <c r="H123" s="36"/>
      <c r="I123" s="36"/>
    </row>
    <row r="124" spans="1:9">
      <c r="A124" s="31"/>
      <c r="B124" s="31"/>
      <c r="C124" s="36"/>
      <c r="D124" s="36"/>
      <c r="E124" s="36"/>
      <c r="F124" s="36"/>
      <c r="G124" s="36"/>
      <c r="H124" s="36"/>
      <c r="I124" s="36"/>
    </row>
    <row r="125" spans="1:9">
      <c r="A125" s="31"/>
      <c r="B125" s="31"/>
      <c r="C125" s="36"/>
      <c r="D125" s="36"/>
      <c r="E125" s="36"/>
      <c r="F125" s="36"/>
      <c r="G125" s="36"/>
      <c r="H125" s="36"/>
      <c r="I125" s="36"/>
    </row>
    <row r="126" spans="1:9">
      <c r="A126" s="31"/>
      <c r="B126" s="31"/>
      <c r="C126" s="36"/>
      <c r="D126" s="36"/>
      <c r="E126" s="36"/>
      <c r="F126" s="36"/>
      <c r="G126" s="36"/>
      <c r="H126" s="36"/>
      <c r="I126" s="36"/>
    </row>
    <row r="127" spans="1:9">
      <c r="A127" s="31"/>
      <c r="B127" s="31"/>
      <c r="C127" s="36"/>
      <c r="D127" s="36"/>
      <c r="E127" s="36"/>
      <c r="F127" s="36"/>
      <c r="G127" s="36"/>
      <c r="H127" s="36"/>
      <c r="I127" s="36"/>
    </row>
    <row r="128" spans="1:9">
      <c r="A128" s="31"/>
      <c r="B128" s="31"/>
      <c r="C128" s="36"/>
      <c r="D128" s="36"/>
      <c r="E128" s="36"/>
      <c r="F128" s="36"/>
      <c r="G128" s="36"/>
      <c r="H128" s="36"/>
      <c r="I128" s="36"/>
    </row>
    <row r="129" spans="1:9">
      <c r="A129" s="31"/>
      <c r="B129" s="31"/>
      <c r="C129" s="36"/>
      <c r="D129" s="36"/>
      <c r="E129" s="36"/>
      <c r="F129" s="36"/>
      <c r="G129" s="36"/>
      <c r="H129" s="36"/>
      <c r="I129" s="36"/>
    </row>
    <row r="130" spans="1:9">
      <c r="A130" s="31"/>
      <c r="B130" s="31"/>
      <c r="C130" s="36"/>
      <c r="D130" s="36"/>
      <c r="E130" s="36"/>
      <c r="F130" s="36"/>
      <c r="G130" s="36"/>
      <c r="H130" s="36"/>
      <c r="I130" s="36"/>
    </row>
    <row r="131" spans="1:9">
      <c r="A131" s="31"/>
      <c r="B131" s="31"/>
      <c r="C131" s="36"/>
      <c r="D131" s="36"/>
      <c r="E131" s="36"/>
      <c r="F131" s="36"/>
      <c r="G131" s="36"/>
      <c r="H131" s="36"/>
      <c r="I131" s="36"/>
    </row>
    <row r="132" spans="1:9">
      <c r="A132" s="31"/>
      <c r="B132" s="31"/>
      <c r="C132" s="36"/>
      <c r="D132" s="36"/>
      <c r="E132" s="36"/>
      <c r="F132" s="36"/>
      <c r="G132" s="36"/>
      <c r="H132" s="36"/>
      <c r="I132" s="36"/>
    </row>
    <row r="133" spans="1:9">
      <c r="A133" s="31"/>
      <c r="B133" s="31"/>
      <c r="C133" s="36"/>
      <c r="D133" s="36"/>
      <c r="E133" s="36"/>
      <c r="F133" s="36"/>
      <c r="G133" s="36"/>
      <c r="H133" s="36"/>
      <c r="I133" s="36"/>
    </row>
    <row r="134" spans="1:9">
      <c r="A134" s="31"/>
      <c r="B134" s="31"/>
      <c r="C134" s="36"/>
      <c r="D134" s="36"/>
      <c r="E134" s="36"/>
      <c r="F134" s="36"/>
      <c r="G134" s="36"/>
      <c r="H134" s="36"/>
      <c r="I134" s="36"/>
    </row>
    <row r="135" spans="1:9">
      <c r="A135" s="31"/>
      <c r="B135" s="31"/>
      <c r="C135" s="36"/>
      <c r="D135" s="36"/>
      <c r="E135" s="36"/>
      <c r="F135" s="36"/>
      <c r="G135" s="36"/>
      <c r="H135" s="36"/>
      <c r="I135" s="36"/>
    </row>
    <row r="136" spans="1:9">
      <c r="A136" s="31"/>
      <c r="B136" s="31"/>
      <c r="C136" s="36"/>
      <c r="D136" s="36"/>
      <c r="E136" s="36"/>
      <c r="F136" s="36"/>
      <c r="G136" s="36"/>
      <c r="H136" s="36"/>
      <c r="I136" s="36"/>
    </row>
    <row r="137" spans="1:9">
      <c r="A137" s="31"/>
      <c r="B137" s="31"/>
      <c r="C137" s="36"/>
      <c r="D137" s="36"/>
      <c r="E137" s="36"/>
      <c r="F137" s="36"/>
      <c r="G137" s="36"/>
      <c r="H137" s="36"/>
      <c r="I137" s="36"/>
    </row>
    <row r="138" spans="1:9">
      <c r="A138" s="31"/>
      <c r="B138" s="31"/>
      <c r="C138" s="36"/>
      <c r="D138" s="36"/>
      <c r="E138" s="36"/>
      <c r="F138" s="36"/>
      <c r="G138" s="36"/>
      <c r="H138" s="36"/>
      <c r="I138" s="36"/>
    </row>
    <row r="139" spans="1:9">
      <c r="A139" s="31"/>
      <c r="B139" s="31"/>
      <c r="C139" s="36"/>
      <c r="D139" s="36"/>
      <c r="E139" s="36"/>
      <c r="F139" s="36"/>
      <c r="G139" s="36"/>
      <c r="H139" s="36"/>
      <c r="I139" s="36"/>
    </row>
    <row r="140" spans="1:9">
      <c r="A140" s="31"/>
      <c r="B140" s="31"/>
      <c r="C140" s="36"/>
      <c r="D140" s="36"/>
      <c r="E140" s="36"/>
      <c r="F140" s="36"/>
      <c r="G140" s="36"/>
      <c r="H140" s="36"/>
      <c r="I140" s="36"/>
    </row>
    <row r="141" spans="1:9">
      <c r="A141" s="31"/>
      <c r="B141" s="31"/>
      <c r="C141" s="36"/>
      <c r="D141" s="36"/>
      <c r="E141" s="36"/>
      <c r="F141" s="36"/>
      <c r="G141" s="36"/>
      <c r="H141" s="36"/>
      <c r="I141" s="36"/>
    </row>
    <row r="142" spans="1:9">
      <c r="A142" s="31"/>
      <c r="B142" s="31"/>
      <c r="C142" s="36"/>
      <c r="D142" s="36"/>
      <c r="E142" s="36"/>
      <c r="F142" s="36"/>
      <c r="G142" s="36"/>
      <c r="H142" s="36"/>
      <c r="I142" s="36"/>
    </row>
    <row r="143" spans="1:9">
      <c r="A143" s="31"/>
      <c r="B143" s="31"/>
      <c r="C143" s="36"/>
      <c r="D143" s="36"/>
      <c r="E143" s="36"/>
      <c r="F143" s="36"/>
      <c r="G143" s="36"/>
      <c r="H143" s="36"/>
      <c r="I143" s="36"/>
    </row>
    <row r="144" spans="1:9">
      <c r="A144" s="31"/>
      <c r="B144" s="31"/>
      <c r="C144" s="36"/>
      <c r="D144" s="36"/>
      <c r="E144" s="36"/>
      <c r="F144" s="36"/>
      <c r="G144" s="36"/>
      <c r="H144" s="36"/>
      <c r="I144" s="36"/>
    </row>
    <row r="145" spans="1:9">
      <c r="A145" s="31"/>
      <c r="B145" s="31"/>
      <c r="C145" s="36"/>
      <c r="D145" s="36"/>
      <c r="E145" s="36"/>
      <c r="F145" s="36"/>
      <c r="G145" s="36"/>
      <c r="H145" s="36"/>
      <c r="I145" s="36"/>
    </row>
    <row r="146" spans="1:9">
      <c r="A146" s="31"/>
      <c r="B146" s="31"/>
      <c r="C146" s="36"/>
      <c r="D146" s="36"/>
      <c r="E146" s="36"/>
      <c r="F146" s="36"/>
      <c r="G146" s="36"/>
      <c r="H146" s="36"/>
      <c r="I146" s="36"/>
    </row>
    <row r="147" spans="1:9">
      <c r="A147" s="31"/>
      <c r="B147" s="31"/>
      <c r="C147" s="36"/>
      <c r="D147" s="36"/>
      <c r="E147" s="36"/>
      <c r="F147" s="36"/>
      <c r="G147" s="36"/>
      <c r="H147" s="36"/>
      <c r="I147" s="36"/>
    </row>
    <row r="148" spans="1:9">
      <c r="A148" s="31"/>
      <c r="B148" s="31"/>
      <c r="C148" s="36"/>
      <c r="D148" s="36"/>
      <c r="E148" s="36"/>
      <c r="F148" s="36"/>
      <c r="G148" s="36"/>
      <c r="H148" s="36"/>
      <c r="I148" s="36"/>
    </row>
    <row r="149" spans="1:9">
      <c r="A149" s="31"/>
      <c r="B149" s="31"/>
      <c r="C149" s="36"/>
      <c r="D149" s="36"/>
      <c r="E149" s="36"/>
      <c r="F149" s="36"/>
      <c r="G149" s="36"/>
      <c r="H149" s="36"/>
      <c r="I149" s="36"/>
    </row>
    <row r="150" spans="1:9">
      <c r="A150" s="31"/>
      <c r="B150" s="31"/>
      <c r="C150" s="36"/>
      <c r="D150" s="36"/>
      <c r="E150" s="36"/>
      <c r="F150" s="36"/>
      <c r="G150" s="36"/>
      <c r="H150" s="36"/>
      <c r="I150" s="36"/>
    </row>
    <row r="151" spans="1:9">
      <c r="A151" s="31"/>
      <c r="B151" s="31"/>
      <c r="C151" s="36"/>
      <c r="D151" s="36"/>
      <c r="E151" s="36"/>
      <c r="F151" s="36"/>
      <c r="G151" s="36"/>
      <c r="H151" s="36"/>
      <c r="I151" s="36"/>
    </row>
    <row r="152" spans="1:9">
      <c r="A152" s="31"/>
      <c r="B152" s="31"/>
      <c r="C152" s="36"/>
      <c r="D152" s="36"/>
      <c r="E152" s="36"/>
      <c r="F152" s="36"/>
      <c r="G152" s="36"/>
      <c r="H152" s="36"/>
      <c r="I152" s="36"/>
    </row>
    <row r="153" spans="1:9">
      <c r="A153" s="31"/>
      <c r="B153" s="31"/>
      <c r="C153" s="36"/>
      <c r="D153" s="36"/>
      <c r="E153" s="36"/>
      <c r="F153" s="36"/>
      <c r="G153" s="36"/>
      <c r="H153" s="36"/>
      <c r="I153" s="36"/>
    </row>
    <row r="154" spans="1:9">
      <c r="A154" s="31"/>
      <c r="B154" s="31"/>
      <c r="C154" s="36"/>
      <c r="D154" s="36"/>
      <c r="E154" s="36"/>
      <c r="F154" s="36"/>
      <c r="G154" s="36"/>
      <c r="H154" s="36"/>
      <c r="I154" s="36"/>
    </row>
    <row r="155" spans="1:9">
      <c r="A155" s="31"/>
      <c r="B155" s="31"/>
      <c r="C155" s="36"/>
      <c r="D155" s="36"/>
      <c r="E155" s="36"/>
      <c r="F155" s="36"/>
      <c r="G155" s="36"/>
      <c r="H155" s="36"/>
      <c r="I155" s="36"/>
    </row>
    <row r="156" spans="1:9">
      <c r="A156" s="31"/>
      <c r="B156" s="31"/>
      <c r="C156" s="36"/>
      <c r="D156" s="36"/>
      <c r="E156" s="36"/>
      <c r="F156" s="36"/>
      <c r="G156" s="36"/>
      <c r="H156" s="36"/>
      <c r="I156" s="36"/>
    </row>
    <row r="157" spans="1:9">
      <c r="A157" s="31"/>
      <c r="B157" s="31"/>
      <c r="C157" s="36"/>
      <c r="D157" s="36"/>
      <c r="E157" s="36"/>
      <c r="F157" s="36"/>
      <c r="G157" s="36"/>
      <c r="H157" s="36"/>
      <c r="I157" s="36"/>
    </row>
    <row r="158" spans="1:9">
      <c r="A158" s="31"/>
      <c r="B158" s="31"/>
      <c r="C158" s="36"/>
      <c r="D158" s="36"/>
      <c r="E158" s="36"/>
      <c r="F158" s="36"/>
      <c r="G158" s="36"/>
      <c r="H158" s="36"/>
      <c r="I158" s="36"/>
    </row>
    <row r="159" spans="1:9">
      <c r="A159" s="31"/>
      <c r="B159" s="31"/>
      <c r="C159" s="36"/>
      <c r="D159" s="36"/>
      <c r="E159" s="36"/>
      <c r="F159" s="36"/>
      <c r="G159" s="36"/>
      <c r="H159" s="36"/>
      <c r="I159" s="36"/>
    </row>
    <row r="160" spans="1:9">
      <c r="A160" s="31"/>
      <c r="B160" s="31"/>
      <c r="C160" s="36"/>
      <c r="D160" s="36"/>
      <c r="E160" s="36"/>
      <c r="F160" s="36"/>
      <c r="G160" s="36"/>
      <c r="H160" s="36"/>
      <c r="I160" s="36"/>
    </row>
    <row r="161" spans="1:9">
      <c r="A161" s="31"/>
      <c r="B161" s="31"/>
      <c r="C161" s="36"/>
      <c r="D161" s="36"/>
      <c r="E161" s="36"/>
      <c r="F161" s="36"/>
      <c r="G161" s="36"/>
      <c r="H161" s="36"/>
      <c r="I161" s="36"/>
    </row>
    <row r="162" spans="1:9">
      <c r="A162" s="31"/>
      <c r="B162" s="31"/>
      <c r="C162" s="36"/>
      <c r="D162" s="36"/>
      <c r="E162" s="36"/>
      <c r="F162" s="36"/>
      <c r="G162" s="36"/>
      <c r="H162" s="36"/>
      <c r="I162" s="36"/>
    </row>
    <row r="163" spans="1:9">
      <c r="A163" s="31"/>
      <c r="B163" s="31"/>
      <c r="C163" s="36"/>
      <c r="D163" s="36"/>
      <c r="E163" s="36"/>
      <c r="F163" s="36"/>
      <c r="G163" s="36"/>
      <c r="H163" s="36"/>
      <c r="I163" s="36"/>
    </row>
    <row r="164" spans="1:9">
      <c r="A164" s="31"/>
      <c r="B164" s="31"/>
      <c r="C164" s="36"/>
      <c r="D164" s="36"/>
      <c r="E164" s="36"/>
      <c r="F164" s="36"/>
      <c r="G164" s="36"/>
      <c r="H164" s="36"/>
      <c r="I164" s="36"/>
    </row>
    <row r="165" spans="1:9">
      <c r="A165" s="31"/>
      <c r="B165" s="31"/>
      <c r="C165" s="36"/>
      <c r="D165" s="36"/>
      <c r="E165" s="36"/>
      <c r="F165" s="36"/>
      <c r="G165" s="36"/>
      <c r="H165" s="36"/>
      <c r="I165" s="36"/>
    </row>
    <row r="166" spans="1:9">
      <c r="A166" s="31"/>
      <c r="B166" s="31"/>
      <c r="C166" s="36"/>
      <c r="D166" s="36"/>
      <c r="E166" s="36"/>
      <c r="F166" s="36"/>
      <c r="G166" s="36"/>
      <c r="H166" s="36"/>
      <c r="I166" s="36"/>
    </row>
    <row r="167" spans="1:9">
      <c r="A167" s="31"/>
      <c r="B167" s="31"/>
      <c r="C167" s="36"/>
      <c r="D167" s="36"/>
      <c r="E167" s="36"/>
      <c r="F167" s="36"/>
      <c r="G167" s="36"/>
      <c r="H167" s="36"/>
      <c r="I167" s="36"/>
    </row>
    <row r="168" spans="1:9">
      <c r="A168" s="31"/>
      <c r="B168" s="31"/>
      <c r="C168" s="36"/>
      <c r="D168" s="36"/>
      <c r="E168" s="36"/>
      <c r="F168" s="36"/>
      <c r="G168" s="36"/>
      <c r="H168" s="36"/>
      <c r="I168" s="36"/>
    </row>
    <row r="169" spans="1:9">
      <c r="A169" s="31"/>
      <c r="B169" s="31"/>
      <c r="C169" s="36"/>
      <c r="D169" s="36"/>
      <c r="E169" s="36"/>
      <c r="F169" s="36"/>
      <c r="G169" s="36"/>
      <c r="H169" s="36"/>
      <c r="I169" s="36"/>
    </row>
    <row r="170" spans="1:9">
      <c r="A170" s="31"/>
      <c r="B170" s="31"/>
      <c r="C170" s="36"/>
      <c r="D170" s="36"/>
      <c r="E170" s="36"/>
      <c r="F170" s="36"/>
      <c r="G170" s="36"/>
      <c r="H170" s="36"/>
      <c r="I170" s="36"/>
    </row>
    <row r="171" spans="1:9">
      <c r="A171" s="31"/>
      <c r="B171" s="31"/>
      <c r="C171" s="36"/>
      <c r="D171" s="36"/>
      <c r="E171" s="36"/>
      <c r="F171" s="36"/>
      <c r="G171" s="36"/>
      <c r="H171" s="36"/>
      <c r="I171" s="36"/>
    </row>
    <row r="172" spans="1:9">
      <c r="A172" s="31"/>
      <c r="B172" s="31"/>
      <c r="C172" s="36"/>
      <c r="D172" s="36"/>
      <c r="E172" s="36"/>
      <c r="F172" s="36"/>
      <c r="G172" s="36"/>
      <c r="H172" s="36"/>
      <c r="I172" s="36"/>
    </row>
    <row r="173" spans="1:9">
      <c r="A173" s="31"/>
      <c r="B173" s="31"/>
      <c r="C173" s="36"/>
      <c r="D173" s="36"/>
      <c r="E173" s="36"/>
      <c r="F173" s="36"/>
      <c r="G173" s="36"/>
      <c r="H173" s="36"/>
      <c r="I173" s="36"/>
    </row>
    <row r="174" spans="1:9">
      <c r="A174" s="31"/>
      <c r="B174" s="31"/>
      <c r="C174" s="36"/>
      <c r="D174" s="36"/>
      <c r="E174" s="36"/>
      <c r="F174" s="36"/>
      <c r="G174" s="36"/>
      <c r="H174" s="36"/>
      <c r="I174" s="36"/>
    </row>
    <row r="175" spans="1:9">
      <c r="A175" s="31"/>
      <c r="B175" s="31"/>
      <c r="C175" s="36"/>
      <c r="D175" s="36"/>
      <c r="E175" s="36"/>
      <c r="F175" s="36"/>
      <c r="G175" s="36"/>
      <c r="H175" s="36"/>
      <c r="I175" s="36"/>
    </row>
    <row r="176" spans="1:9">
      <c r="A176" s="31"/>
      <c r="B176" s="31"/>
      <c r="C176" s="36"/>
      <c r="D176" s="36"/>
      <c r="E176" s="36"/>
      <c r="F176" s="36"/>
      <c r="G176" s="36"/>
      <c r="H176" s="36"/>
      <c r="I176" s="36"/>
    </row>
    <row r="177" spans="1:9">
      <c r="A177" s="31"/>
      <c r="B177" s="31"/>
      <c r="C177" s="36"/>
      <c r="D177" s="36"/>
      <c r="E177" s="36"/>
      <c r="F177" s="36"/>
      <c r="G177" s="36"/>
      <c r="H177" s="36"/>
      <c r="I177" s="36"/>
    </row>
    <row r="178" spans="1:9">
      <c r="A178" s="31"/>
      <c r="B178" s="31"/>
      <c r="C178" s="36"/>
      <c r="D178" s="36"/>
      <c r="E178" s="36"/>
      <c r="F178" s="36"/>
      <c r="G178" s="36"/>
      <c r="H178" s="36"/>
      <c r="I178" s="36"/>
    </row>
    <row r="179" spans="1:9">
      <c r="A179" s="31"/>
      <c r="B179" s="31"/>
      <c r="C179" s="36"/>
      <c r="D179" s="36"/>
      <c r="E179" s="36"/>
      <c r="F179" s="36"/>
      <c r="G179" s="36"/>
      <c r="H179" s="36"/>
      <c r="I179" s="36"/>
    </row>
    <row r="180" spans="1:9">
      <c r="A180" s="31"/>
      <c r="B180" s="31"/>
      <c r="C180" s="36"/>
      <c r="D180" s="36"/>
      <c r="E180" s="36"/>
      <c r="F180" s="36"/>
      <c r="G180" s="36"/>
      <c r="H180" s="36"/>
      <c r="I180" s="36"/>
    </row>
    <row r="181" spans="1:9">
      <c r="A181" s="31"/>
      <c r="B181" s="31"/>
      <c r="C181" s="36"/>
      <c r="D181" s="36"/>
      <c r="E181" s="36"/>
      <c r="F181" s="36"/>
      <c r="G181" s="36"/>
      <c r="H181" s="36"/>
      <c r="I181" s="36"/>
    </row>
    <row r="182" spans="1:9">
      <c r="A182" s="31"/>
      <c r="B182" s="31"/>
      <c r="C182" s="36"/>
      <c r="D182" s="36"/>
      <c r="E182" s="36"/>
      <c r="F182" s="36"/>
      <c r="G182" s="36"/>
      <c r="H182" s="36"/>
      <c r="I182" s="36"/>
    </row>
    <row r="183" spans="1:9">
      <c r="A183" s="31"/>
      <c r="B183" s="31"/>
      <c r="C183" s="36"/>
      <c r="D183" s="36"/>
      <c r="E183" s="36"/>
      <c r="F183" s="36"/>
      <c r="G183" s="36"/>
      <c r="H183" s="36"/>
      <c r="I183" s="36"/>
    </row>
    <row r="184" spans="1:9">
      <c r="A184" s="31"/>
      <c r="B184" s="31"/>
      <c r="C184" s="36"/>
      <c r="D184" s="36"/>
      <c r="E184" s="36"/>
      <c r="F184" s="36"/>
      <c r="G184" s="36"/>
      <c r="H184" s="36"/>
      <c r="I184" s="36"/>
    </row>
    <row r="185" spans="1:9">
      <c r="A185" s="31"/>
      <c r="B185" s="31"/>
      <c r="C185" s="36"/>
      <c r="D185" s="36"/>
      <c r="E185" s="36"/>
      <c r="F185" s="36"/>
      <c r="G185" s="36"/>
      <c r="H185" s="36"/>
      <c r="I185" s="36"/>
    </row>
    <row r="186" spans="1:9">
      <c r="A186" s="31"/>
      <c r="B186" s="31"/>
      <c r="C186" s="36"/>
      <c r="D186" s="36"/>
      <c r="E186" s="36"/>
      <c r="F186" s="36"/>
      <c r="G186" s="36"/>
      <c r="H186" s="36"/>
      <c r="I186" s="36"/>
    </row>
    <row r="187" spans="1:9">
      <c r="A187" s="31"/>
      <c r="B187" s="31"/>
      <c r="C187" s="36"/>
      <c r="D187" s="36"/>
      <c r="E187" s="36"/>
      <c r="F187" s="36"/>
      <c r="G187" s="36"/>
      <c r="H187" s="36"/>
      <c r="I187" s="36"/>
    </row>
    <row r="188" spans="1:9">
      <c r="A188" s="31"/>
      <c r="B188" s="31"/>
      <c r="C188" s="36"/>
      <c r="D188" s="36"/>
      <c r="E188" s="36"/>
      <c r="F188" s="36"/>
      <c r="G188" s="36"/>
      <c r="H188" s="36"/>
      <c r="I188" s="36"/>
    </row>
    <row r="189" spans="1:9">
      <c r="A189" s="31"/>
      <c r="B189" s="31"/>
      <c r="C189" s="36"/>
      <c r="D189" s="36"/>
      <c r="E189" s="36"/>
      <c r="F189" s="36"/>
      <c r="G189" s="36"/>
      <c r="H189" s="36"/>
      <c r="I189" s="36"/>
    </row>
    <row r="190" spans="1:9">
      <c r="A190" s="31"/>
      <c r="B190" s="31"/>
      <c r="C190" s="36"/>
      <c r="D190" s="36"/>
      <c r="E190" s="36"/>
      <c r="F190" s="36"/>
      <c r="G190" s="36"/>
      <c r="H190" s="36"/>
      <c r="I190" s="36"/>
    </row>
    <row r="191" spans="1:9">
      <c r="A191" s="31"/>
      <c r="B191" s="31"/>
      <c r="C191" s="36"/>
      <c r="D191" s="36"/>
      <c r="E191" s="36"/>
      <c r="F191" s="36"/>
      <c r="G191" s="36"/>
      <c r="H191" s="36"/>
      <c r="I191" s="36"/>
    </row>
    <row r="192" spans="1:9">
      <c r="A192" s="31"/>
      <c r="B192" s="31"/>
      <c r="C192" s="36"/>
      <c r="D192" s="36"/>
      <c r="E192" s="36"/>
      <c r="F192" s="36"/>
      <c r="G192" s="36"/>
      <c r="H192" s="36"/>
      <c r="I192" s="36"/>
    </row>
    <row r="193" spans="1:9">
      <c r="A193" s="31"/>
      <c r="B193" s="31"/>
      <c r="C193" s="36"/>
      <c r="D193" s="36"/>
      <c r="E193" s="36"/>
      <c r="F193" s="36"/>
      <c r="G193" s="36"/>
      <c r="H193" s="36"/>
      <c r="I193" s="36"/>
    </row>
    <row r="194" spans="1:9">
      <c r="A194" s="31"/>
      <c r="B194" s="31"/>
      <c r="C194" s="36"/>
      <c r="D194" s="36"/>
      <c r="E194" s="36"/>
      <c r="F194" s="36"/>
      <c r="G194" s="36"/>
      <c r="H194" s="36"/>
      <c r="I194" s="36"/>
    </row>
    <row r="195" spans="1:9">
      <c r="A195" s="31"/>
      <c r="B195" s="31"/>
      <c r="C195" s="36"/>
      <c r="D195" s="36"/>
      <c r="E195" s="36"/>
      <c r="F195" s="36"/>
      <c r="G195" s="36"/>
      <c r="H195" s="36"/>
      <c r="I195" s="36"/>
    </row>
    <row r="196" spans="1:9">
      <c r="A196" s="31"/>
      <c r="B196" s="31"/>
      <c r="C196" s="36"/>
      <c r="D196" s="36"/>
      <c r="E196" s="36"/>
      <c r="F196" s="36"/>
      <c r="G196" s="36"/>
      <c r="H196" s="36"/>
      <c r="I196" s="36"/>
    </row>
    <row r="197" spans="1:9">
      <c r="A197" s="31"/>
      <c r="B197" s="31"/>
      <c r="C197" s="36"/>
      <c r="D197" s="36"/>
      <c r="E197" s="36"/>
      <c r="F197" s="36"/>
      <c r="G197" s="36"/>
      <c r="H197" s="36"/>
      <c r="I197" s="36"/>
    </row>
    <row r="198" spans="1:9">
      <c r="A198" s="31"/>
      <c r="B198" s="31"/>
      <c r="C198" s="36"/>
      <c r="D198" s="36"/>
      <c r="E198" s="36"/>
      <c r="F198" s="36"/>
      <c r="G198" s="36"/>
      <c r="H198" s="36"/>
      <c r="I198" s="36"/>
    </row>
    <row r="199" spans="1:9">
      <c r="A199" s="31"/>
      <c r="B199" s="31"/>
      <c r="C199" s="36"/>
      <c r="D199" s="36"/>
      <c r="E199" s="36"/>
      <c r="F199" s="36"/>
      <c r="G199" s="36"/>
      <c r="H199" s="36"/>
      <c r="I199" s="36"/>
    </row>
    <row r="200" spans="1:9">
      <c r="A200" s="31"/>
      <c r="B200" s="31"/>
      <c r="C200" s="36"/>
      <c r="D200" s="36"/>
      <c r="E200" s="36"/>
      <c r="F200" s="36"/>
      <c r="G200" s="36"/>
      <c r="H200" s="36"/>
      <c r="I200" s="36"/>
    </row>
    <row r="201" spans="1:9">
      <c r="A201" s="31"/>
      <c r="B201" s="31"/>
      <c r="C201" s="36"/>
      <c r="D201" s="36"/>
      <c r="E201" s="36"/>
      <c r="F201" s="36"/>
      <c r="G201" s="36"/>
      <c r="H201" s="36"/>
      <c r="I201" s="36"/>
    </row>
    <row r="202" spans="1:9">
      <c r="A202" s="31"/>
      <c r="B202" s="31"/>
      <c r="C202" s="36"/>
      <c r="D202" s="36"/>
      <c r="E202" s="36"/>
      <c r="F202" s="36"/>
      <c r="G202" s="36"/>
      <c r="H202" s="36"/>
      <c r="I202" s="36"/>
    </row>
    <row r="203" spans="1:9">
      <c r="A203" s="31"/>
      <c r="B203" s="31"/>
      <c r="C203" s="36"/>
      <c r="D203" s="36"/>
      <c r="E203" s="36"/>
      <c r="F203" s="36"/>
      <c r="G203" s="36"/>
      <c r="H203" s="36"/>
      <c r="I203" s="36"/>
    </row>
    <row r="204" spans="1:9">
      <c r="A204" s="31"/>
      <c r="B204" s="31"/>
      <c r="C204" s="36"/>
      <c r="D204" s="36"/>
      <c r="E204" s="36"/>
      <c r="F204" s="36"/>
      <c r="G204" s="36"/>
      <c r="H204" s="36"/>
      <c r="I204" s="36"/>
    </row>
    <row r="205" spans="1:9">
      <c r="A205" s="31"/>
      <c r="B205" s="31"/>
      <c r="C205" s="36"/>
      <c r="D205" s="36"/>
      <c r="E205" s="36"/>
      <c r="F205" s="36"/>
      <c r="G205" s="36"/>
      <c r="H205" s="36"/>
      <c r="I205" s="36"/>
    </row>
    <row r="206" spans="1:9">
      <c r="A206" s="31"/>
      <c r="B206" s="31"/>
      <c r="C206" s="36"/>
      <c r="D206" s="36"/>
      <c r="E206" s="36"/>
      <c r="F206" s="36"/>
      <c r="G206" s="36"/>
      <c r="H206" s="36"/>
      <c r="I206" s="36"/>
    </row>
    <row r="207" spans="1:9">
      <c r="A207" s="31"/>
      <c r="B207" s="31"/>
      <c r="C207" s="36"/>
      <c r="D207" s="36"/>
      <c r="E207" s="36"/>
      <c r="F207" s="36"/>
      <c r="G207" s="36"/>
      <c r="H207" s="36"/>
      <c r="I207" s="36"/>
    </row>
    <row r="208" spans="1:9">
      <c r="A208" s="31"/>
      <c r="B208" s="31"/>
      <c r="C208" s="36"/>
      <c r="D208" s="36"/>
      <c r="E208" s="36"/>
      <c r="F208" s="36"/>
      <c r="G208" s="36"/>
      <c r="H208" s="36"/>
      <c r="I208" s="36"/>
    </row>
    <row r="209" spans="1:9">
      <c r="A209" s="31"/>
      <c r="B209" s="31"/>
      <c r="C209" s="36"/>
      <c r="D209" s="36"/>
      <c r="E209" s="36"/>
      <c r="F209" s="36"/>
      <c r="G209" s="36"/>
      <c r="H209" s="36"/>
      <c r="I209" s="36"/>
    </row>
    <row r="210" spans="1:9">
      <c r="A210" s="31"/>
      <c r="B210" s="31"/>
      <c r="C210" s="36"/>
      <c r="D210" s="36"/>
      <c r="E210" s="36"/>
      <c r="F210" s="36"/>
      <c r="G210" s="36"/>
      <c r="H210" s="36"/>
      <c r="I210" s="36"/>
    </row>
    <row r="211" spans="1:9">
      <c r="A211" s="31"/>
      <c r="B211" s="31"/>
      <c r="C211" s="36"/>
      <c r="D211" s="36"/>
      <c r="E211" s="36"/>
      <c r="F211" s="36"/>
      <c r="G211" s="36"/>
      <c r="H211" s="36"/>
      <c r="I211" s="36"/>
    </row>
    <row r="212" spans="1:9">
      <c r="A212" s="31"/>
      <c r="B212" s="31"/>
      <c r="C212" s="36"/>
      <c r="D212" s="36"/>
      <c r="E212" s="36"/>
      <c r="F212" s="36"/>
      <c r="G212" s="36"/>
      <c r="H212" s="36"/>
      <c r="I212" s="36"/>
    </row>
    <row r="213" spans="1:9">
      <c r="A213" s="31"/>
      <c r="B213" s="31"/>
      <c r="C213" s="36"/>
      <c r="D213" s="36"/>
      <c r="E213" s="36"/>
      <c r="F213" s="36"/>
      <c r="G213" s="36"/>
      <c r="H213" s="36"/>
      <c r="I213" s="36"/>
    </row>
    <row r="214" spans="1:9">
      <c r="A214" s="31"/>
      <c r="B214" s="31"/>
      <c r="C214" s="36"/>
      <c r="D214" s="36"/>
      <c r="E214" s="36"/>
      <c r="F214" s="36"/>
      <c r="G214" s="36"/>
      <c r="H214" s="36"/>
      <c r="I214" s="36"/>
    </row>
    <row r="215" spans="1:9">
      <c r="A215" s="31"/>
      <c r="B215" s="31"/>
      <c r="C215" s="36"/>
      <c r="D215" s="36"/>
      <c r="E215" s="36"/>
      <c r="F215" s="36"/>
      <c r="G215" s="36"/>
      <c r="H215" s="36"/>
      <c r="I215" s="36"/>
    </row>
    <row r="216" spans="1:9">
      <c r="A216" s="31"/>
      <c r="B216" s="31"/>
      <c r="C216" s="36"/>
      <c r="D216" s="36"/>
      <c r="E216" s="36"/>
      <c r="F216" s="36"/>
      <c r="G216" s="36"/>
      <c r="H216" s="36"/>
      <c r="I216" s="36"/>
    </row>
    <row r="217" spans="1:9">
      <c r="A217" s="31"/>
      <c r="B217" s="31"/>
      <c r="C217" s="36"/>
      <c r="D217" s="36"/>
      <c r="E217" s="36"/>
      <c r="F217" s="36"/>
      <c r="G217" s="36"/>
      <c r="H217" s="36"/>
      <c r="I217" s="36"/>
    </row>
    <row r="218" spans="1:9">
      <c r="A218" s="31"/>
      <c r="B218" s="31"/>
      <c r="C218" s="36"/>
      <c r="D218" s="36"/>
      <c r="E218" s="36"/>
      <c r="F218" s="36"/>
      <c r="G218" s="36"/>
      <c r="H218" s="36"/>
      <c r="I218" s="36"/>
    </row>
    <row r="219" spans="1:9">
      <c r="A219" s="31"/>
      <c r="B219" s="31"/>
      <c r="C219" s="36"/>
      <c r="D219" s="36"/>
      <c r="E219" s="36"/>
      <c r="F219" s="36"/>
      <c r="G219" s="36"/>
      <c r="H219" s="36"/>
      <c r="I219" s="36"/>
    </row>
    <row r="220" spans="1:9">
      <c r="A220" s="31"/>
      <c r="B220" s="31"/>
      <c r="C220" s="36"/>
      <c r="D220" s="36"/>
      <c r="E220" s="36"/>
      <c r="F220" s="36"/>
      <c r="G220" s="36"/>
      <c r="H220" s="36"/>
      <c r="I220" s="36"/>
    </row>
    <row r="221" spans="1:9">
      <c r="A221" s="31"/>
      <c r="B221" s="31"/>
      <c r="C221" s="36"/>
      <c r="D221" s="36"/>
      <c r="E221" s="36"/>
      <c r="F221" s="36"/>
      <c r="G221" s="36"/>
      <c r="H221" s="36"/>
      <c r="I221" s="36"/>
    </row>
    <row r="222" spans="1:9">
      <c r="A222" s="31"/>
      <c r="B222" s="31"/>
      <c r="C222" s="36"/>
      <c r="D222" s="36"/>
      <c r="E222" s="36"/>
      <c r="F222" s="36"/>
      <c r="G222" s="36"/>
      <c r="H222" s="36"/>
      <c r="I222" s="36"/>
    </row>
    <row r="223" spans="1:9">
      <c r="A223" s="31"/>
      <c r="B223" s="31"/>
      <c r="C223" s="36"/>
      <c r="D223" s="36"/>
      <c r="E223" s="36"/>
      <c r="F223" s="36"/>
      <c r="G223" s="36"/>
      <c r="H223" s="36"/>
      <c r="I223" s="36"/>
    </row>
    <row r="224" spans="1:9">
      <c r="A224" s="31"/>
      <c r="B224" s="31"/>
      <c r="C224" s="36"/>
      <c r="D224" s="36"/>
      <c r="E224" s="36"/>
      <c r="F224" s="36"/>
      <c r="G224" s="36"/>
      <c r="H224" s="36"/>
      <c r="I224" s="36"/>
    </row>
    <row r="225" spans="1:9">
      <c r="A225" s="31"/>
      <c r="B225" s="31"/>
      <c r="C225" s="36"/>
      <c r="D225" s="36"/>
      <c r="E225" s="36"/>
      <c r="F225" s="36"/>
      <c r="G225" s="36"/>
      <c r="H225" s="36"/>
      <c r="I225" s="36"/>
    </row>
    <row r="226" spans="1:9">
      <c r="A226" s="31"/>
      <c r="B226" s="31"/>
      <c r="C226" s="36"/>
      <c r="D226" s="36"/>
      <c r="E226" s="36"/>
      <c r="F226" s="36"/>
      <c r="G226" s="36"/>
      <c r="H226" s="36"/>
      <c r="I226" s="36"/>
    </row>
    <row r="227" spans="1:9">
      <c r="A227" s="31"/>
      <c r="B227" s="31"/>
      <c r="C227" s="36"/>
      <c r="D227" s="36"/>
      <c r="E227" s="36"/>
      <c r="F227" s="36"/>
      <c r="G227" s="36"/>
      <c r="H227" s="36"/>
      <c r="I227" s="36"/>
    </row>
    <row r="228" spans="1:9">
      <c r="A228" s="31"/>
      <c r="B228" s="31"/>
      <c r="C228" s="36"/>
      <c r="D228" s="36"/>
      <c r="E228" s="36"/>
      <c r="F228" s="36"/>
      <c r="G228" s="36"/>
      <c r="H228" s="36"/>
      <c r="I228" s="36"/>
    </row>
    <row r="229" spans="1:9">
      <c r="A229" s="31"/>
      <c r="B229" s="31"/>
      <c r="C229" s="36"/>
      <c r="D229" s="36"/>
      <c r="E229" s="36"/>
      <c r="F229" s="36"/>
      <c r="G229" s="36"/>
      <c r="H229" s="36"/>
      <c r="I229" s="36"/>
    </row>
    <row r="230" spans="1:9">
      <c r="A230" s="31"/>
      <c r="B230" s="31"/>
      <c r="C230" s="36"/>
      <c r="D230" s="36"/>
      <c r="E230" s="36"/>
      <c r="F230" s="36"/>
      <c r="G230" s="36"/>
      <c r="H230" s="36"/>
      <c r="I230" s="36"/>
    </row>
    <row r="231" spans="1:9">
      <c r="A231" s="31"/>
      <c r="B231" s="31"/>
      <c r="C231" s="36"/>
      <c r="D231" s="36"/>
      <c r="E231" s="36"/>
      <c r="F231" s="36"/>
      <c r="G231" s="36"/>
      <c r="H231" s="36"/>
      <c r="I231" s="36"/>
    </row>
    <row r="232" spans="1:9">
      <c r="A232" s="31"/>
      <c r="B232" s="31"/>
      <c r="C232" s="36"/>
      <c r="D232" s="36"/>
      <c r="E232" s="36"/>
      <c r="F232" s="36"/>
      <c r="G232" s="36"/>
      <c r="H232" s="36"/>
      <c r="I232" s="36"/>
    </row>
    <row r="233" spans="1:9">
      <c r="A233" s="31"/>
      <c r="B233" s="31"/>
      <c r="C233" s="36"/>
      <c r="D233" s="36"/>
      <c r="E233" s="36"/>
      <c r="F233" s="36"/>
      <c r="G233" s="36"/>
      <c r="H233" s="36"/>
      <c r="I233" s="36"/>
    </row>
    <row r="234" spans="1:9">
      <c r="A234" s="31"/>
      <c r="B234" s="31"/>
      <c r="C234" s="36"/>
      <c r="D234" s="36"/>
      <c r="E234" s="36"/>
      <c r="F234" s="36"/>
      <c r="G234" s="36"/>
      <c r="H234" s="36"/>
      <c r="I234" s="36"/>
    </row>
    <row r="235" spans="1:9">
      <c r="A235" s="31"/>
      <c r="B235" s="31"/>
      <c r="C235" s="36"/>
      <c r="D235" s="36"/>
      <c r="E235" s="36"/>
      <c r="F235" s="36"/>
      <c r="G235" s="36"/>
      <c r="H235" s="36"/>
      <c r="I235" s="36"/>
    </row>
    <row r="236" spans="1:9">
      <c r="A236" s="31"/>
      <c r="B236" s="31"/>
      <c r="C236" s="36"/>
      <c r="D236" s="36"/>
      <c r="E236" s="36"/>
      <c r="F236" s="36"/>
      <c r="G236" s="36"/>
      <c r="H236" s="36"/>
      <c r="I236" s="36"/>
    </row>
    <row r="237" spans="1:9">
      <c r="A237" s="31"/>
      <c r="B237" s="31"/>
      <c r="C237" s="36"/>
      <c r="D237" s="36"/>
      <c r="E237" s="36"/>
      <c r="F237" s="36"/>
      <c r="G237" s="36"/>
      <c r="H237" s="36"/>
      <c r="I237" s="36"/>
    </row>
    <row r="238" spans="1:9">
      <c r="A238" s="31"/>
      <c r="B238" s="31"/>
      <c r="C238" s="36"/>
      <c r="D238" s="36"/>
      <c r="E238" s="36"/>
      <c r="F238" s="36"/>
      <c r="G238" s="36"/>
      <c r="H238" s="36"/>
      <c r="I238" s="36"/>
    </row>
    <row r="239" spans="1:9">
      <c r="A239" s="31"/>
      <c r="B239" s="31"/>
      <c r="C239" s="36"/>
      <c r="D239" s="36"/>
      <c r="E239" s="36"/>
      <c r="F239" s="36"/>
      <c r="G239" s="36"/>
      <c r="H239" s="36"/>
      <c r="I239" s="36"/>
    </row>
    <row r="240" spans="1:9">
      <c r="A240" s="31"/>
      <c r="B240" s="31"/>
      <c r="C240" s="36"/>
      <c r="D240" s="36"/>
      <c r="E240" s="36"/>
      <c r="F240" s="36"/>
      <c r="G240" s="36"/>
      <c r="H240" s="36"/>
      <c r="I240" s="36"/>
    </row>
    <row r="241" spans="1:9">
      <c r="A241" s="31"/>
      <c r="B241" s="31"/>
      <c r="C241" s="36"/>
      <c r="D241" s="36"/>
      <c r="E241" s="36"/>
      <c r="F241" s="36"/>
      <c r="G241" s="36"/>
      <c r="H241" s="36"/>
      <c r="I241" s="36"/>
    </row>
    <row r="242" spans="1:9">
      <c r="A242" s="31"/>
      <c r="B242" s="31"/>
      <c r="C242" s="36"/>
      <c r="D242" s="36"/>
      <c r="E242" s="36"/>
      <c r="F242" s="36"/>
      <c r="G242" s="36"/>
      <c r="H242" s="36"/>
      <c r="I242" s="36"/>
    </row>
    <row r="243" spans="1:9">
      <c r="A243" s="31"/>
      <c r="B243" s="31"/>
      <c r="C243" s="36"/>
      <c r="D243" s="36"/>
      <c r="E243" s="36"/>
      <c r="F243" s="36"/>
      <c r="G243" s="36"/>
      <c r="H243" s="36"/>
      <c r="I243" s="36"/>
    </row>
    <row r="244" spans="1:9">
      <c r="A244" s="31"/>
      <c r="B244" s="31"/>
      <c r="C244" s="36"/>
      <c r="D244" s="36"/>
      <c r="E244" s="36"/>
      <c r="F244" s="36"/>
      <c r="G244" s="36"/>
      <c r="H244" s="36"/>
      <c r="I244" s="36"/>
    </row>
    <row r="245" spans="1:9">
      <c r="A245" s="31"/>
      <c r="B245" s="31"/>
      <c r="C245" s="36"/>
      <c r="D245" s="36"/>
      <c r="E245" s="36"/>
      <c r="F245" s="36"/>
      <c r="G245" s="36"/>
      <c r="H245" s="36"/>
      <c r="I245" s="36"/>
    </row>
    <row r="246" spans="1:9">
      <c r="A246" s="31"/>
      <c r="B246" s="31"/>
      <c r="C246" s="36"/>
      <c r="D246" s="36"/>
      <c r="E246" s="36"/>
      <c r="F246" s="36"/>
      <c r="G246" s="36"/>
      <c r="H246" s="36"/>
      <c r="I246" s="36"/>
    </row>
    <row r="247" spans="1:9">
      <c r="A247" s="31"/>
      <c r="B247" s="31"/>
      <c r="C247" s="36"/>
      <c r="D247" s="36"/>
      <c r="E247" s="36"/>
      <c r="F247" s="36"/>
      <c r="G247" s="36"/>
      <c r="H247" s="36"/>
      <c r="I247" s="36"/>
    </row>
    <row r="248" spans="1:9">
      <c r="A248" s="31"/>
      <c r="B248" s="31"/>
      <c r="C248" s="36"/>
      <c r="D248" s="36"/>
      <c r="E248" s="36"/>
      <c r="F248" s="36"/>
      <c r="G248" s="36"/>
      <c r="H248" s="36"/>
      <c r="I248" s="36"/>
    </row>
    <row r="249" spans="1:9">
      <c r="A249" s="31"/>
      <c r="B249" s="31"/>
      <c r="C249" s="36"/>
      <c r="D249" s="36"/>
      <c r="E249" s="36"/>
      <c r="F249" s="36"/>
      <c r="G249" s="36"/>
      <c r="H249" s="36"/>
      <c r="I249" s="36"/>
    </row>
    <row r="250" spans="1:9">
      <c r="A250" s="31"/>
      <c r="B250" s="31"/>
      <c r="C250" s="36"/>
      <c r="D250" s="36"/>
      <c r="E250" s="36"/>
      <c r="F250" s="36"/>
      <c r="G250" s="36"/>
      <c r="H250" s="36"/>
      <c r="I250" s="36"/>
    </row>
    <row r="251" spans="1:9">
      <c r="A251" s="31"/>
      <c r="B251" s="31"/>
      <c r="C251" s="36"/>
      <c r="D251" s="36"/>
      <c r="E251" s="36"/>
      <c r="F251" s="36"/>
      <c r="G251" s="36"/>
      <c r="H251" s="36"/>
      <c r="I251" s="36"/>
    </row>
    <row r="252" spans="1:9">
      <c r="A252" s="31"/>
      <c r="B252" s="31"/>
      <c r="C252" s="36"/>
      <c r="D252" s="36"/>
      <c r="E252" s="36"/>
      <c r="F252" s="36"/>
      <c r="G252" s="36"/>
      <c r="H252" s="36"/>
      <c r="I252" s="36"/>
    </row>
    <row r="253" spans="1:9">
      <c r="A253" s="31"/>
      <c r="B253" s="31"/>
      <c r="C253" s="36"/>
      <c r="D253" s="36"/>
      <c r="E253" s="36"/>
      <c r="F253" s="36"/>
      <c r="G253" s="36"/>
      <c r="H253" s="36"/>
      <c r="I253" s="36"/>
    </row>
    <row r="254" spans="1:9">
      <c r="A254" s="31"/>
      <c r="B254" s="31"/>
      <c r="C254" s="36"/>
      <c r="D254" s="36"/>
      <c r="E254" s="36"/>
      <c r="F254" s="36"/>
      <c r="G254" s="36"/>
      <c r="H254" s="36"/>
      <c r="I254" s="36"/>
    </row>
    <row r="255" spans="1:9">
      <c r="A255" s="31"/>
      <c r="B255" s="31"/>
      <c r="C255" s="36"/>
      <c r="D255" s="36"/>
      <c r="E255" s="36"/>
      <c r="F255" s="36"/>
      <c r="G255" s="36"/>
      <c r="H255" s="36"/>
      <c r="I255" s="36"/>
    </row>
    <row r="256" spans="1:9">
      <c r="A256" s="31"/>
      <c r="B256" s="31"/>
      <c r="C256" s="36"/>
      <c r="D256" s="36"/>
      <c r="E256" s="36"/>
      <c r="F256" s="36"/>
      <c r="G256" s="36"/>
      <c r="H256" s="36"/>
      <c r="I256" s="36"/>
    </row>
    <row r="257" spans="1:9">
      <c r="A257" s="31"/>
      <c r="B257" s="31"/>
      <c r="C257" s="36"/>
      <c r="D257" s="36"/>
      <c r="E257" s="36"/>
      <c r="F257" s="36"/>
      <c r="G257" s="36"/>
      <c r="H257" s="36"/>
      <c r="I257" s="36"/>
    </row>
    <row r="258" spans="1:9">
      <c r="A258" s="31"/>
      <c r="B258" s="31"/>
      <c r="C258" s="36"/>
      <c r="D258" s="36"/>
      <c r="E258" s="36"/>
      <c r="F258" s="36"/>
      <c r="G258" s="36"/>
      <c r="H258" s="36"/>
      <c r="I258" s="36"/>
    </row>
    <row r="259" spans="1:9">
      <c r="A259" s="31"/>
      <c r="B259" s="31"/>
      <c r="C259" s="36"/>
      <c r="D259" s="36"/>
      <c r="E259" s="36"/>
      <c r="F259" s="36"/>
      <c r="G259" s="36"/>
      <c r="H259" s="36"/>
      <c r="I259" s="36"/>
    </row>
    <row r="260" spans="1:9">
      <c r="A260" s="31"/>
      <c r="B260" s="31"/>
      <c r="C260" s="36"/>
      <c r="D260" s="36"/>
      <c r="E260" s="36"/>
      <c r="F260" s="36"/>
      <c r="G260" s="36"/>
      <c r="H260" s="36"/>
      <c r="I260" s="36"/>
    </row>
    <row r="261" spans="1:9">
      <c r="A261" s="31"/>
      <c r="B261" s="31"/>
      <c r="C261" s="36"/>
      <c r="D261" s="36"/>
      <c r="E261" s="36"/>
      <c r="F261" s="36"/>
      <c r="G261" s="36"/>
      <c r="H261" s="36"/>
      <c r="I261" s="36"/>
    </row>
    <row r="262" spans="1:9">
      <c r="A262" s="31"/>
      <c r="B262" s="31"/>
      <c r="C262" s="36"/>
      <c r="D262" s="36"/>
      <c r="E262" s="36"/>
      <c r="F262" s="36"/>
      <c r="G262" s="36"/>
      <c r="H262" s="36"/>
      <c r="I262" s="36"/>
    </row>
    <row r="263" spans="1:9">
      <c r="A263" s="31"/>
      <c r="B263" s="31"/>
      <c r="C263" s="36"/>
      <c r="D263" s="36"/>
      <c r="E263" s="36"/>
      <c r="F263" s="36"/>
      <c r="G263" s="36"/>
      <c r="H263" s="36"/>
      <c r="I263" s="36"/>
    </row>
    <row r="264" spans="1:9">
      <c r="A264" s="31"/>
      <c r="B264" s="31"/>
      <c r="C264" s="36"/>
      <c r="D264" s="36"/>
      <c r="E264" s="36"/>
      <c r="F264" s="36"/>
      <c r="G264" s="36"/>
      <c r="H264" s="36"/>
      <c r="I264" s="36"/>
    </row>
    <row r="265" spans="1:9">
      <c r="A265" s="31"/>
      <c r="B265" s="31"/>
      <c r="C265" s="36"/>
      <c r="D265" s="36"/>
      <c r="E265" s="36"/>
      <c r="F265" s="36"/>
      <c r="G265" s="36"/>
      <c r="H265" s="36"/>
      <c r="I265" s="36"/>
    </row>
    <row r="266" spans="1:9">
      <c r="A266" s="31"/>
      <c r="B266" s="31"/>
      <c r="C266" s="36"/>
      <c r="D266" s="36"/>
      <c r="E266" s="36"/>
      <c r="F266" s="36"/>
      <c r="G266" s="36"/>
      <c r="H266" s="36"/>
      <c r="I266" s="36"/>
    </row>
    <row r="267" spans="1:9">
      <c r="A267" s="31"/>
      <c r="B267" s="31"/>
      <c r="C267" s="36"/>
      <c r="D267" s="36"/>
      <c r="E267" s="36"/>
      <c r="F267" s="36"/>
      <c r="G267" s="36"/>
      <c r="H267" s="36"/>
      <c r="I267" s="36"/>
    </row>
    <row r="268" spans="1:9">
      <c r="A268" s="31"/>
      <c r="B268" s="31"/>
      <c r="C268" s="36"/>
      <c r="D268" s="36"/>
      <c r="E268" s="36"/>
      <c r="F268" s="36"/>
      <c r="G268" s="36"/>
      <c r="H268" s="36"/>
      <c r="I268" s="36"/>
    </row>
    <row r="269" spans="1:9">
      <c r="A269" s="31"/>
      <c r="B269" s="31"/>
      <c r="C269" s="36"/>
      <c r="D269" s="36"/>
      <c r="E269" s="36"/>
      <c r="F269" s="36"/>
      <c r="G269" s="36"/>
      <c r="H269" s="36"/>
      <c r="I269" s="36"/>
    </row>
    <row r="270" spans="1:9">
      <c r="A270" s="31"/>
      <c r="B270" s="31"/>
      <c r="C270" s="36"/>
      <c r="D270" s="36"/>
      <c r="E270" s="36"/>
      <c r="F270" s="36"/>
      <c r="G270" s="36"/>
      <c r="H270" s="36"/>
      <c r="I270" s="36"/>
    </row>
    <row r="271" spans="1:9">
      <c r="A271" s="31"/>
      <c r="B271" s="31"/>
      <c r="C271" s="36"/>
      <c r="D271" s="36"/>
      <c r="E271" s="36"/>
      <c r="F271" s="36"/>
      <c r="G271" s="36"/>
      <c r="H271" s="36"/>
      <c r="I271" s="36"/>
    </row>
    <row r="272" spans="1:9">
      <c r="A272" s="31"/>
      <c r="B272" s="31"/>
      <c r="C272" s="36"/>
      <c r="D272" s="36"/>
      <c r="E272" s="36"/>
      <c r="F272" s="36"/>
      <c r="G272" s="36"/>
      <c r="H272" s="36"/>
      <c r="I272" s="36"/>
    </row>
    <row r="273" spans="1:9">
      <c r="A273" s="31"/>
      <c r="B273" s="31"/>
      <c r="C273" s="36"/>
      <c r="D273" s="36"/>
      <c r="E273" s="36"/>
      <c r="F273" s="36"/>
      <c r="G273" s="36"/>
      <c r="H273" s="36"/>
      <c r="I273" s="36"/>
    </row>
    <row r="274" spans="1:9">
      <c r="A274" s="31"/>
      <c r="B274" s="31"/>
      <c r="C274" s="36"/>
      <c r="D274" s="36"/>
      <c r="E274" s="36"/>
      <c r="F274" s="36"/>
      <c r="G274" s="36"/>
      <c r="H274" s="36"/>
      <c r="I274" s="36"/>
    </row>
    <row r="275" spans="1:9">
      <c r="A275" s="31"/>
      <c r="B275" s="31"/>
      <c r="C275" s="36"/>
      <c r="D275" s="36"/>
      <c r="E275" s="36"/>
      <c r="F275" s="36"/>
      <c r="G275" s="36"/>
      <c r="H275" s="36"/>
      <c r="I275" s="36"/>
    </row>
    <row r="276" spans="1:9">
      <c r="A276" s="31"/>
      <c r="B276" s="31"/>
      <c r="C276" s="36"/>
      <c r="D276" s="36"/>
      <c r="E276" s="36"/>
      <c r="F276" s="36"/>
      <c r="G276" s="36"/>
      <c r="H276" s="36"/>
      <c r="I276" s="36"/>
    </row>
    <row r="277" spans="1:9">
      <c r="A277" s="31"/>
      <c r="B277" s="31"/>
      <c r="C277" s="36"/>
      <c r="D277" s="36"/>
      <c r="E277" s="36"/>
      <c r="F277" s="36"/>
      <c r="G277" s="36"/>
      <c r="H277" s="36"/>
      <c r="I277" s="36"/>
    </row>
    <row r="278" spans="1:9">
      <c r="A278" s="31"/>
      <c r="B278" s="31"/>
      <c r="C278" s="36"/>
      <c r="D278" s="36"/>
      <c r="E278" s="36"/>
      <c r="F278" s="36"/>
      <c r="G278" s="36"/>
      <c r="H278" s="36"/>
      <c r="I278" s="36"/>
    </row>
    <row r="279" spans="1:9">
      <c r="A279" s="31"/>
      <c r="B279" s="31"/>
      <c r="C279" s="36"/>
      <c r="D279" s="36"/>
      <c r="E279" s="36"/>
      <c r="F279" s="36"/>
      <c r="G279" s="36"/>
      <c r="H279" s="36"/>
      <c r="I279" s="36"/>
    </row>
    <row r="280" spans="1:9">
      <c r="A280" s="31"/>
      <c r="B280" s="31"/>
      <c r="C280" s="36"/>
      <c r="D280" s="36"/>
      <c r="E280" s="36"/>
      <c r="F280" s="36"/>
      <c r="G280" s="36"/>
      <c r="H280" s="36"/>
      <c r="I280" s="36"/>
    </row>
    <row r="281" spans="1:9">
      <c r="A281" s="31"/>
      <c r="B281" s="31"/>
      <c r="C281" s="36"/>
      <c r="D281" s="36"/>
      <c r="E281" s="36"/>
      <c r="F281" s="36"/>
      <c r="G281" s="36"/>
      <c r="H281" s="36"/>
      <c r="I281" s="36"/>
    </row>
    <row r="282" spans="1:9">
      <c r="A282" s="31"/>
      <c r="B282" s="31"/>
      <c r="C282" s="36"/>
      <c r="D282" s="36"/>
      <c r="E282" s="36"/>
      <c r="F282" s="36"/>
      <c r="G282" s="36"/>
      <c r="H282" s="36"/>
      <c r="I282" s="36"/>
    </row>
    <row r="283" spans="1:9">
      <c r="A283" s="31"/>
      <c r="B283" s="31"/>
      <c r="C283" s="36"/>
      <c r="D283" s="36"/>
      <c r="E283" s="36"/>
      <c r="F283" s="36"/>
      <c r="G283" s="36"/>
      <c r="H283" s="36"/>
      <c r="I283" s="36"/>
    </row>
    <row r="284" spans="1:9">
      <c r="A284" s="31"/>
      <c r="B284" s="31"/>
      <c r="C284" s="36"/>
      <c r="D284" s="36"/>
      <c r="E284" s="36"/>
      <c r="F284" s="36"/>
      <c r="G284" s="36"/>
      <c r="H284" s="36"/>
      <c r="I284" s="36"/>
    </row>
    <row r="285" spans="1:9">
      <c r="A285" s="31"/>
      <c r="B285" s="31"/>
      <c r="C285" s="36"/>
      <c r="D285" s="36"/>
      <c r="E285" s="36"/>
      <c r="F285" s="36"/>
      <c r="G285" s="36"/>
      <c r="H285" s="36"/>
      <c r="I285" s="36"/>
    </row>
    <row r="286" spans="1:9">
      <c r="A286" s="31"/>
      <c r="B286" s="31"/>
      <c r="C286" s="36"/>
      <c r="D286" s="36"/>
      <c r="E286" s="36"/>
      <c r="F286" s="36"/>
      <c r="G286" s="36"/>
      <c r="H286" s="36"/>
      <c r="I286" s="36"/>
    </row>
    <row r="287" spans="1:9">
      <c r="A287" s="31"/>
      <c r="B287" s="31"/>
      <c r="C287" s="36"/>
      <c r="D287" s="36"/>
      <c r="E287" s="36"/>
      <c r="F287" s="36"/>
      <c r="G287" s="36"/>
      <c r="H287" s="36"/>
      <c r="I287" s="36"/>
    </row>
    <row r="288" spans="1:9">
      <c r="A288" s="31"/>
      <c r="B288" s="31"/>
      <c r="C288" s="36"/>
      <c r="D288" s="36"/>
      <c r="E288" s="36"/>
      <c r="F288" s="36"/>
      <c r="G288" s="36"/>
      <c r="H288" s="36"/>
      <c r="I288" s="36"/>
    </row>
    <row r="289" spans="1:9">
      <c r="A289" s="31"/>
      <c r="B289" s="31"/>
      <c r="C289" s="36"/>
      <c r="D289" s="36"/>
      <c r="E289" s="36"/>
      <c r="F289" s="36"/>
      <c r="G289" s="36"/>
      <c r="H289" s="36"/>
      <c r="I289" s="36"/>
    </row>
    <row r="290" spans="1:9">
      <c r="A290" s="31"/>
      <c r="B290" s="31"/>
      <c r="C290" s="36"/>
      <c r="D290" s="36"/>
      <c r="E290" s="36"/>
      <c r="F290" s="36"/>
      <c r="G290" s="36"/>
      <c r="H290" s="36"/>
      <c r="I290" s="36"/>
    </row>
    <row r="291" spans="1:9">
      <c r="A291" s="31"/>
      <c r="B291" s="31"/>
      <c r="C291" s="36"/>
      <c r="D291" s="36"/>
      <c r="E291" s="36"/>
      <c r="F291" s="36"/>
      <c r="G291" s="36"/>
      <c r="H291" s="36"/>
      <c r="I291" s="36"/>
    </row>
    <row r="292" spans="1:9">
      <c r="A292" s="31"/>
      <c r="B292" s="31"/>
      <c r="C292" s="36"/>
      <c r="D292" s="36"/>
      <c r="E292" s="36"/>
      <c r="F292" s="36"/>
      <c r="G292" s="36"/>
      <c r="H292" s="36"/>
      <c r="I292" s="36"/>
    </row>
    <row r="293" spans="1:9">
      <c r="A293" s="31"/>
      <c r="B293" s="31"/>
      <c r="C293" s="36"/>
      <c r="D293" s="36"/>
      <c r="E293" s="36"/>
      <c r="F293" s="36"/>
      <c r="G293" s="36"/>
      <c r="H293" s="36"/>
      <c r="I293" s="36"/>
    </row>
    <row r="294" spans="1:9">
      <c r="A294" s="31"/>
      <c r="B294" s="31"/>
      <c r="C294" s="36"/>
      <c r="D294" s="36"/>
      <c r="E294" s="36"/>
      <c r="F294" s="36"/>
      <c r="G294" s="36"/>
      <c r="H294" s="36"/>
      <c r="I294" s="36"/>
    </row>
    <row r="295" spans="1:9">
      <c r="A295" s="31"/>
      <c r="B295" s="31"/>
      <c r="C295" s="36"/>
      <c r="D295" s="36"/>
      <c r="E295" s="36"/>
      <c r="F295" s="36"/>
      <c r="G295" s="36"/>
      <c r="H295" s="36"/>
      <c r="I295" s="36"/>
    </row>
    <row r="296" spans="1:9">
      <c r="A296" s="31"/>
      <c r="B296" s="31"/>
      <c r="C296" s="36"/>
      <c r="D296" s="36"/>
      <c r="E296" s="36"/>
      <c r="F296" s="36"/>
      <c r="G296" s="36"/>
      <c r="H296" s="36"/>
      <c r="I296" s="36"/>
    </row>
    <row r="297" spans="1:9">
      <c r="A297" s="31"/>
      <c r="B297" s="31"/>
      <c r="C297" s="36"/>
      <c r="D297" s="36"/>
      <c r="E297" s="36"/>
      <c r="F297" s="36"/>
      <c r="G297" s="36"/>
      <c r="H297" s="36"/>
      <c r="I297" s="36"/>
    </row>
    <row r="298" spans="1:9">
      <c r="A298" s="31"/>
      <c r="B298" s="31"/>
      <c r="C298" s="36"/>
      <c r="D298" s="36"/>
      <c r="E298" s="36"/>
      <c r="F298" s="36"/>
      <c r="G298" s="36"/>
      <c r="H298" s="36"/>
      <c r="I298" s="36"/>
    </row>
    <row r="299" spans="1:9">
      <c r="A299" s="31"/>
      <c r="B299" s="31"/>
      <c r="C299" s="36"/>
      <c r="D299" s="36"/>
      <c r="E299" s="36"/>
      <c r="F299" s="36"/>
      <c r="G299" s="36"/>
      <c r="H299" s="36"/>
      <c r="I299" s="36"/>
    </row>
    <row r="300" spans="1:9">
      <c r="A300" s="31"/>
      <c r="B300" s="31"/>
      <c r="C300" s="36"/>
      <c r="D300" s="36"/>
      <c r="E300" s="36"/>
      <c r="F300" s="36"/>
      <c r="G300" s="36"/>
      <c r="H300" s="36"/>
      <c r="I300" s="36"/>
    </row>
    <row r="301" spans="1:9">
      <c r="A301" s="31"/>
      <c r="B301" s="31"/>
      <c r="C301" s="36"/>
      <c r="D301" s="36"/>
      <c r="E301" s="36"/>
      <c r="F301" s="36"/>
      <c r="G301" s="36"/>
      <c r="H301" s="36"/>
      <c r="I301" s="36"/>
    </row>
    <row r="302" spans="1:9">
      <c r="A302" s="31"/>
      <c r="B302" s="31"/>
      <c r="C302" s="36"/>
      <c r="D302" s="36"/>
      <c r="E302" s="36"/>
      <c r="F302" s="36"/>
      <c r="G302" s="36"/>
      <c r="H302" s="36"/>
      <c r="I302" s="36"/>
    </row>
    <row r="303" spans="1:9">
      <c r="A303" s="31"/>
      <c r="B303" s="31"/>
      <c r="C303" s="36"/>
      <c r="D303" s="36"/>
      <c r="E303" s="36"/>
      <c r="F303" s="36"/>
      <c r="G303" s="36"/>
      <c r="H303" s="36"/>
      <c r="I303" s="36"/>
    </row>
    <row r="304" spans="1:9">
      <c r="A304" s="31"/>
      <c r="B304" s="31"/>
      <c r="C304" s="36"/>
      <c r="D304" s="36"/>
      <c r="E304" s="36"/>
      <c r="F304" s="36"/>
      <c r="G304" s="36"/>
      <c r="H304" s="36"/>
      <c r="I304" s="36"/>
    </row>
    <row r="305" spans="1:9">
      <c r="A305" s="31"/>
      <c r="B305" s="31"/>
      <c r="C305" s="36"/>
      <c r="D305" s="36"/>
      <c r="E305" s="36"/>
      <c r="F305" s="36"/>
      <c r="G305" s="36"/>
      <c r="H305" s="36"/>
      <c r="I305" s="36"/>
    </row>
    <row r="306" spans="1:9">
      <c r="A306" s="31"/>
      <c r="B306" s="31"/>
      <c r="C306" s="36"/>
      <c r="D306" s="36"/>
      <c r="E306" s="36"/>
      <c r="F306" s="36"/>
      <c r="G306" s="36"/>
      <c r="H306" s="36"/>
      <c r="I306" s="36"/>
    </row>
    <row r="307" spans="1:9">
      <c r="A307" s="31"/>
      <c r="B307" s="31"/>
      <c r="C307" s="36"/>
      <c r="D307" s="36"/>
      <c r="E307" s="36"/>
      <c r="F307" s="36"/>
      <c r="G307" s="36"/>
      <c r="H307" s="36"/>
      <c r="I307" s="36"/>
    </row>
    <row r="308" spans="1:9">
      <c r="A308" s="31"/>
      <c r="B308" s="31"/>
      <c r="C308" s="36"/>
      <c r="D308" s="36"/>
      <c r="E308" s="36"/>
      <c r="F308" s="36"/>
      <c r="G308" s="36"/>
      <c r="H308" s="36"/>
      <c r="I308" s="36"/>
    </row>
    <row r="309" spans="1:9">
      <c r="A309" s="31"/>
      <c r="B309" s="31"/>
      <c r="C309" s="36"/>
      <c r="D309" s="36"/>
      <c r="E309" s="36"/>
      <c r="F309" s="36"/>
      <c r="G309" s="36"/>
      <c r="H309" s="36"/>
      <c r="I309" s="36"/>
    </row>
    <row r="310" spans="1:9">
      <c r="A310" s="31"/>
      <c r="B310" s="31"/>
      <c r="C310" s="36"/>
      <c r="D310" s="36"/>
      <c r="E310" s="36"/>
      <c r="F310" s="36"/>
      <c r="G310" s="36"/>
      <c r="H310" s="36"/>
      <c r="I310" s="36"/>
    </row>
    <row r="311" spans="1:9">
      <c r="A311" s="31"/>
      <c r="B311" s="31"/>
      <c r="C311" s="36"/>
      <c r="D311" s="36"/>
      <c r="E311" s="36"/>
      <c r="F311" s="36"/>
      <c r="G311" s="36"/>
      <c r="H311" s="36"/>
      <c r="I311" s="36"/>
    </row>
    <row r="312" spans="1:9">
      <c r="A312" s="31"/>
      <c r="B312" s="31"/>
      <c r="C312" s="36"/>
      <c r="D312" s="36"/>
      <c r="E312" s="36"/>
      <c r="F312" s="36"/>
      <c r="G312" s="36"/>
      <c r="H312" s="36"/>
      <c r="I312" s="36"/>
    </row>
    <row r="313" spans="1:9">
      <c r="A313" s="31"/>
      <c r="B313" s="31"/>
      <c r="C313" s="36"/>
      <c r="D313" s="36"/>
      <c r="E313" s="36"/>
      <c r="F313" s="36"/>
      <c r="G313" s="36"/>
      <c r="H313" s="36"/>
      <c r="I313" s="36"/>
    </row>
    <row r="314" spans="1:9">
      <c r="A314" s="31"/>
      <c r="B314" s="31"/>
      <c r="C314" s="36"/>
      <c r="D314" s="36"/>
      <c r="E314" s="36"/>
      <c r="F314" s="36"/>
      <c r="G314" s="36"/>
      <c r="H314" s="36"/>
      <c r="I314" s="36"/>
    </row>
    <row r="315" spans="1:9">
      <c r="A315" s="31"/>
      <c r="B315" s="31"/>
      <c r="C315" s="36"/>
      <c r="D315" s="36"/>
      <c r="E315" s="36"/>
      <c r="F315" s="36"/>
      <c r="G315" s="36"/>
      <c r="H315" s="36"/>
      <c r="I315" s="36"/>
    </row>
    <row r="316" spans="1:9">
      <c r="A316" s="31"/>
      <c r="B316" s="31"/>
      <c r="C316" s="36"/>
      <c r="D316" s="36"/>
      <c r="E316" s="36"/>
      <c r="F316" s="36"/>
      <c r="G316" s="36"/>
      <c r="H316" s="36"/>
      <c r="I316" s="36"/>
    </row>
    <row r="317" spans="1:9">
      <c r="A317" s="31"/>
      <c r="B317" s="31"/>
      <c r="C317" s="36"/>
      <c r="D317" s="36"/>
      <c r="E317" s="36"/>
      <c r="F317" s="36"/>
      <c r="G317" s="36"/>
      <c r="H317" s="36"/>
      <c r="I317" s="36"/>
    </row>
    <row r="318" spans="1:9">
      <c r="A318" s="31"/>
      <c r="B318" s="31"/>
      <c r="C318" s="36"/>
      <c r="D318" s="36"/>
      <c r="E318" s="36"/>
      <c r="F318" s="36"/>
      <c r="G318" s="36"/>
      <c r="H318" s="36"/>
      <c r="I318" s="36"/>
    </row>
    <row r="319" spans="1:9">
      <c r="A319" s="31"/>
      <c r="B319" s="31"/>
      <c r="C319" s="36"/>
      <c r="D319" s="36"/>
      <c r="E319" s="36"/>
      <c r="F319" s="36"/>
      <c r="G319" s="36"/>
      <c r="H319" s="36"/>
      <c r="I319" s="36"/>
    </row>
    <row r="320" spans="1:9">
      <c r="A320" s="31"/>
      <c r="B320" s="31"/>
      <c r="C320" s="36"/>
      <c r="D320" s="36"/>
      <c r="E320" s="36"/>
      <c r="F320" s="36"/>
      <c r="G320" s="36"/>
      <c r="H320" s="36"/>
      <c r="I320" s="36"/>
    </row>
    <row r="321" spans="1:9">
      <c r="A321" s="31"/>
      <c r="B321" s="31"/>
      <c r="C321" s="36"/>
      <c r="D321" s="36"/>
      <c r="E321" s="36"/>
      <c r="F321" s="36"/>
      <c r="G321" s="36"/>
      <c r="H321" s="36"/>
      <c r="I321" s="36"/>
    </row>
    <row r="322" spans="1:9">
      <c r="A322" s="31"/>
      <c r="B322" s="31"/>
      <c r="C322" s="36"/>
      <c r="D322" s="36"/>
      <c r="E322" s="36"/>
      <c r="F322" s="36"/>
      <c r="G322" s="36"/>
      <c r="H322" s="36"/>
      <c r="I322" s="36"/>
    </row>
    <row r="323" spans="1:9">
      <c r="A323" s="31"/>
      <c r="B323" s="31"/>
      <c r="C323" s="36"/>
      <c r="D323" s="36"/>
      <c r="E323" s="36"/>
      <c r="F323" s="36"/>
      <c r="G323" s="36"/>
      <c r="H323" s="36"/>
      <c r="I323" s="36"/>
    </row>
    <row r="324" spans="1:9">
      <c r="A324" s="31"/>
      <c r="B324" s="31"/>
      <c r="C324" s="36"/>
      <c r="D324" s="36"/>
      <c r="E324" s="36"/>
      <c r="F324" s="36"/>
      <c r="G324" s="36"/>
      <c r="H324" s="36"/>
      <c r="I324" s="36"/>
    </row>
    <row r="325" spans="1:9">
      <c r="A325" s="31"/>
      <c r="B325" s="31"/>
      <c r="C325" s="36"/>
      <c r="D325" s="36"/>
      <c r="E325" s="36"/>
      <c r="F325" s="36"/>
      <c r="G325" s="36"/>
      <c r="H325" s="36"/>
      <c r="I325" s="36"/>
    </row>
    <row r="326" spans="1:9">
      <c r="A326" s="31"/>
      <c r="B326" s="31"/>
      <c r="C326" s="36"/>
      <c r="D326" s="36"/>
      <c r="E326" s="36"/>
      <c r="F326" s="36"/>
      <c r="G326" s="36"/>
      <c r="H326" s="36"/>
      <c r="I326" s="36"/>
    </row>
    <row r="327" spans="1:9">
      <c r="A327" s="31"/>
      <c r="B327" s="31"/>
      <c r="C327" s="36"/>
      <c r="D327" s="36"/>
      <c r="E327" s="36"/>
      <c r="F327" s="36"/>
      <c r="G327" s="36"/>
      <c r="H327" s="36"/>
      <c r="I327" s="36"/>
    </row>
    <row r="328" spans="1:9">
      <c r="A328" s="31"/>
      <c r="B328" s="31"/>
      <c r="C328" s="36"/>
      <c r="D328" s="36"/>
      <c r="E328" s="36"/>
      <c r="F328" s="36"/>
      <c r="G328" s="36"/>
      <c r="H328" s="36"/>
      <c r="I328" s="36"/>
    </row>
    <row r="329" spans="1:9">
      <c r="A329" s="31"/>
      <c r="B329" s="31"/>
      <c r="C329" s="36"/>
      <c r="D329" s="36"/>
      <c r="E329" s="36"/>
      <c r="F329" s="36"/>
      <c r="G329" s="36"/>
      <c r="H329" s="36"/>
      <c r="I329" s="36"/>
    </row>
    <row r="330" spans="1:9">
      <c r="A330" s="31"/>
      <c r="B330" s="31"/>
      <c r="C330" s="36"/>
      <c r="D330" s="36"/>
      <c r="E330" s="36"/>
      <c r="F330" s="36"/>
      <c r="G330" s="36"/>
      <c r="H330" s="36"/>
      <c r="I330" s="36"/>
    </row>
    <row r="331" spans="1:9">
      <c r="A331" s="31"/>
      <c r="B331" s="31"/>
      <c r="C331" s="36"/>
      <c r="D331" s="36"/>
      <c r="E331" s="36"/>
      <c r="F331" s="36"/>
      <c r="G331" s="36"/>
      <c r="H331" s="36"/>
      <c r="I331" s="36"/>
    </row>
    <row r="332" spans="1:9">
      <c r="A332" s="31"/>
      <c r="B332" s="31"/>
      <c r="C332" s="36"/>
      <c r="D332" s="36"/>
      <c r="E332" s="36"/>
      <c r="F332" s="36"/>
      <c r="G332" s="36"/>
      <c r="H332" s="36"/>
      <c r="I332" s="36"/>
    </row>
    <row r="333" spans="1:9">
      <c r="A333" s="31"/>
      <c r="B333" s="31"/>
      <c r="C333" s="36"/>
      <c r="D333" s="36"/>
      <c r="E333" s="36"/>
      <c r="F333" s="36"/>
      <c r="G333" s="36"/>
      <c r="H333" s="36"/>
      <c r="I333" s="36"/>
    </row>
    <row r="334" spans="1:9">
      <c r="A334" s="31"/>
      <c r="B334" s="31"/>
      <c r="C334" s="36"/>
      <c r="D334" s="36"/>
      <c r="E334" s="36"/>
      <c r="F334" s="36"/>
      <c r="G334" s="36"/>
      <c r="H334" s="36"/>
      <c r="I334" s="36"/>
    </row>
    <row r="335" spans="1:9">
      <c r="A335" s="31"/>
      <c r="B335" s="31"/>
      <c r="C335" s="36"/>
      <c r="D335" s="36"/>
      <c r="E335" s="36"/>
      <c r="F335" s="36"/>
      <c r="G335" s="36"/>
      <c r="H335" s="36"/>
      <c r="I335" s="36"/>
    </row>
    <row r="336" spans="1:9">
      <c r="A336" s="31"/>
      <c r="B336" s="31"/>
      <c r="C336" s="36"/>
      <c r="D336" s="36"/>
      <c r="E336" s="36"/>
      <c r="F336" s="36"/>
      <c r="G336" s="36"/>
      <c r="H336" s="36"/>
      <c r="I336" s="36"/>
    </row>
    <row r="337" spans="1:9">
      <c r="A337" s="31"/>
      <c r="B337" s="31"/>
      <c r="C337" s="36"/>
      <c r="D337" s="36"/>
      <c r="E337" s="36"/>
      <c r="F337" s="36"/>
      <c r="G337" s="36"/>
      <c r="H337" s="36"/>
      <c r="I337" s="36"/>
    </row>
    <row r="338" spans="1:9">
      <c r="A338" s="31"/>
      <c r="B338" s="31"/>
      <c r="C338" s="36"/>
      <c r="D338" s="36"/>
      <c r="E338" s="36"/>
      <c r="F338" s="36"/>
      <c r="G338" s="36"/>
      <c r="H338" s="36"/>
      <c r="I338" s="36"/>
    </row>
    <row r="339" spans="1:9">
      <c r="A339" s="31"/>
      <c r="B339" s="31"/>
      <c r="C339" s="36"/>
      <c r="D339" s="36"/>
      <c r="E339" s="36"/>
      <c r="F339" s="36"/>
      <c r="G339" s="36"/>
      <c r="H339" s="36"/>
      <c r="I339" s="36"/>
    </row>
    <row r="340" spans="1:9">
      <c r="A340" s="31"/>
      <c r="B340" s="31"/>
      <c r="C340" s="36"/>
      <c r="D340" s="36"/>
      <c r="E340" s="36"/>
      <c r="F340" s="36"/>
      <c r="G340" s="36"/>
      <c r="H340" s="36"/>
      <c r="I340" s="36"/>
    </row>
    <row r="341" spans="1:9">
      <c r="A341" s="31"/>
      <c r="B341" s="31"/>
      <c r="C341" s="36"/>
      <c r="D341" s="36"/>
      <c r="E341" s="36"/>
      <c r="F341" s="36"/>
      <c r="G341" s="36"/>
      <c r="H341" s="36"/>
      <c r="I341" s="36"/>
    </row>
    <row r="342" spans="1:9">
      <c r="A342" s="31"/>
      <c r="B342" s="31"/>
      <c r="C342" s="36"/>
      <c r="D342" s="36"/>
      <c r="E342" s="36"/>
      <c r="F342" s="36"/>
      <c r="G342" s="36"/>
      <c r="H342" s="36"/>
      <c r="I342" s="36"/>
    </row>
    <row r="343" spans="1:9">
      <c r="A343" s="31"/>
      <c r="B343" s="31"/>
      <c r="C343" s="36"/>
      <c r="D343" s="36"/>
      <c r="E343" s="36"/>
      <c r="F343" s="36"/>
      <c r="G343" s="36"/>
      <c r="H343" s="36"/>
      <c r="I343" s="36"/>
    </row>
    <row r="344" spans="1:9">
      <c r="A344" s="31"/>
      <c r="B344" s="31"/>
      <c r="C344" s="36"/>
      <c r="D344" s="36"/>
      <c r="E344" s="36"/>
      <c r="F344" s="36"/>
      <c r="G344" s="36"/>
      <c r="H344" s="36"/>
      <c r="I344" s="36"/>
    </row>
    <row r="345" spans="1:9">
      <c r="A345" s="31"/>
      <c r="B345" s="31"/>
      <c r="C345" s="36"/>
      <c r="D345" s="36"/>
      <c r="E345" s="36"/>
      <c r="F345" s="36"/>
      <c r="G345" s="36"/>
      <c r="H345" s="36"/>
      <c r="I345" s="36"/>
    </row>
    <row r="346" spans="1:9">
      <c r="A346" s="31"/>
      <c r="B346" s="31"/>
      <c r="C346" s="36"/>
      <c r="D346" s="36"/>
      <c r="E346" s="36"/>
      <c r="F346" s="36"/>
      <c r="G346" s="36"/>
      <c r="H346" s="36"/>
      <c r="I346" s="36"/>
    </row>
    <row r="347" spans="1:9">
      <c r="A347" s="31"/>
      <c r="B347" s="31"/>
      <c r="C347" s="36"/>
      <c r="D347" s="36"/>
      <c r="E347" s="36"/>
      <c r="F347" s="36"/>
      <c r="G347" s="36"/>
      <c r="H347" s="36"/>
      <c r="I347" s="36"/>
    </row>
    <row r="348" spans="1:9">
      <c r="A348" s="31"/>
      <c r="B348" s="31"/>
      <c r="C348" s="36"/>
      <c r="D348" s="36"/>
      <c r="E348" s="36"/>
      <c r="F348" s="36"/>
      <c r="G348" s="36"/>
      <c r="H348" s="36"/>
      <c r="I348" s="36"/>
    </row>
    <row r="349" spans="1:9">
      <c r="A349" s="31"/>
      <c r="B349" s="31"/>
      <c r="C349" s="36"/>
      <c r="D349" s="36"/>
      <c r="E349" s="36"/>
      <c r="F349" s="36"/>
      <c r="G349" s="36"/>
      <c r="H349" s="36"/>
      <c r="I349" s="36"/>
    </row>
    <row r="350" spans="1:9">
      <c r="A350" s="31"/>
      <c r="B350" s="31"/>
      <c r="C350" s="36"/>
      <c r="D350" s="36"/>
      <c r="E350" s="36"/>
      <c r="F350" s="36"/>
      <c r="G350" s="36"/>
      <c r="H350" s="36"/>
      <c r="I350" s="36"/>
    </row>
    <row r="351" spans="1:9">
      <c r="A351" s="31"/>
      <c r="B351" s="31"/>
      <c r="C351" s="36"/>
      <c r="D351" s="36"/>
      <c r="E351" s="36"/>
      <c r="F351" s="36"/>
      <c r="G351" s="36"/>
      <c r="H351" s="36"/>
      <c r="I351" s="36"/>
    </row>
    <row r="352" spans="1:9">
      <c r="A352" s="31"/>
      <c r="B352" s="31"/>
      <c r="C352" s="36"/>
      <c r="D352" s="36"/>
      <c r="E352" s="36"/>
      <c r="F352" s="36"/>
      <c r="G352" s="36"/>
      <c r="H352" s="36"/>
      <c r="I352" s="36"/>
    </row>
    <row r="353" spans="1:9">
      <c r="A353" s="31"/>
      <c r="B353" s="31"/>
      <c r="C353" s="36"/>
      <c r="D353" s="36"/>
      <c r="E353" s="36"/>
      <c r="F353" s="36"/>
      <c r="G353" s="36"/>
      <c r="H353" s="36"/>
      <c r="I353" s="36"/>
    </row>
    <row r="354" spans="1:9">
      <c r="A354" s="31"/>
      <c r="B354" s="31"/>
      <c r="C354" s="36"/>
      <c r="D354" s="36"/>
      <c r="E354" s="36"/>
      <c r="F354" s="36"/>
      <c r="G354" s="36"/>
      <c r="H354" s="36"/>
      <c r="I354" s="36"/>
    </row>
    <row r="355" spans="1:9">
      <c r="A355" s="31"/>
      <c r="B355" s="31"/>
      <c r="C355" s="36"/>
      <c r="D355" s="36"/>
      <c r="E355" s="36"/>
      <c r="F355" s="36"/>
      <c r="G355" s="36"/>
      <c r="H355" s="36"/>
      <c r="I355" s="36"/>
    </row>
    <row r="356" spans="1:9">
      <c r="A356" s="31"/>
      <c r="B356" s="31"/>
      <c r="C356" s="36"/>
      <c r="D356" s="36"/>
      <c r="E356" s="36"/>
      <c r="F356" s="36"/>
      <c r="G356" s="36"/>
      <c r="H356" s="36"/>
      <c r="I356" s="36"/>
    </row>
    <row r="357" spans="1:9">
      <c r="A357" s="31"/>
      <c r="B357" s="31"/>
      <c r="C357" s="36"/>
      <c r="D357" s="36"/>
      <c r="E357" s="36"/>
      <c r="F357" s="36"/>
      <c r="G357" s="36"/>
      <c r="H357" s="36"/>
      <c r="I357" s="36"/>
    </row>
    <row r="358" spans="1:9">
      <c r="A358" s="31"/>
      <c r="B358" s="31"/>
      <c r="C358" s="36"/>
      <c r="D358" s="36"/>
      <c r="E358" s="36"/>
      <c r="F358" s="36"/>
      <c r="G358" s="36"/>
      <c r="H358" s="36"/>
      <c r="I358" s="36"/>
    </row>
    <row r="359" spans="1:9">
      <c r="A359" s="31"/>
      <c r="B359" s="31"/>
      <c r="C359" s="36"/>
      <c r="D359" s="36"/>
      <c r="E359" s="36"/>
      <c r="F359" s="36"/>
      <c r="G359" s="36"/>
      <c r="H359" s="36"/>
      <c r="I359" s="36"/>
    </row>
    <row r="360" spans="1:9">
      <c r="A360" s="31"/>
      <c r="B360" s="31"/>
      <c r="C360" s="36"/>
      <c r="D360" s="36"/>
      <c r="E360" s="36"/>
      <c r="F360" s="36"/>
      <c r="G360" s="36"/>
      <c r="H360" s="36"/>
      <c r="I360" s="36"/>
    </row>
    <row r="361" spans="1:9">
      <c r="A361" s="31"/>
      <c r="B361" s="31"/>
      <c r="C361" s="36"/>
      <c r="D361" s="36"/>
      <c r="E361" s="36"/>
      <c r="F361" s="36"/>
      <c r="G361" s="36"/>
      <c r="H361" s="36"/>
      <c r="I361" s="36"/>
    </row>
    <row r="362" spans="1:9">
      <c r="A362" s="31"/>
      <c r="B362" s="31"/>
      <c r="C362" s="36"/>
      <c r="D362" s="36"/>
      <c r="E362" s="36"/>
      <c r="F362" s="36"/>
      <c r="G362" s="36"/>
      <c r="H362" s="36"/>
      <c r="I362" s="36"/>
    </row>
    <row r="363" spans="1:9">
      <c r="A363" s="31"/>
      <c r="B363" s="31"/>
      <c r="C363" s="36"/>
      <c r="D363" s="36"/>
      <c r="E363" s="36"/>
      <c r="F363" s="36"/>
      <c r="G363" s="36"/>
      <c r="H363" s="36"/>
      <c r="I363" s="36"/>
    </row>
    <row r="364" spans="1:9">
      <c r="A364" s="31"/>
      <c r="B364" s="31"/>
      <c r="C364" s="36"/>
      <c r="D364" s="36"/>
      <c r="E364" s="36"/>
      <c r="F364" s="36"/>
      <c r="G364" s="36"/>
      <c r="H364" s="36"/>
      <c r="I364" s="36"/>
    </row>
    <row r="365" spans="1:9">
      <c r="A365" s="31"/>
      <c r="B365" s="31"/>
      <c r="C365" s="36"/>
      <c r="D365" s="36"/>
      <c r="E365" s="36"/>
      <c r="F365" s="36"/>
      <c r="G365" s="36"/>
      <c r="H365" s="36"/>
      <c r="I365" s="36"/>
    </row>
    <row r="366" spans="1:9">
      <c r="A366" s="31"/>
      <c r="B366" s="31"/>
      <c r="C366" s="36"/>
      <c r="D366" s="36"/>
      <c r="E366" s="36"/>
      <c r="F366" s="36"/>
      <c r="G366" s="36"/>
      <c r="H366" s="36"/>
      <c r="I366" s="36"/>
    </row>
    <row r="367" spans="1:9">
      <c r="A367" s="31"/>
      <c r="B367" s="31"/>
      <c r="C367" s="36"/>
      <c r="D367" s="36"/>
      <c r="E367" s="36"/>
      <c r="F367" s="36"/>
      <c r="G367" s="36"/>
      <c r="H367" s="36"/>
      <c r="I367" s="36"/>
    </row>
    <row r="368" spans="1:9">
      <c r="A368" s="31"/>
      <c r="B368" s="31"/>
      <c r="C368" s="36"/>
      <c r="D368" s="36"/>
      <c r="E368" s="36"/>
      <c r="F368" s="36"/>
      <c r="G368" s="36"/>
      <c r="H368" s="36"/>
      <c r="I368" s="36"/>
    </row>
    <row r="369" spans="1:9">
      <c r="A369" s="31"/>
      <c r="B369" s="31"/>
      <c r="C369" s="36"/>
      <c r="D369" s="36"/>
      <c r="E369" s="36"/>
      <c r="F369" s="36"/>
      <c r="G369" s="36"/>
      <c r="H369" s="36"/>
      <c r="I369" s="36"/>
    </row>
    <row r="370" spans="1:9">
      <c r="A370" s="31"/>
      <c r="B370" s="31"/>
      <c r="C370" s="36"/>
      <c r="D370" s="36"/>
      <c r="E370" s="36"/>
      <c r="F370" s="36"/>
      <c r="G370" s="36"/>
      <c r="H370" s="36"/>
      <c r="I370" s="36"/>
    </row>
    <row r="371" spans="1:9">
      <c r="A371" s="31"/>
      <c r="B371" s="31"/>
      <c r="C371" s="36"/>
      <c r="D371" s="36"/>
      <c r="E371" s="36"/>
      <c r="F371" s="36"/>
      <c r="G371" s="36"/>
      <c r="H371" s="36"/>
      <c r="I371" s="36"/>
    </row>
    <row r="372" spans="1:9">
      <c r="A372" s="31"/>
      <c r="B372" s="31"/>
      <c r="C372" s="36"/>
      <c r="D372" s="36"/>
      <c r="E372" s="36"/>
      <c r="F372" s="36"/>
      <c r="G372" s="36"/>
      <c r="H372" s="36"/>
      <c r="I372" s="36"/>
    </row>
    <row r="373" spans="1:9">
      <c r="A373" s="31"/>
      <c r="B373" s="31"/>
      <c r="C373" s="36"/>
      <c r="D373" s="36"/>
      <c r="E373" s="36"/>
      <c r="F373" s="36"/>
      <c r="G373" s="36"/>
      <c r="H373" s="36"/>
      <c r="I373" s="36"/>
    </row>
    <row r="374" spans="1:9">
      <c r="A374" s="31"/>
      <c r="B374" s="31"/>
      <c r="C374" s="36"/>
      <c r="D374" s="36"/>
      <c r="E374" s="36"/>
      <c r="F374" s="36"/>
      <c r="G374" s="36"/>
      <c r="H374" s="36"/>
      <c r="I374" s="36"/>
    </row>
    <row r="375" spans="1:9">
      <c r="A375" s="31"/>
      <c r="B375" s="31"/>
      <c r="C375" s="36"/>
      <c r="D375" s="36"/>
      <c r="E375" s="36"/>
      <c r="F375" s="36"/>
      <c r="G375" s="36"/>
      <c r="H375" s="36"/>
      <c r="I375" s="36"/>
    </row>
    <row r="376" spans="1:9">
      <c r="A376" s="31"/>
      <c r="B376" s="31"/>
      <c r="C376" s="36"/>
      <c r="D376" s="36"/>
      <c r="E376" s="36"/>
      <c r="F376" s="36"/>
      <c r="G376" s="36"/>
      <c r="H376" s="36"/>
      <c r="I376" s="36"/>
    </row>
    <row r="377" spans="1:9">
      <c r="A377" s="31"/>
      <c r="B377" s="31"/>
      <c r="C377" s="36"/>
      <c r="D377" s="36"/>
      <c r="E377" s="36"/>
      <c r="F377" s="36"/>
      <c r="G377" s="36"/>
      <c r="H377" s="36"/>
      <c r="I377" s="36"/>
    </row>
    <row r="378" spans="1:9">
      <c r="A378" s="31"/>
      <c r="B378" s="31"/>
      <c r="C378" s="36"/>
      <c r="D378" s="36"/>
      <c r="E378" s="36"/>
      <c r="F378" s="36"/>
      <c r="G378" s="36"/>
      <c r="H378" s="36"/>
      <c r="I378" s="36"/>
    </row>
    <row r="379" spans="1:9">
      <c r="A379" s="31"/>
      <c r="B379" s="31"/>
      <c r="C379" s="36"/>
      <c r="D379" s="36"/>
      <c r="E379" s="36"/>
      <c r="F379" s="36"/>
      <c r="G379" s="36"/>
      <c r="H379" s="36"/>
      <c r="I379" s="36"/>
    </row>
    <row r="380" spans="1:9">
      <c r="A380" s="31"/>
      <c r="B380" s="31"/>
      <c r="C380" s="36"/>
      <c r="D380" s="36"/>
      <c r="E380" s="36"/>
      <c r="F380" s="36"/>
      <c r="G380" s="36"/>
      <c r="H380" s="36"/>
      <c r="I380" s="36"/>
    </row>
    <row r="381" spans="1:9">
      <c r="A381" s="31"/>
      <c r="B381" s="31"/>
      <c r="C381" s="36"/>
      <c r="D381" s="36"/>
      <c r="E381" s="36"/>
      <c r="F381" s="36"/>
      <c r="G381" s="36"/>
      <c r="H381" s="36"/>
      <c r="I381" s="36"/>
    </row>
    <row r="382" spans="1:9">
      <c r="A382" s="31"/>
      <c r="B382" s="31"/>
      <c r="C382" s="36"/>
      <c r="D382" s="36"/>
      <c r="E382" s="36"/>
      <c r="F382" s="36"/>
      <c r="G382" s="36"/>
      <c r="H382" s="36"/>
      <c r="I382" s="36"/>
    </row>
    <row r="383" spans="1:9">
      <c r="A383" s="31"/>
      <c r="B383" s="31"/>
      <c r="C383" s="36"/>
      <c r="D383" s="36"/>
      <c r="E383" s="36"/>
      <c r="F383" s="36"/>
      <c r="G383" s="36"/>
      <c r="H383" s="36"/>
      <c r="I383" s="36"/>
    </row>
    <row r="384" spans="1:9">
      <c r="A384" s="31"/>
      <c r="B384" s="31"/>
      <c r="C384" s="36"/>
      <c r="D384" s="36"/>
      <c r="E384" s="36"/>
      <c r="F384" s="36"/>
      <c r="G384" s="36"/>
      <c r="H384" s="36"/>
      <c r="I384" s="36"/>
    </row>
    <row r="385" spans="1:9">
      <c r="A385" s="31"/>
      <c r="B385" s="31"/>
      <c r="C385" s="36"/>
      <c r="D385" s="36"/>
      <c r="E385" s="36"/>
      <c r="F385" s="36"/>
      <c r="G385" s="36"/>
      <c r="H385" s="36"/>
      <c r="I385" s="36"/>
    </row>
    <row r="386" spans="1:9">
      <c r="A386" s="31"/>
      <c r="B386" s="31"/>
      <c r="C386" s="36"/>
      <c r="D386" s="36"/>
      <c r="E386" s="36"/>
      <c r="F386" s="36"/>
      <c r="G386" s="36"/>
      <c r="H386" s="36"/>
      <c r="I386" s="36"/>
    </row>
    <row r="387" spans="1:9">
      <c r="A387" s="31"/>
      <c r="B387" s="31"/>
      <c r="C387" s="36"/>
      <c r="D387" s="36"/>
      <c r="E387" s="36"/>
      <c r="F387" s="36"/>
      <c r="G387" s="36"/>
      <c r="H387" s="36"/>
      <c r="I387" s="36"/>
    </row>
    <row r="388" spans="1:9">
      <c r="A388" s="31"/>
      <c r="B388" s="31"/>
      <c r="C388" s="36"/>
      <c r="D388" s="36"/>
      <c r="E388" s="36"/>
      <c r="F388" s="36"/>
      <c r="G388" s="36"/>
      <c r="H388" s="36"/>
      <c r="I388" s="36"/>
    </row>
    <row r="389" spans="1:9">
      <c r="A389" s="31"/>
      <c r="B389" s="31"/>
      <c r="C389" s="36"/>
      <c r="D389" s="36"/>
      <c r="E389" s="36"/>
      <c r="F389" s="36"/>
      <c r="G389" s="36"/>
      <c r="H389" s="36"/>
      <c r="I389" s="36"/>
    </row>
    <row r="390" spans="1:9">
      <c r="A390" s="31"/>
      <c r="B390" s="31"/>
      <c r="C390" s="36"/>
      <c r="D390" s="36"/>
      <c r="E390" s="36"/>
      <c r="F390" s="36"/>
      <c r="G390" s="36"/>
      <c r="H390" s="36"/>
      <c r="I390" s="36"/>
    </row>
    <row r="391" spans="1:9">
      <c r="A391" s="31"/>
      <c r="B391" s="31"/>
      <c r="C391" s="36"/>
      <c r="D391" s="36"/>
      <c r="E391" s="36"/>
      <c r="F391" s="36"/>
      <c r="G391" s="36"/>
      <c r="H391" s="36"/>
      <c r="I391" s="36"/>
    </row>
    <row r="392" spans="1:9">
      <c r="A392" s="31"/>
      <c r="B392" s="31"/>
      <c r="C392" s="36"/>
      <c r="D392" s="36"/>
      <c r="E392" s="36"/>
      <c r="F392" s="36"/>
      <c r="G392" s="36"/>
      <c r="H392" s="36"/>
      <c r="I392" s="36"/>
    </row>
    <row r="393" spans="1:9">
      <c r="A393" s="31"/>
      <c r="B393" s="31"/>
      <c r="C393" s="36"/>
      <c r="D393" s="36"/>
      <c r="E393" s="36"/>
      <c r="F393" s="36"/>
      <c r="G393" s="36"/>
      <c r="H393" s="36"/>
      <c r="I393" s="36"/>
    </row>
    <row r="394" spans="1:9">
      <c r="A394" s="31"/>
      <c r="B394" s="31"/>
      <c r="C394" s="36"/>
      <c r="D394" s="36"/>
      <c r="E394" s="36"/>
      <c r="F394" s="36"/>
      <c r="G394" s="36"/>
      <c r="H394" s="36"/>
      <c r="I394" s="36"/>
    </row>
    <row r="395" spans="1:9">
      <c r="A395" s="31"/>
      <c r="B395" s="31"/>
      <c r="C395" s="36"/>
      <c r="D395" s="36"/>
      <c r="E395" s="36"/>
      <c r="F395" s="36"/>
      <c r="G395" s="36"/>
      <c r="H395" s="36"/>
      <c r="I395" s="36"/>
    </row>
    <row r="396" spans="1:9">
      <c r="A396" s="31"/>
      <c r="B396" s="31"/>
      <c r="C396" s="36"/>
      <c r="D396" s="36"/>
      <c r="E396" s="36"/>
      <c r="F396" s="36"/>
      <c r="G396" s="36"/>
      <c r="H396" s="36"/>
      <c r="I396" s="36"/>
    </row>
    <row r="397" spans="1:9">
      <c r="A397" s="31"/>
      <c r="B397" s="31"/>
      <c r="C397" s="36"/>
      <c r="D397" s="36"/>
      <c r="E397" s="36"/>
      <c r="F397" s="36"/>
      <c r="G397" s="36"/>
      <c r="H397" s="36"/>
      <c r="I397" s="36"/>
    </row>
    <row r="398" spans="1:9">
      <c r="A398" s="31"/>
      <c r="B398" s="31"/>
      <c r="C398" s="36"/>
      <c r="D398" s="36"/>
      <c r="E398" s="36"/>
      <c r="F398" s="36"/>
      <c r="G398" s="36"/>
      <c r="H398" s="36"/>
      <c r="I398" s="36"/>
    </row>
    <row r="399" spans="1:9">
      <c r="A399" s="31"/>
      <c r="B399" s="31"/>
      <c r="C399" s="36"/>
      <c r="D399" s="36"/>
      <c r="E399" s="36"/>
      <c r="F399" s="36"/>
      <c r="G399" s="36"/>
      <c r="H399" s="36"/>
      <c r="I399" s="36"/>
    </row>
    <row r="400" spans="1:9">
      <c r="A400" s="31"/>
      <c r="B400" s="31"/>
      <c r="C400" s="36"/>
      <c r="D400" s="36"/>
      <c r="E400" s="36"/>
      <c r="F400" s="36"/>
      <c r="G400" s="36"/>
      <c r="H400" s="36"/>
      <c r="I400" s="36"/>
    </row>
    <row r="401" spans="1:9">
      <c r="A401" s="31"/>
      <c r="B401" s="31"/>
      <c r="C401" s="36"/>
      <c r="D401" s="36"/>
      <c r="E401" s="36"/>
      <c r="F401" s="36"/>
      <c r="G401" s="36"/>
      <c r="H401" s="36"/>
      <c r="I401" s="36"/>
    </row>
    <row r="402" spans="1:9">
      <c r="A402" s="31"/>
      <c r="B402" s="31"/>
      <c r="C402" s="36"/>
      <c r="D402" s="36"/>
      <c r="E402" s="36"/>
      <c r="F402" s="36"/>
      <c r="G402" s="36"/>
      <c r="H402" s="36"/>
      <c r="I402" s="36"/>
    </row>
    <row r="403" spans="1:9">
      <c r="A403" s="31"/>
      <c r="B403" s="31"/>
      <c r="C403" s="36"/>
      <c r="D403" s="36"/>
      <c r="E403" s="36"/>
      <c r="F403" s="36"/>
      <c r="G403" s="36"/>
      <c r="H403" s="36"/>
      <c r="I403" s="36"/>
    </row>
    <row r="404" spans="1:9">
      <c r="A404" s="31"/>
      <c r="B404" s="31"/>
      <c r="C404" s="36"/>
      <c r="D404" s="36"/>
      <c r="E404" s="36"/>
      <c r="F404" s="36"/>
      <c r="G404" s="36"/>
      <c r="H404" s="36"/>
      <c r="I404" s="36"/>
    </row>
    <row r="405" spans="1:9">
      <c r="A405" s="31"/>
      <c r="B405" s="31"/>
      <c r="C405" s="36"/>
      <c r="D405" s="36"/>
      <c r="E405" s="36"/>
      <c r="F405" s="36"/>
      <c r="G405" s="36"/>
      <c r="H405" s="36"/>
      <c r="I405" s="36"/>
    </row>
    <row r="406" spans="1:9">
      <c r="A406" s="31"/>
      <c r="B406" s="31"/>
      <c r="C406" s="36"/>
      <c r="D406" s="36"/>
      <c r="E406" s="36"/>
      <c r="F406" s="36"/>
      <c r="G406" s="36"/>
      <c r="H406" s="36"/>
      <c r="I406" s="36"/>
    </row>
    <row r="407" spans="1:9">
      <c r="A407" s="31"/>
      <c r="B407" s="31"/>
      <c r="C407" s="36"/>
      <c r="D407" s="36"/>
      <c r="E407" s="36"/>
      <c r="F407" s="36"/>
      <c r="G407" s="36"/>
      <c r="H407" s="36"/>
      <c r="I407" s="36"/>
    </row>
    <row r="408" spans="1:9">
      <c r="A408" s="31"/>
      <c r="B408" s="31"/>
      <c r="C408" s="36"/>
      <c r="D408" s="36"/>
      <c r="E408" s="36"/>
      <c r="F408" s="36"/>
      <c r="G408" s="36"/>
      <c r="H408" s="36"/>
      <c r="I408" s="36"/>
    </row>
    <row r="409" spans="1:9">
      <c r="A409" s="31"/>
      <c r="B409" s="31"/>
      <c r="C409" s="36"/>
      <c r="D409" s="36"/>
      <c r="E409" s="36"/>
      <c r="F409" s="36"/>
      <c r="G409" s="36"/>
      <c r="H409" s="36"/>
      <c r="I409" s="36"/>
    </row>
    <row r="410" spans="1:9">
      <c r="A410" s="31"/>
      <c r="B410" s="31"/>
      <c r="C410" s="36"/>
      <c r="D410" s="36"/>
      <c r="E410" s="36"/>
      <c r="F410" s="36"/>
      <c r="G410" s="36"/>
      <c r="H410" s="36"/>
      <c r="I410" s="36"/>
    </row>
    <row r="411" spans="1:9">
      <c r="A411" s="31"/>
      <c r="B411" s="31"/>
      <c r="C411" s="36"/>
      <c r="D411" s="36"/>
      <c r="E411" s="36"/>
      <c r="F411" s="36"/>
      <c r="G411" s="36"/>
      <c r="H411" s="36"/>
      <c r="I411" s="36"/>
    </row>
    <row r="412" spans="1:9">
      <c r="A412" s="31"/>
      <c r="B412" s="31"/>
      <c r="C412" s="36"/>
      <c r="D412" s="36"/>
      <c r="E412" s="36"/>
      <c r="F412" s="36"/>
      <c r="G412" s="36"/>
      <c r="H412" s="36"/>
      <c r="I412" s="36"/>
    </row>
    <row r="413" spans="1:9">
      <c r="A413" s="31"/>
      <c r="B413" s="31"/>
      <c r="C413" s="36"/>
      <c r="D413" s="36"/>
      <c r="E413" s="36"/>
      <c r="F413" s="36"/>
      <c r="G413" s="36"/>
      <c r="H413" s="36"/>
      <c r="I413" s="36"/>
    </row>
    <row r="414" spans="1:9">
      <c r="A414" s="31"/>
      <c r="B414" s="31"/>
      <c r="C414" s="36"/>
      <c r="D414" s="36"/>
      <c r="E414" s="36"/>
      <c r="F414" s="36"/>
      <c r="G414" s="36"/>
      <c r="H414" s="36"/>
      <c r="I414" s="36"/>
    </row>
    <row r="415" spans="1:9">
      <c r="A415" s="31"/>
      <c r="B415" s="31"/>
      <c r="C415" s="36"/>
      <c r="D415" s="36"/>
      <c r="E415" s="36"/>
      <c r="F415" s="36"/>
      <c r="G415" s="36"/>
      <c r="H415" s="36"/>
      <c r="I415" s="36"/>
    </row>
    <row r="416" spans="1:9">
      <c r="A416" s="31"/>
      <c r="B416" s="31"/>
      <c r="C416" s="36"/>
      <c r="D416" s="36"/>
      <c r="E416" s="36"/>
      <c r="F416" s="36"/>
      <c r="G416" s="36"/>
      <c r="H416" s="36"/>
      <c r="I416" s="36"/>
    </row>
    <row r="417" spans="1:9">
      <c r="A417" s="31"/>
      <c r="B417" s="31"/>
      <c r="C417" s="36"/>
      <c r="D417" s="36"/>
      <c r="E417" s="36"/>
      <c r="F417" s="36"/>
      <c r="G417" s="36"/>
      <c r="H417" s="36"/>
      <c r="I417" s="36"/>
    </row>
    <row r="418" spans="1:9">
      <c r="A418" s="31"/>
      <c r="B418" s="31"/>
      <c r="C418" s="36"/>
      <c r="D418" s="36"/>
      <c r="E418" s="36"/>
      <c r="F418" s="36"/>
      <c r="G418" s="36"/>
      <c r="H418" s="36"/>
      <c r="I418" s="36"/>
    </row>
    <row r="419" spans="1:9">
      <c r="A419" s="31"/>
      <c r="B419" s="31"/>
      <c r="C419" s="36"/>
      <c r="D419" s="36"/>
      <c r="E419" s="36"/>
      <c r="F419" s="36"/>
      <c r="G419" s="36"/>
      <c r="H419" s="36"/>
      <c r="I419" s="36"/>
    </row>
    <row r="420" spans="1:9">
      <c r="A420" s="31"/>
      <c r="B420" s="31"/>
      <c r="C420" s="36"/>
      <c r="D420" s="36"/>
      <c r="E420" s="36"/>
      <c r="F420" s="36"/>
      <c r="G420" s="36"/>
      <c r="H420" s="36"/>
      <c r="I420" s="36"/>
    </row>
    <row r="421" spans="1:9">
      <c r="A421" s="31"/>
      <c r="B421" s="31"/>
      <c r="C421" s="36"/>
      <c r="D421" s="36"/>
      <c r="E421" s="36"/>
      <c r="F421" s="36"/>
      <c r="G421" s="36"/>
      <c r="H421" s="36"/>
      <c r="I421" s="36"/>
    </row>
    <row r="422" spans="1:9">
      <c r="A422" s="31"/>
      <c r="B422" s="31"/>
      <c r="C422" s="36"/>
      <c r="D422" s="36"/>
      <c r="E422" s="36"/>
      <c r="F422" s="36"/>
      <c r="G422" s="36"/>
      <c r="H422" s="36"/>
      <c r="I422" s="36"/>
    </row>
    <row r="423" spans="1:9">
      <c r="A423" s="31"/>
      <c r="B423" s="31"/>
      <c r="C423" s="36"/>
      <c r="D423" s="36"/>
      <c r="E423" s="36"/>
      <c r="F423" s="36"/>
      <c r="G423" s="36"/>
      <c r="H423" s="36"/>
      <c r="I423" s="36"/>
    </row>
    <row r="424" spans="1:9">
      <c r="A424" s="31"/>
      <c r="B424" s="31"/>
      <c r="C424" s="36"/>
      <c r="D424" s="36"/>
      <c r="E424" s="36"/>
      <c r="F424" s="36"/>
      <c r="G424" s="36"/>
      <c r="H424" s="36"/>
      <c r="I424" s="36"/>
    </row>
    <row r="425" spans="1:9">
      <c r="A425" s="31"/>
      <c r="B425" s="31"/>
      <c r="C425" s="36"/>
      <c r="D425" s="36"/>
      <c r="E425" s="36"/>
      <c r="F425" s="36"/>
      <c r="G425" s="36"/>
      <c r="H425" s="36"/>
      <c r="I425" s="36"/>
    </row>
    <row r="426" spans="1:9">
      <c r="A426" s="31"/>
      <c r="B426" s="31"/>
      <c r="C426" s="36"/>
      <c r="D426" s="36"/>
      <c r="E426" s="36"/>
      <c r="F426" s="36"/>
      <c r="G426" s="36"/>
      <c r="H426" s="36"/>
      <c r="I426" s="36"/>
    </row>
    <row r="427" spans="1:9">
      <c r="A427" s="31"/>
      <c r="B427" s="31"/>
      <c r="C427" s="36"/>
      <c r="D427" s="36"/>
      <c r="E427" s="36"/>
      <c r="F427" s="36"/>
      <c r="G427" s="36"/>
      <c r="H427" s="36"/>
      <c r="I427" s="36"/>
    </row>
    <row r="428" spans="1:9">
      <c r="A428" s="31"/>
      <c r="B428" s="31"/>
      <c r="C428" s="36"/>
      <c r="D428" s="36"/>
      <c r="E428" s="36"/>
      <c r="F428" s="36"/>
      <c r="G428" s="36"/>
      <c r="H428" s="36"/>
      <c r="I428" s="36"/>
    </row>
    <row r="429" spans="1:9">
      <c r="A429" s="31"/>
      <c r="B429" s="31"/>
      <c r="C429" s="36"/>
      <c r="D429" s="36"/>
      <c r="E429" s="36"/>
      <c r="F429" s="36"/>
      <c r="G429" s="36"/>
      <c r="H429" s="36"/>
      <c r="I429" s="36"/>
    </row>
    <row r="430" spans="1:9">
      <c r="A430" s="31"/>
      <c r="B430" s="31"/>
      <c r="C430" s="36"/>
      <c r="D430" s="36"/>
      <c r="E430" s="36"/>
      <c r="F430" s="36"/>
      <c r="G430" s="36"/>
      <c r="H430" s="36"/>
      <c r="I430" s="36"/>
    </row>
    <row r="431" spans="1:9">
      <c r="A431" s="31"/>
      <c r="B431" s="31"/>
      <c r="C431" s="36"/>
      <c r="D431" s="36"/>
      <c r="E431" s="36"/>
      <c r="F431" s="36"/>
      <c r="G431" s="36"/>
      <c r="H431" s="36"/>
      <c r="I431" s="36"/>
    </row>
    <row r="432" spans="1:9">
      <c r="A432" s="31"/>
      <c r="B432" s="31"/>
      <c r="C432" s="36"/>
      <c r="D432" s="36"/>
      <c r="E432" s="36"/>
      <c r="F432" s="36"/>
      <c r="G432" s="36"/>
      <c r="H432" s="36"/>
      <c r="I432" s="36"/>
    </row>
    <row r="433" spans="1:9">
      <c r="A433" s="31"/>
      <c r="B433" s="31"/>
      <c r="C433" s="36"/>
      <c r="D433" s="36"/>
      <c r="E433" s="36"/>
      <c r="F433" s="36"/>
      <c r="G433" s="36"/>
      <c r="H433" s="36"/>
      <c r="I433" s="36"/>
    </row>
    <row r="434" spans="1:9">
      <c r="A434" s="31"/>
      <c r="B434" s="31"/>
      <c r="C434" s="36"/>
      <c r="D434" s="36"/>
      <c r="E434" s="36"/>
      <c r="F434" s="36"/>
      <c r="G434" s="36"/>
      <c r="H434" s="36"/>
      <c r="I434" s="36"/>
    </row>
    <row r="435" spans="1:9">
      <c r="A435" s="31"/>
      <c r="B435" s="31"/>
      <c r="C435" s="36"/>
      <c r="D435" s="36"/>
      <c r="E435" s="36"/>
      <c r="F435" s="36"/>
      <c r="G435" s="36"/>
      <c r="H435" s="36"/>
      <c r="I435" s="36"/>
    </row>
    <row r="436" spans="1:9">
      <c r="A436" s="31"/>
      <c r="B436" s="31"/>
      <c r="C436" s="36"/>
      <c r="D436" s="36"/>
      <c r="E436" s="36"/>
      <c r="F436" s="36"/>
      <c r="G436" s="36"/>
      <c r="H436" s="36"/>
      <c r="I436" s="36"/>
    </row>
    <row r="437" spans="1:9">
      <c r="A437" s="31"/>
      <c r="B437" s="31"/>
      <c r="C437" s="36"/>
      <c r="D437" s="36"/>
      <c r="E437" s="36"/>
      <c r="F437" s="36"/>
      <c r="G437" s="36"/>
      <c r="H437" s="36"/>
      <c r="I437" s="36"/>
    </row>
    <row r="438" spans="1:9">
      <c r="A438" s="31"/>
      <c r="B438" s="31"/>
      <c r="C438" s="36"/>
      <c r="D438" s="36"/>
      <c r="E438" s="36"/>
      <c r="F438" s="36"/>
      <c r="G438" s="36"/>
      <c r="H438" s="36"/>
      <c r="I438" s="36"/>
    </row>
    <row r="439" spans="1:9">
      <c r="A439" s="31"/>
      <c r="B439" s="31"/>
      <c r="C439" s="36"/>
      <c r="D439" s="36"/>
      <c r="E439" s="36"/>
      <c r="F439" s="36"/>
      <c r="G439" s="36"/>
      <c r="H439" s="36"/>
      <c r="I439" s="36"/>
    </row>
    <row r="440" spans="1:9">
      <c r="A440" s="31"/>
      <c r="B440" s="31"/>
      <c r="C440" s="36"/>
      <c r="D440" s="36"/>
      <c r="E440" s="36"/>
      <c r="F440" s="36"/>
      <c r="G440" s="36"/>
      <c r="H440" s="36"/>
      <c r="I440" s="36"/>
    </row>
    <row r="441" spans="1:9">
      <c r="A441" s="31"/>
      <c r="B441" s="31"/>
      <c r="C441" s="36"/>
      <c r="D441" s="36"/>
      <c r="E441" s="36"/>
      <c r="F441" s="36"/>
      <c r="G441" s="36"/>
      <c r="H441" s="36"/>
      <c r="I441" s="36"/>
    </row>
    <row r="442" spans="1:9">
      <c r="A442" s="31"/>
      <c r="B442" s="31"/>
      <c r="C442" s="36"/>
      <c r="D442" s="36"/>
      <c r="E442" s="36"/>
      <c r="F442" s="36"/>
      <c r="G442" s="36"/>
      <c r="H442" s="36"/>
      <c r="I442" s="36"/>
    </row>
    <row r="443" spans="1:9">
      <c r="A443" s="31"/>
      <c r="B443" s="31"/>
      <c r="C443" s="36"/>
      <c r="D443" s="36"/>
      <c r="E443" s="36"/>
      <c r="F443" s="36"/>
      <c r="G443" s="36"/>
      <c r="H443" s="36"/>
      <c r="I443" s="36"/>
    </row>
    <row r="444" spans="1:9">
      <c r="A444" s="31"/>
      <c r="B444" s="31"/>
      <c r="C444" s="36"/>
      <c r="D444" s="36"/>
      <c r="E444" s="36"/>
      <c r="F444" s="36"/>
      <c r="G444" s="36"/>
      <c r="H444" s="36"/>
      <c r="I444" s="36"/>
    </row>
    <row r="445" spans="1:9">
      <c r="A445" s="31"/>
      <c r="B445" s="31"/>
      <c r="C445" s="36"/>
      <c r="D445" s="36"/>
      <c r="E445" s="36"/>
      <c r="F445" s="36"/>
      <c r="G445" s="36"/>
      <c r="H445" s="36"/>
      <c r="I445" s="36"/>
    </row>
    <row r="446" spans="1:9">
      <c r="A446" s="31"/>
      <c r="B446" s="31"/>
      <c r="C446" s="36"/>
      <c r="D446" s="36"/>
      <c r="E446" s="36"/>
      <c r="F446" s="36"/>
      <c r="G446" s="36"/>
      <c r="H446" s="36"/>
      <c r="I446" s="36"/>
    </row>
    <row r="447" spans="1:9">
      <c r="A447" s="31"/>
      <c r="B447" s="31"/>
      <c r="C447" s="36"/>
      <c r="D447" s="36"/>
      <c r="E447" s="36"/>
      <c r="F447" s="36"/>
      <c r="G447" s="36"/>
      <c r="H447" s="36"/>
      <c r="I447" s="36"/>
    </row>
    <row r="448" spans="1:9">
      <c r="A448" s="31"/>
      <c r="B448" s="31"/>
      <c r="C448" s="36"/>
      <c r="D448" s="36"/>
      <c r="E448" s="36"/>
      <c r="F448" s="36"/>
      <c r="G448" s="36"/>
      <c r="H448" s="36"/>
      <c r="I448" s="36"/>
    </row>
    <row r="449" spans="1:9">
      <c r="A449" s="31"/>
      <c r="B449" s="31"/>
      <c r="C449" s="36"/>
      <c r="D449" s="36"/>
      <c r="E449" s="36"/>
      <c r="F449" s="36"/>
      <c r="G449" s="36"/>
      <c r="H449" s="36"/>
      <c r="I449" s="36"/>
    </row>
    <row r="450" spans="1:9">
      <c r="A450" s="31"/>
      <c r="B450" s="31"/>
      <c r="C450" s="36"/>
      <c r="D450" s="36"/>
      <c r="E450" s="36"/>
      <c r="F450" s="36"/>
      <c r="G450" s="36"/>
      <c r="H450" s="36"/>
      <c r="I450" s="36"/>
    </row>
    <row r="451" spans="1:9">
      <c r="A451" s="31"/>
      <c r="B451" s="31"/>
      <c r="C451" s="36"/>
      <c r="D451" s="36"/>
      <c r="E451" s="36"/>
      <c r="F451" s="36"/>
      <c r="G451" s="36"/>
      <c r="H451" s="36"/>
      <c r="I451" s="36"/>
    </row>
    <row r="452" spans="1:9">
      <c r="A452" s="31"/>
      <c r="B452" s="31"/>
      <c r="C452" s="36"/>
      <c r="D452" s="36"/>
      <c r="E452" s="36"/>
      <c r="F452" s="36"/>
      <c r="G452" s="36"/>
      <c r="H452" s="36"/>
      <c r="I452" s="36"/>
    </row>
    <row r="453" spans="1:9">
      <c r="A453" s="31"/>
      <c r="B453" s="31"/>
      <c r="C453" s="36"/>
      <c r="D453" s="36"/>
      <c r="E453" s="36"/>
      <c r="F453" s="36"/>
      <c r="G453" s="36"/>
      <c r="H453" s="36"/>
      <c r="I453" s="36"/>
    </row>
    <row r="454" spans="1:9">
      <c r="A454" s="31"/>
      <c r="B454" s="31"/>
      <c r="C454" s="36"/>
      <c r="D454" s="36"/>
      <c r="E454" s="36"/>
      <c r="F454" s="36"/>
      <c r="G454" s="36"/>
      <c r="H454" s="36"/>
      <c r="I454" s="36"/>
    </row>
    <row r="455" spans="1:9">
      <c r="A455" s="31"/>
      <c r="B455" s="31"/>
      <c r="C455" s="36"/>
      <c r="D455" s="36"/>
      <c r="E455" s="36"/>
      <c r="F455" s="36"/>
      <c r="G455" s="36"/>
      <c r="H455" s="36"/>
      <c r="I455" s="36"/>
    </row>
    <row r="456" spans="1:9">
      <c r="A456" s="31"/>
      <c r="B456" s="31"/>
      <c r="C456" s="36"/>
      <c r="D456" s="36"/>
      <c r="E456" s="36"/>
      <c r="F456" s="36"/>
      <c r="G456" s="36"/>
      <c r="H456" s="36"/>
      <c r="I456" s="36"/>
    </row>
    <row r="457" spans="1:9">
      <c r="A457" s="31"/>
      <c r="B457" s="31"/>
      <c r="C457" s="36"/>
      <c r="D457" s="36"/>
      <c r="E457" s="36"/>
      <c r="F457" s="36"/>
      <c r="G457" s="36"/>
      <c r="H457" s="36"/>
      <c r="I457" s="36"/>
    </row>
    <row r="458" spans="1:9">
      <c r="A458" s="31"/>
      <c r="B458" s="31"/>
      <c r="C458" s="36"/>
      <c r="D458" s="36"/>
      <c r="E458" s="36"/>
      <c r="F458" s="36"/>
      <c r="G458" s="36"/>
      <c r="H458" s="36"/>
      <c r="I458" s="36"/>
    </row>
    <row r="459" spans="1:9">
      <c r="A459" s="31"/>
      <c r="B459" s="31"/>
      <c r="C459" s="36"/>
      <c r="D459" s="36"/>
      <c r="E459" s="36"/>
      <c r="F459" s="36"/>
      <c r="G459" s="36"/>
      <c r="H459" s="36"/>
      <c r="I459" s="36"/>
    </row>
    <row r="460" spans="1:9">
      <c r="A460" s="31"/>
      <c r="B460" s="31"/>
      <c r="C460" s="36"/>
      <c r="D460" s="36"/>
      <c r="E460" s="36"/>
      <c r="F460" s="36"/>
      <c r="G460" s="36"/>
      <c r="H460" s="36"/>
      <c r="I460" s="36"/>
    </row>
    <row r="461" spans="1:9">
      <c r="A461" s="31"/>
      <c r="B461" s="31"/>
      <c r="C461" s="36"/>
      <c r="D461" s="36"/>
      <c r="E461" s="36"/>
      <c r="F461" s="36"/>
      <c r="G461" s="36"/>
      <c r="H461" s="36"/>
      <c r="I461" s="36"/>
    </row>
    <row r="462" spans="1:9">
      <c r="A462" s="31"/>
      <c r="B462" s="31"/>
      <c r="C462" s="36"/>
      <c r="D462" s="36"/>
      <c r="E462" s="36"/>
      <c r="F462" s="36"/>
      <c r="G462" s="36"/>
      <c r="H462" s="36"/>
      <c r="I462" s="36"/>
    </row>
    <row r="463" spans="1:9">
      <c r="A463" s="31"/>
      <c r="B463" s="31"/>
      <c r="C463" s="36"/>
      <c r="D463" s="36"/>
      <c r="E463" s="36"/>
      <c r="F463" s="36"/>
      <c r="G463" s="36"/>
      <c r="H463" s="36"/>
      <c r="I463" s="36"/>
    </row>
    <row r="464" spans="1:9">
      <c r="A464" s="31"/>
      <c r="B464" s="31"/>
      <c r="C464" s="36"/>
      <c r="D464" s="36"/>
      <c r="E464" s="36"/>
      <c r="F464" s="36"/>
      <c r="G464" s="36"/>
      <c r="H464" s="36"/>
      <c r="I464" s="36"/>
    </row>
    <row r="465" spans="1:9">
      <c r="A465" s="31"/>
      <c r="B465" s="31"/>
      <c r="C465" s="36"/>
      <c r="D465" s="36"/>
      <c r="E465" s="36"/>
      <c r="F465" s="36"/>
      <c r="G465" s="36"/>
      <c r="H465" s="36"/>
      <c r="I465" s="36"/>
    </row>
    <row r="466" spans="1:9">
      <c r="A466" s="31"/>
      <c r="B466" s="31"/>
      <c r="C466" s="36"/>
      <c r="D466" s="36"/>
      <c r="E466" s="36"/>
      <c r="F466" s="36"/>
      <c r="G466" s="36"/>
      <c r="H466" s="36"/>
      <c r="I466" s="36"/>
    </row>
    <row r="467" spans="1:9">
      <c r="A467" s="31"/>
      <c r="B467" s="31"/>
      <c r="C467" s="36"/>
      <c r="D467" s="36"/>
      <c r="E467" s="36"/>
      <c r="F467" s="36"/>
      <c r="G467" s="36"/>
      <c r="H467" s="36"/>
      <c r="I467" s="36"/>
    </row>
    <row r="468" spans="1:9">
      <c r="A468" s="31"/>
      <c r="B468" s="31"/>
      <c r="C468" s="36"/>
      <c r="D468" s="36"/>
      <c r="E468" s="36"/>
      <c r="F468" s="36"/>
      <c r="G468" s="36"/>
      <c r="H468" s="36"/>
      <c r="I468" s="36"/>
    </row>
    <row r="469" spans="1:9">
      <c r="A469" s="31"/>
      <c r="B469" s="31"/>
      <c r="C469" s="36"/>
      <c r="D469" s="36"/>
      <c r="E469" s="36"/>
      <c r="F469" s="36"/>
      <c r="G469" s="36"/>
      <c r="H469" s="36"/>
      <c r="I469" s="36"/>
    </row>
    <row r="470" spans="1:9">
      <c r="A470" s="31"/>
      <c r="B470" s="31"/>
      <c r="C470" s="36"/>
      <c r="D470" s="36"/>
      <c r="E470" s="36"/>
      <c r="F470" s="36"/>
      <c r="G470" s="36"/>
      <c r="H470" s="36"/>
      <c r="I470" s="36"/>
    </row>
    <row r="471" spans="1:9">
      <c r="A471" s="31"/>
      <c r="B471" s="31"/>
      <c r="C471" s="36"/>
      <c r="D471" s="36"/>
      <c r="E471" s="36"/>
      <c r="F471" s="36"/>
      <c r="G471" s="36"/>
      <c r="H471" s="36"/>
      <c r="I471" s="36"/>
    </row>
    <row r="472" spans="1:9">
      <c r="A472" s="31"/>
      <c r="B472" s="31"/>
      <c r="C472" s="36"/>
      <c r="D472" s="36"/>
      <c r="E472" s="36"/>
      <c r="F472" s="36"/>
      <c r="G472" s="36"/>
      <c r="H472" s="36"/>
      <c r="I472" s="36"/>
    </row>
    <row r="473" spans="1:9">
      <c r="A473" s="31"/>
      <c r="B473" s="31"/>
      <c r="C473" s="36"/>
      <c r="D473" s="36"/>
      <c r="E473" s="36"/>
      <c r="F473" s="36"/>
      <c r="G473" s="36"/>
      <c r="H473" s="36"/>
      <c r="I473" s="36"/>
    </row>
    <row r="474" spans="1:9">
      <c r="A474" s="31"/>
      <c r="B474" s="31"/>
      <c r="C474" s="36"/>
      <c r="D474" s="36"/>
      <c r="E474" s="36"/>
      <c r="F474" s="36"/>
      <c r="G474" s="36"/>
      <c r="H474" s="36"/>
      <c r="I474" s="36"/>
    </row>
    <row r="475" spans="1:9">
      <c r="A475" s="31"/>
      <c r="B475" s="31"/>
      <c r="C475" s="36"/>
      <c r="D475" s="36"/>
      <c r="E475" s="36"/>
      <c r="F475" s="36"/>
      <c r="G475" s="36"/>
      <c r="H475" s="36"/>
      <c r="I475" s="36"/>
    </row>
    <row r="476" spans="1:9">
      <c r="A476" s="31"/>
      <c r="B476" s="31"/>
      <c r="C476" s="36"/>
      <c r="D476" s="36"/>
      <c r="E476" s="36"/>
      <c r="F476" s="36"/>
      <c r="G476" s="36"/>
      <c r="H476" s="36"/>
      <c r="I476" s="36"/>
    </row>
    <row r="477" spans="1:9">
      <c r="A477" s="31"/>
      <c r="B477" s="31"/>
      <c r="C477" s="36"/>
      <c r="D477" s="36"/>
      <c r="E477" s="36"/>
      <c r="F477" s="36"/>
      <c r="G477" s="36"/>
      <c r="H477" s="36"/>
      <c r="I477" s="36"/>
    </row>
    <row r="478" spans="1:9">
      <c r="A478" s="31"/>
      <c r="B478" s="31"/>
      <c r="C478" s="36"/>
      <c r="D478" s="36"/>
      <c r="E478" s="36"/>
      <c r="F478" s="36"/>
      <c r="G478" s="36"/>
      <c r="H478" s="36"/>
      <c r="I478" s="36"/>
    </row>
    <row r="479" spans="1:9">
      <c r="A479" s="31"/>
      <c r="B479" s="31"/>
      <c r="C479" s="36"/>
      <c r="D479" s="36"/>
      <c r="E479" s="36"/>
      <c r="F479" s="36"/>
      <c r="G479" s="36"/>
      <c r="H479" s="36"/>
      <c r="I479" s="36"/>
    </row>
    <row r="480" spans="1:9">
      <c r="A480" s="31"/>
      <c r="B480" s="31"/>
      <c r="C480" s="36"/>
      <c r="D480" s="36"/>
      <c r="E480" s="36"/>
      <c r="F480" s="36"/>
      <c r="G480" s="36"/>
      <c r="H480" s="36"/>
      <c r="I480" s="36"/>
    </row>
    <row r="481" spans="1:9">
      <c r="A481" s="31"/>
      <c r="B481" s="31"/>
      <c r="C481" s="36"/>
      <c r="D481" s="36"/>
      <c r="E481" s="36"/>
      <c r="F481" s="36"/>
      <c r="G481" s="36"/>
      <c r="H481" s="36"/>
      <c r="I481" s="36"/>
    </row>
    <row r="482" spans="1:9">
      <c r="A482" s="31"/>
      <c r="B482" s="31"/>
      <c r="C482" s="36"/>
      <c r="D482" s="36"/>
      <c r="E482" s="36"/>
      <c r="F482" s="36"/>
      <c r="G482" s="36"/>
      <c r="H482" s="36"/>
      <c r="I482" s="36"/>
    </row>
    <row r="483" spans="1:9">
      <c r="A483" s="31"/>
      <c r="B483" s="31"/>
      <c r="C483" s="36"/>
      <c r="D483" s="36"/>
      <c r="E483" s="36"/>
      <c r="F483" s="36"/>
      <c r="G483" s="36"/>
      <c r="H483" s="36"/>
      <c r="I483" s="36"/>
    </row>
    <row r="484" spans="1:9">
      <c r="A484" s="31"/>
      <c r="B484" s="31"/>
      <c r="C484" s="36"/>
      <c r="D484" s="36"/>
      <c r="E484" s="36"/>
      <c r="F484" s="36"/>
      <c r="G484" s="36"/>
      <c r="H484" s="36"/>
      <c r="I484" s="36"/>
    </row>
    <row r="485" spans="1:9">
      <c r="A485" s="31"/>
      <c r="B485" s="31"/>
      <c r="C485" s="36"/>
      <c r="D485" s="36"/>
      <c r="E485" s="36"/>
      <c r="F485" s="36"/>
      <c r="G485" s="36"/>
      <c r="H485" s="36"/>
      <c r="I485" s="36"/>
    </row>
    <row r="486" spans="1:9">
      <c r="A486" s="31"/>
      <c r="B486" s="31"/>
      <c r="C486" s="36"/>
      <c r="D486" s="36"/>
      <c r="E486" s="36"/>
      <c r="F486" s="36"/>
      <c r="G486" s="36"/>
      <c r="H486" s="36"/>
      <c r="I486" s="36"/>
    </row>
    <row r="487" spans="1:9">
      <c r="A487" s="31"/>
      <c r="B487" s="31"/>
      <c r="C487" s="36"/>
      <c r="D487" s="36"/>
      <c r="E487" s="36"/>
      <c r="F487" s="36"/>
      <c r="G487" s="36"/>
      <c r="H487" s="36"/>
      <c r="I487" s="36"/>
    </row>
    <row r="488" spans="1:9">
      <c r="A488" s="31"/>
      <c r="B488" s="31"/>
      <c r="C488" s="36"/>
      <c r="D488" s="36"/>
      <c r="E488" s="36"/>
      <c r="F488" s="36"/>
      <c r="G488" s="36"/>
      <c r="H488" s="36"/>
      <c r="I488" s="36"/>
    </row>
    <row r="489" spans="1:9">
      <c r="A489" s="31"/>
      <c r="B489" s="31"/>
      <c r="C489" s="36"/>
      <c r="D489" s="36"/>
      <c r="E489" s="36"/>
      <c r="F489" s="36"/>
      <c r="G489" s="36"/>
      <c r="H489" s="36"/>
      <c r="I489" s="36"/>
    </row>
    <row r="490" spans="1:9">
      <c r="A490" s="31"/>
      <c r="B490" s="31"/>
      <c r="C490" s="36"/>
      <c r="D490" s="36"/>
      <c r="E490" s="36"/>
      <c r="F490" s="36"/>
      <c r="G490" s="36"/>
      <c r="H490" s="36"/>
      <c r="I490" s="36"/>
    </row>
    <row r="491" spans="1:9">
      <c r="A491" s="31"/>
      <c r="B491" s="31"/>
      <c r="C491" s="36"/>
      <c r="D491" s="36"/>
      <c r="E491" s="36"/>
      <c r="F491" s="36"/>
      <c r="G491" s="36"/>
      <c r="H491" s="36"/>
      <c r="I491" s="36"/>
    </row>
    <row r="492" spans="1:9">
      <c r="A492" s="31"/>
      <c r="B492" s="31"/>
      <c r="C492" s="36"/>
      <c r="D492" s="36"/>
      <c r="E492" s="36"/>
      <c r="F492" s="36"/>
      <c r="G492" s="36"/>
      <c r="H492" s="36"/>
      <c r="I492" s="36"/>
    </row>
    <row r="493" spans="1:9">
      <c r="A493" s="31"/>
      <c r="B493" s="31"/>
      <c r="C493" s="36"/>
      <c r="D493" s="36"/>
      <c r="E493" s="36"/>
      <c r="F493" s="36"/>
      <c r="G493" s="36"/>
      <c r="H493" s="36"/>
      <c r="I493" s="36"/>
    </row>
    <row r="494" spans="1:9">
      <c r="A494" s="31"/>
      <c r="B494" s="31"/>
      <c r="C494" s="36"/>
      <c r="D494" s="36"/>
      <c r="E494" s="36"/>
      <c r="F494" s="36"/>
      <c r="G494" s="36"/>
      <c r="H494" s="36"/>
      <c r="I494" s="36"/>
    </row>
    <row r="495" spans="1:9">
      <c r="A495" s="31"/>
      <c r="B495" s="31"/>
      <c r="C495" s="36"/>
      <c r="D495" s="36"/>
      <c r="E495" s="36"/>
      <c r="F495" s="36"/>
      <c r="G495" s="36"/>
      <c r="H495" s="36"/>
      <c r="I495" s="36"/>
    </row>
    <row r="496" spans="1:9">
      <c r="A496" s="31"/>
      <c r="B496" s="31"/>
      <c r="C496" s="36"/>
      <c r="D496" s="36"/>
      <c r="E496" s="36"/>
      <c r="F496" s="36"/>
      <c r="G496" s="36"/>
      <c r="H496" s="36"/>
      <c r="I496" s="36"/>
    </row>
    <row r="497" spans="1:9">
      <c r="A497" s="31"/>
      <c r="B497" s="31"/>
      <c r="C497" s="36"/>
      <c r="D497" s="36"/>
      <c r="E497" s="36"/>
      <c r="F497" s="36"/>
      <c r="G497" s="36"/>
      <c r="H497" s="36"/>
      <c r="I497" s="36"/>
    </row>
    <row r="498" spans="1:9">
      <c r="A498" s="31"/>
      <c r="B498" s="31"/>
      <c r="C498" s="36"/>
      <c r="D498" s="36"/>
      <c r="E498" s="36"/>
      <c r="F498" s="36"/>
      <c r="G498" s="36"/>
      <c r="H498" s="36"/>
      <c r="I498" s="36"/>
    </row>
    <row r="499" spans="1:9">
      <c r="A499" s="31"/>
      <c r="B499" s="31"/>
      <c r="C499" s="36"/>
      <c r="D499" s="36"/>
      <c r="E499" s="36"/>
      <c r="F499" s="36"/>
      <c r="G499" s="36"/>
      <c r="H499" s="36"/>
      <c r="I499" s="36"/>
    </row>
    <row r="500" spans="1:9">
      <c r="A500" s="31"/>
      <c r="B500" s="31"/>
      <c r="C500" s="36"/>
      <c r="D500" s="36"/>
      <c r="E500" s="36"/>
      <c r="F500" s="36"/>
      <c r="G500" s="36"/>
      <c r="H500" s="36"/>
      <c r="I500" s="36"/>
    </row>
    <row r="501" spans="1:9">
      <c r="A501" s="31"/>
      <c r="B501" s="31"/>
      <c r="C501" s="36"/>
      <c r="D501" s="36"/>
      <c r="E501" s="36"/>
      <c r="F501" s="36"/>
      <c r="G501" s="36"/>
      <c r="H501" s="36"/>
      <c r="I501" s="36"/>
    </row>
    <row r="502" spans="1:9">
      <c r="A502" s="31"/>
      <c r="B502" s="31"/>
      <c r="C502" s="36"/>
      <c r="D502" s="36"/>
      <c r="E502" s="36"/>
      <c r="F502" s="36"/>
      <c r="G502" s="36"/>
      <c r="H502" s="36"/>
      <c r="I502" s="36"/>
    </row>
    <row r="503" spans="1:9">
      <c r="A503" s="31"/>
      <c r="B503" s="31"/>
      <c r="C503" s="36"/>
      <c r="D503" s="36"/>
      <c r="E503" s="36"/>
      <c r="F503" s="36"/>
      <c r="G503" s="36"/>
      <c r="H503" s="36"/>
      <c r="I503" s="36"/>
    </row>
    <row r="504" spans="1:9">
      <c r="A504" s="31"/>
      <c r="B504" s="31"/>
      <c r="C504" s="36"/>
      <c r="D504" s="36"/>
      <c r="E504" s="36"/>
      <c r="F504" s="36"/>
      <c r="G504" s="36"/>
      <c r="H504" s="36"/>
      <c r="I504" s="36"/>
    </row>
    <row r="505" spans="1:9">
      <c r="A505" s="31"/>
      <c r="B505" s="31"/>
      <c r="C505" s="36"/>
      <c r="D505" s="36"/>
      <c r="E505" s="36"/>
      <c r="F505" s="36"/>
      <c r="G505" s="36"/>
      <c r="H505" s="36"/>
      <c r="I505" s="36"/>
    </row>
    <row r="506" spans="1:9">
      <c r="A506" s="31"/>
      <c r="B506" s="31"/>
      <c r="C506" s="36"/>
      <c r="D506" s="36"/>
      <c r="E506" s="36"/>
      <c r="F506" s="36"/>
      <c r="G506" s="36"/>
      <c r="H506" s="36"/>
      <c r="I506" s="36"/>
    </row>
    <row r="507" spans="1:9">
      <c r="A507" s="31"/>
      <c r="B507" s="31"/>
      <c r="C507" s="36"/>
      <c r="D507" s="36"/>
      <c r="E507" s="36"/>
      <c r="F507" s="36"/>
      <c r="G507" s="36"/>
      <c r="H507" s="36"/>
      <c r="I507" s="36"/>
    </row>
    <row r="508" spans="1:9">
      <c r="A508" s="31"/>
      <c r="B508" s="31"/>
      <c r="C508" s="36"/>
      <c r="D508" s="36"/>
      <c r="E508" s="36"/>
      <c r="F508" s="36"/>
      <c r="G508" s="36"/>
      <c r="H508" s="36"/>
      <c r="I508" s="36"/>
    </row>
    <row r="509" spans="1:9">
      <c r="A509" s="31"/>
      <c r="B509" s="31"/>
      <c r="C509" s="36"/>
      <c r="D509" s="36"/>
      <c r="E509" s="36"/>
      <c r="F509" s="36"/>
      <c r="G509" s="36"/>
      <c r="H509" s="36"/>
      <c r="I509" s="36"/>
    </row>
    <row r="510" spans="1:9">
      <c r="A510" s="31"/>
      <c r="B510" s="31"/>
      <c r="C510" s="36"/>
      <c r="D510" s="36"/>
      <c r="E510" s="36"/>
      <c r="F510" s="36"/>
      <c r="G510" s="36"/>
      <c r="H510" s="36"/>
      <c r="I510" s="36"/>
    </row>
    <row r="511" spans="1:9">
      <c r="A511" s="31"/>
      <c r="B511" s="31"/>
      <c r="C511" s="36"/>
      <c r="D511" s="36"/>
      <c r="E511" s="36"/>
      <c r="F511" s="36"/>
      <c r="G511" s="36"/>
      <c r="H511" s="36"/>
      <c r="I511" s="36"/>
    </row>
    <row r="512" spans="1:9">
      <c r="A512" s="31"/>
      <c r="B512" s="31"/>
      <c r="C512" s="36"/>
      <c r="D512" s="36"/>
      <c r="E512" s="36"/>
      <c r="F512" s="36"/>
      <c r="G512" s="36"/>
      <c r="H512" s="36"/>
      <c r="I512" s="36"/>
    </row>
    <row r="513" spans="1:9">
      <c r="A513" s="31"/>
      <c r="B513" s="31"/>
      <c r="C513" s="36"/>
      <c r="D513" s="36"/>
      <c r="E513" s="36"/>
      <c r="F513" s="36"/>
      <c r="G513" s="36"/>
      <c r="H513" s="36"/>
      <c r="I513" s="36"/>
    </row>
    <row r="514" spans="1:9">
      <c r="A514" s="31"/>
      <c r="B514" s="31"/>
      <c r="C514" s="36"/>
      <c r="D514" s="36"/>
      <c r="E514" s="36"/>
      <c r="F514" s="36"/>
      <c r="G514" s="36"/>
      <c r="H514" s="36"/>
      <c r="I514" s="36"/>
    </row>
    <row r="515" spans="1:9">
      <c r="A515" s="31"/>
      <c r="B515" s="31"/>
      <c r="C515" s="36"/>
      <c r="D515" s="36"/>
      <c r="E515" s="36"/>
      <c r="F515" s="36"/>
      <c r="G515" s="36"/>
      <c r="H515" s="36"/>
      <c r="I515" s="36"/>
    </row>
    <row r="516" spans="1:9">
      <c r="A516" s="31"/>
      <c r="B516" s="31"/>
      <c r="C516" s="36"/>
      <c r="D516" s="36"/>
      <c r="E516" s="36"/>
      <c r="F516" s="36"/>
      <c r="G516" s="36"/>
      <c r="H516" s="36"/>
      <c r="I516" s="36"/>
    </row>
    <row r="517" spans="1:9">
      <c r="A517" s="31"/>
      <c r="B517" s="31"/>
      <c r="C517" s="36"/>
      <c r="D517" s="36"/>
      <c r="E517" s="36"/>
      <c r="F517" s="36"/>
      <c r="G517" s="36"/>
      <c r="H517" s="36"/>
      <c r="I517" s="36"/>
    </row>
    <row r="518" spans="1:9">
      <c r="A518" s="31"/>
      <c r="B518" s="31"/>
      <c r="C518" s="36"/>
      <c r="D518" s="36"/>
      <c r="E518" s="36"/>
      <c r="F518" s="36"/>
      <c r="G518" s="36"/>
      <c r="H518" s="36"/>
      <c r="I518" s="36"/>
    </row>
    <row r="519" spans="1:9">
      <c r="A519" s="31"/>
      <c r="B519" s="31"/>
      <c r="C519" s="36"/>
      <c r="D519" s="36"/>
      <c r="E519" s="36"/>
      <c r="F519" s="36"/>
      <c r="G519" s="36"/>
      <c r="H519" s="36"/>
      <c r="I519" s="36"/>
    </row>
    <row r="520" spans="1:9">
      <c r="A520" s="31"/>
      <c r="B520" s="31"/>
      <c r="C520" s="36"/>
      <c r="D520" s="36"/>
      <c r="E520" s="36"/>
      <c r="F520" s="36"/>
      <c r="G520" s="36"/>
      <c r="H520" s="36"/>
      <c r="I520" s="36"/>
    </row>
    <row r="521" spans="1:9">
      <c r="A521" s="31"/>
      <c r="B521" s="31"/>
      <c r="C521" s="36"/>
      <c r="D521" s="36"/>
      <c r="E521" s="36"/>
      <c r="F521" s="36"/>
      <c r="G521" s="36"/>
      <c r="H521" s="36"/>
      <c r="I521" s="36"/>
    </row>
    <row r="522" spans="1:9">
      <c r="A522" s="31"/>
      <c r="B522" s="31"/>
      <c r="C522" s="36"/>
      <c r="D522" s="36"/>
      <c r="E522" s="36"/>
      <c r="F522" s="36"/>
      <c r="G522" s="36"/>
      <c r="H522" s="36"/>
      <c r="I522" s="36"/>
    </row>
    <row r="523" spans="1:9">
      <c r="A523" s="31"/>
      <c r="B523" s="31"/>
      <c r="C523" s="36"/>
      <c r="D523" s="36"/>
      <c r="E523" s="36"/>
      <c r="F523" s="36"/>
      <c r="G523" s="36"/>
      <c r="H523" s="36"/>
      <c r="I523" s="36"/>
    </row>
    <row r="524" spans="1:9">
      <c r="A524" s="31"/>
      <c r="B524" s="31"/>
      <c r="C524" s="36"/>
      <c r="D524" s="36"/>
      <c r="E524" s="36"/>
      <c r="F524" s="36"/>
      <c r="G524" s="36"/>
      <c r="H524" s="36"/>
      <c r="I524" s="36"/>
    </row>
    <row r="525" spans="1:9">
      <c r="A525" s="31"/>
      <c r="B525" s="31"/>
      <c r="C525" s="36"/>
      <c r="D525" s="36"/>
      <c r="E525" s="36"/>
      <c r="F525" s="36"/>
      <c r="G525" s="36"/>
      <c r="H525" s="36"/>
      <c r="I525" s="36"/>
    </row>
    <row r="526" spans="1:9">
      <c r="A526" s="31"/>
      <c r="B526" s="31"/>
      <c r="C526" s="36"/>
      <c r="D526" s="36"/>
      <c r="E526" s="36"/>
      <c r="F526" s="36"/>
      <c r="G526" s="36"/>
      <c r="H526" s="36"/>
      <c r="I526" s="36"/>
    </row>
    <row r="527" spans="1:9">
      <c r="A527" s="31"/>
      <c r="B527" s="31"/>
      <c r="C527" s="36"/>
      <c r="D527" s="36"/>
      <c r="E527" s="36"/>
      <c r="F527" s="36"/>
      <c r="G527" s="36"/>
      <c r="H527" s="36"/>
      <c r="I527" s="36"/>
    </row>
    <row r="528" spans="1:9">
      <c r="A528" s="31"/>
      <c r="B528" s="31"/>
      <c r="C528" s="36"/>
      <c r="D528" s="36"/>
      <c r="E528" s="36"/>
      <c r="F528" s="36"/>
      <c r="G528" s="36"/>
      <c r="H528" s="36"/>
      <c r="I528" s="36"/>
    </row>
    <row r="529" spans="1:9">
      <c r="A529" s="31"/>
      <c r="B529" s="31"/>
      <c r="C529" s="36"/>
      <c r="D529" s="36"/>
      <c r="E529" s="36"/>
      <c r="F529" s="36"/>
      <c r="G529" s="36"/>
      <c r="H529" s="36"/>
      <c r="I529" s="36"/>
    </row>
    <row r="530" spans="1:9">
      <c r="A530" s="31"/>
      <c r="B530" s="31"/>
      <c r="C530" s="36"/>
      <c r="D530" s="36"/>
      <c r="E530" s="36"/>
      <c r="F530" s="36"/>
      <c r="G530" s="36"/>
      <c r="H530" s="36"/>
      <c r="I530" s="36"/>
    </row>
    <row r="531" spans="1:9">
      <c r="A531" s="31"/>
      <c r="B531" s="31"/>
      <c r="C531" s="36"/>
      <c r="D531" s="36"/>
      <c r="E531" s="36"/>
      <c r="F531" s="36"/>
      <c r="G531" s="36"/>
      <c r="H531" s="36"/>
      <c r="I531" s="36"/>
    </row>
    <row r="532" spans="1:9">
      <c r="A532" s="31"/>
      <c r="B532" s="31"/>
      <c r="C532" s="36"/>
      <c r="D532" s="36"/>
      <c r="E532" s="36"/>
      <c r="F532" s="36"/>
      <c r="G532" s="36"/>
      <c r="H532" s="36"/>
      <c r="I532" s="36"/>
    </row>
    <row r="533" spans="1:9">
      <c r="A533" s="31"/>
      <c r="B533" s="31"/>
      <c r="C533" s="36"/>
      <c r="D533" s="36"/>
      <c r="E533" s="36"/>
      <c r="F533" s="36"/>
      <c r="G533" s="36"/>
      <c r="H533" s="36"/>
      <c r="I533" s="36"/>
    </row>
    <row r="534" spans="1:9">
      <c r="A534" s="31"/>
      <c r="B534" s="31"/>
      <c r="C534" s="36"/>
      <c r="D534" s="36"/>
      <c r="E534" s="36"/>
      <c r="F534" s="36"/>
      <c r="G534" s="36"/>
      <c r="H534" s="36"/>
      <c r="I534" s="36"/>
    </row>
    <row r="535" spans="1:9">
      <c r="A535" s="31"/>
      <c r="B535" s="31"/>
      <c r="C535" s="36"/>
      <c r="D535" s="36"/>
      <c r="E535" s="36"/>
      <c r="F535" s="36"/>
      <c r="G535" s="36"/>
      <c r="H535" s="36"/>
      <c r="I535" s="36"/>
    </row>
    <row r="536" spans="1:9">
      <c r="A536" s="31"/>
      <c r="B536" s="31"/>
      <c r="C536" s="36"/>
      <c r="D536" s="36"/>
      <c r="E536" s="36"/>
      <c r="F536" s="36"/>
      <c r="G536" s="36"/>
      <c r="H536" s="36"/>
      <c r="I536" s="36"/>
    </row>
    <row r="537" spans="1:9">
      <c r="A537" s="31"/>
      <c r="B537" s="31"/>
      <c r="C537" s="36"/>
      <c r="D537" s="36"/>
      <c r="E537" s="36"/>
      <c r="F537" s="36"/>
      <c r="G537" s="36"/>
      <c r="H537" s="36"/>
      <c r="I537" s="36"/>
    </row>
    <row r="538" spans="1:9">
      <c r="A538" s="31"/>
      <c r="B538" s="31"/>
      <c r="C538" s="36"/>
      <c r="D538" s="36"/>
      <c r="E538" s="36"/>
      <c r="F538" s="36"/>
      <c r="G538" s="36"/>
      <c r="H538" s="36"/>
      <c r="I538" s="36"/>
    </row>
    <row r="539" spans="1:9">
      <c r="A539" s="31"/>
      <c r="B539" s="31"/>
      <c r="C539" s="36"/>
      <c r="D539" s="36"/>
      <c r="E539" s="36"/>
      <c r="F539" s="36"/>
      <c r="G539" s="36"/>
      <c r="H539" s="36"/>
      <c r="I539" s="36"/>
    </row>
    <row r="540" spans="1:9">
      <c r="A540" s="31"/>
      <c r="B540" s="31"/>
      <c r="C540" s="36"/>
      <c r="D540" s="36"/>
      <c r="E540" s="36"/>
      <c r="F540" s="36"/>
      <c r="G540" s="36"/>
      <c r="H540" s="36"/>
      <c r="I540" s="36"/>
    </row>
    <row r="541" spans="1:9">
      <c r="A541" s="31"/>
      <c r="B541" s="31"/>
      <c r="C541" s="36"/>
      <c r="D541" s="36"/>
      <c r="E541" s="36"/>
      <c r="F541" s="36"/>
      <c r="G541" s="36"/>
      <c r="H541" s="36"/>
      <c r="I541" s="36"/>
    </row>
    <row r="542" spans="1:9">
      <c r="A542" s="31"/>
      <c r="B542" s="31"/>
      <c r="C542" s="36"/>
      <c r="D542" s="36"/>
      <c r="E542" s="36"/>
      <c r="F542" s="36"/>
      <c r="G542" s="36"/>
      <c r="H542" s="36"/>
      <c r="I542" s="36"/>
    </row>
    <row r="543" spans="1:9">
      <c r="A543" s="31"/>
      <c r="B543" s="31"/>
      <c r="C543" s="36"/>
      <c r="D543" s="36"/>
      <c r="E543" s="36"/>
      <c r="F543" s="36"/>
      <c r="G543" s="36"/>
      <c r="H543" s="36"/>
      <c r="I543" s="36"/>
    </row>
    <row r="544" spans="1:9">
      <c r="A544" s="31"/>
      <c r="B544" s="31"/>
      <c r="C544" s="36"/>
      <c r="D544" s="36"/>
      <c r="E544" s="36"/>
      <c r="F544" s="36"/>
      <c r="G544" s="36"/>
      <c r="H544" s="36"/>
      <c r="I544" s="36"/>
    </row>
    <row r="545" spans="1:9">
      <c r="A545" s="31"/>
      <c r="B545" s="31"/>
      <c r="C545" s="36"/>
      <c r="D545" s="36"/>
      <c r="E545" s="36"/>
      <c r="F545" s="36"/>
      <c r="G545" s="36"/>
      <c r="H545" s="36"/>
      <c r="I545" s="36"/>
    </row>
    <row r="546" spans="1:9">
      <c r="A546" s="31"/>
      <c r="B546" s="31"/>
      <c r="C546" s="36"/>
      <c r="D546" s="36"/>
      <c r="E546" s="36"/>
      <c r="F546" s="36"/>
      <c r="G546" s="36"/>
      <c r="H546" s="36"/>
      <c r="I546" s="36"/>
    </row>
    <row r="547" spans="1:9">
      <c r="A547" s="31"/>
      <c r="B547" s="31"/>
      <c r="C547" s="36"/>
      <c r="D547" s="36"/>
      <c r="E547" s="36"/>
      <c r="F547" s="36"/>
      <c r="G547" s="36"/>
      <c r="H547" s="36"/>
      <c r="I547" s="36"/>
    </row>
    <row r="548" spans="1:9">
      <c r="A548" s="31"/>
      <c r="B548" s="31"/>
      <c r="C548" s="36"/>
      <c r="D548" s="36"/>
      <c r="E548" s="36"/>
      <c r="F548" s="36"/>
      <c r="G548" s="36"/>
      <c r="H548" s="36"/>
      <c r="I548" s="36"/>
    </row>
    <row r="549" spans="1:9">
      <c r="A549" s="31"/>
      <c r="B549" s="31"/>
      <c r="C549" s="36"/>
      <c r="D549" s="36"/>
      <c r="E549" s="36"/>
      <c r="F549" s="36"/>
      <c r="G549" s="36"/>
      <c r="H549" s="36"/>
      <c r="I549" s="36"/>
    </row>
    <row r="550" spans="1:9">
      <c r="A550" s="31"/>
      <c r="B550" s="31"/>
      <c r="C550" s="36"/>
      <c r="D550" s="36"/>
      <c r="E550" s="36"/>
      <c r="F550" s="36"/>
      <c r="G550" s="36"/>
      <c r="H550" s="36"/>
      <c r="I550" s="36"/>
    </row>
    <row r="551" spans="1:9">
      <c r="A551" s="31"/>
      <c r="B551" s="31"/>
      <c r="C551" s="36"/>
      <c r="D551" s="36"/>
      <c r="E551" s="36"/>
      <c r="F551" s="36"/>
      <c r="G551" s="36"/>
      <c r="H551" s="36"/>
      <c r="I551" s="36"/>
    </row>
    <row r="552" spans="1:9">
      <c r="A552" s="31"/>
      <c r="B552" s="31"/>
      <c r="C552" s="36"/>
      <c r="D552" s="36"/>
      <c r="E552" s="36"/>
      <c r="F552" s="36"/>
      <c r="G552" s="36"/>
      <c r="H552" s="36"/>
      <c r="I552" s="36"/>
    </row>
    <row r="553" spans="1:9">
      <c r="A553" s="31"/>
      <c r="B553" s="31"/>
      <c r="C553" s="36"/>
      <c r="D553" s="36"/>
      <c r="E553" s="36"/>
      <c r="F553" s="36"/>
      <c r="G553" s="36"/>
      <c r="H553" s="36"/>
      <c r="I553" s="36"/>
    </row>
    <row r="554" spans="1:9">
      <c r="A554" s="31"/>
      <c r="B554" s="31"/>
      <c r="C554" s="36"/>
      <c r="D554" s="36"/>
      <c r="E554" s="36"/>
      <c r="F554" s="36"/>
      <c r="G554" s="36"/>
      <c r="H554" s="36"/>
      <c r="I554" s="36"/>
    </row>
    <row r="555" spans="1:9">
      <c r="A555" s="31"/>
      <c r="B555" s="31"/>
      <c r="C555" s="36"/>
      <c r="D555" s="36"/>
      <c r="E555" s="36"/>
      <c r="F555" s="36"/>
      <c r="G555" s="36"/>
      <c r="H555" s="36"/>
      <c r="I555" s="36"/>
    </row>
    <row r="556" spans="1:9">
      <c r="A556" s="31"/>
      <c r="B556" s="31"/>
      <c r="C556" s="36"/>
      <c r="D556" s="36"/>
      <c r="E556" s="36"/>
      <c r="F556" s="36"/>
      <c r="G556" s="36"/>
      <c r="H556" s="36"/>
      <c r="I556" s="36"/>
    </row>
    <row r="557" spans="1:9">
      <c r="A557" s="31"/>
      <c r="B557" s="31"/>
      <c r="C557" s="36"/>
      <c r="D557" s="36"/>
      <c r="E557" s="36"/>
      <c r="F557" s="36"/>
      <c r="G557" s="36"/>
      <c r="H557" s="36"/>
      <c r="I557" s="36"/>
    </row>
    <row r="558" spans="1:9">
      <c r="A558" s="31"/>
      <c r="B558" s="31"/>
      <c r="C558" s="36"/>
      <c r="D558" s="36"/>
      <c r="E558" s="36"/>
      <c r="F558" s="36"/>
      <c r="G558" s="36"/>
      <c r="H558" s="36"/>
      <c r="I558" s="36"/>
    </row>
    <row r="559" spans="1:9">
      <c r="A559" s="31"/>
      <c r="B559" s="31"/>
      <c r="C559" s="36"/>
      <c r="D559" s="36"/>
      <c r="E559" s="36"/>
      <c r="F559" s="36"/>
      <c r="G559" s="36"/>
      <c r="H559" s="36"/>
      <c r="I559" s="36"/>
    </row>
    <row r="560" spans="1:9">
      <c r="A560" s="31"/>
      <c r="B560" s="31"/>
      <c r="C560" s="36"/>
      <c r="D560" s="36"/>
      <c r="E560" s="36"/>
      <c r="F560" s="36"/>
      <c r="G560" s="36"/>
      <c r="H560" s="36"/>
      <c r="I560" s="36"/>
    </row>
    <row r="561" spans="1:9">
      <c r="A561" s="31"/>
      <c r="B561" s="31"/>
      <c r="C561" s="36"/>
      <c r="D561" s="36"/>
      <c r="E561" s="36"/>
      <c r="F561" s="36"/>
      <c r="G561" s="36"/>
      <c r="H561" s="36"/>
      <c r="I561" s="36"/>
    </row>
    <row r="562" spans="1:9">
      <c r="A562" s="31"/>
      <c r="B562" s="31"/>
      <c r="C562" s="36"/>
      <c r="D562" s="36"/>
      <c r="E562" s="36"/>
      <c r="F562" s="36"/>
      <c r="G562" s="36"/>
      <c r="H562" s="36"/>
      <c r="I562" s="36"/>
    </row>
    <row r="563" spans="1:9">
      <c r="A563" s="31"/>
      <c r="B563" s="31"/>
      <c r="C563" s="36"/>
      <c r="D563" s="36"/>
      <c r="E563" s="36"/>
      <c r="F563" s="36"/>
      <c r="G563" s="36"/>
      <c r="H563" s="36"/>
      <c r="I563" s="36"/>
    </row>
    <row r="564" spans="1:9">
      <c r="A564" s="31"/>
      <c r="B564" s="31"/>
      <c r="C564" s="36"/>
      <c r="D564" s="36"/>
      <c r="E564" s="36"/>
      <c r="F564" s="36"/>
      <c r="G564" s="36"/>
      <c r="H564" s="36"/>
      <c r="I564" s="36"/>
    </row>
    <row r="565" spans="1:9">
      <c r="A565" s="31"/>
      <c r="B565" s="31"/>
      <c r="C565" s="36"/>
      <c r="D565" s="36"/>
      <c r="E565" s="36"/>
      <c r="F565" s="36"/>
      <c r="G565" s="36"/>
      <c r="H565" s="36"/>
      <c r="I565" s="36"/>
    </row>
    <row r="566" spans="1:9">
      <c r="A566" s="31"/>
      <c r="B566" s="31"/>
      <c r="C566" s="36"/>
      <c r="D566" s="36"/>
      <c r="E566" s="36"/>
      <c r="F566" s="36"/>
      <c r="G566" s="36"/>
      <c r="H566" s="36"/>
      <c r="I566" s="36"/>
    </row>
    <row r="567" spans="1:9">
      <c r="A567" s="31"/>
      <c r="B567" s="31"/>
      <c r="C567" s="36"/>
      <c r="D567" s="36"/>
      <c r="E567" s="36"/>
      <c r="F567" s="36"/>
      <c r="G567" s="36"/>
      <c r="H567" s="36"/>
      <c r="I567" s="36"/>
    </row>
    <row r="568" spans="1:9">
      <c r="A568" s="31"/>
      <c r="B568" s="31"/>
      <c r="C568" s="36"/>
      <c r="D568" s="36"/>
      <c r="E568" s="36"/>
      <c r="F568" s="36"/>
      <c r="G568" s="36"/>
      <c r="H568" s="36"/>
      <c r="I568" s="36"/>
    </row>
    <row r="569" spans="1:9">
      <c r="A569" s="31"/>
      <c r="B569" s="31"/>
      <c r="C569" s="36"/>
      <c r="D569" s="36"/>
      <c r="E569" s="36"/>
      <c r="F569" s="36"/>
      <c r="G569" s="36"/>
      <c r="H569" s="36"/>
      <c r="I569" s="36"/>
    </row>
    <row r="570" spans="1:9">
      <c r="A570" s="31"/>
      <c r="B570" s="31"/>
      <c r="C570" s="36"/>
      <c r="D570" s="36"/>
      <c r="E570" s="36"/>
      <c r="F570" s="36"/>
      <c r="G570" s="36"/>
      <c r="H570" s="36"/>
      <c r="I570" s="36"/>
    </row>
    <row r="571" spans="1:9">
      <c r="A571" s="31"/>
      <c r="B571" s="31"/>
      <c r="C571" s="36"/>
      <c r="D571" s="36"/>
      <c r="E571" s="36"/>
      <c r="F571" s="36"/>
      <c r="G571" s="36"/>
      <c r="H571" s="36"/>
      <c r="I571" s="36"/>
    </row>
    <row r="572" spans="1:9">
      <c r="A572" s="31"/>
      <c r="B572" s="31"/>
      <c r="C572" s="36"/>
      <c r="D572" s="36"/>
      <c r="E572" s="36"/>
      <c r="F572" s="36"/>
      <c r="G572" s="36"/>
      <c r="H572" s="36"/>
      <c r="I572" s="36"/>
    </row>
    <row r="573" spans="1:9">
      <c r="A573" s="31"/>
      <c r="B573" s="31"/>
      <c r="C573" s="36"/>
      <c r="D573" s="36"/>
      <c r="E573" s="36"/>
      <c r="F573" s="36"/>
      <c r="G573" s="36"/>
      <c r="H573" s="36"/>
      <c r="I573" s="36"/>
    </row>
    <row r="574" spans="1:9">
      <c r="A574" s="31"/>
      <c r="B574" s="31"/>
      <c r="C574" s="36"/>
      <c r="D574" s="36"/>
      <c r="E574" s="36"/>
      <c r="F574" s="36"/>
      <c r="G574" s="36"/>
      <c r="H574" s="36"/>
      <c r="I574" s="36"/>
    </row>
    <row r="575" spans="1:9">
      <c r="A575" s="31"/>
      <c r="B575" s="31"/>
      <c r="C575" s="36"/>
      <c r="D575" s="36"/>
      <c r="E575" s="36"/>
      <c r="F575" s="36"/>
      <c r="G575" s="36"/>
      <c r="H575" s="36"/>
      <c r="I575" s="36"/>
    </row>
    <row r="576" spans="1:9">
      <c r="A576" s="31"/>
      <c r="B576" s="31"/>
      <c r="C576" s="36"/>
      <c r="D576" s="36"/>
      <c r="E576" s="36"/>
      <c r="F576" s="36"/>
      <c r="G576" s="36"/>
      <c r="H576" s="36"/>
      <c r="I576" s="36"/>
    </row>
    <row r="577" spans="1:9">
      <c r="A577" s="31"/>
      <c r="B577" s="31"/>
      <c r="C577" s="36"/>
      <c r="D577" s="36"/>
      <c r="E577" s="36"/>
      <c r="F577" s="36"/>
      <c r="G577" s="36"/>
      <c r="H577" s="36"/>
      <c r="I577" s="36"/>
    </row>
    <row r="578" spans="1:9">
      <c r="A578" s="31"/>
      <c r="B578" s="31"/>
      <c r="C578" s="36"/>
      <c r="D578" s="36"/>
      <c r="E578" s="36"/>
      <c r="F578" s="36"/>
      <c r="G578" s="36"/>
      <c r="H578" s="36"/>
      <c r="I578" s="36"/>
    </row>
    <row r="579" spans="1:9">
      <c r="A579" s="31"/>
      <c r="B579" s="31"/>
      <c r="C579" s="36"/>
      <c r="D579" s="36"/>
      <c r="E579" s="36"/>
      <c r="F579" s="36"/>
      <c r="G579" s="36"/>
      <c r="H579" s="36"/>
      <c r="I579" s="36"/>
    </row>
    <row r="580" spans="1:9">
      <c r="A580" s="31"/>
      <c r="B580" s="31"/>
      <c r="C580" s="36"/>
      <c r="D580" s="36"/>
      <c r="E580" s="36"/>
      <c r="F580" s="36"/>
      <c r="G580" s="36"/>
      <c r="H580" s="36"/>
      <c r="I580" s="36"/>
    </row>
    <row r="581" spans="1:9">
      <c r="A581" s="31"/>
      <c r="B581" s="31"/>
      <c r="C581" s="36"/>
      <c r="D581" s="36"/>
      <c r="E581" s="36"/>
      <c r="F581" s="36"/>
      <c r="G581" s="36"/>
      <c r="H581" s="36"/>
      <c r="I581" s="36"/>
    </row>
    <row r="582" spans="1:9">
      <c r="A582" s="31"/>
      <c r="B582" s="31"/>
      <c r="C582" s="36"/>
      <c r="D582" s="36"/>
      <c r="E582" s="36"/>
      <c r="F582" s="36"/>
      <c r="G582" s="36"/>
      <c r="H582" s="36"/>
      <c r="I582" s="36"/>
    </row>
    <row r="583" spans="1:9">
      <c r="A583" s="31"/>
      <c r="B583" s="31"/>
      <c r="C583" s="36"/>
      <c r="D583" s="36"/>
      <c r="E583" s="36"/>
      <c r="F583" s="36"/>
      <c r="G583" s="36"/>
      <c r="H583" s="36"/>
      <c r="I583" s="36"/>
    </row>
    <row r="584" spans="1:9">
      <c r="A584" s="31"/>
      <c r="B584" s="31"/>
      <c r="C584" s="36"/>
      <c r="D584" s="36"/>
      <c r="E584" s="36"/>
      <c r="F584" s="36"/>
      <c r="G584" s="36"/>
      <c r="H584" s="36"/>
      <c r="I584" s="36"/>
    </row>
    <row r="585" spans="1:9">
      <c r="A585" s="31"/>
      <c r="B585" s="31"/>
      <c r="C585" s="36"/>
      <c r="D585" s="36"/>
      <c r="E585" s="36"/>
      <c r="F585" s="36"/>
      <c r="G585" s="36"/>
      <c r="H585" s="36"/>
      <c r="I585" s="36"/>
    </row>
    <row r="586" spans="1:9">
      <c r="A586" s="31"/>
      <c r="B586" s="31"/>
      <c r="C586" s="36"/>
      <c r="D586" s="36"/>
      <c r="E586" s="36"/>
      <c r="F586" s="36"/>
      <c r="G586" s="36"/>
      <c r="H586" s="36"/>
      <c r="I586" s="36"/>
    </row>
    <row r="587" spans="1:9">
      <c r="A587" s="31"/>
      <c r="B587" s="31"/>
      <c r="C587" s="36"/>
      <c r="D587" s="36"/>
      <c r="E587" s="36"/>
      <c r="F587" s="36"/>
      <c r="G587" s="36"/>
      <c r="H587" s="36"/>
      <c r="I587" s="36"/>
    </row>
    <row r="588" spans="1:9">
      <c r="A588" s="31"/>
      <c r="B588" s="31"/>
      <c r="C588" s="36"/>
      <c r="D588" s="36"/>
      <c r="E588" s="36"/>
      <c r="F588" s="36"/>
      <c r="G588" s="36"/>
      <c r="H588" s="36"/>
      <c r="I588" s="36"/>
    </row>
    <row r="589" spans="1:9">
      <c r="A589" s="31"/>
      <c r="B589" s="31"/>
      <c r="C589" s="36"/>
      <c r="D589" s="36"/>
      <c r="E589" s="36"/>
      <c r="F589" s="36"/>
      <c r="G589" s="36"/>
      <c r="H589" s="36"/>
      <c r="I589" s="36"/>
    </row>
    <row r="590" spans="1:9">
      <c r="A590" s="31"/>
      <c r="B590" s="31"/>
      <c r="C590" s="36"/>
      <c r="D590" s="36"/>
      <c r="E590" s="36"/>
      <c r="F590" s="36"/>
      <c r="G590" s="36"/>
      <c r="H590" s="36"/>
      <c r="I590" s="36"/>
    </row>
    <row r="591" spans="1:9">
      <c r="A591" s="31"/>
      <c r="B591" s="31"/>
      <c r="C591" s="36"/>
      <c r="D591" s="36"/>
      <c r="E591" s="36"/>
      <c r="F591" s="36"/>
      <c r="G591" s="36"/>
      <c r="H591" s="36"/>
      <c r="I591" s="36"/>
    </row>
    <row r="592" spans="1:9">
      <c r="A592" s="31"/>
      <c r="B592" s="31"/>
      <c r="C592" s="36"/>
      <c r="D592" s="36"/>
      <c r="E592" s="36"/>
      <c r="F592" s="36"/>
      <c r="G592" s="36"/>
      <c r="H592" s="36"/>
      <c r="I592" s="36"/>
    </row>
    <row r="593" spans="1:9">
      <c r="A593" s="31"/>
      <c r="B593" s="31"/>
      <c r="C593" s="36"/>
      <c r="D593" s="36"/>
      <c r="E593" s="36"/>
      <c r="F593" s="36"/>
      <c r="G593" s="36"/>
      <c r="H593" s="36"/>
      <c r="I593" s="36"/>
    </row>
    <row r="594" spans="1:9">
      <c r="A594" s="31"/>
      <c r="B594" s="31"/>
      <c r="C594" s="36"/>
      <c r="D594" s="36"/>
      <c r="E594" s="36"/>
      <c r="F594" s="36"/>
      <c r="G594" s="36"/>
      <c r="H594" s="36"/>
      <c r="I594" s="36"/>
    </row>
    <row r="595" spans="1:9">
      <c r="A595" s="31"/>
      <c r="B595" s="31"/>
      <c r="C595" s="36"/>
      <c r="D595" s="36"/>
      <c r="E595" s="36"/>
      <c r="F595" s="36"/>
      <c r="G595" s="36"/>
      <c r="H595" s="36"/>
      <c r="I595" s="36"/>
    </row>
    <row r="596" spans="1:9">
      <c r="A596" s="31"/>
      <c r="B596" s="31"/>
      <c r="C596" s="36"/>
      <c r="D596" s="36"/>
      <c r="E596" s="36"/>
      <c r="F596" s="36"/>
      <c r="G596" s="36"/>
      <c r="H596" s="36"/>
      <c r="I596" s="36"/>
    </row>
    <row r="597" spans="1:9">
      <c r="A597" s="31"/>
      <c r="B597" s="31"/>
      <c r="C597" s="36"/>
      <c r="D597" s="36"/>
      <c r="E597" s="36"/>
      <c r="F597" s="36"/>
      <c r="G597" s="36"/>
      <c r="H597" s="36"/>
      <c r="I597" s="36"/>
    </row>
    <row r="598" spans="1:9">
      <c r="A598" s="31"/>
      <c r="B598" s="31"/>
      <c r="C598" s="36"/>
      <c r="D598" s="36"/>
      <c r="E598" s="36"/>
      <c r="F598" s="36"/>
      <c r="G598" s="36"/>
      <c r="H598" s="36"/>
      <c r="I598" s="36"/>
    </row>
    <row r="599" spans="1:9">
      <c r="A599" s="31"/>
      <c r="B599" s="31"/>
      <c r="C599" s="36"/>
      <c r="D599" s="36"/>
      <c r="E599" s="36"/>
      <c r="F599" s="36"/>
      <c r="G599" s="36"/>
      <c r="H599" s="36"/>
      <c r="I599" s="36"/>
    </row>
    <row r="600" spans="1:9">
      <c r="A600" s="31"/>
      <c r="B600" s="31"/>
      <c r="C600" s="36"/>
      <c r="D600" s="36"/>
      <c r="E600" s="36"/>
      <c r="F600" s="36"/>
      <c r="G600" s="36"/>
      <c r="H600" s="36"/>
      <c r="I600" s="36"/>
    </row>
    <row r="601" spans="1:9">
      <c r="A601" s="31"/>
      <c r="B601" s="31"/>
      <c r="C601" s="36"/>
      <c r="D601" s="36"/>
      <c r="E601" s="36"/>
      <c r="F601" s="36"/>
      <c r="G601" s="36"/>
      <c r="H601" s="36"/>
      <c r="I601" s="36"/>
    </row>
    <row r="602" spans="1:9">
      <c r="A602" s="31"/>
      <c r="B602" s="31"/>
      <c r="C602" s="36"/>
      <c r="D602" s="36"/>
      <c r="E602" s="36"/>
      <c r="F602" s="36"/>
      <c r="G602" s="36"/>
      <c r="H602" s="36"/>
      <c r="I602" s="36"/>
    </row>
    <row r="603" spans="1:9">
      <c r="A603" s="31"/>
      <c r="B603" s="31"/>
      <c r="C603" s="36"/>
      <c r="D603" s="36"/>
      <c r="E603" s="36"/>
      <c r="F603" s="36"/>
      <c r="G603" s="36"/>
      <c r="H603" s="36"/>
      <c r="I603" s="36"/>
    </row>
    <row r="604" spans="1:9">
      <c r="A604" s="31"/>
      <c r="B604" s="31"/>
      <c r="C604" s="36"/>
      <c r="D604" s="36"/>
      <c r="E604" s="36"/>
      <c r="F604" s="36"/>
      <c r="G604" s="36"/>
      <c r="H604" s="36"/>
      <c r="I604" s="36"/>
    </row>
    <row r="605" spans="1:9">
      <c r="A605" s="31"/>
      <c r="B605" s="31"/>
      <c r="C605" s="36"/>
      <c r="D605" s="36"/>
      <c r="E605" s="36"/>
      <c r="F605" s="36"/>
      <c r="G605" s="36"/>
      <c r="H605" s="36"/>
      <c r="I605" s="36"/>
    </row>
    <row r="606" spans="1:9">
      <c r="A606" s="31"/>
      <c r="B606" s="31"/>
      <c r="C606" s="36"/>
      <c r="D606" s="36"/>
      <c r="E606" s="36"/>
      <c r="F606" s="36"/>
      <c r="G606" s="36"/>
      <c r="H606" s="36"/>
      <c r="I606" s="36"/>
    </row>
    <row r="607" spans="1:9">
      <c r="A607" s="31"/>
      <c r="B607" s="31"/>
      <c r="C607" s="36"/>
      <c r="D607" s="36"/>
      <c r="E607" s="36"/>
      <c r="F607" s="36"/>
      <c r="G607" s="36"/>
      <c r="H607" s="36"/>
      <c r="I607" s="36"/>
    </row>
    <row r="608" spans="1:9">
      <c r="A608" s="31"/>
      <c r="B608" s="31"/>
      <c r="C608" s="36"/>
      <c r="D608" s="36"/>
      <c r="E608" s="36"/>
      <c r="F608" s="36"/>
      <c r="G608" s="36"/>
      <c r="H608" s="36"/>
      <c r="I608" s="36"/>
    </row>
    <row r="609" spans="1:9">
      <c r="A609" s="31"/>
      <c r="B609" s="31"/>
      <c r="C609" s="36"/>
      <c r="D609" s="36"/>
      <c r="E609" s="36"/>
      <c r="F609" s="36"/>
      <c r="G609" s="36"/>
      <c r="H609" s="36"/>
      <c r="I609" s="36"/>
    </row>
    <row r="610" spans="1:9">
      <c r="A610" s="31"/>
      <c r="B610" s="31"/>
      <c r="C610" s="36"/>
      <c r="D610" s="36"/>
      <c r="E610" s="36"/>
      <c r="F610" s="36"/>
      <c r="G610" s="36"/>
      <c r="H610" s="36"/>
      <c r="I610" s="36"/>
    </row>
    <row r="611" spans="1:9">
      <c r="A611" s="31"/>
      <c r="B611" s="31"/>
      <c r="C611" s="36"/>
      <c r="D611" s="36"/>
      <c r="E611" s="36"/>
      <c r="F611" s="36"/>
      <c r="G611" s="36"/>
      <c r="H611" s="36"/>
      <c r="I611" s="36"/>
    </row>
    <row r="612" spans="1:9">
      <c r="A612" s="31"/>
      <c r="B612" s="31"/>
      <c r="C612" s="36"/>
      <c r="D612" s="36"/>
      <c r="E612" s="36"/>
      <c r="F612" s="36"/>
      <c r="G612" s="36"/>
      <c r="H612" s="36"/>
      <c r="I612" s="36"/>
    </row>
    <row r="613" spans="1:9">
      <c r="A613" s="31"/>
      <c r="B613" s="31"/>
      <c r="C613" s="36"/>
      <c r="D613" s="36"/>
      <c r="E613" s="36"/>
      <c r="F613" s="36"/>
      <c r="G613" s="36"/>
      <c r="H613" s="36"/>
      <c r="I613" s="36"/>
    </row>
    <row r="614" spans="1:9">
      <c r="A614" s="31"/>
      <c r="B614" s="31"/>
      <c r="C614" s="36"/>
      <c r="D614" s="36"/>
      <c r="E614" s="36"/>
      <c r="F614" s="36"/>
      <c r="G614" s="36"/>
      <c r="H614" s="36"/>
      <c r="I614" s="36"/>
    </row>
    <row r="615" spans="1:9">
      <c r="A615" s="31"/>
      <c r="B615" s="31"/>
      <c r="C615" s="36"/>
      <c r="D615" s="36"/>
      <c r="E615" s="36"/>
      <c r="F615" s="36"/>
      <c r="G615" s="36"/>
      <c r="H615" s="36"/>
      <c r="I615" s="36"/>
    </row>
    <row r="616" spans="1:9">
      <c r="A616" s="31"/>
      <c r="B616" s="31"/>
      <c r="C616" s="36"/>
      <c r="D616" s="36"/>
      <c r="E616" s="36"/>
      <c r="F616" s="36"/>
      <c r="G616" s="36"/>
      <c r="H616" s="36"/>
      <c r="I616" s="36"/>
    </row>
    <row r="617" spans="1:9">
      <c r="A617" s="31"/>
      <c r="B617" s="31"/>
      <c r="C617" s="36"/>
      <c r="D617" s="36"/>
      <c r="E617" s="36"/>
      <c r="F617" s="36"/>
      <c r="G617" s="36"/>
      <c r="H617" s="36"/>
      <c r="I617" s="36"/>
    </row>
    <row r="618" spans="1:9">
      <c r="A618" s="31"/>
      <c r="B618" s="31"/>
      <c r="C618" s="36"/>
      <c r="D618" s="36"/>
      <c r="E618" s="36"/>
      <c r="F618" s="36"/>
      <c r="G618" s="36"/>
      <c r="H618" s="36"/>
      <c r="I618" s="36"/>
    </row>
    <row r="619" spans="1:9">
      <c r="A619" s="31"/>
      <c r="B619" s="31"/>
      <c r="C619" s="36"/>
      <c r="D619" s="36"/>
      <c r="E619" s="36"/>
      <c r="F619" s="36"/>
      <c r="G619" s="36"/>
      <c r="H619" s="36"/>
      <c r="I619" s="36"/>
    </row>
    <row r="620" spans="1:9">
      <c r="A620" s="31"/>
      <c r="B620" s="31"/>
      <c r="C620" s="36"/>
      <c r="D620" s="36"/>
      <c r="E620" s="36"/>
      <c r="F620" s="36"/>
      <c r="G620" s="36"/>
      <c r="H620" s="36"/>
      <c r="I620" s="36"/>
    </row>
    <row r="621" spans="1:9">
      <c r="A621" s="31"/>
      <c r="B621" s="31"/>
      <c r="C621" s="36"/>
      <c r="D621" s="36"/>
      <c r="E621" s="36"/>
      <c r="F621" s="36"/>
      <c r="G621" s="36"/>
      <c r="H621" s="36"/>
      <c r="I621" s="36"/>
    </row>
    <row r="622" spans="1:9">
      <c r="A622" s="31"/>
      <c r="B622" s="31"/>
      <c r="C622" s="36"/>
      <c r="D622" s="36"/>
      <c r="E622" s="36"/>
      <c r="F622" s="36"/>
      <c r="G622" s="36"/>
      <c r="H622" s="36"/>
      <c r="I622" s="36"/>
    </row>
    <row r="623" spans="1:9">
      <c r="A623" s="31"/>
      <c r="B623" s="31"/>
      <c r="C623" s="36"/>
      <c r="D623" s="36"/>
      <c r="E623" s="36"/>
      <c r="F623" s="36"/>
      <c r="G623" s="36"/>
      <c r="H623" s="36"/>
      <c r="I623" s="36"/>
    </row>
    <row r="624" spans="1:9">
      <c r="A624" s="31"/>
      <c r="B624" s="31"/>
      <c r="C624" s="36"/>
      <c r="D624" s="36"/>
      <c r="E624" s="36"/>
      <c r="F624" s="36"/>
      <c r="G624" s="36"/>
      <c r="H624" s="36"/>
      <c r="I624" s="36"/>
    </row>
    <row r="625" spans="1:9">
      <c r="A625" s="31"/>
      <c r="B625" s="31"/>
      <c r="C625" s="36"/>
      <c r="D625" s="36"/>
      <c r="E625" s="36"/>
      <c r="F625" s="36"/>
      <c r="G625" s="36"/>
      <c r="H625" s="36"/>
      <c r="I625" s="36"/>
    </row>
    <row r="626" spans="1:9">
      <c r="A626" s="31"/>
      <c r="B626" s="31"/>
      <c r="C626" s="36"/>
      <c r="D626" s="36"/>
      <c r="E626" s="36"/>
      <c r="F626" s="36"/>
      <c r="G626" s="36"/>
      <c r="H626" s="36"/>
      <c r="I626" s="36"/>
    </row>
    <row r="627" spans="1:9">
      <c r="A627" s="31"/>
      <c r="B627" s="31"/>
      <c r="C627" s="36"/>
      <c r="D627" s="36"/>
      <c r="E627" s="36"/>
      <c r="F627" s="36"/>
      <c r="G627" s="36"/>
      <c r="H627" s="36"/>
      <c r="I627" s="36"/>
    </row>
    <row r="628" spans="1:9">
      <c r="A628" s="31"/>
      <c r="B628" s="31"/>
      <c r="C628" s="36"/>
      <c r="D628" s="36"/>
      <c r="E628" s="36"/>
      <c r="F628" s="36"/>
      <c r="G628" s="36"/>
      <c r="H628" s="36"/>
      <c r="I628" s="36"/>
    </row>
    <row r="629" spans="1:9">
      <c r="A629" s="31"/>
      <c r="B629" s="31"/>
      <c r="C629" s="36"/>
      <c r="D629" s="36"/>
      <c r="E629" s="36"/>
      <c r="F629" s="36"/>
      <c r="G629" s="36"/>
      <c r="H629" s="36"/>
      <c r="I629" s="36"/>
    </row>
    <row r="630" spans="1:9">
      <c r="A630" s="31"/>
      <c r="B630" s="31"/>
      <c r="C630" s="36"/>
      <c r="D630" s="36"/>
      <c r="E630" s="36"/>
      <c r="F630" s="36"/>
      <c r="G630" s="36"/>
      <c r="H630" s="36"/>
      <c r="I630" s="36"/>
    </row>
    <row r="631" spans="1:9">
      <c r="A631" s="31"/>
      <c r="B631" s="31"/>
      <c r="C631" s="36"/>
      <c r="D631" s="36"/>
      <c r="E631" s="36"/>
      <c r="F631" s="36"/>
      <c r="G631" s="36"/>
      <c r="H631" s="36"/>
      <c r="I631" s="36"/>
    </row>
    <row r="632" spans="1:9">
      <c r="A632" s="31"/>
      <c r="B632" s="31"/>
      <c r="C632" s="36"/>
      <c r="D632" s="36"/>
      <c r="E632" s="36"/>
      <c r="F632" s="36"/>
      <c r="G632" s="36"/>
      <c r="H632" s="36"/>
      <c r="I632" s="36"/>
    </row>
    <row r="633" spans="1:9">
      <c r="A633" s="31"/>
      <c r="B633" s="31"/>
      <c r="C633" s="36"/>
      <c r="D633" s="36"/>
      <c r="E633" s="36"/>
      <c r="F633" s="36"/>
      <c r="G633" s="36"/>
      <c r="H633" s="36"/>
      <c r="I633" s="36"/>
    </row>
    <row r="634" spans="1:9">
      <c r="A634" s="31"/>
      <c r="B634" s="31"/>
      <c r="C634" s="36"/>
      <c r="D634" s="36"/>
      <c r="E634" s="36"/>
      <c r="F634" s="36"/>
      <c r="G634" s="36"/>
      <c r="H634" s="36"/>
      <c r="I634" s="36"/>
    </row>
    <row r="635" spans="1:9">
      <c r="A635" s="31"/>
      <c r="B635" s="31"/>
      <c r="C635" s="36"/>
      <c r="D635" s="36"/>
      <c r="E635" s="36"/>
      <c r="F635" s="36"/>
      <c r="G635" s="36"/>
      <c r="H635" s="36"/>
      <c r="I635" s="36"/>
    </row>
    <row r="636" spans="1:9">
      <c r="A636" s="31"/>
      <c r="B636" s="31"/>
      <c r="C636" s="36"/>
      <c r="D636" s="36"/>
      <c r="E636" s="36"/>
      <c r="F636" s="36"/>
      <c r="G636" s="36"/>
      <c r="H636" s="36"/>
      <c r="I636" s="36"/>
    </row>
    <row r="637" spans="1:9">
      <c r="A637" s="31"/>
      <c r="B637" s="31"/>
      <c r="C637" s="36"/>
      <c r="D637" s="36"/>
      <c r="E637" s="36"/>
      <c r="F637" s="36"/>
      <c r="G637" s="36"/>
      <c r="H637" s="36"/>
      <c r="I637" s="36"/>
    </row>
    <row r="638" spans="1:9">
      <c r="A638" s="31"/>
      <c r="B638" s="31"/>
      <c r="C638" s="36"/>
      <c r="D638" s="36"/>
      <c r="E638" s="36"/>
      <c r="F638" s="36"/>
      <c r="G638" s="36"/>
      <c r="H638" s="36"/>
      <c r="I638" s="36"/>
    </row>
    <row r="639" spans="1:9">
      <c r="A639" s="31"/>
      <c r="B639" s="31"/>
      <c r="C639" s="36"/>
      <c r="D639" s="36"/>
      <c r="E639" s="36"/>
      <c r="F639" s="36"/>
      <c r="G639" s="36"/>
      <c r="H639" s="36"/>
      <c r="I639" s="36"/>
    </row>
    <row r="640" spans="1:9">
      <c r="A640" s="31"/>
      <c r="B640" s="31"/>
      <c r="C640" s="36"/>
      <c r="D640" s="36"/>
      <c r="E640" s="36"/>
      <c r="F640" s="36"/>
      <c r="G640" s="36"/>
      <c r="H640" s="36"/>
      <c r="I640" s="36"/>
    </row>
    <row r="641" spans="1:9">
      <c r="A641" s="31"/>
      <c r="B641" s="31"/>
      <c r="C641" s="36"/>
      <c r="D641" s="36"/>
      <c r="E641" s="36"/>
      <c r="F641" s="36"/>
      <c r="G641" s="36"/>
      <c r="H641" s="36"/>
      <c r="I641" s="36"/>
    </row>
    <row r="642" spans="1:9">
      <c r="A642" s="31"/>
      <c r="B642" s="31"/>
      <c r="C642" s="36"/>
      <c r="D642" s="36"/>
      <c r="E642" s="36"/>
      <c r="F642" s="36"/>
      <c r="G642" s="36"/>
      <c r="H642" s="36"/>
      <c r="I642" s="36"/>
    </row>
    <row r="643" spans="1:9">
      <c r="A643" s="31"/>
      <c r="B643" s="31"/>
      <c r="C643" s="36"/>
      <c r="D643" s="36"/>
      <c r="E643" s="36"/>
      <c r="F643" s="36"/>
      <c r="G643" s="36"/>
      <c r="H643" s="36"/>
      <c r="I643" s="36"/>
    </row>
    <row r="644" spans="1:9">
      <c r="A644" s="31"/>
      <c r="B644" s="31"/>
      <c r="C644" s="36"/>
      <c r="D644" s="36"/>
      <c r="E644" s="36"/>
      <c r="F644" s="36"/>
      <c r="G644" s="36"/>
      <c r="H644" s="36"/>
      <c r="I644" s="36"/>
    </row>
    <row r="645" spans="1:9">
      <c r="A645" s="31"/>
      <c r="B645" s="31"/>
      <c r="C645" s="36"/>
      <c r="D645" s="36"/>
      <c r="E645" s="36"/>
      <c r="F645" s="36"/>
      <c r="G645" s="36"/>
      <c r="H645" s="36"/>
      <c r="I645" s="36"/>
    </row>
    <row r="646" spans="1:9">
      <c r="A646" s="31"/>
      <c r="B646" s="31"/>
      <c r="C646" s="36"/>
      <c r="D646" s="36"/>
      <c r="E646" s="36"/>
      <c r="F646" s="36"/>
      <c r="G646" s="36"/>
      <c r="H646" s="36"/>
      <c r="I646" s="36"/>
    </row>
    <row r="647" spans="1:9">
      <c r="A647" s="31"/>
      <c r="B647" s="31"/>
      <c r="C647" s="36"/>
      <c r="D647" s="36"/>
      <c r="E647" s="36"/>
      <c r="F647" s="36"/>
      <c r="G647" s="36"/>
      <c r="H647" s="36"/>
      <c r="I647" s="36"/>
    </row>
    <row r="648" spans="1:9">
      <c r="A648" s="31"/>
      <c r="B648" s="31"/>
      <c r="C648" s="36"/>
      <c r="D648" s="36"/>
      <c r="E648" s="36"/>
      <c r="F648" s="36"/>
      <c r="G648" s="36"/>
      <c r="H648" s="36"/>
      <c r="I648" s="36"/>
    </row>
    <row r="649" spans="1:9">
      <c r="A649" s="31"/>
      <c r="B649" s="31"/>
      <c r="C649" s="36"/>
      <c r="D649" s="36"/>
      <c r="E649" s="36"/>
      <c r="F649" s="36"/>
      <c r="G649" s="36"/>
      <c r="H649" s="36"/>
      <c r="I649" s="36"/>
    </row>
    <row r="650" spans="1:9">
      <c r="A650" s="31"/>
      <c r="B650" s="31"/>
      <c r="C650" s="36"/>
      <c r="D650" s="36"/>
      <c r="E650" s="36"/>
      <c r="F650" s="36"/>
      <c r="G650" s="36"/>
      <c r="H650" s="36"/>
      <c r="I650" s="36"/>
    </row>
    <row r="651" spans="1:9">
      <c r="A651" s="31"/>
      <c r="B651" s="31"/>
      <c r="C651" s="36"/>
      <c r="D651" s="36"/>
      <c r="E651" s="36"/>
      <c r="F651" s="36"/>
      <c r="G651" s="36"/>
      <c r="H651" s="36"/>
      <c r="I651" s="36"/>
    </row>
    <row r="652" spans="1:9">
      <c r="A652" s="31"/>
      <c r="B652" s="31"/>
      <c r="C652" s="36"/>
      <c r="D652" s="36"/>
      <c r="E652" s="36"/>
      <c r="F652" s="36"/>
      <c r="G652" s="36"/>
      <c r="H652" s="36"/>
      <c r="I652" s="36"/>
    </row>
    <row r="653" spans="1:9">
      <c r="A653" s="31"/>
      <c r="B653" s="31"/>
      <c r="C653" s="36"/>
      <c r="D653" s="36"/>
      <c r="E653" s="36"/>
      <c r="F653" s="36"/>
      <c r="G653" s="36"/>
      <c r="H653" s="36"/>
      <c r="I653" s="36"/>
    </row>
    <row r="654" spans="1:9">
      <c r="A654" s="31"/>
      <c r="B654" s="31"/>
      <c r="C654" s="36"/>
      <c r="D654" s="36"/>
      <c r="E654" s="36"/>
      <c r="F654" s="36"/>
      <c r="G654" s="36"/>
      <c r="H654" s="36"/>
      <c r="I654" s="36"/>
    </row>
    <row r="655" spans="1:9">
      <c r="A655" s="31"/>
      <c r="B655" s="31"/>
      <c r="C655" s="36"/>
      <c r="D655" s="36"/>
      <c r="E655" s="36"/>
      <c r="F655" s="36"/>
      <c r="G655" s="36"/>
      <c r="H655" s="36"/>
      <c r="I655" s="36"/>
    </row>
    <row r="656" spans="1:9">
      <c r="A656" s="31"/>
      <c r="B656" s="31"/>
      <c r="C656" s="36"/>
      <c r="D656" s="36"/>
      <c r="E656" s="36"/>
      <c r="F656" s="36"/>
      <c r="G656" s="36"/>
      <c r="H656" s="36"/>
      <c r="I656" s="36"/>
    </row>
    <row r="657" spans="1:9">
      <c r="A657" s="31"/>
      <c r="B657" s="31"/>
      <c r="C657" s="36"/>
      <c r="D657" s="36"/>
      <c r="E657" s="36"/>
      <c r="F657" s="36"/>
      <c r="G657" s="36"/>
      <c r="H657" s="36"/>
      <c r="I657" s="36"/>
    </row>
    <row r="658" spans="1:9">
      <c r="A658" s="31"/>
      <c r="B658" s="31"/>
      <c r="C658" s="36"/>
      <c r="D658" s="36"/>
      <c r="E658" s="36"/>
      <c r="F658" s="36"/>
      <c r="G658" s="36"/>
      <c r="H658" s="36"/>
      <c r="I658" s="36"/>
    </row>
    <row r="659" spans="1:9">
      <c r="A659" s="31"/>
      <c r="B659" s="31"/>
      <c r="C659" s="36"/>
      <c r="D659" s="36"/>
      <c r="E659" s="36"/>
      <c r="F659" s="36"/>
      <c r="G659" s="36"/>
      <c r="H659" s="36"/>
      <c r="I659" s="36"/>
    </row>
    <row r="660" spans="1:9">
      <c r="A660" s="31"/>
      <c r="B660" s="31"/>
      <c r="C660" s="36"/>
      <c r="D660" s="36"/>
      <c r="E660" s="36"/>
      <c r="F660" s="36"/>
      <c r="G660" s="36"/>
      <c r="H660" s="36"/>
      <c r="I660" s="36"/>
    </row>
    <row r="661" spans="1:9">
      <c r="A661" s="31"/>
      <c r="B661" s="31"/>
      <c r="C661" s="36"/>
      <c r="D661" s="36"/>
      <c r="E661" s="36"/>
      <c r="F661" s="36"/>
      <c r="G661" s="36"/>
      <c r="H661" s="36"/>
      <c r="I661" s="36"/>
    </row>
    <row r="662" spans="1:9">
      <c r="A662" s="31"/>
      <c r="B662" s="31"/>
      <c r="C662" s="36"/>
      <c r="D662" s="36"/>
      <c r="E662" s="36"/>
      <c r="F662" s="36"/>
      <c r="G662" s="36"/>
      <c r="H662" s="36"/>
      <c r="I662" s="36"/>
    </row>
    <row r="663" spans="1:9">
      <c r="A663" s="31"/>
      <c r="B663" s="31"/>
      <c r="C663" s="36"/>
      <c r="D663" s="36"/>
      <c r="E663" s="36"/>
      <c r="F663" s="36"/>
      <c r="G663" s="36"/>
      <c r="H663" s="36"/>
      <c r="I663" s="36"/>
    </row>
    <row r="664" spans="1:9">
      <c r="A664" s="31"/>
      <c r="B664" s="31"/>
      <c r="C664" s="36"/>
      <c r="D664" s="36"/>
      <c r="E664" s="36"/>
      <c r="F664" s="36"/>
      <c r="G664" s="36"/>
      <c r="H664" s="36"/>
      <c r="I664" s="36"/>
    </row>
    <row r="665" spans="1:9">
      <c r="A665" s="31"/>
      <c r="B665" s="31"/>
      <c r="C665" s="36"/>
      <c r="D665" s="36"/>
      <c r="E665" s="36"/>
      <c r="F665" s="36"/>
      <c r="G665" s="36"/>
      <c r="H665" s="36"/>
      <c r="I665" s="36"/>
    </row>
    <row r="666" spans="1:9">
      <c r="A666" s="31"/>
      <c r="B666" s="31"/>
      <c r="C666" s="36"/>
      <c r="D666" s="36"/>
      <c r="E666" s="36"/>
      <c r="F666" s="36"/>
      <c r="G666" s="36"/>
      <c r="H666" s="36"/>
      <c r="I666" s="36"/>
    </row>
    <row r="667" spans="1:9">
      <c r="A667" s="31"/>
      <c r="B667" s="31"/>
      <c r="C667" s="36"/>
      <c r="D667" s="36"/>
      <c r="E667" s="36"/>
      <c r="F667" s="36"/>
      <c r="G667" s="36"/>
      <c r="H667" s="36"/>
      <c r="I667" s="36"/>
    </row>
    <row r="668" spans="1:9">
      <c r="A668" s="31"/>
      <c r="B668" s="31"/>
      <c r="C668" s="36"/>
      <c r="D668" s="36"/>
      <c r="E668" s="36"/>
      <c r="F668" s="36"/>
      <c r="G668" s="36"/>
      <c r="H668" s="36"/>
      <c r="I668" s="36"/>
    </row>
    <row r="669" spans="1:9">
      <c r="A669" s="31"/>
      <c r="B669" s="31"/>
      <c r="C669" s="36"/>
      <c r="D669" s="36"/>
      <c r="E669" s="36"/>
      <c r="F669" s="36"/>
      <c r="G669" s="36"/>
      <c r="H669" s="36"/>
      <c r="I669" s="36"/>
    </row>
    <row r="670" spans="1:9">
      <c r="A670" s="31"/>
      <c r="B670" s="31"/>
      <c r="C670" s="36"/>
      <c r="D670" s="36"/>
      <c r="E670" s="36"/>
      <c r="F670" s="36"/>
      <c r="G670" s="36"/>
      <c r="H670" s="36"/>
      <c r="I670" s="36"/>
    </row>
    <row r="671" spans="1:9">
      <c r="A671" s="31"/>
      <c r="B671" s="31"/>
      <c r="C671" s="36"/>
      <c r="D671" s="36"/>
      <c r="E671" s="36"/>
      <c r="F671" s="36"/>
      <c r="G671" s="36"/>
      <c r="H671" s="36"/>
      <c r="I671" s="36"/>
    </row>
    <row r="672" spans="1:9">
      <c r="A672" s="31"/>
      <c r="B672" s="31"/>
      <c r="C672" s="36"/>
      <c r="D672" s="36"/>
      <c r="E672" s="36"/>
      <c r="F672" s="36"/>
      <c r="G672" s="36"/>
      <c r="H672" s="36"/>
      <c r="I672" s="36"/>
    </row>
    <row r="673" spans="1:9">
      <c r="A673" s="31"/>
      <c r="B673" s="31"/>
      <c r="C673" s="36"/>
      <c r="D673" s="36"/>
      <c r="E673" s="36"/>
      <c r="F673" s="36"/>
      <c r="G673" s="36"/>
      <c r="H673" s="36"/>
      <c r="I673" s="36"/>
    </row>
    <row r="674" spans="1:9">
      <c r="A674" s="31"/>
      <c r="B674" s="31"/>
      <c r="C674" s="36"/>
      <c r="D674" s="36"/>
      <c r="E674" s="36"/>
      <c r="F674" s="36"/>
      <c r="G674" s="36"/>
      <c r="H674" s="36"/>
      <c r="I674" s="36"/>
    </row>
    <row r="675" spans="1:9">
      <c r="A675" s="31"/>
      <c r="B675" s="31"/>
      <c r="C675" s="36"/>
      <c r="D675" s="36"/>
      <c r="E675" s="36"/>
      <c r="F675" s="36"/>
      <c r="G675" s="36"/>
      <c r="H675" s="36"/>
      <c r="I675" s="36"/>
    </row>
    <row r="676" spans="1:9">
      <c r="A676" s="31"/>
      <c r="B676" s="31"/>
      <c r="C676" s="36"/>
      <c r="D676" s="36"/>
      <c r="E676" s="36"/>
      <c r="F676" s="36"/>
      <c r="G676" s="36"/>
      <c r="H676" s="36"/>
      <c r="I676" s="36"/>
    </row>
    <row r="677" spans="1:9">
      <c r="A677" s="31"/>
      <c r="B677" s="31"/>
      <c r="C677" s="36"/>
      <c r="D677" s="36"/>
      <c r="E677" s="36"/>
      <c r="F677" s="36"/>
      <c r="G677" s="36"/>
      <c r="H677" s="36"/>
      <c r="I677" s="36"/>
    </row>
    <row r="678" spans="1:9">
      <c r="A678" s="31"/>
      <c r="B678" s="31"/>
      <c r="C678" s="36"/>
      <c r="D678" s="36"/>
      <c r="E678" s="36"/>
      <c r="F678" s="36"/>
      <c r="G678" s="36"/>
      <c r="H678" s="36"/>
      <c r="I678" s="36"/>
    </row>
    <row r="679" spans="1:9">
      <c r="A679" s="31"/>
      <c r="B679" s="31"/>
      <c r="C679" s="36"/>
      <c r="D679" s="36"/>
      <c r="E679" s="36"/>
      <c r="F679" s="36"/>
      <c r="G679" s="36"/>
      <c r="H679" s="36"/>
      <c r="I679" s="36"/>
    </row>
    <row r="680" spans="1:9">
      <c r="A680" s="31"/>
      <c r="B680" s="31"/>
      <c r="C680" s="36"/>
      <c r="D680" s="36"/>
      <c r="E680" s="36"/>
      <c r="F680" s="36"/>
      <c r="G680" s="36"/>
      <c r="H680" s="36"/>
      <c r="I680" s="36"/>
    </row>
    <row r="681" spans="1:9">
      <c r="A681" s="31"/>
      <c r="B681" s="31"/>
      <c r="C681" s="36"/>
      <c r="D681" s="36"/>
      <c r="E681" s="36"/>
      <c r="F681" s="36"/>
      <c r="G681" s="36"/>
      <c r="H681" s="36"/>
      <c r="I681" s="36"/>
    </row>
    <row r="682" spans="1:9">
      <c r="A682" s="31"/>
      <c r="B682" s="31"/>
      <c r="C682" s="36"/>
      <c r="D682" s="36"/>
      <c r="E682" s="36"/>
      <c r="F682" s="36"/>
      <c r="G682" s="36"/>
      <c r="H682" s="36"/>
      <c r="I682" s="36"/>
    </row>
    <row r="683" spans="1:9">
      <c r="A683" s="31"/>
      <c r="B683" s="31"/>
      <c r="C683" s="36"/>
      <c r="D683" s="36"/>
      <c r="E683" s="36"/>
      <c r="F683" s="36"/>
      <c r="G683" s="36"/>
      <c r="H683" s="36"/>
      <c r="I683" s="36"/>
    </row>
    <row r="684" spans="1:9">
      <c r="A684" s="31"/>
      <c r="B684" s="31"/>
      <c r="C684" s="36"/>
      <c r="D684" s="36"/>
      <c r="E684" s="36"/>
      <c r="F684" s="36"/>
      <c r="G684" s="36"/>
      <c r="H684" s="36"/>
      <c r="I684" s="36"/>
    </row>
    <row r="685" spans="1:9">
      <c r="A685" s="31"/>
      <c r="B685" s="31"/>
      <c r="C685" s="36"/>
      <c r="D685" s="36"/>
      <c r="E685" s="36"/>
      <c r="F685" s="36"/>
      <c r="G685" s="36"/>
      <c r="H685" s="36"/>
      <c r="I685" s="36"/>
    </row>
    <row r="686" spans="1:9">
      <c r="A686" s="31"/>
      <c r="B686" s="31"/>
      <c r="C686" s="36"/>
      <c r="D686" s="36"/>
      <c r="E686" s="36"/>
      <c r="F686" s="36"/>
      <c r="G686" s="36"/>
      <c r="H686" s="36"/>
      <c r="I686" s="36"/>
    </row>
    <row r="687" spans="1:9">
      <c r="A687" s="31"/>
      <c r="B687" s="31"/>
      <c r="C687" s="36"/>
      <c r="D687" s="36"/>
      <c r="E687" s="36"/>
      <c r="F687" s="36"/>
      <c r="G687" s="36"/>
      <c r="H687" s="36"/>
      <c r="I687" s="36"/>
    </row>
    <row r="688" spans="1:9">
      <c r="A688" s="31"/>
      <c r="B688" s="31"/>
      <c r="C688" s="36"/>
      <c r="D688" s="36"/>
      <c r="E688" s="36"/>
      <c r="F688" s="36"/>
      <c r="G688" s="36"/>
      <c r="H688" s="36"/>
      <c r="I688" s="36"/>
    </row>
    <row r="689" spans="1:9">
      <c r="A689" s="31"/>
      <c r="B689" s="31"/>
      <c r="C689" s="36"/>
      <c r="D689" s="36"/>
      <c r="E689" s="36"/>
      <c r="F689" s="36"/>
      <c r="G689" s="36"/>
      <c r="H689" s="36"/>
      <c r="I689" s="36"/>
    </row>
    <row r="690" spans="1:9">
      <c r="A690" s="31"/>
      <c r="B690" s="31"/>
      <c r="C690" s="36"/>
      <c r="D690" s="36"/>
      <c r="E690" s="36"/>
      <c r="F690" s="36"/>
      <c r="G690" s="36"/>
      <c r="H690" s="36"/>
      <c r="I690" s="36"/>
    </row>
    <row r="691" spans="1:9">
      <c r="A691" s="31"/>
      <c r="B691" s="31"/>
      <c r="C691" s="36"/>
      <c r="D691" s="36"/>
      <c r="E691" s="36"/>
      <c r="F691" s="36"/>
      <c r="G691" s="36"/>
      <c r="H691" s="36"/>
      <c r="I691" s="36"/>
    </row>
    <row r="692" spans="1:9">
      <c r="A692" s="31"/>
      <c r="B692" s="31"/>
      <c r="C692" s="36"/>
      <c r="D692" s="36"/>
      <c r="E692" s="36"/>
      <c r="F692" s="36"/>
      <c r="G692" s="36"/>
      <c r="H692" s="36"/>
      <c r="I692" s="36"/>
    </row>
    <row r="693" spans="1:9">
      <c r="A693" s="31"/>
      <c r="B693" s="31"/>
      <c r="C693" s="36"/>
      <c r="D693" s="36"/>
      <c r="E693" s="36"/>
      <c r="F693" s="36"/>
      <c r="G693" s="36"/>
      <c r="H693" s="36"/>
      <c r="I693" s="36"/>
    </row>
    <row r="694" spans="1:9">
      <c r="A694" s="31"/>
      <c r="B694" s="31"/>
      <c r="C694" s="36"/>
      <c r="D694" s="36"/>
      <c r="E694" s="36"/>
      <c r="F694" s="36"/>
      <c r="G694" s="36"/>
      <c r="H694" s="36"/>
      <c r="I694" s="36"/>
    </row>
    <row r="695" spans="1:9">
      <c r="A695" s="31"/>
      <c r="B695" s="31"/>
      <c r="C695" s="36"/>
      <c r="D695" s="36"/>
      <c r="E695" s="36"/>
      <c r="F695" s="36"/>
      <c r="G695" s="36"/>
      <c r="H695" s="36"/>
      <c r="I695" s="36"/>
    </row>
    <row r="696" spans="1:9">
      <c r="A696" s="31"/>
      <c r="B696" s="31"/>
      <c r="C696" s="36"/>
      <c r="D696" s="36"/>
      <c r="E696" s="36"/>
      <c r="F696" s="36"/>
      <c r="G696" s="36"/>
      <c r="H696" s="36"/>
      <c r="I696" s="36"/>
    </row>
    <row r="697" spans="1:9">
      <c r="A697" s="31"/>
      <c r="B697" s="31"/>
      <c r="C697" s="36"/>
      <c r="D697" s="36"/>
      <c r="E697" s="36"/>
      <c r="F697" s="36"/>
      <c r="G697" s="36"/>
      <c r="H697" s="36"/>
      <c r="I697" s="36"/>
    </row>
    <row r="698" spans="1:9">
      <c r="A698" s="31"/>
      <c r="B698" s="31"/>
      <c r="C698" s="36"/>
      <c r="D698" s="36"/>
      <c r="E698" s="36"/>
      <c r="F698" s="36"/>
      <c r="G698" s="36"/>
      <c r="H698" s="36"/>
      <c r="I698" s="36"/>
    </row>
    <row r="699" spans="1:9">
      <c r="A699" s="31"/>
      <c r="B699" s="31"/>
      <c r="C699" s="36"/>
      <c r="D699" s="36"/>
      <c r="E699" s="36"/>
      <c r="F699" s="36"/>
      <c r="G699" s="36"/>
      <c r="H699" s="36"/>
      <c r="I699" s="36"/>
    </row>
    <row r="700" spans="1:9">
      <c r="A700" s="31"/>
      <c r="B700" s="31"/>
      <c r="C700" s="36"/>
      <c r="D700" s="36"/>
      <c r="E700" s="36"/>
      <c r="F700" s="36"/>
      <c r="G700" s="36"/>
      <c r="H700" s="36"/>
      <c r="I700" s="36"/>
    </row>
    <row r="701" spans="1:9">
      <c r="A701" s="31"/>
      <c r="B701" s="31"/>
      <c r="C701" s="36"/>
      <c r="D701" s="36"/>
      <c r="E701" s="36"/>
      <c r="F701" s="36"/>
      <c r="G701" s="36"/>
      <c r="H701" s="36"/>
      <c r="I701" s="36"/>
    </row>
    <row r="702" spans="1:9">
      <c r="A702" s="31"/>
      <c r="B702" s="31"/>
      <c r="C702" s="36"/>
      <c r="D702" s="36"/>
      <c r="E702" s="36"/>
      <c r="F702" s="36"/>
      <c r="G702" s="36"/>
      <c r="H702" s="36"/>
      <c r="I702" s="36"/>
    </row>
    <row r="703" spans="1:9">
      <c r="A703" s="31"/>
      <c r="B703" s="31"/>
      <c r="C703" s="36"/>
      <c r="D703" s="36"/>
      <c r="E703" s="36"/>
      <c r="F703" s="36"/>
      <c r="G703" s="36"/>
      <c r="H703" s="36"/>
      <c r="I703" s="36"/>
    </row>
    <row r="704" spans="1:9">
      <c r="A704" s="31"/>
      <c r="B704" s="31"/>
      <c r="C704" s="36"/>
      <c r="D704" s="36"/>
      <c r="E704" s="36"/>
      <c r="F704" s="36"/>
      <c r="G704" s="36"/>
      <c r="H704" s="36"/>
      <c r="I704" s="36"/>
    </row>
    <row r="705" spans="1:9">
      <c r="A705" s="31"/>
      <c r="B705" s="31"/>
      <c r="C705" s="36"/>
      <c r="D705" s="36"/>
      <c r="E705" s="36"/>
      <c r="F705" s="36"/>
      <c r="G705" s="36"/>
      <c r="H705" s="36"/>
      <c r="I705" s="36"/>
    </row>
    <row r="706" spans="1:9">
      <c r="A706" s="31"/>
      <c r="B706" s="31"/>
      <c r="C706" s="36"/>
      <c r="D706" s="36"/>
      <c r="E706" s="36"/>
      <c r="F706" s="36"/>
      <c r="G706" s="36"/>
      <c r="H706" s="36"/>
      <c r="I706" s="36"/>
    </row>
    <row r="707" spans="1:9">
      <c r="A707" s="31"/>
      <c r="B707" s="31"/>
      <c r="C707" s="36"/>
      <c r="D707" s="36"/>
      <c r="E707" s="36"/>
      <c r="F707" s="36"/>
      <c r="G707" s="36"/>
      <c r="H707" s="36"/>
      <c r="I707" s="36"/>
    </row>
    <row r="708" spans="1:9">
      <c r="A708" s="31"/>
      <c r="B708" s="31"/>
      <c r="C708" s="36"/>
      <c r="D708" s="36"/>
      <c r="E708" s="36"/>
      <c r="F708" s="36"/>
      <c r="G708" s="36"/>
      <c r="H708" s="36"/>
      <c r="I708" s="36"/>
    </row>
    <row r="709" spans="1:9">
      <c r="A709" s="31"/>
      <c r="B709" s="31"/>
      <c r="C709" s="36"/>
      <c r="D709" s="36"/>
      <c r="E709" s="36"/>
      <c r="F709" s="36"/>
      <c r="G709" s="36"/>
      <c r="H709" s="36"/>
      <c r="I709" s="36"/>
    </row>
    <row r="710" spans="1:9">
      <c r="A710" s="31"/>
      <c r="B710" s="31"/>
      <c r="C710" s="36"/>
      <c r="D710" s="36"/>
      <c r="E710" s="36"/>
      <c r="F710" s="36"/>
      <c r="G710" s="36"/>
      <c r="H710" s="36"/>
      <c r="I710" s="36"/>
    </row>
    <row r="711" spans="1:9">
      <c r="A711" s="31"/>
      <c r="B711" s="31"/>
      <c r="C711" s="36"/>
      <c r="D711" s="36"/>
      <c r="E711" s="36"/>
      <c r="F711" s="36"/>
      <c r="G711" s="36"/>
      <c r="H711" s="36"/>
      <c r="I711" s="36"/>
    </row>
    <row r="712" spans="1:9">
      <c r="A712" s="31"/>
      <c r="B712" s="31"/>
      <c r="C712" s="36"/>
      <c r="D712" s="36"/>
      <c r="E712" s="36"/>
      <c r="F712" s="36"/>
      <c r="G712" s="36"/>
      <c r="H712" s="36"/>
      <c r="I712" s="36"/>
    </row>
    <row r="713" spans="1:9">
      <c r="A713" s="31"/>
      <c r="B713" s="31"/>
      <c r="C713" s="36"/>
      <c r="D713" s="36"/>
      <c r="E713" s="36"/>
      <c r="F713" s="36"/>
      <c r="G713" s="36"/>
      <c r="H713" s="36"/>
      <c r="I713" s="36"/>
    </row>
    <row r="714" spans="1:9">
      <c r="A714" s="31"/>
      <c r="B714" s="31"/>
      <c r="C714" s="36"/>
      <c r="D714" s="36"/>
      <c r="E714" s="36"/>
      <c r="F714" s="36"/>
      <c r="G714" s="36"/>
      <c r="H714" s="36"/>
      <c r="I714" s="36"/>
    </row>
    <row r="715" spans="1:9">
      <c r="A715" s="31"/>
      <c r="B715" s="31"/>
      <c r="C715" s="36"/>
      <c r="D715" s="36"/>
      <c r="E715" s="36"/>
      <c r="F715" s="36"/>
      <c r="G715" s="36"/>
      <c r="H715" s="36"/>
      <c r="I715" s="36"/>
    </row>
    <row r="716" spans="1:9">
      <c r="A716" s="31"/>
      <c r="B716" s="31"/>
      <c r="C716" s="36"/>
      <c r="D716" s="36"/>
      <c r="E716" s="36"/>
      <c r="F716" s="36"/>
      <c r="G716" s="36"/>
      <c r="H716" s="36"/>
      <c r="I716" s="36"/>
    </row>
    <row r="717" spans="1:9">
      <c r="A717" s="31"/>
      <c r="B717" s="31"/>
      <c r="C717" s="36"/>
      <c r="D717" s="36"/>
      <c r="E717" s="36"/>
      <c r="F717" s="36"/>
      <c r="G717" s="36"/>
      <c r="H717" s="36"/>
      <c r="I717" s="36"/>
    </row>
    <row r="718" spans="1:9">
      <c r="A718" s="31"/>
      <c r="B718" s="31"/>
      <c r="C718" s="36"/>
      <c r="D718" s="36"/>
      <c r="E718" s="36"/>
      <c r="F718" s="36"/>
      <c r="G718" s="36"/>
      <c r="H718" s="36"/>
      <c r="I718" s="36"/>
    </row>
    <row r="719" spans="1:9">
      <c r="A719" s="31"/>
      <c r="B719" s="31"/>
      <c r="C719" s="36"/>
      <c r="D719" s="36"/>
      <c r="E719" s="36"/>
      <c r="F719" s="36"/>
      <c r="G719" s="36"/>
      <c r="H719" s="36"/>
      <c r="I719" s="36"/>
    </row>
    <row r="720" spans="1:9">
      <c r="A720" s="31"/>
      <c r="B720" s="31"/>
      <c r="C720" s="36"/>
      <c r="D720" s="36"/>
      <c r="E720" s="36"/>
      <c r="F720" s="36"/>
      <c r="G720" s="36"/>
      <c r="H720" s="36"/>
      <c r="I720" s="36"/>
    </row>
    <row r="721" spans="1:9">
      <c r="A721" s="31"/>
      <c r="B721" s="31"/>
      <c r="C721" s="36"/>
      <c r="D721" s="36"/>
      <c r="E721" s="36"/>
      <c r="F721" s="36"/>
      <c r="G721" s="36"/>
      <c r="H721" s="36"/>
      <c r="I721" s="36"/>
    </row>
    <row r="722" spans="1:9">
      <c r="A722" s="31"/>
      <c r="B722" s="31"/>
      <c r="C722" s="36"/>
      <c r="D722" s="36"/>
      <c r="E722" s="36"/>
      <c r="F722" s="36"/>
      <c r="G722" s="36"/>
      <c r="H722" s="36"/>
      <c r="I722" s="36"/>
    </row>
    <row r="723" spans="1:9">
      <c r="A723" s="31"/>
      <c r="B723" s="31"/>
      <c r="C723" s="36"/>
      <c r="D723" s="36"/>
      <c r="E723" s="36"/>
      <c r="F723" s="36"/>
      <c r="G723" s="36"/>
      <c r="H723" s="36"/>
      <c r="I723" s="36"/>
    </row>
    <row r="724" spans="1:9">
      <c r="A724" s="31"/>
      <c r="B724" s="31"/>
      <c r="C724" s="36"/>
      <c r="D724" s="36"/>
      <c r="E724" s="36"/>
      <c r="F724" s="36"/>
      <c r="G724" s="36"/>
      <c r="H724" s="36"/>
      <c r="I724" s="36"/>
    </row>
    <row r="725" spans="1:9">
      <c r="A725" s="31"/>
      <c r="B725" s="31"/>
      <c r="C725" s="36"/>
      <c r="D725" s="36"/>
      <c r="E725" s="36"/>
      <c r="F725" s="36"/>
      <c r="G725" s="36"/>
      <c r="H725" s="36"/>
      <c r="I725" s="36"/>
    </row>
    <row r="726" spans="1:9">
      <c r="A726" s="31"/>
      <c r="B726" s="31"/>
      <c r="C726" s="36"/>
      <c r="D726" s="36"/>
      <c r="E726" s="36"/>
      <c r="F726" s="36"/>
      <c r="G726" s="36"/>
      <c r="H726" s="36"/>
      <c r="I726" s="36"/>
    </row>
    <row r="727" spans="1:9">
      <c r="A727" s="31"/>
      <c r="B727" s="31"/>
      <c r="C727" s="36"/>
      <c r="D727" s="36"/>
      <c r="E727" s="36"/>
      <c r="F727" s="36"/>
      <c r="G727" s="36"/>
      <c r="H727" s="36"/>
      <c r="I727" s="36"/>
    </row>
    <row r="728" spans="1:9">
      <c r="A728" s="31"/>
      <c r="B728" s="31"/>
      <c r="C728" s="36"/>
      <c r="D728" s="36"/>
      <c r="E728" s="36"/>
      <c r="F728" s="36"/>
      <c r="G728" s="36"/>
      <c r="H728" s="36"/>
      <c r="I728" s="36"/>
    </row>
    <row r="729" spans="1:9">
      <c r="A729" s="31"/>
      <c r="B729" s="31"/>
      <c r="C729" s="36"/>
      <c r="D729" s="36"/>
      <c r="E729" s="36"/>
      <c r="F729" s="36"/>
      <c r="G729" s="36"/>
      <c r="H729" s="36"/>
      <c r="I729" s="36"/>
    </row>
    <row r="730" spans="1:9">
      <c r="A730" s="31"/>
      <c r="B730" s="31"/>
      <c r="C730" s="36"/>
      <c r="D730" s="36"/>
      <c r="E730" s="36"/>
      <c r="F730" s="36"/>
      <c r="G730" s="36"/>
      <c r="H730" s="36"/>
      <c r="I730" s="36"/>
    </row>
    <row r="731" spans="1:9">
      <c r="A731" s="31"/>
      <c r="B731" s="31"/>
      <c r="C731" s="36"/>
      <c r="D731" s="36"/>
      <c r="E731" s="36"/>
      <c r="F731" s="36"/>
      <c r="G731" s="36"/>
      <c r="H731" s="36"/>
      <c r="I731" s="36"/>
    </row>
    <row r="732" spans="1:9">
      <c r="A732" s="31"/>
      <c r="B732" s="31"/>
      <c r="C732" s="36"/>
      <c r="D732" s="36"/>
      <c r="E732" s="36"/>
      <c r="F732" s="36"/>
      <c r="G732" s="36"/>
      <c r="H732" s="36"/>
      <c r="I732" s="36"/>
    </row>
    <row r="733" spans="1:9">
      <c r="A733" s="31"/>
      <c r="B733" s="31"/>
      <c r="C733" s="36"/>
      <c r="D733" s="36"/>
      <c r="E733" s="36"/>
      <c r="F733" s="36"/>
      <c r="G733" s="36"/>
      <c r="H733" s="36"/>
      <c r="I733" s="36"/>
    </row>
    <row r="734" spans="1:9">
      <c r="A734" s="31"/>
      <c r="B734" s="31"/>
      <c r="C734" s="36"/>
      <c r="D734" s="36"/>
      <c r="E734" s="36"/>
      <c r="F734" s="36"/>
      <c r="G734" s="36"/>
      <c r="H734" s="36"/>
      <c r="I734" s="36"/>
    </row>
    <row r="735" spans="1:9">
      <c r="A735" s="31"/>
      <c r="B735" s="31"/>
      <c r="C735" s="36"/>
      <c r="D735" s="36"/>
      <c r="E735" s="36"/>
      <c r="F735" s="36"/>
      <c r="G735" s="36"/>
      <c r="H735" s="36"/>
      <c r="I735" s="36"/>
    </row>
    <row r="736" spans="1:9">
      <c r="A736" s="31"/>
      <c r="B736" s="31"/>
      <c r="C736" s="36"/>
      <c r="D736" s="36"/>
      <c r="E736" s="36"/>
      <c r="F736" s="36"/>
      <c r="G736" s="36"/>
      <c r="H736" s="36"/>
      <c r="I736" s="36"/>
    </row>
    <row r="737" spans="1:9">
      <c r="A737" s="31"/>
      <c r="B737" s="31"/>
      <c r="C737" s="36"/>
      <c r="D737" s="36"/>
      <c r="E737" s="36"/>
      <c r="F737" s="36"/>
      <c r="G737" s="36"/>
      <c r="H737" s="36"/>
      <c r="I737" s="36"/>
    </row>
    <row r="738" spans="1:9">
      <c r="A738" s="31"/>
      <c r="B738" s="31"/>
      <c r="C738" s="36"/>
      <c r="D738" s="36"/>
      <c r="E738" s="36"/>
      <c r="F738" s="36"/>
      <c r="G738" s="36"/>
      <c r="H738" s="36"/>
      <c r="I738" s="36"/>
    </row>
    <row r="739" spans="1:9">
      <c r="A739" s="31"/>
      <c r="B739" s="31"/>
      <c r="C739" s="36"/>
      <c r="D739" s="36"/>
      <c r="E739" s="36"/>
      <c r="F739" s="36"/>
      <c r="G739" s="36"/>
      <c r="H739" s="36"/>
      <c r="I739" s="36"/>
    </row>
    <row r="740" spans="1:9">
      <c r="A740" s="31"/>
      <c r="B740" s="31"/>
      <c r="C740" s="36"/>
      <c r="D740" s="36"/>
      <c r="E740" s="36"/>
      <c r="F740" s="36"/>
      <c r="G740" s="36"/>
      <c r="H740" s="36"/>
      <c r="I740" s="36"/>
    </row>
    <row r="741" spans="1:9">
      <c r="A741" s="31"/>
      <c r="B741" s="31"/>
      <c r="C741" s="36"/>
      <c r="D741" s="36"/>
      <c r="E741" s="36"/>
      <c r="F741" s="36"/>
      <c r="G741" s="36"/>
      <c r="H741" s="36"/>
      <c r="I741" s="36"/>
    </row>
    <row r="742" spans="1:9">
      <c r="A742" s="31"/>
      <c r="B742" s="31"/>
      <c r="C742" s="36"/>
      <c r="D742" s="36"/>
      <c r="E742" s="36"/>
      <c r="F742" s="36"/>
      <c r="G742" s="36"/>
      <c r="H742" s="36"/>
      <c r="I742" s="36"/>
    </row>
    <row r="743" spans="1:9">
      <c r="A743" s="31"/>
      <c r="B743" s="31"/>
      <c r="C743" s="36"/>
      <c r="D743" s="36"/>
      <c r="E743" s="36"/>
      <c r="F743" s="36"/>
      <c r="G743" s="36"/>
      <c r="H743" s="36"/>
      <c r="I743" s="36"/>
    </row>
    <row r="744" spans="1:9">
      <c r="A744" s="31"/>
      <c r="B744" s="31"/>
      <c r="C744" s="36"/>
      <c r="D744" s="36"/>
      <c r="E744" s="36"/>
      <c r="F744" s="36"/>
      <c r="G744" s="36"/>
      <c r="H744" s="36"/>
      <c r="I744" s="36"/>
    </row>
    <row r="745" spans="1:9">
      <c r="A745" s="31"/>
      <c r="B745" s="31"/>
      <c r="C745" s="36"/>
      <c r="D745" s="36"/>
      <c r="E745" s="36"/>
      <c r="F745" s="36"/>
      <c r="G745" s="36"/>
      <c r="H745" s="36"/>
      <c r="I745" s="36"/>
    </row>
    <row r="746" spans="1:9">
      <c r="A746" s="31"/>
      <c r="B746" s="31"/>
      <c r="C746" s="36"/>
      <c r="D746" s="36"/>
      <c r="E746" s="36"/>
      <c r="F746" s="36"/>
      <c r="G746" s="36"/>
      <c r="H746" s="36"/>
      <c r="I746" s="36"/>
    </row>
    <row r="747" spans="1:9">
      <c r="A747" s="31"/>
      <c r="B747" s="31"/>
      <c r="C747" s="36"/>
      <c r="D747" s="36"/>
      <c r="E747" s="36"/>
      <c r="F747" s="36"/>
      <c r="G747" s="36"/>
      <c r="H747" s="36"/>
      <c r="I747" s="36"/>
    </row>
    <row r="748" spans="1:9">
      <c r="A748" s="31"/>
      <c r="B748" s="31"/>
      <c r="C748" s="36"/>
      <c r="D748" s="36"/>
      <c r="E748" s="36"/>
      <c r="F748" s="36"/>
      <c r="G748" s="36"/>
      <c r="H748" s="36"/>
      <c r="I748" s="36"/>
    </row>
    <row r="749" spans="1:9">
      <c r="A749" s="31"/>
      <c r="B749" s="31"/>
      <c r="C749" s="36"/>
      <c r="D749" s="36"/>
      <c r="E749" s="36"/>
      <c r="F749" s="36"/>
      <c r="G749" s="36"/>
      <c r="H749" s="36"/>
      <c r="I749" s="36"/>
    </row>
    <row r="750" spans="1:9">
      <c r="A750" s="31"/>
      <c r="B750" s="31"/>
      <c r="C750" s="36"/>
      <c r="D750" s="36"/>
      <c r="E750" s="36"/>
      <c r="F750" s="36"/>
      <c r="G750" s="36"/>
      <c r="H750" s="36"/>
      <c r="I750" s="36"/>
    </row>
    <row r="751" spans="1:9">
      <c r="A751" s="31"/>
      <c r="B751" s="31"/>
      <c r="C751" s="36"/>
      <c r="D751" s="36"/>
      <c r="E751" s="36"/>
      <c r="F751" s="36"/>
      <c r="G751" s="36"/>
      <c r="H751" s="36"/>
      <c r="I751" s="36"/>
    </row>
    <row r="752" spans="1:9">
      <c r="A752" s="31"/>
      <c r="B752" s="31"/>
      <c r="C752" s="36"/>
      <c r="D752" s="36"/>
      <c r="E752" s="36"/>
      <c r="F752" s="36"/>
      <c r="G752" s="36"/>
      <c r="H752" s="36"/>
      <c r="I752" s="36"/>
    </row>
    <row r="753" spans="1:9">
      <c r="A753" s="31"/>
      <c r="B753" s="31"/>
      <c r="C753" s="36"/>
      <c r="D753" s="36"/>
      <c r="E753" s="36"/>
      <c r="F753" s="36"/>
      <c r="G753" s="36"/>
      <c r="H753" s="36"/>
      <c r="I753" s="36"/>
    </row>
    <row r="754" spans="1:9">
      <c r="A754" s="31"/>
      <c r="B754" s="31"/>
      <c r="C754" s="36"/>
      <c r="D754" s="36"/>
      <c r="E754" s="36"/>
      <c r="F754" s="36"/>
      <c r="G754" s="36"/>
      <c r="H754" s="36"/>
      <c r="I754" s="36"/>
    </row>
    <row r="755" spans="1:9">
      <c r="A755" s="31"/>
      <c r="B755" s="31"/>
      <c r="C755" s="36"/>
      <c r="D755" s="36"/>
      <c r="E755" s="36"/>
      <c r="F755" s="36"/>
      <c r="G755" s="36"/>
      <c r="H755" s="36"/>
      <c r="I755" s="36"/>
    </row>
    <row r="756" spans="1:9">
      <c r="A756" s="31"/>
      <c r="B756" s="31"/>
      <c r="C756" s="36"/>
      <c r="D756" s="36"/>
      <c r="E756" s="36"/>
      <c r="F756" s="36"/>
      <c r="G756" s="36"/>
      <c r="H756" s="36"/>
      <c r="I756" s="36"/>
    </row>
    <row r="757" spans="1:9">
      <c r="A757" s="31"/>
      <c r="B757" s="31"/>
      <c r="C757" s="36"/>
      <c r="D757" s="36"/>
      <c r="E757" s="36"/>
      <c r="F757" s="36"/>
      <c r="G757" s="36"/>
      <c r="H757" s="36"/>
      <c r="I757" s="36"/>
    </row>
    <row r="758" spans="1:9">
      <c r="A758" s="31"/>
      <c r="B758" s="31"/>
      <c r="C758" s="36"/>
      <c r="D758" s="36"/>
      <c r="E758" s="36"/>
      <c r="F758" s="36"/>
      <c r="G758" s="36"/>
      <c r="H758" s="36"/>
      <c r="I758" s="36"/>
    </row>
    <row r="759" spans="1:9">
      <c r="A759" s="31"/>
      <c r="B759" s="31"/>
      <c r="C759" s="36"/>
      <c r="D759" s="36"/>
      <c r="E759" s="36"/>
      <c r="F759" s="36"/>
      <c r="G759" s="36"/>
      <c r="H759" s="36"/>
      <c r="I759" s="36"/>
    </row>
    <row r="760" spans="1:9">
      <c r="A760" s="31"/>
      <c r="B760" s="31"/>
      <c r="C760" s="36"/>
      <c r="D760" s="36"/>
      <c r="E760" s="36"/>
      <c r="F760" s="36"/>
      <c r="G760" s="36"/>
      <c r="H760" s="36"/>
      <c r="I760" s="36"/>
    </row>
    <row r="761" spans="1:9">
      <c r="A761" s="31"/>
      <c r="B761" s="31"/>
      <c r="C761" s="36"/>
      <c r="D761" s="36"/>
      <c r="E761" s="36"/>
      <c r="F761" s="36"/>
      <c r="G761" s="36"/>
      <c r="H761" s="36"/>
      <c r="I761" s="36"/>
    </row>
    <row r="762" spans="1:9">
      <c r="A762" s="31"/>
      <c r="B762" s="31"/>
      <c r="C762" s="36"/>
      <c r="D762" s="36"/>
      <c r="E762" s="36"/>
      <c r="F762" s="36"/>
      <c r="G762" s="36"/>
      <c r="H762" s="36"/>
      <c r="I762" s="36"/>
    </row>
    <row r="763" spans="1:9">
      <c r="A763" s="31"/>
      <c r="B763" s="31"/>
      <c r="C763" s="36"/>
      <c r="D763" s="36"/>
      <c r="E763" s="36"/>
      <c r="F763" s="36"/>
      <c r="G763" s="36"/>
      <c r="H763" s="36"/>
      <c r="I763" s="36"/>
    </row>
    <row r="764" spans="1:9">
      <c r="A764" s="31"/>
      <c r="B764" s="31"/>
      <c r="C764" s="36"/>
      <c r="D764" s="36"/>
      <c r="E764" s="36"/>
      <c r="F764" s="36"/>
      <c r="G764" s="36"/>
      <c r="H764" s="36"/>
      <c r="I764" s="36"/>
    </row>
    <row r="765" spans="1:9">
      <c r="A765" s="31"/>
      <c r="B765" s="31"/>
      <c r="C765" s="36"/>
      <c r="D765" s="36"/>
      <c r="E765" s="36"/>
      <c r="F765" s="36"/>
      <c r="G765" s="36"/>
      <c r="H765" s="36"/>
      <c r="I765" s="36"/>
    </row>
    <row r="766" spans="1:9">
      <c r="A766" s="31"/>
      <c r="B766" s="31"/>
      <c r="C766" s="36"/>
      <c r="D766" s="36"/>
      <c r="E766" s="36"/>
      <c r="F766" s="36"/>
      <c r="G766" s="36"/>
      <c r="H766" s="36"/>
      <c r="I766" s="36"/>
    </row>
    <row r="767" spans="1:9">
      <c r="A767" s="31"/>
      <c r="B767" s="31"/>
      <c r="C767" s="36"/>
      <c r="D767" s="36"/>
      <c r="E767" s="36"/>
      <c r="F767" s="36"/>
      <c r="G767" s="36"/>
      <c r="H767" s="36"/>
      <c r="I767" s="36"/>
    </row>
    <row r="768" spans="1:9">
      <c r="A768" s="31"/>
      <c r="B768" s="31"/>
      <c r="C768" s="36"/>
      <c r="D768" s="36"/>
      <c r="E768" s="36"/>
      <c r="F768" s="36"/>
      <c r="G768" s="36"/>
      <c r="H768" s="36"/>
      <c r="I768" s="36"/>
    </row>
    <row r="769" spans="1:9">
      <c r="A769" s="31"/>
      <c r="B769" s="31"/>
      <c r="C769" s="36"/>
      <c r="D769" s="36"/>
      <c r="E769" s="36"/>
      <c r="F769" s="36"/>
      <c r="G769" s="36"/>
      <c r="H769" s="36"/>
      <c r="I769" s="36"/>
    </row>
    <row r="770" spans="1:9">
      <c r="A770" s="31"/>
      <c r="B770" s="31"/>
      <c r="C770" s="36"/>
      <c r="D770" s="36"/>
      <c r="E770" s="36"/>
      <c r="F770" s="36"/>
      <c r="G770" s="36"/>
      <c r="H770" s="36"/>
      <c r="I770" s="36"/>
    </row>
    <row r="771" spans="1:9">
      <c r="A771" s="31"/>
      <c r="B771" s="31"/>
      <c r="C771" s="36"/>
      <c r="D771" s="36"/>
      <c r="E771" s="36"/>
      <c r="F771" s="36"/>
      <c r="G771" s="36"/>
      <c r="H771" s="36"/>
      <c r="I771" s="36"/>
    </row>
    <row r="772" spans="1:9">
      <c r="A772" s="31"/>
      <c r="B772" s="31"/>
      <c r="C772" s="36"/>
      <c r="D772" s="36"/>
      <c r="E772" s="36"/>
      <c r="F772" s="36"/>
      <c r="G772" s="36"/>
      <c r="H772" s="36"/>
      <c r="I772" s="36"/>
    </row>
    <row r="773" spans="1:9">
      <c r="A773" s="31"/>
      <c r="B773" s="31"/>
      <c r="C773" s="36"/>
      <c r="D773" s="36"/>
      <c r="E773" s="36"/>
      <c r="F773" s="36"/>
      <c r="G773" s="36"/>
      <c r="H773" s="36"/>
      <c r="I773" s="36"/>
    </row>
    <row r="774" spans="1:9">
      <c r="A774" s="31"/>
      <c r="B774" s="31"/>
      <c r="C774" s="36"/>
      <c r="D774" s="36"/>
      <c r="E774" s="36"/>
      <c r="F774" s="36"/>
      <c r="G774" s="36"/>
      <c r="H774" s="36"/>
      <c r="I774" s="36"/>
    </row>
    <row r="775" spans="1:9">
      <c r="A775" s="31"/>
      <c r="B775" s="31"/>
      <c r="C775" s="36"/>
      <c r="D775" s="36"/>
      <c r="E775" s="36"/>
      <c r="F775" s="36"/>
      <c r="G775" s="36"/>
      <c r="H775" s="36"/>
      <c r="I775" s="36"/>
    </row>
    <row r="776" spans="1:9">
      <c r="A776" s="31"/>
      <c r="B776" s="31"/>
      <c r="C776" s="36"/>
      <c r="D776" s="36"/>
      <c r="E776" s="36"/>
      <c r="F776" s="36"/>
      <c r="G776" s="36"/>
      <c r="H776" s="36"/>
      <c r="I776" s="36"/>
    </row>
    <row r="777" spans="1:9">
      <c r="A777" s="31"/>
      <c r="B777" s="31"/>
      <c r="C777" s="36"/>
      <c r="D777" s="36"/>
      <c r="E777" s="36"/>
      <c r="F777" s="36"/>
      <c r="G777" s="36"/>
      <c r="H777" s="36"/>
      <c r="I777" s="36"/>
    </row>
    <row r="778" spans="1:9">
      <c r="A778" s="31"/>
      <c r="B778" s="31"/>
      <c r="C778" s="36"/>
      <c r="D778" s="36"/>
      <c r="E778" s="36"/>
      <c r="F778" s="36"/>
      <c r="G778" s="36"/>
      <c r="H778" s="36"/>
      <c r="I778" s="36"/>
    </row>
    <row r="779" spans="1:9">
      <c r="A779" s="31"/>
      <c r="B779" s="31"/>
      <c r="C779" s="36"/>
      <c r="D779" s="36"/>
      <c r="E779" s="36"/>
      <c r="F779" s="36"/>
      <c r="G779" s="36"/>
      <c r="H779" s="36"/>
      <c r="I779" s="36"/>
    </row>
    <row r="780" spans="1:9">
      <c r="A780" s="31"/>
      <c r="B780" s="31"/>
      <c r="C780" s="36"/>
      <c r="D780" s="36"/>
      <c r="E780" s="36"/>
      <c r="F780" s="36"/>
      <c r="G780" s="36"/>
      <c r="H780" s="36"/>
      <c r="I780" s="36"/>
    </row>
    <row r="781" spans="1:9">
      <c r="A781" s="31"/>
      <c r="B781" s="31"/>
      <c r="C781" s="36"/>
      <c r="D781" s="36"/>
      <c r="E781" s="36"/>
      <c r="F781" s="36"/>
      <c r="G781" s="36"/>
      <c r="H781" s="36"/>
      <c r="I781" s="36"/>
    </row>
    <row r="782" spans="1:9">
      <c r="A782" s="31"/>
      <c r="B782" s="31"/>
      <c r="C782" s="36"/>
      <c r="D782" s="36"/>
      <c r="E782" s="36"/>
      <c r="F782" s="36"/>
      <c r="G782" s="36"/>
      <c r="H782" s="36"/>
      <c r="I782" s="36"/>
    </row>
    <row r="783" spans="1:9">
      <c r="A783" s="31"/>
      <c r="B783" s="31"/>
      <c r="C783" s="36"/>
      <c r="D783" s="36"/>
      <c r="E783" s="36"/>
      <c r="F783" s="36"/>
      <c r="G783" s="36"/>
      <c r="H783" s="36"/>
      <c r="I783" s="36"/>
    </row>
    <row r="784" spans="1:9">
      <c r="A784" s="31"/>
      <c r="B784" s="31"/>
      <c r="C784" s="36"/>
      <c r="D784" s="36"/>
      <c r="E784" s="36"/>
      <c r="F784" s="36"/>
      <c r="G784" s="36"/>
      <c r="H784" s="36"/>
      <c r="I784" s="36"/>
    </row>
    <row r="785" spans="1:9">
      <c r="A785" s="31"/>
      <c r="B785" s="31"/>
      <c r="C785" s="36"/>
      <c r="D785" s="36"/>
      <c r="E785" s="36"/>
      <c r="F785" s="36"/>
      <c r="G785" s="36"/>
      <c r="H785" s="36"/>
      <c r="I785" s="36"/>
    </row>
    <row r="786" spans="1:9">
      <c r="A786" s="31"/>
      <c r="B786" s="31"/>
      <c r="C786" s="36"/>
      <c r="D786" s="36"/>
      <c r="E786" s="36"/>
      <c r="F786" s="36"/>
      <c r="G786" s="36"/>
      <c r="H786" s="36"/>
      <c r="I786" s="36"/>
    </row>
    <row r="787" spans="1:9">
      <c r="A787" s="31"/>
      <c r="B787" s="31"/>
      <c r="C787" s="36"/>
      <c r="D787" s="36"/>
      <c r="E787" s="36"/>
      <c r="F787" s="36"/>
      <c r="G787" s="36"/>
      <c r="H787" s="36"/>
      <c r="I787" s="36"/>
    </row>
    <row r="788" spans="1:9">
      <c r="A788" s="31"/>
      <c r="B788" s="31"/>
      <c r="C788" s="36"/>
      <c r="D788" s="36"/>
      <c r="E788" s="36"/>
      <c r="F788" s="36"/>
      <c r="G788" s="36"/>
      <c r="H788" s="36"/>
      <c r="I788" s="36"/>
    </row>
    <row r="789" spans="1:9">
      <c r="A789" s="31"/>
      <c r="B789" s="31"/>
      <c r="C789" s="36"/>
      <c r="D789" s="36"/>
      <c r="E789" s="36"/>
      <c r="F789" s="36"/>
      <c r="G789" s="36"/>
      <c r="H789" s="36"/>
      <c r="I789" s="36"/>
    </row>
    <row r="790" spans="1:9">
      <c r="A790" s="31"/>
      <c r="B790" s="31"/>
      <c r="C790" s="36"/>
      <c r="D790" s="36"/>
      <c r="E790" s="36"/>
      <c r="F790" s="36"/>
      <c r="G790" s="36"/>
      <c r="H790" s="36"/>
      <c r="I790" s="36"/>
    </row>
    <row r="791" spans="1:9">
      <c r="A791" s="31"/>
      <c r="B791" s="31"/>
      <c r="C791" s="36"/>
      <c r="D791" s="36"/>
      <c r="E791" s="36"/>
      <c r="F791" s="36"/>
      <c r="G791" s="36"/>
      <c r="H791" s="36"/>
      <c r="I791" s="36"/>
    </row>
    <row r="792" spans="1:9">
      <c r="A792" s="31"/>
      <c r="B792" s="31"/>
      <c r="C792" s="36"/>
      <c r="D792" s="36"/>
      <c r="E792" s="36"/>
      <c r="F792" s="36"/>
      <c r="G792" s="36"/>
      <c r="H792" s="36"/>
      <c r="I792" s="36"/>
    </row>
    <row r="793" spans="1:9">
      <c r="A793" s="31"/>
      <c r="B793" s="31"/>
      <c r="C793" s="36"/>
      <c r="D793" s="36"/>
      <c r="E793" s="36"/>
      <c r="F793" s="36"/>
      <c r="G793" s="36"/>
      <c r="H793" s="36"/>
      <c r="I793" s="36"/>
    </row>
    <row r="794" spans="1:9">
      <c r="A794" s="31"/>
      <c r="B794" s="31"/>
      <c r="C794" s="36"/>
      <c r="D794" s="36"/>
      <c r="E794" s="36"/>
      <c r="F794" s="36"/>
      <c r="G794" s="36"/>
      <c r="H794" s="36"/>
      <c r="I794" s="36"/>
    </row>
    <row r="795" spans="1:9">
      <c r="A795" s="31"/>
      <c r="B795" s="31"/>
      <c r="C795" s="36"/>
      <c r="D795" s="36"/>
      <c r="E795" s="36"/>
      <c r="F795" s="36"/>
      <c r="G795" s="36"/>
      <c r="H795" s="36"/>
      <c r="I795" s="36"/>
    </row>
    <row r="796" spans="1:9">
      <c r="A796" s="31"/>
      <c r="B796" s="31"/>
      <c r="C796" s="36"/>
      <c r="D796" s="36"/>
      <c r="E796" s="36"/>
      <c r="F796" s="36"/>
      <c r="G796" s="36"/>
      <c r="H796" s="36"/>
      <c r="I796" s="36"/>
    </row>
    <row r="797" spans="1:9">
      <c r="A797" s="31"/>
      <c r="B797" s="31"/>
      <c r="C797" s="36"/>
      <c r="D797" s="36"/>
      <c r="E797" s="36"/>
      <c r="F797" s="36"/>
      <c r="G797" s="36"/>
      <c r="H797" s="36"/>
      <c r="I797" s="36"/>
    </row>
    <row r="798" spans="1:9">
      <c r="A798" s="31"/>
      <c r="B798" s="31"/>
      <c r="C798" s="36"/>
      <c r="D798" s="36"/>
      <c r="E798" s="36"/>
      <c r="F798" s="36"/>
      <c r="G798" s="36"/>
      <c r="H798" s="36"/>
      <c r="I798" s="36"/>
    </row>
    <row r="799" spans="1:9">
      <c r="A799" s="31"/>
      <c r="B799" s="31"/>
      <c r="C799" s="36"/>
      <c r="D799" s="36"/>
      <c r="E799" s="36"/>
      <c r="F799" s="36"/>
      <c r="G799" s="36"/>
      <c r="H799" s="36"/>
      <c r="I799" s="36"/>
    </row>
    <row r="800" spans="1:9">
      <c r="A800" s="31"/>
      <c r="B800" s="31"/>
      <c r="C800" s="36"/>
      <c r="D800" s="36"/>
      <c r="E800" s="36"/>
      <c r="F800" s="36"/>
      <c r="G800" s="36"/>
      <c r="H800" s="36"/>
      <c r="I800" s="36"/>
    </row>
    <row r="801" spans="1:9">
      <c r="A801" s="31"/>
      <c r="B801" s="31"/>
      <c r="C801" s="36"/>
      <c r="D801" s="36"/>
      <c r="E801" s="36"/>
      <c r="F801" s="36"/>
      <c r="G801" s="36"/>
      <c r="H801" s="36"/>
      <c r="I801" s="36"/>
    </row>
    <row r="802" spans="1:9">
      <c r="A802" s="31"/>
      <c r="B802" s="31"/>
      <c r="C802" s="36"/>
      <c r="D802" s="36"/>
      <c r="E802" s="36"/>
      <c r="F802" s="36"/>
      <c r="G802" s="36"/>
      <c r="H802" s="36"/>
      <c r="I802" s="36"/>
    </row>
    <row r="803" spans="1:9">
      <c r="A803" s="31"/>
      <c r="B803" s="31"/>
      <c r="C803" s="36"/>
      <c r="D803" s="36"/>
      <c r="E803" s="36"/>
      <c r="F803" s="36"/>
      <c r="G803" s="36"/>
      <c r="H803" s="36"/>
      <c r="I803" s="36"/>
    </row>
    <row r="804" spans="1:9">
      <c r="A804" s="31"/>
      <c r="B804" s="31"/>
      <c r="C804" s="36"/>
      <c r="D804" s="36"/>
      <c r="E804" s="36"/>
      <c r="F804" s="36"/>
      <c r="G804" s="36"/>
      <c r="H804" s="36"/>
      <c r="I804" s="36"/>
    </row>
    <row r="805" spans="1:9">
      <c r="A805" s="31"/>
      <c r="B805" s="31"/>
      <c r="C805" s="36"/>
      <c r="D805" s="36"/>
      <c r="E805" s="36"/>
      <c r="F805" s="36"/>
      <c r="G805" s="36"/>
      <c r="H805" s="36"/>
      <c r="I805" s="36"/>
    </row>
    <row r="806" spans="1:9">
      <c r="A806" s="31"/>
      <c r="B806" s="31"/>
      <c r="C806" s="36"/>
      <c r="D806" s="36"/>
      <c r="E806" s="36"/>
      <c r="F806" s="36"/>
      <c r="G806" s="36"/>
      <c r="H806" s="36"/>
      <c r="I806" s="36"/>
    </row>
    <row r="807" spans="1:9">
      <c r="A807" s="31"/>
      <c r="B807" s="31"/>
      <c r="C807" s="36"/>
      <c r="D807" s="36"/>
      <c r="E807" s="36"/>
      <c r="F807" s="36"/>
      <c r="G807" s="36"/>
      <c r="H807" s="36"/>
      <c r="I807" s="36"/>
    </row>
    <row r="808" spans="1:9">
      <c r="A808" s="31"/>
      <c r="B808" s="31"/>
      <c r="C808" s="36"/>
      <c r="D808" s="36"/>
      <c r="E808" s="36"/>
      <c r="F808" s="36"/>
      <c r="G808" s="36"/>
      <c r="H808" s="36"/>
      <c r="I808" s="36"/>
    </row>
    <row r="809" spans="1:9">
      <c r="A809" s="31"/>
      <c r="B809" s="31"/>
      <c r="C809" s="36"/>
      <c r="D809" s="36"/>
      <c r="E809" s="36"/>
      <c r="F809" s="36"/>
      <c r="G809" s="36"/>
      <c r="H809" s="36"/>
      <c r="I809" s="36"/>
    </row>
    <row r="810" spans="1:9">
      <c r="A810" s="31"/>
      <c r="B810" s="31"/>
      <c r="C810" s="36"/>
      <c r="D810" s="36"/>
      <c r="E810" s="36"/>
      <c r="F810" s="36"/>
      <c r="G810" s="36"/>
      <c r="H810" s="36"/>
      <c r="I810" s="36"/>
    </row>
    <row r="811" spans="1:9">
      <c r="A811" s="31"/>
      <c r="B811" s="31"/>
      <c r="C811" s="36"/>
      <c r="D811" s="36"/>
      <c r="E811" s="36"/>
      <c r="F811" s="36"/>
      <c r="G811" s="36"/>
      <c r="H811" s="36"/>
      <c r="I811" s="36"/>
    </row>
    <row r="812" spans="1:9">
      <c r="A812" s="31"/>
      <c r="B812" s="31"/>
      <c r="C812" s="36"/>
      <c r="D812" s="36"/>
      <c r="E812" s="36"/>
      <c r="F812" s="36"/>
      <c r="G812" s="36"/>
      <c r="H812" s="36"/>
      <c r="I812" s="36"/>
    </row>
    <row r="813" spans="1:9">
      <c r="A813" s="31"/>
      <c r="B813" s="31"/>
      <c r="C813" s="36"/>
      <c r="D813" s="36"/>
      <c r="E813" s="36"/>
      <c r="F813" s="36"/>
      <c r="G813" s="36"/>
      <c r="H813" s="36"/>
      <c r="I813" s="36"/>
    </row>
    <row r="814" spans="1:9">
      <c r="A814" s="31"/>
      <c r="B814" s="31"/>
      <c r="C814" s="36"/>
      <c r="D814" s="36"/>
      <c r="E814" s="36"/>
      <c r="F814" s="36"/>
      <c r="G814" s="36"/>
      <c r="H814" s="36"/>
      <c r="I814" s="36"/>
    </row>
    <row r="815" spans="1:9">
      <c r="A815" s="31"/>
      <c r="B815" s="31"/>
      <c r="C815" s="36"/>
      <c r="D815" s="36"/>
      <c r="E815" s="36"/>
      <c r="F815" s="36"/>
      <c r="G815" s="36"/>
      <c r="H815" s="36"/>
      <c r="I815" s="36"/>
    </row>
    <row r="816" spans="1:9">
      <c r="A816" s="31"/>
      <c r="B816" s="31"/>
      <c r="C816" s="36"/>
      <c r="D816" s="36"/>
      <c r="E816" s="36"/>
      <c r="F816" s="36"/>
      <c r="G816" s="36"/>
      <c r="H816" s="36"/>
      <c r="I816" s="36"/>
    </row>
    <row r="817" spans="1:9">
      <c r="A817" s="31"/>
      <c r="B817" s="31"/>
      <c r="C817" s="36"/>
      <c r="D817" s="36"/>
      <c r="E817" s="36"/>
      <c r="F817" s="36"/>
      <c r="G817" s="36"/>
      <c r="H817" s="36"/>
      <c r="I817" s="36"/>
    </row>
    <row r="818" spans="1:9">
      <c r="A818" s="31"/>
      <c r="B818" s="31"/>
      <c r="C818" s="36"/>
      <c r="D818" s="36"/>
      <c r="E818" s="36"/>
      <c r="F818" s="36"/>
      <c r="G818" s="36"/>
      <c r="H818" s="36"/>
      <c r="I818" s="36"/>
    </row>
    <row r="819" spans="1:9">
      <c r="A819" s="31"/>
      <c r="B819" s="31"/>
      <c r="C819" s="36"/>
      <c r="D819" s="36"/>
      <c r="E819" s="36"/>
      <c r="F819" s="36"/>
      <c r="G819" s="36"/>
      <c r="H819" s="36"/>
      <c r="I819" s="36"/>
    </row>
    <row r="820" spans="1:9">
      <c r="A820" s="31"/>
      <c r="B820" s="31"/>
      <c r="C820" s="36"/>
      <c r="D820" s="36"/>
      <c r="E820" s="36"/>
      <c r="F820" s="36"/>
      <c r="G820" s="36"/>
      <c r="H820" s="36"/>
      <c r="I820" s="36"/>
    </row>
    <row r="821" spans="1:9">
      <c r="A821" s="31"/>
      <c r="B821" s="31"/>
      <c r="C821" s="36"/>
      <c r="D821" s="36"/>
      <c r="E821" s="36"/>
      <c r="F821" s="36"/>
      <c r="G821" s="36"/>
      <c r="H821" s="36"/>
      <c r="I821" s="36"/>
    </row>
    <row r="822" spans="1:9">
      <c r="A822" s="31"/>
      <c r="B822" s="31"/>
      <c r="C822" s="36"/>
      <c r="D822" s="36"/>
      <c r="E822" s="36"/>
      <c r="F822" s="36"/>
      <c r="G822" s="36"/>
      <c r="H822" s="36"/>
      <c r="I822" s="36"/>
    </row>
    <row r="823" spans="1:9">
      <c r="A823" s="31"/>
      <c r="B823" s="31"/>
      <c r="C823" s="36"/>
      <c r="D823" s="36"/>
      <c r="E823" s="36"/>
      <c r="F823" s="36"/>
      <c r="G823" s="36"/>
      <c r="H823" s="36"/>
      <c r="I823" s="36"/>
    </row>
    <row r="824" spans="1:9">
      <c r="A824" s="31"/>
      <c r="B824" s="31"/>
      <c r="C824" s="36"/>
      <c r="D824" s="36"/>
      <c r="E824" s="36"/>
      <c r="F824" s="36"/>
      <c r="G824" s="36"/>
      <c r="H824" s="36"/>
      <c r="I824" s="36"/>
    </row>
    <row r="825" spans="1:9">
      <c r="A825" s="31"/>
      <c r="B825" s="31"/>
      <c r="C825" s="36"/>
      <c r="D825" s="36"/>
      <c r="E825" s="36"/>
      <c r="F825" s="36"/>
      <c r="G825" s="36"/>
      <c r="H825" s="36"/>
      <c r="I825" s="36"/>
    </row>
    <row r="826" spans="1:9">
      <c r="A826" s="31"/>
      <c r="B826" s="31"/>
      <c r="C826" s="36"/>
      <c r="D826" s="36"/>
      <c r="E826" s="36"/>
      <c r="F826" s="36"/>
      <c r="G826" s="36"/>
      <c r="H826" s="36"/>
      <c r="I826" s="36"/>
    </row>
    <row r="827" spans="1:9">
      <c r="A827" s="31"/>
      <c r="B827" s="31"/>
      <c r="C827" s="36"/>
      <c r="D827" s="36"/>
      <c r="E827" s="36"/>
      <c r="F827" s="36"/>
      <c r="G827" s="36"/>
      <c r="H827" s="36"/>
      <c r="I827" s="36"/>
    </row>
    <row r="828" spans="1:9">
      <c r="A828" s="31"/>
      <c r="B828" s="31"/>
      <c r="C828" s="36"/>
      <c r="D828" s="36"/>
      <c r="E828" s="36"/>
      <c r="F828" s="36"/>
      <c r="G828" s="36"/>
      <c r="H828" s="36"/>
      <c r="I828" s="36"/>
    </row>
    <row r="829" spans="1:9">
      <c r="A829" s="31"/>
      <c r="B829" s="31"/>
      <c r="C829" s="36"/>
      <c r="D829" s="36"/>
      <c r="E829" s="36"/>
      <c r="F829" s="36"/>
      <c r="G829" s="36"/>
      <c r="H829" s="36"/>
      <c r="I829" s="36"/>
    </row>
    <row r="830" spans="1:9">
      <c r="A830" s="31"/>
      <c r="B830" s="31"/>
      <c r="C830" s="36"/>
      <c r="D830" s="36"/>
      <c r="E830" s="36"/>
      <c r="F830" s="36"/>
      <c r="G830" s="36"/>
      <c r="H830" s="36"/>
      <c r="I830" s="36"/>
    </row>
    <row r="831" spans="1:9">
      <c r="A831" s="31"/>
      <c r="B831" s="31"/>
      <c r="C831" s="36"/>
      <c r="D831" s="36"/>
      <c r="E831" s="36"/>
      <c r="F831" s="36"/>
      <c r="G831" s="36"/>
      <c r="H831" s="36"/>
      <c r="I831" s="36"/>
    </row>
    <row r="832" spans="1:9">
      <c r="A832" s="31"/>
      <c r="B832" s="31"/>
      <c r="C832" s="36"/>
      <c r="D832" s="36"/>
      <c r="E832" s="36"/>
      <c r="F832" s="36"/>
      <c r="G832" s="36"/>
      <c r="H832" s="36"/>
      <c r="I832" s="36"/>
    </row>
    <row r="833" spans="1:9">
      <c r="A833" s="31"/>
      <c r="B833" s="31"/>
      <c r="C833" s="36"/>
      <c r="D833" s="36"/>
      <c r="E833" s="36"/>
      <c r="F833" s="36"/>
      <c r="G833" s="36"/>
      <c r="H833" s="36"/>
      <c r="I833" s="36"/>
    </row>
    <row r="834" spans="1:9">
      <c r="A834" s="31"/>
      <c r="B834" s="31"/>
      <c r="C834" s="36"/>
      <c r="D834" s="36"/>
      <c r="E834" s="36"/>
      <c r="F834" s="36"/>
      <c r="G834" s="36"/>
      <c r="H834" s="36"/>
      <c r="I834" s="36"/>
    </row>
    <row r="835" spans="1:9">
      <c r="A835" s="31"/>
      <c r="B835" s="31"/>
      <c r="C835" s="36"/>
      <c r="D835" s="36"/>
      <c r="E835" s="36"/>
      <c r="F835" s="36"/>
      <c r="G835" s="36"/>
      <c r="H835" s="36"/>
      <c r="I835" s="36"/>
    </row>
    <row r="836" spans="1:9">
      <c r="A836" s="31"/>
      <c r="B836" s="31"/>
      <c r="C836" s="36"/>
      <c r="D836" s="36"/>
      <c r="E836" s="36"/>
      <c r="F836" s="36"/>
      <c r="G836" s="36"/>
      <c r="H836" s="36"/>
      <c r="I836" s="36"/>
    </row>
    <row r="837" spans="1:9">
      <c r="A837" s="31"/>
      <c r="B837" s="31"/>
      <c r="C837" s="36"/>
      <c r="D837" s="36"/>
      <c r="E837" s="36"/>
      <c r="F837" s="36"/>
      <c r="G837" s="36"/>
      <c r="H837" s="36"/>
      <c r="I837" s="36"/>
    </row>
    <row r="838" spans="1:9">
      <c r="A838" s="31"/>
      <c r="B838" s="31"/>
      <c r="C838" s="36"/>
      <c r="D838" s="36"/>
      <c r="E838" s="36"/>
      <c r="F838" s="36"/>
      <c r="G838" s="36"/>
      <c r="H838" s="36"/>
      <c r="I838" s="36"/>
    </row>
    <row r="839" spans="1:9">
      <c r="A839" s="31"/>
      <c r="B839" s="31"/>
      <c r="C839" s="36"/>
      <c r="D839" s="36"/>
      <c r="E839" s="36"/>
      <c r="F839" s="36"/>
      <c r="G839" s="36"/>
      <c r="H839" s="36"/>
      <c r="I839" s="36"/>
    </row>
    <row r="840" spans="1:9">
      <c r="A840" s="31"/>
      <c r="B840" s="31"/>
      <c r="C840" s="36"/>
      <c r="D840" s="36"/>
      <c r="E840" s="36"/>
      <c r="F840" s="36"/>
      <c r="G840" s="36"/>
      <c r="H840" s="36"/>
      <c r="I840" s="36"/>
    </row>
    <row r="841" spans="1:9">
      <c r="A841" s="31"/>
      <c r="B841" s="31"/>
      <c r="C841" s="36"/>
      <c r="D841" s="36"/>
      <c r="E841" s="36"/>
      <c r="F841" s="36"/>
      <c r="G841" s="36"/>
      <c r="H841" s="36"/>
      <c r="I841" s="36"/>
    </row>
    <row r="842" spans="1:9">
      <c r="A842" s="31"/>
      <c r="B842" s="31"/>
      <c r="C842" s="36"/>
      <c r="D842" s="36"/>
      <c r="E842" s="36"/>
      <c r="F842" s="36"/>
      <c r="G842" s="36"/>
      <c r="H842" s="36"/>
      <c r="I842" s="36"/>
    </row>
    <row r="843" spans="1:9">
      <c r="A843" s="31"/>
      <c r="B843" s="31"/>
      <c r="C843" s="36"/>
      <c r="D843" s="36"/>
      <c r="E843" s="36"/>
      <c r="F843" s="36"/>
      <c r="G843" s="36"/>
      <c r="H843" s="36"/>
      <c r="I843" s="36"/>
    </row>
    <row r="844" spans="1:9">
      <c r="A844" s="31"/>
      <c r="B844" s="31"/>
      <c r="C844" s="36"/>
      <c r="D844" s="36"/>
      <c r="E844" s="36"/>
      <c r="F844" s="36"/>
      <c r="G844" s="36"/>
      <c r="H844" s="36"/>
      <c r="I844" s="36"/>
    </row>
    <row r="845" spans="1:9">
      <c r="A845" s="31"/>
      <c r="B845" s="31"/>
      <c r="C845" s="36"/>
      <c r="D845" s="36"/>
      <c r="E845" s="36"/>
      <c r="F845" s="36"/>
      <c r="G845" s="36"/>
      <c r="H845" s="36"/>
      <c r="I845" s="36"/>
    </row>
    <row r="846" spans="1:9">
      <c r="A846" s="31"/>
      <c r="B846" s="31"/>
      <c r="C846" s="36"/>
      <c r="D846" s="36"/>
      <c r="E846" s="36"/>
      <c r="F846" s="36"/>
      <c r="G846" s="36"/>
      <c r="H846" s="36"/>
      <c r="I846" s="36"/>
    </row>
    <row r="847" spans="1:9">
      <c r="A847" s="31"/>
      <c r="B847" s="31"/>
      <c r="C847" s="36"/>
      <c r="D847" s="36"/>
      <c r="E847" s="36"/>
      <c r="F847" s="36"/>
      <c r="G847" s="36"/>
      <c r="H847" s="36"/>
      <c r="I847" s="36"/>
    </row>
    <row r="848" spans="1:9">
      <c r="A848" s="31"/>
      <c r="B848" s="31"/>
      <c r="C848" s="36"/>
      <c r="D848" s="36"/>
      <c r="E848" s="36"/>
      <c r="F848" s="36"/>
      <c r="G848" s="36"/>
      <c r="H848" s="36"/>
      <c r="I848" s="36"/>
    </row>
    <row r="849" spans="1:9">
      <c r="A849" s="31"/>
      <c r="B849" s="31"/>
      <c r="C849" s="36"/>
      <c r="D849" s="36"/>
      <c r="E849" s="36"/>
      <c r="F849" s="36"/>
      <c r="G849" s="36"/>
      <c r="H849" s="36"/>
      <c r="I849" s="36"/>
    </row>
    <row r="850" spans="1:9">
      <c r="A850" s="31"/>
      <c r="B850" s="31"/>
      <c r="C850" s="36"/>
      <c r="D850" s="36"/>
      <c r="E850" s="36"/>
      <c r="F850" s="36"/>
      <c r="G850" s="36"/>
      <c r="H850" s="36"/>
      <c r="I850" s="36"/>
    </row>
    <row r="851" spans="1:9">
      <c r="A851" s="31"/>
      <c r="B851" s="31"/>
      <c r="C851" s="36"/>
      <c r="D851" s="36"/>
      <c r="E851" s="36"/>
      <c r="F851" s="36"/>
      <c r="G851" s="36"/>
      <c r="H851" s="36"/>
      <c r="I851" s="36"/>
    </row>
    <row r="852" spans="1:9">
      <c r="A852" s="31"/>
      <c r="B852" s="31"/>
      <c r="C852" s="36"/>
      <c r="D852" s="36"/>
      <c r="E852" s="36"/>
      <c r="F852" s="36"/>
      <c r="G852" s="36"/>
      <c r="H852" s="36"/>
      <c r="I852" s="36"/>
    </row>
    <row r="853" spans="1:9">
      <c r="A853" s="31"/>
      <c r="B853" s="31"/>
      <c r="C853" s="36"/>
      <c r="D853" s="36"/>
      <c r="E853" s="36"/>
      <c r="F853" s="36"/>
      <c r="G853" s="36"/>
      <c r="H853" s="36"/>
      <c r="I853" s="36"/>
    </row>
    <row r="854" spans="1:9">
      <c r="A854" s="31"/>
      <c r="B854" s="31"/>
      <c r="C854" s="36"/>
      <c r="D854" s="36"/>
      <c r="E854" s="36"/>
      <c r="F854" s="36"/>
      <c r="G854" s="36"/>
      <c r="H854" s="36"/>
      <c r="I854" s="36"/>
    </row>
    <row r="855" spans="1:9">
      <c r="A855" s="31"/>
      <c r="B855" s="31"/>
      <c r="C855" s="36"/>
      <c r="D855" s="36"/>
      <c r="E855" s="36"/>
      <c r="F855" s="36"/>
      <c r="G855" s="36"/>
      <c r="H855" s="36"/>
      <c r="I855" s="36"/>
    </row>
    <row r="856" spans="1:9">
      <c r="A856" s="31"/>
      <c r="B856" s="31"/>
      <c r="C856" s="36"/>
      <c r="D856" s="36"/>
      <c r="E856" s="36"/>
      <c r="F856" s="36"/>
      <c r="G856" s="36"/>
      <c r="H856" s="36"/>
      <c r="I856" s="36"/>
    </row>
    <row r="857" spans="1:9">
      <c r="A857" s="31"/>
      <c r="B857" s="31"/>
      <c r="C857" s="36"/>
      <c r="D857" s="36"/>
      <c r="E857" s="36"/>
      <c r="F857" s="36"/>
      <c r="G857" s="36"/>
      <c r="H857" s="36"/>
      <c r="I857" s="36"/>
    </row>
    <row r="858" spans="1:9">
      <c r="A858" s="31"/>
      <c r="B858" s="31"/>
      <c r="C858" s="36"/>
      <c r="D858" s="36"/>
      <c r="E858" s="36"/>
      <c r="F858" s="36"/>
      <c r="G858" s="36"/>
      <c r="H858" s="36"/>
      <c r="I858" s="36"/>
    </row>
    <row r="859" spans="1:9">
      <c r="A859" s="31"/>
      <c r="B859" s="31"/>
      <c r="C859" s="36"/>
      <c r="D859" s="36"/>
      <c r="E859" s="36"/>
      <c r="F859" s="36"/>
      <c r="G859" s="36"/>
      <c r="H859" s="36"/>
      <c r="I859" s="36"/>
    </row>
    <row r="860" spans="1:9">
      <c r="A860" s="31"/>
      <c r="B860" s="31"/>
      <c r="C860" s="36"/>
      <c r="D860" s="36"/>
      <c r="E860" s="36"/>
      <c r="F860" s="36"/>
      <c r="G860" s="36"/>
      <c r="H860" s="36"/>
      <c r="I860" s="36"/>
    </row>
    <row r="861" spans="1:9">
      <c r="A861" s="31"/>
      <c r="B861" s="31"/>
      <c r="C861" s="36"/>
      <c r="D861" s="36"/>
      <c r="E861" s="36"/>
      <c r="F861" s="36"/>
      <c r="G861" s="36"/>
      <c r="H861" s="36"/>
      <c r="I861" s="36"/>
    </row>
    <row r="862" spans="1:9">
      <c r="A862" s="31"/>
      <c r="B862" s="31"/>
      <c r="C862" s="36"/>
      <c r="D862" s="36"/>
      <c r="E862" s="36"/>
      <c r="F862" s="36"/>
      <c r="G862" s="36"/>
      <c r="H862" s="36"/>
      <c r="I862" s="36"/>
    </row>
    <row r="863" spans="1:9">
      <c r="A863" s="31"/>
      <c r="B863" s="31"/>
      <c r="C863" s="36"/>
      <c r="D863" s="36"/>
      <c r="E863" s="36"/>
      <c r="F863" s="36"/>
      <c r="G863" s="36"/>
      <c r="H863" s="36"/>
      <c r="I863" s="36"/>
    </row>
    <row r="864" spans="1:9">
      <c r="A864" s="31"/>
      <c r="B864" s="31"/>
      <c r="C864" s="36"/>
      <c r="D864" s="36"/>
      <c r="E864" s="36"/>
      <c r="F864" s="36"/>
      <c r="G864" s="36"/>
      <c r="H864" s="36"/>
      <c r="I864" s="36"/>
    </row>
    <row r="865" spans="1:9">
      <c r="A865" s="31"/>
      <c r="B865" s="31"/>
      <c r="C865" s="36"/>
      <c r="D865" s="36"/>
      <c r="E865" s="36"/>
      <c r="F865" s="36"/>
      <c r="G865" s="36"/>
      <c r="H865" s="36"/>
      <c r="I865" s="36"/>
    </row>
    <row r="866" spans="1:9">
      <c r="A866" s="31"/>
      <c r="B866" s="31"/>
      <c r="C866" s="36"/>
      <c r="D866" s="36"/>
      <c r="E866" s="36"/>
      <c r="F866" s="36"/>
      <c r="G866" s="36"/>
      <c r="H866" s="36"/>
      <c r="I866" s="36"/>
    </row>
    <row r="867" spans="1:9">
      <c r="A867" s="31"/>
      <c r="B867" s="31"/>
      <c r="C867" s="36"/>
      <c r="D867" s="36"/>
      <c r="E867" s="36"/>
      <c r="F867" s="36"/>
      <c r="G867" s="36"/>
      <c r="H867" s="36"/>
      <c r="I867" s="36"/>
    </row>
    <row r="868" spans="1:9">
      <c r="A868" s="31"/>
      <c r="B868" s="31"/>
      <c r="C868" s="36"/>
      <c r="D868" s="36"/>
      <c r="E868" s="36"/>
      <c r="F868" s="36"/>
      <c r="G868" s="36"/>
      <c r="H868" s="36"/>
      <c r="I868" s="36"/>
    </row>
    <row r="869" spans="1:9">
      <c r="A869" s="31"/>
      <c r="B869" s="31"/>
      <c r="C869" s="36"/>
      <c r="D869" s="36"/>
      <c r="E869" s="36"/>
      <c r="F869" s="36"/>
      <c r="G869" s="36"/>
      <c r="H869" s="36"/>
      <c r="I869" s="36"/>
    </row>
    <row r="870" spans="1:9">
      <c r="A870" s="31"/>
      <c r="B870" s="31"/>
      <c r="C870" s="36"/>
      <c r="D870" s="36"/>
      <c r="E870" s="36"/>
      <c r="F870" s="36"/>
      <c r="G870" s="36"/>
      <c r="H870" s="36"/>
      <c r="I870" s="36"/>
    </row>
    <row r="871" spans="1:9">
      <c r="A871" s="31"/>
      <c r="B871" s="31"/>
      <c r="C871" s="36"/>
      <c r="D871" s="36"/>
      <c r="E871" s="36"/>
      <c r="F871" s="36"/>
      <c r="G871" s="36"/>
      <c r="H871" s="36"/>
      <c r="I871" s="36"/>
    </row>
    <row r="872" spans="1:9">
      <c r="A872" s="31"/>
      <c r="B872" s="31"/>
      <c r="C872" s="36"/>
      <c r="D872" s="36"/>
      <c r="E872" s="36"/>
      <c r="F872" s="36"/>
      <c r="G872" s="36"/>
      <c r="H872" s="36"/>
      <c r="I872" s="36"/>
    </row>
    <row r="873" spans="1:9">
      <c r="A873" s="31"/>
      <c r="B873" s="31"/>
      <c r="C873" s="36"/>
      <c r="D873" s="36"/>
      <c r="E873" s="36"/>
      <c r="F873" s="36"/>
      <c r="G873" s="36"/>
      <c r="H873" s="36"/>
      <c r="I873" s="36"/>
    </row>
    <row r="874" spans="1:9">
      <c r="A874" s="31"/>
      <c r="B874" s="31"/>
      <c r="C874" s="36"/>
      <c r="D874" s="36"/>
      <c r="E874" s="36"/>
      <c r="F874" s="36"/>
      <c r="G874" s="36"/>
      <c r="H874" s="36"/>
      <c r="I874" s="36"/>
    </row>
    <row r="875" spans="1:9">
      <c r="A875" s="31"/>
      <c r="B875" s="31"/>
      <c r="C875" s="36"/>
      <c r="D875" s="36"/>
      <c r="E875" s="36"/>
      <c r="F875" s="36"/>
      <c r="G875" s="36"/>
      <c r="H875" s="36"/>
      <c r="I875" s="36"/>
    </row>
    <row r="876" spans="1:9">
      <c r="A876" s="31"/>
      <c r="B876" s="31"/>
      <c r="C876" s="36"/>
      <c r="D876" s="36"/>
      <c r="E876" s="36"/>
      <c r="F876" s="36"/>
      <c r="G876" s="36"/>
      <c r="H876" s="36"/>
      <c r="I876" s="36"/>
    </row>
    <row r="877" spans="1:9">
      <c r="A877" s="31"/>
      <c r="B877" s="31"/>
      <c r="C877" s="36"/>
      <c r="D877" s="36"/>
      <c r="E877" s="36"/>
      <c r="F877" s="36"/>
      <c r="G877" s="36"/>
      <c r="H877" s="36"/>
      <c r="I877" s="36"/>
    </row>
    <row r="878" spans="1:9">
      <c r="A878" s="31"/>
      <c r="B878" s="31"/>
      <c r="C878" s="36"/>
      <c r="D878" s="36"/>
      <c r="E878" s="36"/>
      <c r="F878" s="36"/>
      <c r="G878" s="36"/>
      <c r="H878" s="36"/>
      <c r="I878" s="36"/>
    </row>
    <row r="879" spans="1:9">
      <c r="A879" s="31"/>
      <c r="B879" s="31"/>
      <c r="C879" s="36"/>
      <c r="D879" s="36"/>
      <c r="E879" s="36"/>
      <c r="F879" s="36"/>
      <c r="G879" s="36"/>
      <c r="H879" s="36"/>
      <c r="I879" s="36"/>
    </row>
    <row r="880" spans="1:9">
      <c r="A880" s="31"/>
      <c r="B880" s="31"/>
      <c r="C880" s="36"/>
      <c r="D880" s="36"/>
      <c r="E880" s="36"/>
      <c r="F880" s="36"/>
      <c r="G880" s="36"/>
      <c r="H880" s="36"/>
      <c r="I880" s="36"/>
    </row>
    <row r="881" spans="1:9">
      <c r="A881" s="31"/>
      <c r="B881" s="31"/>
      <c r="C881" s="36"/>
      <c r="D881" s="36"/>
      <c r="E881" s="36"/>
      <c r="F881" s="36"/>
      <c r="G881" s="36"/>
      <c r="H881" s="36"/>
      <c r="I881" s="36"/>
    </row>
    <row r="882" spans="1:9">
      <c r="A882" s="31"/>
      <c r="B882" s="31"/>
      <c r="C882" s="36"/>
      <c r="D882" s="36"/>
      <c r="E882" s="36"/>
      <c r="F882" s="36"/>
      <c r="G882" s="36"/>
      <c r="H882" s="36"/>
      <c r="I882" s="36"/>
    </row>
    <row r="883" spans="1:9">
      <c r="A883" s="31"/>
      <c r="B883" s="31"/>
      <c r="C883" s="36"/>
      <c r="D883" s="36"/>
      <c r="E883" s="36"/>
      <c r="F883" s="36"/>
      <c r="G883" s="36"/>
      <c r="H883" s="36"/>
      <c r="I883" s="36"/>
    </row>
    <row r="884" spans="1:9">
      <c r="A884" s="31"/>
      <c r="B884" s="31"/>
      <c r="C884" s="36"/>
      <c r="D884" s="36"/>
      <c r="E884" s="36"/>
      <c r="F884" s="36"/>
      <c r="G884" s="36"/>
      <c r="H884" s="36"/>
      <c r="I884" s="36"/>
    </row>
    <row r="885" spans="1:9">
      <c r="A885" s="31"/>
      <c r="B885" s="31"/>
      <c r="C885" s="36"/>
      <c r="D885" s="36"/>
      <c r="E885" s="36"/>
      <c r="F885" s="36"/>
      <c r="G885" s="36"/>
      <c r="H885" s="36"/>
      <c r="I885" s="36"/>
    </row>
    <row r="886" spans="1:9">
      <c r="A886" s="31"/>
      <c r="B886" s="31"/>
      <c r="C886" s="36"/>
      <c r="D886" s="36"/>
      <c r="E886" s="36"/>
      <c r="F886" s="36"/>
      <c r="G886" s="36"/>
      <c r="H886" s="36"/>
      <c r="I886" s="36"/>
    </row>
    <row r="887" spans="1:9">
      <c r="A887" s="31"/>
      <c r="B887" s="31"/>
      <c r="C887" s="36"/>
      <c r="D887" s="36"/>
      <c r="E887" s="36"/>
      <c r="F887" s="36"/>
      <c r="G887" s="36"/>
      <c r="H887" s="36"/>
      <c r="I887" s="36"/>
    </row>
    <row r="888" spans="1:9">
      <c r="A888" s="31"/>
      <c r="B888" s="31"/>
      <c r="C888" s="36"/>
      <c r="D888" s="36"/>
      <c r="E888" s="36"/>
      <c r="F888" s="36"/>
      <c r="G888" s="36"/>
      <c r="H888" s="36"/>
      <c r="I888" s="36"/>
    </row>
    <row r="889" spans="1:9">
      <c r="A889" s="31"/>
      <c r="B889" s="31"/>
      <c r="C889" s="36"/>
      <c r="D889" s="36"/>
      <c r="E889" s="36"/>
      <c r="F889" s="36"/>
      <c r="G889" s="36"/>
      <c r="H889" s="36"/>
      <c r="I889" s="36"/>
    </row>
    <row r="890" spans="1:9">
      <c r="A890" s="31"/>
      <c r="B890" s="31"/>
      <c r="C890" s="36"/>
      <c r="D890" s="36"/>
      <c r="E890" s="36"/>
      <c r="F890" s="36"/>
      <c r="G890" s="36"/>
      <c r="H890" s="36"/>
      <c r="I890" s="36"/>
    </row>
    <row r="891" spans="1:9">
      <c r="A891" s="31"/>
      <c r="B891" s="31"/>
      <c r="C891" s="36"/>
      <c r="D891" s="36"/>
      <c r="E891" s="36"/>
      <c r="F891" s="36"/>
      <c r="G891" s="36"/>
      <c r="H891" s="36"/>
      <c r="I891" s="36"/>
    </row>
    <row r="892" spans="1:9">
      <c r="A892" s="31"/>
      <c r="B892" s="31"/>
      <c r="C892" s="36"/>
      <c r="D892" s="36"/>
      <c r="E892" s="36"/>
      <c r="F892" s="36"/>
      <c r="G892" s="36"/>
      <c r="H892" s="36"/>
      <c r="I892" s="36"/>
    </row>
    <row r="893" spans="1:9">
      <c r="A893" s="31"/>
      <c r="B893" s="31"/>
      <c r="C893" s="36"/>
      <c r="D893" s="36"/>
      <c r="E893" s="36"/>
      <c r="F893" s="36"/>
      <c r="G893" s="36"/>
      <c r="H893" s="36"/>
      <c r="I893" s="36"/>
    </row>
    <row r="894" spans="1:9">
      <c r="A894" s="31"/>
      <c r="B894" s="31"/>
      <c r="C894" s="36"/>
      <c r="D894" s="36"/>
      <c r="E894" s="36"/>
      <c r="F894" s="36"/>
      <c r="G894" s="36"/>
      <c r="H894" s="36"/>
      <c r="I894" s="36"/>
    </row>
    <row r="895" spans="1:9">
      <c r="A895" s="31"/>
      <c r="B895" s="31"/>
      <c r="C895" s="36"/>
      <c r="D895" s="36"/>
      <c r="E895" s="36"/>
      <c r="F895" s="36"/>
      <c r="G895" s="36"/>
      <c r="H895" s="36"/>
      <c r="I895" s="36"/>
    </row>
    <row r="896" spans="1:9">
      <c r="A896" s="31"/>
      <c r="B896" s="31"/>
      <c r="C896" s="36"/>
      <c r="D896" s="36"/>
      <c r="E896" s="36"/>
      <c r="F896" s="36"/>
      <c r="G896" s="36"/>
      <c r="H896" s="36"/>
      <c r="I896" s="36"/>
    </row>
    <row r="897" spans="1:9">
      <c r="A897" s="31"/>
      <c r="B897" s="31"/>
      <c r="C897" s="36"/>
      <c r="D897" s="36"/>
      <c r="E897" s="36"/>
      <c r="F897" s="36"/>
      <c r="G897" s="36"/>
      <c r="H897" s="36"/>
      <c r="I897" s="36"/>
    </row>
    <row r="898" spans="1:9">
      <c r="A898" s="31"/>
      <c r="B898" s="31"/>
      <c r="C898" s="36"/>
      <c r="D898" s="36"/>
      <c r="E898" s="36"/>
      <c r="F898" s="36"/>
      <c r="G898" s="36"/>
      <c r="H898" s="36"/>
      <c r="I898" s="36"/>
    </row>
    <row r="899" spans="1:9">
      <c r="A899" s="31"/>
      <c r="B899" s="31"/>
      <c r="C899" s="36"/>
      <c r="D899" s="36"/>
      <c r="E899" s="36"/>
      <c r="F899" s="36"/>
      <c r="G899" s="36"/>
      <c r="H899" s="36"/>
      <c r="I899" s="36"/>
    </row>
    <row r="900" spans="1:9">
      <c r="A900" s="31"/>
      <c r="B900" s="31"/>
      <c r="C900" s="36"/>
      <c r="D900" s="36"/>
      <c r="E900" s="36"/>
      <c r="F900" s="36"/>
      <c r="G900" s="36"/>
      <c r="H900" s="36"/>
      <c r="I900" s="36"/>
    </row>
    <row r="901" spans="1:9">
      <c r="A901" s="31"/>
      <c r="B901" s="31"/>
      <c r="C901" s="36"/>
      <c r="D901" s="36"/>
      <c r="E901" s="36"/>
      <c r="F901" s="36"/>
      <c r="G901" s="36"/>
      <c r="H901" s="36"/>
      <c r="I901" s="36"/>
    </row>
    <row r="902" spans="1:9">
      <c r="A902" s="31"/>
      <c r="B902" s="31"/>
      <c r="C902" s="36"/>
      <c r="D902" s="36"/>
      <c r="E902" s="36"/>
      <c r="F902" s="36"/>
      <c r="G902" s="36"/>
      <c r="H902" s="36"/>
      <c r="I902" s="36"/>
    </row>
    <row r="903" spans="1:9">
      <c r="A903" s="31"/>
      <c r="B903" s="31"/>
      <c r="C903" s="36"/>
      <c r="D903" s="36"/>
      <c r="E903" s="36"/>
      <c r="F903" s="36"/>
      <c r="G903" s="36"/>
      <c r="H903" s="36"/>
      <c r="I903" s="36"/>
    </row>
    <row r="904" spans="1:9">
      <c r="A904" s="31"/>
      <c r="B904" s="31"/>
      <c r="C904" s="36"/>
      <c r="D904" s="36"/>
      <c r="E904" s="36"/>
      <c r="F904" s="36"/>
      <c r="G904" s="36"/>
      <c r="H904" s="36"/>
      <c r="I904" s="36"/>
    </row>
    <row r="905" spans="1:9">
      <c r="A905" s="31"/>
      <c r="B905" s="31"/>
      <c r="C905" s="36"/>
      <c r="D905" s="36"/>
      <c r="E905" s="36"/>
      <c r="F905" s="36"/>
      <c r="G905" s="36"/>
      <c r="H905" s="36"/>
      <c r="I905" s="36"/>
    </row>
    <row r="906" spans="1:9">
      <c r="A906" s="31"/>
      <c r="B906" s="31"/>
      <c r="C906" s="36"/>
      <c r="D906" s="36"/>
      <c r="E906" s="36"/>
      <c r="F906" s="36"/>
      <c r="G906" s="36"/>
      <c r="H906" s="36"/>
      <c r="I906" s="36"/>
    </row>
    <row r="907" spans="1:9">
      <c r="A907" s="31"/>
      <c r="B907" s="31"/>
      <c r="C907" s="36"/>
      <c r="D907" s="36"/>
      <c r="E907" s="36"/>
      <c r="F907" s="36"/>
      <c r="G907" s="36"/>
      <c r="H907" s="36"/>
      <c r="I907" s="36"/>
    </row>
    <row r="908" spans="1:9">
      <c r="A908" s="31"/>
      <c r="B908" s="31"/>
      <c r="C908" s="36"/>
      <c r="D908" s="36"/>
      <c r="E908" s="36"/>
      <c r="F908" s="36"/>
      <c r="G908" s="36"/>
      <c r="H908" s="36"/>
      <c r="I908" s="36"/>
    </row>
    <row r="909" spans="1:9">
      <c r="A909" s="31"/>
      <c r="B909" s="31"/>
      <c r="C909" s="36"/>
      <c r="D909" s="36"/>
      <c r="E909" s="36"/>
      <c r="F909" s="36"/>
      <c r="G909" s="36"/>
      <c r="H909" s="36"/>
      <c r="I909" s="36"/>
    </row>
    <row r="910" spans="1:9">
      <c r="A910" s="31"/>
      <c r="B910" s="31"/>
      <c r="C910" s="36"/>
      <c r="D910" s="36"/>
      <c r="E910" s="36"/>
      <c r="F910" s="36"/>
      <c r="G910" s="36"/>
      <c r="H910" s="36"/>
      <c r="I910" s="36"/>
    </row>
    <row r="911" spans="1:9">
      <c r="A911" s="31"/>
      <c r="B911" s="31"/>
      <c r="C911" s="36"/>
      <c r="D911" s="36"/>
      <c r="E911" s="36"/>
      <c r="F911" s="36"/>
      <c r="G911" s="36"/>
      <c r="H911" s="36"/>
      <c r="I911" s="36"/>
    </row>
    <row r="912" spans="1:9">
      <c r="A912" s="31"/>
      <c r="B912" s="31"/>
      <c r="C912" s="36"/>
      <c r="D912" s="36"/>
      <c r="E912" s="36"/>
      <c r="F912" s="36"/>
      <c r="G912" s="36"/>
      <c r="H912" s="36"/>
      <c r="I912" s="36"/>
    </row>
    <row r="913" spans="1:9">
      <c r="A913" s="31"/>
      <c r="B913" s="31"/>
      <c r="C913" s="36"/>
      <c r="D913" s="36"/>
      <c r="E913" s="36"/>
      <c r="F913" s="36"/>
      <c r="G913" s="36"/>
      <c r="H913" s="36"/>
      <c r="I913" s="36"/>
    </row>
    <row r="914" spans="1:9">
      <c r="A914" s="31"/>
      <c r="B914" s="31"/>
      <c r="C914" s="36"/>
      <c r="D914" s="36"/>
      <c r="E914" s="36"/>
      <c r="F914" s="36"/>
      <c r="G914" s="36"/>
      <c r="H914" s="36"/>
      <c r="I914" s="36"/>
    </row>
    <row r="915" spans="1:9">
      <c r="A915" s="31"/>
      <c r="B915" s="31"/>
      <c r="C915" s="36"/>
      <c r="D915" s="36"/>
      <c r="E915" s="36"/>
      <c r="F915" s="36"/>
      <c r="G915" s="36"/>
      <c r="H915" s="36"/>
      <c r="I915" s="36"/>
    </row>
    <row r="916" spans="1:9">
      <c r="A916" s="31"/>
      <c r="B916" s="31"/>
      <c r="C916" s="36"/>
      <c r="D916" s="36"/>
      <c r="E916" s="36"/>
      <c r="F916" s="36"/>
      <c r="G916" s="36"/>
      <c r="H916" s="36"/>
      <c r="I916" s="36"/>
    </row>
    <row r="917" spans="1:9">
      <c r="A917" s="31"/>
      <c r="B917" s="31"/>
      <c r="C917" s="36"/>
      <c r="D917" s="36"/>
      <c r="E917" s="36"/>
      <c r="F917" s="36"/>
      <c r="G917" s="36"/>
      <c r="H917" s="36"/>
      <c r="I917" s="36"/>
    </row>
    <row r="918" spans="1:9">
      <c r="A918" s="31"/>
      <c r="B918" s="31"/>
      <c r="C918" s="36"/>
      <c r="D918" s="36"/>
      <c r="E918" s="36"/>
      <c r="F918" s="36"/>
      <c r="G918" s="36"/>
      <c r="H918" s="36"/>
      <c r="I918" s="36"/>
    </row>
    <row r="919" spans="1:9">
      <c r="A919" s="31"/>
      <c r="B919" s="31"/>
      <c r="C919" s="36"/>
      <c r="D919" s="36"/>
      <c r="E919" s="36"/>
      <c r="F919" s="36"/>
      <c r="G919" s="36"/>
      <c r="H919" s="36"/>
      <c r="I919" s="36"/>
    </row>
    <row r="920" spans="1:9">
      <c r="A920" s="31"/>
      <c r="B920" s="31"/>
      <c r="C920" s="36"/>
      <c r="D920" s="36"/>
      <c r="E920" s="36"/>
      <c r="F920" s="36"/>
      <c r="G920" s="36"/>
      <c r="H920" s="36"/>
      <c r="I920" s="36"/>
    </row>
    <row r="921" spans="1:9">
      <c r="A921" s="31"/>
      <c r="B921" s="31"/>
      <c r="C921" s="36"/>
      <c r="D921" s="36"/>
      <c r="E921" s="36"/>
      <c r="F921" s="36"/>
      <c r="G921" s="36"/>
      <c r="H921" s="36"/>
      <c r="I921" s="36"/>
    </row>
    <row r="922" spans="1:9">
      <c r="A922" s="31"/>
      <c r="B922" s="31"/>
      <c r="C922" s="36"/>
      <c r="D922" s="36"/>
      <c r="E922" s="36"/>
      <c r="F922" s="36"/>
      <c r="G922" s="36"/>
      <c r="H922" s="36"/>
      <c r="I922" s="36"/>
    </row>
    <row r="923" spans="1:9">
      <c r="A923" s="31"/>
      <c r="B923" s="31"/>
      <c r="C923" s="36"/>
      <c r="D923" s="36"/>
      <c r="E923" s="36"/>
      <c r="F923" s="36"/>
      <c r="G923" s="36"/>
      <c r="H923" s="36"/>
      <c r="I923" s="36"/>
    </row>
    <row r="924" spans="1:9">
      <c r="A924" s="31"/>
      <c r="B924" s="31"/>
      <c r="C924" s="36"/>
      <c r="D924" s="36"/>
      <c r="E924" s="36"/>
      <c r="F924" s="36"/>
      <c r="G924" s="36"/>
      <c r="H924" s="36"/>
      <c r="I924" s="36"/>
    </row>
    <row r="925" spans="1:9">
      <c r="A925" s="31"/>
      <c r="B925" s="31"/>
      <c r="C925" s="36"/>
      <c r="D925" s="36"/>
      <c r="E925" s="36"/>
      <c r="F925" s="36"/>
      <c r="G925" s="36"/>
      <c r="H925" s="36"/>
      <c r="I925" s="36"/>
    </row>
    <row r="926" spans="1:9">
      <c r="A926" s="31"/>
      <c r="B926" s="31"/>
      <c r="C926" s="36"/>
      <c r="D926" s="36"/>
      <c r="E926" s="36"/>
      <c r="F926" s="36"/>
      <c r="G926" s="36"/>
      <c r="H926" s="36"/>
      <c r="I926" s="36"/>
    </row>
    <row r="927" spans="1:9">
      <c r="A927" s="31"/>
      <c r="B927" s="31"/>
      <c r="C927" s="36"/>
      <c r="D927" s="36"/>
      <c r="E927" s="36"/>
      <c r="F927" s="36"/>
      <c r="G927" s="36"/>
      <c r="H927" s="36"/>
      <c r="I927" s="36"/>
    </row>
    <row r="928" spans="1:9">
      <c r="A928" s="31"/>
      <c r="B928" s="31"/>
      <c r="C928" s="36"/>
      <c r="D928" s="36"/>
      <c r="E928" s="36"/>
      <c r="F928" s="36"/>
      <c r="G928" s="36"/>
      <c r="H928" s="36"/>
      <c r="I928" s="36"/>
    </row>
    <row r="929" spans="1:9">
      <c r="A929" s="31"/>
      <c r="B929" s="31"/>
      <c r="C929" s="36"/>
      <c r="D929" s="36"/>
      <c r="E929" s="36"/>
      <c r="F929" s="36"/>
      <c r="G929" s="36"/>
      <c r="H929" s="36"/>
      <c r="I929" s="36"/>
    </row>
    <row r="930" spans="1:9">
      <c r="A930" s="31"/>
      <c r="B930" s="31"/>
      <c r="C930" s="36"/>
      <c r="D930" s="36"/>
      <c r="E930" s="36"/>
      <c r="F930" s="36"/>
      <c r="G930" s="36"/>
      <c r="H930" s="36"/>
      <c r="I930" s="36"/>
    </row>
    <row r="931" spans="1:9">
      <c r="A931" s="31"/>
      <c r="B931" s="31"/>
      <c r="C931" s="36"/>
      <c r="D931" s="36"/>
      <c r="E931" s="36"/>
      <c r="F931" s="36"/>
      <c r="G931" s="36"/>
      <c r="H931" s="36"/>
      <c r="I931" s="36"/>
    </row>
    <row r="932" spans="1:9">
      <c r="A932" s="31"/>
      <c r="B932" s="31"/>
      <c r="C932" s="36"/>
      <c r="D932" s="36"/>
      <c r="E932" s="36"/>
      <c r="F932" s="36"/>
      <c r="G932" s="36"/>
      <c r="H932" s="36"/>
      <c r="I932" s="36"/>
    </row>
    <row r="933" spans="1:9">
      <c r="A933" s="31"/>
      <c r="B933" s="31"/>
      <c r="C933" s="36"/>
      <c r="D933" s="36"/>
      <c r="E933" s="36"/>
      <c r="F933" s="36"/>
      <c r="G933" s="36"/>
      <c r="H933" s="36"/>
      <c r="I933" s="36"/>
    </row>
    <row r="934" spans="1:9">
      <c r="A934" s="31"/>
      <c r="B934" s="31"/>
      <c r="C934" s="36"/>
      <c r="D934" s="36"/>
      <c r="E934" s="36"/>
      <c r="F934" s="36"/>
      <c r="G934" s="36"/>
      <c r="H934" s="36"/>
      <c r="I934" s="36"/>
    </row>
    <row r="935" spans="1:9">
      <c r="A935" s="31"/>
      <c r="B935" s="31"/>
      <c r="C935" s="36"/>
      <c r="D935" s="36"/>
      <c r="E935" s="36"/>
      <c r="F935" s="36"/>
      <c r="G935" s="36"/>
      <c r="H935" s="36"/>
      <c r="I935" s="36"/>
    </row>
    <row r="936" spans="1:9">
      <c r="A936" s="31"/>
      <c r="B936" s="31"/>
      <c r="C936" s="36"/>
      <c r="D936" s="36"/>
      <c r="E936" s="36"/>
      <c r="F936" s="36"/>
      <c r="G936" s="36"/>
      <c r="H936" s="36"/>
      <c r="I936" s="36"/>
    </row>
    <row r="937" spans="1:9">
      <c r="A937" s="31"/>
      <c r="B937" s="31"/>
      <c r="C937" s="36"/>
      <c r="D937" s="36"/>
      <c r="E937" s="36"/>
      <c r="F937" s="36"/>
      <c r="G937" s="36"/>
      <c r="H937" s="36"/>
      <c r="I937" s="36"/>
    </row>
    <row r="938" spans="1:9">
      <c r="A938" s="31"/>
      <c r="B938" s="31"/>
      <c r="C938" s="36"/>
      <c r="D938" s="36"/>
      <c r="E938" s="36"/>
      <c r="F938" s="36"/>
      <c r="G938" s="36"/>
      <c r="H938" s="36"/>
      <c r="I938" s="36"/>
    </row>
    <row r="939" spans="1:9">
      <c r="A939" s="31"/>
      <c r="B939" s="31"/>
      <c r="C939" s="36"/>
      <c r="D939" s="36"/>
      <c r="E939" s="36"/>
      <c r="F939" s="36"/>
      <c r="G939" s="36"/>
      <c r="H939" s="36"/>
      <c r="I939" s="36"/>
    </row>
    <row r="940" spans="1:9">
      <c r="A940" s="31"/>
      <c r="B940" s="31"/>
      <c r="C940" s="36"/>
      <c r="D940" s="36"/>
      <c r="E940" s="36"/>
      <c r="F940" s="36"/>
      <c r="G940" s="36"/>
      <c r="H940" s="36"/>
      <c r="I940" s="36"/>
    </row>
    <row r="941" spans="1:9">
      <c r="A941" s="31"/>
      <c r="B941" s="31"/>
      <c r="C941" s="36"/>
      <c r="D941" s="36"/>
      <c r="E941" s="36"/>
      <c r="F941" s="36"/>
      <c r="G941" s="36"/>
      <c r="H941" s="36"/>
      <c r="I941" s="36"/>
    </row>
    <row r="942" spans="1:9">
      <c r="A942" s="31"/>
      <c r="B942" s="31"/>
      <c r="C942" s="36"/>
      <c r="D942" s="36"/>
      <c r="E942" s="36"/>
      <c r="F942" s="36"/>
      <c r="G942" s="36"/>
      <c r="H942" s="36"/>
      <c r="I942" s="36"/>
    </row>
    <row r="943" spans="1:9">
      <c r="A943" s="31"/>
      <c r="B943" s="31"/>
      <c r="C943" s="36"/>
      <c r="D943" s="36"/>
      <c r="E943" s="36"/>
      <c r="F943" s="36"/>
      <c r="G943" s="36"/>
      <c r="H943" s="36"/>
      <c r="I943" s="36"/>
    </row>
    <row r="944" spans="1:9">
      <c r="A944" s="31"/>
      <c r="B944" s="31"/>
      <c r="C944" s="36"/>
      <c r="D944" s="36"/>
      <c r="E944" s="36"/>
      <c r="F944" s="36"/>
      <c r="G944" s="36"/>
      <c r="H944" s="36"/>
      <c r="I944" s="36"/>
    </row>
    <row r="945" spans="1:9">
      <c r="A945" s="31"/>
      <c r="B945" s="31"/>
      <c r="C945" s="36"/>
      <c r="D945" s="36"/>
      <c r="E945" s="36"/>
      <c r="F945" s="36"/>
      <c r="G945" s="36"/>
      <c r="H945" s="36"/>
      <c r="I945" s="36"/>
    </row>
    <row r="946" spans="1:9">
      <c r="A946" s="31"/>
      <c r="B946" s="31"/>
      <c r="C946" s="36"/>
      <c r="D946" s="36"/>
      <c r="E946" s="36"/>
      <c r="F946" s="36"/>
      <c r="G946" s="36"/>
      <c r="H946" s="36"/>
      <c r="I946" s="36"/>
    </row>
    <row r="947" spans="1:9">
      <c r="A947" s="31"/>
      <c r="B947" s="31"/>
      <c r="C947" s="36"/>
      <c r="D947" s="36"/>
      <c r="E947" s="36"/>
      <c r="F947" s="36"/>
      <c r="G947" s="36"/>
      <c r="H947" s="36"/>
      <c r="I947" s="36"/>
    </row>
    <row r="948" spans="1:9">
      <c r="A948" s="31"/>
      <c r="B948" s="31"/>
      <c r="C948" s="36"/>
      <c r="D948" s="36"/>
      <c r="E948" s="36"/>
      <c r="F948" s="36"/>
      <c r="G948" s="36"/>
      <c r="H948" s="36"/>
      <c r="I948" s="36"/>
    </row>
    <row r="949" spans="1:9">
      <c r="A949" s="31"/>
      <c r="B949" s="31"/>
      <c r="C949" s="36"/>
      <c r="D949" s="36"/>
      <c r="E949" s="36"/>
      <c r="F949" s="36"/>
      <c r="G949" s="36"/>
      <c r="H949" s="36"/>
      <c r="I949" s="36"/>
    </row>
    <row r="950" spans="1:9">
      <c r="A950" s="31"/>
      <c r="B950" s="31"/>
      <c r="C950" s="36"/>
      <c r="D950" s="36"/>
      <c r="E950" s="36"/>
      <c r="F950" s="36"/>
      <c r="G950" s="36"/>
      <c r="H950" s="36"/>
      <c r="I950" s="36"/>
    </row>
    <row r="951" spans="1:9">
      <c r="A951" s="31"/>
      <c r="B951" s="31"/>
      <c r="C951" s="36"/>
      <c r="D951" s="36"/>
      <c r="E951" s="36"/>
      <c r="F951" s="36"/>
      <c r="G951" s="36"/>
      <c r="H951" s="36"/>
      <c r="I951" s="36"/>
    </row>
    <row r="952" spans="1:9">
      <c r="A952" s="31"/>
      <c r="B952" s="31"/>
      <c r="C952" s="36"/>
      <c r="D952" s="36"/>
      <c r="E952" s="36"/>
      <c r="F952" s="36"/>
      <c r="G952" s="36"/>
      <c r="H952" s="36"/>
      <c r="I952" s="36"/>
    </row>
    <row r="953" spans="1:9">
      <c r="A953" s="31"/>
      <c r="B953" s="31"/>
      <c r="C953" s="36"/>
      <c r="D953" s="36"/>
      <c r="E953" s="36"/>
      <c r="F953" s="36"/>
      <c r="G953" s="36"/>
      <c r="H953" s="36"/>
      <c r="I953" s="36"/>
    </row>
    <row r="954" spans="1:9">
      <c r="A954" s="31"/>
      <c r="B954" s="31"/>
      <c r="C954" s="36"/>
      <c r="D954" s="36"/>
      <c r="E954" s="36"/>
      <c r="F954" s="36"/>
      <c r="G954" s="36"/>
      <c r="H954" s="36"/>
      <c r="I954" s="36"/>
    </row>
    <row r="955" spans="1:9">
      <c r="A955" s="31"/>
      <c r="B955" s="31"/>
      <c r="C955" s="36"/>
      <c r="D955" s="36"/>
      <c r="E955" s="36"/>
      <c r="F955" s="36"/>
      <c r="G955" s="36"/>
      <c r="H955" s="36"/>
      <c r="I955" s="36"/>
    </row>
    <row r="956" spans="1:9">
      <c r="A956" s="31"/>
      <c r="B956" s="31"/>
      <c r="C956" s="36"/>
      <c r="D956" s="36"/>
      <c r="E956" s="36"/>
      <c r="F956" s="36"/>
      <c r="G956" s="36"/>
      <c r="H956" s="36"/>
      <c r="I956" s="36"/>
    </row>
    <row r="957" spans="1:9">
      <c r="A957" s="31"/>
      <c r="B957" s="31"/>
      <c r="C957" s="36"/>
      <c r="D957" s="36"/>
      <c r="E957" s="36"/>
      <c r="F957" s="36"/>
      <c r="G957" s="36"/>
      <c r="H957" s="36"/>
      <c r="I957" s="36"/>
    </row>
    <row r="958" spans="1:9">
      <c r="A958" s="31"/>
      <c r="B958" s="31"/>
      <c r="C958" s="36"/>
      <c r="D958" s="36"/>
      <c r="E958" s="36"/>
      <c r="F958" s="36"/>
      <c r="G958" s="36"/>
      <c r="H958" s="36"/>
      <c r="I958" s="36"/>
    </row>
    <row r="959" spans="1:9">
      <c r="A959" s="31"/>
      <c r="B959" s="31"/>
      <c r="C959" s="36"/>
      <c r="D959" s="36"/>
      <c r="E959" s="36"/>
      <c r="F959" s="36"/>
      <c r="G959" s="36"/>
      <c r="H959" s="36"/>
      <c r="I959" s="36"/>
    </row>
    <row r="960" spans="1:9">
      <c r="A960" s="31"/>
      <c r="B960" s="31"/>
      <c r="C960" s="36"/>
      <c r="D960" s="36"/>
      <c r="E960" s="36"/>
      <c r="F960" s="36"/>
      <c r="G960" s="36"/>
      <c r="H960" s="36"/>
      <c r="I960" s="36"/>
    </row>
    <row r="961" spans="1:9">
      <c r="A961" s="31"/>
      <c r="B961" s="31"/>
      <c r="C961" s="36"/>
      <c r="D961" s="36"/>
      <c r="E961" s="36"/>
      <c r="F961" s="36"/>
      <c r="G961" s="36"/>
      <c r="H961" s="36"/>
      <c r="I961" s="36"/>
    </row>
    <row r="962" spans="1:9">
      <c r="A962" s="31"/>
      <c r="B962" s="31"/>
      <c r="C962" s="36"/>
      <c r="D962" s="36"/>
      <c r="E962" s="36"/>
      <c r="F962" s="36"/>
      <c r="G962" s="36"/>
      <c r="H962" s="36"/>
      <c r="I962" s="36"/>
    </row>
    <row r="963" spans="1:9">
      <c r="A963" s="31"/>
      <c r="B963" s="31"/>
      <c r="C963" s="36"/>
      <c r="D963" s="36"/>
      <c r="E963" s="36"/>
      <c r="F963" s="36"/>
      <c r="G963" s="36"/>
      <c r="H963" s="36"/>
      <c r="I963" s="36"/>
    </row>
    <row r="964" spans="1:9">
      <c r="A964" s="31"/>
      <c r="B964" s="31"/>
      <c r="C964" s="36"/>
      <c r="D964" s="36"/>
      <c r="E964" s="36"/>
      <c r="F964" s="36"/>
      <c r="G964" s="36"/>
      <c r="H964" s="36"/>
      <c r="I964" s="36"/>
    </row>
    <row r="965" spans="1:9">
      <c r="A965" s="31"/>
      <c r="B965" s="31"/>
      <c r="C965" s="36"/>
      <c r="D965" s="36"/>
      <c r="E965" s="36"/>
      <c r="F965" s="36"/>
      <c r="G965" s="36"/>
      <c r="H965" s="36"/>
      <c r="I965" s="36"/>
    </row>
    <row r="966" spans="1:9">
      <c r="A966" s="31"/>
      <c r="B966" s="31"/>
      <c r="C966" s="36"/>
      <c r="D966" s="36"/>
      <c r="E966" s="36"/>
      <c r="F966" s="36"/>
      <c r="G966" s="36"/>
      <c r="H966" s="36"/>
      <c r="I966" s="36"/>
    </row>
    <row r="967" spans="1:9">
      <c r="A967" s="31"/>
      <c r="B967" s="31"/>
      <c r="C967" s="36"/>
      <c r="D967" s="36"/>
      <c r="E967" s="36"/>
      <c r="F967" s="36"/>
      <c r="G967" s="36"/>
      <c r="H967" s="36"/>
      <c r="I967" s="36"/>
    </row>
    <row r="968" spans="1:9">
      <c r="A968" s="31"/>
      <c r="B968" s="31"/>
      <c r="C968" s="36"/>
      <c r="D968" s="36"/>
      <c r="E968" s="36"/>
      <c r="F968" s="36"/>
      <c r="G968" s="36"/>
      <c r="H968" s="36"/>
      <c r="I968" s="36"/>
    </row>
    <row r="969" spans="1:9">
      <c r="A969" s="31"/>
      <c r="B969" s="31"/>
      <c r="C969" s="36"/>
      <c r="D969" s="36"/>
      <c r="E969" s="36"/>
      <c r="F969" s="36"/>
      <c r="G969" s="36"/>
      <c r="H969" s="36"/>
      <c r="I969" s="36"/>
    </row>
    <row r="970" spans="1:9">
      <c r="A970" s="31"/>
      <c r="B970" s="31"/>
      <c r="C970" s="36"/>
      <c r="D970" s="36"/>
      <c r="E970" s="36"/>
      <c r="F970" s="36"/>
      <c r="G970" s="36"/>
      <c r="H970" s="36"/>
      <c r="I970" s="36"/>
    </row>
    <row r="971" spans="1:9">
      <c r="A971" s="31"/>
      <c r="B971" s="31"/>
      <c r="C971" s="36"/>
      <c r="D971" s="36"/>
      <c r="E971" s="36"/>
      <c r="F971" s="36"/>
      <c r="G971" s="36"/>
      <c r="H971" s="36"/>
      <c r="I971" s="36"/>
    </row>
    <row r="972" spans="1:9">
      <c r="A972" s="31"/>
      <c r="B972" s="31"/>
      <c r="C972" s="36"/>
      <c r="D972" s="36"/>
      <c r="E972" s="36"/>
      <c r="F972" s="36"/>
      <c r="G972" s="36"/>
      <c r="H972" s="36"/>
      <c r="I972" s="36"/>
    </row>
    <row r="973" spans="1:9">
      <c r="A973" s="31"/>
      <c r="B973" s="31"/>
      <c r="C973" s="36"/>
      <c r="D973" s="36"/>
      <c r="E973" s="36"/>
      <c r="F973" s="36"/>
      <c r="G973" s="36"/>
      <c r="H973" s="36"/>
      <c r="I973" s="36"/>
    </row>
    <row r="974" spans="1:9">
      <c r="A974" s="31"/>
      <c r="B974" s="31"/>
      <c r="C974" s="36"/>
      <c r="D974" s="36"/>
      <c r="E974" s="36"/>
      <c r="F974" s="36"/>
      <c r="G974" s="36"/>
      <c r="H974" s="36"/>
      <c r="I974" s="36"/>
    </row>
    <row r="975" spans="1:9">
      <c r="A975" s="31"/>
      <c r="B975" s="31"/>
      <c r="C975" s="36"/>
      <c r="D975" s="36"/>
      <c r="E975" s="36"/>
      <c r="F975" s="36"/>
      <c r="G975" s="36"/>
      <c r="H975" s="36"/>
      <c r="I975" s="36"/>
    </row>
    <row r="976" spans="1:9">
      <c r="A976" s="31"/>
      <c r="B976" s="31"/>
      <c r="C976" s="36"/>
      <c r="D976" s="36"/>
      <c r="E976" s="36"/>
      <c r="F976" s="36"/>
      <c r="G976" s="36"/>
      <c r="H976" s="36"/>
      <c r="I976" s="36"/>
    </row>
    <row r="977" spans="1:9">
      <c r="A977" s="31"/>
      <c r="B977" s="31"/>
      <c r="C977" s="36"/>
      <c r="D977" s="36"/>
      <c r="E977" s="36"/>
      <c r="F977" s="36"/>
      <c r="G977" s="36"/>
      <c r="H977" s="36"/>
      <c r="I977" s="36"/>
    </row>
    <row r="978" spans="1:9">
      <c r="A978" s="31"/>
      <c r="B978" s="31"/>
      <c r="C978" s="36"/>
      <c r="D978" s="36"/>
      <c r="E978" s="36"/>
      <c r="F978" s="36"/>
      <c r="G978" s="36"/>
      <c r="H978" s="36"/>
      <c r="I978" s="36"/>
    </row>
    <row r="979" spans="1:9">
      <c r="A979" s="31"/>
      <c r="B979" s="31"/>
      <c r="C979" s="36"/>
      <c r="D979" s="36"/>
      <c r="E979" s="36"/>
      <c r="F979" s="36"/>
      <c r="G979" s="36"/>
      <c r="H979" s="36"/>
      <c r="I979" s="36"/>
    </row>
    <row r="980" spans="1:9">
      <c r="A980" s="31"/>
      <c r="B980" s="31"/>
      <c r="C980" s="36"/>
      <c r="D980" s="36"/>
      <c r="E980" s="36"/>
      <c r="F980" s="36"/>
      <c r="G980" s="36"/>
      <c r="H980" s="36"/>
      <c r="I980" s="36"/>
    </row>
    <row r="981" spans="1:9">
      <c r="A981" s="31"/>
      <c r="B981" s="31"/>
      <c r="C981" s="36"/>
      <c r="D981" s="36"/>
      <c r="E981" s="36"/>
      <c r="F981" s="36"/>
      <c r="G981" s="36"/>
      <c r="H981" s="36"/>
      <c r="I981" s="36"/>
    </row>
    <row r="982" spans="1:9">
      <c r="A982" s="31"/>
      <c r="B982" s="31"/>
      <c r="C982" s="36"/>
      <c r="D982" s="36"/>
      <c r="E982" s="36"/>
      <c r="F982" s="36"/>
      <c r="G982" s="36"/>
      <c r="H982" s="36"/>
      <c r="I982" s="36"/>
    </row>
    <row r="983" spans="1:9">
      <c r="A983" s="31"/>
      <c r="B983" s="31"/>
      <c r="C983" s="36"/>
      <c r="D983" s="36"/>
      <c r="E983" s="36"/>
      <c r="F983" s="36"/>
      <c r="G983" s="36"/>
      <c r="H983" s="36"/>
      <c r="I983" s="36"/>
    </row>
    <row r="984" spans="1:9">
      <c r="A984" s="31"/>
      <c r="B984" s="31"/>
      <c r="C984" s="36"/>
      <c r="D984" s="36"/>
      <c r="E984" s="36"/>
      <c r="F984" s="36"/>
      <c r="G984" s="36"/>
      <c r="H984" s="36"/>
      <c r="I984" s="36"/>
    </row>
    <row r="985" spans="1:9">
      <c r="A985" s="31"/>
      <c r="B985" s="31"/>
      <c r="C985" s="36"/>
      <c r="D985" s="36"/>
      <c r="E985" s="36"/>
      <c r="F985" s="36"/>
      <c r="G985" s="36"/>
      <c r="H985" s="36"/>
      <c r="I985" s="36"/>
    </row>
    <row r="986" spans="1:9">
      <c r="A986" s="31"/>
      <c r="B986" s="31"/>
      <c r="C986" s="36"/>
      <c r="D986" s="36"/>
      <c r="E986" s="36"/>
      <c r="F986" s="36"/>
      <c r="G986" s="36"/>
      <c r="H986" s="36"/>
      <c r="I986" s="36"/>
    </row>
    <row r="987" spans="1:9">
      <c r="A987" s="31"/>
      <c r="B987" s="31"/>
      <c r="C987" s="36"/>
      <c r="D987" s="36"/>
      <c r="E987" s="36"/>
      <c r="F987" s="36"/>
      <c r="G987" s="36"/>
      <c r="H987" s="36"/>
      <c r="I987" s="36"/>
    </row>
    <row r="988" spans="1:9">
      <c r="A988" s="31"/>
      <c r="B988" s="31"/>
      <c r="C988" s="36"/>
      <c r="D988" s="36"/>
      <c r="E988" s="36"/>
      <c r="F988" s="36"/>
      <c r="G988" s="36"/>
      <c r="H988" s="36"/>
      <c r="I988" s="36"/>
    </row>
    <row r="989" spans="1:9">
      <c r="A989" s="31"/>
      <c r="B989" s="31"/>
      <c r="C989" s="36"/>
      <c r="D989" s="36"/>
      <c r="E989" s="36"/>
      <c r="F989" s="36"/>
      <c r="G989" s="36"/>
      <c r="H989" s="36"/>
      <c r="I989" s="36"/>
    </row>
    <row r="990" spans="1:9">
      <c r="A990" s="31"/>
      <c r="B990" s="31"/>
      <c r="C990" s="36"/>
      <c r="D990" s="36"/>
      <c r="E990" s="36"/>
      <c r="F990" s="36"/>
      <c r="G990" s="36"/>
      <c r="H990" s="36"/>
      <c r="I990" s="36"/>
    </row>
    <row r="991" spans="1:9">
      <c r="A991" s="31"/>
      <c r="B991" s="31"/>
      <c r="C991" s="36"/>
      <c r="D991" s="36"/>
      <c r="E991" s="36"/>
      <c r="F991" s="36"/>
      <c r="G991" s="36"/>
      <c r="H991" s="36"/>
      <c r="I991" s="36"/>
    </row>
    <row r="992" spans="1:9">
      <c r="A992" s="31"/>
      <c r="B992" s="31"/>
      <c r="C992" s="36"/>
      <c r="D992" s="36"/>
      <c r="E992" s="36"/>
      <c r="F992" s="36"/>
      <c r="G992" s="36"/>
      <c r="H992" s="36"/>
      <c r="I992" s="36"/>
    </row>
    <row r="993" spans="1:9">
      <c r="A993" s="31"/>
      <c r="B993" s="31"/>
      <c r="C993" s="36"/>
      <c r="D993" s="36"/>
      <c r="E993" s="36"/>
      <c r="F993" s="36"/>
      <c r="G993" s="36"/>
      <c r="H993" s="36"/>
      <c r="I993" s="36"/>
    </row>
    <row r="994" spans="1:9">
      <c r="A994" s="31"/>
      <c r="B994" s="31"/>
      <c r="C994" s="36"/>
      <c r="D994" s="36"/>
      <c r="E994" s="36"/>
      <c r="F994" s="36"/>
      <c r="G994" s="36"/>
      <c r="H994" s="36"/>
      <c r="I994" s="36"/>
    </row>
    <row r="995" spans="1:9">
      <c r="A995" s="31"/>
      <c r="B995" s="31"/>
      <c r="C995" s="36"/>
      <c r="D995" s="36"/>
      <c r="E995" s="36"/>
      <c r="F995" s="36"/>
      <c r="G995" s="36"/>
      <c r="H995" s="36"/>
      <c r="I995" s="36"/>
    </row>
    <row r="996" spans="1:9">
      <c r="A996" s="31"/>
      <c r="B996" s="31"/>
      <c r="C996" s="36"/>
      <c r="D996" s="36"/>
      <c r="E996" s="36"/>
      <c r="F996" s="36"/>
      <c r="G996" s="36"/>
      <c r="H996" s="36"/>
      <c r="I996" s="36"/>
    </row>
    <row r="997" spans="1:9">
      <c r="A997" s="31"/>
      <c r="B997" s="31"/>
      <c r="C997" s="36"/>
      <c r="D997" s="36"/>
      <c r="E997" s="36"/>
      <c r="F997" s="36"/>
      <c r="G997" s="36"/>
      <c r="H997" s="36"/>
      <c r="I997" s="36"/>
    </row>
    <row r="998" spans="1:9">
      <c r="A998" s="31"/>
      <c r="B998" s="31"/>
      <c r="C998" s="36"/>
      <c r="D998" s="36"/>
      <c r="E998" s="36"/>
      <c r="F998" s="36"/>
      <c r="G998" s="36"/>
      <c r="H998" s="36"/>
      <c r="I998" s="36"/>
    </row>
    <row r="999" spans="1:9">
      <c r="A999" s="31"/>
      <c r="B999" s="31"/>
      <c r="C999" s="36"/>
      <c r="D999" s="36"/>
      <c r="E999" s="36"/>
      <c r="F999" s="36"/>
      <c r="G999" s="36"/>
      <c r="H999" s="36"/>
      <c r="I999" s="36"/>
    </row>
    <row r="1000" spans="1:9">
      <c r="A1000" s="31"/>
      <c r="B1000" s="31"/>
      <c r="C1000" s="36"/>
      <c r="D1000" s="36"/>
      <c r="E1000" s="36"/>
      <c r="F1000" s="36"/>
      <c r="G1000" s="36"/>
      <c r="H1000" s="36"/>
      <c r="I1000" s="36"/>
    </row>
    <row r="1001" spans="1:9">
      <c r="A1001" s="31"/>
      <c r="B1001" s="31"/>
      <c r="C1001" s="36"/>
      <c r="D1001" s="36"/>
      <c r="E1001" s="36"/>
      <c r="F1001" s="36"/>
      <c r="G1001" s="36"/>
      <c r="H1001" s="36"/>
      <c r="I1001" s="36"/>
    </row>
    <row r="1002" spans="1:9">
      <c r="A1002" s="31"/>
      <c r="B1002" s="31"/>
      <c r="C1002" s="36"/>
      <c r="D1002" s="36"/>
      <c r="E1002" s="36"/>
      <c r="F1002" s="36"/>
      <c r="G1002" s="36"/>
      <c r="H1002" s="36"/>
      <c r="I1002" s="36"/>
    </row>
    <row r="1003" spans="1:9">
      <c r="A1003" s="31"/>
      <c r="B1003" s="31"/>
      <c r="C1003" s="36"/>
      <c r="D1003" s="36"/>
      <c r="E1003" s="36"/>
      <c r="F1003" s="36"/>
      <c r="G1003" s="36"/>
      <c r="H1003" s="36"/>
      <c r="I1003" s="36"/>
    </row>
    <row r="1004" spans="1:9">
      <c r="A1004" s="31"/>
      <c r="B1004" s="31"/>
      <c r="C1004" s="36"/>
      <c r="D1004" s="36"/>
      <c r="E1004" s="36"/>
      <c r="F1004" s="36"/>
      <c r="G1004" s="36"/>
      <c r="H1004" s="36"/>
      <c r="I1004" s="36"/>
    </row>
    <row r="1005" spans="1:9">
      <c r="A1005" s="31"/>
      <c r="B1005" s="31"/>
      <c r="C1005" s="36"/>
      <c r="D1005" s="36"/>
      <c r="E1005" s="36"/>
      <c r="F1005" s="36"/>
      <c r="G1005" s="36"/>
      <c r="H1005" s="36"/>
      <c r="I1005" s="36"/>
    </row>
    <row r="1006" spans="1:9">
      <c r="A1006" s="31"/>
      <c r="B1006" s="31"/>
      <c r="C1006" s="36"/>
      <c r="D1006" s="36"/>
      <c r="E1006" s="36"/>
      <c r="F1006" s="36"/>
      <c r="G1006" s="36"/>
      <c r="H1006" s="36"/>
      <c r="I1006" s="36"/>
    </row>
    <row r="1007" spans="1:9">
      <c r="A1007" s="31"/>
      <c r="B1007" s="31"/>
      <c r="C1007" s="36"/>
      <c r="D1007" s="36"/>
      <c r="E1007" s="36"/>
      <c r="F1007" s="36"/>
      <c r="G1007" s="36"/>
      <c r="H1007" s="36"/>
      <c r="I1007" s="36"/>
    </row>
    <row r="1008" spans="1:9">
      <c r="A1008" s="31"/>
      <c r="B1008" s="31"/>
      <c r="C1008" s="36"/>
      <c r="D1008" s="36"/>
      <c r="E1008" s="36"/>
      <c r="F1008" s="36"/>
      <c r="G1008" s="36"/>
      <c r="H1008" s="36"/>
      <c r="I1008" s="36"/>
    </row>
    <row r="1009" spans="1:9">
      <c r="A1009" s="31"/>
      <c r="B1009" s="31"/>
      <c r="C1009" s="36"/>
      <c r="D1009" s="36"/>
      <c r="E1009" s="36"/>
      <c r="F1009" s="36"/>
      <c r="G1009" s="36"/>
      <c r="H1009" s="36"/>
      <c r="I1009" s="36"/>
    </row>
    <row r="1010" spans="1:9">
      <c r="A1010" s="31"/>
      <c r="B1010" s="31"/>
      <c r="C1010" s="36"/>
      <c r="D1010" s="36"/>
      <c r="E1010" s="36"/>
      <c r="F1010" s="36"/>
      <c r="G1010" s="36"/>
      <c r="H1010" s="36"/>
      <c r="I1010" s="36"/>
    </row>
    <row r="1011" spans="1:9">
      <c r="A1011" s="31"/>
      <c r="B1011" s="31"/>
      <c r="C1011" s="36"/>
      <c r="D1011" s="36"/>
      <c r="E1011" s="36"/>
      <c r="F1011" s="36"/>
      <c r="G1011" s="36"/>
      <c r="H1011" s="36"/>
      <c r="I1011" s="36"/>
    </row>
    <row r="1012" spans="1:9">
      <c r="A1012" s="31"/>
      <c r="B1012" s="31"/>
      <c r="C1012" s="36"/>
      <c r="D1012" s="36"/>
      <c r="E1012" s="36"/>
      <c r="F1012" s="36"/>
      <c r="G1012" s="36"/>
      <c r="H1012" s="36"/>
      <c r="I1012" s="36"/>
    </row>
    <row r="1013" spans="1:9">
      <c r="A1013" s="31"/>
      <c r="B1013" s="31"/>
      <c r="C1013" s="36"/>
      <c r="D1013" s="36"/>
      <c r="E1013" s="36"/>
      <c r="F1013" s="36"/>
      <c r="G1013" s="36"/>
      <c r="H1013" s="36"/>
      <c r="I1013" s="36"/>
    </row>
    <row r="1014" spans="1:9">
      <c r="A1014" s="31"/>
      <c r="B1014" s="31"/>
      <c r="C1014" s="36"/>
      <c r="D1014" s="36"/>
      <c r="E1014" s="36"/>
      <c r="F1014" s="36"/>
      <c r="G1014" s="36"/>
      <c r="H1014" s="36"/>
      <c r="I1014" s="36"/>
    </row>
    <row r="1015" spans="1:9">
      <c r="A1015" s="31"/>
      <c r="B1015" s="31"/>
      <c r="C1015" s="36"/>
      <c r="D1015" s="36"/>
      <c r="E1015" s="36"/>
      <c r="F1015" s="36"/>
      <c r="G1015" s="36"/>
      <c r="H1015" s="36"/>
      <c r="I1015" s="36"/>
    </row>
    <row r="1016" spans="1:9">
      <c r="A1016" s="31"/>
      <c r="B1016" s="31"/>
      <c r="C1016" s="36"/>
      <c r="D1016" s="36"/>
      <c r="E1016" s="36"/>
      <c r="F1016" s="36"/>
      <c r="G1016" s="36"/>
      <c r="H1016" s="36"/>
      <c r="I1016" s="36"/>
    </row>
    <row r="1017" spans="1:9">
      <c r="A1017" s="31"/>
      <c r="B1017" s="31"/>
      <c r="C1017" s="36"/>
      <c r="D1017" s="36"/>
      <c r="E1017" s="36"/>
      <c r="F1017" s="36"/>
      <c r="G1017" s="36"/>
      <c r="H1017" s="36"/>
      <c r="I1017" s="36"/>
    </row>
    <row r="1018" spans="1:9">
      <c r="A1018" s="31"/>
      <c r="B1018" s="31"/>
      <c r="C1018" s="36"/>
      <c r="D1018" s="36"/>
      <c r="E1018" s="36"/>
      <c r="F1018" s="36"/>
      <c r="G1018" s="36"/>
      <c r="H1018" s="36"/>
      <c r="I1018" s="36"/>
    </row>
    <row r="1019" spans="1:9">
      <c r="A1019" s="31"/>
      <c r="B1019" s="31"/>
      <c r="C1019" s="36"/>
      <c r="D1019" s="36"/>
      <c r="E1019" s="36"/>
      <c r="F1019" s="36"/>
      <c r="G1019" s="36"/>
      <c r="H1019" s="36"/>
      <c r="I1019" s="36"/>
    </row>
    <row r="1020" spans="1:9">
      <c r="A1020" s="31"/>
      <c r="B1020" s="31"/>
      <c r="C1020" s="36"/>
      <c r="D1020" s="36"/>
      <c r="E1020" s="36"/>
      <c r="F1020" s="36"/>
      <c r="G1020" s="36"/>
      <c r="H1020" s="36"/>
      <c r="I1020" s="36"/>
    </row>
    <row r="1021" spans="1:9">
      <c r="A1021" s="31"/>
      <c r="B1021" s="31"/>
      <c r="C1021" s="36"/>
      <c r="D1021" s="36"/>
      <c r="E1021" s="36"/>
      <c r="F1021" s="36"/>
      <c r="G1021" s="36"/>
      <c r="H1021" s="36"/>
      <c r="I1021" s="36"/>
    </row>
    <row r="1022" spans="1:9">
      <c r="A1022" s="31"/>
      <c r="B1022" s="31"/>
      <c r="C1022" s="36"/>
      <c r="D1022" s="36"/>
      <c r="E1022" s="36"/>
      <c r="F1022" s="36"/>
      <c r="G1022" s="36"/>
      <c r="H1022" s="36"/>
      <c r="I1022" s="36"/>
    </row>
    <row r="1023" spans="1:9">
      <c r="A1023" s="31"/>
      <c r="B1023" s="31"/>
      <c r="C1023" s="36"/>
      <c r="D1023" s="36"/>
      <c r="E1023" s="36"/>
      <c r="F1023" s="36"/>
      <c r="G1023" s="36"/>
      <c r="H1023" s="36"/>
      <c r="I1023" s="36"/>
    </row>
    <row r="1024" spans="1:9">
      <c r="A1024" s="31"/>
      <c r="B1024" s="31"/>
      <c r="C1024" s="36"/>
      <c r="D1024" s="36"/>
      <c r="E1024" s="36"/>
      <c r="F1024" s="36"/>
      <c r="G1024" s="36"/>
      <c r="H1024" s="36"/>
      <c r="I1024" s="36"/>
    </row>
    <row r="1025" spans="1:9">
      <c r="A1025" s="31"/>
      <c r="B1025" s="31"/>
      <c r="C1025" s="36"/>
      <c r="D1025" s="36"/>
      <c r="E1025" s="36"/>
      <c r="F1025" s="36"/>
      <c r="G1025" s="36"/>
      <c r="H1025" s="36"/>
      <c r="I1025" s="36"/>
    </row>
    <row r="1026" spans="1:9">
      <c r="A1026" s="31"/>
      <c r="B1026" s="31"/>
      <c r="C1026" s="36"/>
      <c r="D1026" s="36"/>
      <c r="E1026" s="36"/>
      <c r="F1026" s="36"/>
      <c r="G1026" s="36"/>
      <c r="H1026" s="36"/>
      <c r="I1026" s="36"/>
    </row>
    <row r="1027" spans="1:9">
      <c r="A1027" s="31"/>
      <c r="B1027" s="31"/>
      <c r="C1027" s="36"/>
      <c r="D1027" s="36"/>
      <c r="E1027" s="36"/>
      <c r="F1027" s="36"/>
      <c r="G1027" s="36"/>
      <c r="H1027" s="36"/>
      <c r="I1027" s="36"/>
    </row>
    <row r="1028" spans="1:9">
      <c r="A1028" s="31"/>
      <c r="B1028" s="31"/>
      <c r="C1028" s="36"/>
      <c r="D1028" s="36"/>
      <c r="E1028" s="36"/>
      <c r="F1028" s="36"/>
      <c r="G1028" s="36"/>
      <c r="H1028" s="36"/>
      <c r="I1028" s="36"/>
    </row>
    <row r="1029" spans="1:9">
      <c r="A1029" s="31"/>
      <c r="B1029" s="31"/>
      <c r="C1029" s="36"/>
      <c r="D1029" s="36"/>
      <c r="E1029" s="36"/>
      <c r="F1029" s="36"/>
      <c r="G1029" s="36"/>
      <c r="H1029" s="36"/>
      <c r="I1029" s="36"/>
    </row>
    <row r="1030" spans="1:9">
      <c r="A1030" s="31"/>
      <c r="B1030" s="31"/>
      <c r="C1030" s="36"/>
      <c r="D1030" s="36"/>
      <c r="E1030" s="36"/>
      <c r="F1030" s="36"/>
      <c r="G1030" s="36"/>
      <c r="H1030" s="36"/>
      <c r="I1030" s="36"/>
    </row>
    <row r="1031" spans="1:9">
      <c r="A1031" s="31"/>
      <c r="B1031" s="31"/>
      <c r="C1031" s="36"/>
      <c r="D1031" s="36"/>
      <c r="E1031" s="36"/>
      <c r="F1031" s="36"/>
      <c r="G1031" s="36"/>
      <c r="H1031" s="36"/>
      <c r="I1031" s="36"/>
    </row>
    <row r="1032" spans="1:9">
      <c r="A1032" s="31"/>
      <c r="B1032" s="31"/>
      <c r="C1032" s="36"/>
      <c r="D1032" s="36"/>
      <c r="E1032" s="36"/>
      <c r="F1032" s="36"/>
      <c r="G1032" s="36"/>
      <c r="H1032" s="36"/>
      <c r="I1032" s="36"/>
    </row>
    <row r="1033" spans="1:9">
      <c r="A1033" s="31"/>
      <c r="B1033" s="31"/>
      <c r="C1033" s="36"/>
      <c r="D1033" s="36"/>
      <c r="E1033" s="36"/>
      <c r="F1033" s="36"/>
      <c r="G1033" s="36"/>
      <c r="H1033" s="36"/>
      <c r="I1033" s="36"/>
    </row>
    <row r="1034" spans="1:9">
      <c r="A1034" s="31"/>
      <c r="B1034" s="31"/>
      <c r="C1034" s="36"/>
      <c r="D1034" s="36"/>
      <c r="E1034" s="36"/>
      <c r="F1034" s="36"/>
      <c r="G1034" s="36"/>
      <c r="H1034" s="36"/>
      <c r="I1034" s="36"/>
    </row>
    <row r="1035" spans="1:9">
      <c r="A1035" s="31"/>
      <c r="B1035" s="31"/>
      <c r="C1035" s="36"/>
      <c r="D1035" s="36"/>
      <c r="E1035" s="36"/>
      <c r="F1035" s="36"/>
      <c r="G1035" s="36"/>
      <c r="H1035" s="36"/>
      <c r="I1035" s="36"/>
    </row>
    <row r="1036" spans="1:9">
      <c r="A1036" s="31"/>
      <c r="B1036" s="31"/>
      <c r="C1036" s="36"/>
      <c r="D1036" s="36"/>
      <c r="E1036" s="36"/>
      <c r="F1036" s="36"/>
      <c r="G1036" s="36"/>
      <c r="H1036" s="36"/>
      <c r="I1036" s="36"/>
    </row>
    <row r="1037" spans="1:9">
      <c r="A1037" s="31"/>
      <c r="B1037" s="31"/>
      <c r="C1037" s="36"/>
      <c r="D1037" s="36"/>
      <c r="E1037" s="36"/>
      <c r="F1037" s="36"/>
      <c r="G1037" s="36"/>
      <c r="H1037" s="36"/>
      <c r="I1037" s="36"/>
    </row>
    <row r="1038" spans="1:9">
      <c r="A1038" s="31"/>
      <c r="B1038" s="31"/>
      <c r="C1038" s="36"/>
      <c r="D1038" s="36"/>
      <c r="E1038" s="36"/>
      <c r="F1038" s="36"/>
      <c r="G1038" s="36"/>
      <c r="H1038" s="36"/>
      <c r="I1038" s="36"/>
    </row>
    <row r="1039" spans="1:9">
      <c r="A1039" s="31"/>
      <c r="B1039" s="31"/>
      <c r="C1039" s="36"/>
      <c r="D1039" s="36"/>
      <c r="E1039" s="36"/>
      <c r="F1039" s="36"/>
      <c r="G1039" s="36"/>
      <c r="H1039" s="36"/>
      <c r="I1039" s="36"/>
    </row>
    <row r="1040" spans="1:9">
      <c r="A1040" s="31"/>
      <c r="B1040" s="31"/>
      <c r="C1040" s="36"/>
      <c r="D1040" s="36"/>
      <c r="E1040" s="36"/>
      <c r="F1040" s="36"/>
      <c r="G1040" s="36"/>
      <c r="H1040" s="36"/>
      <c r="I1040" s="36"/>
    </row>
    <row r="1041" spans="1:9">
      <c r="A1041" s="31"/>
      <c r="B1041" s="31"/>
      <c r="C1041" s="36"/>
      <c r="D1041" s="36"/>
      <c r="E1041" s="36"/>
      <c r="F1041" s="36"/>
      <c r="G1041" s="36"/>
      <c r="H1041" s="36"/>
      <c r="I1041" s="36"/>
    </row>
    <row r="1042" spans="1:9">
      <c r="A1042" s="31"/>
      <c r="B1042" s="31"/>
      <c r="C1042" s="36"/>
      <c r="D1042" s="36"/>
      <c r="E1042" s="36"/>
      <c r="F1042" s="36"/>
      <c r="G1042" s="36"/>
      <c r="H1042" s="36"/>
      <c r="I1042" s="36"/>
    </row>
    <row r="1043" spans="1:9">
      <c r="A1043" s="31"/>
      <c r="B1043" s="31"/>
      <c r="C1043" s="36"/>
      <c r="D1043" s="36"/>
      <c r="E1043" s="36"/>
      <c r="F1043" s="36"/>
      <c r="G1043" s="36"/>
      <c r="H1043" s="36"/>
      <c r="I1043" s="36"/>
    </row>
    <row r="1044" spans="1:9">
      <c r="A1044" s="31"/>
      <c r="B1044" s="31"/>
      <c r="C1044" s="36"/>
      <c r="D1044" s="36"/>
      <c r="E1044" s="36"/>
      <c r="F1044" s="36"/>
      <c r="G1044" s="36"/>
      <c r="H1044" s="36"/>
      <c r="I1044" s="36"/>
    </row>
    <row r="1045" spans="1:9">
      <c r="A1045" s="31"/>
      <c r="B1045" s="31"/>
      <c r="C1045" s="36"/>
      <c r="D1045" s="36"/>
      <c r="E1045" s="36"/>
      <c r="F1045" s="36"/>
      <c r="G1045" s="36"/>
      <c r="H1045" s="36"/>
      <c r="I1045" s="36"/>
    </row>
    <row r="1046" spans="1:9">
      <c r="A1046" s="31"/>
      <c r="B1046" s="31"/>
      <c r="C1046" s="36"/>
      <c r="D1046" s="36"/>
      <c r="E1046" s="36"/>
      <c r="F1046" s="36"/>
      <c r="G1046" s="36"/>
      <c r="H1046" s="36"/>
      <c r="I1046" s="36"/>
    </row>
    <row r="1047" spans="1:9">
      <c r="A1047" s="31"/>
      <c r="B1047" s="31"/>
      <c r="C1047" s="36"/>
      <c r="D1047" s="36"/>
      <c r="E1047" s="36"/>
      <c r="F1047" s="36"/>
      <c r="G1047" s="36"/>
      <c r="H1047" s="36"/>
      <c r="I1047" s="36"/>
    </row>
    <row r="1048" spans="1:9">
      <c r="A1048" s="31"/>
      <c r="B1048" s="31"/>
      <c r="C1048" s="36"/>
      <c r="D1048" s="36"/>
      <c r="E1048" s="36"/>
      <c r="F1048" s="36"/>
      <c r="G1048" s="36"/>
      <c r="H1048" s="36"/>
      <c r="I1048" s="36"/>
    </row>
    <row r="1049" spans="1:9">
      <c r="A1049" s="31"/>
      <c r="B1049" s="31"/>
      <c r="C1049" s="36"/>
      <c r="D1049" s="36"/>
      <c r="E1049" s="36"/>
      <c r="F1049" s="36"/>
      <c r="G1049" s="36"/>
      <c r="H1049" s="36"/>
      <c r="I1049" s="36"/>
    </row>
    <row r="1050" spans="1:9">
      <c r="A1050" s="31"/>
      <c r="B1050" s="31"/>
      <c r="C1050" s="36"/>
      <c r="D1050" s="36"/>
      <c r="E1050" s="36"/>
      <c r="F1050" s="36"/>
      <c r="G1050" s="36"/>
      <c r="H1050" s="36"/>
      <c r="I1050" s="36"/>
    </row>
    <row r="1051" spans="1:9">
      <c r="A1051" s="31"/>
      <c r="B1051" s="31"/>
      <c r="C1051" s="36"/>
      <c r="D1051" s="36"/>
      <c r="E1051" s="36"/>
      <c r="F1051" s="36"/>
      <c r="G1051" s="36"/>
      <c r="H1051" s="36"/>
      <c r="I1051" s="36"/>
    </row>
    <row r="1052" spans="1:9">
      <c r="A1052" s="31"/>
      <c r="B1052" s="31"/>
      <c r="C1052" s="36"/>
      <c r="D1052" s="36"/>
      <c r="E1052" s="36"/>
      <c r="F1052" s="36"/>
      <c r="G1052" s="36"/>
      <c r="H1052" s="36"/>
      <c r="I1052" s="36"/>
    </row>
    <row r="1053" spans="1:9">
      <c r="A1053" s="31"/>
      <c r="B1053" s="31"/>
      <c r="C1053" s="36"/>
      <c r="D1053" s="36"/>
      <c r="E1053" s="36"/>
      <c r="F1053" s="36"/>
      <c r="G1053" s="36"/>
      <c r="H1053" s="36"/>
      <c r="I1053" s="36"/>
    </row>
    <row r="1054" spans="1:9">
      <c r="A1054" s="31"/>
      <c r="B1054" s="31"/>
      <c r="C1054" s="36"/>
      <c r="D1054" s="36"/>
      <c r="E1054" s="36"/>
      <c r="F1054" s="36"/>
      <c r="G1054" s="36"/>
      <c r="H1054" s="36"/>
      <c r="I1054" s="36"/>
    </row>
    <row r="1055" spans="1:9">
      <c r="A1055" s="31"/>
      <c r="B1055" s="31"/>
      <c r="C1055" s="36"/>
      <c r="D1055" s="36"/>
      <c r="E1055" s="36"/>
      <c r="F1055" s="36"/>
      <c r="G1055" s="36"/>
      <c r="H1055" s="36"/>
      <c r="I1055" s="36"/>
    </row>
    <row r="1056" spans="1:9">
      <c r="A1056" s="31"/>
      <c r="B1056" s="31"/>
      <c r="C1056" s="36"/>
      <c r="D1056" s="36"/>
      <c r="E1056" s="36"/>
      <c r="F1056" s="36"/>
      <c r="G1056" s="36"/>
      <c r="H1056" s="36"/>
      <c r="I1056" s="36"/>
    </row>
    <row r="1057" spans="1:9">
      <c r="A1057" s="31"/>
      <c r="B1057" s="31"/>
      <c r="C1057" s="36"/>
      <c r="D1057" s="36"/>
      <c r="E1057" s="36"/>
      <c r="F1057" s="36"/>
      <c r="G1057" s="36"/>
      <c r="H1057" s="36"/>
      <c r="I1057" s="36"/>
    </row>
    <row r="1058" spans="1:9">
      <c r="A1058" s="31"/>
      <c r="B1058" s="31"/>
      <c r="C1058" s="36"/>
      <c r="D1058" s="36"/>
      <c r="E1058" s="36"/>
      <c r="F1058" s="36"/>
      <c r="G1058" s="36"/>
      <c r="H1058" s="36"/>
      <c r="I1058" s="36"/>
    </row>
    <row r="1059" spans="1:9">
      <c r="A1059" s="31"/>
      <c r="B1059" s="31"/>
      <c r="C1059" s="36"/>
      <c r="D1059" s="36"/>
      <c r="E1059" s="36"/>
      <c r="F1059" s="36"/>
      <c r="G1059" s="36"/>
      <c r="H1059" s="36"/>
      <c r="I1059" s="36"/>
    </row>
    <row r="1060" spans="1:9">
      <c r="A1060" s="31"/>
      <c r="B1060" s="31"/>
      <c r="C1060" s="36"/>
      <c r="D1060" s="36"/>
      <c r="E1060" s="36"/>
      <c r="F1060" s="36"/>
      <c r="G1060" s="36"/>
      <c r="H1060" s="36"/>
      <c r="I1060" s="36"/>
    </row>
    <row r="1061" spans="1:9">
      <c r="A1061" s="31"/>
      <c r="B1061" s="31"/>
      <c r="C1061" s="36"/>
      <c r="D1061" s="36"/>
      <c r="E1061" s="36"/>
      <c r="F1061" s="36"/>
      <c r="G1061" s="36"/>
      <c r="H1061" s="36"/>
      <c r="I1061" s="36"/>
    </row>
    <row r="1062" spans="1:9">
      <c r="A1062" s="31"/>
      <c r="B1062" s="31"/>
      <c r="C1062" s="36"/>
      <c r="D1062" s="36"/>
      <c r="E1062" s="36"/>
      <c r="F1062" s="36"/>
      <c r="G1062" s="36"/>
      <c r="H1062" s="36"/>
      <c r="I1062" s="36"/>
    </row>
    <row r="1063" spans="1:9">
      <c r="A1063" s="31"/>
      <c r="B1063" s="31"/>
      <c r="C1063" s="36"/>
      <c r="D1063" s="36"/>
      <c r="E1063" s="36"/>
      <c r="F1063" s="36"/>
      <c r="G1063" s="36"/>
      <c r="H1063" s="36"/>
      <c r="I1063" s="36"/>
    </row>
    <row r="1064" spans="1:9">
      <c r="A1064" s="31"/>
      <c r="B1064" s="31"/>
      <c r="C1064" s="36"/>
      <c r="D1064" s="36"/>
      <c r="E1064" s="36"/>
      <c r="F1064" s="36"/>
      <c r="G1064" s="36"/>
      <c r="H1064" s="36"/>
      <c r="I1064" s="36"/>
    </row>
    <row r="1065" spans="1:9">
      <c r="A1065" s="31"/>
      <c r="B1065" s="31"/>
      <c r="C1065" s="36"/>
      <c r="D1065" s="36"/>
      <c r="E1065" s="36"/>
      <c r="F1065" s="36"/>
      <c r="G1065" s="36"/>
      <c r="H1065" s="36"/>
      <c r="I1065" s="36"/>
    </row>
    <row r="1066" spans="1:9">
      <c r="A1066" s="31"/>
      <c r="B1066" s="31"/>
      <c r="C1066" s="36"/>
      <c r="D1066" s="36"/>
      <c r="E1066" s="36"/>
      <c r="F1066" s="36"/>
      <c r="G1066" s="36"/>
      <c r="H1066" s="36"/>
      <c r="I1066" s="36"/>
    </row>
    <row r="1067" spans="1:9">
      <c r="A1067" s="31"/>
      <c r="B1067" s="31"/>
      <c r="C1067" s="36"/>
      <c r="D1067" s="36"/>
      <c r="E1067" s="36"/>
      <c r="F1067" s="36"/>
      <c r="G1067" s="36"/>
      <c r="H1067" s="36"/>
      <c r="I1067" s="36"/>
    </row>
    <row r="1068" spans="1:9">
      <c r="A1068" s="31"/>
      <c r="B1068" s="31"/>
      <c r="C1068" s="36"/>
      <c r="D1068" s="36"/>
      <c r="E1068" s="36"/>
      <c r="F1068" s="36"/>
      <c r="G1068" s="36"/>
      <c r="H1068" s="36"/>
      <c r="I1068" s="36"/>
    </row>
    <row r="1069" spans="1:9">
      <c r="A1069" s="31"/>
      <c r="B1069" s="31"/>
      <c r="C1069" s="36"/>
      <c r="D1069" s="36"/>
      <c r="E1069" s="36"/>
      <c r="F1069" s="36"/>
      <c r="G1069" s="36"/>
      <c r="H1069" s="36"/>
      <c r="I1069" s="36"/>
    </row>
    <row r="1070" spans="1:9">
      <c r="A1070" s="31"/>
      <c r="B1070" s="31"/>
      <c r="C1070" s="36"/>
      <c r="D1070" s="36"/>
      <c r="E1070" s="36"/>
      <c r="F1070" s="36"/>
      <c r="G1070" s="36"/>
      <c r="H1070" s="36"/>
      <c r="I1070" s="36"/>
    </row>
    <row r="1071" spans="1:9">
      <c r="A1071" s="31"/>
      <c r="B1071" s="31"/>
      <c r="C1071" s="36"/>
      <c r="D1071" s="36"/>
      <c r="E1071" s="36"/>
      <c r="F1071" s="36"/>
      <c r="G1071" s="36"/>
      <c r="H1071" s="36"/>
      <c r="I1071" s="36"/>
    </row>
    <row r="1072" spans="1:9">
      <c r="A1072" s="31"/>
      <c r="B1072" s="31"/>
      <c r="C1072" s="36"/>
      <c r="D1072" s="36"/>
      <c r="E1072" s="36"/>
      <c r="F1072" s="36"/>
      <c r="G1072" s="36"/>
      <c r="H1072" s="36"/>
      <c r="I1072" s="36"/>
    </row>
    <row r="1073" spans="1:9">
      <c r="A1073" s="31"/>
      <c r="B1073" s="31"/>
      <c r="C1073" s="36"/>
      <c r="D1073" s="36"/>
      <c r="E1073" s="36"/>
      <c r="F1073" s="36"/>
      <c r="G1073" s="36"/>
      <c r="H1073" s="36"/>
      <c r="I1073" s="36"/>
    </row>
    <row r="1074" spans="1:9">
      <c r="A1074" s="31"/>
      <c r="B1074" s="31"/>
      <c r="C1074" s="36"/>
      <c r="D1074" s="36"/>
      <c r="E1074" s="36"/>
      <c r="F1074" s="36"/>
      <c r="G1074" s="36"/>
      <c r="H1074" s="36"/>
      <c r="I1074" s="36"/>
    </row>
    <row r="1075" spans="1:9">
      <c r="A1075" s="31"/>
      <c r="B1075" s="31"/>
      <c r="C1075" s="36"/>
      <c r="D1075" s="36"/>
      <c r="E1075" s="36"/>
      <c r="F1075" s="36"/>
      <c r="G1075" s="36"/>
      <c r="H1075" s="36"/>
      <c r="I1075" s="36"/>
    </row>
    <row r="1076" spans="1:9">
      <c r="A1076" s="31"/>
      <c r="B1076" s="31"/>
      <c r="C1076" s="36"/>
      <c r="D1076" s="36"/>
      <c r="E1076" s="36"/>
      <c r="F1076" s="36"/>
      <c r="G1076" s="36"/>
      <c r="H1076" s="36"/>
      <c r="I1076" s="36"/>
    </row>
    <row r="1077" spans="1:9">
      <c r="A1077" s="31"/>
      <c r="B1077" s="31"/>
      <c r="C1077" s="36"/>
      <c r="D1077" s="36"/>
      <c r="E1077" s="36"/>
      <c r="F1077" s="36"/>
      <c r="G1077" s="36"/>
      <c r="H1077" s="36"/>
      <c r="I1077" s="36"/>
    </row>
    <row r="1078" spans="1:9">
      <c r="A1078" s="31"/>
      <c r="B1078" s="31"/>
      <c r="C1078" s="36"/>
      <c r="D1078" s="36"/>
      <c r="E1078" s="36"/>
      <c r="F1078" s="36"/>
      <c r="G1078" s="36"/>
      <c r="H1078" s="36"/>
      <c r="I1078" s="36"/>
    </row>
    <row r="1079" spans="1:9">
      <c r="A1079" s="31"/>
      <c r="B1079" s="31"/>
      <c r="C1079" s="36"/>
      <c r="D1079" s="36"/>
      <c r="E1079" s="36"/>
      <c r="F1079" s="36"/>
      <c r="G1079" s="36"/>
      <c r="H1079" s="36"/>
      <c r="I1079" s="36"/>
    </row>
    <row r="1080" spans="1:9">
      <c r="A1080" s="31"/>
      <c r="B1080" s="31"/>
      <c r="C1080" s="36"/>
      <c r="D1080" s="36"/>
      <c r="E1080" s="36"/>
      <c r="F1080" s="36"/>
      <c r="G1080" s="36"/>
      <c r="H1080" s="36"/>
      <c r="I1080" s="36"/>
    </row>
    <row r="1081" spans="1:9">
      <c r="A1081" s="31"/>
      <c r="B1081" s="31"/>
      <c r="C1081" s="36"/>
      <c r="D1081" s="36"/>
      <c r="E1081" s="36"/>
      <c r="F1081" s="36"/>
      <c r="G1081" s="36"/>
      <c r="H1081" s="36"/>
      <c r="I1081" s="36"/>
    </row>
    <row r="1082" spans="1:9">
      <c r="A1082" s="31"/>
      <c r="B1082" s="31"/>
      <c r="C1082" s="36"/>
      <c r="D1082" s="36"/>
      <c r="E1082" s="36"/>
      <c r="F1082" s="36"/>
      <c r="G1082" s="36"/>
      <c r="H1082" s="36"/>
      <c r="I1082" s="36"/>
    </row>
    <row r="1083" spans="1:9">
      <c r="A1083" s="31"/>
      <c r="B1083" s="31"/>
      <c r="C1083" s="36"/>
      <c r="D1083" s="36"/>
      <c r="E1083" s="36"/>
      <c r="F1083" s="36"/>
      <c r="G1083" s="36"/>
      <c r="H1083" s="36"/>
      <c r="I1083" s="36"/>
    </row>
    <row r="1084" spans="1:9">
      <c r="A1084" s="31"/>
      <c r="B1084" s="31"/>
      <c r="C1084" s="36"/>
      <c r="D1084" s="36"/>
      <c r="E1084" s="36"/>
      <c r="F1084" s="36"/>
      <c r="G1084" s="36"/>
      <c r="H1084" s="36"/>
      <c r="I1084" s="36"/>
    </row>
    <row r="1085" spans="1:9">
      <c r="A1085" s="31"/>
      <c r="B1085" s="31"/>
      <c r="C1085" s="36"/>
      <c r="D1085" s="36"/>
      <c r="E1085" s="36"/>
      <c r="F1085" s="36"/>
      <c r="G1085" s="36"/>
      <c r="H1085" s="36"/>
      <c r="I1085" s="36"/>
    </row>
    <row r="1086" spans="1:9">
      <c r="A1086" s="31"/>
      <c r="B1086" s="31"/>
      <c r="C1086" s="36"/>
      <c r="D1086" s="36"/>
      <c r="E1086" s="36"/>
      <c r="F1086" s="36"/>
      <c r="G1086" s="36"/>
      <c r="H1086" s="36"/>
      <c r="I1086" s="36"/>
    </row>
    <row r="1087" spans="1:9">
      <c r="A1087" s="31"/>
      <c r="B1087" s="31"/>
      <c r="C1087" s="36"/>
      <c r="D1087" s="36"/>
      <c r="E1087" s="36"/>
      <c r="F1087" s="36"/>
      <c r="G1087" s="36"/>
      <c r="H1087" s="36"/>
      <c r="I1087" s="36"/>
    </row>
    <row r="1088" spans="1:9">
      <c r="A1088" s="31"/>
      <c r="B1088" s="31"/>
      <c r="C1088" s="36"/>
      <c r="D1088" s="36"/>
      <c r="E1088" s="36"/>
      <c r="F1088" s="36"/>
      <c r="G1088" s="36"/>
      <c r="H1088" s="36"/>
      <c r="I1088" s="36"/>
    </row>
    <row r="1089" spans="1:9">
      <c r="A1089" s="31"/>
      <c r="B1089" s="31"/>
      <c r="C1089" s="36"/>
      <c r="D1089" s="36"/>
      <c r="E1089" s="36"/>
      <c r="F1089" s="36"/>
      <c r="G1089" s="36"/>
      <c r="H1089" s="36"/>
      <c r="I1089" s="36"/>
    </row>
    <row r="1090" spans="1:9">
      <c r="A1090" s="31"/>
      <c r="B1090" s="31"/>
      <c r="C1090" s="36"/>
      <c r="D1090" s="36"/>
      <c r="E1090" s="36"/>
      <c r="F1090" s="36"/>
      <c r="G1090" s="36"/>
      <c r="H1090" s="36"/>
      <c r="I1090" s="36"/>
    </row>
    <row r="1091" spans="1:9">
      <c r="A1091" s="31"/>
      <c r="B1091" s="31"/>
      <c r="C1091" s="36"/>
      <c r="D1091" s="36"/>
      <c r="E1091" s="36"/>
      <c r="F1091" s="36"/>
      <c r="G1091" s="36"/>
      <c r="H1091" s="36"/>
      <c r="I1091" s="36"/>
    </row>
    <row r="1092" spans="1:9">
      <c r="A1092" s="31"/>
      <c r="B1092" s="31"/>
      <c r="C1092" s="36"/>
      <c r="D1092" s="36"/>
      <c r="E1092" s="36"/>
      <c r="F1092" s="36"/>
      <c r="G1092" s="36"/>
      <c r="H1092" s="36"/>
      <c r="I1092" s="36"/>
    </row>
    <row r="1093" spans="1:9">
      <c r="A1093" s="31"/>
      <c r="B1093" s="31"/>
      <c r="C1093" s="36"/>
      <c r="D1093" s="36"/>
      <c r="E1093" s="36"/>
      <c r="F1093" s="36"/>
      <c r="G1093" s="36"/>
      <c r="H1093" s="36"/>
      <c r="I1093" s="36"/>
    </row>
    <row r="1094" spans="1:9">
      <c r="A1094" s="31"/>
      <c r="B1094" s="31"/>
      <c r="C1094" s="36"/>
      <c r="D1094" s="36"/>
      <c r="E1094" s="36"/>
      <c r="F1094" s="36"/>
      <c r="G1094" s="36"/>
      <c r="H1094" s="36"/>
      <c r="I1094" s="36"/>
    </row>
    <row r="1095" spans="1:9">
      <c r="A1095" s="31"/>
      <c r="B1095" s="31"/>
      <c r="C1095" s="36"/>
      <c r="D1095" s="36"/>
      <c r="E1095" s="36"/>
      <c r="F1095" s="36"/>
      <c r="G1095" s="36"/>
      <c r="H1095" s="36"/>
      <c r="I1095" s="36"/>
    </row>
    <row r="1096" spans="1:9">
      <c r="A1096" s="31"/>
      <c r="B1096" s="31"/>
      <c r="C1096" s="36"/>
      <c r="D1096" s="36"/>
      <c r="E1096" s="36"/>
      <c r="F1096" s="36"/>
      <c r="G1096" s="36"/>
      <c r="H1096" s="36"/>
      <c r="I1096" s="36"/>
    </row>
    <row r="1097" spans="1:9">
      <c r="A1097" s="31"/>
      <c r="B1097" s="31"/>
      <c r="C1097" s="36"/>
      <c r="D1097" s="36"/>
      <c r="E1097" s="36"/>
      <c r="F1097" s="36"/>
      <c r="G1097" s="36"/>
      <c r="H1097" s="36"/>
      <c r="I1097" s="36"/>
    </row>
    <row r="1098" spans="1:9">
      <c r="A1098" s="31"/>
      <c r="B1098" s="31"/>
      <c r="C1098" s="36"/>
      <c r="D1098" s="36"/>
      <c r="E1098" s="36"/>
      <c r="F1098" s="36"/>
      <c r="G1098" s="36"/>
      <c r="H1098" s="36"/>
      <c r="I1098" s="36"/>
    </row>
    <row r="1099" spans="1:9">
      <c r="A1099" s="31"/>
      <c r="B1099" s="31"/>
      <c r="C1099" s="36"/>
      <c r="D1099" s="36"/>
      <c r="E1099" s="36"/>
      <c r="F1099" s="36"/>
      <c r="G1099" s="36"/>
      <c r="H1099" s="36"/>
      <c r="I1099" s="36"/>
    </row>
    <row r="1100" spans="1:9">
      <c r="A1100" s="31"/>
      <c r="B1100" s="31"/>
      <c r="C1100" s="36"/>
      <c r="D1100" s="36"/>
      <c r="E1100" s="36"/>
      <c r="F1100" s="36"/>
      <c r="G1100" s="36"/>
      <c r="H1100" s="36"/>
      <c r="I1100" s="36"/>
    </row>
    <row r="1101" spans="1:9">
      <c r="A1101" s="31"/>
      <c r="B1101" s="31"/>
      <c r="C1101" s="36"/>
      <c r="D1101" s="36"/>
      <c r="E1101" s="36"/>
      <c r="F1101" s="36"/>
      <c r="G1101" s="36"/>
      <c r="H1101" s="36"/>
      <c r="I1101" s="36"/>
    </row>
    <row r="1102" spans="1:9">
      <c r="A1102" s="31"/>
      <c r="B1102" s="31"/>
      <c r="C1102" s="36"/>
      <c r="D1102" s="36"/>
      <c r="E1102" s="36"/>
      <c r="F1102" s="36"/>
      <c r="G1102" s="36"/>
      <c r="H1102" s="36"/>
      <c r="I1102" s="36"/>
    </row>
    <row r="1103" spans="1:9">
      <c r="A1103" s="31"/>
      <c r="B1103" s="31"/>
      <c r="C1103" s="36"/>
      <c r="D1103" s="36"/>
      <c r="E1103" s="36"/>
      <c r="F1103" s="36"/>
      <c r="G1103" s="36"/>
      <c r="H1103" s="36"/>
      <c r="I1103" s="36"/>
    </row>
    <row r="1104" spans="1:9">
      <c r="A1104" s="31"/>
      <c r="B1104" s="31"/>
      <c r="C1104" s="36"/>
      <c r="D1104" s="36"/>
      <c r="E1104" s="36"/>
      <c r="F1104" s="36"/>
      <c r="G1104" s="36"/>
      <c r="H1104" s="36"/>
      <c r="I1104" s="36"/>
    </row>
    <row r="1105" spans="1:9">
      <c r="A1105" s="31"/>
      <c r="B1105" s="31"/>
      <c r="C1105" s="36"/>
      <c r="D1105" s="36"/>
      <c r="E1105" s="36"/>
      <c r="F1105" s="36"/>
      <c r="G1105" s="36"/>
      <c r="H1105" s="36"/>
      <c r="I1105" s="36"/>
    </row>
    <row r="1106" spans="1:9">
      <c r="A1106" s="31"/>
      <c r="B1106" s="31"/>
      <c r="C1106" s="36"/>
      <c r="D1106" s="36"/>
      <c r="E1106" s="36"/>
      <c r="F1106" s="36"/>
      <c r="G1106" s="36"/>
      <c r="H1106" s="36"/>
      <c r="I1106" s="36"/>
    </row>
    <row r="1107" spans="1:9">
      <c r="A1107" s="31"/>
      <c r="B1107" s="31"/>
      <c r="C1107" s="36"/>
      <c r="D1107" s="36"/>
      <c r="E1107" s="36"/>
      <c r="F1107" s="36"/>
      <c r="G1107" s="36"/>
      <c r="H1107" s="36"/>
      <c r="I1107" s="36"/>
    </row>
    <row r="1108" spans="1:9">
      <c r="A1108" s="31"/>
      <c r="B1108" s="31"/>
      <c r="C1108" s="36"/>
      <c r="D1108" s="36"/>
      <c r="E1108" s="36"/>
      <c r="F1108" s="36"/>
      <c r="G1108" s="36"/>
      <c r="H1108" s="36"/>
      <c r="I1108" s="36"/>
    </row>
    <row r="1109" spans="1:9">
      <c r="A1109" s="31"/>
      <c r="B1109" s="31"/>
      <c r="C1109" s="36"/>
      <c r="D1109" s="36"/>
      <c r="E1109" s="36"/>
      <c r="F1109" s="36"/>
      <c r="G1109" s="36"/>
      <c r="H1109" s="36"/>
      <c r="I1109" s="36"/>
    </row>
    <row r="1110" spans="1:9">
      <c r="A1110" s="31"/>
      <c r="B1110" s="31"/>
      <c r="C1110" s="36"/>
      <c r="D1110" s="36"/>
      <c r="E1110" s="36"/>
      <c r="F1110" s="36"/>
      <c r="G1110" s="36"/>
      <c r="H1110" s="36"/>
      <c r="I1110" s="36"/>
    </row>
    <row r="1111" spans="1:9">
      <c r="A1111" s="31"/>
      <c r="B1111" s="31"/>
      <c r="C1111" s="36"/>
      <c r="D1111" s="36"/>
      <c r="E1111" s="36"/>
      <c r="F1111" s="36"/>
      <c r="G1111" s="36"/>
      <c r="H1111" s="36"/>
      <c r="I1111" s="36"/>
    </row>
    <row r="1112" spans="1:9">
      <c r="A1112" s="31"/>
      <c r="B1112" s="31"/>
      <c r="C1112" s="36"/>
      <c r="D1112" s="36"/>
      <c r="E1112" s="36"/>
      <c r="F1112" s="36"/>
      <c r="G1112" s="36"/>
      <c r="H1112" s="36"/>
      <c r="I1112" s="36"/>
    </row>
    <row r="1113" spans="1:9">
      <c r="A1113" s="31"/>
      <c r="B1113" s="31"/>
      <c r="C1113" s="36"/>
      <c r="D1113" s="36"/>
      <c r="E1113" s="36"/>
      <c r="F1113" s="36"/>
      <c r="G1113" s="36"/>
      <c r="H1113" s="36"/>
      <c r="I1113" s="36"/>
    </row>
    <row r="1114" spans="1:9">
      <c r="A1114" s="31"/>
      <c r="B1114" s="31"/>
      <c r="C1114" s="36"/>
      <c r="D1114" s="36"/>
      <c r="E1114" s="36"/>
      <c r="F1114" s="36"/>
      <c r="G1114" s="36"/>
      <c r="H1114" s="36"/>
      <c r="I1114" s="36"/>
    </row>
    <row r="1115" spans="1:9">
      <c r="A1115" s="31"/>
      <c r="B1115" s="31"/>
      <c r="C1115" s="36"/>
      <c r="D1115" s="36"/>
      <c r="E1115" s="36"/>
      <c r="F1115" s="36"/>
      <c r="G1115" s="36"/>
      <c r="H1115" s="36"/>
      <c r="I1115" s="36"/>
    </row>
    <row r="1116" spans="1:9">
      <c r="A1116" s="31"/>
      <c r="B1116" s="31"/>
      <c r="C1116" s="36"/>
      <c r="D1116" s="36"/>
      <c r="E1116" s="36"/>
      <c r="F1116" s="36"/>
      <c r="G1116" s="36"/>
      <c r="H1116" s="36"/>
      <c r="I1116" s="36"/>
    </row>
    <row r="1117" spans="1:9">
      <c r="A1117" s="31"/>
      <c r="B1117" s="31"/>
      <c r="C1117" s="36"/>
      <c r="D1117" s="36"/>
      <c r="E1117" s="36"/>
      <c r="F1117" s="36"/>
      <c r="G1117" s="36"/>
      <c r="H1117" s="36"/>
      <c r="I1117" s="36"/>
    </row>
    <row r="1118" spans="1:9">
      <c r="A1118" s="31"/>
      <c r="B1118" s="31"/>
      <c r="C1118" s="36"/>
      <c r="D1118" s="36"/>
      <c r="E1118" s="36"/>
      <c r="F1118" s="36"/>
      <c r="G1118" s="36"/>
      <c r="H1118" s="36"/>
      <c r="I1118" s="36"/>
    </row>
    <row r="1119" spans="1:9">
      <c r="A1119" s="31"/>
      <c r="B1119" s="31"/>
      <c r="C1119" s="36"/>
      <c r="D1119" s="36"/>
      <c r="E1119" s="36"/>
      <c r="F1119" s="36"/>
      <c r="G1119" s="36"/>
      <c r="H1119" s="36"/>
      <c r="I1119" s="36"/>
    </row>
    <row r="1120" spans="1:9">
      <c r="A1120" s="31"/>
      <c r="B1120" s="31"/>
      <c r="C1120" s="36"/>
      <c r="D1120" s="36"/>
      <c r="E1120" s="36"/>
      <c r="F1120" s="36"/>
      <c r="G1120" s="36"/>
      <c r="H1120" s="36"/>
      <c r="I1120" s="36"/>
    </row>
    <row r="1121" spans="1:9">
      <c r="A1121" s="31"/>
      <c r="B1121" s="31"/>
      <c r="C1121" s="36"/>
      <c r="D1121" s="36"/>
      <c r="E1121" s="36"/>
      <c r="F1121" s="36"/>
      <c r="G1121" s="36"/>
      <c r="H1121" s="36"/>
      <c r="I1121" s="36"/>
    </row>
    <row r="1122" spans="1:9">
      <c r="A1122" s="31"/>
      <c r="B1122" s="31"/>
      <c r="C1122" s="36"/>
      <c r="D1122" s="36"/>
      <c r="E1122" s="36"/>
      <c r="F1122" s="36"/>
      <c r="G1122" s="36"/>
      <c r="H1122" s="36"/>
      <c r="I1122" s="36"/>
    </row>
    <row r="1123" spans="1:9">
      <c r="A1123" s="31"/>
      <c r="B1123" s="31"/>
      <c r="C1123" s="36"/>
      <c r="D1123" s="36"/>
      <c r="E1123" s="36"/>
      <c r="F1123" s="36"/>
      <c r="G1123" s="36"/>
      <c r="H1123" s="36"/>
      <c r="I1123" s="36"/>
    </row>
    <row r="1124" spans="1:9">
      <c r="A1124" s="31"/>
      <c r="B1124" s="31"/>
      <c r="C1124" s="36"/>
      <c r="D1124" s="36"/>
      <c r="E1124" s="36"/>
      <c r="F1124" s="36"/>
      <c r="G1124" s="36"/>
      <c r="H1124" s="36"/>
      <c r="I1124" s="36"/>
    </row>
    <row r="1125" spans="1:9">
      <c r="A1125" s="31"/>
      <c r="B1125" s="31"/>
      <c r="C1125" s="36"/>
      <c r="D1125" s="36"/>
      <c r="E1125" s="36"/>
      <c r="F1125" s="36"/>
      <c r="G1125" s="36"/>
      <c r="H1125" s="36"/>
      <c r="I1125" s="36"/>
    </row>
    <row r="1126" spans="1:9">
      <c r="A1126" s="31"/>
      <c r="B1126" s="31"/>
      <c r="C1126" s="36"/>
      <c r="D1126" s="36"/>
      <c r="E1126" s="36"/>
      <c r="F1126" s="36"/>
      <c r="G1126" s="36"/>
      <c r="H1126" s="36"/>
      <c r="I1126" s="36"/>
    </row>
    <row r="1127" spans="1:9">
      <c r="A1127" s="31"/>
      <c r="B1127" s="31"/>
      <c r="C1127" s="36"/>
      <c r="D1127" s="36"/>
      <c r="E1127" s="36"/>
      <c r="F1127" s="36"/>
      <c r="G1127" s="36"/>
      <c r="H1127" s="36"/>
      <c r="I1127" s="36"/>
    </row>
    <row r="1128" spans="1:9">
      <c r="A1128" s="31"/>
      <c r="B1128" s="31"/>
      <c r="C1128" s="36"/>
      <c r="D1128" s="36"/>
      <c r="E1128" s="36"/>
      <c r="F1128" s="36"/>
      <c r="G1128" s="36"/>
      <c r="H1128" s="36"/>
      <c r="I1128" s="36"/>
    </row>
    <row r="1129" spans="1:9">
      <c r="A1129" s="31"/>
      <c r="B1129" s="31"/>
      <c r="C1129" s="36"/>
      <c r="D1129" s="36"/>
      <c r="E1129" s="36"/>
      <c r="F1129" s="36"/>
      <c r="G1129" s="36"/>
      <c r="H1129" s="36"/>
      <c r="I1129" s="36"/>
    </row>
    <row r="1130" spans="1:9">
      <c r="A1130" s="31"/>
      <c r="B1130" s="31"/>
      <c r="C1130" s="36"/>
      <c r="D1130" s="36"/>
      <c r="E1130" s="36"/>
      <c r="F1130" s="36"/>
      <c r="G1130" s="36"/>
      <c r="H1130" s="36"/>
      <c r="I1130" s="36"/>
    </row>
    <row r="1131" spans="1:9">
      <c r="A1131" s="31"/>
      <c r="B1131" s="31"/>
      <c r="C1131" s="36"/>
      <c r="D1131" s="36"/>
      <c r="E1131" s="36"/>
      <c r="F1131" s="36"/>
      <c r="G1131" s="36"/>
      <c r="H1131" s="36"/>
      <c r="I1131" s="36"/>
    </row>
    <row r="1132" spans="1:9">
      <c r="A1132" s="31"/>
      <c r="B1132" s="31"/>
      <c r="C1132" s="36"/>
      <c r="D1132" s="36"/>
      <c r="E1132" s="36"/>
      <c r="F1132" s="36"/>
      <c r="G1132" s="36"/>
      <c r="H1132" s="36"/>
      <c r="I1132" s="36"/>
    </row>
    <row r="1133" spans="1:9">
      <c r="A1133" s="31"/>
      <c r="B1133" s="31"/>
      <c r="C1133" s="36"/>
      <c r="D1133" s="36"/>
      <c r="E1133" s="36"/>
      <c r="F1133" s="36"/>
      <c r="G1133" s="36"/>
      <c r="H1133" s="36"/>
      <c r="I1133" s="36"/>
    </row>
    <row r="1134" spans="1:9">
      <c r="A1134" s="31"/>
      <c r="B1134" s="31"/>
      <c r="C1134" s="36"/>
      <c r="D1134" s="36"/>
      <c r="E1134" s="36"/>
      <c r="F1134" s="36"/>
      <c r="G1134" s="36"/>
      <c r="H1134" s="36"/>
      <c r="I1134" s="36"/>
    </row>
    <row r="1135" spans="1:9">
      <c r="A1135" s="31"/>
      <c r="B1135" s="31"/>
      <c r="C1135" s="36"/>
      <c r="D1135" s="36"/>
      <c r="E1135" s="36"/>
      <c r="F1135" s="36"/>
      <c r="G1135" s="36"/>
      <c r="H1135" s="36"/>
      <c r="I1135" s="36"/>
    </row>
    <row r="1136" spans="1:9">
      <c r="A1136" s="31"/>
      <c r="B1136" s="31"/>
      <c r="C1136" s="36"/>
      <c r="D1136" s="36"/>
      <c r="E1136" s="36"/>
      <c r="F1136" s="36"/>
      <c r="G1136" s="36"/>
      <c r="H1136" s="36"/>
      <c r="I1136" s="36"/>
    </row>
    <row r="1137" spans="1:9">
      <c r="A1137" s="31"/>
      <c r="B1137" s="31"/>
      <c r="C1137" s="36"/>
      <c r="D1137" s="36"/>
      <c r="E1137" s="36"/>
      <c r="F1137" s="36"/>
      <c r="G1137" s="36"/>
      <c r="H1137" s="36"/>
      <c r="I1137" s="36"/>
    </row>
    <row r="1138" spans="1:9">
      <c r="A1138" s="31"/>
      <c r="B1138" s="31"/>
      <c r="C1138" s="36"/>
      <c r="D1138" s="36"/>
      <c r="E1138" s="36"/>
      <c r="F1138" s="36"/>
      <c r="G1138" s="36"/>
      <c r="H1138" s="36"/>
      <c r="I1138" s="36"/>
    </row>
    <row r="1139" spans="1:9">
      <c r="A1139" s="31"/>
      <c r="B1139" s="31"/>
      <c r="C1139" s="36"/>
      <c r="D1139" s="36"/>
      <c r="E1139" s="36"/>
      <c r="F1139" s="36"/>
      <c r="G1139" s="36"/>
      <c r="H1139" s="36"/>
      <c r="I1139" s="36"/>
    </row>
    <row r="1140" spans="1:9">
      <c r="A1140" s="31"/>
      <c r="B1140" s="31"/>
      <c r="C1140" s="36"/>
      <c r="D1140" s="36"/>
      <c r="E1140" s="36"/>
      <c r="F1140" s="36"/>
      <c r="G1140" s="36"/>
      <c r="H1140" s="36"/>
      <c r="I1140" s="36"/>
    </row>
    <row r="1141" spans="1:9">
      <c r="A1141" s="31"/>
      <c r="B1141" s="31"/>
      <c r="C1141" s="36"/>
      <c r="D1141" s="36"/>
      <c r="E1141" s="36"/>
      <c r="F1141" s="36"/>
      <c r="G1141" s="36"/>
      <c r="H1141" s="36"/>
      <c r="I1141" s="36"/>
    </row>
    <row r="1142" spans="1:9">
      <c r="A1142" s="31"/>
      <c r="B1142" s="31"/>
      <c r="C1142" s="36"/>
      <c r="D1142" s="36"/>
      <c r="E1142" s="36"/>
      <c r="F1142" s="36"/>
      <c r="G1142" s="36"/>
      <c r="H1142" s="36"/>
      <c r="I1142" s="36"/>
    </row>
    <row r="1143" spans="1:9">
      <c r="A1143" s="31"/>
      <c r="B1143" s="31"/>
      <c r="C1143" s="36"/>
      <c r="D1143" s="36"/>
      <c r="E1143" s="36"/>
      <c r="F1143" s="36"/>
      <c r="G1143" s="36"/>
      <c r="H1143" s="36"/>
      <c r="I1143" s="36"/>
    </row>
    <row r="1144" spans="1:9">
      <c r="A1144" s="31"/>
      <c r="B1144" s="31"/>
      <c r="C1144" s="36"/>
      <c r="D1144" s="36"/>
      <c r="E1144" s="36"/>
      <c r="F1144" s="36"/>
      <c r="G1144" s="36"/>
      <c r="H1144" s="36"/>
      <c r="I1144" s="36"/>
    </row>
    <row r="1145" spans="1:9">
      <c r="A1145" s="31"/>
      <c r="B1145" s="31"/>
      <c r="C1145" s="36"/>
      <c r="D1145" s="36"/>
      <c r="E1145" s="36"/>
      <c r="F1145" s="36"/>
      <c r="G1145" s="36"/>
      <c r="H1145" s="36"/>
      <c r="I1145" s="36"/>
    </row>
    <row r="1146" spans="1:9">
      <c r="A1146" s="31"/>
      <c r="B1146" s="31"/>
      <c r="C1146" s="36"/>
      <c r="D1146" s="36"/>
      <c r="E1146" s="36"/>
      <c r="F1146" s="36"/>
      <c r="G1146" s="36"/>
      <c r="H1146" s="36"/>
      <c r="I1146" s="36"/>
    </row>
    <row r="1147" spans="1:9">
      <c r="A1147" s="31"/>
      <c r="B1147" s="31"/>
      <c r="C1147" s="36"/>
      <c r="D1147" s="36"/>
      <c r="E1147" s="36"/>
      <c r="F1147" s="36"/>
      <c r="G1147" s="36"/>
      <c r="H1147" s="36"/>
      <c r="I1147" s="36"/>
    </row>
    <row r="1148" spans="1:9">
      <c r="A1148" s="31"/>
      <c r="B1148" s="31"/>
      <c r="C1148" s="36"/>
      <c r="D1148" s="36"/>
      <c r="E1148" s="36"/>
      <c r="F1148" s="36"/>
      <c r="G1148" s="36"/>
      <c r="H1148" s="36"/>
      <c r="I1148" s="36"/>
    </row>
    <row r="1149" spans="1:9">
      <c r="A1149" s="31"/>
      <c r="B1149" s="31"/>
      <c r="C1149" s="36"/>
      <c r="D1149" s="36"/>
      <c r="E1149" s="36"/>
      <c r="F1149" s="36"/>
      <c r="G1149" s="36"/>
      <c r="H1149" s="36"/>
      <c r="I1149" s="36"/>
    </row>
    <row r="1150" spans="1:9">
      <c r="A1150" s="31"/>
      <c r="B1150" s="31"/>
      <c r="C1150" s="36"/>
      <c r="D1150" s="36"/>
      <c r="E1150" s="36"/>
      <c r="F1150" s="36"/>
      <c r="G1150" s="36"/>
      <c r="H1150" s="36"/>
      <c r="I1150" s="36"/>
    </row>
    <row r="1151" spans="1:9">
      <c r="A1151" s="31"/>
      <c r="B1151" s="31"/>
      <c r="C1151" s="36"/>
      <c r="D1151" s="36"/>
      <c r="E1151" s="36"/>
      <c r="F1151" s="36"/>
      <c r="G1151" s="36"/>
      <c r="H1151" s="36"/>
      <c r="I1151" s="36"/>
    </row>
    <row r="1152" spans="1:9">
      <c r="A1152" s="31"/>
      <c r="B1152" s="31"/>
      <c r="C1152" s="36"/>
      <c r="D1152" s="36"/>
      <c r="E1152" s="36"/>
      <c r="F1152" s="36"/>
      <c r="G1152" s="36"/>
      <c r="H1152" s="36"/>
      <c r="I1152" s="36"/>
    </row>
    <row r="1153" spans="1:9">
      <c r="A1153" s="31"/>
      <c r="B1153" s="31"/>
      <c r="C1153" s="36"/>
      <c r="D1153" s="36"/>
      <c r="E1153" s="36"/>
      <c r="F1153" s="36"/>
      <c r="G1153" s="36"/>
      <c r="H1153" s="36"/>
      <c r="I1153" s="36"/>
    </row>
    <row r="1154" spans="1:9">
      <c r="A1154" s="31"/>
      <c r="B1154" s="31"/>
      <c r="C1154" s="36"/>
      <c r="D1154" s="36"/>
      <c r="E1154" s="36"/>
      <c r="F1154" s="36"/>
      <c r="G1154" s="36"/>
      <c r="H1154" s="36"/>
      <c r="I1154" s="36"/>
    </row>
    <row r="1155" spans="1:9">
      <c r="A1155" s="31"/>
      <c r="B1155" s="31"/>
      <c r="C1155" s="36"/>
      <c r="D1155" s="36"/>
      <c r="E1155" s="36"/>
      <c r="F1155" s="36"/>
      <c r="G1155" s="36"/>
      <c r="H1155" s="36"/>
      <c r="I1155" s="36"/>
    </row>
    <row r="1156" spans="1:9">
      <c r="A1156" s="31"/>
      <c r="B1156" s="31"/>
      <c r="C1156" s="36"/>
      <c r="D1156" s="36"/>
      <c r="E1156" s="36"/>
      <c r="F1156" s="36"/>
      <c r="G1156" s="36"/>
      <c r="H1156" s="36"/>
      <c r="I1156" s="36"/>
    </row>
    <row r="1157" spans="1:9">
      <c r="A1157" s="31"/>
      <c r="B1157" s="31"/>
      <c r="C1157" s="36"/>
      <c r="D1157" s="36"/>
      <c r="E1157" s="36"/>
      <c r="F1157" s="36"/>
      <c r="G1157" s="36"/>
      <c r="H1157" s="36"/>
      <c r="I1157" s="36"/>
    </row>
    <row r="1158" spans="1:9">
      <c r="A1158" s="31"/>
      <c r="B1158" s="31"/>
      <c r="C1158" s="36"/>
      <c r="D1158" s="36"/>
      <c r="E1158" s="36"/>
      <c r="F1158" s="36"/>
      <c r="G1158" s="36"/>
      <c r="H1158" s="36"/>
      <c r="I1158" s="36"/>
    </row>
    <row r="1159" spans="1:9">
      <c r="A1159" s="31"/>
      <c r="B1159" s="31"/>
      <c r="C1159" s="36"/>
      <c r="D1159" s="36"/>
      <c r="E1159" s="36"/>
      <c r="F1159" s="36"/>
      <c r="G1159" s="36"/>
      <c r="H1159" s="36"/>
      <c r="I1159" s="36"/>
    </row>
    <row r="1160" spans="1:9">
      <c r="A1160" s="31"/>
      <c r="B1160" s="31"/>
      <c r="C1160" s="36"/>
      <c r="D1160" s="36"/>
      <c r="E1160" s="36"/>
      <c r="F1160" s="36"/>
      <c r="G1160" s="36"/>
      <c r="H1160" s="36"/>
      <c r="I1160" s="36"/>
    </row>
    <row r="1161" spans="1:9">
      <c r="A1161" s="31"/>
      <c r="B1161" s="31"/>
      <c r="C1161" s="36"/>
      <c r="D1161" s="36"/>
      <c r="E1161" s="36"/>
      <c r="F1161" s="36"/>
      <c r="G1161" s="36"/>
      <c r="H1161" s="36"/>
      <c r="I1161" s="36"/>
    </row>
    <row r="1162" spans="1:9">
      <c r="A1162" s="31"/>
      <c r="B1162" s="31"/>
      <c r="C1162" s="36"/>
      <c r="D1162" s="36"/>
      <c r="E1162" s="36"/>
      <c r="F1162" s="36"/>
      <c r="G1162" s="36"/>
      <c r="H1162" s="36"/>
      <c r="I1162" s="36"/>
    </row>
    <row r="1163" spans="1:9">
      <c r="A1163" s="31"/>
      <c r="B1163" s="31"/>
      <c r="C1163" s="36"/>
      <c r="D1163" s="36"/>
      <c r="E1163" s="36"/>
      <c r="F1163" s="36"/>
      <c r="G1163" s="36"/>
      <c r="H1163" s="36"/>
      <c r="I1163" s="36"/>
    </row>
    <row r="1164" spans="1:9">
      <c r="A1164" s="31"/>
      <c r="B1164" s="31"/>
      <c r="C1164" s="36"/>
      <c r="D1164" s="36"/>
      <c r="E1164" s="36"/>
      <c r="F1164" s="36"/>
      <c r="G1164" s="36"/>
      <c r="H1164" s="36"/>
      <c r="I1164" s="36"/>
    </row>
    <row r="1165" spans="1:9">
      <c r="A1165" s="31"/>
      <c r="B1165" s="31"/>
      <c r="C1165" s="36"/>
      <c r="D1165" s="36"/>
      <c r="E1165" s="36"/>
      <c r="F1165" s="36"/>
      <c r="G1165" s="36"/>
      <c r="H1165" s="36"/>
      <c r="I1165" s="36"/>
    </row>
    <row r="1166" spans="1:9">
      <c r="A1166" s="31"/>
      <c r="B1166" s="31"/>
      <c r="C1166" s="36"/>
      <c r="D1166" s="36"/>
      <c r="E1166" s="36"/>
      <c r="F1166" s="36"/>
      <c r="G1166" s="36"/>
      <c r="H1166" s="36"/>
      <c r="I1166" s="36"/>
    </row>
    <row r="1167" spans="1:9">
      <c r="A1167" s="31"/>
      <c r="B1167" s="31"/>
      <c r="C1167" s="36"/>
      <c r="D1167" s="36"/>
      <c r="E1167" s="36"/>
      <c r="F1167" s="36"/>
      <c r="G1167" s="36"/>
      <c r="H1167" s="36"/>
      <c r="I1167" s="36"/>
    </row>
    <row r="1168" spans="1:9">
      <c r="A1168" s="31"/>
      <c r="B1168" s="31"/>
      <c r="C1168" s="36"/>
      <c r="D1168" s="36"/>
      <c r="E1168" s="36"/>
      <c r="F1168" s="36"/>
      <c r="G1168" s="36"/>
      <c r="H1168" s="36"/>
      <c r="I1168" s="36"/>
    </row>
    <row r="1169" spans="1:9">
      <c r="A1169" s="31"/>
      <c r="B1169" s="31"/>
      <c r="C1169" s="36"/>
      <c r="D1169" s="36"/>
      <c r="E1169" s="36"/>
      <c r="F1169" s="36"/>
      <c r="G1169" s="36"/>
      <c r="H1169" s="36"/>
      <c r="I1169" s="36"/>
    </row>
    <row r="1170" spans="1:9">
      <c r="A1170" s="31"/>
      <c r="B1170" s="31"/>
      <c r="C1170" s="36"/>
      <c r="D1170" s="36"/>
      <c r="E1170" s="36"/>
      <c r="F1170" s="36"/>
      <c r="G1170" s="36"/>
      <c r="H1170" s="36"/>
      <c r="I1170" s="36"/>
    </row>
    <row r="1171" spans="1:9">
      <c r="A1171" s="31"/>
      <c r="B1171" s="31"/>
      <c r="C1171" s="36"/>
      <c r="D1171" s="36"/>
      <c r="E1171" s="36"/>
      <c r="F1171" s="36"/>
      <c r="G1171" s="36"/>
      <c r="H1171" s="36"/>
      <c r="I1171" s="36"/>
    </row>
    <row r="1172" spans="1:9">
      <c r="A1172" s="31"/>
      <c r="B1172" s="31"/>
      <c r="C1172" s="36"/>
      <c r="D1172" s="36"/>
      <c r="E1172" s="36"/>
      <c r="F1172" s="36"/>
      <c r="G1172" s="36"/>
      <c r="H1172" s="36"/>
      <c r="I1172" s="36"/>
    </row>
    <row r="1173" spans="1:9">
      <c r="A1173" s="31"/>
      <c r="B1173" s="31"/>
      <c r="C1173" s="36"/>
      <c r="D1173" s="36"/>
      <c r="E1173" s="36"/>
      <c r="F1173" s="36"/>
      <c r="G1173" s="36"/>
      <c r="H1173" s="36"/>
      <c r="I1173" s="36"/>
    </row>
    <row r="1174" spans="1:9">
      <c r="A1174" s="31"/>
      <c r="B1174" s="31"/>
      <c r="C1174" s="36"/>
      <c r="D1174" s="36"/>
      <c r="E1174" s="36"/>
      <c r="F1174" s="36"/>
      <c r="G1174" s="36"/>
      <c r="H1174" s="36"/>
      <c r="I1174" s="36"/>
    </row>
    <row r="1175" spans="1:9">
      <c r="A1175" s="31"/>
      <c r="B1175" s="31"/>
      <c r="C1175" s="36"/>
      <c r="D1175" s="36"/>
      <c r="E1175" s="36"/>
      <c r="F1175" s="36"/>
      <c r="G1175" s="36"/>
      <c r="H1175" s="36"/>
      <c r="I1175" s="36"/>
    </row>
    <row r="1176" spans="1:9">
      <c r="A1176" s="31"/>
      <c r="B1176" s="31"/>
      <c r="C1176" s="36"/>
      <c r="D1176" s="36"/>
      <c r="E1176" s="36"/>
      <c r="F1176" s="36"/>
      <c r="G1176" s="36"/>
      <c r="H1176" s="36"/>
      <c r="I1176" s="36"/>
    </row>
    <row r="1177" spans="1:9">
      <c r="A1177" s="31"/>
      <c r="B1177" s="31"/>
      <c r="C1177" s="36"/>
      <c r="D1177" s="36"/>
      <c r="E1177" s="36"/>
      <c r="F1177" s="36"/>
      <c r="G1177" s="36"/>
      <c r="H1177" s="36"/>
      <c r="I1177" s="36"/>
    </row>
    <row r="1178" spans="1:9">
      <c r="A1178" s="31"/>
      <c r="B1178" s="31"/>
      <c r="C1178" s="36"/>
      <c r="D1178" s="36"/>
      <c r="E1178" s="36"/>
      <c r="F1178" s="36"/>
      <c r="G1178" s="36"/>
      <c r="H1178" s="36"/>
      <c r="I1178" s="36"/>
    </row>
    <row r="1179" spans="1:9">
      <c r="A1179" s="31"/>
      <c r="B1179" s="31"/>
      <c r="C1179" s="36"/>
      <c r="D1179" s="36"/>
      <c r="E1179" s="36"/>
      <c r="F1179" s="36"/>
      <c r="G1179" s="36"/>
      <c r="H1179" s="36"/>
      <c r="I1179" s="36"/>
    </row>
    <row r="1180" spans="1:9">
      <c r="A1180" s="31"/>
      <c r="B1180" s="31"/>
      <c r="C1180" s="36"/>
      <c r="D1180" s="36"/>
      <c r="E1180" s="36"/>
      <c r="F1180" s="36"/>
      <c r="G1180" s="36"/>
      <c r="H1180" s="36"/>
      <c r="I1180" s="36"/>
    </row>
    <row r="1181" spans="1:9">
      <c r="A1181" s="31"/>
      <c r="B1181" s="31"/>
      <c r="C1181" s="36"/>
      <c r="D1181" s="36"/>
      <c r="E1181" s="36"/>
      <c r="F1181" s="36"/>
      <c r="G1181" s="36"/>
      <c r="H1181" s="36"/>
      <c r="I1181" s="36"/>
    </row>
    <row r="1182" spans="1:9">
      <c r="A1182" s="31"/>
      <c r="B1182" s="31"/>
      <c r="C1182" s="36"/>
      <c r="D1182" s="36"/>
      <c r="E1182" s="36"/>
      <c r="F1182" s="36"/>
      <c r="G1182" s="36"/>
      <c r="H1182" s="36"/>
      <c r="I1182" s="36"/>
    </row>
    <row r="1183" spans="1:9">
      <c r="A1183" s="31"/>
      <c r="B1183" s="31"/>
      <c r="C1183" s="36"/>
      <c r="D1183" s="36"/>
      <c r="E1183" s="36"/>
      <c r="F1183" s="36"/>
      <c r="G1183" s="36"/>
      <c r="H1183" s="36"/>
      <c r="I1183" s="36"/>
    </row>
    <row r="1184" spans="1:9">
      <c r="A1184" s="31"/>
      <c r="B1184" s="31"/>
      <c r="C1184" s="36"/>
      <c r="D1184" s="36"/>
      <c r="E1184" s="36"/>
      <c r="F1184" s="36"/>
      <c r="G1184" s="36"/>
      <c r="H1184" s="36"/>
      <c r="I1184" s="36"/>
    </row>
    <row r="1185" spans="1:9">
      <c r="A1185" s="31"/>
      <c r="B1185" s="31"/>
      <c r="C1185" s="36"/>
      <c r="D1185" s="36"/>
      <c r="E1185" s="36"/>
      <c r="F1185" s="36"/>
      <c r="G1185" s="36"/>
      <c r="H1185" s="36"/>
      <c r="I1185" s="36"/>
    </row>
    <row r="1186" spans="1:9">
      <c r="A1186" s="31"/>
      <c r="B1186" s="31"/>
      <c r="C1186" s="36"/>
      <c r="D1186" s="36"/>
      <c r="E1186" s="36"/>
      <c r="F1186" s="36"/>
      <c r="G1186" s="36"/>
      <c r="H1186" s="36"/>
      <c r="I1186" s="36"/>
    </row>
    <row r="1187" spans="1:9">
      <c r="A1187" s="31"/>
      <c r="B1187" s="31"/>
      <c r="C1187" s="36"/>
      <c r="D1187" s="36"/>
      <c r="E1187" s="36"/>
      <c r="F1187" s="36"/>
      <c r="G1187" s="36"/>
      <c r="H1187" s="36"/>
      <c r="I1187" s="36"/>
    </row>
    <row r="1188" spans="1:9">
      <c r="A1188" s="31"/>
      <c r="B1188" s="31"/>
      <c r="C1188" s="36"/>
      <c r="D1188" s="36"/>
      <c r="E1188" s="36"/>
      <c r="F1188" s="36"/>
      <c r="G1188" s="36"/>
      <c r="H1188" s="36"/>
      <c r="I1188" s="36"/>
    </row>
    <row r="1189" spans="1:9">
      <c r="A1189" s="31"/>
      <c r="B1189" s="31"/>
      <c r="C1189" s="36"/>
      <c r="D1189" s="36"/>
      <c r="E1189" s="36"/>
      <c r="F1189" s="36"/>
      <c r="G1189" s="36"/>
      <c r="H1189" s="36"/>
      <c r="I1189" s="36"/>
    </row>
    <row r="1190" spans="1:9">
      <c r="A1190" s="31"/>
      <c r="B1190" s="31"/>
      <c r="C1190" s="36"/>
      <c r="D1190" s="36"/>
      <c r="E1190" s="36"/>
      <c r="F1190" s="36"/>
      <c r="G1190" s="36"/>
      <c r="H1190" s="36"/>
      <c r="I1190" s="36"/>
    </row>
    <row r="1191" spans="1:9">
      <c r="A1191" s="31"/>
      <c r="B1191" s="31"/>
      <c r="C1191" s="36"/>
      <c r="D1191" s="36"/>
      <c r="E1191" s="36"/>
      <c r="F1191" s="36"/>
      <c r="G1191" s="36"/>
      <c r="H1191" s="36"/>
      <c r="I1191" s="36"/>
    </row>
    <row r="1192" spans="1:9">
      <c r="A1192" s="31"/>
      <c r="B1192" s="31"/>
      <c r="C1192" s="36"/>
      <c r="D1192" s="36"/>
      <c r="E1192" s="36"/>
      <c r="F1192" s="36"/>
      <c r="G1192" s="36"/>
      <c r="H1192" s="36"/>
      <c r="I1192" s="36"/>
    </row>
    <row r="1193" spans="1:9">
      <c r="A1193" s="31"/>
      <c r="B1193" s="31"/>
      <c r="C1193" s="36"/>
      <c r="D1193" s="36"/>
      <c r="E1193" s="36"/>
      <c r="F1193" s="36"/>
      <c r="G1193" s="36"/>
      <c r="H1193" s="36"/>
      <c r="I1193" s="36"/>
    </row>
    <row r="1194" spans="1:9">
      <c r="A1194" s="31"/>
      <c r="B1194" s="31"/>
      <c r="C1194" s="36"/>
      <c r="D1194" s="36"/>
      <c r="E1194" s="36"/>
      <c r="F1194" s="36"/>
      <c r="G1194" s="36"/>
      <c r="H1194" s="36"/>
      <c r="I1194" s="36"/>
    </row>
    <row r="1195" spans="1:9">
      <c r="A1195" s="31"/>
      <c r="B1195" s="31"/>
      <c r="C1195" s="36"/>
      <c r="D1195" s="36"/>
      <c r="E1195" s="36"/>
      <c r="F1195" s="36"/>
      <c r="G1195" s="36"/>
      <c r="H1195" s="36"/>
      <c r="I1195" s="36"/>
    </row>
    <row r="1196" spans="1:9">
      <c r="A1196" s="31"/>
      <c r="B1196" s="31"/>
      <c r="C1196" s="36"/>
      <c r="D1196" s="36"/>
      <c r="E1196" s="36"/>
      <c r="F1196" s="36"/>
      <c r="G1196" s="36"/>
      <c r="H1196" s="36"/>
      <c r="I1196" s="36"/>
    </row>
    <row r="1197" spans="1:9">
      <c r="A1197" s="31"/>
      <c r="B1197" s="31"/>
      <c r="C1197" s="36"/>
      <c r="D1197" s="36"/>
      <c r="E1197" s="36"/>
      <c r="F1197" s="36"/>
      <c r="G1197" s="36"/>
      <c r="H1197" s="36"/>
      <c r="I1197" s="36"/>
    </row>
    <row r="1198" spans="1:9">
      <c r="A1198" s="31"/>
      <c r="B1198" s="31"/>
      <c r="C1198" s="36"/>
      <c r="D1198" s="36"/>
      <c r="E1198" s="36"/>
      <c r="F1198" s="36"/>
      <c r="G1198" s="36"/>
      <c r="H1198" s="36"/>
      <c r="I1198" s="36"/>
    </row>
    <row r="1199" spans="1:9">
      <c r="A1199" s="31"/>
      <c r="B1199" s="31"/>
      <c r="C1199" s="36"/>
      <c r="D1199" s="36"/>
      <c r="E1199" s="36"/>
      <c r="F1199" s="36"/>
      <c r="G1199" s="36"/>
      <c r="H1199" s="36"/>
      <c r="I1199" s="36"/>
    </row>
    <row r="1200" spans="1:9">
      <c r="A1200" s="31"/>
      <c r="B1200" s="31"/>
      <c r="C1200" s="36"/>
      <c r="D1200" s="36"/>
      <c r="E1200" s="36"/>
      <c r="F1200" s="36"/>
      <c r="G1200" s="36"/>
      <c r="H1200" s="36"/>
      <c r="I1200" s="36"/>
    </row>
    <row r="1201" spans="1:9">
      <c r="A1201" s="31"/>
      <c r="B1201" s="31"/>
      <c r="C1201" s="36"/>
      <c r="D1201" s="36"/>
      <c r="E1201" s="36"/>
      <c r="F1201" s="36"/>
      <c r="G1201" s="36"/>
      <c r="H1201" s="36"/>
      <c r="I1201" s="36"/>
    </row>
    <row r="1202" spans="1:9">
      <c r="A1202" s="31"/>
      <c r="B1202" s="31"/>
      <c r="C1202" s="36"/>
      <c r="D1202" s="36"/>
      <c r="E1202" s="36"/>
      <c r="F1202" s="36"/>
      <c r="G1202" s="36"/>
      <c r="H1202" s="36"/>
      <c r="I1202" s="36"/>
    </row>
    <row r="1203" spans="1:9">
      <c r="A1203" s="31"/>
      <c r="B1203" s="31"/>
      <c r="C1203" s="36"/>
      <c r="D1203" s="36"/>
      <c r="E1203" s="36"/>
      <c r="F1203" s="36"/>
      <c r="G1203" s="36"/>
      <c r="H1203" s="36"/>
      <c r="I1203" s="36"/>
    </row>
    <row r="1204" spans="1:9">
      <c r="A1204" s="31"/>
      <c r="B1204" s="31"/>
      <c r="C1204" s="36"/>
      <c r="D1204" s="36"/>
      <c r="E1204" s="36"/>
      <c r="F1204" s="36"/>
      <c r="G1204" s="36"/>
      <c r="H1204" s="36"/>
      <c r="I1204" s="36"/>
    </row>
    <row r="1205" spans="1:9">
      <c r="A1205" s="31"/>
      <c r="B1205" s="31"/>
      <c r="C1205" s="36"/>
      <c r="D1205" s="36"/>
      <c r="E1205" s="36"/>
      <c r="F1205" s="36"/>
      <c r="G1205" s="36"/>
      <c r="H1205" s="36"/>
      <c r="I1205" s="36"/>
    </row>
    <row r="1206" spans="1:9">
      <c r="A1206" s="31"/>
      <c r="B1206" s="31"/>
      <c r="C1206" s="36"/>
      <c r="D1206" s="36"/>
      <c r="E1206" s="36"/>
      <c r="F1206" s="36"/>
      <c r="G1206" s="36"/>
      <c r="H1206" s="36"/>
      <c r="I1206" s="36"/>
    </row>
    <row r="1207" spans="1:9">
      <c r="A1207" s="31"/>
      <c r="B1207" s="31"/>
      <c r="C1207" s="36"/>
      <c r="D1207" s="36"/>
      <c r="E1207" s="36"/>
      <c r="F1207" s="36"/>
      <c r="G1207" s="36"/>
      <c r="H1207" s="36"/>
      <c r="I1207" s="36"/>
    </row>
    <row r="1208" spans="1:9">
      <c r="A1208" s="31"/>
      <c r="B1208" s="31"/>
      <c r="C1208" s="36"/>
      <c r="D1208" s="36"/>
      <c r="E1208" s="36"/>
      <c r="F1208" s="36"/>
      <c r="G1208" s="36"/>
      <c r="H1208" s="36"/>
      <c r="I1208" s="36"/>
    </row>
    <row r="1209" spans="1:9">
      <c r="A1209" s="31"/>
      <c r="B1209" s="31"/>
      <c r="C1209" s="36"/>
      <c r="D1209" s="36"/>
      <c r="E1209" s="36"/>
      <c r="F1209" s="36"/>
      <c r="G1209" s="36"/>
      <c r="H1209" s="36"/>
      <c r="I1209" s="36"/>
    </row>
    <row r="1210" spans="1:9">
      <c r="A1210" s="31"/>
      <c r="B1210" s="31"/>
      <c r="C1210" s="36"/>
      <c r="D1210" s="36"/>
      <c r="E1210" s="36"/>
      <c r="F1210" s="36"/>
      <c r="G1210" s="36"/>
      <c r="H1210" s="36"/>
      <c r="I1210" s="36"/>
    </row>
    <row r="1211" spans="1:9">
      <c r="A1211" s="31"/>
      <c r="B1211" s="31"/>
      <c r="C1211" s="36"/>
      <c r="D1211" s="36"/>
      <c r="E1211" s="36"/>
      <c r="F1211" s="36"/>
      <c r="G1211" s="36"/>
      <c r="H1211" s="36"/>
      <c r="I1211" s="36"/>
    </row>
    <row r="1212" spans="1:9">
      <c r="A1212" s="31"/>
      <c r="B1212" s="31"/>
      <c r="C1212" s="36"/>
      <c r="D1212" s="36"/>
      <c r="E1212" s="36"/>
      <c r="F1212" s="36"/>
      <c r="G1212" s="36"/>
      <c r="H1212" s="36"/>
      <c r="I1212" s="36"/>
    </row>
    <row r="1213" spans="1:9">
      <c r="A1213" s="31"/>
      <c r="B1213" s="31"/>
      <c r="C1213" s="36"/>
      <c r="D1213" s="36"/>
      <c r="E1213" s="36"/>
      <c r="F1213" s="36"/>
      <c r="G1213" s="36"/>
      <c r="H1213" s="36"/>
      <c r="I1213" s="36"/>
    </row>
    <row r="1214" spans="1:9">
      <c r="A1214" s="31"/>
      <c r="B1214" s="31"/>
      <c r="C1214" s="36"/>
      <c r="D1214" s="36"/>
      <c r="E1214" s="36"/>
      <c r="F1214" s="36"/>
      <c r="G1214" s="36"/>
      <c r="H1214" s="36"/>
      <c r="I1214" s="36"/>
    </row>
    <row r="1215" spans="1:9">
      <c r="A1215" s="31"/>
      <c r="B1215" s="31"/>
      <c r="C1215" s="36"/>
      <c r="D1215" s="36"/>
      <c r="E1215" s="36"/>
      <c r="F1215" s="36"/>
      <c r="G1215" s="36"/>
      <c r="H1215" s="36"/>
      <c r="I1215" s="36"/>
    </row>
    <row r="1216" spans="1:9">
      <c r="A1216" s="31"/>
      <c r="B1216" s="31"/>
      <c r="C1216" s="36"/>
      <c r="D1216" s="36"/>
      <c r="E1216" s="36"/>
      <c r="F1216" s="36"/>
      <c r="G1216" s="36"/>
      <c r="H1216" s="36"/>
      <c r="I1216" s="36"/>
    </row>
    <row r="1217" spans="1:9">
      <c r="A1217" s="31"/>
      <c r="B1217" s="31"/>
      <c r="C1217" s="36"/>
      <c r="D1217" s="36"/>
      <c r="E1217" s="36"/>
      <c r="F1217" s="36"/>
      <c r="G1217" s="36"/>
      <c r="H1217" s="36"/>
      <c r="I1217" s="36"/>
    </row>
    <row r="1218" spans="1:9">
      <c r="A1218" s="31"/>
      <c r="B1218" s="31"/>
      <c r="C1218" s="36"/>
      <c r="D1218" s="36"/>
      <c r="E1218" s="36"/>
      <c r="F1218" s="36"/>
      <c r="G1218" s="36"/>
      <c r="H1218" s="36"/>
      <c r="I1218" s="36"/>
    </row>
    <row r="1219" spans="1:9">
      <c r="A1219" s="31"/>
      <c r="B1219" s="31"/>
      <c r="C1219" s="36"/>
      <c r="D1219" s="36"/>
      <c r="E1219" s="36"/>
      <c r="F1219" s="36"/>
      <c r="G1219" s="36"/>
      <c r="H1219" s="36"/>
      <c r="I1219" s="36"/>
    </row>
    <row r="1220" spans="1:9">
      <c r="A1220" s="31"/>
      <c r="B1220" s="31"/>
      <c r="C1220" s="36"/>
      <c r="D1220" s="36"/>
      <c r="E1220" s="36"/>
      <c r="F1220" s="36"/>
      <c r="G1220" s="36"/>
      <c r="H1220" s="36"/>
      <c r="I1220" s="36"/>
    </row>
    <row r="1221" spans="1:9">
      <c r="A1221" s="31"/>
      <c r="B1221" s="31"/>
      <c r="C1221" s="36"/>
      <c r="D1221" s="36"/>
      <c r="E1221" s="36"/>
      <c r="F1221" s="36"/>
      <c r="G1221" s="36"/>
      <c r="H1221" s="36"/>
      <c r="I1221" s="36"/>
    </row>
    <row r="1222" spans="1:9">
      <c r="A1222" s="31"/>
      <c r="B1222" s="31"/>
      <c r="C1222" s="36"/>
      <c r="D1222" s="36"/>
      <c r="E1222" s="36"/>
      <c r="F1222" s="36"/>
      <c r="G1222" s="36"/>
      <c r="H1222" s="36"/>
      <c r="I1222" s="36"/>
    </row>
    <row r="1223" spans="1:9">
      <c r="A1223" s="31"/>
      <c r="B1223" s="31"/>
      <c r="C1223" s="36"/>
      <c r="D1223" s="36"/>
      <c r="E1223" s="36"/>
      <c r="F1223" s="36"/>
      <c r="G1223" s="36"/>
      <c r="H1223" s="36"/>
      <c r="I1223" s="36"/>
    </row>
    <row r="1224" spans="1:9">
      <c r="A1224" s="31"/>
      <c r="B1224" s="31"/>
      <c r="C1224" s="36"/>
      <c r="D1224" s="36"/>
      <c r="E1224" s="36"/>
      <c r="F1224" s="36"/>
      <c r="G1224" s="36"/>
      <c r="H1224" s="36"/>
      <c r="I1224" s="36"/>
    </row>
    <row r="1225" spans="1:9">
      <c r="A1225" s="31"/>
      <c r="B1225" s="31"/>
      <c r="C1225" s="36"/>
      <c r="D1225" s="36"/>
      <c r="E1225" s="36"/>
      <c r="F1225" s="36"/>
      <c r="G1225" s="36"/>
      <c r="H1225" s="36"/>
      <c r="I1225" s="36"/>
    </row>
    <row r="1226" spans="1:9">
      <c r="A1226" s="31"/>
      <c r="B1226" s="31"/>
      <c r="C1226" s="36"/>
      <c r="D1226" s="36"/>
      <c r="E1226" s="36"/>
      <c r="F1226" s="36"/>
      <c r="G1226" s="36"/>
      <c r="H1226" s="36"/>
      <c r="I1226" s="36"/>
    </row>
    <row r="1227" spans="1:9">
      <c r="A1227" s="31"/>
      <c r="B1227" s="31"/>
      <c r="C1227" s="36"/>
      <c r="D1227" s="36"/>
      <c r="E1227" s="36"/>
      <c r="F1227" s="36"/>
      <c r="G1227" s="36"/>
      <c r="H1227" s="36"/>
      <c r="I1227" s="36"/>
    </row>
    <row r="1228" spans="1:9">
      <c r="A1228" s="31"/>
      <c r="B1228" s="31"/>
      <c r="C1228" s="36"/>
      <c r="D1228" s="36"/>
      <c r="E1228" s="36"/>
      <c r="F1228" s="36"/>
      <c r="G1228" s="36"/>
      <c r="H1228" s="36"/>
      <c r="I1228" s="36"/>
    </row>
    <row r="1229" spans="1:9">
      <c r="A1229" s="31"/>
      <c r="B1229" s="31"/>
      <c r="C1229" s="36"/>
      <c r="D1229" s="36"/>
      <c r="E1229" s="36"/>
      <c r="F1229" s="36"/>
      <c r="G1229" s="36"/>
      <c r="H1229" s="36"/>
      <c r="I1229" s="36"/>
    </row>
    <row r="1230" spans="1:9">
      <c r="A1230" s="31"/>
      <c r="B1230" s="31"/>
      <c r="C1230" s="36"/>
      <c r="D1230" s="36"/>
      <c r="E1230" s="36"/>
      <c r="F1230" s="36"/>
      <c r="G1230" s="36"/>
      <c r="H1230" s="36"/>
      <c r="I1230" s="36"/>
    </row>
    <row r="1231" spans="1:9">
      <c r="A1231" s="31"/>
      <c r="B1231" s="31"/>
      <c r="C1231" s="36"/>
      <c r="D1231" s="36"/>
      <c r="E1231" s="36"/>
      <c r="F1231" s="36"/>
      <c r="G1231" s="36"/>
      <c r="H1231" s="36"/>
      <c r="I1231" s="36"/>
    </row>
    <row r="1232" spans="1:9">
      <c r="A1232" s="31"/>
      <c r="B1232" s="31"/>
      <c r="C1232" s="36"/>
      <c r="D1232" s="36"/>
      <c r="E1232" s="36"/>
      <c r="F1232" s="36"/>
      <c r="G1232" s="36"/>
      <c r="H1232" s="36"/>
      <c r="I1232" s="36"/>
    </row>
    <row r="1233" spans="1:9">
      <c r="A1233" s="31"/>
      <c r="B1233" s="31"/>
      <c r="C1233" s="36"/>
      <c r="D1233" s="36"/>
      <c r="E1233" s="36"/>
      <c r="F1233" s="36"/>
      <c r="G1233" s="36"/>
      <c r="H1233" s="36"/>
      <c r="I1233" s="36"/>
    </row>
    <row r="1234" spans="1:9">
      <c r="A1234" s="31"/>
      <c r="B1234" s="31"/>
      <c r="C1234" s="36"/>
      <c r="D1234" s="36"/>
      <c r="E1234" s="36"/>
      <c r="F1234" s="36"/>
      <c r="G1234" s="36"/>
      <c r="H1234" s="36"/>
      <c r="I1234" s="36"/>
    </row>
    <row r="1235" spans="1:9">
      <c r="A1235" s="31"/>
      <c r="B1235" s="31"/>
      <c r="C1235" s="36"/>
      <c r="D1235" s="36"/>
      <c r="E1235" s="36"/>
      <c r="F1235" s="36"/>
      <c r="G1235" s="36"/>
      <c r="H1235" s="36"/>
      <c r="I1235" s="36"/>
    </row>
    <row r="1236" spans="1:9">
      <c r="A1236" s="31"/>
      <c r="B1236" s="31"/>
      <c r="C1236" s="36"/>
      <c r="D1236" s="36"/>
      <c r="E1236" s="36"/>
      <c r="F1236" s="36"/>
      <c r="G1236" s="36"/>
      <c r="H1236" s="36"/>
      <c r="I1236" s="36"/>
    </row>
    <row r="1237" spans="1:9">
      <c r="A1237" s="31"/>
      <c r="B1237" s="31"/>
      <c r="C1237" s="36"/>
      <c r="D1237" s="36"/>
      <c r="E1237" s="36"/>
      <c r="F1237" s="36"/>
      <c r="G1237" s="36"/>
      <c r="H1237" s="36"/>
      <c r="I1237" s="36"/>
    </row>
    <row r="1238" spans="1:9">
      <c r="A1238" s="31"/>
      <c r="B1238" s="31"/>
      <c r="C1238" s="36"/>
      <c r="D1238" s="36"/>
      <c r="E1238" s="36"/>
      <c r="F1238" s="36"/>
      <c r="G1238" s="36"/>
      <c r="H1238" s="36"/>
      <c r="I1238" s="36"/>
    </row>
    <row r="1239" spans="1:9">
      <c r="A1239" s="31"/>
      <c r="B1239" s="31"/>
      <c r="C1239" s="36"/>
      <c r="D1239" s="36"/>
      <c r="E1239" s="36"/>
      <c r="F1239" s="36"/>
      <c r="G1239" s="36"/>
      <c r="H1239" s="36"/>
      <c r="I1239" s="36"/>
    </row>
    <row r="1240" spans="1:9">
      <c r="A1240" s="31"/>
      <c r="B1240" s="31"/>
      <c r="C1240" s="36"/>
      <c r="D1240" s="36"/>
      <c r="E1240" s="36"/>
      <c r="F1240" s="36"/>
      <c r="G1240" s="36"/>
      <c r="H1240" s="36"/>
      <c r="I1240" s="36"/>
    </row>
    <row r="1241" spans="1:9">
      <c r="A1241" s="31"/>
      <c r="B1241" s="31"/>
      <c r="C1241" s="36"/>
      <c r="D1241" s="36"/>
      <c r="E1241" s="36"/>
      <c r="F1241" s="36"/>
      <c r="G1241" s="36"/>
      <c r="H1241" s="36"/>
      <c r="I1241" s="36"/>
    </row>
    <row r="1242" spans="1:9">
      <c r="A1242" s="31"/>
      <c r="B1242" s="31"/>
      <c r="C1242" s="36"/>
      <c r="D1242" s="36"/>
      <c r="E1242" s="36"/>
      <c r="F1242" s="36"/>
      <c r="G1242" s="36"/>
      <c r="H1242" s="36"/>
      <c r="I1242" s="36"/>
    </row>
    <row r="1243" spans="1:9">
      <c r="A1243" s="31"/>
      <c r="B1243" s="31"/>
      <c r="C1243" s="36"/>
      <c r="D1243" s="36"/>
      <c r="E1243" s="36"/>
      <c r="F1243" s="36"/>
      <c r="G1243" s="36"/>
      <c r="H1243" s="36"/>
      <c r="I1243" s="36"/>
    </row>
    <row r="1244" spans="1:9">
      <c r="A1244" s="31"/>
      <c r="B1244" s="31"/>
      <c r="C1244" s="36"/>
      <c r="D1244" s="36"/>
      <c r="E1244" s="36"/>
      <c r="F1244" s="36"/>
      <c r="G1244" s="36"/>
      <c r="H1244" s="36"/>
      <c r="I1244" s="36"/>
    </row>
    <row r="1245" spans="1:9">
      <c r="A1245" s="31"/>
      <c r="B1245" s="31"/>
      <c r="C1245" s="36"/>
      <c r="D1245" s="36"/>
      <c r="E1245" s="36"/>
      <c r="F1245" s="36"/>
      <c r="G1245" s="36"/>
      <c r="H1245" s="36"/>
      <c r="I1245" s="36"/>
    </row>
    <row r="1246" spans="1:9">
      <c r="A1246" s="31"/>
      <c r="B1246" s="31"/>
      <c r="C1246" s="36"/>
      <c r="D1246" s="36"/>
      <c r="E1246" s="36"/>
      <c r="F1246" s="36"/>
      <c r="G1246" s="36"/>
      <c r="H1246" s="36"/>
      <c r="I1246" s="36"/>
    </row>
    <row r="1247" spans="1:9">
      <c r="A1247" s="31"/>
      <c r="B1247" s="31"/>
      <c r="C1247" s="36"/>
      <c r="D1247" s="36"/>
      <c r="E1247" s="36"/>
      <c r="F1247" s="36"/>
      <c r="G1247" s="36"/>
      <c r="H1247" s="36"/>
      <c r="I1247" s="36"/>
    </row>
    <row r="1248" spans="1:9">
      <c r="A1248" s="31"/>
      <c r="B1248" s="31"/>
      <c r="C1248" s="36"/>
      <c r="D1248" s="36"/>
      <c r="E1248" s="36"/>
      <c r="F1248" s="36"/>
      <c r="G1248" s="36"/>
      <c r="H1248" s="36"/>
      <c r="I1248" s="36"/>
    </row>
    <row r="1249" spans="1:9">
      <c r="A1249" s="31"/>
      <c r="B1249" s="31"/>
      <c r="C1249" s="36"/>
      <c r="D1249" s="36"/>
      <c r="E1249" s="36"/>
      <c r="F1249" s="36"/>
      <c r="G1249" s="36"/>
      <c r="H1249" s="36"/>
      <c r="I1249" s="36"/>
    </row>
    <row r="1250" spans="1:9">
      <c r="A1250" s="31"/>
      <c r="B1250" s="31"/>
      <c r="C1250" s="36"/>
      <c r="D1250" s="36"/>
      <c r="E1250" s="36"/>
      <c r="F1250" s="36"/>
      <c r="G1250" s="36"/>
      <c r="H1250" s="36"/>
      <c r="I1250" s="36"/>
    </row>
    <row r="1251" spans="1:9">
      <c r="A1251" s="31"/>
      <c r="B1251" s="31"/>
      <c r="C1251" s="36"/>
      <c r="D1251" s="36"/>
      <c r="E1251" s="36"/>
      <c r="F1251" s="36"/>
      <c r="G1251" s="36"/>
      <c r="H1251" s="36"/>
      <c r="I1251" s="36"/>
    </row>
    <row r="1252" spans="1:9">
      <c r="A1252" s="31"/>
      <c r="B1252" s="31"/>
      <c r="C1252" s="36"/>
      <c r="D1252" s="36"/>
      <c r="E1252" s="36"/>
      <c r="F1252" s="36"/>
      <c r="G1252" s="36"/>
      <c r="H1252" s="36"/>
      <c r="I1252" s="36"/>
    </row>
    <row r="1253" spans="1:9">
      <c r="A1253" s="31"/>
      <c r="B1253" s="31"/>
      <c r="C1253" s="36"/>
      <c r="D1253" s="36"/>
      <c r="E1253" s="36"/>
      <c r="F1253" s="36"/>
      <c r="G1253" s="36"/>
      <c r="H1253" s="36"/>
      <c r="I1253" s="36"/>
    </row>
    <row r="1254" spans="1:9">
      <c r="A1254" s="31"/>
      <c r="B1254" s="31"/>
      <c r="C1254" s="36"/>
      <c r="D1254" s="36"/>
      <c r="E1254" s="36"/>
      <c r="F1254" s="36"/>
      <c r="G1254" s="36"/>
      <c r="H1254" s="36"/>
      <c r="I1254" s="36"/>
    </row>
    <row r="1255" spans="1:9">
      <c r="A1255" s="31"/>
      <c r="B1255" s="31"/>
      <c r="C1255" s="36"/>
      <c r="D1255" s="36"/>
      <c r="E1255" s="36"/>
      <c r="F1255" s="36"/>
      <c r="G1255" s="36"/>
      <c r="H1255" s="36"/>
      <c r="I1255" s="36"/>
    </row>
    <row r="1256" spans="1:9">
      <c r="A1256" s="31"/>
      <c r="B1256" s="31"/>
      <c r="C1256" s="36"/>
      <c r="D1256" s="36"/>
      <c r="E1256" s="36"/>
      <c r="F1256" s="36"/>
      <c r="G1256" s="36"/>
      <c r="H1256" s="36"/>
      <c r="I1256" s="36"/>
    </row>
    <row r="1257" spans="1:9">
      <c r="A1257" s="31"/>
      <c r="B1257" s="31"/>
      <c r="C1257" s="36"/>
      <c r="D1257" s="36"/>
      <c r="E1257" s="36"/>
      <c r="F1257" s="36"/>
      <c r="G1257" s="36"/>
      <c r="H1257" s="36"/>
      <c r="I1257" s="36"/>
    </row>
    <row r="1258" spans="1:9">
      <c r="A1258" s="31"/>
      <c r="B1258" s="31"/>
      <c r="C1258" s="36"/>
      <c r="D1258" s="36"/>
      <c r="E1258" s="36"/>
      <c r="F1258" s="36"/>
      <c r="G1258" s="36"/>
      <c r="H1258" s="36"/>
      <c r="I1258" s="36"/>
    </row>
    <row r="1259" spans="1:9">
      <c r="A1259" s="31"/>
      <c r="B1259" s="31"/>
      <c r="C1259" s="36"/>
      <c r="D1259" s="36"/>
      <c r="E1259" s="36"/>
      <c r="F1259" s="36"/>
      <c r="G1259" s="36"/>
      <c r="H1259" s="36"/>
      <c r="I1259" s="36"/>
    </row>
    <row r="1260" spans="1:9">
      <c r="A1260" s="31"/>
      <c r="B1260" s="31"/>
      <c r="C1260" s="36"/>
      <c r="D1260" s="36"/>
      <c r="E1260" s="36"/>
      <c r="F1260" s="36"/>
      <c r="G1260" s="36"/>
      <c r="H1260" s="36"/>
      <c r="I1260" s="36"/>
    </row>
    <row r="1261" spans="1:9">
      <c r="A1261" s="31"/>
      <c r="B1261" s="31"/>
      <c r="C1261" s="36"/>
      <c r="D1261" s="36"/>
      <c r="E1261" s="36"/>
      <c r="F1261" s="36"/>
      <c r="G1261" s="36"/>
      <c r="H1261" s="36"/>
      <c r="I1261" s="36"/>
    </row>
    <row r="1262" spans="1:9">
      <c r="A1262" s="31"/>
      <c r="B1262" s="31"/>
      <c r="C1262" s="36"/>
      <c r="D1262" s="36"/>
      <c r="E1262" s="36"/>
      <c r="F1262" s="36"/>
      <c r="G1262" s="36"/>
      <c r="H1262" s="36"/>
      <c r="I1262" s="36"/>
    </row>
    <row r="1263" spans="1:9">
      <c r="A1263" s="31"/>
      <c r="B1263" s="31"/>
      <c r="C1263" s="36"/>
      <c r="D1263" s="36"/>
      <c r="E1263" s="36"/>
      <c r="F1263" s="36"/>
      <c r="G1263" s="36"/>
      <c r="H1263" s="36"/>
      <c r="I1263" s="36"/>
    </row>
    <row r="1264" spans="1:9">
      <c r="A1264" s="31"/>
      <c r="B1264" s="31"/>
      <c r="C1264" s="36"/>
      <c r="D1264" s="36"/>
      <c r="E1264" s="36"/>
      <c r="F1264" s="36"/>
      <c r="G1264" s="36"/>
      <c r="H1264" s="36"/>
      <c r="I1264" s="36"/>
    </row>
    <row r="1265" spans="1:9">
      <c r="A1265" s="31"/>
      <c r="B1265" s="31"/>
      <c r="C1265" s="36"/>
      <c r="D1265" s="36"/>
      <c r="E1265" s="36"/>
      <c r="F1265" s="36"/>
      <c r="G1265" s="36"/>
      <c r="H1265" s="36"/>
      <c r="I1265" s="36"/>
    </row>
    <row r="1266" spans="1:9">
      <c r="A1266" s="31"/>
      <c r="B1266" s="31"/>
      <c r="C1266" s="36"/>
      <c r="D1266" s="36"/>
      <c r="E1266" s="36"/>
      <c r="F1266" s="36"/>
      <c r="G1266" s="36"/>
      <c r="H1266" s="36"/>
      <c r="I1266" s="36"/>
    </row>
    <row r="1267" spans="1:9">
      <c r="A1267" s="31"/>
      <c r="B1267" s="31"/>
      <c r="C1267" s="36"/>
      <c r="D1267" s="36"/>
      <c r="E1267" s="36"/>
      <c r="F1267" s="36"/>
      <c r="G1267" s="36"/>
      <c r="H1267" s="36"/>
      <c r="I1267" s="36"/>
    </row>
    <row r="1268" spans="1:9">
      <c r="A1268" s="31"/>
      <c r="B1268" s="31"/>
      <c r="C1268" s="36"/>
      <c r="D1268" s="36"/>
      <c r="E1268" s="36"/>
      <c r="F1268" s="36"/>
      <c r="G1268" s="36"/>
      <c r="H1268" s="36"/>
      <c r="I1268" s="36"/>
    </row>
    <row r="1269" spans="1:9">
      <c r="A1269" s="31"/>
      <c r="B1269" s="31"/>
      <c r="C1269" s="36"/>
      <c r="D1269" s="36"/>
      <c r="E1269" s="36"/>
      <c r="F1269" s="36"/>
      <c r="G1269" s="36"/>
      <c r="H1269" s="36"/>
      <c r="I1269" s="36"/>
    </row>
    <row r="1270" spans="1:9">
      <c r="A1270" s="31"/>
      <c r="B1270" s="31"/>
      <c r="C1270" s="36"/>
      <c r="D1270" s="36"/>
      <c r="E1270" s="36"/>
      <c r="F1270" s="36"/>
      <c r="G1270" s="36"/>
      <c r="H1270" s="36"/>
      <c r="I1270" s="36"/>
    </row>
    <row r="1271" spans="1:9">
      <c r="A1271" s="31"/>
      <c r="B1271" s="31"/>
      <c r="C1271" s="36"/>
      <c r="D1271" s="36"/>
      <c r="E1271" s="36"/>
      <c r="F1271" s="36"/>
      <c r="G1271" s="36"/>
      <c r="H1271" s="36"/>
      <c r="I1271" s="36"/>
    </row>
    <row r="1272" spans="1:9">
      <c r="A1272" s="31"/>
      <c r="B1272" s="31"/>
      <c r="C1272" s="36"/>
      <c r="D1272" s="36"/>
      <c r="E1272" s="36"/>
      <c r="F1272" s="36"/>
      <c r="G1272" s="36"/>
      <c r="H1272" s="36"/>
      <c r="I1272" s="36"/>
    </row>
    <row r="1273" spans="1:9">
      <c r="A1273" s="31"/>
      <c r="B1273" s="31"/>
      <c r="C1273" s="36"/>
      <c r="D1273" s="36"/>
      <c r="E1273" s="36"/>
      <c r="F1273" s="36"/>
      <c r="G1273" s="36"/>
      <c r="H1273" s="36"/>
      <c r="I1273" s="36"/>
    </row>
    <row r="1274" spans="1:9">
      <c r="A1274" s="31"/>
      <c r="B1274" s="31"/>
      <c r="C1274" s="36"/>
      <c r="D1274" s="36"/>
      <c r="E1274" s="36"/>
      <c r="F1274" s="36"/>
      <c r="G1274" s="36"/>
      <c r="H1274" s="36"/>
      <c r="I1274" s="36"/>
    </row>
    <row r="1275" spans="1:9">
      <c r="A1275" s="31"/>
      <c r="B1275" s="31"/>
      <c r="C1275" s="36"/>
      <c r="D1275" s="36"/>
      <c r="E1275" s="36"/>
      <c r="F1275" s="36"/>
      <c r="G1275" s="36"/>
      <c r="H1275" s="36"/>
      <c r="I1275" s="36"/>
    </row>
    <row r="1276" spans="1:9">
      <c r="A1276" s="31"/>
      <c r="B1276" s="31"/>
      <c r="C1276" s="36"/>
      <c r="D1276" s="36"/>
      <c r="E1276" s="36"/>
      <c r="F1276" s="36"/>
      <c r="G1276" s="36"/>
      <c r="H1276" s="36"/>
      <c r="I1276" s="36"/>
    </row>
    <row r="1277" spans="1:9">
      <c r="A1277" s="31"/>
      <c r="B1277" s="31"/>
      <c r="C1277" s="36"/>
      <c r="D1277" s="36"/>
      <c r="E1277" s="36"/>
      <c r="F1277" s="36"/>
      <c r="G1277" s="36"/>
      <c r="H1277" s="36"/>
      <c r="I1277" s="36"/>
    </row>
    <row r="1278" spans="1:9">
      <c r="A1278" s="31"/>
      <c r="B1278" s="31"/>
      <c r="C1278" s="36"/>
      <c r="D1278" s="36"/>
      <c r="E1278" s="36"/>
      <c r="F1278" s="36"/>
      <c r="G1278" s="36"/>
      <c r="H1278" s="36"/>
      <c r="I1278" s="36"/>
    </row>
    <row r="1279" spans="1:9">
      <c r="A1279" s="31"/>
      <c r="B1279" s="31"/>
      <c r="C1279" s="36"/>
      <c r="D1279" s="36"/>
      <c r="E1279" s="36"/>
      <c r="F1279" s="36"/>
      <c r="G1279" s="36"/>
      <c r="H1279" s="36"/>
      <c r="I1279" s="36"/>
    </row>
    <row r="1280" spans="1:9">
      <c r="A1280" s="31"/>
      <c r="B1280" s="31"/>
      <c r="C1280" s="36"/>
      <c r="D1280" s="36"/>
      <c r="E1280" s="36"/>
      <c r="F1280" s="36"/>
      <c r="G1280" s="36"/>
      <c r="H1280" s="36"/>
      <c r="I1280" s="36"/>
    </row>
    <row r="1281" spans="1:9">
      <c r="A1281" s="31"/>
      <c r="B1281" s="31"/>
      <c r="C1281" s="36"/>
      <c r="D1281" s="36"/>
      <c r="E1281" s="36"/>
      <c r="F1281" s="36"/>
      <c r="G1281" s="36"/>
      <c r="H1281" s="36"/>
      <c r="I1281" s="36"/>
    </row>
    <row r="1282" spans="1:9">
      <c r="A1282" s="31"/>
      <c r="B1282" s="31"/>
      <c r="C1282" s="36"/>
      <c r="D1282" s="36"/>
      <c r="E1282" s="36"/>
      <c r="F1282" s="36"/>
      <c r="G1282" s="36"/>
      <c r="H1282" s="36"/>
      <c r="I1282" s="36"/>
    </row>
    <row r="1283" spans="1:9">
      <c r="A1283" s="31"/>
      <c r="B1283" s="31"/>
      <c r="C1283" s="36"/>
      <c r="D1283" s="36"/>
      <c r="E1283" s="36"/>
      <c r="F1283" s="36"/>
      <c r="G1283" s="36"/>
      <c r="H1283" s="36"/>
      <c r="I1283" s="36"/>
    </row>
    <row r="1284" spans="1:9">
      <c r="A1284" s="31"/>
      <c r="B1284" s="31"/>
      <c r="C1284" s="36"/>
      <c r="D1284" s="36"/>
      <c r="E1284" s="36"/>
      <c r="F1284" s="36"/>
      <c r="G1284" s="36"/>
      <c r="H1284" s="36"/>
      <c r="I1284" s="36"/>
    </row>
    <row r="1285" spans="1:9">
      <c r="A1285" s="31"/>
      <c r="B1285" s="31"/>
      <c r="C1285" s="36"/>
      <c r="D1285" s="36"/>
      <c r="E1285" s="36"/>
      <c r="F1285" s="36"/>
      <c r="G1285" s="36"/>
      <c r="H1285" s="36"/>
      <c r="I1285" s="36"/>
    </row>
    <row r="1286" spans="1:9">
      <c r="A1286" s="31"/>
      <c r="B1286" s="31"/>
      <c r="C1286" s="36"/>
      <c r="D1286" s="36"/>
      <c r="E1286" s="36"/>
      <c r="F1286" s="36"/>
      <c r="G1286" s="36"/>
      <c r="H1286" s="36"/>
      <c r="I1286" s="36"/>
    </row>
    <row r="1287" spans="1:9">
      <c r="A1287" s="31"/>
      <c r="B1287" s="31"/>
      <c r="C1287" s="36"/>
      <c r="D1287" s="36"/>
      <c r="E1287" s="36"/>
      <c r="F1287" s="36"/>
      <c r="G1287" s="36"/>
      <c r="H1287" s="36"/>
      <c r="I1287" s="36"/>
    </row>
    <row r="1288" spans="1:9">
      <c r="A1288" s="31"/>
      <c r="B1288" s="31"/>
      <c r="C1288" s="36"/>
      <c r="D1288" s="36"/>
      <c r="E1288" s="36"/>
      <c r="F1288" s="36"/>
      <c r="G1288" s="36"/>
      <c r="H1288" s="36"/>
      <c r="I1288" s="36"/>
    </row>
    <row r="1289" spans="1:9">
      <c r="A1289" s="31"/>
      <c r="B1289" s="31"/>
      <c r="C1289" s="36"/>
      <c r="D1289" s="36"/>
      <c r="E1289" s="36"/>
      <c r="F1289" s="36"/>
      <c r="G1289" s="36"/>
      <c r="H1289" s="36"/>
      <c r="I1289" s="36"/>
    </row>
    <row r="1290" spans="1:9">
      <c r="A1290" s="31"/>
      <c r="B1290" s="31"/>
      <c r="C1290" s="36"/>
      <c r="D1290" s="36"/>
      <c r="E1290" s="36"/>
      <c r="F1290" s="36"/>
      <c r="G1290" s="36"/>
      <c r="H1290" s="36"/>
      <c r="I1290" s="36"/>
    </row>
    <row r="1291" spans="1:9">
      <c r="A1291" s="31"/>
      <c r="B1291" s="31"/>
      <c r="C1291" s="36"/>
      <c r="D1291" s="36"/>
      <c r="E1291" s="36"/>
      <c r="F1291" s="36"/>
      <c r="G1291" s="36"/>
      <c r="H1291" s="36"/>
      <c r="I1291" s="36"/>
    </row>
    <row r="1292" spans="1:9">
      <c r="A1292" s="31"/>
      <c r="B1292" s="31"/>
      <c r="C1292" s="36"/>
      <c r="D1292" s="36"/>
      <c r="E1292" s="36"/>
      <c r="F1292" s="36"/>
      <c r="G1292" s="36"/>
      <c r="H1292" s="36"/>
      <c r="I1292" s="36"/>
    </row>
    <row r="1293" spans="1:9">
      <c r="A1293" s="31"/>
      <c r="B1293" s="31"/>
      <c r="C1293" s="36"/>
      <c r="D1293" s="36"/>
      <c r="E1293" s="36"/>
      <c r="F1293" s="36"/>
      <c r="G1293" s="36"/>
      <c r="H1293" s="36"/>
      <c r="I1293" s="36"/>
    </row>
    <row r="1294" spans="1:9">
      <c r="A1294" s="31"/>
      <c r="B1294" s="31"/>
      <c r="C1294" s="36"/>
      <c r="D1294" s="36"/>
      <c r="E1294" s="36"/>
      <c r="F1294" s="36"/>
      <c r="G1294" s="36"/>
      <c r="H1294" s="36"/>
      <c r="I1294" s="36"/>
    </row>
    <row r="1295" spans="1:9">
      <c r="A1295" s="31"/>
      <c r="B1295" s="31"/>
      <c r="C1295" s="36"/>
      <c r="D1295" s="36"/>
      <c r="E1295" s="36"/>
      <c r="F1295" s="36"/>
      <c r="G1295" s="36"/>
      <c r="H1295" s="36"/>
      <c r="I1295" s="36"/>
    </row>
    <row r="1296" spans="1:9">
      <c r="A1296" s="31"/>
      <c r="B1296" s="31"/>
      <c r="C1296" s="36"/>
      <c r="D1296" s="36"/>
      <c r="E1296" s="36"/>
      <c r="F1296" s="36"/>
      <c r="G1296" s="36"/>
      <c r="H1296" s="36"/>
      <c r="I1296" s="36"/>
    </row>
    <row r="1297" spans="1:9">
      <c r="A1297" s="31"/>
      <c r="B1297" s="31"/>
      <c r="C1297" s="36"/>
      <c r="D1297" s="36"/>
      <c r="E1297" s="36"/>
      <c r="F1297" s="36"/>
      <c r="G1297" s="36"/>
      <c r="H1297" s="36"/>
      <c r="I1297" s="36"/>
    </row>
    <row r="1298" spans="1:9">
      <c r="A1298" s="31"/>
      <c r="B1298" s="31"/>
      <c r="C1298" s="36"/>
      <c r="D1298" s="36"/>
      <c r="E1298" s="36"/>
      <c r="F1298" s="36"/>
      <c r="G1298" s="36"/>
      <c r="H1298" s="36"/>
      <c r="I1298" s="36"/>
    </row>
    <row r="1299" spans="1:9">
      <c r="A1299" s="31"/>
      <c r="B1299" s="31"/>
      <c r="C1299" s="36"/>
      <c r="D1299" s="36"/>
      <c r="E1299" s="36"/>
      <c r="F1299" s="36"/>
      <c r="G1299" s="36"/>
      <c r="H1299" s="36"/>
      <c r="I1299" s="36"/>
    </row>
    <row r="1300" spans="1:9">
      <c r="A1300" s="31"/>
      <c r="B1300" s="31"/>
      <c r="C1300" s="36"/>
      <c r="D1300" s="36"/>
      <c r="E1300" s="36"/>
      <c r="F1300" s="36"/>
      <c r="G1300" s="36"/>
      <c r="H1300" s="36"/>
      <c r="I1300" s="36"/>
    </row>
    <row r="1301" spans="1:9">
      <c r="A1301" s="31"/>
      <c r="B1301" s="31"/>
      <c r="C1301" s="36"/>
      <c r="D1301" s="36"/>
      <c r="E1301" s="36"/>
      <c r="F1301" s="36"/>
      <c r="G1301" s="36"/>
      <c r="H1301" s="36"/>
      <c r="I1301" s="36"/>
    </row>
    <row r="1302" spans="1:9">
      <c r="A1302" s="31"/>
      <c r="B1302" s="31"/>
      <c r="C1302" s="36"/>
      <c r="D1302" s="36"/>
      <c r="E1302" s="36"/>
      <c r="F1302" s="36"/>
      <c r="G1302" s="36"/>
      <c r="H1302" s="36"/>
      <c r="I1302" s="36"/>
    </row>
    <row r="1303" spans="1:9">
      <c r="A1303" s="31"/>
      <c r="B1303" s="31"/>
      <c r="C1303" s="36"/>
      <c r="D1303" s="36"/>
      <c r="E1303" s="36"/>
      <c r="F1303" s="36"/>
      <c r="G1303" s="36"/>
      <c r="H1303" s="36"/>
      <c r="I1303" s="36"/>
    </row>
    <row r="1304" spans="1:9">
      <c r="A1304" s="31"/>
      <c r="B1304" s="31"/>
      <c r="C1304" s="36"/>
      <c r="D1304" s="36"/>
      <c r="E1304" s="36"/>
      <c r="F1304" s="36"/>
      <c r="G1304" s="36"/>
      <c r="H1304" s="36"/>
      <c r="I1304" s="36"/>
    </row>
    <row r="1305" spans="1:9">
      <c r="A1305" s="31"/>
      <c r="B1305" s="31"/>
      <c r="C1305" s="36"/>
      <c r="D1305" s="36"/>
      <c r="E1305" s="36"/>
      <c r="F1305" s="36"/>
      <c r="G1305" s="36"/>
      <c r="H1305" s="36"/>
      <c r="I1305" s="36"/>
    </row>
    <row r="1306" spans="1:9">
      <c r="A1306" s="31"/>
      <c r="B1306" s="31"/>
      <c r="C1306" s="36"/>
      <c r="D1306" s="36"/>
      <c r="E1306" s="36"/>
      <c r="F1306" s="36"/>
      <c r="G1306" s="36"/>
      <c r="H1306" s="36"/>
      <c r="I1306" s="36"/>
    </row>
    <row r="1307" spans="1:9">
      <c r="A1307" s="31"/>
      <c r="B1307" s="31"/>
      <c r="C1307" s="36"/>
      <c r="D1307" s="36"/>
      <c r="E1307" s="36"/>
      <c r="F1307" s="36"/>
      <c r="G1307" s="36"/>
      <c r="H1307" s="36"/>
      <c r="I1307" s="36"/>
    </row>
    <row r="1308" spans="1:9">
      <c r="A1308" s="31"/>
      <c r="B1308" s="31"/>
      <c r="C1308" s="36"/>
      <c r="D1308" s="36"/>
      <c r="E1308" s="36"/>
      <c r="F1308" s="36"/>
      <c r="G1308" s="36"/>
      <c r="H1308" s="36"/>
      <c r="I1308" s="36"/>
    </row>
    <row r="1309" spans="1:9">
      <c r="A1309" s="31"/>
      <c r="B1309" s="31"/>
      <c r="C1309" s="36"/>
      <c r="D1309" s="36"/>
      <c r="E1309" s="36"/>
      <c r="F1309" s="36"/>
      <c r="G1309" s="36"/>
      <c r="H1309" s="36"/>
      <c r="I1309" s="36"/>
    </row>
    <row r="1310" spans="1:9">
      <c r="A1310" s="31"/>
      <c r="B1310" s="31"/>
      <c r="C1310" s="36"/>
      <c r="D1310" s="36"/>
      <c r="E1310" s="36"/>
      <c r="F1310" s="36"/>
      <c r="G1310" s="36"/>
      <c r="H1310" s="36"/>
      <c r="I1310" s="36"/>
    </row>
    <row r="1311" spans="1:9">
      <c r="A1311" s="31"/>
      <c r="B1311" s="31"/>
      <c r="C1311" s="36"/>
      <c r="D1311" s="36"/>
      <c r="E1311" s="36"/>
      <c r="F1311" s="36"/>
      <c r="G1311" s="36"/>
      <c r="H1311" s="36"/>
      <c r="I1311" s="36"/>
    </row>
    <row r="1312" spans="1:9">
      <c r="A1312" s="31"/>
      <c r="B1312" s="31"/>
      <c r="C1312" s="36"/>
      <c r="D1312" s="36"/>
      <c r="E1312" s="36"/>
      <c r="F1312" s="36"/>
      <c r="G1312" s="36"/>
      <c r="H1312" s="36"/>
      <c r="I1312" s="36"/>
    </row>
    <row r="1313" spans="1:9">
      <c r="A1313" s="31"/>
      <c r="B1313" s="31"/>
      <c r="C1313" s="36"/>
      <c r="D1313" s="36"/>
      <c r="E1313" s="36"/>
      <c r="F1313" s="36"/>
      <c r="G1313" s="36"/>
      <c r="H1313" s="36"/>
      <c r="I1313" s="36"/>
    </row>
    <row r="1314" spans="1:9">
      <c r="A1314" s="31"/>
      <c r="B1314" s="31"/>
      <c r="C1314" s="36"/>
      <c r="D1314" s="36"/>
      <c r="E1314" s="36"/>
      <c r="F1314" s="36"/>
      <c r="G1314" s="36"/>
      <c r="H1314" s="36"/>
      <c r="I1314" s="36"/>
    </row>
    <row r="1315" spans="1:9">
      <c r="A1315" s="31"/>
      <c r="B1315" s="31"/>
      <c r="C1315" s="36"/>
      <c r="D1315" s="36"/>
      <c r="E1315" s="36"/>
      <c r="F1315" s="36"/>
      <c r="G1315" s="36"/>
      <c r="H1315" s="36"/>
      <c r="I1315" s="36"/>
    </row>
    <row r="1316" spans="1:9">
      <c r="A1316" s="31"/>
      <c r="B1316" s="31"/>
      <c r="C1316" s="36"/>
      <c r="D1316" s="36"/>
      <c r="E1316" s="36"/>
      <c r="F1316" s="36"/>
      <c r="G1316" s="36"/>
      <c r="H1316" s="36"/>
      <c r="I1316" s="36"/>
    </row>
    <row r="1317" spans="1:9">
      <c r="A1317" s="31"/>
      <c r="B1317" s="31"/>
      <c r="C1317" s="36"/>
      <c r="D1317" s="36"/>
      <c r="E1317" s="36"/>
      <c r="F1317" s="36"/>
      <c r="G1317" s="36"/>
      <c r="H1317" s="36"/>
      <c r="I1317" s="36"/>
    </row>
    <row r="1318" spans="1:9">
      <c r="A1318" s="31"/>
      <c r="B1318" s="31"/>
      <c r="C1318" s="36"/>
      <c r="D1318" s="36"/>
      <c r="E1318" s="36"/>
      <c r="F1318" s="36"/>
      <c r="G1318" s="36"/>
      <c r="H1318" s="36"/>
      <c r="I1318" s="36"/>
    </row>
    <row r="1319" spans="1:9">
      <c r="A1319" s="31"/>
      <c r="B1319" s="31"/>
      <c r="C1319" s="36"/>
      <c r="D1319" s="36"/>
      <c r="E1319" s="36"/>
      <c r="F1319" s="36"/>
      <c r="G1319" s="36"/>
      <c r="H1319" s="36"/>
      <c r="I1319" s="36"/>
    </row>
    <row r="1320" spans="1:9">
      <c r="A1320" s="31"/>
      <c r="B1320" s="31"/>
      <c r="C1320" s="36"/>
      <c r="D1320" s="36"/>
      <c r="E1320" s="36"/>
      <c r="F1320" s="36"/>
      <c r="G1320" s="36"/>
      <c r="H1320" s="36"/>
      <c r="I1320" s="36"/>
    </row>
    <row r="1321" spans="1:9">
      <c r="A1321" s="31"/>
      <c r="B1321" s="31"/>
      <c r="C1321" s="36"/>
      <c r="D1321" s="36"/>
      <c r="E1321" s="36"/>
      <c r="F1321" s="36"/>
      <c r="G1321" s="36"/>
      <c r="H1321" s="36"/>
      <c r="I1321" s="36"/>
    </row>
    <row r="1322" spans="1:9">
      <c r="A1322" s="31"/>
      <c r="B1322" s="31"/>
      <c r="C1322" s="36"/>
      <c r="D1322" s="36"/>
      <c r="E1322" s="36"/>
      <c r="F1322" s="36"/>
      <c r="G1322" s="36"/>
      <c r="H1322" s="36"/>
      <c r="I1322" s="36"/>
    </row>
    <row r="1323" spans="1:9">
      <c r="A1323" s="31"/>
      <c r="B1323" s="31"/>
      <c r="C1323" s="36"/>
      <c r="D1323" s="36"/>
      <c r="E1323" s="36"/>
      <c r="F1323" s="36"/>
      <c r="G1323" s="36"/>
      <c r="H1323" s="36"/>
      <c r="I1323" s="36"/>
    </row>
    <row r="1324" spans="1:9">
      <c r="A1324" s="31"/>
      <c r="B1324" s="31"/>
      <c r="C1324" s="36"/>
      <c r="D1324" s="36"/>
      <c r="E1324" s="36"/>
      <c r="F1324" s="36"/>
      <c r="G1324" s="36"/>
      <c r="H1324" s="36"/>
      <c r="I1324" s="36"/>
    </row>
    <row r="1325" spans="1:9">
      <c r="A1325" s="31"/>
      <c r="B1325" s="31"/>
      <c r="C1325" s="36"/>
      <c r="D1325" s="36"/>
      <c r="E1325" s="36"/>
      <c r="F1325" s="36"/>
      <c r="G1325" s="36"/>
      <c r="H1325" s="36"/>
      <c r="I1325" s="36"/>
    </row>
    <row r="1326" spans="1:9">
      <c r="A1326" s="31"/>
      <c r="B1326" s="31"/>
      <c r="C1326" s="36"/>
      <c r="D1326" s="36"/>
      <c r="E1326" s="36"/>
      <c r="F1326" s="36"/>
      <c r="G1326" s="36"/>
      <c r="H1326" s="36"/>
      <c r="I1326" s="36"/>
    </row>
    <row r="1327" spans="1:9">
      <c r="A1327" s="31"/>
      <c r="B1327" s="31"/>
      <c r="C1327" s="36"/>
      <c r="D1327" s="36"/>
      <c r="E1327" s="36"/>
      <c r="F1327" s="36"/>
      <c r="G1327" s="36"/>
      <c r="H1327" s="36"/>
      <c r="I1327" s="36"/>
    </row>
    <row r="1328" spans="1:9">
      <c r="A1328" s="31"/>
      <c r="B1328" s="31"/>
      <c r="C1328" s="36"/>
      <c r="D1328" s="36"/>
      <c r="E1328" s="36"/>
      <c r="F1328" s="36"/>
      <c r="G1328" s="36"/>
      <c r="H1328" s="36"/>
      <c r="I1328" s="36"/>
    </row>
    <row r="1329" spans="1:9">
      <c r="A1329" s="31"/>
      <c r="B1329" s="31"/>
      <c r="C1329" s="36"/>
      <c r="D1329" s="36"/>
      <c r="E1329" s="36"/>
      <c r="F1329" s="36"/>
      <c r="G1329" s="36"/>
      <c r="H1329" s="36"/>
      <c r="I1329" s="36"/>
    </row>
    <row r="1330" spans="1:9">
      <c r="A1330" s="31"/>
      <c r="B1330" s="31"/>
      <c r="C1330" s="36"/>
      <c r="D1330" s="36"/>
      <c r="E1330" s="36"/>
      <c r="F1330" s="36"/>
      <c r="G1330" s="36"/>
      <c r="H1330" s="36"/>
      <c r="I1330" s="36"/>
    </row>
    <row r="1331" spans="1:9">
      <c r="A1331" s="31"/>
      <c r="B1331" s="31"/>
      <c r="C1331" s="36"/>
      <c r="D1331" s="36"/>
      <c r="E1331" s="36"/>
      <c r="F1331" s="36"/>
      <c r="G1331" s="36"/>
      <c r="H1331" s="36"/>
      <c r="I1331" s="36"/>
    </row>
    <row r="1332" spans="1:9">
      <c r="A1332" s="31"/>
      <c r="B1332" s="31"/>
      <c r="C1332" s="36"/>
      <c r="D1332" s="36"/>
      <c r="E1332" s="36"/>
      <c r="F1332" s="36"/>
      <c r="G1332" s="36"/>
      <c r="H1332" s="36"/>
      <c r="I1332" s="36"/>
    </row>
    <row r="1333" spans="1:9">
      <c r="A1333" s="31"/>
      <c r="B1333" s="31"/>
      <c r="C1333" s="36"/>
      <c r="D1333" s="36"/>
      <c r="E1333" s="36"/>
      <c r="F1333" s="36"/>
      <c r="G1333" s="36"/>
      <c r="H1333" s="36"/>
      <c r="I1333" s="36"/>
    </row>
    <row r="1334" spans="1:9">
      <c r="A1334" s="31"/>
      <c r="B1334" s="31"/>
      <c r="C1334" s="36"/>
      <c r="D1334" s="36"/>
      <c r="E1334" s="36"/>
      <c r="F1334" s="36"/>
      <c r="G1334" s="36"/>
      <c r="H1334" s="36"/>
      <c r="I1334" s="36"/>
    </row>
    <row r="1335" spans="1:9">
      <c r="A1335" s="31"/>
      <c r="B1335" s="31"/>
      <c r="C1335" s="36"/>
      <c r="D1335" s="36"/>
      <c r="E1335" s="36"/>
      <c r="F1335" s="36"/>
      <c r="G1335" s="36"/>
      <c r="H1335" s="36"/>
      <c r="I1335" s="36"/>
    </row>
    <row r="1336" spans="1:9">
      <c r="A1336" s="31"/>
      <c r="B1336" s="31"/>
      <c r="C1336" s="36"/>
      <c r="D1336" s="36"/>
      <c r="E1336" s="36"/>
      <c r="F1336" s="36"/>
      <c r="G1336" s="36"/>
      <c r="H1336" s="36"/>
      <c r="I1336" s="36"/>
    </row>
    <row r="1337" spans="1:9">
      <c r="A1337" s="31"/>
      <c r="B1337" s="31"/>
      <c r="C1337" s="36"/>
      <c r="D1337" s="36"/>
      <c r="E1337" s="36"/>
      <c r="F1337" s="36"/>
      <c r="G1337" s="36"/>
      <c r="H1337" s="36"/>
      <c r="I1337" s="36"/>
    </row>
    <row r="1338" spans="1:9">
      <c r="A1338" s="31"/>
      <c r="B1338" s="31"/>
      <c r="C1338" s="36"/>
      <c r="D1338" s="36"/>
      <c r="E1338" s="36"/>
      <c r="F1338" s="36"/>
      <c r="G1338" s="36"/>
      <c r="H1338" s="36"/>
      <c r="I1338" s="36"/>
    </row>
    <row r="1339" spans="1:9">
      <c r="A1339" s="31"/>
      <c r="B1339" s="31"/>
      <c r="C1339" s="36"/>
      <c r="D1339" s="36"/>
      <c r="E1339" s="36"/>
      <c r="F1339" s="36"/>
      <c r="G1339" s="36"/>
      <c r="H1339" s="36"/>
      <c r="I1339" s="36"/>
    </row>
    <row r="1340" spans="1:9">
      <c r="A1340" s="31"/>
      <c r="B1340" s="31"/>
      <c r="C1340" s="36"/>
      <c r="D1340" s="36"/>
      <c r="E1340" s="36"/>
      <c r="F1340" s="36"/>
      <c r="G1340" s="36"/>
      <c r="H1340" s="36"/>
      <c r="I1340" s="36"/>
    </row>
    <row r="1341" spans="1:9">
      <c r="A1341" s="31"/>
      <c r="B1341" s="31"/>
      <c r="C1341" s="36"/>
      <c r="D1341" s="36"/>
      <c r="E1341" s="36"/>
      <c r="F1341" s="36"/>
      <c r="G1341" s="36"/>
      <c r="H1341" s="36"/>
      <c r="I1341" s="36"/>
    </row>
    <row r="1342" spans="1:9">
      <c r="A1342" s="31"/>
      <c r="B1342" s="31"/>
      <c r="C1342" s="36"/>
      <c r="D1342" s="36"/>
      <c r="E1342" s="36"/>
      <c r="F1342" s="36"/>
      <c r="G1342" s="36"/>
      <c r="H1342" s="36"/>
      <c r="I1342" s="36"/>
    </row>
    <row r="1343" spans="1:9">
      <c r="A1343" s="31"/>
      <c r="B1343" s="31"/>
      <c r="C1343" s="36"/>
      <c r="D1343" s="36"/>
      <c r="E1343" s="36"/>
      <c r="F1343" s="36"/>
      <c r="G1343" s="36"/>
      <c r="H1343" s="36"/>
      <c r="I1343" s="36"/>
    </row>
    <row r="1344" spans="1:9">
      <c r="A1344" s="31"/>
      <c r="B1344" s="31"/>
      <c r="C1344" s="36"/>
      <c r="D1344" s="36"/>
      <c r="E1344" s="36"/>
      <c r="F1344" s="36"/>
      <c r="G1344" s="36"/>
      <c r="H1344" s="36"/>
      <c r="I1344" s="36"/>
    </row>
    <row r="1345" spans="1:9">
      <c r="A1345" s="31"/>
      <c r="B1345" s="31"/>
      <c r="C1345" s="36"/>
      <c r="D1345" s="36"/>
      <c r="E1345" s="36"/>
      <c r="F1345" s="36"/>
      <c r="G1345" s="36"/>
      <c r="H1345" s="36"/>
      <c r="I1345" s="36"/>
    </row>
    <row r="1346" spans="1:9">
      <c r="A1346" s="31"/>
      <c r="B1346" s="31"/>
      <c r="C1346" s="36"/>
      <c r="D1346" s="36"/>
      <c r="E1346" s="36"/>
      <c r="F1346" s="36"/>
      <c r="G1346" s="36"/>
      <c r="H1346" s="36"/>
      <c r="I1346" s="36"/>
    </row>
    <row r="1347" spans="1:9">
      <c r="A1347" s="31"/>
      <c r="B1347" s="31"/>
      <c r="C1347" s="36"/>
      <c r="D1347" s="36"/>
      <c r="E1347" s="36"/>
      <c r="F1347" s="36"/>
      <c r="G1347" s="36"/>
      <c r="H1347" s="36"/>
      <c r="I1347" s="36"/>
    </row>
    <row r="1348" spans="1:9">
      <c r="A1348" s="31"/>
      <c r="B1348" s="31"/>
      <c r="C1348" s="36"/>
      <c r="D1348" s="36"/>
      <c r="E1348" s="36"/>
      <c r="F1348" s="36"/>
      <c r="G1348" s="36"/>
      <c r="H1348" s="36"/>
      <c r="I1348" s="36"/>
    </row>
    <row r="1349" spans="1:9">
      <c r="A1349" s="31"/>
      <c r="B1349" s="31"/>
      <c r="C1349" s="36"/>
      <c r="D1349" s="36"/>
      <c r="E1349" s="36"/>
      <c r="F1349" s="36"/>
      <c r="G1349" s="36"/>
      <c r="H1349" s="36"/>
      <c r="I1349" s="36"/>
    </row>
    <row r="1350" spans="1:9">
      <c r="A1350" s="31"/>
      <c r="B1350" s="31"/>
      <c r="C1350" s="36"/>
      <c r="D1350" s="36"/>
      <c r="E1350" s="36"/>
      <c r="F1350" s="36"/>
      <c r="G1350" s="36"/>
      <c r="H1350" s="36"/>
      <c r="I1350" s="36"/>
    </row>
    <row r="1351" spans="1:9">
      <c r="A1351" s="31"/>
      <c r="B1351" s="31"/>
      <c r="C1351" s="36"/>
      <c r="D1351" s="36"/>
      <c r="E1351" s="36"/>
      <c r="F1351" s="36"/>
      <c r="G1351" s="36"/>
      <c r="H1351" s="36"/>
      <c r="I1351" s="36"/>
    </row>
    <row r="1352" spans="1:9">
      <c r="A1352" s="31"/>
      <c r="B1352" s="31"/>
      <c r="C1352" s="36"/>
      <c r="D1352" s="36"/>
      <c r="E1352" s="36"/>
      <c r="F1352" s="36"/>
      <c r="G1352" s="36"/>
      <c r="H1352" s="36"/>
      <c r="I1352" s="36"/>
    </row>
    <row r="1353" spans="1:9">
      <c r="A1353" s="31"/>
      <c r="B1353" s="31"/>
      <c r="C1353" s="36"/>
      <c r="D1353" s="36"/>
      <c r="E1353" s="36"/>
      <c r="F1353" s="36"/>
      <c r="G1353" s="36"/>
      <c r="H1353" s="36"/>
      <c r="I1353" s="36"/>
    </row>
    <row r="1354" spans="1:9">
      <c r="A1354" s="31"/>
      <c r="B1354" s="31"/>
      <c r="C1354" s="36"/>
      <c r="D1354" s="36"/>
      <c r="E1354" s="36"/>
      <c r="F1354" s="36"/>
      <c r="G1354" s="36"/>
      <c r="H1354" s="36"/>
      <c r="I1354" s="36"/>
    </row>
    <row r="1355" spans="1:9">
      <c r="A1355" s="31"/>
      <c r="B1355" s="31"/>
      <c r="C1355" s="36"/>
      <c r="D1355" s="36"/>
      <c r="E1355" s="36"/>
      <c r="F1355" s="36"/>
      <c r="G1355" s="36"/>
      <c r="H1355" s="36"/>
      <c r="I1355" s="36"/>
    </row>
    <row r="1356" spans="1:9">
      <c r="A1356" s="31"/>
      <c r="B1356" s="31"/>
      <c r="C1356" s="36"/>
      <c r="D1356" s="36"/>
      <c r="E1356" s="36"/>
      <c r="F1356" s="36"/>
      <c r="G1356" s="36"/>
      <c r="H1356" s="36"/>
      <c r="I1356" s="36"/>
    </row>
    <row r="1357" spans="1:9">
      <c r="A1357" s="31"/>
      <c r="B1357" s="31"/>
      <c r="C1357" s="36"/>
      <c r="D1357" s="36"/>
      <c r="E1357" s="36"/>
      <c r="F1357" s="36"/>
      <c r="G1357" s="36"/>
      <c r="H1357" s="36"/>
      <c r="I1357" s="36"/>
    </row>
    <row r="1358" spans="1:9">
      <c r="A1358" s="31"/>
      <c r="B1358" s="31"/>
      <c r="C1358" s="36"/>
      <c r="D1358" s="36"/>
      <c r="E1358" s="36"/>
      <c r="F1358" s="36"/>
      <c r="G1358" s="36"/>
      <c r="H1358" s="36"/>
      <c r="I1358" s="36"/>
    </row>
    <row r="1359" spans="1:9">
      <c r="A1359" s="31"/>
      <c r="B1359" s="31"/>
      <c r="C1359" s="36"/>
      <c r="D1359" s="36"/>
      <c r="E1359" s="36"/>
      <c r="F1359" s="36"/>
      <c r="G1359" s="36"/>
      <c r="H1359" s="36"/>
      <c r="I1359" s="36"/>
    </row>
    <row r="1360" spans="1:9">
      <c r="A1360" s="31"/>
      <c r="B1360" s="31"/>
      <c r="C1360" s="36"/>
      <c r="D1360" s="36"/>
      <c r="E1360" s="36"/>
      <c r="F1360" s="36"/>
      <c r="G1360" s="36"/>
      <c r="H1360" s="36"/>
      <c r="I1360" s="36"/>
    </row>
    <row r="1361" spans="1:9">
      <c r="A1361" s="31"/>
      <c r="B1361" s="31"/>
      <c r="C1361" s="36"/>
      <c r="D1361" s="36"/>
      <c r="E1361" s="36"/>
      <c r="F1361" s="36"/>
      <c r="G1361" s="36"/>
      <c r="H1361" s="36"/>
      <c r="I1361" s="36"/>
    </row>
    <row r="1362" spans="1:9">
      <c r="A1362" s="31"/>
      <c r="B1362" s="31"/>
      <c r="C1362" s="36"/>
      <c r="D1362" s="36"/>
      <c r="E1362" s="36"/>
      <c r="F1362" s="36"/>
      <c r="G1362" s="36"/>
      <c r="H1362" s="36"/>
      <c r="I1362" s="36"/>
    </row>
    <row r="1363" spans="1:9">
      <c r="A1363" s="31"/>
      <c r="B1363" s="31"/>
      <c r="C1363" s="36"/>
      <c r="D1363" s="36"/>
      <c r="E1363" s="36"/>
      <c r="F1363" s="36"/>
      <c r="G1363" s="36"/>
      <c r="H1363" s="36"/>
      <c r="I1363" s="36"/>
    </row>
    <row r="1364" spans="1:9">
      <c r="A1364" s="31"/>
      <c r="B1364" s="31"/>
      <c r="C1364" s="36"/>
      <c r="D1364" s="36"/>
      <c r="E1364" s="36"/>
      <c r="F1364" s="36"/>
      <c r="G1364" s="36"/>
      <c r="H1364" s="36"/>
      <c r="I1364" s="36"/>
    </row>
    <row r="1365" spans="1:9">
      <c r="A1365" s="31"/>
      <c r="B1365" s="31"/>
      <c r="C1365" s="36"/>
      <c r="D1365" s="36"/>
      <c r="E1365" s="36"/>
      <c r="F1365" s="36"/>
      <c r="G1365" s="36"/>
      <c r="H1365" s="36"/>
      <c r="I1365" s="36"/>
    </row>
    <row r="1366" spans="1:9">
      <c r="A1366" s="31"/>
      <c r="B1366" s="31"/>
      <c r="C1366" s="36"/>
      <c r="D1366" s="36"/>
      <c r="E1366" s="36"/>
      <c r="F1366" s="36"/>
      <c r="G1366" s="36"/>
      <c r="H1366" s="36"/>
      <c r="I1366" s="36"/>
    </row>
    <row r="1367" spans="1:9">
      <c r="A1367" s="31"/>
      <c r="B1367" s="31"/>
      <c r="C1367" s="36"/>
      <c r="D1367" s="36"/>
      <c r="E1367" s="36"/>
      <c r="F1367" s="36"/>
      <c r="G1367" s="36"/>
      <c r="H1367" s="36"/>
      <c r="I1367" s="36"/>
    </row>
    <row r="1368" spans="1:9">
      <c r="A1368" s="31"/>
      <c r="B1368" s="31"/>
      <c r="C1368" s="36"/>
      <c r="D1368" s="36"/>
      <c r="E1368" s="36"/>
      <c r="F1368" s="36"/>
      <c r="G1368" s="36"/>
      <c r="H1368" s="36"/>
      <c r="I1368" s="36"/>
    </row>
    <row r="1369" spans="1:9">
      <c r="A1369" s="31"/>
      <c r="B1369" s="31"/>
      <c r="C1369" s="36"/>
      <c r="D1369" s="36"/>
      <c r="E1369" s="36"/>
      <c r="F1369" s="36"/>
      <c r="G1369" s="36"/>
      <c r="H1369" s="36"/>
      <c r="I1369" s="36"/>
    </row>
    <row r="1370" spans="1:9">
      <c r="A1370" s="31"/>
      <c r="B1370" s="31"/>
      <c r="C1370" s="36"/>
      <c r="D1370" s="36"/>
      <c r="E1370" s="36"/>
      <c r="F1370" s="36"/>
      <c r="G1370" s="36"/>
      <c r="H1370" s="36"/>
      <c r="I1370" s="36"/>
    </row>
    <row r="1371" spans="1:9">
      <c r="A1371" s="31"/>
      <c r="B1371" s="31"/>
      <c r="C1371" s="36"/>
      <c r="D1371" s="36"/>
      <c r="E1371" s="36"/>
      <c r="F1371" s="36"/>
      <c r="G1371" s="36"/>
      <c r="H1371" s="36"/>
      <c r="I1371" s="36"/>
    </row>
    <row r="1372" spans="1:9">
      <c r="A1372" s="31"/>
      <c r="B1372" s="31"/>
      <c r="C1372" s="36"/>
      <c r="D1372" s="36"/>
      <c r="E1372" s="36"/>
      <c r="F1372" s="36"/>
      <c r="G1372" s="36"/>
      <c r="H1372" s="36"/>
      <c r="I1372" s="36"/>
    </row>
    <row r="1373" spans="1:9">
      <c r="A1373" s="31"/>
      <c r="B1373" s="31"/>
      <c r="C1373" s="36"/>
      <c r="D1373" s="36"/>
      <c r="E1373" s="36"/>
      <c r="F1373" s="36"/>
      <c r="G1373" s="36"/>
      <c r="H1373" s="36"/>
      <c r="I1373" s="36"/>
    </row>
    <row r="1374" spans="1:9">
      <c r="A1374" s="31"/>
      <c r="B1374" s="31"/>
      <c r="C1374" s="36"/>
      <c r="D1374" s="36"/>
      <c r="E1374" s="36"/>
      <c r="F1374" s="36"/>
      <c r="G1374" s="36"/>
      <c r="H1374" s="36"/>
      <c r="I1374" s="36"/>
    </row>
    <row r="1375" spans="1:9">
      <c r="A1375" s="31"/>
      <c r="B1375" s="31"/>
      <c r="C1375" s="36"/>
      <c r="D1375" s="36"/>
      <c r="E1375" s="36"/>
      <c r="F1375" s="36"/>
      <c r="G1375" s="36"/>
      <c r="H1375" s="36"/>
      <c r="I1375" s="36"/>
    </row>
    <row r="1376" spans="1:9">
      <c r="A1376" s="31"/>
      <c r="B1376" s="31"/>
      <c r="C1376" s="36"/>
      <c r="D1376" s="36"/>
      <c r="E1376" s="36"/>
      <c r="F1376" s="36"/>
      <c r="G1376" s="36"/>
      <c r="H1376" s="36"/>
      <c r="I1376" s="36"/>
    </row>
    <row r="1377" spans="1:9">
      <c r="A1377" s="31"/>
      <c r="B1377" s="31"/>
      <c r="C1377" s="36"/>
      <c r="D1377" s="36"/>
      <c r="E1377" s="36"/>
      <c r="F1377" s="36"/>
      <c r="G1377" s="36"/>
      <c r="H1377" s="36"/>
      <c r="I1377" s="36"/>
    </row>
    <row r="1378" spans="1:9">
      <c r="A1378" s="31"/>
      <c r="B1378" s="31"/>
      <c r="C1378" s="36"/>
      <c r="D1378" s="36"/>
      <c r="E1378" s="36"/>
      <c r="F1378" s="36"/>
      <c r="G1378" s="36"/>
      <c r="H1378" s="36"/>
      <c r="I1378" s="36"/>
    </row>
    <row r="1379" spans="1:9">
      <c r="A1379" s="31"/>
      <c r="B1379" s="31"/>
      <c r="C1379" s="36"/>
      <c r="D1379" s="36"/>
      <c r="E1379" s="36"/>
      <c r="F1379" s="36"/>
      <c r="G1379" s="36"/>
      <c r="H1379" s="36"/>
      <c r="I1379" s="36"/>
    </row>
    <row r="1380" spans="1:9">
      <c r="A1380" s="31"/>
      <c r="B1380" s="31"/>
      <c r="C1380" s="36"/>
      <c r="D1380" s="36"/>
      <c r="E1380" s="36"/>
      <c r="F1380" s="36"/>
      <c r="G1380" s="36"/>
      <c r="H1380" s="36"/>
      <c r="I1380" s="36"/>
    </row>
    <row r="1381" spans="1:9">
      <c r="A1381" s="31"/>
      <c r="B1381" s="31"/>
      <c r="C1381" s="36"/>
      <c r="D1381" s="36"/>
      <c r="E1381" s="36"/>
      <c r="F1381" s="36"/>
      <c r="G1381" s="36"/>
      <c r="H1381" s="36"/>
      <c r="I1381" s="36"/>
    </row>
    <row r="1382" spans="1:9">
      <c r="A1382" s="31"/>
      <c r="B1382" s="31"/>
      <c r="C1382" s="36"/>
      <c r="D1382" s="36"/>
      <c r="E1382" s="36"/>
      <c r="F1382" s="36"/>
      <c r="G1382" s="36"/>
      <c r="H1382" s="36"/>
      <c r="I1382" s="36"/>
    </row>
    <row r="1383" spans="1:9">
      <c r="A1383" s="31"/>
      <c r="B1383" s="31"/>
      <c r="C1383" s="36"/>
      <c r="D1383" s="36"/>
      <c r="E1383" s="36"/>
      <c r="F1383" s="36"/>
      <c r="G1383" s="36"/>
      <c r="H1383" s="36"/>
      <c r="I1383" s="36"/>
    </row>
    <row r="1384" spans="1:9">
      <c r="A1384" s="31"/>
      <c r="B1384" s="31"/>
      <c r="C1384" s="36"/>
      <c r="D1384" s="36"/>
      <c r="E1384" s="36"/>
      <c r="F1384" s="36"/>
      <c r="G1384" s="36"/>
      <c r="H1384" s="36"/>
      <c r="I1384" s="36"/>
    </row>
    <row r="1385" spans="1:9">
      <c r="A1385" s="31"/>
      <c r="B1385" s="31"/>
      <c r="C1385" s="36"/>
      <c r="D1385" s="36"/>
      <c r="E1385" s="36"/>
      <c r="F1385" s="36"/>
      <c r="G1385" s="36"/>
      <c r="H1385" s="36"/>
      <c r="I1385" s="36"/>
    </row>
    <row r="1386" spans="1:9">
      <c r="A1386" s="31"/>
      <c r="B1386" s="31"/>
      <c r="C1386" s="36"/>
      <c r="D1386" s="36"/>
      <c r="E1386" s="36"/>
      <c r="F1386" s="36"/>
      <c r="G1386" s="36"/>
      <c r="H1386" s="36"/>
      <c r="I1386" s="36"/>
    </row>
    <row r="1387" spans="1:9">
      <c r="A1387" s="31"/>
      <c r="B1387" s="31"/>
      <c r="C1387" s="36"/>
      <c r="D1387" s="36"/>
      <c r="E1387" s="36"/>
      <c r="F1387" s="36"/>
      <c r="G1387" s="36"/>
      <c r="H1387" s="36"/>
      <c r="I1387" s="36"/>
    </row>
    <row r="1388" spans="1:9">
      <c r="A1388" s="31"/>
      <c r="B1388" s="31"/>
      <c r="C1388" s="36"/>
      <c r="D1388" s="36"/>
      <c r="E1388" s="36"/>
      <c r="F1388" s="36"/>
      <c r="G1388" s="36"/>
      <c r="H1388" s="36"/>
      <c r="I1388" s="36"/>
    </row>
    <row r="1389" spans="1:9">
      <c r="A1389" s="31"/>
      <c r="B1389" s="31"/>
      <c r="C1389" s="36"/>
      <c r="D1389" s="36"/>
      <c r="E1389" s="36"/>
      <c r="F1389" s="36"/>
      <c r="G1389" s="36"/>
      <c r="H1389" s="36"/>
      <c r="I1389" s="36"/>
    </row>
    <row r="1390" spans="1:9">
      <c r="A1390" s="31"/>
      <c r="B1390" s="31"/>
      <c r="C1390" s="36"/>
      <c r="D1390" s="36"/>
      <c r="E1390" s="36"/>
      <c r="F1390" s="36"/>
      <c r="G1390" s="36"/>
      <c r="H1390" s="36"/>
      <c r="I1390" s="36"/>
    </row>
    <row r="1391" spans="1:9">
      <c r="A1391" s="31"/>
      <c r="B1391" s="31"/>
      <c r="C1391" s="36"/>
      <c r="D1391" s="36"/>
      <c r="E1391" s="36"/>
      <c r="F1391" s="36"/>
      <c r="G1391" s="36"/>
      <c r="H1391" s="36"/>
      <c r="I1391" s="36"/>
    </row>
    <row r="1392" spans="1:9">
      <c r="A1392" s="31"/>
      <c r="B1392" s="31"/>
      <c r="C1392" s="36"/>
      <c r="D1392" s="36"/>
      <c r="E1392" s="36"/>
      <c r="F1392" s="36"/>
      <c r="G1392" s="36"/>
      <c r="H1392" s="36"/>
      <c r="I1392" s="36"/>
    </row>
    <row r="1393" spans="1:9">
      <c r="A1393" s="31"/>
      <c r="B1393" s="31"/>
      <c r="C1393" s="36"/>
      <c r="D1393" s="36"/>
      <c r="E1393" s="36"/>
      <c r="F1393" s="36"/>
      <c r="G1393" s="36"/>
      <c r="H1393" s="36"/>
      <c r="I1393" s="36"/>
    </row>
    <row r="1394" spans="1:9">
      <c r="A1394" s="31"/>
      <c r="B1394" s="31"/>
      <c r="C1394" s="36"/>
      <c r="D1394" s="36"/>
      <c r="E1394" s="36"/>
      <c r="F1394" s="36"/>
      <c r="G1394" s="36"/>
      <c r="H1394" s="36"/>
      <c r="I1394" s="36"/>
    </row>
    <row r="1395" spans="1:9">
      <c r="A1395" s="31"/>
      <c r="B1395" s="31"/>
      <c r="C1395" s="36"/>
      <c r="D1395" s="36"/>
      <c r="E1395" s="36"/>
      <c r="F1395" s="36"/>
      <c r="G1395" s="36"/>
      <c r="H1395" s="36"/>
      <c r="I1395" s="36"/>
    </row>
    <row r="1396" spans="1:9">
      <c r="A1396" s="31"/>
      <c r="B1396" s="31"/>
      <c r="C1396" s="36"/>
      <c r="D1396" s="36"/>
      <c r="E1396" s="36"/>
      <c r="F1396" s="36"/>
      <c r="G1396" s="36"/>
      <c r="H1396" s="36"/>
      <c r="I1396" s="36"/>
    </row>
    <row r="1397" spans="1:9">
      <c r="A1397" s="31"/>
      <c r="B1397" s="31"/>
      <c r="C1397" s="36"/>
      <c r="D1397" s="36"/>
      <c r="E1397" s="36"/>
      <c r="F1397" s="36"/>
      <c r="G1397" s="36"/>
      <c r="H1397" s="36"/>
      <c r="I1397" s="36"/>
    </row>
    <row r="1398" spans="1:9">
      <c r="A1398" s="31"/>
      <c r="B1398" s="31"/>
      <c r="C1398" s="36"/>
      <c r="D1398" s="36"/>
      <c r="E1398" s="36"/>
      <c r="F1398" s="36"/>
      <c r="G1398" s="36"/>
      <c r="H1398" s="36"/>
      <c r="I1398" s="36"/>
    </row>
    <row r="1399" spans="1:9">
      <c r="A1399" s="31"/>
      <c r="B1399" s="31"/>
      <c r="C1399" s="36"/>
      <c r="D1399" s="36"/>
      <c r="E1399" s="36"/>
      <c r="F1399" s="36"/>
      <c r="G1399" s="36"/>
      <c r="H1399" s="36"/>
      <c r="I1399" s="36"/>
    </row>
    <row r="1400" spans="1:9">
      <c r="A1400" s="31"/>
      <c r="B1400" s="31"/>
      <c r="C1400" s="36"/>
      <c r="D1400" s="36"/>
      <c r="E1400" s="36"/>
      <c r="F1400" s="36"/>
      <c r="G1400" s="36"/>
      <c r="H1400" s="36"/>
      <c r="I1400" s="36"/>
    </row>
    <row r="1401" spans="1:9">
      <c r="A1401" s="31"/>
      <c r="B1401" s="31"/>
      <c r="C1401" s="36"/>
      <c r="D1401" s="36"/>
      <c r="E1401" s="36"/>
      <c r="F1401" s="36"/>
      <c r="G1401" s="36"/>
      <c r="H1401" s="36"/>
      <c r="I1401" s="36"/>
    </row>
    <row r="1402" spans="1:9">
      <c r="A1402" s="31"/>
      <c r="B1402" s="31"/>
      <c r="C1402" s="36"/>
      <c r="D1402" s="36"/>
      <c r="E1402" s="36"/>
      <c r="F1402" s="36"/>
      <c r="G1402" s="36"/>
      <c r="H1402" s="36"/>
      <c r="I1402" s="36"/>
    </row>
    <row r="1403" spans="1:9">
      <c r="A1403" s="31"/>
      <c r="B1403" s="31"/>
      <c r="C1403" s="36"/>
      <c r="D1403" s="36"/>
      <c r="E1403" s="36"/>
      <c r="F1403" s="36"/>
      <c r="G1403" s="36"/>
      <c r="H1403" s="36"/>
      <c r="I1403" s="36"/>
    </row>
    <row r="1404" spans="1:9">
      <c r="A1404" s="31"/>
      <c r="B1404" s="31"/>
      <c r="C1404" s="36"/>
      <c r="D1404" s="36"/>
      <c r="E1404" s="36"/>
      <c r="F1404" s="36"/>
      <c r="G1404" s="36"/>
      <c r="H1404" s="36"/>
      <c r="I1404" s="36"/>
    </row>
    <row r="1405" spans="1:9">
      <c r="A1405" s="31"/>
      <c r="B1405" s="31"/>
      <c r="C1405" s="36"/>
      <c r="D1405" s="36"/>
      <c r="E1405" s="36"/>
      <c r="F1405" s="36"/>
      <c r="G1405" s="36"/>
      <c r="H1405" s="36"/>
      <c r="I1405" s="36"/>
    </row>
    <row r="1406" spans="1:9">
      <c r="A1406" s="31"/>
      <c r="B1406" s="31"/>
      <c r="C1406" s="36"/>
      <c r="D1406" s="36"/>
      <c r="E1406" s="36"/>
      <c r="F1406" s="36"/>
      <c r="G1406" s="36"/>
      <c r="H1406" s="36"/>
      <c r="I1406" s="36"/>
    </row>
    <row r="1407" spans="1:9">
      <c r="A1407" s="31"/>
      <c r="B1407" s="31"/>
      <c r="C1407" s="36"/>
      <c r="D1407" s="36"/>
      <c r="E1407" s="36"/>
      <c r="F1407" s="36"/>
      <c r="G1407" s="36"/>
      <c r="H1407" s="36"/>
      <c r="I1407" s="36"/>
    </row>
    <row r="1408" spans="1:9">
      <c r="A1408" s="31"/>
      <c r="B1408" s="31"/>
      <c r="C1408" s="36"/>
      <c r="D1408" s="36"/>
      <c r="E1408" s="36"/>
      <c r="F1408" s="36"/>
      <c r="G1408" s="36"/>
      <c r="H1408" s="36"/>
      <c r="I1408" s="36"/>
    </row>
    <row r="1409" spans="1:9">
      <c r="A1409" s="31"/>
      <c r="B1409" s="31"/>
      <c r="C1409" s="36"/>
      <c r="D1409" s="36"/>
      <c r="E1409" s="36"/>
      <c r="F1409" s="36"/>
      <c r="G1409" s="36"/>
      <c r="H1409" s="36"/>
      <c r="I1409" s="36"/>
    </row>
    <row r="1410" spans="1:9">
      <c r="A1410" s="31"/>
      <c r="B1410" s="31"/>
      <c r="C1410" s="36"/>
      <c r="D1410" s="36"/>
      <c r="E1410" s="36"/>
      <c r="F1410" s="36"/>
      <c r="G1410" s="36"/>
      <c r="H1410" s="36"/>
      <c r="I1410" s="36"/>
    </row>
    <row r="1411" spans="1:9">
      <c r="A1411" s="31"/>
      <c r="B1411" s="31"/>
      <c r="C1411" s="36"/>
      <c r="D1411" s="36"/>
      <c r="E1411" s="36"/>
      <c r="F1411" s="36"/>
      <c r="G1411" s="36"/>
      <c r="H1411" s="36"/>
      <c r="I1411" s="36"/>
    </row>
    <row r="1412" spans="1:9">
      <c r="A1412" s="31"/>
      <c r="B1412" s="31"/>
      <c r="C1412" s="36"/>
      <c r="D1412" s="36"/>
      <c r="E1412" s="36"/>
      <c r="F1412" s="36"/>
      <c r="G1412" s="36"/>
      <c r="H1412" s="36"/>
      <c r="I1412" s="36"/>
    </row>
    <row r="1413" spans="1:9">
      <c r="A1413" s="31"/>
      <c r="B1413" s="31"/>
      <c r="C1413" s="36"/>
      <c r="D1413" s="36"/>
      <c r="E1413" s="36"/>
      <c r="F1413" s="36"/>
      <c r="G1413" s="36"/>
      <c r="H1413" s="36"/>
      <c r="I1413" s="36"/>
    </row>
    <row r="1414" spans="1:9">
      <c r="A1414" s="31"/>
      <c r="B1414" s="31"/>
      <c r="C1414" s="36"/>
      <c r="D1414" s="36"/>
      <c r="E1414" s="36"/>
      <c r="F1414" s="36"/>
      <c r="G1414" s="36"/>
      <c r="H1414" s="36"/>
      <c r="I1414" s="36"/>
    </row>
    <row r="1415" spans="1:9">
      <c r="A1415" s="31"/>
      <c r="B1415" s="31"/>
      <c r="C1415" s="36"/>
      <c r="D1415" s="36"/>
      <c r="E1415" s="36"/>
      <c r="F1415" s="36"/>
      <c r="G1415" s="36"/>
      <c r="H1415" s="36"/>
      <c r="I1415" s="36"/>
    </row>
    <row r="1416" spans="1:9">
      <c r="A1416" s="31"/>
      <c r="B1416" s="31"/>
      <c r="C1416" s="36"/>
      <c r="D1416" s="36"/>
      <c r="E1416" s="36"/>
      <c r="F1416" s="36"/>
      <c r="G1416" s="36"/>
      <c r="H1416" s="36"/>
      <c r="I1416" s="36"/>
    </row>
    <row r="1417" spans="1:9">
      <c r="A1417" s="31"/>
      <c r="B1417" s="31"/>
      <c r="C1417" s="36"/>
      <c r="D1417" s="36"/>
      <c r="E1417" s="36"/>
      <c r="F1417" s="36"/>
      <c r="G1417" s="36"/>
      <c r="H1417" s="36"/>
      <c r="I1417" s="36"/>
    </row>
    <row r="1418" spans="1:9">
      <c r="A1418" s="31"/>
      <c r="B1418" s="31"/>
      <c r="C1418" s="36"/>
      <c r="D1418" s="36"/>
      <c r="E1418" s="36"/>
      <c r="F1418" s="36"/>
      <c r="G1418" s="36"/>
      <c r="H1418" s="36"/>
      <c r="I1418" s="36"/>
    </row>
    <row r="1419" spans="1:9">
      <c r="A1419" s="31"/>
      <c r="B1419" s="31"/>
      <c r="C1419" s="36"/>
      <c r="D1419" s="36"/>
      <c r="E1419" s="36"/>
      <c r="F1419" s="36"/>
      <c r="G1419" s="36"/>
      <c r="H1419" s="36"/>
      <c r="I1419" s="36"/>
    </row>
    <row r="1420" spans="1:9">
      <c r="A1420" s="31"/>
      <c r="B1420" s="31"/>
      <c r="C1420" s="36"/>
      <c r="D1420" s="36"/>
      <c r="E1420" s="36"/>
      <c r="F1420" s="36"/>
      <c r="G1420" s="36"/>
      <c r="H1420" s="36"/>
      <c r="I1420" s="36"/>
    </row>
    <row r="1421" spans="1:9">
      <c r="A1421" s="31"/>
      <c r="B1421" s="31"/>
      <c r="C1421" s="36"/>
      <c r="D1421" s="36"/>
      <c r="E1421" s="36"/>
      <c r="F1421" s="36"/>
      <c r="G1421" s="36"/>
      <c r="H1421" s="36"/>
      <c r="I1421" s="36"/>
    </row>
    <row r="1422" spans="1:9">
      <c r="A1422" s="31"/>
      <c r="B1422" s="31"/>
      <c r="C1422" s="36"/>
      <c r="D1422" s="36"/>
      <c r="E1422" s="36"/>
      <c r="F1422" s="36"/>
      <c r="G1422" s="36"/>
      <c r="H1422" s="36"/>
      <c r="I1422" s="36"/>
    </row>
    <row r="1423" spans="1:9">
      <c r="A1423" s="31"/>
      <c r="B1423" s="31"/>
      <c r="C1423" s="36"/>
      <c r="D1423" s="36"/>
      <c r="E1423" s="36"/>
      <c r="F1423" s="36"/>
      <c r="G1423" s="36"/>
      <c r="H1423" s="36"/>
      <c r="I1423" s="36"/>
    </row>
    <row r="1424" spans="1:9">
      <c r="A1424" s="31"/>
      <c r="B1424" s="31"/>
      <c r="C1424" s="36"/>
      <c r="D1424" s="36"/>
      <c r="E1424" s="36"/>
      <c r="F1424" s="36"/>
      <c r="G1424" s="36"/>
      <c r="H1424" s="36"/>
      <c r="I1424" s="36"/>
    </row>
    <row r="1425" spans="1:9">
      <c r="A1425" s="31"/>
      <c r="B1425" s="31"/>
      <c r="C1425" s="36"/>
      <c r="D1425" s="36"/>
      <c r="E1425" s="36"/>
      <c r="F1425" s="36"/>
      <c r="G1425" s="36"/>
      <c r="H1425" s="36"/>
      <c r="I1425" s="36"/>
    </row>
    <row r="1426" spans="1:9">
      <c r="A1426" s="31"/>
      <c r="B1426" s="31"/>
      <c r="C1426" s="36"/>
      <c r="D1426" s="36"/>
      <c r="E1426" s="36"/>
      <c r="F1426" s="36"/>
      <c r="G1426" s="36"/>
      <c r="H1426" s="36"/>
      <c r="I1426" s="36"/>
    </row>
    <row r="1427" spans="1:9">
      <c r="A1427" s="31"/>
      <c r="B1427" s="31"/>
      <c r="C1427" s="36"/>
      <c r="D1427" s="36"/>
      <c r="E1427" s="36"/>
      <c r="F1427" s="36"/>
      <c r="G1427" s="36"/>
      <c r="H1427" s="36"/>
      <c r="I1427" s="36"/>
    </row>
    <row r="1428" spans="1:9">
      <c r="A1428" s="31"/>
      <c r="B1428" s="31"/>
      <c r="C1428" s="36"/>
      <c r="D1428" s="36"/>
      <c r="E1428" s="36"/>
      <c r="F1428" s="36"/>
      <c r="G1428" s="36"/>
      <c r="H1428" s="36"/>
      <c r="I1428" s="36"/>
    </row>
    <row r="1429" spans="1:9">
      <c r="A1429" s="31"/>
      <c r="B1429" s="31"/>
      <c r="C1429" s="36"/>
      <c r="D1429" s="36"/>
      <c r="E1429" s="36"/>
      <c r="F1429" s="36"/>
      <c r="G1429" s="36"/>
      <c r="H1429" s="36"/>
      <c r="I1429" s="36"/>
    </row>
    <row r="1430" spans="1:9">
      <c r="A1430" s="31"/>
      <c r="B1430" s="31"/>
      <c r="C1430" s="36"/>
      <c r="D1430" s="36"/>
      <c r="E1430" s="36"/>
      <c r="F1430" s="36"/>
      <c r="G1430" s="36"/>
      <c r="H1430" s="36"/>
      <c r="I1430" s="36"/>
    </row>
    <row r="1431" spans="1:9">
      <c r="A1431" s="31"/>
      <c r="B1431" s="31"/>
      <c r="C1431" s="36"/>
      <c r="D1431" s="36"/>
      <c r="E1431" s="36"/>
      <c r="F1431" s="36"/>
      <c r="G1431" s="36"/>
      <c r="H1431" s="36"/>
      <c r="I1431" s="36"/>
    </row>
    <row r="1432" spans="1:9">
      <c r="A1432" s="31"/>
      <c r="B1432" s="31"/>
      <c r="C1432" s="36"/>
      <c r="D1432" s="36"/>
      <c r="E1432" s="36"/>
      <c r="F1432" s="36"/>
      <c r="G1432" s="36"/>
      <c r="H1432" s="36"/>
      <c r="I1432" s="36"/>
    </row>
    <row r="1433" spans="1:9">
      <c r="A1433" s="31"/>
      <c r="B1433" s="31"/>
      <c r="C1433" s="36"/>
      <c r="D1433" s="36"/>
      <c r="E1433" s="36"/>
      <c r="F1433" s="36"/>
      <c r="G1433" s="36"/>
      <c r="H1433" s="36"/>
      <c r="I1433" s="36"/>
    </row>
    <row r="1434" spans="1:9">
      <c r="A1434" s="31"/>
      <c r="B1434" s="31"/>
      <c r="C1434" s="36"/>
      <c r="D1434" s="36"/>
      <c r="E1434" s="36"/>
      <c r="F1434" s="36"/>
      <c r="G1434" s="36"/>
      <c r="H1434" s="36"/>
      <c r="I1434" s="36"/>
    </row>
    <row r="1435" spans="1:9">
      <c r="A1435" s="31"/>
      <c r="B1435" s="31"/>
      <c r="C1435" s="36"/>
      <c r="D1435" s="36"/>
      <c r="E1435" s="36"/>
      <c r="F1435" s="36"/>
      <c r="G1435" s="36"/>
      <c r="H1435" s="36"/>
      <c r="I1435" s="36"/>
    </row>
    <row r="1436" spans="1:9">
      <c r="A1436" s="31"/>
      <c r="B1436" s="31"/>
      <c r="C1436" s="36"/>
      <c r="D1436" s="36"/>
      <c r="E1436" s="36"/>
      <c r="F1436" s="36"/>
      <c r="G1436" s="36"/>
      <c r="H1436" s="36"/>
      <c r="I1436" s="36"/>
    </row>
    <row r="1437" spans="1:9">
      <c r="A1437" s="31"/>
      <c r="B1437" s="31"/>
      <c r="C1437" s="36"/>
      <c r="D1437" s="36"/>
      <c r="E1437" s="36"/>
      <c r="F1437" s="36"/>
      <c r="G1437" s="36"/>
      <c r="H1437" s="36"/>
      <c r="I1437" s="36"/>
    </row>
    <row r="1438" spans="1:9">
      <c r="A1438" s="31"/>
      <c r="B1438" s="31"/>
      <c r="C1438" s="36"/>
      <c r="D1438" s="36"/>
      <c r="E1438" s="36"/>
      <c r="F1438" s="36"/>
      <c r="G1438" s="36"/>
      <c r="H1438" s="36"/>
      <c r="I1438" s="36"/>
    </row>
    <row r="1439" spans="1:9">
      <c r="A1439" s="31"/>
      <c r="B1439" s="31"/>
      <c r="C1439" s="36"/>
      <c r="D1439" s="36"/>
      <c r="E1439" s="36"/>
      <c r="F1439" s="36"/>
      <c r="G1439" s="36"/>
      <c r="H1439" s="36"/>
      <c r="I1439" s="36"/>
    </row>
    <row r="1440" spans="1:9">
      <c r="A1440" s="31"/>
      <c r="B1440" s="31"/>
      <c r="C1440" s="36"/>
      <c r="D1440" s="36"/>
      <c r="E1440" s="36"/>
      <c r="F1440" s="36"/>
      <c r="G1440" s="36"/>
      <c r="H1440" s="36"/>
      <c r="I1440" s="36"/>
    </row>
    <row r="1441" spans="1:9">
      <c r="A1441" s="31"/>
      <c r="B1441" s="31"/>
      <c r="C1441" s="36"/>
      <c r="D1441" s="36"/>
      <c r="E1441" s="36"/>
      <c r="F1441" s="36"/>
      <c r="G1441" s="36"/>
      <c r="H1441" s="36"/>
      <c r="I1441" s="36"/>
    </row>
    <row r="1442" spans="1:9">
      <c r="A1442" s="31"/>
      <c r="B1442" s="31"/>
      <c r="C1442" s="36"/>
      <c r="D1442" s="36"/>
      <c r="E1442" s="36"/>
      <c r="F1442" s="36"/>
      <c r="G1442" s="36"/>
      <c r="H1442" s="36"/>
      <c r="I1442" s="36"/>
    </row>
    <row r="1443" spans="1:9">
      <c r="A1443" s="31"/>
      <c r="B1443" s="31"/>
      <c r="C1443" s="36"/>
      <c r="D1443" s="36"/>
      <c r="E1443" s="36"/>
      <c r="F1443" s="36"/>
      <c r="G1443" s="36"/>
      <c r="H1443" s="36"/>
      <c r="I1443" s="36"/>
    </row>
    <row r="1444" spans="1:9">
      <c r="A1444" s="31"/>
      <c r="B1444" s="31"/>
      <c r="C1444" s="36"/>
      <c r="D1444" s="36"/>
      <c r="E1444" s="36"/>
      <c r="F1444" s="36"/>
      <c r="G1444" s="36"/>
      <c r="H1444" s="36"/>
      <c r="I1444" s="36"/>
    </row>
    <row r="1445" spans="1:9">
      <c r="A1445" s="31"/>
      <c r="B1445" s="31"/>
      <c r="C1445" s="36"/>
      <c r="D1445" s="36"/>
      <c r="E1445" s="36"/>
      <c r="F1445" s="36"/>
      <c r="G1445" s="36"/>
      <c r="H1445" s="36"/>
      <c r="I1445" s="36"/>
    </row>
    <row r="1446" spans="1:9">
      <c r="A1446" s="31"/>
      <c r="B1446" s="31"/>
      <c r="C1446" s="36"/>
      <c r="D1446" s="36"/>
      <c r="E1446" s="36"/>
      <c r="F1446" s="36"/>
      <c r="G1446" s="36"/>
      <c r="H1446" s="36"/>
      <c r="I1446" s="36"/>
    </row>
    <row r="1447" spans="1:9">
      <c r="A1447" s="31"/>
      <c r="B1447" s="31"/>
      <c r="C1447" s="36"/>
      <c r="D1447" s="36"/>
      <c r="E1447" s="36"/>
      <c r="F1447" s="36"/>
      <c r="G1447" s="36"/>
      <c r="H1447" s="36"/>
      <c r="I1447" s="36"/>
    </row>
    <row r="1448" spans="1:9">
      <c r="A1448" s="31"/>
      <c r="B1448" s="31"/>
      <c r="C1448" s="36"/>
      <c r="D1448" s="36"/>
      <c r="E1448" s="36"/>
      <c r="F1448" s="36"/>
      <c r="G1448" s="36"/>
      <c r="H1448" s="36"/>
      <c r="I1448" s="36"/>
    </row>
    <row r="1449" spans="1:9">
      <c r="A1449" s="31"/>
      <c r="B1449" s="31"/>
      <c r="C1449" s="36"/>
      <c r="D1449" s="36"/>
      <c r="E1449" s="36"/>
      <c r="F1449" s="36"/>
      <c r="G1449" s="36"/>
      <c r="H1449" s="36"/>
      <c r="I1449" s="36"/>
    </row>
    <row r="1450" spans="1:9">
      <c r="A1450" s="31"/>
      <c r="B1450" s="31"/>
      <c r="C1450" s="36"/>
      <c r="D1450" s="36"/>
      <c r="E1450" s="36"/>
      <c r="F1450" s="36"/>
      <c r="G1450" s="36"/>
      <c r="H1450" s="36"/>
      <c r="I1450" s="36"/>
    </row>
    <row r="1451" spans="1:9">
      <c r="A1451" s="31"/>
      <c r="B1451" s="31"/>
      <c r="C1451" s="36"/>
      <c r="D1451" s="36"/>
      <c r="E1451" s="36"/>
      <c r="F1451" s="36"/>
      <c r="G1451" s="36"/>
      <c r="H1451" s="36"/>
      <c r="I1451" s="36"/>
    </row>
    <row r="1452" spans="1:9">
      <c r="A1452" s="31"/>
      <c r="B1452" s="31"/>
      <c r="C1452" s="36"/>
      <c r="D1452" s="36"/>
      <c r="E1452" s="36"/>
      <c r="F1452" s="36"/>
      <c r="G1452" s="36"/>
      <c r="H1452" s="36"/>
      <c r="I1452" s="36"/>
    </row>
    <row r="1453" spans="1:9">
      <c r="A1453" s="31"/>
      <c r="B1453" s="31"/>
      <c r="C1453" s="36"/>
      <c r="D1453" s="36"/>
      <c r="E1453" s="36"/>
      <c r="F1453" s="36"/>
      <c r="G1453" s="36"/>
      <c r="H1453" s="36"/>
      <c r="I1453" s="36"/>
    </row>
    <row r="1454" spans="1:9">
      <c r="A1454" s="31"/>
      <c r="B1454" s="31"/>
      <c r="C1454" s="36"/>
      <c r="D1454" s="36"/>
      <c r="E1454" s="36"/>
      <c r="F1454" s="36"/>
      <c r="G1454" s="36"/>
      <c r="H1454" s="36"/>
      <c r="I1454" s="36"/>
    </row>
    <row r="1455" spans="1:9">
      <c r="A1455" s="31"/>
      <c r="B1455" s="31"/>
      <c r="C1455" s="36"/>
      <c r="D1455" s="36"/>
      <c r="E1455" s="36"/>
      <c r="F1455" s="36"/>
      <c r="G1455" s="36"/>
      <c r="H1455" s="36"/>
      <c r="I1455" s="36"/>
    </row>
    <row r="1456" spans="1:9">
      <c r="A1456" s="31"/>
      <c r="B1456" s="31"/>
      <c r="C1456" s="36"/>
      <c r="D1456" s="36"/>
      <c r="E1456" s="36"/>
      <c r="F1456" s="36"/>
      <c r="G1456" s="36"/>
      <c r="H1456" s="36"/>
      <c r="I1456" s="36"/>
    </row>
    <row r="1457" spans="1:9">
      <c r="A1457" s="31"/>
      <c r="B1457" s="31"/>
      <c r="C1457" s="36"/>
      <c r="D1457" s="36"/>
      <c r="E1457" s="36"/>
      <c r="F1457" s="36"/>
      <c r="G1457" s="36"/>
      <c r="H1457" s="36"/>
      <c r="I1457" s="36"/>
    </row>
    <row r="1458" spans="1:9">
      <c r="A1458" s="31"/>
      <c r="B1458" s="31"/>
      <c r="C1458" s="36"/>
      <c r="D1458" s="36"/>
      <c r="E1458" s="36"/>
      <c r="F1458" s="36"/>
      <c r="G1458" s="36"/>
      <c r="H1458" s="36"/>
      <c r="I1458" s="36"/>
    </row>
    <row r="1459" spans="1:9">
      <c r="A1459" s="31"/>
      <c r="B1459" s="31"/>
      <c r="C1459" s="36"/>
      <c r="D1459" s="36"/>
      <c r="E1459" s="36"/>
      <c r="F1459" s="36"/>
      <c r="G1459" s="36"/>
      <c r="H1459" s="36"/>
      <c r="I1459" s="36"/>
    </row>
    <row r="1460" spans="1:9">
      <c r="A1460" s="31"/>
      <c r="B1460" s="31"/>
      <c r="C1460" s="36"/>
      <c r="D1460" s="36"/>
      <c r="E1460" s="36"/>
      <c r="F1460" s="36"/>
      <c r="G1460" s="36"/>
      <c r="H1460" s="36"/>
      <c r="I1460" s="36"/>
    </row>
    <row r="1461" spans="1:9">
      <c r="A1461" s="31"/>
      <c r="B1461" s="31"/>
      <c r="C1461" s="36"/>
      <c r="D1461" s="36"/>
      <c r="E1461" s="36"/>
      <c r="F1461" s="36"/>
      <c r="G1461" s="36"/>
      <c r="H1461" s="36"/>
      <c r="I1461" s="36"/>
    </row>
    <row r="1462" spans="1:9">
      <c r="A1462" s="31"/>
      <c r="B1462" s="31"/>
      <c r="C1462" s="36"/>
      <c r="D1462" s="36"/>
      <c r="E1462" s="36"/>
      <c r="F1462" s="36"/>
      <c r="G1462" s="36"/>
      <c r="H1462" s="36"/>
      <c r="I1462" s="36"/>
    </row>
    <row r="1463" spans="1:9">
      <c r="A1463" s="31"/>
      <c r="B1463" s="31"/>
      <c r="C1463" s="36"/>
      <c r="D1463" s="36"/>
      <c r="E1463" s="36"/>
      <c r="F1463" s="36"/>
      <c r="G1463" s="36"/>
      <c r="H1463" s="36"/>
      <c r="I1463" s="36"/>
    </row>
    <row r="1464" spans="1:9">
      <c r="A1464" s="31"/>
      <c r="B1464" s="31"/>
      <c r="C1464" s="36"/>
      <c r="D1464" s="36"/>
      <c r="E1464" s="36"/>
      <c r="F1464" s="36"/>
      <c r="G1464" s="36"/>
      <c r="H1464" s="36"/>
      <c r="I1464" s="36"/>
    </row>
    <row r="1465" spans="1:9">
      <c r="A1465" s="31"/>
      <c r="B1465" s="31"/>
      <c r="C1465" s="36"/>
      <c r="D1465" s="36"/>
      <c r="E1465" s="36"/>
      <c r="F1465" s="36"/>
      <c r="G1465" s="36"/>
      <c r="H1465" s="36"/>
      <c r="I1465" s="36"/>
    </row>
    <row r="1466" spans="1:9">
      <c r="A1466" s="31"/>
      <c r="B1466" s="31"/>
      <c r="C1466" s="36"/>
      <c r="D1466" s="36"/>
      <c r="E1466" s="36"/>
      <c r="F1466" s="36"/>
      <c r="G1466" s="36"/>
      <c r="H1466" s="36"/>
      <c r="I1466" s="36"/>
    </row>
    <row r="1467" spans="1:9">
      <c r="A1467" s="31"/>
      <c r="B1467" s="31"/>
      <c r="C1467" s="36"/>
      <c r="D1467" s="36"/>
      <c r="E1467" s="36"/>
      <c r="F1467" s="36"/>
      <c r="G1467" s="36"/>
      <c r="H1467" s="36"/>
      <c r="I1467" s="36"/>
    </row>
    <row r="1468" spans="1:9">
      <c r="A1468" s="31"/>
      <c r="B1468" s="31"/>
      <c r="C1468" s="36"/>
      <c r="D1468" s="36"/>
      <c r="E1468" s="36"/>
      <c r="F1468" s="36"/>
      <c r="G1468" s="36"/>
      <c r="H1468" s="36"/>
      <c r="I1468" s="36"/>
    </row>
    <row r="1469" spans="1:9">
      <c r="A1469" s="31"/>
      <c r="B1469" s="31"/>
      <c r="C1469" s="36"/>
      <c r="D1469" s="36"/>
      <c r="E1469" s="36"/>
      <c r="F1469" s="36"/>
      <c r="G1469" s="36"/>
      <c r="H1469" s="36"/>
      <c r="I1469" s="36"/>
    </row>
    <row r="1470" spans="1:9">
      <c r="A1470" s="31"/>
      <c r="B1470" s="31"/>
      <c r="C1470" s="36"/>
      <c r="D1470" s="36"/>
      <c r="E1470" s="36"/>
      <c r="F1470" s="36"/>
      <c r="G1470" s="36"/>
      <c r="H1470" s="36"/>
      <c r="I1470" s="36"/>
    </row>
    <row r="1471" spans="1:9">
      <c r="A1471" s="31"/>
      <c r="B1471" s="31"/>
      <c r="C1471" s="36"/>
      <c r="D1471" s="36"/>
      <c r="E1471" s="36"/>
      <c r="F1471" s="36"/>
      <c r="G1471" s="36"/>
      <c r="H1471" s="36"/>
      <c r="I1471" s="36"/>
    </row>
    <row r="1472" spans="1:9">
      <c r="A1472" s="31"/>
      <c r="B1472" s="31"/>
      <c r="C1472" s="36"/>
      <c r="D1472" s="36"/>
      <c r="E1472" s="36"/>
      <c r="F1472" s="36"/>
      <c r="G1472" s="36"/>
      <c r="H1472" s="36"/>
      <c r="I1472" s="36"/>
    </row>
    <row r="1473" spans="1:9">
      <c r="A1473" s="31"/>
      <c r="B1473" s="31"/>
      <c r="C1473" s="36"/>
      <c r="D1473" s="36"/>
      <c r="E1473" s="36"/>
      <c r="F1473" s="36"/>
      <c r="G1473" s="36"/>
      <c r="H1473" s="36"/>
      <c r="I1473" s="36"/>
    </row>
    <row r="1474" spans="1:9">
      <c r="A1474" s="31"/>
      <c r="B1474" s="31"/>
      <c r="C1474" s="36"/>
      <c r="D1474" s="36"/>
      <c r="E1474" s="36"/>
      <c r="F1474" s="36"/>
      <c r="G1474" s="36"/>
      <c r="H1474" s="36"/>
      <c r="I1474" s="36"/>
    </row>
    <row r="1475" spans="1:9">
      <c r="A1475" s="31"/>
      <c r="B1475" s="31"/>
      <c r="C1475" s="36"/>
      <c r="D1475" s="36"/>
      <c r="E1475" s="36"/>
      <c r="F1475" s="36"/>
      <c r="G1475" s="36"/>
      <c r="H1475" s="36"/>
      <c r="I1475" s="36"/>
    </row>
    <row r="1476" spans="1:9">
      <c r="A1476" s="31"/>
      <c r="B1476" s="31"/>
      <c r="C1476" s="36"/>
      <c r="D1476" s="36"/>
      <c r="E1476" s="36"/>
      <c r="F1476" s="36"/>
      <c r="G1476" s="36"/>
      <c r="H1476" s="36"/>
      <c r="I1476" s="36"/>
    </row>
    <row r="1477" spans="1:9">
      <c r="A1477" s="31"/>
      <c r="B1477" s="31"/>
      <c r="C1477" s="36"/>
      <c r="D1477" s="36"/>
      <c r="E1477" s="36"/>
      <c r="F1477" s="36"/>
      <c r="G1477" s="36"/>
      <c r="H1477" s="36"/>
      <c r="I1477" s="36"/>
    </row>
    <row r="1478" spans="1:9">
      <c r="A1478" s="31"/>
      <c r="B1478" s="31"/>
      <c r="C1478" s="36"/>
      <c r="D1478" s="36"/>
      <c r="E1478" s="36"/>
      <c r="F1478" s="36"/>
      <c r="G1478" s="36"/>
      <c r="H1478" s="36"/>
      <c r="I1478" s="36"/>
    </row>
    <row r="1479" spans="1:9">
      <c r="A1479" s="31"/>
      <c r="B1479" s="31"/>
      <c r="C1479" s="36"/>
      <c r="D1479" s="36"/>
      <c r="E1479" s="36"/>
      <c r="F1479" s="36"/>
      <c r="G1479" s="36"/>
      <c r="H1479" s="36"/>
      <c r="I1479" s="36"/>
    </row>
    <row r="1480" spans="1:9">
      <c r="A1480" s="31"/>
      <c r="B1480" s="31"/>
      <c r="C1480" s="36"/>
      <c r="D1480" s="36"/>
      <c r="E1480" s="36"/>
      <c r="F1480" s="36"/>
      <c r="G1480" s="36"/>
      <c r="H1480" s="36"/>
      <c r="I1480" s="36"/>
    </row>
    <row r="1481" spans="1:9">
      <c r="A1481" s="31"/>
      <c r="B1481" s="31"/>
      <c r="C1481" s="36"/>
      <c r="D1481" s="36"/>
      <c r="E1481" s="36"/>
      <c r="F1481" s="36"/>
      <c r="G1481" s="36"/>
      <c r="H1481" s="36"/>
      <c r="I1481" s="36"/>
    </row>
    <row r="1482" spans="1:9">
      <c r="A1482" s="31"/>
      <c r="B1482" s="31"/>
      <c r="C1482" s="36"/>
      <c r="D1482" s="36"/>
      <c r="E1482" s="36"/>
      <c r="F1482" s="36"/>
      <c r="G1482" s="36"/>
      <c r="H1482" s="36"/>
      <c r="I1482" s="36"/>
    </row>
    <row r="1483" spans="1:9">
      <c r="A1483" s="31"/>
      <c r="B1483" s="31"/>
      <c r="C1483" s="36"/>
      <c r="D1483" s="36"/>
      <c r="E1483" s="36"/>
      <c r="F1483" s="36"/>
      <c r="G1483" s="36"/>
      <c r="H1483" s="36"/>
      <c r="I1483" s="36"/>
    </row>
    <row r="1484" spans="1:9">
      <c r="A1484" s="31"/>
      <c r="B1484" s="31"/>
      <c r="C1484" s="36"/>
      <c r="D1484" s="36"/>
      <c r="E1484" s="36"/>
      <c r="F1484" s="36"/>
      <c r="G1484" s="36"/>
      <c r="H1484" s="36"/>
      <c r="I1484" s="36"/>
    </row>
    <row r="1485" spans="1:9">
      <c r="A1485" s="31"/>
      <c r="B1485" s="31"/>
      <c r="C1485" s="36"/>
      <c r="D1485" s="36"/>
      <c r="E1485" s="36"/>
      <c r="F1485" s="36"/>
      <c r="G1485" s="36"/>
      <c r="H1485" s="36"/>
      <c r="I1485" s="36"/>
    </row>
    <row r="1486" spans="1:9">
      <c r="A1486" s="31"/>
      <c r="B1486" s="31"/>
      <c r="C1486" s="36"/>
      <c r="D1486" s="36"/>
      <c r="E1486" s="36"/>
      <c r="F1486" s="36"/>
      <c r="G1486" s="36"/>
      <c r="H1486" s="36"/>
      <c r="I1486" s="36"/>
    </row>
    <row r="1487" spans="1:9">
      <c r="A1487" s="31"/>
      <c r="B1487" s="31"/>
      <c r="C1487" s="36"/>
      <c r="D1487" s="36"/>
      <c r="E1487" s="36"/>
      <c r="F1487" s="36"/>
      <c r="G1487" s="36"/>
      <c r="H1487" s="36"/>
      <c r="I1487" s="36"/>
    </row>
    <row r="1488" spans="1:9">
      <c r="A1488" s="31"/>
      <c r="B1488" s="31"/>
      <c r="C1488" s="36"/>
      <c r="D1488" s="36"/>
      <c r="E1488" s="36"/>
      <c r="F1488" s="36"/>
      <c r="G1488" s="36"/>
      <c r="H1488" s="36"/>
      <c r="I1488" s="36"/>
    </row>
    <row r="1489" spans="1:9">
      <c r="A1489" s="31"/>
      <c r="B1489" s="31"/>
      <c r="C1489" s="36"/>
      <c r="D1489" s="36"/>
      <c r="E1489" s="36"/>
      <c r="F1489" s="36"/>
      <c r="G1489" s="36"/>
      <c r="H1489" s="36"/>
      <c r="I1489" s="36"/>
    </row>
    <row r="1490" spans="1:9">
      <c r="A1490" s="31"/>
      <c r="B1490" s="31"/>
      <c r="C1490" s="36"/>
      <c r="D1490" s="36"/>
      <c r="E1490" s="36"/>
      <c r="F1490" s="36"/>
      <c r="G1490" s="36"/>
      <c r="H1490" s="36"/>
      <c r="I1490" s="36"/>
    </row>
    <row r="1491" spans="1:9">
      <c r="A1491" s="31"/>
      <c r="B1491" s="31"/>
      <c r="C1491" s="36"/>
      <c r="D1491" s="36"/>
      <c r="E1491" s="36"/>
      <c r="F1491" s="36"/>
      <c r="G1491" s="36"/>
      <c r="H1491" s="36"/>
      <c r="I1491" s="36"/>
    </row>
    <row r="1492" spans="1:9">
      <c r="A1492" s="31"/>
      <c r="B1492" s="31"/>
      <c r="C1492" s="36"/>
      <c r="D1492" s="36"/>
      <c r="E1492" s="36"/>
      <c r="F1492" s="36"/>
      <c r="G1492" s="36"/>
      <c r="H1492" s="36"/>
      <c r="I1492" s="36"/>
    </row>
    <row r="1493" spans="1:9">
      <c r="A1493" s="31"/>
      <c r="B1493" s="31"/>
      <c r="C1493" s="36"/>
      <c r="D1493" s="36"/>
      <c r="E1493" s="36"/>
      <c r="F1493" s="36"/>
      <c r="G1493" s="36"/>
      <c r="H1493" s="36"/>
      <c r="I1493" s="36"/>
    </row>
    <row r="1494" spans="1:9">
      <c r="A1494" s="31"/>
      <c r="B1494" s="31"/>
      <c r="C1494" s="36"/>
      <c r="D1494" s="36"/>
      <c r="E1494" s="36"/>
      <c r="F1494" s="36"/>
      <c r="G1494" s="36"/>
      <c r="H1494" s="36"/>
      <c r="I1494" s="36"/>
    </row>
    <row r="1495" spans="1:9">
      <c r="A1495" s="31"/>
      <c r="B1495" s="31"/>
      <c r="C1495" s="36"/>
      <c r="D1495" s="36"/>
      <c r="E1495" s="36"/>
      <c r="F1495" s="36"/>
      <c r="G1495" s="36"/>
      <c r="H1495" s="36"/>
      <c r="I1495" s="36"/>
    </row>
    <row r="1496" spans="1:9">
      <c r="A1496" s="31"/>
      <c r="B1496" s="31"/>
      <c r="C1496" s="36"/>
      <c r="D1496" s="36"/>
      <c r="E1496" s="36"/>
      <c r="F1496" s="36"/>
      <c r="G1496" s="36"/>
      <c r="H1496" s="36"/>
      <c r="I1496" s="36"/>
    </row>
    <row r="1497" spans="1:9">
      <c r="A1497" s="31"/>
      <c r="B1497" s="31"/>
      <c r="C1497" s="36"/>
      <c r="D1497" s="36"/>
      <c r="E1497" s="36"/>
      <c r="F1497" s="36"/>
      <c r="G1497" s="36"/>
      <c r="H1497" s="36"/>
      <c r="I1497" s="36"/>
    </row>
    <row r="1498" spans="1:9">
      <c r="A1498" s="31"/>
      <c r="B1498" s="31"/>
      <c r="C1498" s="36"/>
      <c r="D1498" s="36"/>
      <c r="E1498" s="36"/>
      <c r="F1498" s="36"/>
      <c r="G1498" s="36"/>
      <c r="H1498" s="36"/>
      <c r="I1498" s="36"/>
    </row>
    <row r="1499" spans="1:9">
      <c r="A1499" s="31"/>
      <c r="B1499" s="31"/>
      <c r="C1499" s="36"/>
      <c r="D1499" s="36"/>
      <c r="E1499" s="36"/>
      <c r="F1499" s="36"/>
      <c r="G1499" s="36"/>
      <c r="H1499" s="36"/>
      <c r="I1499" s="36"/>
    </row>
    <row r="1500" spans="1:9">
      <c r="A1500" s="31"/>
      <c r="B1500" s="31"/>
      <c r="C1500" s="36"/>
      <c r="D1500" s="36"/>
      <c r="E1500" s="36"/>
      <c r="F1500" s="36"/>
      <c r="G1500" s="36"/>
      <c r="H1500" s="36"/>
      <c r="I1500" s="36"/>
    </row>
    <row r="1501" spans="1:9">
      <c r="A1501" s="31"/>
      <c r="B1501" s="31"/>
      <c r="C1501" s="36"/>
      <c r="D1501" s="36"/>
      <c r="E1501" s="36"/>
      <c r="F1501" s="36"/>
      <c r="G1501" s="36"/>
      <c r="H1501" s="36"/>
      <c r="I1501" s="36"/>
    </row>
    <row r="1502" spans="1:9">
      <c r="A1502" s="31"/>
      <c r="B1502" s="31"/>
      <c r="C1502" s="36"/>
      <c r="D1502" s="36"/>
      <c r="E1502" s="36"/>
      <c r="F1502" s="36"/>
      <c r="G1502" s="36"/>
      <c r="H1502" s="36"/>
      <c r="I1502" s="36"/>
    </row>
    <row r="1503" spans="1:9">
      <c r="A1503" s="31"/>
      <c r="B1503" s="31"/>
      <c r="C1503" s="36"/>
      <c r="D1503" s="36"/>
      <c r="E1503" s="36"/>
      <c r="F1503" s="36"/>
      <c r="G1503" s="36"/>
      <c r="H1503" s="36"/>
      <c r="I1503" s="36"/>
    </row>
    <row r="1504" spans="1:9">
      <c r="A1504" s="31"/>
      <c r="B1504" s="31"/>
      <c r="C1504" s="36"/>
      <c r="D1504" s="36"/>
      <c r="E1504" s="36"/>
      <c r="F1504" s="36"/>
      <c r="G1504" s="36"/>
      <c r="H1504" s="36"/>
      <c r="I1504" s="36"/>
    </row>
    <row r="1505" spans="1:9">
      <c r="A1505" s="31"/>
      <c r="B1505" s="31"/>
      <c r="C1505" s="36"/>
      <c r="D1505" s="36"/>
      <c r="E1505" s="36"/>
      <c r="F1505" s="36"/>
      <c r="G1505" s="36"/>
      <c r="H1505" s="36"/>
      <c r="I1505" s="36"/>
    </row>
    <row r="1506" spans="1:9">
      <c r="A1506" s="31"/>
      <c r="B1506" s="31"/>
      <c r="C1506" s="36"/>
      <c r="D1506" s="36"/>
      <c r="E1506" s="36"/>
      <c r="F1506" s="36"/>
      <c r="G1506" s="36"/>
      <c r="H1506" s="36"/>
      <c r="I1506" s="36"/>
    </row>
    <row r="1507" spans="1:9">
      <c r="A1507" s="31"/>
      <c r="B1507" s="31"/>
      <c r="C1507" s="36"/>
      <c r="D1507" s="36"/>
      <c r="E1507" s="36"/>
      <c r="F1507" s="36"/>
      <c r="G1507" s="36"/>
      <c r="H1507" s="36"/>
      <c r="I1507" s="36"/>
    </row>
    <row r="1508" spans="1:9">
      <c r="A1508" s="31"/>
      <c r="B1508" s="31"/>
      <c r="C1508" s="36"/>
      <c r="D1508" s="36"/>
      <c r="E1508" s="36"/>
      <c r="F1508" s="36"/>
      <c r="G1508" s="36"/>
      <c r="H1508" s="36"/>
      <c r="I1508" s="36"/>
    </row>
    <row r="1509" spans="1:9">
      <c r="A1509" s="31"/>
      <c r="B1509" s="31"/>
      <c r="C1509" s="36"/>
      <c r="D1509" s="36"/>
      <c r="E1509" s="36"/>
      <c r="F1509" s="36"/>
      <c r="G1509" s="36"/>
      <c r="H1509" s="36"/>
      <c r="I1509" s="36"/>
    </row>
    <row r="1510" spans="1:9">
      <c r="A1510" s="31"/>
      <c r="B1510" s="31"/>
      <c r="C1510" s="36"/>
      <c r="D1510" s="36"/>
      <c r="E1510" s="36"/>
      <c r="F1510" s="36"/>
      <c r="G1510" s="36"/>
      <c r="H1510" s="36"/>
      <c r="I1510" s="36"/>
    </row>
    <row r="1511" spans="1:9">
      <c r="A1511" s="31"/>
      <c r="B1511" s="31"/>
      <c r="C1511" s="36"/>
      <c r="D1511" s="36"/>
      <c r="E1511" s="36"/>
      <c r="F1511" s="36"/>
      <c r="G1511" s="36"/>
      <c r="H1511" s="36"/>
      <c r="I1511" s="36"/>
    </row>
    <row r="1512" spans="1:9">
      <c r="A1512" s="31"/>
      <c r="B1512" s="31"/>
      <c r="C1512" s="36"/>
      <c r="D1512" s="36"/>
      <c r="E1512" s="36"/>
      <c r="F1512" s="36"/>
      <c r="G1512" s="36"/>
      <c r="H1512" s="36"/>
      <c r="I1512" s="36"/>
    </row>
    <row r="1513" spans="1:9">
      <c r="A1513" s="31"/>
      <c r="B1513" s="31"/>
      <c r="C1513" s="36"/>
      <c r="D1513" s="36"/>
      <c r="E1513" s="36"/>
      <c r="F1513" s="36"/>
      <c r="G1513" s="36"/>
      <c r="H1513" s="36"/>
      <c r="I1513" s="36"/>
    </row>
    <row r="1514" spans="1:9">
      <c r="A1514" s="31"/>
      <c r="B1514" s="31"/>
      <c r="C1514" s="36"/>
      <c r="D1514" s="36"/>
      <c r="E1514" s="36"/>
      <c r="F1514" s="36"/>
      <c r="G1514" s="36"/>
      <c r="H1514" s="36"/>
      <c r="I1514" s="36"/>
    </row>
    <row r="1515" spans="1:9">
      <c r="A1515" s="31"/>
      <c r="B1515" s="31"/>
      <c r="C1515" s="36"/>
      <c r="D1515" s="36"/>
      <c r="E1515" s="36"/>
      <c r="F1515" s="36"/>
      <c r="G1515" s="36"/>
      <c r="H1515" s="36"/>
      <c r="I1515" s="36"/>
    </row>
    <row r="1516" spans="1:9">
      <c r="A1516" s="31"/>
      <c r="B1516" s="31"/>
      <c r="C1516" s="36"/>
      <c r="D1516" s="36"/>
      <c r="E1516" s="36"/>
      <c r="F1516" s="36"/>
      <c r="G1516" s="36"/>
      <c r="H1516" s="36"/>
      <c r="I1516" s="36"/>
    </row>
    <row r="1517" spans="1:9">
      <c r="A1517" s="31"/>
      <c r="B1517" s="31"/>
      <c r="C1517" s="36"/>
      <c r="D1517" s="36"/>
      <c r="E1517" s="36"/>
      <c r="F1517" s="36"/>
      <c r="G1517" s="36"/>
      <c r="H1517" s="36"/>
      <c r="I1517" s="36"/>
    </row>
    <row r="1518" spans="1:9">
      <c r="A1518" s="31"/>
      <c r="B1518" s="31"/>
      <c r="C1518" s="36"/>
      <c r="D1518" s="36"/>
      <c r="E1518" s="36"/>
      <c r="F1518" s="36"/>
      <c r="G1518" s="36"/>
      <c r="H1518" s="36"/>
      <c r="I1518" s="36"/>
    </row>
    <row r="1519" spans="1:9">
      <c r="A1519" s="31"/>
      <c r="B1519" s="31"/>
      <c r="C1519" s="36"/>
      <c r="D1519" s="36"/>
      <c r="E1519" s="36"/>
      <c r="F1519" s="36"/>
      <c r="G1519" s="36"/>
      <c r="H1519" s="36"/>
      <c r="I1519" s="36"/>
    </row>
    <row r="1520" spans="1:9">
      <c r="A1520" s="31"/>
      <c r="B1520" s="31"/>
      <c r="C1520" s="36"/>
      <c r="D1520" s="36"/>
      <c r="E1520" s="36"/>
      <c r="F1520" s="36"/>
      <c r="G1520" s="36"/>
      <c r="H1520" s="36"/>
      <c r="I1520" s="36"/>
    </row>
    <row r="1521" spans="1:9">
      <c r="A1521" s="31"/>
      <c r="B1521" s="31"/>
      <c r="C1521" s="36"/>
      <c r="D1521" s="36"/>
      <c r="E1521" s="36"/>
      <c r="F1521" s="36"/>
      <c r="G1521" s="36"/>
      <c r="H1521" s="36"/>
      <c r="I1521" s="36"/>
    </row>
    <row r="1522" spans="1:9">
      <c r="A1522" s="31"/>
      <c r="B1522" s="31"/>
      <c r="C1522" s="36"/>
      <c r="D1522" s="36"/>
      <c r="E1522" s="36"/>
      <c r="F1522" s="36"/>
      <c r="G1522" s="36"/>
      <c r="H1522" s="36"/>
      <c r="I1522" s="36"/>
    </row>
    <row r="1523" spans="1:9">
      <c r="A1523" s="31"/>
      <c r="B1523" s="31"/>
      <c r="C1523" s="36"/>
      <c r="D1523" s="36"/>
      <c r="E1523" s="36"/>
      <c r="F1523" s="36"/>
      <c r="G1523" s="36"/>
      <c r="H1523" s="36"/>
      <c r="I1523" s="36"/>
    </row>
    <row r="1524" spans="1:9">
      <c r="A1524" s="31"/>
      <c r="B1524" s="31"/>
      <c r="C1524" s="36"/>
      <c r="D1524" s="36"/>
      <c r="E1524" s="36"/>
      <c r="F1524" s="36"/>
      <c r="G1524" s="36"/>
      <c r="H1524" s="36"/>
      <c r="I1524" s="36"/>
    </row>
    <row r="1525" spans="1:9">
      <c r="A1525" s="31"/>
      <c r="B1525" s="31"/>
      <c r="C1525" s="36"/>
      <c r="D1525" s="36"/>
      <c r="E1525" s="36"/>
      <c r="F1525" s="36"/>
      <c r="G1525" s="36"/>
      <c r="H1525" s="36"/>
      <c r="I1525" s="36"/>
    </row>
    <row r="1526" spans="1:9">
      <c r="A1526" s="31"/>
      <c r="B1526" s="31"/>
      <c r="C1526" s="36"/>
      <c r="D1526" s="36"/>
      <c r="E1526" s="36"/>
      <c r="F1526" s="36"/>
      <c r="G1526" s="36"/>
      <c r="H1526" s="36"/>
      <c r="I1526" s="36"/>
    </row>
    <row r="1527" spans="1:9">
      <c r="A1527" s="31"/>
      <c r="B1527" s="31"/>
      <c r="C1527" s="36"/>
      <c r="D1527" s="36"/>
      <c r="E1527" s="36"/>
      <c r="F1527" s="36"/>
      <c r="G1527" s="36"/>
      <c r="H1527" s="36"/>
      <c r="I1527" s="36"/>
    </row>
    <row r="1528" spans="1:9">
      <c r="A1528" s="31"/>
      <c r="B1528" s="31"/>
      <c r="C1528" s="36"/>
      <c r="D1528" s="36"/>
      <c r="E1528" s="36"/>
      <c r="F1528" s="36"/>
      <c r="G1528" s="36"/>
      <c r="H1528" s="36"/>
      <c r="I1528" s="36"/>
    </row>
    <row r="1529" spans="1:9">
      <c r="A1529" s="31"/>
      <c r="B1529" s="31"/>
      <c r="C1529" s="36"/>
      <c r="D1529" s="36"/>
      <c r="E1529" s="36"/>
      <c r="F1529" s="36"/>
      <c r="G1529" s="36"/>
      <c r="H1529" s="36"/>
      <c r="I1529" s="36"/>
    </row>
    <row r="1530" spans="1:9">
      <c r="A1530" s="31"/>
      <c r="B1530" s="31"/>
      <c r="C1530" s="36"/>
      <c r="D1530" s="36"/>
      <c r="E1530" s="36"/>
      <c r="F1530" s="36"/>
      <c r="G1530" s="36"/>
      <c r="H1530" s="36"/>
      <c r="I1530" s="36"/>
    </row>
    <row r="1531" spans="1:9">
      <c r="A1531" s="31"/>
      <c r="B1531" s="31"/>
      <c r="C1531" s="36"/>
      <c r="D1531" s="36"/>
      <c r="E1531" s="36"/>
      <c r="F1531" s="36"/>
      <c r="G1531" s="36"/>
      <c r="H1531" s="36"/>
      <c r="I1531" s="36"/>
    </row>
    <row r="1532" spans="1:9">
      <c r="A1532" s="31"/>
      <c r="B1532" s="31"/>
      <c r="C1532" s="36"/>
      <c r="D1532" s="36"/>
      <c r="E1532" s="36"/>
      <c r="F1532" s="36"/>
      <c r="G1532" s="36"/>
      <c r="H1532" s="36"/>
      <c r="I1532" s="36"/>
    </row>
    <row r="1533" spans="1:9">
      <c r="A1533" s="31"/>
      <c r="B1533" s="31"/>
      <c r="C1533" s="36"/>
      <c r="D1533" s="36"/>
      <c r="E1533" s="36"/>
      <c r="F1533" s="36"/>
      <c r="G1533" s="36"/>
      <c r="H1533" s="36"/>
      <c r="I1533" s="36"/>
    </row>
    <row r="1534" spans="1:9">
      <c r="A1534" s="31"/>
      <c r="B1534" s="31"/>
      <c r="C1534" s="36"/>
      <c r="D1534" s="36"/>
      <c r="E1534" s="36"/>
      <c r="F1534" s="36"/>
      <c r="G1534" s="36"/>
      <c r="H1534" s="36"/>
      <c r="I1534" s="36"/>
    </row>
    <row r="1535" spans="1:9">
      <c r="A1535" s="31"/>
      <c r="B1535" s="31"/>
      <c r="C1535" s="36"/>
      <c r="D1535" s="36"/>
      <c r="E1535" s="36"/>
      <c r="F1535" s="36"/>
      <c r="G1535" s="36"/>
      <c r="H1535" s="36"/>
      <c r="I1535" s="36"/>
    </row>
    <row r="1536" spans="1:9">
      <c r="A1536" s="31"/>
      <c r="B1536" s="31"/>
      <c r="C1536" s="36"/>
      <c r="D1536" s="36"/>
      <c r="E1536" s="36"/>
      <c r="F1536" s="36"/>
      <c r="G1536" s="36"/>
      <c r="H1536" s="36"/>
      <c r="I1536" s="36"/>
    </row>
    <row r="1537" spans="1:9">
      <c r="A1537" s="31"/>
      <c r="B1537" s="31"/>
      <c r="C1537" s="36"/>
      <c r="D1537" s="36"/>
      <c r="E1537" s="36"/>
      <c r="F1537" s="36"/>
      <c r="G1537" s="36"/>
      <c r="H1537" s="36"/>
      <c r="I1537" s="36"/>
    </row>
    <row r="1538" spans="1:9">
      <c r="A1538" s="31"/>
      <c r="B1538" s="31"/>
      <c r="C1538" s="36"/>
      <c r="D1538" s="36"/>
      <c r="E1538" s="36"/>
      <c r="F1538" s="36"/>
      <c r="G1538" s="36"/>
      <c r="H1538" s="36"/>
      <c r="I1538" s="36"/>
    </row>
    <row r="1539" spans="1:9">
      <c r="A1539" s="31"/>
      <c r="B1539" s="31"/>
      <c r="C1539" s="36"/>
      <c r="D1539" s="36"/>
      <c r="E1539" s="36"/>
      <c r="F1539" s="36"/>
      <c r="G1539" s="36"/>
      <c r="H1539" s="36"/>
      <c r="I1539" s="36"/>
    </row>
    <row r="1540" spans="1:9">
      <c r="A1540" s="31"/>
      <c r="B1540" s="31"/>
      <c r="C1540" s="36"/>
      <c r="D1540" s="36"/>
      <c r="E1540" s="36"/>
      <c r="F1540" s="36"/>
      <c r="G1540" s="36"/>
      <c r="H1540" s="36"/>
      <c r="I1540" s="36"/>
    </row>
    <row r="1541" spans="1:9">
      <c r="A1541" s="31"/>
      <c r="B1541" s="31"/>
      <c r="C1541" s="36"/>
      <c r="D1541" s="36"/>
      <c r="E1541" s="36"/>
      <c r="F1541" s="36"/>
      <c r="G1541" s="36"/>
      <c r="H1541" s="36"/>
      <c r="I1541" s="36"/>
    </row>
    <row r="1542" spans="1:9">
      <c r="A1542" s="31"/>
      <c r="B1542" s="31"/>
      <c r="C1542" s="36"/>
      <c r="D1542" s="36"/>
      <c r="E1542" s="36"/>
      <c r="F1542" s="36"/>
      <c r="G1542" s="36"/>
      <c r="H1542" s="36"/>
      <c r="I1542" s="36"/>
    </row>
    <row r="1543" spans="1:9">
      <c r="A1543" s="31"/>
      <c r="B1543" s="31"/>
      <c r="C1543" s="36"/>
      <c r="D1543" s="36"/>
      <c r="E1543" s="36"/>
      <c r="F1543" s="36"/>
      <c r="G1543" s="36"/>
      <c r="H1543" s="36"/>
      <c r="I1543" s="36"/>
    </row>
    <row r="1544" spans="1:9">
      <c r="A1544" s="31"/>
      <c r="B1544" s="31"/>
      <c r="C1544" s="36"/>
      <c r="D1544" s="36"/>
      <c r="E1544" s="36"/>
      <c r="F1544" s="36"/>
      <c r="G1544" s="36"/>
      <c r="H1544" s="36"/>
      <c r="I1544" s="36"/>
    </row>
    <row r="1545" spans="1:9">
      <c r="A1545" s="31"/>
      <c r="B1545" s="31"/>
      <c r="C1545" s="36"/>
      <c r="D1545" s="36"/>
      <c r="E1545" s="36"/>
      <c r="F1545" s="36"/>
      <c r="G1545" s="36"/>
      <c r="H1545" s="36"/>
      <c r="I1545" s="36"/>
    </row>
    <row r="1546" spans="1:9">
      <c r="A1546" s="31"/>
      <c r="B1546" s="31"/>
      <c r="C1546" s="36"/>
      <c r="D1546" s="36"/>
      <c r="E1546" s="36"/>
      <c r="F1546" s="36"/>
      <c r="G1546" s="36"/>
      <c r="H1546" s="36"/>
      <c r="I1546" s="36"/>
    </row>
    <row r="1547" spans="1:9">
      <c r="A1547" s="31"/>
      <c r="B1547" s="31"/>
      <c r="C1547" s="36"/>
      <c r="D1547" s="36"/>
      <c r="E1547" s="36"/>
      <c r="F1547" s="36"/>
      <c r="G1547" s="36"/>
      <c r="H1547" s="36"/>
      <c r="I1547" s="36"/>
    </row>
    <row r="1548" spans="1:9">
      <c r="A1548" s="31"/>
      <c r="B1548" s="31"/>
      <c r="C1548" s="36"/>
      <c r="D1548" s="36"/>
      <c r="E1548" s="36"/>
      <c r="F1548" s="36"/>
      <c r="G1548" s="36"/>
      <c r="H1548" s="36"/>
      <c r="I1548" s="36"/>
    </row>
    <row r="1549" spans="1:9">
      <c r="A1549" s="31"/>
      <c r="B1549" s="31"/>
      <c r="C1549" s="36"/>
      <c r="D1549" s="36"/>
      <c r="E1549" s="36"/>
      <c r="F1549" s="36"/>
      <c r="G1549" s="36"/>
      <c r="H1549" s="36"/>
      <c r="I1549" s="36"/>
    </row>
    <row r="1550" spans="1:9">
      <c r="A1550" s="31"/>
      <c r="B1550" s="31"/>
      <c r="C1550" s="36"/>
      <c r="D1550" s="36"/>
      <c r="E1550" s="36"/>
      <c r="F1550" s="36"/>
      <c r="G1550" s="36"/>
      <c r="H1550" s="36"/>
      <c r="I1550" s="36"/>
    </row>
    <row r="1551" spans="1:9">
      <c r="A1551" s="31"/>
      <c r="B1551" s="31"/>
      <c r="C1551" s="36"/>
      <c r="D1551" s="36"/>
      <c r="E1551" s="36"/>
      <c r="F1551" s="36"/>
      <c r="G1551" s="36"/>
      <c r="H1551" s="36"/>
      <c r="I1551" s="36"/>
    </row>
    <row r="1552" spans="1:9">
      <c r="A1552" s="31"/>
      <c r="B1552" s="31"/>
      <c r="C1552" s="36"/>
      <c r="D1552" s="36"/>
      <c r="E1552" s="36"/>
      <c r="F1552" s="36"/>
      <c r="G1552" s="36"/>
      <c r="H1552" s="36"/>
      <c r="I1552" s="36"/>
    </row>
    <row r="1553" spans="1:9">
      <c r="A1553" s="31"/>
      <c r="B1553" s="31"/>
      <c r="C1553" s="36"/>
      <c r="D1553" s="36"/>
      <c r="E1553" s="36"/>
      <c r="F1553" s="36"/>
      <c r="G1553" s="36"/>
      <c r="H1553" s="36"/>
      <c r="I1553" s="36"/>
    </row>
    <row r="1554" spans="1:9">
      <c r="A1554" s="31"/>
      <c r="B1554" s="31"/>
      <c r="C1554" s="36"/>
      <c r="D1554" s="36"/>
      <c r="E1554" s="36"/>
      <c r="F1554" s="36"/>
      <c r="G1554" s="36"/>
      <c r="H1554" s="36"/>
      <c r="I1554" s="36"/>
    </row>
    <row r="1555" spans="1:9">
      <c r="A1555" s="31"/>
      <c r="B1555" s="31"/>
      <c r="C1555" s="36"/>
      <c r="D1555" s="36"/>
      <c r="E1555" s="36"/>
      <c r="F1555" s="36"/>
      <c r="G1555" s="36"/>
      <c r="H1555" s="36"/>
      <c r="I1555" s="36"/>
    </row>
    <row r="1556" spans="1:9">
      <c r="A1556" s="31"/>
      <c r="B1556" s="31"/>
      <c r="C1556" s="36"/>
      <c r="D1556" s="36"/>
      <c r="E1556" s="36"/>
      <c r="F1556" s="36"/>
      <c r="G1556" s="36"/>
      <c r="H1556" s="36"/>
      <c r="I1556" s="36"/>
    </row>
    <row r="1557" spans="1:9">
      <c r="A1557" s="31"/>
      <c r="B1557" s="31"/>
      <c r="C1557" s="36"/>
      <c r="D1557" s="36"/>
      <c r="E1557" s="36"/>
      <c r="F1557" s="36"/>
      <c r="G1557" s="36"/>
      <c r="H1557" s="36"/>
      <c r="I1557" s="36"/>
    </row>
    <row r="1558" spans="1:9">
      <c r="A1558" s="31"/>
      <c r="B1558" s="31"/>
      <c r="C1558" s="36"/>
      <c r="D1558" s="36"/>
      <c r="E1558" s="36"/>
      <c r="F1558" s="36"/>
      <c r="G1558" s="36"/>
      <c r="H1558" s="36"/>
      <c r="I1558" s="36"/>
    </row>
    <row r="1559" spans="1:9">
      <c r="A1559" s="31"/>
      <c r="B1559" s="31"/>
      <c r="C1559" s="36"/>
      <c r="D1559" s="36"/>
      <c r="E1559" s="36"/>
      <c r="F1559" s="36"/>
      <c r="G1559" s="36"/>
      <c r="H1559" s="36"/>
      <c r="I1559" s="36"/>
    </row>
    <row r="1560" spans="1:9">
      <c r="A1560" s="31"/>
      <c r="B1560" s="31"/>
      <c r="C1560" s="36"/>
      <c r="D1560" s="36"/>
      <c r="E1560" s="36"/>
      <c r="F1560" s="36"/>
      <c r="G1560" s="36"/>
      <c r="H1560" s="36"/>
      <c r="I1560" s="36"/>
    </row>
    <row r="1561" spans="1:9">
      <c r="A1561" s="31"/>
      <c r="B1561" s="31"/>
      <c r="C1561" s="36"/>
      <c r="D1561" s="36"/>
      <c r="E1561" s="36"/>
      <c r="F1561" s="36"/>
      <c r="G1561" s="36"/>
      <c r="H1561" s="36"/>
      <c r="I1561" s="36"/>
    </row>
    <row r="1562" spans="1:9">
      <c r="A1562" s="31"/>
      <c r="B1562" s="31"/>
      <c r="C1562" s="36"/>
      <c r="D1562" s="36"/>
      <c r="E1562" s="36"/>
      <c r="F1562" s="36"/>
      <c r="G1562" s="36"/>
      <c r="H1562" s="36"/>
      <c r="I1562" s="36"/>
    </row>
    <row r="1563" spans="1:9">
      <c r="A1563" s="31"/>
      <c r="B1563" s="31"/>
      <c r="C1563" s="36"/>
      <c r="D1563" s="36"/>
      <c r="E1563" s="36"/>
      <c r="F1563" s="36"/>
      <c r="G1563" s="36"/>
      <c r="H1563" s="36"/>
      <c r="I1563" s="36"/>
    </row>
    <row r="1564" spans="1:9">
      <c r="A1564" s="31"/>
      <c r="B1564" s="31"/>
      <c r="C1564" s="36"/>
      <c r="D1564" s="36"/>
      <c r="E1564" s="36"/>
      <c r="F1564" s="36"/>
      <c r="G1564" s="36"/>
      <c r="H1564" s="36"/>
      <c r="I1564" s="36"/>
    </row>
    <row r="1565" spans="1:9">
      <c r="A1565" s="31"/>
      <c r="B1565" s="31"/>
      <c r="C1565" s="36"/>
      <c r="D1565" s="36"/>
      <c r="E1565" s="36"/>
      <c r="F1565" s="36"/>
      <c r="G1565" s="36"/>
      <c r="H1565" s="36"/>
      <c r="I1565" s="36"/>
    </row>
    <row r="1566" spans="1:9">
      <c r="A1566" s="31"/>
      <c r="B1566" s="31"/>
      <c r="C1566" s="36"/>
      <c r="D1566" s="36"/>
      <c r="E1566" s="36"/>
      <c r="F1566" s="36"/>
      <c r="G1566" s="36"/>
      <c r="H1566" s="36"/>
      <c r="I1566" s="36"/>
    </row>
    <row r="1567" spans="1:9">
      <c r="A1567" s="31"/>
      <c r="B1567" s="31"/>
      <c r="C1567" s="36"/>
      <c r="D1567" s="36"/>
      <c r="E1567" s="36"/>
      <c r="F1567" s="36"/>
      <c r="G1567" s="36"/>
      <c r="H1567" s="36"/>
      <c r="I1567" s="36"/>
    </row>
    <row r="1568" spans="1:9">
      <c r="A1568" s="31"/>
      <c r="B1568" s="31"/>
      <c r="C1568" s="36"/>
      <c r="D1568" s="36"/>
      <c r="E1568" s="36"/>
      <c r="F1568" s="36"/>
      <c r="G1568" s="36"/>
      <c r="H1568" s="36"/>
      <c r="I1568" s="36"/>
    </row>
    <row r="1569" spans="1:9">
      <c r="A1569" s="31"/>
      <c r="B1569" s="31"/>
      <c r="C1569" s="36"/>
      <c r="D1569" s="36"/>
      <c r="E1569" s="36"/>
      <c r="F1569" s="36"/>
      <c r="G1569" s="36"/>
      <c r="H1569" s="36"/>
      <c r="I1569" s="36"/>
    </row>
    <row r="1570" spans="1:9">
      <c r="A1570" s="31"/>
      <c r="B1570" s="31"/>
      <c r="C1570" s="36"/>
      <c r="D1570" s="36"/>
      <c r="E1570" s="36"/>
      <c r="F1570" s="36"/>
      <c r="G1570" s="36"/>
      <c r="H1570" s="36"/>
      <c r="I1570" s="36"/>
    </row>
    <row r="1571" spans="1:9">
      <c r="A1571" s="31"/>
      <c r="B1571" s="31"/>
      <c r="C1571" s="36"/>
      <c r="D1571" s="36"/>
      <c r="E1571" s="36"/>
      <c r="F1571" s="36"/>
      <c r="G1571" s="36"/>
      <c r="H1571" s="36"/>
      <c r="I1571" s="36"/>
    </row>
    <row r="1572" spans="1:9">
      <c r="A1572" s="31"/>
      <c r="B1572" s="31"/>
      <c r="C1572" s="36"/>
      <c r="D1572" s="36"/>
      <c r="E1572" s="36"/>
      <c r="F1572" s="36"/>
      <c r="G1572" s="36"/>
      <c r="H1572" s="36"/>
      <c r="I1572" s="36"/>
    </row>
    <row r="1573" spans="1:9">
      <c r="A1573" s="31"/>
      <c r="B1573" s="31"/>
      <c r="C1573" s="36"/>
      <c r="D1573" s="36"/>
      <c r="E1573" s="36"/>
      <c r="F1573" s="36"/>
      <c r="G1573" s="36"/>
      <c r="H1573" s="36"/>
      <c r="I1573" s="36"/>
    </row>
    <row r="1574" spans="1:9">
      <c r="A1574" s="31"/>
      <c r="B1574" s="31"/>
      <c r="C1574" s="36"/>
      <c r="D1574" s="36"/>
      <c r="E1574" s="36"/>
      <c r="F1574" s="36"/>
      <c r="G1574" s="36"/>
      <c r="H1574" s="36"/>
      <c r="I1574" s="36"/>
    </row>
    <row r="1575" spans="1:9">
      <c r="A1575" s="31"/>
      <c r="B1575" s="31"/>
      <c r="C1575" s="36"/>
      <c r="D1575" s="36"/>
      <c r="E1575" s="36"/>
      <c r="F1575" s="36"/>
      <c r="G1575" s="36"/>
      <c r="H1575" s="36"/>
      <c r="I1575" s="36"/>
    </row>
    <row r="1576" spans="1:9">
      <c r="A1576" s="31"/>
      <c r="B1576" s="31"/>
      <c r="C1576" s="36"/>
      <c r="D1576" s="36"/>
      <c r="E1576" s="36"/>
      <c r="F1576" s="36"/>
      <c r="G1576" s="36"/>
      <c r="H1576" s="36"/>
      <c r="I1576" s="36"/>
    </row>
    <row r="1577" spans="1:9">
      <c r="A1577" s="31"/>
      <c r="B1577" s="31"/>
      <c r="C1577" s="36"/>
      <c r="D1577" s="36"/>
      <c r="E1577" s="36"/>
      <c r="F1577" s="36"/>
      <c r="G1577" s="36"/>
      <c r="H1577" s="36"/>
      <c r="I1577" s="36"/>
    </row>
    <row r="1578" spans="1:9">
      <c r="A1578" s="31"/>
      <c r="B1578" s="31"/>
      <c r="C1578" s="36"/>
      <c r="D1578" s="36"/>
      <c r="E1578" s="36"/>
      <c r="F1578" s="36"/>
      <c r="G1578" s="36"/>
      <c r="H1578" s="36"/>
      <c r="I1578" s="36"/>
    </row>
    <row r="1579" spans="1:9">
      <c r="A1579" s="31"/>
      <c r="B1579" s="31"/>
      <c r="C1579" s="36"/>
      <c r="D1579" s="36"/>
      <c r="E1579" s="36"/>
      <c r="F1579" s="36"/>
      <c r="G1579" s="36"/>
      <c r="H1579" s="36"/>
      <c r="I1579" s="36"/>
    </row>
    <row r="1580" spans="1:9">
      <c r="A1580" s="31"/>
      <c r="B1580" s="31"/>
      <c r="C1580" s="36"/>
      <c r="D1580" s="36"/>
      <c r="E1580" s="36"/>
      <c r="F1580" s="36"/>
      <c r="G1580" s="36"/>
      <c r="H1580" s="36"/>
      <c r="I1580" s="36"/>
    </row>
    <row r="1581" spans="1:9">
      <c r="A1581" s="31"/>
      <c r="B1581" s="31"/>
      <c r="C1581" s="36"/>
      <c r="D1581" s="36"/>
      <c r="E1581" s="36"/>
      <c r="F1581" s="36"/>
      <c r="G1581" s="36"/>
      <c r="H1581" s="36"/>
      <c r="I1581" s="36"/>
    </row>
    <row r="1582" spans="1:9">
      <c r="A1582" s="31"/>
      <c r="B1582" s="31"/>
      <c r="C1582" s="36"/>
      <c r="D1582" s="36"/>
      <c r="E1582" s="36"/>
      <c r="F1582" s="36"/>
      <c r="G1582" s="36"/>
      <c r="H1582" s="36"/>
      <c r="I1582" s="36"/>
    </row>
    <row r="1583" spans="1:9">
      <c r="A1583" s="31"/>
      <c r="B1583" s="31"/>
      <c r="C1583" s="36"/>
      <c r="D1583" s="36"/>
      <c r="E1583" s="36"/>
      <c r="F1583" s="36"/>
      <c r="G1583" s="36"/>
      <c r="H1583" s="36"/>
      <c r="I1583" s="36"/>
    </row>
    <row r="1584" spans="1:9">
      <c r="A1584" s="31"/>
      <c r="B1584" s="31"/>
      <c r="C1584" s="36"/>
      <c r="D1584" s="36"/>
      <c r="E1584" s="36"/>
      <c r="F1584" s="36"/>
      <c r="G1584" s="36"/>
      <c r="H1584" s="36"/>
      <c r="I1584" s="36"/>
    </row>
    <row r="1585" spans="1:9">
      <c r="A1585" s="31"/>
      <c r="B1585" s="31"/>
      <c r="C1585" s="36"/>
      <c r="D1585" s="36"/>
      <c r="E1585" s="36"/>
      <c r="F1585" s="36"/>
      <c r="G1585" s="36"/>
      <c r="H1585" s="36"/>
      <c r="I1585" s="36"/>
    </row>
    <row r="1586" spans="1:9">
      <c r="A1586" s="31"/>
      <c r="B1586" s="31"/>
      <c r="C1586" s="36"/>
      <c r="D1586" s="36"/>
      <c r="E1586" s="36"/>
      <c r="F1586" s="36"/>
      <c r="G1586" s="36"/>
      <c r="H1586" s="36"/>
      <c r="I1586" s="36"/>
    </row>
    <row r="1587" spans="1:9">
      <c r="A1587" s="31"/>
      <c r="B1587" s="31"/>
      <c r="C1587" s="36"/>
      <c r="D1587" s="36"/>
      <c r="E1587" s="36"/>
      <c r="F1587" s="36"/>
      <c r="G1587" s="36"/>
      <c r="H1587" s="36"/>
      <c r="I1587" s="36"/>
    </row>
    <row r="1588" spans="1:9">
      <c r="A1588" s="31"/>
      <c r="B1588" s="31"/>
      <c r="C1588" s="36"/>
      <c r="D1588" s="36"/>
      <c r="E1588" s="36"/>
      <c r="F1588" s="36"/>
      <c r="G1588" s="36"/>
      <c r="H1588" s="36"/>
      <c r="I1588" s="36"/>
    </row>
    <row r="1589" spans="1:9">
      <c r="A1589" s="31"/>
      <c r="B1589" s="31"/>
      <c r="C1589" s="36"/>
      <c r="D1589" s="36"/>
      <c r="E1589" s="36"/>
      <c r="F1589" s="36"/>
      <c r="G1589" s="36"/>
      <c r="H1589" s="36"/>
      <c r="I1589" s="36"/>
    </row>
    <row r="1590" spans="1:9">
      <c r="A1590" s="31"/>
      <c r="B1590" s="31"/>
      <c r="C1590" s="36"/>
      <c r="D1590" s="36"/>
      <c r="E1590" s="36"/>
      <c r="F1590" s="36"/>
      <c r="G1590" s="36"/>
      <c r="H1590" s="36"/>
      <c r="I1590" s="36"/>
    </row>
    <row r="1591" spans="1:9">
      <c r="A1591" s="35"/>
      <c r="B1591" s="35"/>
      <c r="C1591" s="34"/>
      <c r="D1591" s="34"/>
      <c r="E1591" s="34"/>
      <c r="F1591" s="34"/>
      <c r="G1591" s="34"/>
      <c r="H1591" s="34"/>
      <c r="I1591" s="34"/>
    </row>
  </sheetData>
  <mergeCells count="25">
    <mergeCell ref="B38:AC38"/>
    <mergeCell ref="B31:K31"/>
    <mergeCell ref="B20:K20"/>
    <mergeCell ref="B33:K33"/>
    <mergeCell ref="B27:K27"/>
    <mergeCell ref="B36:AC36"/>
    <mergeCell ref="F21:K21"/>
    <mergeCell ref="F22:K22"/>
    <mergeCell ref="F23:K23"/>
    <mergeCell ref="F24:K24"/>
    <mergeCell ref="F25:K25"/>
    <mergeCell ref="F28:AC28"/>
    <mergeCell ref="F29:AC29"/>
    <mergeCell ref="L31:AC31"/>
    <mergeCell ref="B9:E9"/>
    <mergeCell ref="B10:E10"/>
    <mergeCell ref="B16:AC16"/>
    <mergeCell ref="B18:AC18"/>
    <mergeCell ref="B1:AC1"/>
    <mergeCell ref="B3:AC3"/>
    <mergeCell ref="B6:E6"/>
    <mergeCell ref="B7:E7"/>
    <mergeCell ref="B8:E8"/>
    <mergeCell ref="F7:R7"/>
    <mergeCell ref="B14:AC14"/>
  </mergeCells>
  <phoneticPr fontId="1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9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M36"/>
  <sheetViews>
    <sheetView tabSelected="1" view="pageBreakPreview" zoomScaleNormal="100" zoomScaleSheetLayoutView="100" workbookViewId="0">
      <selection activeCell="C15" sqref="C15"/>
    </sheetView>
  </sheetViews>
  <sheetFormatPr baseColWidth="10" defaultColWidth="11.5" defaultRowHeight="14"/>
  <cols>
    <col min="1" max="1" width="8.83203125" style="108" customWidth="1"/>
    <col min="2" max="3" width="10.83203125" style="108" customWidth="1"/>
    <col min="4" max="4" width="9.83203125" style="108" customWidth="1"/>
    <col min="5" max="6" width="5.83203125" style="109" customWidth="1"/>
    <col min="7" max="7" width="9.83203125" style="108" customWidth="1"/>
    <col min="8" max="8" width="12.83203125" style="108" customWidth="1"/>
    <col min="9" max="9" width="14.83203125" style="110" customWidth="1"/>
    <col min="10" max="256" width="8.83203125" style="108" customWidth="1"/>
    <col min="257" max="16384" width="11.5" style="108"/>
  </cols>
  <sheetData>
    <row r="1" spans="2:9" s="1" customFormat="1" ht="39" customHeight="1">
      <c r="B1" s="173" t="s">
        <v>120</v>
      </c>
      <c r="C1" s="173"/>
      <c r="D1" s="173"/>
      <c r="E1" s="173"/>
      <c r="F1" s="173"/>
      <c r="G1" s="173"/>
      <c r="H1" s="173"/>
      <c r="I1" s="173"/>
    </row>
    <row r="2" spans="2:9" s="1" customFormat="1" ht="18" customHeight="1" thickBot="1">
      <c r="B2" s="50"/>
      <c r="C2" s="50"/>
      <c r="D2" s="50"/>
      <c r="E2" s="50"/>
      <c r="F2" s="50"/>
      <c r="G2" s="50"/>
      <c r="H2" s="174"/>
      <c r="I2" s="174"/>
    </row>
    <row r="3" spans="2:9" s="51" customFormat="1" ht="34.5" customHeight="1" thickBot="1">
      <c r="B3" s="175" t="s">
        <v>73</v>
      </c>
      <c r="C3" s="176"/>
      <c r="D3" s="177" t="str">
        <f>"일금"&amp;NUMBERSTRING(H29,1)&amp;"원정 ("&amp;DOLLAR(H29,0)&amp;")-VAT별도"</f>
        <v>일금일백팔십만원정 (₩1,800,000)-VAT별도</v>
      </c>
      <c r="E3" s="178"/>
      <c r="F3" s="178"/>
      <c r="G3" s="178"/>
      <c r="H3" s="178"/>
      <c r="I3" s="179"/>
    </row>
    <row r="4" spans="2:9" s="51" customFormat="1" ht="38.25" hidden="1" customHeight="1">
      <c r="B4" s="180" t="s">
        <v>74</v>
      </c>
      <c r="C4" s="181"/>
      <c r="D4" s="182" t="str">
        <f>"일금 "&amp;NUMBERSTRING(H29,1)&amp;"원정"&amp;TEXT(H29,"(￦ #,##0)")&amp;" "</f>
        <v xml:space="preserve">일금 일백팔십만원정(₩ 1,800,000) </v>
      </c>
      <c r="E4" s="183"/>
      <c r="F4" s="183"/>
      <c r="G4" s="183"/>
      <c r="H4" s="183"/>
      <c r="I4" s="184"/>
    </row>
    <row r="5" spans="2:9" s="51" customFormat="1" ht="38.25" hidden="1" customHeight="1" thickBot="1">
      <c r="B5" s="155" t="s">
        <v>75</v>
      </c>
      <c r="C5" s="156"/>
      <c r="D5" s="157" t="e">
        <f>"일금 "&amp;NUMBERSTRING(H30,1)&amp;"원정"&amp;TEXT(H30,"(￦ #,##0)")&amp;" "</f>
        <v>#VALUE!</v>
      </c>
      <c r="E5" s="158"/>
      <c r="F5" s="158"/>
      <c r="G5" s="158"/>
      <c r="H5" s="158"/>
      <c r="I5" s="159"/>
    </row>
    <row r="6" spans="2:9" s="51" customFormat="1" ht="31.5" customHeight="1" thickBot="1">
      <c r="B6" s="160" t="s">
        <v>76</v>
      </c>
      <c r="C6" s="161"/>
      <c r="D6" s="161"/>
      <c r="E6" s="161"/>
      <c r="F6" s="161"/>
      <c r="G6" s="161"/>
      <c r="H6" s="161"/>
      <c r="I6" s="162"/>
    </row>
    <row r="7" spans="2:9" s="52" customFormat="1" ht="30" customHeight="1" thickBot="1">
      <c r="B7" s="163" t="s">
        <v>77</v>
      </c>
      <c r="C7" s="164"/>
      <c r="D7" s="49" t="s">
        <v>78</v>
      </c>
      <c r="E7" s="49" t="s">
        <v>80</v>
      </c>
      <c r="F7" s="49" t="s">
        <v>51</v>
      </c>
      <c r="G7" s="49" t="s">
        <v>79</v>
      </c>
      <c r="H7" s="49" t="s">
        <v>81</v>
      </c>
      <c r="I7" s="7" t="s">
        <v>82</v>
      </c>
    </row>
    <row r="8" spans="2:9" s="52" customFormat="1" ht="28" customHeight="1">
      <c r="B8" s="165" t="s">
        <v>162</v>
      </c>
      <c r="C8" s="166"/>
      <c r="D8" s="8"/>
      <c r="E8" s="8"/>
      <c r="F8" s="8"/>
      <c r="G8" s="8"/>
      <c r="H8" s="53">
        <f>INT(SUM(H9,H10,H11,H12,H13,H14,H15,H16))</f>
        <v>1328145</v>
      </c>
      <c r="I8" s="14" t="s">
        <v>83</v>
      </c>
    </row>
    <row r="9" spans="2:9" s="52" customFormat="1" ht="18" customHeight="1">
      <c r="B9" s="54"/>
      <c r="C9" s="55" t="s">
        <v>171</v>
      </c>
      <c r="D9" s="56" t="s">
        <v>84</v>
      </c>
      <c r="E9" s="56" t="s">
        <v>85</v>
      </c>
      <c r="F9" s="56">
        <v>0</v>
      </c>
      <c r="G9" s="9">
        <v>373353</v>
      </c>
      <c r="H9" s="10">
        <f>G9*F9</f>
        <v>0</v>
      </c>
      <c r="I9" s="57"/>
    </row>
    <row r="10" spans="2:9" s="52" customFormat="1" ht="18" customHeight="1">
      <c r="B10" s="58"/>
      <c r="C10" s="59"/>
      <c r="D10" s="60" t="s">
        <v>86</v>
      </c>
      <c r="E10" s="60" t="s">
        <v>85</v>
      </c>
      <c r="F10" s="61">
        <v>1</v>
      </c>
      <c r="G10" s="11">
        <v>310884</v>
      </c>
      <c r="H10" s="10">
        <f t="shared" ref="H10:H16" si="0">G10*F10</f>
        <v>310884</v>
      </c>
      <c r="I10" s="57"/>
    </row>
    <row r="11" spans="2:9" s="52" customFormat="1" ht="18" customHeight="1">
      <c r="B11" s="58"/>
      <c r="C11" s="59"/>
      <c r="D11" s="60" t="s">
        <v>87</v>
      </c>
      <c r="E11" s="60" t="s">
        <v>85</v>
      </c>
      <c r="F11" s="61">
        <v>0</v>
      </c>
      <c r="G11" s="11">
        <v>295138</v>
      </c>
      <c r="H11" s="10">
        <f t="shared" si="0"/>
        <v>0</v>
      </c>
      <c r="I11" s="57"/>
    </row>
    <row r="12" spans="2:9" s="52" customFormat="1" ht="18" customHeight="1">
      <c r="B12" s="58"/>
      <c r="C12" s="59"/>
      <c r="D12" s="60" t="s">
        <v>88</v>
      </c>
      <c r="E12" s="60" t="s">
        <v>85</v>
      </c>
      <c r="F12" s="61">
        <v>1</v>
      </c>
      <c r="G12" s="11">
        <v>235459</v>
      </c>
      <c r="H12" s="10">
        <f t="shared" si="0"/>
        <v>235459</v>
      </c>
      <c r="I12" s="57"/>
    </row>
    <row r="13" spans="2:9" s="52" customFormat="1" ht="18" customHeight="1">
      <c r="B13" s="62"/>
      <c r="C13" s="63" t="s">
        <v>172</v>
      </c>
      <c r="D13" s="60" t="s">
        <v>84</v>
      </c>
      <c r="E13" s="60" t="s">
        <v>85</v>
      </c>
      <c r="F13" s="61">
        <v>0</v>
      </c>
      <c r="G13" s="15">
        <v>373353</v>
      </c>
      <c r="H13" s="10">
        <f t="shared" si="0"/>
        <v>0</v>
      </c>
      <c r="I13" s="57"/>
    </row>
    <row r="14" spans="2:9" s="52" customFormat="1" ht="18" customHeight="1">
      <c r="B14" s="58"/>
      <c r="C14" s="59"/>
      <c r="D14" s="60" t="s">
        <v>86</v>
      </c>
      <c r="E14" s="60" t="s">
        <v>85</v>
      </c>
      <c r="F14" s="61">
        <v>1</v>
      </c>
      <c r="G14" s="11">
        <v>310884</v>
      </c>
      <c r="H14" s="10">
        <f t="shared" si="0"/>
        <v>310884</v>
      </c>
      <c r="I14" s="57"/>
    </row>
    <row r="15" spans="2:9" s="52" customFormat="1" ht="18" customHeight="1">
      <c r="B15" s="58"/>
      <c r="C15" s="59"/>
      <c r="D15" s="60" t="s">
        <v>87</v>
      </c>
      <c r="E15" s="60" t="s">
        <v>85</v>
      </c>
      <c r="F15" s="61">
        <v>0</v>
      </c>
      <c r="G15" s="11">
        <v>295138</v>
      </c>
      <c r="H15" s="10">
        <f t="shared" si="0"/>
        <v>0</v>
      </c>
      <c r="I15" s="57"/>
    </row>
    <row r="16" spans="2:9" s="52" customFormat="1" ht="18" customHeight="1">
      <c r="B16" s="58"/>
      <c r="C16" s="59"/>
      <c r="D16" s="60" t="s">
        <v>88</v>
      </c>
      <c r="E16" s="60" t="s">
        <v>85</v>
      </c>
      <c r="F16" s="61">
        <v>2</v>
      </c>
      <c r="G16" s="11">
        <v>235459</v>
      </c>
      <c r="H16" s="10">
        <f t="shared" si="0"/>
        <v>470918</v>
      </c>
      <c r="I16" s="57"/>
    </row>
    <row r="17" spans="2:13" s="52" customFormat="1" ht="28" customHeight="1">
      <c r="B17" s="167" t="s">
        <v>89</v>
      </c>
      <c r="C17" s="168"/>
      <c r="D17" s="64"/>
      <c r="E17" s="66" t="s">
        <v>90</v>
      </c>
      <c r="F17" s="66">
        <v>10</v>
      </c>
      <c r="G17" s="65"/>
      <c r="H17" s="5">
        <f>ROUND(H8*F17%, 0)</f>
        <v>132815</v>
      </c>
      <c r="I17" s="67" t="s">
        <v>52</v>
      </c>
    </row>
    <row r="18" spans="2:13" s="52" customFormat="1" ht="28" customHeight="1">
      <c r="B18" s="167" t="s">
        <v>91</v>
      </c>
      <c r="C18" s="168"/>
      <c r="D18" s="64"/>
      <c r="E18" s="66" t="s">
        <v>90</v>
      </c>
      <c r="F18" s="66">
        <v>10</v>
      </c>
      <c r="G18" s="65"/>
      <c r="H18" s="6">
        <f>ROUND((H8+H17)*F18%, 0)</f>
        <v>146096</v>
      </c>
      <c r="I18" s="67" t="s">
        <v>53</v>
      </c>
    </row>
    <row r="19" spans="2:13" s="52" customFormat="1" ht="28" customHeight="1">
      <c r="B19" s="167" t="s">
        <v>92</v>
      </c>
      <c r="C19" s="168"/>
      <c r="D19" s="68"/>
      <c r="E19" s="70"/>
      <c r="F19" s="70"/>
      <c r="G19" s="69"/>
      <c r="H19" s="6">
        <f>INT(SUM(H21,H22,H23,H24,H25,))</f>
        <v>231041</v>
      </c>
      <c r="I19" s="67"/>
    </row>
    <row r="20" spans="2:13" s="52" customFormat="1" ht="18" customHeight="1">
      <c r="B20" s="71" t="s">
        <v>93</v>
      </c>
      <c r="C20" s="72"/>
      <c r="D20" s="72"/>
      <c r="E20" s="74"/>
      <c r="F20" s="74"/>
      <c r="G20" s="73"/>
      <c r="H20" s="12"/>
      <c r="I20" s="75"/>
    </row>
    <row r="21" spans="2:13" s="52" customFormat="1" ht="18" customHeight="1">
      <c r="B21" s="76" t="s">
        <v>94</v>
      </c>
      <c r="C21" s="77"/>
      <c r="D21" s="77"/>
      <c r="E21" s="56">
        <v>1</v>
      </c>
      <c r="F21" s="56">
        <v>2</v>
      </c>
      <c r="G21" s="78">
        <v>20000</v>
      </c>
      <c r="H21" s="118">
        <f>G21*F21</f>
        <v>40000</v>
      </c>
      <c r="I21" s="79"/>
      <c r="M21" s="80"/>
    </row>
    <row r="22" spans="2:13" s="52" customFormat="1" ht="18" customHeight="1">
      <c r="B22" s="81" t="s">
        <v>95</v>
      </c>
      <c r="C22" s="82"/>
      <c r="D22" s="82"/>
      <c r="E22" s="60">
        <v>1</v>
      </c>
      <c r="F22" s="56">
        <v>2</v>
      </c>
      <c r="G22" s="78">
        <v>20000</v>
      </c>
      <c r="H22" s="13">
        <f>G22*F22</f>
        <v>40000</v>
      </c>
      <c r="I22" s="79"/>
    </row>
    <row r="23" spans="2:13" s="52" customFormat="1" ht="18" customHeight="1">
      <c r="B23" s="81" t="s">
        <v>96</v>
      </c>
      <c r="C23" s="60"/>
      <c r="D23" s="82"/>
      <c r="E23" s="60" t="s">
        <v>90</v>
      </c>
      <c r="F23" s="85">
        <v>10</v>
      </c>
      <c r="G23" s="84"/>
      <c r="H23" s="83">
        <f>ROUND((SUM(H9:H12))*F23%, 0)</f>
        <v>54634</v>
      </c>
      <c r="I23" s="79" t="s">
        <v>97</v>
      </c>
    </row>
    <row r="24" spans="2:13" s="52" customFormat="1" ht="18" customHeight="1">
      <c r="B24" s="81" t="s">
        <v>98</v>
      </c>
      <c r="C24" s="60"/>
      <c r="D24" s="82"/>
      <c r="E24" s="60" t="s">
        <v>90</v>
      </c>
      <c r="F24" s="86">
        <v>5</v>
      </c>
      <c r="G24" s="84"/>
      <c r="H24" s="83">
        <f>ROUND(H8*F24%, 0)</f>
        <v>66407</v>
      </c>
      <c r="I24" s="79" t="s">
        <v>54</v>
      </c>
    </row>
    <row r="25" spans="2:13" s="52" customFormat="1" ht="18" customHeight="1">
      <c r="B25" s="87" t="s">
        <v>99</v>
      </c>
      <c r="C25" s="88"/>
      <c r="D25" s="89"/>
      <c r="E25" s="61" t="s">
        <v>100</v>
      </c>
      <c r="F25" s="91">
        <v>1</v>
      </c>
      <c r="G25" s="90">
        <v>30000</v>
      </c>
      <c r="H25" s="92">
        <f>G25*F25</f>
        <v>30000</v>
      </c>
      <c r="I25" s="57"/>
    </row>
    <row r="26" spans="2:13" s="52" customFormat="1" ht="28" customHeight="1">
      <c r="B26" s="169" t="s">
        <v>101</v>
      </c>
      <c r="C26" s="170"/>
      <c r="D26" s="64"/>
      <c r="E26" s="66"/>
      <c r="F26" s="66"/>
      <c r="G26" s="93"/>
      <c r="H26" s="94">
        <f>INT(SUM(H8,H17,H18,H19)*0)</f>
        <v>0</v>
      </c>
      <c r="I26" s="95" t="s">
        <v>102</v>
      </c>
    </row>
    <row r="27" spans="2:13" s="52" customFormat="1" ht="28" customHeight="1">
      <c r="B27" s="171" t="s">
        <v>163</v>
      </c>
      <c r="C27" s="172"/>
      <c r="D27" s="147" t="s">
        <v>103</v>
      </c>
      <c r="E27" s="148"/>
      <c r="F27" s="149"/>
      <c r="G27" s="111"/>
      <c r="H27" s="96">
        <f>H8+H17+H18+H19</f>
        <v>1838097</v>
      </c>
      <c r="I27" s="97"/>
    </row>
    <row r="28" spans="2:13" s="52" customFormat="1" ht="18" customHeight="1">
      <c r="B28" s="145" t="s">
        <v>104</v>
      </c>
      <c r="C28" s="146"/>
      <c r="D28" s="147"/>
      <c r="E28" s="148"/>
      <c r="F28" s="149"/>
      <c r="G28" s="111"/>
      <c r="H28" s="96">
        <v>38097</v>
      </c>
      <c r="I28" s="98"/>
    </row>
    <row r="29" spans="2:13" s="52" customFormat="1" ht="18" customHeight="1">
      <c r="B29" s="140" t="s">
        <v>105</v>
      </c>
      <c r="C29" s="141"/>
      <c r="D29" s="142"/>
      <c r="E29" s="143"/>
      <c r="F29" s="144"/>
      <c r="G29" s="112"/>
      <c r="H29" s="99">
        <f>H27-H28</f>
        <v>1800000</v>
      </c>
      <c r="I29" s="100"/>
    </row>
    <row r="30" spans="2:13" s="52" customFormat="1" ht="18" customHeight="1">
      <c r="B30" s="145" t="s">
        <v>106</v>
      </c>
      <c r="C30" s="146"/>
      <c r="D30" s="147"/>
      <c r="E30" s="148"/>
      <c r="F30" s="149"/>
      <c r="G30" s="111"/>
      <c r="H30" s="101" t="s">
        <v>107</v>
      </c>
      <c r="I30" s="98"/>
    </row>
    <row r="31" spans="2:13" s="52" customFormat="1" ht="28" customHeight="1" thickBot="1">
      <c r="B31" s="150" t="s">
        <v>108</v>
      </c>
      <c r="C31" s="151"/>
      <c r="D31" s="152"/>
      <c r="E31" s="153"/>
      <c r="F31" s="154"/>
      <c r="G31" s="113"/>
      <c r="H31" s="102">
        <f>H29</f>
        <v>1800000</v>
      </c>
      <c r="I31" s="103" t="s">
        <v>109</v>
      </c>
    </row>
    <row r="32" spans="2:13" s="105" customFormat="1" ht="23" customHeight="1">
      <c r="B32" s="130"/>
      <c r="C32" s="131"/>
      <c r="D32" s="136" t="s">
        <v>1</v>
      </c>
      <c r="E32" s="136"/>
      <c r="F32" s="136"/>
      <c r="G32" s="136"/>
      <c r="H32" s="136"/>
      <c r="I32" s="104"/>
    </row>
    <row r="33" spans="2:9" s="105" customFormat="1" ht="23" customHeight="1">
      <c r="B33" s="132"/>
      <c r="C33" s="133"/>
      <c r="D33" s="137" t="s">
        <v>2</v>
      </c>
      <c r="E33" s="137"/>
      <c r="F33" s="137"/>
      <c r="G33" s="137"/>
      <c r="H33" s="137"/>
      <c r="I33" s="106" t="s">
        <v>3</v>
      </c>
    </row>
    <row r="34" spans="2:9" s="105" customFormat="1" ht="23" customHeight="1">
      <c r="B34" s="132"/>
      <c r="C34" s="133"/>
      <c r="D34" s="138" t="s">
        <v>4</v>
      </c>
      <c r="E34" s="138"/>
      <c r="F34" s="138"/>
      <c r="G34" s="138"/>
      <c r="H34" s="138"/>
      <c r="I34" s="106" t="s">
        <v>5</v>
      </c>
    </row>
    <row r="35" spans="2:9" s="105" customFormat="1" ht="23" customHeight="1">
      <c r="B35" s="132"/>
      <c r="C35" s="133"/>
      <c r="D35" s="137" t="s">
        <v>6</v>
      </c>
      <c r="E35" s="137"/>
      <c r="F35" s="137"/>
      <c r="G35" s="137"/>
      <c r="H35" s="137"/>
      <c r="I35" s="106" t="s">
        <v>7</v>
      </c>
    </row>
    <row r="36" spans="2:9" s="105" customFormat="1" ht="23" customHeight="1" thickBot="1">
      <c r="B36" s="134"/>
      <c r="C36" s="135"/>
      <c r="D36" s="139" t="s">
        <v>8</v>
      </c>
      <c r="E36" s="139"/>
      <c r="F36" s="139"/>
      <c r="G36" s="139"/>
      <c r="H36" s="139"/>
      <c r="I36" s="107" t="s">
        <v>9</v>
      </c>
    </row>
  </sheetData>
  <mergeCells count="31">
    <mergeCell ref="B1:I1"/>
    <mergeCell ref="H2:I2"/>
    <mergeCell ref="B3:C3"/>
    <mergeCell ref="D3:I3"/>
    <mergeCell ref="B4:C4"/>
    <mergeCell ref="D4:I4"/>
    <mergeCell ref="B28:C28"/>
    <mergeCell ref="D28:F28"/>
    <mergeCell ref="B5:C5"/>
    <mergeCell ref="D5:I5"/>
    <mergeCell ref="B6:I6"/>
    <mergeCell ref="B7:C7"/>
    <mergeCell ref="B8:C8"/>
    <mergeCell ref="B17:C17"/>
    <mergeCell ref="B18:C18"/>
    <mergeCell ref="B19:C19"/>
    <mergeCell ref="B26:C26"/>
    <mergeCell ref="B27:C27"/>
    <mergeCell ref="D27:F27"/>
    <mergeCell ref="B29:C29"/>
    <mergeCell ref="D29:F29"/>
    <mergeCell ref="B30:C30"/>
    <mergeCell ref="D30:F30"/>
    <mergeCell ref="B31:C31"/>
    <mergeCell ref="D31:F31"/>
    <mergeCell ref="B32:C36"/>
    <mergeCell ref="D32:H32"/>
    <mergeCell ref="D33:H33"/>
    <mergeCell ref="D34:H34"/>
    <mergeCell ref="D35:H35"/>
    <mergeCell ref="D36:H36"/>
  </mergeCells>
  <phoneticPr fontId="1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90" orientation="portrait" r:id="rId1"/>
  <colBreaks count="1" manualBreakCount="1">
    <brk id="9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B1:AO111"/>
  <sheetViews>
    <sheetView view="pageBreakPreview" topLeftCell="A92" zoomScaleNormal="100" zoomScaleSheetLayoutView="100" workbookViewId="0">
      <selection activeCell="C99" sqref="C99:U99"/>
    </sheetView>
  </sheetViews>
  <sheetFormatPr baseColWidth="10" defaultColWidth="8.83203125" defaultRowHeight="14"/>
  <cols>
    <col min="2" max="6" width="4.33203125" customWidth="1"/>
    <col min="7" max="7" width="4.33203125" style="4" customWidth="1"/>
    <col min="8" max="9" width="4.33203125" style="17" customWidth="1"/>
    <col min="10" max="10" width="4.33203125" customWidth="1"/>
    <col min="11" max="11" width="4.33203125" style="3" customWidth="1"/>
    <col min="12" max="21" width="4.33203125" customWidth="1"/>
    <col min="24" max="24" width="11.5" bestFit="1" customWidth="1"/>
    <col min="258" max="263" width="3.83203125" customWidth="1"/>
    <col min="264" max="264" width="7" customWidth="1"/>
    <col min="265" max="268" width="3.83203125" customWidth="1"/>
    <col min="269" max="269" width="4.5" customWidth="1"/>
    <col min="270" max="275" width="3.83203125" customWidth="1"/>
    <col min="276" max="276" width="1.6640625" customWidth="1"/>
    <col min="277" max="277" width="3.83203125" customWidth="1"/>
    <col min="514" max="519" width="3.83203125" customWidth="1"/>
    <col min="520" max="520" width="7" customWidth="1"/>
    <col min="521" max="524" width="3.83203125" customWidth="1"/>
    <col min="525" max="525" width="4.5" customWidth="1"/>
    <col min="526" max="531" width="3.83203125" customWidth="1"/>
    <col min="532" max="532" width="1.6640625" customWidth="1"/>
    <col min="533" max="533" width="3.83203125" customWidth="1"/>
    <col min="770" max="775" width="3.83203125" customWidth="1"/>
    <col min="776" max="776" width="7" customWidth="1"/>
    <col min="777" max="780" width="3.83203125" customWidth="1"/>
    <col min="781" max="781" width="4.5" customWidth="1"/>
    <col min="782" max="787" width="3.83203125" customWidth="1"/>
    <col min="788" max="788" width="1.6640625" customWidth="1"/>
    <col min="789" max="789" width="3.83203125" customWidth="1"/>
    <col min="1026" max="1031" width="3.83203125" customWidth="1"/>
    <col min="1032" max="1032" width="7" customWidth="1"/>
    <col min="1033" max="1036" width="3.83203125" customWidth="1"/>
    <col min="1037" max="1037" width="4.5" customWidth="1"/>
    <col min="1038" max="1043" width="3.83203125" customWidth="1"/>
    <col min="1044" max="1044" width="1.6640625" customWidth="1"/>
    <col min="1045" max="1045" width="3.83203125" customWidth="1"/>
    <col min="1282" max="1287" width="3.83203125" customWidth="1"/>
    <col min="1288" max="1288" width="7" customWidth="1"/>
    <col min="1289" max="1292" width="3.83203125" customWidth="1"/>
    <col min="1293" max="1293" width="4.5" customWidth="1"/>
    <col min="1294" max="1299" width="3.83203125" customWidth="1"/>
    <col min="1300" max="1300" width="1.6640625" customWidth="1"/>
    <col min="1301" max="1301" width="3.83203125" customWidth="1"/>
    <col min="1538" max="1543" width="3.83203125" customWidth="1"/>
    <col min="1544" max="1544" width="7" customWidth="1"/>
    <col min="1545" max="1548" width="3.83203125" customWidth="1"/>
    <col min="1549" max="1549" width="4.5" customWidth="1"/>
    <col min="1550" max="1555" width="3.83203125" customWidth="1"/>
    <col min="1556" max="1556" width="1.6640625" customWidth="1"/>
    <col min="1557" max="1557" width="3.83203125" customWidth="1"/>
    <col min="1794" max="1799" width="3.83203125" customWidth="1"/>
    <col min="1800" max="1800" width="7" customWidth="1"/>
    <col min="1801" max="1804" width="3.83203125" customWidth="1"/>
    <col min="1805" max="1805" width="4.5" customWidth="1"/>
    <col min="1806" max="1811" width="3.83203125" customWidth="1"/>
    <col min="1812" max="1812" width="1.6640625" customWidth="1"/>
    <col min="1813" max="1813" width="3.83203125" customWidth="1"/>
    <col min="2050" max="2055" width="3.83203125" customWidth="1"/>
    <col min="2056" max="2056" width="7" customWidth="1"/>
    <col min="2057" max="2060" width="3.83203125" customWidth="1"/>
    <col min="2061" max="2061" width="4.5" customWidth="1"/>
    <col min="2062" max="2067" width="3.83203125" customWidth="1"/>
    <col min="2068" max="2068" width="1.6640625" customWidth="1"/>
    <col min="2069" max="2069" width="3.83203125" customWidth="1"/>
    <col min="2306" max="2311" width="3.83203125" customWidth="1"/>
    <col min="2312" max="2312" width="7" customWidth="1"/>
    <col min="2313" max="2316" width="3.83203125" customWidth="1"/>
    <col min="2317" max="2317" width="4.5" customWidth="1"/>
    <col min="2318" max="2323" width="3.83203125" customWidth="1"/>
    <col min="2324" max="2324" width="1.6640625" customWidth="1"/>
    <col min="2325" max="2325" width="3.83203125" customWidth="1"/>
    <col min="2562" max="2567" width="3.83203125" customWidth="1"/>
    <col min="2568" max="2568" width="7" customWidth="1"/>
    <col min="2569" max="2572" width="3.83203125" customWidth="1"/>
    <col min="2573" max="2573" width="4.5" customWidth="1"/>
    <col min="2574" max="2579" width="3.83203125" customWidth="1"/>
    <col min="2580" max="2580" width="1.6640625" customWidth="1"/>
    <col min="2581" max="2581" width="3.83203125" customWidth="1"/>
    <col min="2818" max="2823" width="3.83203125" customWidth="1"/>
    <col min="2824" max="2824" width="7" customWidth="1"/>
    <col min="2825" max="2828" width="3.83203125" customWidth="1"/>
    <col min="2829" max="2829" width="4.5" customWidth="1"/>
    <col min="2830" max="2835" width="3.83203125" customWidth="1"/>
    <col min="2836" max="2836" width="1.6640625" customWidth="1"/>
    <col min="2837" max="2837" width="3.83203125" customWidth="1"/>
    <col min="3074" max="3079" width="3.83203125" customWidth="1"/>
    <col min="3080" max="3080" width="7" customWidth="1"/>
    <col min="3081" max="3084" width="3.83203125" customWidth="1"/>
    <col min="3085" max="3085" width="4.5" customWidth="1"/>
    <col min="3086" max="3091" width="3.83203125" customWidth="1"/>
    <col min="3092" max="3092" width="1.6640625" customWidth="1"/>
    <col min="3093" max="3093" width="3.83203125" customWidth="1"/>
    <col min="3330" max="3335" width="3.83203125" customWidth="1"/>
    <col min="3336" max="3336" width="7" customWidth="1"/>
    <col min="3337" max="3340" width="3.83203125" customWidth="1"/>
    <col min="3341" max="3341" width="4.5" customWidth="1"/>
    <col min="3342" max="3347" width="3.83203125" customWidth="1"/>
    <col min="3348" max="3348" width="1.6640625" customWidth="1"/>
    <col min="3349" max="3349" width="3.83203125" customWidth="1"/>
    <col min="3586" max="3591" width="3.83203125" customWidth="1"/>
    <col min="3592" max="3592" width="7" customWidth="1"/>
    <col min="3593" max="3596" width="3.83203125" customWidth="1"/>
    <col min="3597" max="3597" width="4.5" customWidth="1"/>
    <col min="3598" max="3603" width="3.83203125" customWidth="1"/>
    <col min="3604" max="3604" width="1.6640625" customWidth="1"/>
    <col min="3605" max="3605" width="3.83203125" customWidth="1"/>
    <col min="3842" max="3847" width="3.83203125" customWidth="1"/>
    <col min="3848" max="3848" width="7" customWidth="1"/>
    <col min="3849" max="3852" width="3.83203125" customWidth="1"/>
    <col min="3853" max="3853" width="4.5" customWidth="1"/>
    <col min="3854" max="3859" width="3.83203125" customWidth="1"/>
    <col min="3860" max="3860" width="1.6640625" customWidth="1"/>
    <col min="3861" max="3861" width="3.83203125" customWidth="1"/>
    <col min="4098" max="4103" width="3.83203125" customWidth="1"/>
    <col min="4104" max="4104" width="7" customWidth="1"/>
    <col min="4105" max="4108" width="3.83203125" customWidth="1"/>
    <col min="4109" max="4109" width="4.5" customWidth="1"/>
    <col min="4110" max="4115" width="3.83203125" customWidth="1"/>
    <col min="4116" max="4116" width="1.6640625" customWidth="1"/>
    <col min="4117" max="4117" width="3.83203125" customWidth="1"/>
    <col min="4354" max="4359" width="3.83203125" customWidth="1"/>
    <col min="4360" max="4360" width="7" customWidth="1"/>
    <col min="4361" max="4364" width="3.83203125" customWidth="1"/>
    <col min="4365" max="4365" width="4.5" customWidth="1"/>
    <col min="4366" max="4371" width="3.83203125" customWidth="1"/>
    <col min="4372" max="4372" width="1.6640625" customWidth="1"/>
    <col min="4373" max="4373" width="3.83203125" customWidth="1"/>
    <col min="4610" max="4615" width="3.83203125" customWidth="1"/>
    <col min="4616" max="4616" width="7" customWidth="1"/>
    <col min="4617" max="4620" width="3.83203125" customWidth="1"/>
    <col min="4621" max="4621" width="4.5" customWidth="1"/>
    <col min="4622" max="4627" width="3.83203125" customWidth="1"/>
    <col min="4628" max="4628" width="1.6640625" customWidth="1"/>
    <col min="4629" max="4629" width="3.83203125" customWidth="1"/>
    <col min="4866" max="4871" width="3.83203125" customWidth="1"/>
    <col min="4872" max="4872" width="7" customWidth="1"/>
    <col min="4873" max="4876" width="3.83203125" customWidth="1"/>
    <col min="4877" max="4877" width="4.5" customWidth="1"/>
    <col min="4878" max="4883" width="3.83203125" customWidth="1"/>
    <col min="4884" max="4884" width="1.6640625" customWidth="1"/>
    <col min="4885" max="4885" width="3.83203125" customWidth="1"/>
    <col min="5122" max="5127" width="3.83203125" customWidth="1"/>
    <col min="5128" max="5128" width="7" customWidth="1"/>
    <col min="5129" max="5132" width="3.83203125" customWidth="1"/>
    <col min="5133" max="5133" width="4.5" customWidth="1"/>
    <col min="5134" max="5139" width="3.83203125" customWidth="1"/>
    <col min="5140" max="5140" width="1.6640625" customWidth="1"/>
    <col min="5141" max="5141" width="3.83203125" customWidth="1"/>
    <col min="5378" max="5383" width="3.83203125" customWidth="1"/>
    <col min="5384" max="5384" width="7" customWidth="1"/>
    <col min="5385" max="5388" width="3.83203125" customWidth="1"/>
    <col min="5389" max="5389" width="4.5" customWidth="1"/>
    <col min="5390" max="5395" width="3.83203125" customWidth="1"/>
    <col min="5396" max="5396" width="1.6640625" customWidth="1"/>
    <col min="5397" max="5397" width="3.83203125" customWidth="1"/>
    <col min="5634" max="5639" width="3.83203125" customWidth="1"/>
    <col min="5640" max="5640" width="7" customWidth="1"/>
    <col min="5641" max="5644" width="3.83203125" customWidth="1"/>
    <col min="5645" max="5645" width="4.5" customWidth="1"/>
    <col min="5646" max="5651" width="3.83203125" customWidth="1"/>
    <col min="5652" max="5652" width="1.6640625" customWidth="1"/>
    <col min="5653" max="5653" width="3.83203125" customWidth="1"/>
    <col min="5890" max="5895" width="3.83203125" customWidth="1"/>
    <col min="5896" max="5896" width="7" customWidth="1"/>
    <col min="5897" max="5900" width="3.83203125" customWidth="1"/>
    <col min="5901" max="5901" width="4.5" customWidth="1"/>
    <col min="5902" max="5907" width="3.83203125" customWidth="1"/>
    <col min="5908" max="5908" width="1.6640625" customWidth="1"/>
    <col min="5909" max="5909" width="3.83203125" customWidth="1"/>
    <col min="6146" max="6151" width="3.83203125" customWidth="1"/>
    <col min="6152" max="6152" width="7" customWidth="1"/>
    <col min="6153" max="6156" width="3.83203125" customWidth="1"/>
    <col min="6157" max="6157" width="4.5" customWidth="1"/>
    <col min="6158" max="6163" width="3.83203125" customWidth="1"/>
    <col min="6164" max="6164" width="1.6640625" customWidth="1"/>
    <col min="6165" max="6165" width="3.83203125" customWidth="1"/>
    <col min="6402" max="6407" width="3.83203125" customWidth="1"/>
    <col min="6408" max="6408" width="7" customWidth="1"/>
    <col min="6409" max="6412" width="3.83203125" customWidth="1"/>
    <col min="6413" max="6413" width="4.5" customWidth="1"/>
    <col min="6414" max="6419" width="3.83203125" customWidth="1"/>
    <col min="6420" max="6420" width="1.6640625" customWidth="1"/>
    <col min="6421" max="6421" width="3.83203125" customWidth="1"/>
    <col min="6658" max="6663" width="3.83203125" customWidth="1"/>
    <col min="6664" max="6664" width="7" customWidth="1"/>
    <col min="6665" max="6668" width="3.83203125" customWidth="1"/>
    <col min="6669" max="6669" width="4.5" customWidth="1"/>
    <col min="6670" max="6675" width="3.83203125" customWidth="1"/>
    <col min="6676" max="6676" width="1.6640625" customWidth="1"/>
    <col min="6677" max="6677" width="3.83203125" customWidth="1"/>
    <col min="6914" max="6919" width="3.83203125" customWidth="1"/>
    <col min="6920" max="6920" width="7" customWidth="1"/>
    <col min="6921" max="6924" width="3.83203125" customWidth="1"/>
    <col min="6925" max="6925" width="4.5" customWidth="1"/>
    <col min="6926" max="6931" width="3.83203125" customWidth="1"/>
    <col min="6932" max="6932" width="1.6640625" customWidth="1"/>
    <col min="6933" max="6933" width="3.83203125" customWidth="1"/>
    <col min="7170" max="7175" width="3.83203125" customWidth="1"/>
    <col min="7176" max="7176" width="7" customWidth="1"/>
    <col min="7177" max="7180" width="3.83203125" customWidth="1"/>
    <col min="7181" max="7181" width="4.5" customWidth="1"/>
    <col min="7182" max="7187" width="3.83203125" customWidth="1"/>
    <col min="7188" max="7188" width="1.6640625" customWidth="1"/>
    <col min="7189" max="7189" width="3.83203125" customWidth="1"/>
    <col min="7426" max="7431" width="3.83203125" customWidth="1"/>
    <col min="7432" max="7432" width="7" customWidth="1"/>
    <col min="7433" max="7436" width="3.83203125" customWidth="1"/>
    <col min="7437" max="7437" width="4.5" customWidth="1"/>
    <col min="7438" max="7443" width="3.83203125" customWidth="1"/>
    <col min="7444" max="7444" width="1.6640625" customWidth="1"/>
    <col min="7445" max="7445" width="3.83203125" customWidth="1"/>
    <col min="7682" max="7687" width="3.83203125" customWidth="1"/>
    <col min="7688" max="7688" width="7" customWidth="1"/>
    <col min="7689" max="7692" width="3.83203125" customWidth="1"/>
    <col min="7693" max="7693" width="4.5" customWidth="1"/>
    <col min="7694" max="7699" width="3.83203125" customWidth="1"/>
    <col min="7700" max="7700" width="1.6640625" customWidth="1"/>
    <col min="7701" max="7701" width="3.83203125" customWidth="1"/>
    <col min="7938" max="7943" width="3.83203125" customWidth="1"/>
    <col min="7944" max="7944" width="7" customWidth="1"/>
    <col min="7945" max="7948" width="3.83203125" customWidth="1"/>
    <col min="7949" max="7949" width="4.5" customWidth="1"/>
    <col min="7950" max="7955" width="3.83203125" customWidth="1"/>
    <col min="7956" max="7956" width="1.6640625" customWidth="1"/>
    <col min="7957" max="7957" width="3.83203125" customWidth="1"/>
    <col min="8194" max="8199" width="3.83203125" customWidth="1"/>
    <col min="8200" max="8200" width="7" customWidth="1"/>
    <col min="8201" max="8204" width="3.83203125" customWidth="1"/>
    <col min="8205" max="8205" width="4.5" customWidth="1"/>
    <col min="8206" max="8211" width="3.83203125" customWidth="1"/>
    <col min="8212" max="8212" width="1.6640625" customWidth="1"/>
    <col min="8213" max="8213" width="3.83203125" customWidth="1"/>
    <col min="8450" max="8455" width="3.83203125" customWidth="1"/>
    <col min="8456" max="8456" width="7" customWidth="1"/>
    <col min="8457" max="8460" width="3.83203125" customWidth="1"/>
    <col min="8461" max="8461" width="4.5" customWidth="1"/>
    <col min="8462" max="8467" width="3.83203125" customWidth="1"/>
    <col min="8468" max="8468" width="1.6640625" customWidth="1"/>
    <col min="8469" max="8469" width="3.83203125" customWidth="1"/>
    <col min="8706" max="8711" width="3.83203125" customWidth="1"/>
    <col min="8712" max="8712" width="7" customWidth="1"/>
    <col min="8713" max="8716" width="3.83203125" customWidth="1"/>
    <col min="8717" max="8717" width="4.5" customWidth="1"/>
    <col min="8718" max="8723" width="3.83203125" customWidth="1"/>
    <col min="8724" max="8724" width="1.6640625" customWidth="1"/>
    <col min="8725" max="8725" width="3.83203125" customWidth="1"/>
    <col min="8962" max="8967" width="3.83203125" customWidth="1"/>
    <col min="8968" max="8968" width="7" customWidth="1"/>
    <col min="8969" max="8972" width="3.83203125" customWidth="1"/>
    <col min="8973" max="8973" width="4.5" customWidth="1"/>
    <col min="8974" max="8979" width="3.83203125" customWidth="1"/>
    <col min="8980" max="8980" width="1.6640625" customWidth="1"/>
    <col min="8981" max="8981" width="3.83203125" customWidth="1"/>
    <col min="9218" max="9223" width="3.83203125" customWidth="1"/>
    <col min="9224" max="9224" width="7" customWidth="1"/>
    <col min="9225" max="9228" width="3.83203125" customWidth="1"/>
    <col min="9229" max="9229" width="4.5" customWidth="1"/>
    <col min="9230" max="9235" width="3.83203125" customWidth="1"/>
    <col min="9236" max="9236" width="1.6640625" customWidth="1"/>
    <col min="9237" max="9237" width="3.83203125" customWidth="1"/>
    <col min="9474" max="9479" width="3.83203125" customWidth="1"/>
    <col min="9480" max="9480" width="7" customWidth="1"/>
    <col min="9481" max="9484" width="3.83203125" customWidth="1"/>
    <col min="9485" max="9485" width="4.5" customWidth="1"/>
    <col min="9486" max="9491" width="3.83203125" customWidth="1"/>
    <col min="9492" max="9492" width="1.6640625" customWidth="1"/>
    <col min="9493" max="9493" width="3.83203125" customWidth="1"/>
    <col min="9730" max="9735" width="3.83203125" customWidth="1"/>
    <col min="9736" max="9736" width="7" customWidth="1"/>
    <col min="9737" max="9740" width="3.83203125" customWidth="1"/>
    <col min="9741" max="9741" width="4.5" customWidth="1"/>
    <col min="9742" max="9747" width="3.83203125" customWidth="1"/>
    <col min="9748" max="9748" width="1.6640625" customWidth="1"/>
    <col min="9749" max="9749" width="3.83203125" customWidth="1"/>
    <col min="9986" max="9991" width="3.83203125" customWidth="1"/>
    <col min="9992" max="9992" width="7" customWidth="1"/>
    <col min="9993" max="9996" width="3.83203125" customWidth="1"/>
    <col min="9997" max="9997" width="4.5" customWidth="1"/>
    <col min="9998" max="10003" width="3.83203125" customWidth="1"/>
    <col min="10004" max="10004" width="1.6640625" customWidth="1"/>
    <col min="10005" max="10005" width="3.83203125" customWidth="1"/>
    <col min="10242" max="10247" width="3.83203125" customWidth="1"/>
    <col min="10248" max="10248" width="7" customWidth="1"/>
    <col min="10249" max="10252" width="3.83203125" customWidth="1"/>
    <col min="10253" max="10253" width="4.5" customWidth="1"/>
    <col min="10254" max="10259" width="3.83203125" customWidth="1"/>
    <col min="10260" max="10260" width="1.6640625" customWidth="1"/>
    <col min="10261" max="10261" width="3.83203125" customWidth="1"/>
    <col min="10498" max="10503" width="3.83203125" customWidth="1"/>
    <col min="10504" max="10504" width="7" customWidth="1"/>
    <col min="10505" max="10508" width="3.83203125" customWidth="1"/>
    <col min="10509" max="10509" width="4.5" customWidth="1"/>
    <col min="10510" max="10515" width="3.83203125" customWidth="1"/>
    <col min="10516" max="10516" width="1.6640625" customWidth="1"/>
    <col min="10517" max="10517" width="3.83203125" customWidth="1"/>
    <col min="10754" max="10759" width="3.83203125" customWidth="1"/>
    <col min="10760" max="10760" width="7" customWidth="1"/>
    <col min="10761" max="10764" width="3.83203125" customWidth="1"/>
    <col min="10765" max="10765" width="4.5" customWidth="1"/>
    <col min="10766" max="10771" width="3.83203125" customWidth="1"/>
    <col min="10772" max="10772" width="1.6640625" customWidth="1"/>
    <col min="10773" max="10773" width="3.83203125" customWidth="1"/>
    <col min="11010" max="11015" width="3.83203125" customWidth="1"/>
    <col min="11016" max="11016" width="7" customWidth="1"/>
    <col min="11017" max="11020" width="3.83203125" customWidth="1"/>
    <col min="11021" max="11021" width="4.5" customWidth="1"/>
    <col min="11022" max="11027" width="3.83203125" customWidth="1"/>
    <col min="11028" max="11028" width="1.6640625" customWidth="1"/>
    <col min="11029" max="11029" width="3.83203125" customWidth="1"/>
    <col min="11266" max="11271" width="3.83203125" customWidth="1"/>
    <col min="11272" max="11272" width="7" customWidth="1"/>
    <col min="11273" max="11276" width="3.83203125" customWidth="1"/>
    <col min="11277" max="11277" width="4.5" customWidth="1"/>
    <col min="11278" max="11283" width="3.83203125" customWidth="1"/>
    <col min="11284" max="11284" width="1.6640625" customWidth="1"/>
    <col min="11285" max="11285" width="3.83203125" customWidth="1"/>
    <col min="11522" max="11527" width="3.83203125" customWidth="1"/>
    <col min="11528" max="11528" width="7" customWidth="1"/>
    <col min="11529" max="11532" width="3.83203125" customWidth="1"/>
    <col min="11533" max="11533" width="4.5" customWidth="1"/>
    <col min="11534" max="11539" width="3.83203125" customWidth="1"/>
    <col min="11540" max="11540" width="1.6640625" customWidth="1"/>
    <col min="11541" max="11541" width="3.83203125" customWidth="1"/>
    <col min="11778" max="11783" width="3.83203125" customWidth="1"/>
    <col min="11784" max="11784" width="7" customWidth="1"/>
    <col min="11785" max="11788" width="3.83203125" customWidth="1"/>
    <col min="11789" max="11789" width="4.5" customWidth="1"/>
    <col min="11790" max="11795" width="3.83203125" customWidth="1"/>
    <col min="11796" max="11796" width="1.6640625" customWidth="1"/>
    <col min="11797" max="11797" width="3.83203125" customWidth="1"/>
    <col min="12034" max="12039" width="3.83203125" customWidth="1"/>
    <col min="12040" max="12040" width="7" customWidth="1"/>
    <col min="12041" max="12044" width="3.83203125" customWidth="1"/>
    <col min="12045" max="12045" width="4.5" customWidth="1"/>
    <col min="12046" max="12051" width="3.83203125" customWidth="1"/>
    <col min="12052" max="12052" width="1.6640625" customWidth="1"/>
    <col min="12053" max="12053" width="3.83203125" customWidth="1"/>
    <col min="12290" max="12295" width="3.83203125" customWidth="1"/>
    <col min="12296" max="12296" width="7" customWidth="1"/>
    <col min="12297" max="12300" width="3.83203125" customWidth="1"/>
    <col min="12301" max="12301" width="4.5" customWidth="1"/>
    <col min="12302" max="12307" width="3.83203125" customWidth="1"/>
    <col min="12308" max="12308" width="1.6640625" customWidth="1"/>
    <col min="12309" max="12309" width="3.83203125" customWidth="1"/>
    <col min="12546" max="12551" width="3.83203125" customWidth="1"/>
    <col min="12552" max="12552" width="7" customWidth="1"/>
    <col min="12553" max="12556" width="3.83203125" customWidth="1"/>
    <col min="12557" max="12557" width="4.5" customWidth="1"/>
    <col min="12558" max="12563" width="3.83203125" customWidth="1"/>
    <col min="12564" max="12564" width="1.6640625" customWidth="1"/>
    <col min="12565" max="12565" width="3.83203125" customWidth="1"/>
    <col min="12802" max="12807" width="3.83203125" customWidth="1"/>
    <col min="12808" max="12808" width="7" customWidth="1"/>
    <col min="12809" max="12812" width="3.83203125" customWidth="1"/>
    <col min="12813" max="12813" width="4.5" customWidth="1"/>
    <col min="12814" max="12819" width="3.83203125" customWidth="1"/>
    <col min="12820" max="12820" width="1.6640625" customWidth="1"/>
    <col min="12821" max="12821" width="3.83203125" customWidth="1"/>
    <col min="13058" max="13063" width="3.83203125" customWidth="1"/>
    <col min="13064" max="13064" width="7" customWidth="1"/>
    <col min="13065" max="13068" width="3.83203125" customWidth="1"/>
    <col min="13069" max="13069" width="4.5" customWidth="1"/>
    <col min="13070" max="13075" width="3.83203125" customWidth="1"/>
    <col min="13076" max="13076" width="1.6640625" customWidth="1"/>
    <col min="13077" max="13077" width="3.83203125" customWidth="1"/>
    <col min="13314" max="13319" width="3.83203125" customWidth="1"/>
    <col min="13320" max="13320" width="7" customWidth="1"/>
    <col min="13321" max="13324" width="3.83203125" customWidth="1"/>
    <col min="13325" max="13325" width="4.5" customWidth="1"/>
    <col min="13326" max="13331" width="3.83203125" customWidth="1"/>
    <col min="13332" max="13332" width="1.6640625" customWidth="1"/>
    <col min="13333" max="13333" width="3.83203125" customWidth="1"/>
    <col min="13570" max="13575" width="3.83203125" customWidth="1"/>
    <col min="13576" max="13576" width="7" customWidth="1"/>
    <col min="13577" max="13580" width="3.83203125" customWidth="1"/>
    <col min="13581" max="13581" width="4.5" customWidth="1"/>
    <col min="13582" max="13587" width="3.83203125" customWidth="1"/>
    <col min="13588" max="13588" width="1.6640625" customWidth="1"/>
    <col min="13589" max="13589" width="3.83203125" customWidth="1"/>
    <col min="13826" max="13831" width="3.83203125" customWidth="1"/>
    <col min="13832" max="13832" width="7" customWidth="1"/>
    <col min="13833" max="13836" width="3.83203125" customWidth="1"/>
    <col min="13837" max="13837" width="4.5" customWidth="1"/>
    <col min="13838" max="13843" width="3.83203125" customWidth="1"/>
    <col min="13844" max="13844" width="1.6640625" customWidth="1"/>
    <col min="13845" max="13845" width="3.83203125" customWidth="1"/>
    <col min="14082" max="14087" width="3.83203125" customWidth="1"/>
    <col min="14088" max="14088" width="7" customWidth="1"/>
    <col min="14089" max="14092" width="3.83203125" customWidth="1"/>
    <col min="14093" max="14093" width="4.5" customWidth="1"/>
    <col min="14094" max="14099" width="3.83203125" customWidth="1"/>
    <col min="14100" max="14100" width="1.6640625" customWidth="1"/>
    <col min="14101" max="14101" width="3.83203125" customWidth="1"/>
    <col min="14338" max="14343" width="3.83203125" customWidth="1"/>
    <col min="14344" max="14344" width="7" customWidth="1"/>
    <col min="14345" max="14348" width="3.83203125" customWidth="1"/>
    <col min="14349" max="14349" width="4.5" customWidth="1"/>
    <col min="14350" max="14355" width="3.83203125" customWidth="1"/>
    <col min="14356" max="14356" width="1.6640625" customWidth="1"/>
    <col min="14357" max="14357" width="3.83203125" customWidth="1"/>
    <col min="14594" max="14599" width="3.83203125" customWidth="1"/>
    <col min="14600" max="14600" width="7" customWidth="1"/>
    <col min="14601" max="14604" width="3.83203125" customWidth="1"/>
    <col min="14605" max="14605" width="4.5" customWidth="1"/>
    <col min="14606" max="14611" width="3.83203125" customWidth="1"/>
    <col min="14612" max="14612" width="1.6640625" customWidth="1"/>
    <col min="14613" max="14613" width="3.83203125" customWidth="1"/>
    <col min="14850" max="14855" width="3.83203125" customWidth="1"/>
    <col min="14856" max="14856" width="7" customWidth="1"/>
    <col min="14857" max="14860" width="3.83203125" customWidth="1"/>
    <col min="14861" max="14861" width="4.5" customWidth="1"/>
    <col min="14862" max="14867" width="3.83203125" customWidth="1"/>
    <col min="14868" max="14868" width="1.6640625" customWidth="1"/>
    <col min="14869" max="14869" width="3.83203125" customWidth="1"/>
    <col min="15106" max="15111" width="3.83203125" customWidth="1"/>
    <col min="15112" max="15112" width="7" customWidth="1"/>
    <col min="15113" max="15116" width="3.83203125" customWidth="1"/>
    <col min="15117" max="15117" width="4.5" customWidth="1"/>
    <col min="15118" max="15123" width="3.83203125" customWidth="1"/>
    <col min="15124" max="15124" width="1.6640625" customWidth="1"/>
    <col min="15125" max="15125" width="3.83203125" customWidth="1"/>
    <col min="15362" max="15367" width="3.83203125" customWidth="1"/>
    <col min="15368" max="15368" width="7" customWidth="1"/>
    <col min="15369" max="15372" width="3.83203125" customWidth="1"/>
    <col min="15373" max="15373" width="4.5" customWidth="1"/>
    <col min="15374" max="15379" width="3.83203125" customWidth="1"/>
    <col min="15380" max="15380" width="1.6640625" customWidth="1"/>
    <col min="15381" max="15381" width="3.83203125" customWidth="1"/>
    <col min="15618" max="15623" width="3.83203125" customWidth="1"/>
    <col min="15624" max="15624" width="7" customWidth="1"/>
    <col min="15625" max="15628" width="3.83203125" customWidth="1"/>
    <col min="15629" max="15629" width="4.5" customWidth="1"/>
    <col min="15630" max="15635" width="3.83203125" customWidth="1"/>
    <col min="15636" max="15636" width="1.6640625" customWidth="1"/>
    <col min="15637" max="15637" width="3.83203125" customWidth="1"/>
    <col min="15874" max="15879" width="3.83203125" customWidth="1"/>
    <col min="15880" max="15880" width="7" customWidth="1"/>
    <col min="15881" max="15884" width="3.83203125" customWidth="1"/>
    <col min="15885" max="15885" width="4.5" customWidth="1"/>
    <col min="15886" max="15891" width="3.83203125" customWidth="1"/>
    <col min="15892" max="15892" width="1.6640625" customWidth="1"/>
    <col min="15893" max="15893" width="3.83203125" customWidth="1"/>
    <col min="16130" max="16135" width="3.83203125" customWidth="1"/>
    <col min="16136" max="16136" width="7" customWidth="1"/>
    <col min="16137" max="16140" width="3.83203125" customWidth="1"/>
    <col min="16141" max="16141" width="4.5" customWidth="1"/>
    <col min="16142" max="16147" width="3.83203125" customWidth="1"/>
    <col min="16148" max="16148" width="1.6640625" customWidth="1"/>
    <col min="16149" max="16149" width="3.83203125" customWidth="1"/>
  </cols>
  <sheetData>
    <row r="1" spans="2:21">
      <c r="B1" s="16"/>
      <c r="C1" s="16"/>
    </row>
    <row r="2" spans="2:21">
      <c r="B2" s="16"/>
      <c r="C2" s="16"/>
    </row>
    <row r="3" spans="2:21">
      <c r="B3" s="16"/>
      <c r="C3" s="16"/>
    </row>
    <row r="4" spans="2:21">
      <c r="B4" s="16"/>
      <c r="C4" s="16"/>
    </row>
    <row r="5" spans="2:21">
      <c r="B5" s="16"/>
      <c r="C5" s="16"/>
    </row>
    <row r="6" spans="2:21">
      <c r="B6" s="16"/>
      <c r="C6" s="16"/>
    </row>
    <row r="7" spans="2:21" ht="4" customHeight="1">
      <c r="B7" s="256" t="s">
        <v>10</v>
      </c>
      <c r="C7" s="257"/>
      <c r="D7" s="257"/>
      <c r="E7" s="257"/>
      <c r="F7" s="257"/>
      <c r="G7" s="257"/>
      <c r="H7" s="257"/>
      <c r="I7" s="257"/>
      <c r="J7" s="257"/>
      <c r="K7" s="257"/>
      <c r="L7" s="257"/>
      <c r="M7" s="257"/>
      <c r="N7" s="257"/>
      <c r="O7" s="257"/>
      <c r="P7" s="257"/>
      <c r="Q7" s="257"/>
      <c r="R7" s="257"/>
      <c r="S7" s="257"/>
      <c r="T7" s="257"/>
      <c r="U7" s="257"/>
    </row>
    <row r="8" spans="2:21" ht="66" customHeight="1">
      <c r="B8" s="258" t="s">
        <v>110</v>
      </c>
      <c r="C8" s="258"/>
      <c r="D8" s="258"/>
      <c r="E8" s="258"/>
      <c r="F8" s="258"/>
      <c r="G8" s="258"/>
      <c r="H8" s="258"/>
      <c r="I8" s="258"/>
      <c r="J8" s="258"/>
      <c r="K8" s="258"/>
      <c r="L8" s="258"/>
      <c r="M8" s="258"/>
      <c r="N8" s="258"/>
      <c r="O8" s="258"/>
      <c r="P8" s="258"/>
      <c r="Q8" s="258"/>
      <c r="R8" s="258"/>
      <c r="S8" s="258"/>
      <c r="T8" s="258"/>
      <c r="U8" s="258"/>
    </row>
    <row r="9" spans="2:21" ht="44" customHeight="1">
      <c r="B9" s="259" t="str">
        <f>갑지!F8</f>
        <v>효성뉴서울5차아파트</v>
      </c>
      <c r="C9" s="259"/>
      <c r="D9" s="259"/>
      <c r="E9" s="259"/>
      <c r="F9" s="259"/>
      <c r="G9" s="259"/>
      <c r="H9" s="259"/>
      <c r="I9" s="259"/>
      <c r="J9" s="259"/>
      <c r="K9" s="259"/>
      <c r="L9" s="259"/>
      <c r="M9" s="259"/>
      <c r="N9" s="259"/>
      <c r="O9" s="259"/>
      <c r="P9" s="259"/>
      <c r="Q9" s="259"/>
      <c r="R9" s="259"/>
      <c r="S9" s="259"/>
      <c r="T9" s="259"/>
      <c r="U9" s="259"/>
    </row>
    <row r="10" spans="2:21" ht="4" customHeight="1">
      <c r="B10" s="260"/>
      <c r="C10" s="261"/>
      <c r="D10" s="261"/>
      <c r="E10" s="261"/>
      <c r="F10" s="261"/>
      <c r="G10" s="261"/>
      <c r="H10" s="261"/>
      <c r="I10" s="261"/>
      <c r="J10" s="261"/>
      <c r="K10" s="261"/>
      <c r="L10" s="261"/>
      <c r="M10" s="261"/>
      <c r="N10" s="261"/>
      <c r="O10" s="261"/>
      <c r="P10" s="261"/>
      <c r="Q10" s="261"/>
      <c r="R10" s="261"/>
      <c r="S10" s="261"/>
      <c r="T10" s="261"/>
      <c r="U10" s="261"/>
    </row>
    <row r="11" spans="2:21" ht="50" customHeight="1">
      <c r="B11" s="18"/>
      <c r="C11" s="18"/>
    </row>
    <row r="12" spans="2:21" ht="50" customHeight="1">
      <c r="B12" s="18"/>
      <c r="C12" s="18"/>
    </row>
    <row r="13" spans="2:21" ht="50" customHeight="1">
      <c r="B13" s="18"/>
      <c r="C13" s="18"/>
    </row>
    <row r="14" spans="2:21" ht="50" customHeight="1">
      <c r="B14" s="18"/>
      <c r="C14" s="18"/>
    </row>
    <row r="15" spans="2:21" ht="50" customHeight="1">
      <c r="B15" s="18"/>
      <c r="C15" s="18"/>
    </row>
    <row r="16" spans="2:21" ht="24">
      <c r="B16" s="262">
        <f>갑지!F7</f>
        <v>46072</v>
      </c>
      <c r="C16" s="262"/>
      <c r="D16" s="262"/>
      <c r="E16" s="262"/>
      <c r="F16" s="262"/>
      <c r="G16" s="262"/>
      <c r="H16" s="262"/>
      <c r="I16" s="262"/>
      <c r="J16" s="262"/>
      <c r="K16" s="262"/>
      <c r="L16" s="262"/>
      <c r="M16" s="262"/>
      <c r="N16" s="262"/>
      <c r="O16" s="262"/>
      <c r="P16" s="262"/>
      <c r="Q16" s="262"/>
      <c r="R16" s="262"/>
      <c r="S16" s="262"/>
      <c r="T16" s="262"/>
      <c r="U16" s="262"/>
    </row>
    <row r="17" spans="2:21" ht="34.5" customHeight="1">
      <c r="B17" s="18"/>
      <c r="C17" s="18"/>
    </row>
    <row r="18" spans="2:21" ht="34.5" customHeight="1">
      <c r="B18" s="18"/>
      <c r="C18" s="18"/>
    </row>
    <row r="19" spans="2:21" ht="34.5" customHeight="1">
      <c r="B19" s="18"/>
      <c r="C19" s="18"/>
    </row>
    <row r="20" spans="2:21" ht="34.5" customHeight="1">
      <c r="B20" s="18"/>
      <c r="C20" s="18"/>
    </row>
    <row r="21" spans="2:21" ht="34.5" customHeight="1">
      <c r="B21" s="18"/>
      <c r="C21" s="18"/>
    </row>
    <row r="22" spans="2:21" ht="4" customHeight="1">
      <c r="B22" s="267" t="s">
        <v>10</v>
      </c>
      <c r="C22" s="268"/>
      <c r="D22" s="268"/>
      <c r="E22" s="268"/>
      <c r="F22" s="268"/>
      <c r="G22" s="268"/>
      <c r="H22" s="268"/>
      <c r="I22" s="268"/>
      <c r="J22" s="268"/>
      <c r="K22" s="268"/>
      <c r="L22" s="268"/>
      <c r="M22" s="268"/>
      <c r="N22" s="268"/>
      <c r="O22" s="268"/>
      <c r="P22" s="268"/>
      <c r="Q22" s="268"/>
      <c r="R22" s="268"/>
      <c r="S22" s="268"/>
      <c r="T22" s="268"/>
      <c r="U22" s="268"/>
    </row>
    <row r="23" spans="2:21" ht="53.25" customHeight="1">
      <c r="D23" s="47"/>
      <c r="E23" s="47"/>
      <c r="I23" s="266" t="s">
        <v>11</v>
      </c>
      <c r="J23" s="266"/>
      <c r="K23" s="266"/>
      <c r="L23" s="266"/>
      <c r="M23" s="266"/>
      <c r="N23" s="266"/>
      <c r="O23" s="266"/>
      <c r="P23" s="266"/>
      <c r="Q23" s="266"/>
      <c r="R23" s="266"/>
      <c r="S23" s="266"/>
      <c r="T23" s="48"/>
      <c r="U23" s="48"/>
    </row>
    <row r="24" spans="2:21" ht="24" customHeight="1">
      <c r="D24" s="19"/>
      <c r="E24" s="19"/>
      <c r="F24" s="19"/>
      <c r="I24" s="221" t="s">
        <v>12</v>
      </c>
      <c r="J24" s="221"/>
      <c r="K24" s="221"/>
      <c r="L24" s="221"/>
      <c r="M24" s="221"/>
      <c r="N24" s="221"/>
      <c r="O24" s="221"/>
      <c r="P24" s="221"/>
      <c r="Q24" s="221"/>
      <c r="R24" s="221"/>
      <c r="S24" s="221"/>
      <c r="T24" s="221"/>
      <c r="U24" s="19"/>
    </row>
    <row r="25" spans="2:21" ht="24" customHeight="1">
      <c r="D25" s="19"/>
      <c r="E25" s="19"/>
      <c r="F25" s="19"/>
      <c r="I25" s="221" t="s">
        <v>72</v>
      </c>
      <c r="J25" s="221"/>
      <c r="K25" s="221"/>
      <c r="L25" s="221"/>
      <c r="M25" s="221"/>
      <c r="N25" s="221"/>
      <c r="O25" s="221"/>
      <c r="P25" s="221"/>
      <c r="Q25" s="221"/>
      <c r="R25" s="221"/>
      <c r="S25" s="221"/>
      <c r="T25" s="221"/>
      <c r="U25" s="19"/>
    </row>
    <row r="26" spans="2:21" ht="24" customHeight="1">
      <c r="D26" s="19"/>
      <c r="E26" s="19"/>
      <c r="F26" s="19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</row>
    <row r="27" spans="2:21" ht="24" customHeight="1" thickBot="1">
      <c r="D27" s="19"/>
      <c r="E27" s="19"/>
      <c r="F27" s="19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</row>
    <row r="28" spans="2:21" ht="43.5" customHeight="1" thickBot="1">
      <c r="B28" s="263" t="s">
        <v>111</v>
      </c>
      <c r="C28" s="264"/>
      <c r="D28" s="264"/>
      <c r="E28" s="264"/>
      <c r="F28" s="264"/>
      <c r="G28" s="264"/>
      <c r="H28" s="264"/>
      <c r="I28" s="264"/>
      <c r="J28" s="264"/>
      <c r="K28" s="264"/>
      <c r="L28" s="264"/>
      <c r="M28" s="264"/>
      <c r="N28" s="264"/>
      <c r="O28" s="264"/>
      <c r="P28" s="264"/>
      <c r="Q28" s="264"/>
      <c r="R28" s="264"/>
      <c r="S28" s="264"/>
      <c r="T28" s="264"/>
      <c r="U28" s="265"/>
    </row>
    <row r="29" spans="2:21" ht="25" customHeight="1">
      <c r="B29" s="269" t="s">
        <v>13</v>
      </c>
      <c r="C29" s="270"/>
      <c r="D29" s="271" t="s">
        <v>14</v>
      </c>
      <c r="E29" s="271"/>
      <c r="F29" s="271"/>
      <c r="G29" s="272" t="str">
        <f>B9</f>
        <v>효성뉴서울5차아파트</v>
      </c>
      <c r="H29" s="272"/>
      <c r="I29" s="272"/>
      <c r="J29" s="272"/>
      <c r="K29" s="272"/>
      <c r="L29" s="272"/>
      <c r="M29" s="272"/>
      <c r="N29" s="272"/>
      <c r="O29" s="272"/>
      <c r="P29" s="272"/>
      <c r="Q29" s="272"/>
      <c r="R29" s="272"/>
      <c r="S29" s="272"/>
      <c r="T29" s="272"/>
      <c r="U29" s="273"/>
    </row>
    <row r="30" spans="2:21" ht="25" customHeight="1">
      <c r="B30" s="232"/>
      <c r="C30" s="233"/>
      <c r="D30" s="231" t="s">
        <v>15</v>
      </c>
      <c r="E30" s="231"/>
      <c r="F30" s="231"/>
      <c r="G30" s="246" t="s">
        <v>151</v>
      </c>
      <c r="H30" s="246"/>
      <c r="I30" s="246"/>
      <c r="J30" s="246"/>
      <c r="K30" s="246"/>
      <c r="L30" s="246"/>
      <c r="M30" s="246"/>
      <c r="N30" s="246"/>
      <c r="O30" s="246"/>
      <c r="P30" s="246"/>
      <c r="Q30" s="246"/>
      <c r="R30" s="246"/>
      <c r="S30" s="246"/>
      <c r="T30" s="246"/>
      <c r="U30" s="247"/>
    </row>
    <row r="31" spans="2:21" ht="25" customHeight="1">
      <c r="B31" s="232"/>
      <c r="C31" s="233"/>
      <c r="D31" s="231"/>
      <c r="E31" s="231"/>
      <c r="F31" s="231"/>
      <c r="G31" s="246" t="s">
        <v>152</v>
      </c>
      <c r="H31" s="246"/>
      <c r="I31" s="246"/>
      <c r="J31" s="246"/>
      <c r="K31" s="246"/>
      <c r="L31" s="246"/>
      <c r="M31" s="246"/>
      <c r="N31" s="246"/>
      <c r="O31" s="246"/>
      <c r="P31" s="246"/>
      <c r="Q31" s="246"/>
      <c r="R31" s="246"/>
      <c r="S31" s="246"/>
      <c r="T31" s="246"/>
      <c r="U31" s="247"/>
    </row>
    <row r="32" spans="2:21" ht="25" customHeight="1">
      <c r="B32" s="232"/>
      <c r="C32" s="233"/>
      <c r="D32" s="231"/>
      <c r="E32" s="231"/>
      <c r="F32" s="231"/>
      <c r="G32" s="246" t="s">
        <v>155</v>
      </c>
      <c r="H32" s="246"/>
      <c r="I32" s="246"/>
      <c r="J32" s="246"/>
      <c r="K32" s="246"/>
      <c r="L32" s="246"/>
      <c r="M32" s="246"/>
      <c r="N32" s="246"/>
      <c r="O32" s="246"/>
      <c r="P32" s="246"/>
      <c r="Q32" s="246"/>
      <c r="R32" s="246"/>
      <c r="S32" s="246"/>
      <c r="T32" s="246"/>
      <c r="U32" s="247"/>
    </row>
    <row r="33" spans="2:21" ht="25" customHeight="1">
      <c r="B33" s="232"/>
      <c r="C33" s="233"/>
      <c r="D33" s="231"/>
      <c r="E33" s="231"/>
      <c r="F33" s="231"/>
      <c r="G33" s="246" t="s">
        <v>153</v>
      </c>
      <c r="H33" s="246"/>
      <c r="I33" s="246"/>
      <c r="J33" s="246"/>
      <c r="K33" s="246"/>
      <c r="L33" s="246"/>
      <c r="M33" s="246"/>
      <c r="N33" s="246"/>
      <c r="O33" s="246"/>
      <c r="P33" s="246"/>
      <c r="Q33" s="246"/>
      <c r="R33" s="246"/>
      <c r="S33" s="246"/>
      <c r="T33" s="246"/>
      <c r="U33" s="247"/>
    </row>
    <row r="34" spans="2:21" ht="25" customHeight="1">
      <c r="B34" s="232"/>
      <c r="C34" s="233"/>
      <c r="D34" s="231"/>
      <c r="E34" s="231"/>
      <c r="F34" s="231"/>
      <c r="G34" s="248" t="s">
        <v>154</v>
      </c>
      <c r="H34" s="248"/>
      <c r="I34" s="248"/>
      <c r="J34" s="248"/>
      <c r="K34" s="248"/>
      <c r="L34" s="248"/>
      <c r="M34" s="248"/>
      <c r="N34" s="248"/>
      <c r="O34" s="248"/>
      <c r="P34" s="248"/>
      <c r="Q34" s="248"/>
      <c r="R34" s="248"/>
      <c r="S34" s="248"/>
      <c r="T34" s="248"/>
      <c r="U34" s="249"/>
    </row>
    <row r="35" spans="2:21" ht="25" customHeight="1">
      <c r="B35" s="232" t="s">
        <v>16</v>
      </c>
      <c r="C35" s="233"/>
      <c r="D35" s="231" t="s">
        <v>17</v>
      </c>
      <c r="E35" s="231"/>
      <c r="F35" s="231"/>
      <c r="G35" s="253" t="str">
        <f>G29</f>
        <v>효성뉴서울5차아파트</v>
      </c>
      <c r="H35" s="254"/>
      <c r="I35" s="254"/>
      <c r="J35" s="254"/>
      <c r="K35" s="254"/>
      <c r="L35" s="254"/>
      <c r="M35" s="254" t="s">
        <v>112</v>
      </c>
      <c r="N35" s="254"/>
      <c r="O35" s="254"/>
      <c r="P35" s="254"/>
      <c r="Q35" s="254"/>
      <c r="R35" s="254"/>
      <c r="S35" s="254"/>
      <c r="T35" s="122"/>
      <c r="U35" s="123"/>
    </row>
    <row r="36" spans="2:21" ht="25" customHeight="1">
      <c r="B36" s="232"/>
      <c r="C36" s="233"/>
      <c r="D36" s="231" t="s">
        <v>18</v>
      </c>
      <c r="E36" s="231"/>
      <c r="F36" s="231"/>
      <c r="G36" s="229" t="str">
        <f>갑지!L31</f>
        <v>일금일백팔십만원정 (₩1,800,000)-VAT별도</v>
      </c>
      <c r="H36" s="229"/>
      <c r="I36" s="229"/>
      <c r="J36" s="229"/>
      <c r="K36" s="229"/>
      <c r="L36" s="229"/>
      <c r="M36" s="229"/>
      <c r="N36" s="229"/>
      <c r="O36" s="229"/>
      <c r="P36" s="229"/>
      <c r="Q36" s="229"/>
      <c r="R36" s="229"/>
      <c r="S36" s="229"/>
      <c r="T36" s="229"/>
      <c r="U36" s="230"/>
    </row>
    <row r="37" spans="2:21" ht="25" customHeight="1">
      <c r="B37" s="232"/>
      <c r="C37" s="233"/>
      <c r="D37" s="231" t="s">
        <v>0</v>
      </c>
      <c r="E37" s="231"/>
      <c r="F37" s="231"/>
      <c r="G37" s="238" t="str">
        <f>갑지!L31</f>
        <v>일금일백팔십만원정 (₩1,800,000)-VAT별도</v>
      </c>
      <c r="H37" s="238"/>
      <c r="I37" s="238"/>
      <c r="J37" s="238"/>
      <c r="K37" s="238"/>
      <c r="L37" s="238"/>
      <c r="M37" s="238"/>
      <c r="N37" s="238"/>
      <c r="O37" s="238"/>
      <c r="P37" s="238"/>
      <c r="Q37" s="238"/>
      <c r="R37" s="238"/>
      <c r="S37" s="238"/>
      <c r="T37" s="238"/>
      <c r="U37" s="239"/>
    </row>
    <row r="38" spans="2:21" ht="25" customHeight="1">
      <c r="B38" s="232"/>
      <c r="C38" s="233"/>
      <c r="D38" s="231" t="s">
        <v>19</v>
      </c>
      <c r="E38" s="231"/>
      <c r="F38" s="231"/>
      <c r="G38" s="229" t="s">
        <v>20</v>
      </c>
      <c r="H38" s="229"/>
      <c r="I38" s="229"/>
      <c r="J38" s="229"/>
      <c r="K38" s="229"/>
      <c r="L38" s="229"/>
      <c r="M38" s="229"/>
      <c r="N38" s="229"/>
      <c r="O38" s="229"/>
      <c r="P38" s="229"/>
      <c r="Q38" s="229"/>
      <c r="R38" s="229"/>
      <c r="S38" s="229"/>
      <c r="T38" s="229"/>
      <c r="U38" s="230"/>
    </row>
    <row r="39" spans="2:21" ht="25" customHeight="1">
      <c r="B39" s="232"/>
      <c r="C39" s="233"/>
      <c r="D39" s="231" t="s">
        <v>21</v>
      </c>
      <c r="E39" s="231"/>
      <c r="F39" s="231"/>
      <c r="G39" s="229" t="s">
        <v>55</v>
      </c>
      <c r="H39" s="229"/>
      <c r="I39" s="229"/>
      <c r="J39" s="229"/>
      <c r="K39" s="229"/>
      <c r="L39" s="229"/>
      <c r="M39" s="229"/>
      <c r="N39" s="229"/>
      <c r="O39" s="229"/>
      <c r="P39" s="229"/>
      <c r="Q39" s="229"/>
      <c r="R39" s="229"/>
      <c r="S39" s="229"/>
      <c r="T39" s="229"/>
      <c r="U39" s="230"/>
    </row>
    <row r="40" spans="2:21" ht="25" customHeight="1">
      <c r="B40" s="232"/>
      <c r="C40" s="233"/>
      <c r="D40" s="231" t="s">
        <v>22</v>
      </c>
      <c r="E40" s="231"/>
      <c r="F40" s="231"/>
      <c r="G40" s="229" t="str">
        <f>갑지!L23</f>
        <v>인천 계양구 아나지로 199 (효성동)</v>
      </c>
      <c r="H40" s="229"/>
      <c r="I40" s="229"/>
      <c r="J40" s="229"/>
      <c r="K40" s="229"/>
      <c r="L40" s="229"/>
      <c r="M40" s="229"/>
      <c r="N40" s="229"/>
      <c r="O40" s="229"/>
      <c r="P40" s="229"/>
      <c r="Q40" s="229"/>
      <c r="R40" s="229"/>
      <c r="S40" s="229"/>
      <c r="T40" s="229"/>
      <c r="U40" s="230"/>
    </row>
    <row r="41" spans="2:21" ht="25" customHeight="1">
      <c r="B41" s="232"/>
      <c r="C41" s="233"/>
      <c r="D41" s="231"/>
      <c r="E41" s="231"/>
      <c r="F41" s="231"/>
      <c r="G41" s="253" t="s">
        <v>142</v>
      </c>
      <c r="H41" s="254"/>
      <c r="I41" s="254"/>
      <c r="J41" s="254"/>
      <c r="K41" s="254"/>
      <c r="L41" s="254"/>
      <c r="M41" s="254"/>
      <c r="N41" s="121" t="s">
        <v>143</v>
      </c>
      <c r="O41" s="254" t="s">
        <v>144</v>
      </c>
      <c r="P41" s="254"/>
      <c r="Q41" s="254"/>
      <c r="R41" s="254"/>
      <c r="S41" s="254"/>
      <c r="T41" s="254"/>
      <c r="U41" s="255"/>
    </row>
    <row r="42" spans="2:21" ht="25" customHeight="1">
      <c r="B42" s="234"/>
      <c r="C42" s="235"/>
      <c r="D42" s="240" t="s">
        <v>23</v>
      </c>
      <c r="E42" s="241"/>
      <c r="F42" s="242"/>
      <c r="G42" s="243" t="s">
        <v>113</v>
      </c>
      <c r="H42" s="244"/>
      <c r="I42" s="244"/>
      <c r="J42" s="244"/>
      <c r="K42" s="244"/>
      <c r="L42" s="244"/>
      <c r="M42" s="244"/>
      <c r="N42" s="244"/>
      <c r="O42" s="244"/>
      <c r="P42" s="244"/>
      <c r="Q42" s="244"/>
      <c r="R42" s="244"/>
      <c r="S42" s="244"/>
      <c r="T42" s="244"/>
      <c r="U42" s="245"/>
    </row>
    <row r="43" spans="2:21" ht="25" customHeight="1" thickBot="1">
      <c r="B43" s="236"/>
      <c r="C43" s="237"/>
      <c r="D43" s="250" t="s">
        <v>24</v>
      </c>
      <c r="E43" s="250"/>
      <c r="F43" s="250"/>
      <c r="G43" s="251" t="s">
        <v>114</v>
      </c>
      <c r="H43" s="251"/>
      <c r="I43" s="251"/>
      <c r="J43" s="251"/>
      <c r="K43" s="251"/>
      <c r="L43" s="251"/>
      <c r="M43" s="251"/>
      <c r="N43" s="251"/>
      <c r="O43" s="251"/>
      <c r="P43" s="251"/>
      <c r="Q43" s="251"/>
      <c r="R43" s="251"/>
      <c r="S43" s="251"/>
      <c r="T43" s="251"/>
      <c r="U43" s="252"/>
    </row>
    <row r="44" spans="2:21">
      <c r="B44" s="223"/>
      <c r="C44" s="224"/>
      <c r="D44" s="224"/>
      <c r="E44" s="224"/>
      <c r="U44" s="2"/>
    </row>
    <row r="45" spans="2:21" ht="67.5" customHeight="1">
      <c r="B45" s="225" t="s">
        <v>25</v>
      </c>
      <c r="C45" s="196"/>
      <c r="D45" s="196"/>
      <c r="E45" s="196"/>
      <c r="F45" s="196"/>
      <c r="G45" s="196"/>
      <c r="H45" s="196"/>
      <c r="I45" s="196"/>
      <c r="J45" s="196"/>
      <c r="K45" s="196"/>
      <c r="L45" s="196"/>
      <c r="M45" s="196"/>
      <c r="N45" s="196"/>
      <c r="O45" s="196"/>
      <c r="P45" s="196"/>
      <c r="Q45" s="196"/>
      <c r="R45" s="196"/>
      <c r="S45" s="196"/>
      <c r="T45" s="196"/>
      <c r="U45" s="222"/>
    </row>
    <row r="46" spans="2:21">
      <c r="B46" s="22"/>
      <c r="C46" s="23"/>
      <c r="D46" s="23"/>
      <c r="E46" s="23"/>
      <c r="U46" s="2"/>
    </row>
    <row r="47" spans="2:21" ht="25" customHeight="1">
      <c r="B47" s="220" t="s">
        <v>26</v>
      </c>
      <c r="C47" s="221"/>
      <c r="D47" s="221"/>
      <c r="E47" s="196" t="s">
        <v>115</v>
      </c>
      <c r="F47" s="196"/>
      <c r="G47" s="196"/>
      <c r="H47" s="196"/>
      <c r="I47" s="196"/>
      <c r="J47" s="196"/>
      <c r="K47" s="196"/>
      <c r="L47" s="196"/>
      <c r="M47" s="196"/>
      <c r="N47" s="196"/>
      <c r="O47" s="196"/>
      <c r="P47" s="196"/>
      <c r="Q47" s="196"/>
      <c r="R47" s="196"/>
      <c r="S47" s="196"/>
      <c r="T47" s="196"/>
      <c r="U47" s="222"/>
    </row>
    <row r="48" spans="2:21" ht="25" customHeight="1">
      <c r="B48" s="24"/>
      <c r="C48" s="19"/>
      <c r="D48" s="19"/>
      <c r="E48" s="196"/>
      <c r="F48" s="196"/>
      <c r="G48" s="196"/>
      <c r="H48" s="196"/>
      <c r="I48" s="196"/>
      <c r="J48" s="196"/>
      <c r="K48" s="196"/>
      <c r="L48" s="196"/>
      <c r="M48" s="196"/>
      <c r="N48" s="196"/>
      <c r="O48" s="196"/>
      <c r="P48" s="196"/>
      <c r="Q48" s="196"/>
      <c r="R48" s="196"/>
      <c r="S48" s="196"/>
      <c r="T48" s="196"/>
      <c r="U48" s="222"/>
    </row>
    <row r="49" spans="2:41" ht="25" customHeight="1">
      <c r="B49" s="24"/>
      <c r="C49" s="19"/>
      <c r="D49" s="19"/>
      <c r="E49" s="196"/>
      <c r="F49" s="196"/>
      <c r="G49" s="196"/>
      <c r="H49" s="196"/>
      <c r="I49" s="196"/>
      <c r="J49" s="196"/>
      <c r="K49" s="196"/>
      <c r="L49" s="196"/>
      <c r="M49" s="196"/>
      <c r="N49" s="196"/>
      <c r="O49" s="196"/>
      <c r="P49" s="196"/>
      <c r="Q49" s="196"/>
      <c r="R49" s="196"/>
      <c r="S49" s="196"/>
      <c r="T49" s="196"/>
      <c r="U49" s="222"/>
    </row>
    <row r="50" spans="2:41">
      <c r="B50" s="223"/>
      <c r="C50" s="224"/>
      <c r="D50" s="224"/>
      <c r="E50" s="224"/>
      <c r="U50" s="2"/>
    </row>
    <row r="51" spans="2:41" ht="25" customHeight="1">
      <c r="B51" s="225" t="s">
        <v>27</v>
      </c>
      <c r="C51" s="196"/>
      <c r="D51" s="196"/>
      <c r="E51" s="226" t="s">
        <v>116</v>
      </c>
      <c r="F51" s="226"/>
      <c r="G51" s="226"/>
      <c r="H51" s="226"/>
      <c r="I51" s="226"/>
      <c r="J51" s="226"/>
      <c r="K51" s="226"/>
      <c r="L51" s="226"/>
      <c r="M51" s="226"/>
      <c r="N51" s="226"/>
      <c r="O51" s="226"/>
      <c r="P51" s="226"/>
      <c r="Q51" s="226"/>
      <c r="R51" s="226"/>
      <c r="S51" s="226"/>
      <c r="T51" s="226"/>
      <c r="U51" s="227"/>
    </row>
    <row r="52" spans="2:41" ht="40.5" customHeight="1">
      <c r="B52" s="207" t="s">
        <v>28</v>
      </c>
      <c r="C52" s="208"/>
      <c r="D52" s="208"/>
      <c r="E52" s="208"/>
      <c r="F52" s="208"/>
      <c r="G52" s="208"/>
      <c r="H52" s="208"/>
      <c r="I52" s="208"/>
      <c r="J52" s="208"/>
      <c r="K52" s="208"/>
      <c r="L52" s="208" t="s">
        <v>29</v>
      </c>
      <c r="M52" s="208"/>
      <c r="N52" s="208"/>
      <c r="O52" s="208"/>
      <c r="P52" s="208"/>
      <c r="Q52" s="208"/>
      <c r="R52" s="208"/>
      <c r="S52" s="208"/>
      <c r="T52" s="208"/>
      <c r="U52" s="228"/>
    </row>
    <row r="53" spans="2:41" ht="40.5" customHeight="1">
      <c r="B53" s="207" t="s">
        <v>30</v>
      </c>
      <c r="C53" s="208"/>
      <c r="D53" s="208"/>
      <c r="E53" s="209" t="str">
        <f>G29</f>
        <v>효성뉴서울5차아파트</v>
      </c>
      <c r="F53" s="209"/>
      <c r="G53" s="209"/>
      <c r="H53" s="209"/>
      <c r="I53" s="209"/>
      <c r="J53" s="209"/>
      <c r="K53" s="209"/>
      <c r="L53" s="208" t="s">
        <v>31</v>
      </c>
      <c r="M53" s="208"/>
      <c r="N53" s="208"/>
      <c r="O53" s="218" t="s">
        <v>32</v>
      </c>
      <c r="P53" s="218"/>
      <c r="Q53" s="218"/>
      <c r="R53" s="218"/>
      <c r="S53" s="218"/>
      <c r="T53" s="218"/>
      <c r="U53" s="219"/>
    </row>
    <row r="54" spans="2:41" ht="40.5" customHeight="1">
      <c r="B54" s="207" t="s">
        <v>33</v>
      </c>
      <c r="C54" s="208"/>
      <c r="D54" s="208"/>
      <c r="E54" s="209" t="str">
        <f>G40</f>
        <v>인천 계양구 아나지로 199 (효성동)</v>
      </c>
      <c r="F54" s="209"/>
      <c r="G54" s="209"/>
      <c r="H54" s="209"/>
      <c r="I54" s="209"/>
      <c r="J54" s="209"/>
      <c r="K54" s="209"/>
      <c r="L54" s="208" t="s">
        <v>34</v>
      </c>
      <c r="M54" s="208"/>
      <c r="N54" s="208"/>
      <c r="O54" s="210" t="s">
        <v>35</v>
      </c>
      <c r="P54" s="211"/>
      <c r="Q54" s="211"/>
      <c r="R54" s="211"/>
      <c r="S54" s="211"/>
      <c r="T54" s="211"/>
      <c r="U54" s="212"/>
    </row>
    <row r="55" spans="2:41" ht="40.5" customHeight="1" thickBot="1">
      <c r="B55" s="213" t="s">
        <v>36</v>
      </c>
      <c r="C55" s="214"/>
      <c r="D55" s="214"/>
      <c r="E55" s="215" t="s">
        <v>37</v>
      </c>
      <c r="F55" s="215"/>
      <c r="G55" s="215"/>
      <c r="H55" s="215"/>
      <c r="I55" s="215"/>
      <c r="J55" s="215"/>
      <c r="K55" s="215"/>
      <c r="L55" s="214" t="s">
        <v>38</v>
      </c>
      <c r="M55" s="214"/>
      <c r="N55" s="214"/>
      <c r="O55" s="216" t="s">
        <v>39</v>
      </c>
      <c r="P55" s="216"/>
      <c r="Q55" s="216"/>
      <c r="R55" s="216"/>
      <c r="S55" s="216"/>
      <c r="T55" s="216"/>
      <c r="U55" s="217"/>
    </row>
    <row r="56" spans="2:41" ht="16">
      <c r="B56" s="204" t="s">
        <v>40</v>
      </c>
      <c r="C56" s="204"/>
      <c r="D56" s="204"/>
      <c r="E56" s="204"/>
      <c r="F56" s="204"/>
      <c r="G56" s="204"/>
      <c r="H56" s="204"/>
      <c r="I56" s="204"/>
      <c r="J56" s="204"/>
      <c r="K56" s="204"/>
      <c r="L56" s="204"/>
      <c r="M56" s="204"/>
      <c r="N56" s="204"/>
      <c r="O56" s="204"/>
      <c r="P56" s="204"/>
      <c r="Q56" s="204"/>
      <c r="R56" s="204"/>
      <c r="S56" s="204"/>
      <c r="T56" s="204"/>
      <c r="U56" s="204"/>
    </row>
    <row r="57" spans="2:41" ht="26">
      <c r="B57" s="205" t="s">
        <v>117</v>
      </c>
      <c r="C57" s="205"/>
      <c r="D57" s="205"/>
      <c r="E57" s="205"/>
      <c r="F57" s="205"/>
      <c r="G57" s="205"/>
      <c r="H57" s="205"/>
      <c r="I57" s="205"/>
      <c r="J57" s="205"/>
      <c r="K57" s="205"/>
      <c r="L57" s="205"/>
      <c r="M57" s="205"/>
      <c r="N57" s="205"/>
      <c r="O57" s="205"/>
      <c r="P57" s="205"/>
      <c r="Q57" s="205"/>
      <c r="R57" s="205"/>
      <c r="S57" s="205"/>
      <c r="T57" s="205"/>
      <c r="U57" s="205"/>
    </row>
    <row r="58" spans="2:41" ht="15">
      <c r="B58" s="25"/>
      <c r="F58" s="4"/>
      <c r="G58" s="17"/>
      <c r="I58" s="3"/>
    </row>
    <row r="59" spans="2:41" s="29" customFormat="1" ht="33" customHeight="1">
      <c r="B59" s="206" t="s">
        <v>156</v>
      </c>
      <c r="C59" s="206"/>
      <c r="D59" s="206"/>
      <c r="E59" s="206"/>
      <c r="F59" s="206"/>
      <c r="G59" s="206"/>
      <c r="H59" s="206"/>
      <c r="I59" s="206"/>
      <c r="J59" s="206"/>
      <c r="K59" s="206"/>
      <c r="L59" s="206"/>
      <c r="M59" s="206"/>
      <c r="N59" s="206"/>
      <c r="O59" s="206"/>
      <c r="P59" s="206"/>
      <c r="Q59" s="206"/>
      <c r="R59" s="206"/>
      <c r="S59" s="206"/>
      <c r="T59" s="206"/>
      <c r="U59" s="206"/>
    </row>
    <row r="60" spans="2:41" ht="20" customHeight="1">
      <c r="B60" s="200" t="str">
        <f>E53</f>
        <v>효성뉴서울5차아파트</v>
      </c>
      <c r="C60" s="200"/>
      <c r="D60" s="200"/>
      <c r="E60" s="200"/>
      <c r="F60" s="200"/>
      <c r="G60" s="200"/>
      <c r="H60" s="200"/>
      <c r="I60" s="200"/>
      <c r="J60" s="203" t="s">
        <v>157</v>
      </c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</row>
    <row r="61" spans="2:41" ht="20" customHeight="1">
      <c r="B61" s="201" t="s">
        <v>145</v>
      </c>
      <c r="C61" s="201"/>
      <c r="D61" s="201"/>
      <c r="E61" s="201"/>
      <c r="F61" s="201"/>
      <c r="G61" s="201"/>
      <c r="H61" s="201"/>
      <c r="I61" s="201"/>
      <c r="J61" s="201"/>
      <c r="K61" s="201"/>
      <c r="L61" s="201"/>
      <c r="M61" s="201"/>
      <c r="N61" s="201"/>
      <c r="O61" s="201"/>
      <c r="P61" s="201"/>
      <c r="Q61" s="201"/>
      <c r="R61" s="201"/>
      <c r="S61" s="201"/>
      <c r="T61" s="201"/>
      <c r="U61" s="201"/>
    </row>
    <row r="62" spans="2:41" ht="20" customHeight="1">
      <c r="B62" s="20"/>
      <c r="C62" s="20"/>
      <c r="D62" s="20"/>
      <c r="E62" s="20"/>
      <c r="F62" s="20"/>
      <c r="G62" s="20"/>
      <c r="H62" s="20"/>
      <c r="I62" s="20"/>
      <c r="J62" s="20"/>
    </row>
    <row r="63" spans="2:41" ht="20" customHeight="1">
      <c r="B63" s="197" t="s">
        <v>146</v>
      </c>
      <c r="C63" s="198"/>
      <c r="D63" s="198"/>
      <c r="E63" s="198"/>
      <c r="F63" s="198"/>
      <c r="G63" s="198"/>
      <c r="H63" s="198"/>
      <c r="I63" s="198"/>
      <c r="J63" s="198"/>
    </row>
    <row r="64" spans="2:41" ht="63.75" customHeight="1">
      <c r="C64" s="196" t="s">
        <v>118</v>
      </c>
      <c r="D64" s="196"/>
      <c r="E64" s="196"/>
      <c r="F64" s="196"/>
      <c r="G64" s="196"/>
      <c r="H64" s="196"/>
      <c r="I64" s="196"/>
      <c r="J64" s="196"/>
      <c r="K64" s="196"/>
      <c r="L64" s="196"/>
      <c r="M64" s="196"/>
      <c r="N64" s="196"/>
      <c r="O64" s="196"/>
      <c r="P64" s="196"/>
      <c r="Q64" s="196"/>
      <c r="R64" s="196"/>
      <c r="S64" s="196"/>
      <c r="T64" s="196"/>
      <c r="U64" s="196"/>
      <c r="W64" s="196"/>
      <c r="X64" s="196"/>
      <c r="Y64" s="196"/>
      <c r="Z64" s="196"/>
      <c r="AA64" s="196"/>
      <c r="AB64" s="196"/>
      <c r="AC64" s="196"/>
      <c r="AD64" s="196"/>
      <c r="AE64" s="196"/>
      <c r="AF64" s="196"/>
      <c r="AG64" s="196"/>
      <c r="AH64" s="196"/>
      <c r="AI64" s="196"/>
      <c r="AJ64" s="196"/>
      <c r="AK64" s="196"/>
      <c r="AL64" s="196"/>
      <c r="AM64" s="196"/>
      <c r="AN64" s="196"/>
      <c r="AO64" s="196"/>
    </row>
    <row r="65" spans="2:21" ht="20" customHeight="1">
      <c r="B65" s="26"/>
      <c r="F65" s="4"/>
      <c r="G65" s="17"/>
      <c r="I65" s="3"/>
    </row>
    <row r="66" spans="2:21" ht="20" customHeight="1">
      <c r="B66" s="197" t="s">
        <v>130</v>
      </c>
      <c r="C66" s="197"/>
      <c r="D66" s="197"/>
      <c r="E66" s="197"/>
      <c r="F66" s="197"/>
      <c r="G66" s="197"/>
      <c r="H66" s="197"/>
      <c r="I66" s="197"/>
      <c r="J66" s="197"/>
      <c r="K66" s="197"/>
      <c r="L66" s="197"/>
      <c r="M66" s="197"/>
      <c r="N66" s="197"/>
      <c r="O66" s="197"/>
      <c r="P66" s="197"/>
      <c r="Q66" s="197"/>
      <c r="R66" s="197"/>
      <c r="S66" s="197"/>
      <c r="T66" s="197"/>
      <c r="U66" s="197"/>
    </row>
    <row r="67" spans="2:21" ht="20" customHeight="1">
      <c r="C67" s="27" t="s">
        <v>41</v>
      </c>
      <c r="D67" s="27"/>
      <c r="E67" s="27"/>
      <c r="F67" s="202" t="str">
        <f>E53</f>
        <v>효성뉴서울5차아파트</v>
      </c>
      <c r="G67" s="202"/>
      <c r="H67" s="202"/>
      <c r="I67" s="202"/>
      <c r="J67" s="202"/>
      <c r="K67" s="202"/>
      <c r="L67" s="202"/>
      <c r="M67" s="202"/>
      <c r="N67" s="202"/>
      <c r="O67" s="202"/>
      <c r="P67" s="202"/>
      <c r="Q67" s="202"/>
      <c r="R67" s="202"/>
      <c r="S67" s="202"/>
      <c r="T67" s="202"/>
      <c r="U67" s="202"/>
    </row>
    <row r="68" spans="2:21" ht="20" customHeight="1">
      <c r="C68" s="27" t="s">
        <v>42</v>
      </c>
      <c r="D68" s="27"/>
      <c r="E68" s="27"/>
      <c r="F68" s="124" t="str">
        <f>E54</f>
        <v>인천 계양구 아나지로 199 (효성동)</v>
      </c>
      <c r="G68" s="124"/>
      <c r="H68" s="124"/>
      <c r="I68" s="124"/>
      <c r="J68" s="124"/>
      <c r="K68" s="125"/>
      <c r="L68" s="126"/>
      <c r="M68" s="126"/>
      <c r="N68" s="126"/>
      <c r="O68" s="126"/>
      <c r="P68" s="126"/>
      <c r="Q68" s="126"/>
      <c r="R68" s="126"/>
      <c r="S68" s="126"/>
      <c r="T68" s="126"/>
      <c r="U68" s="126"/>
    </row>
    <row r="69" spans="2:21" ht="20" customHeight="1">
      <c r="C69" s="27" t="s">
        <v>43</v>
      </c>
      <c r="D69" s="27"/>
      <c r="E69" s="27"/>
      <c r="F69" s="124" t="s">
        <v>50</v>
      </c>
      <c r="G69" s="124"/>
      <c r="H69" s="124"/>
      <c r="I69" s="124"/>
      <c r="J69" s="124"/>
      <c r="K69" s="127"/>
      <c r="L69" s="128"/>
      <c r="M69" s="128"/>
      <c r="N69" s="128"/>
      <c r="O69" s="128"/>
      <c r="P69" s="128"/>
      <c r="Q69" s="128"/>
      <c r="R69" s="128"/>
      <c r="S69" s="128"/>
      <c r="T69" s="128"/>
      <c r="U69" s="128"/>
    </row>
    <row r="70" spans="2:21" ht="20" customHeight="1">
      <c r="C70" s="27" t="s">
        <v>119</v>
      </c>
      <c r="D70" s="27"/>
      <c r="E70" s="27"/>
      <c r="F70" s="124"/>
      <c r="G70" s="124"/>
      <c r="H70" s="124"/>
      <c r="I70" s="124"/>
      <c r="J70" s="128"/>
      <c r="K70" s="124" t="str">
        <f>갑지!L22</f>
        <v xml:space="preserve">아파트 6개동 648세대 (해당동 : 6개동) </v>
      </c>
      <c r="L70" s="129"/>
      <c r="M70" s="129"/>
      <c r="N70" s="129"/>
      <c r="O70" s="129"/>
      <c r="P70" s="129"/>
      <c r="Q70" s="129"/>
      <c r="R70" s="129"/>
      <c r="S70" s="129"/>
      <c r="T70" s="128"/>
      <c r="U70" s="128"/>
    </row>
    <row r="71" spans="2:21" ht="20" customHeight="1">
      <c r="B71" s="26"/>
      <c r="F71" s="4"/>
      <c r="G71" s="17"/>
      <c r="I71" s="3"/>
    </row>
    <row r="72" spans="2:21" ht="17">
      <c r="B72" s="197" t="s">
        <v>147</v>
      </c>
      <c r="C72" s="198"/>
      <c r="D72" s="198"/>
      <c r="E72" s="198"/>
      <c r="F72" s="198"/>
      <c r="G72" s="198"/>
      <c r="H72" s="198"/>
      <c r="I72" s="198"/>
      <c r="J72" s="198"/>
    </row>
    <row r="73" spans="2:21" ht="20" customHeight="1">
      <c r="C73" s="27" t="s">
        <v>44</v>
      </c>
      <c r="D73" s="27"/>
      <c r="E73" s="27"/>
      <c r="F73" s="27"/>
      <c r="G73" s="27"/>
      <c r="H73" s="27"/>
      <c r="I73" s="27"/>
      <c r="J73" s="27"/>
    </row>
    <row r="74" spans="2:21" ht="40" customHeight="1">
      <c r="C74" s="196" t="s">
        <v>136</v>
      </c>
      <c r="D74" s="196"/>
      <c r="E74" s="196"/>
      <c r="F74" s="196"/>
      <c r="G74" s="196"/>
      <c r="H74" s="196"/>
      <c r="I74" s="196"/>
      <c r="J74" s="196"/>
      <c r="K74" s="196"/>
      <c r="L74" s="196"/>
      <c r="M74" s="196"/>
      <c r="N74" s="196"/>
      <c r="O74" s="196"/>
      <c r="P74" s="196"/>
      <c r="Q74" s="196"/>
      <c r="R74" s="196"/>
      <c r="S74" s="196"/>
      <c r="T74" s="196"/>
      <c r="U74" s="196"/>
    </row>
    <row r="75" spans="2:21" ht="20" customHeight="1">
      <c r="B75" s="26"/>
      <c r="F75" s="4"/>
      <c r="G75" s="17"/>
      <c r="I75" s="3"/>
    </row>
    <row r="76" spans="2:21" ht="20" customHeight="1">
      <c r="B76" s="197" t="s">
        <v>148</v>
      </c>
      <c r="C76" s="198"/>
      <c r="D76" s="198"/>
      <c r="E76" s="198"/>
      <c r="F76" s="198"/>
      <c r="G76" s="198"/>
      <c r="H76" s="198"/>
      <c r="I76" s="198"/>
      <c r="J76" s="198"/>
    </row>
    <row r="77" spans="2:21" ht="42.75" customHeight="1">
      <c r="C77" s="196" t="s">
        <v>122</v>
      </c>
      <c r="D77" s="196"/>
      <c r="E77" s="196"/>
      <c r="F77" s="196"/>
      <c r="G77" s="196"/>
      <c r="H77" s="196"/>
      <c r="I77" s="196"/>
      <c r="J77" s="196"/>
      <c r="K77" s="196"/>
      <c r="L77" s="196"/>
      <c r="M77" s="196"/>
      <c r="N77" s="196"/>
      <c r="O77" s="196"/>
      <c r="P77" s="196"/>
      <c r="Q77" s="196"/>
      <c r="R77" s="196"/>
      <c r="S77" s="196"/>
      <c r="T77" s="196"/>
      <c r="U77" s="196"/>
    </row>
    <row r="78" spans="2:21" ht="20" customHeight="1">
      <c r="C78" s="27"/>
      <c r="D78" s="27"/>
      <c r="E78" s="27"/>
      <c r="F78" s="27"/>
      <c r="G78" s="27"/>
      <c r="H78" s="27"/>
      <c r="I78" s="27"/>
      <c r="J78" s="27"/>
    </row>
    <row r="79" spans="2:21" ht="20" customHeight="1">
      <c r="B79" s="197" t="s">
        <v>124</v>
      </c>
      <c r="C79" s="198"/>
      <c r="D79" s="198"/>
      <c r="E79" s="198"/>
      <c r="F79" s="198"/>
      <c r="G79" s="198"/>
      <c r="H79" s="198"/>
      <c r="I79" s="198"/>
      <c r="J79" s="198"/>
    </row>
    <row r="80" spans="2:21" ht="40" customHeight="1">
      <c r="C80" s="196" t="s">
        <v>45</v>
      </c>
      <c r="D80" s="196"/>
      <c r="E80" s="196"/>
      <c r="F80" s="196"/>
      <c r="G80" s="196"/>
      <c r="H80" s="196"/>
      <c r="I80" s="196"/>
      <c r="J80" s="196"/>
      <c r="K80" s="196"/>
      <c r="L80" s="196"/>
      <c r="M80" s="196"/>
      <c r="N80" s="196"/>
      <c r="O80" s="196"/>
      <c r="P80" s="196"/>
      <c r="Q80" s="196"/>
      <c r="R80" s="196"/>
      <c r="S80" s="196"/>
      <c r="T80" s="196"/>
      <c r="U80" s="196"/>
    </row>
    <row r="81" spans="2:21" ht="40" customHeight="1">
      <c r="C81" s="196" t="s">
        <v>123</v>
      </c>
      <c r="D81" s="196"/>
      <c r="E81" s="196"/>
      <c r="F81" s="196"/>
      <c r="G81" s="196"/>
      <c r="H81" s="196"/>
      <c r="I81" s="196"/>
      <c r="J81" s="196"/>
      <c r="K81" s="196"/>
      <c r="L81" s="196"/>
      <c r="M81" s="196"/>
      <c r="N81" s="196"/>
      <c r="O81" s="196"/>
      <c r="P81" s="196"/>
      <c r="Q81" s="196"/>
      <c r="R81" s="196"/>
      <c r="S81" s="196"/>
      <c r="T81" s="196"/>
      <c r="U81" s="196"/>
    </row>
    <row r="82" spans="2:21" ht="20" customHeight="1">
      <c r="B82" s="26"/>
      <c r="F82" s="4"/>
      <c r="G82" s="17"/>
      <c r="I82" s="3"/>
    </row>
    <row r="83" spans="2:21" ht="20" customHeight="1">
      <c r="B83" s="197" t="s">
        <v>125</v>
      </c>
      <c r="C83" s="198"/>
      <c r="D83" s="198"/>
      <c r="E83" s="198"/>
      <c r="F83" s="198"/>
      <c r="G83" s="198"/>
      <c r="H83" s="198"/>
      <c r="I83" s="198"/>
      <c r="J83" s="198"/>
    </row>
    <row r="84" spans="2:21" ht="54.75" customHeight="1">
      <c r="C84" s="196" t="s">
        <v>158</v>
      </c>
      <c r="D84" s="196"/>
      <c r="E84" s="196"/>
      <c r="F84" s="196"/>
      <c r="G84" s="196"/>
      <c r="H84" s="196"/>
      <c r="I84" s="196"/>
      <c r="J84" s="196"/>
      <c r="K84" s="196"/>
      <c r="L84" s="196"/>
      <c r="M84" s="196"/>
      <c r="N84" s="196"/>
      <c r="O84" s="196"/>
      <c r="P84" s="196"/>
      <c r="Q84" s="196"/>
      <c r="R84" s="196"/>
      <c r="S84" s="196"/>
      <c r="T84" s="196"/>
      <c r="U84" s="196"/>
    </row>
    <row r="85" spans="2:21" ht="40" customHeight="1">
      <c r="C85" s="196" t="s">
        <v>159</v>
      </c>
      <c r="D85" s="196"/>
      <c r="E85" s="196"/>
      <c r="F85" s="196"/>
      <c r="G85" s="196"/>
      <c r="H85" s="196"/>
      <c r="I85" s="196"/>
      <c r="J85" s="196"/>
      <c r="K85" s="196"/>
      <c r="L85" s="196"/>
      <c r="M85" s="196"/>
      <c r="N85" s="196"/>
      <c r="O85" s="196"/>
      <c r="P85" s="196"/>
      <c r="Q85" s="196"/>
      <c r="R85" s="196"/>
      <c r="S85" s="196"/>
      <c r="T85" s="196"/>
      <c r="U85" s="196"/>
    </row>
    <row r="86" spans="2:21" ht="20" customHeight="1">
      <c r="B86" s="26"/>
      <c r="F86" s="4"/>
      <c r="G86" s="17"/>
      <c r="I86" s="3"/>
    </row>
    <row r="87" spans="2:21" ht="20" customHeight="1">
      <c r="B87" s="197" t="s">
        <v>126</v>
      </c>
      <c r="C87" s="198"/>
      <c r="D87" s="198"/>
      <c r="E87" s="198"/>
      <c r="F87" s="198"/>
      <c r="G87" s="198"/>
      <c r="H87" s="198"/>
      <c r="I87" s="198"/>
      <c r="J87" s="198"/>
    </row>
    <row r="88" spans="2:21" ht="40" customHeight="1">
      <c r="B88" s="29"/>
      <c r="C88" s="196" t="s">
        <v>134</v>
      </c>
      <c r="D88" s="196"/>
      <c r="E88" s="196"/>
      <c r="F88" s="196"/>
      <c r="G88" s="196"/>
      <c r="H88" s="196"/>
      <c r="I88" s="196"/>
      <c r="J88" s="196"/>
      <c r="K88" s="196"/>
      <c r="L88" s="196"/>
      <c r="M88" s="196"/>
      <c r="N88" s="196"/>
      <c r="O88" s="196"/>
      <c r="P88" s="196"/>
      <c r="Q88" s="196"/>
      <c r="R88" s="196"/>
      <c r="S88" s="196"/>
      <c r="T88" s="196"/>
      <c r="U88" s="196"/>
    </row>
    <row r="89" spans="2:21" ht="40" customHeight="1">
      <c r="B89" s="29"/>
      <c r="C89" s="196" t="s">
        <v>160</v>
      </c>
      <c r="D89" s="196"/>
      <c r="E89" s="196"/>
      <c r="F89" s="196"/>
      <c r="G89" s="196"/>
      <c r="H89" s="196"/>
      <c r="I89" s="196"/>
      <c r="J89" s="196"/>
      <c r="K89" s="196"/>
      <c r="L89" s="196"/>
      <c r="M89" s="196"/>
      <c r="N89" s="196"/>
      <c r="O89" s="196"/>
      <c r="P89" s="196"/>
      <c r="Q89" s="196"/>
      <c r="R89" s="196"/>
      <c r="S89" s="196"/>
      <c r="T89" s="196"/>
      <c r="U89" s="196"/>
    </row>
    <row r="90" spans="2:21" ht="20" customHeight="1">
      <c r="B90" s="26"/>
      <c r="F90" s="4"/>
      <c r="G90" s="17"/>
      <c r="I90" s="3"/>
    </row>
    <row r="91" spans="2:21" ht="20" customHeight="1">
      <c r="B91" s="197" t="s">
        <v>149</v>
      </c>
      <c r="C91" s="197"/>
      <c r="D91" s="197"/>
      <c r="E91" s="197"/>
      <c r="F91" s="197"/>
      <c r="G91" s="197"/>
      <c r="H91" s="197"/>
      <c r="I91" s="197"/>
      <c r="J91" s="197"/>
    </row>
    <row r="92" spans="2:21" ht="40" customHeight="1">
      <c r="C92" s="196" t="s">
        <v>135</v>
      </c>
      <c r="D92" s="196"/>
      <c r="E92" s="196"/>
      <c r="F92" s="196"/>
      <c r="G92" s="196"/>
      <c r="H92" s="196"/>
      <c r="I92" s="196"/>
      <c r="J92" s="196"/>
      <c r="K92" s="196"/>
      <c r="L92" s="196"/>
      <c r="M92" s="196"/>
      <c r="N92" s="196"/>
      <c r="O92" s="196"/>
      <c r="P92" s="196"/>
      <c r="Q92" s="196"/>
      <c r="R92" s="196"/>
      <c r="S92" s="196"/>
      <c r="T92" s="196"/>
      <c r="U92" s="196"/>
    </row>
    <row r="93" spans="2:21" ht="20" customHeight="1">
      <c r="B93" s="26"/>
      <c r="F93" s="4"/>
      <c r="G93" s="17"/>
      <c r="I93" s="3"/>
    </row>
    <row r="94" spans="2:21" ht="20" customHeight="1">
      <c r="B94" s="117" t="s">
        <v>127</v>
      </c>
      <c r="C94" s="28"/>
      <c r="D94" s="28"/>
      <c r="E94" s="28"/>
      <c r="F94" s="28"/>
      <c r="G94" s="28"/>
      <c r="H94" s="28"/>
      <c r="I94" s="28"/>
      <c r="J94" s="28"/>
    </row>
    <row r="95" spans="2:21" ht="20" customHeight="1">
      <c r="C95" s="199" t="s">
        <v>46</v>
      </c>
      <c r="D95" s="199"/>
      <c r="E95" s="199"/>
      <c r="F95" s="199"/>
      <c r="G95" s="199"/>
      <c r="H95" s="199"/>
      <c r="I95" s="199"/>
      <c r="J95" s="199"/>
      <c r="K95" s="199"/>
      <c r="L95" s="199"/>
      <c r="M95" s="199"/>
      <c r="N95" s="199"/>
      <c r="O95" s="199"/>
      <c r="P95" s="199"/>
      <c r="Q95" s="199"/>
      <c r="R95" s="199"/>
      <c r="S95" s="199"/>
      <c r="T95" s="199"/>
      <c r="U95" s="199"/>
    </row>
    <row r="96" spans="2:21" ht="20" customHeight="1">
      <c r="B96" s="30"/>
      <c r="C96" s="195" t="s">
        <v>133</v>
      </c>
      <c r="D96" s="195"/>
      <c r="E96" s="195"/>
      <c r="F96" s="195"/>
      <c r="G96" s="195"/>
      <c r="H96" s="195"/>
      <c r="I96" s="195"/>
      <c r="J96" s="195"/>
      <c r="K96" s="195"/>
      <c r="L96" s="195"/>
      <c r="M96" s="195"/>
      <c r="N96" s="195"/>
      <c r="O96" s="195"/>
      <c r="P96" s="195"/>
      <c r="Q96" s="195"/>
      <c r="R96" s="195"/>
      <c r="S96" s="195"/>
      <c r="T96" s="195"/>
      <c r="U96" s="195"/>
    </row>
    <row r="97" spans="2:21" ht="20" customHeight="1">
      <c r="B97" s="30"/>
      <c r="C97" s="195" t="s">
        <v>132</v>
      </c>
      <c r="D97" s="195"/>
      <c r="E97" s="195"/>
      <c r="F97" s="195"/>
      <c r="G97" s="195"/>
      <c r="H97" s="195"/>
      <c r="I97" s="195"/>
      <c r="J97" s="195"/>
      <c r="K97" s="195"/>
      <c r="L97" s="195"/>
      <c r="M97" s="195"/>
      <c r="N97" s="195"/>
      <c r="O97" s="195"/>
      <c r="P97" s="195"/>
      <c r="Q97" s="195"/>
      <c r="R97" s="195"/>
      <c r="S97" s="195"/>
      <c r="T97" s="195"/>
      <c r="U97" s="195"/>
    </row>
    <row r="98" spans="2:21" ht="20" customHeight="1">
      <c r="B98" s="30"/>
      <c r="C98" s="195" t="s">
        <v>47</v>
      </c>
      <c r="D98" s="195"/>
      <c r="E98" s="195"/>
      <c r="F98" s="195"/>
      <c r="G98" s="195"/>
      <c r="H98" s="195"/>
      <c r="I98" s="195"/>
      <c r="J98" s="195"/>
      <c r="K98" s="195"/>
      <c r="L98" s="195"/>
      <c r="M98" s="195"/>
      <c r="N98" s="195"/>
      <c r="O98" s="195"/>
      <c r="P98" s="195"/>
      <c r="Q98" s="195"/>
      <c r="R98" s="195"/>
      <c r="S98" s="195"/>
      <c r="T98" s="195"/>
      <c r="U98" s="195"/>
    </row>
    <row r="99" spans="2:21" ht="20" customHeight="1">
      <c r="B99" s="30"/>
      <c r="C99" s="195" t="s">
        <v>48</v>
      </c>
      <c r="D99" s="195"/>
      <c r="E99" s="195"/>
      <c r="F99" s="195"/>
      <c r="G99" s="195"/>
      <c r="H99" s="195"/>
      <c r="I99" s="195"/>
      <c r="J99" s="195"/>
      <c r="K99" s="195"/>
      <c r="L99" s="195"/>
      <c r="M99" s="195"/>
      <c r="N99" s="195"/>
      <c r="O99" s="195"/>
      <c r="P99" s="195"/>
      <c r="Q99" s="195"/>
      <c r="R99" s="195"/>
      <c r="S99" s="195"/>
      <c r="T99" s="195"/>
      <c r="U99" s="195"/>
    </row>
    <row r="100" spans="2:21" ht="20" customHeight="1">
      <c r="B100" s="26"/>
      <c r="F100" s="4"/>
      <c r="G100" s="17"/>
      <c r="I100" s="3"/>
    </row>
    <row r="101" spans="2:21" ht="20" customHeight="1">
      <c r="B101" s="117" t="s">
        <v>128</v>
      </c>
      <c r="C101" s="28"/>
      <c r="D101" s="28"/>
      <c r="E101" s="28"/>
      <c r="F101" s="28"/>
      <c r="G101" s="28"/>
      <c r="H101" s="28"/>
      <c r="I101" s="28"/>
      <c r="J101" s="28"/>
    </row>
    <row r="102" spans="2:21" ht="40" customHeight="1">
      <c r="C102" s="196" t="s">
        <v>131</v>
      </c>
      <c r="D102" s="196"/>
      <c r="E102" s="196"/>
      <c r="F102" s="196"/>
      <c r="G102" s="196"/>
      <c r="H102" s="196"/>
      <c r="I102" s="196"/>
      <c r="J102" s="196"/>
      <c r="K102" s="196"/>
      <c r="L102" s="196"/>
      <c r="M102" s="196"/>
      <c r="N102" s="196"/>
      <c r="O102" s="196"/>
      <c r="P102" s="196"/>
      <c r="Q102" s="196"/>
      <c r="R102" s="196"/>
      <c r="S102" s="196"/>
      <c r="T102" s="196"/>
      <c r="U102" s="196"/>
    </row>
    <row r="103" spans="2:21" ht="20" customHeight="1">
      <c r="B103" s="26"/>
      <c r="F103" s="4"/>
      <c r="G103" s="17"/>
      <c r="I103" s="3"/>
    </row>
    <row r="104" spans="2:21" ht="20" customHeight="1">
      <c r="B104" s="197" t="s">
        <v>129</v>
      </c>
      <c r="C104" s="198"/>
      <c r="D104" s="198"/>
      <c r="E104" s="198"/>
      <c r="F104" s="198"/>
      <c r="G104" s="198"/>
      <c r="H104" s="198"/>
      <c r="I104" s="198"/>
      <c r="J104" s="198"/>
    </row>
    <row r="105" spans="2:21" ht="40" customHeight="1">
      <c r="C105" s="196" t="s">
        <v>49</v>
      </c>
      <c r="D105" s="196"/>
      <c r="E105" s="196"/>
      <c r="F105" s="196"/>
      <c r="G105" s="196"/>
      <c r="H105" s="196"/>
      <c r="I105" s="196"/>
      <c r="J105" s="196"/>
      <c r="K105" s="196"/>
      <c r="L105" s="196"/>
      <c r="M105" s="196"/>
      <c r="N105" s="196"/>
      <c r="O105" s="196"/>
      <c r="P105" s="196"/>
      <c r="Q105" s="196"/>
      <c r="R105" s="196"/>
      <c r="S105" s="196"/>
      <c r="T105" s="196"/>
      <c r="U105" s="196"/>
    </row>
    <row r="106" spans="2:21" ht="328.5" customHeight="1"/>
    <row r="107" spans="2:21" ht="25" customHeight="1"/>
    <row r="108" spans="2:21" ht="25" customHeight="1"/>
    <row r="109" spans="2:21" ht="25" customHeight="1"/>
    <row r="110" spans="2:21" ht="25" customHeight="1"/>
    <row r="111" spans="2:21" ht="25" customHeight="1"/>
  </sheetData>
  <mergeCells count="98">
    <mergeCell ref="W64:AO64"/>
    <mergeCell ref="B7:U7"/>
    <mergeCell ref="B8:U8"/>
    <mergeCell ref="B9:U9"/>
    <mergeCell ref="B10:U10"/>
    <mergeCell ref="B16:U16"/>
    <mergeCell ref="B28:U28"/>
    <mergeCell ref="I23:S23"/>
    <mergeCell ref="B22:U22"/>
    <mergeCell ref="I24:T24"/>
    <mergeCell ref="I25:T25"/>
    <mergeCell ref="B29:C34"/>
    <mergeCell ref="D29:F29"/>
    <mergeCell ref="G29:U29"/>
    <mergeCell ref="D30:F34"/>
    <mergeCell ref="G30:U30"/>
    <mergeCell ref="G31:U31"/>
    <mergeCell ref="G32:U32"/>
    <mergeCell ref="G33:U33"/>
    <mergeCell ref="G34:U34"/>
    <mergeCell ref="B44:E44"/>
    <mergeCell ref="D43:F43"/>
    <mergeCell ref="G43:U43"/>
    <mergeCell ref="G35:L35"/>
    <mergeCell ref="M35:S35"/>
    <mergeCell ref="G41:H41"/>
    <mergeCell ref="I41:M41"/>
    <mergeCell ref="O41:P41"/>
    <mergeCell ref="Q41:U41"/>
    <mergeCell ref="B45:U45"/>
    <mergeCell ref="G38:U38"/>
    <mergeCell ref="D39:F39"/>
    <mergeCell ref="G39:U39"/>
    <mergeCell ref="D40:F41"/>
    <mergeCell ref="G40:U40"/>
    <mergeCell ref="B35:C43"/>
    <mergeCell ref="D35:F35"/>
    <mergeCell ref="D36:F36"/>
    <mergeCell ref="G36:U36"/>
    <mergeCell ref="D37:F37"/>
    <mergeCell ref="G37:U37"/>
    <mergeCell ref="D38:F38"/>
    <mergeCell ref="D42:F42"/>
    <mergeCell ref="G42:U42"/>
    <mergeCell ref="B53:D53"/>
    <mergeCell ref="E53:K53"/>
    <mergeCell ref="L53:N53"/>
    <mergeCell ref="O53:U53"/>
    <mergeCell ref="B47:D47"/>
    <mergeCell ref="E47:U47"/>
    <mergeCell ref="E48:U48"/>
    <mergeCell ref="E49:U49"/>
    <mergeCell ref="B50:E50"/>
    <mergeCell ref="B51:D51"/>
    <mergeCell ref="E51:U51"/>
    <mergeCell ref="B52:K52"/>
    <mergeCell ref="L52:U52"/>
    <mergeCell ref="B56:U56"/>
    <mergeCell ref="B57:U57"/>
    <mergeCell ref="B59:U59"/>
    <mergeCell ref="B54:D54"/>
    <mergeCell ref="E54:K54"/>
    <mergeCell ref="L54:N54"/>
    <mergeCell ref="O54:U54"/>
    <mergeCell ref="B55:D55"/>
    <mergeCell ref="E55:K55"/>
    <mergeCell ref="L55:N55"/>
    <mergeCell ref="O55:U55"/>
    <mergeCell ref="B60:I60"/>
    <mergeCell ref="B72:J72"/>
    <mergeCell ref="C74:U74"/>
    <mergeCell ref="B76:J76"/>
    <mergeCell ref="C77:U77"/>
    <mergeCell ref="B61:U61"/>
    <mergeCell ref="B63:J63"/>
    <mergeCell ref="C64:U64"/>
    <mergeCell ref="B66:U66"/>
    <mergeCell ref="F67:U67"/>
    <mergeCell ref="J60:U60"/>
    <mergeCell ref="B83:J83"/>
    <mergeCell ref="B79:J79"/>
    <mergeCell ref="C80:U80"/>
    <mergeCell ref="C81:U81"/>
    <mergeCell ref="B91:J91"/>
    <mergeCell ref="C84:U84"/>
    <mergeCell ref="C85:U85"/>
    <mergeCell ref="B87:J87"/>
    <mergeCell ref="C88:U88"/>
    <mergeCell ref="C89:U89"/>
    <mergeCell ref="C99:U99"/>
    <mergeCell ref="C102:U102"/>
    <mergeCell ref="B104:J104"/>
    <mergeCell ref="C105:U105"/>
    <mergeCell ref="C92:U92"/>
    <mergeCell ref="C95:U95"/>
    <mergeCell ref="C96:U96"/>
    <mergeCell ref="C97:U97"/>
    <mergeCell ref="C98:U98"/>
  </mergeCells>
  <phoneticPr fontId="1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90" orientation="portrait" r:id="rId1"/>
  <rowBreaks count="3" manualBreakCount="3">
    <brk id="27" min="1" max="20" man="1"/>
    <brk id="55" max="16383" man="1"/>
    <brk id="86" min="1" max="20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3</vt:i4>
      </vt:variant>
    </vt:vector>
  </HeadingPairs>
  <TitlesOfParts>
    <vt:vector size="6" baseType="lpstr">
      <vt:lpstr>갑지</vt:lpstr>
      <vt:lpstr>대가산출</vt:lpstr>
      <vt:lpstr>계약서1</vt:lpstr>
      <vt:lpstr>갑지!Print_Area</vt:lpstr>
      <vt:lpstr>계약서1!Print_Area</vt:lpstr>
      <vt:lpstr>대가산출!Print_Area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사랑의나무</dc:creator>
  <cp:lastModifiedBy>JAEHYEON SEONG</cp:lastModifiedBy>
  <cp:lastPrinted>2026-04-21T08:29:41Z</cp:lastPrinted>
  <dcterms:created xsi:type="dcterms:W3CDTF">2000-03-06T09:29:35Z</dcterms:created>
  <dcterms:modified xsi:type="dcterms:W3CDTF">2026-04-22T02:06:15Z</dcterms:modified>
</cp:coreProperties>
</file>