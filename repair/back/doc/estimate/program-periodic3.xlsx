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8780" yWindow="885" windowWidth="17100" windowHeight="18300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갑지!$F$1:$AG$45</definedName>
    <definedName name="_xlnm.Print_Area" localSheetId="2">계약서!$E$1:$X$115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F70" i="4"/>
  <c r="P29" i="1"/>
  <c r="D3" i="3"/>
  <c r="F68" i="4"/>
  <c r="F67" i="4"/>
  <c r="J34" i="4"/>
  <c r="J39" i="4" l="1"/>
  <c r="E16" i="4"/>
  <c r="E9" i="4"/>
  <c r="H27" i="3"/>
  <c r="H28" i="3" s="1"/>
  <c r="D4" i="3" s="1"/>
  <c r="H21" i="3"/>
  <c r="H19" i="3"/>
  <c r="H18" i="3"/>
  <c r="H17" i="3"/>
  <c r="H12" i="3"/>
  <c r="H11" i="3"/>
  <c r="H10" i="3"/>
  <c r="H9" i="3"/>
  <c r="D5" i="3"/>
  <c r="H8" i="3" l="1"/>
  <c r="M44" i="4"/>
  <c r="J35" i="4"/>
  <c r="J36" i="4" s="1"/>
  <c r="M43" i="4"/>
  <c r="H55" i="4"/>
  <c r="H54" i="4"/>
  <c r="J28" i="4"/>
  <c r="H13" i="3" l="1"/>
  <c r="H14" i="3"/>
  <c r="H20" i="3"/>
  <c r="H15" i="3" s="1"/>
  <c r="H22" i="3" l="1"/>
  <c r="H23" i="3" s="1"/>
  <c r="H24" i="3" s="1"/>
</calcChain>
</file>

<file path=xl/sharedStrings.xml><?xml version="1.0" encoding="utf-8"?>
<sst xmlns="http://schemas.openxmlformats.org/spreadsheetml/2006/main" count="197" uniqueCount="192">
  <si>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</si>
  <si>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</si>
  <si>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</si>
  <si>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</si>
  <si>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</si>
  <si>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</si>
  <si>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</si>
  <si>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</si>
  <si>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</si>
  <si>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</si>
  <si>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 입주자대표회장님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</si>
  <si>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</si>
  <si>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</si>
  <si>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</si>
  <si>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</si>
  <si>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</si>
  <si>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</si>
  <si>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</si>
  <si>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</si>
  <si>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</si>
  <si>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</si>
  <si>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</si>
  <si>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</si>
  <si>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</si>
  <si>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</si>
  <si>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</si>
  <si>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</si>
  <si>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</si>
  <si>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</si>
  <si>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</si>
  <si>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</si>
  <si>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</si>
  <si>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</si>
  <si>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</si>
  <si>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</si>
  <si>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</si>
  <si>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</si>
  <si>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</si>
  <si>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</si>
  <si>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</si>
  <si>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</si>
  <si>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</si>
  <si>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</si>
  <si>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</si>
  <si>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</si>
  <si>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</si>
  <si>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</si>
  <si>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</si>
  <si>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</si>
  <si>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</si>
  <si>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</si>
  <si>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</si>
  <si>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</si>
  <si>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</si>
  <si>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</si>
  <si>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</si>
  <si>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</si>
  <si>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</si>
  <si>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</si>
  <si>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</si>
  <si>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</si>
  <si>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</si>
  <si>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</si>
  <si>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</si>
  <si>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</si>
  <si>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</si>
  <si>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</si>
  <si>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</si>
  <si>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</si>
  <si>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</si>
  <si>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</si>
  <si>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</si>
  <si>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</si>
  <si>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</si>
  <si>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</si>
  <si>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</si>
  <si>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</si>
  <si>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</si>
  <si>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</si>
  <si>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</si>
  <si>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</si>
  <si>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</si>
  <si>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</si>
  <si>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</si>
  <si>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</si>
  <si>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</si>
  <si>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</si>
  <si>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</si>
  <si>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</si>
  <si>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</si>
  <si>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</si>
  <si>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</si>
  <si>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</si>
  <si>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</si>
  <si>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</si>
  <si>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</si>
  <si>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</si>
  <si>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</si>
  <si>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</si>
  <si>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</si>
  <si>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</si>
  <si>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</si>
  <si>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</si>
  <si>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</si>
  <si>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</si>
  <si>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</si>
  <si>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</si>
  <si>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</si>
  <si>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</si>
  <si>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</si>
  <si>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</si>
  <si>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t>② "제공자"는 "사용자"정기안전점검 후 실시 결과를 시설물통합정보시스템(FMS)에 등록 및 보고하여야 한다.</t>
  </si>
  <si>
    <t>② 이 계약에 명시되지 아니한 사항은 기획재정부가 회계예규로 정한 기술용역계약 일반조건과 관계법령에 의한다.</t>
  </si>
  <si>
    <t xml:space="preserve">상기 금액은 </t>
  </si>
  <si>
    <t>점검프로그램 사용계약서</t>
  </si>
  <si>
    <t>총 사용료</t>
  </si>
  <si>
    <t>① 프로그램 사용은 2026년   월   일부터  2026년  12월  31일로 종료한다.</t>
  </si>
  <si>
    <t>(우)16910    경기도 용인시 기흥구 마북로 159 한성프라자 207호 (마북동)    전화 : 031-283-3328     팩스 : 031-284-3328</t>
  </si>
  <si>
    <t>※ 첨    부 :  1. 점검 프로그램 사용 견적서 1부 끝.</t>
  </si>
  <si>
    <t>직접인건비의 0%</t>
  </si>
  <si>
    <t>외업인건비의 0%</t>
  </si>
  <si>
    <t xml:space="preserve">  2026  년      월       일</t>
  </si>
  <si>
    <t>10% 별도</t>
  </si>
  <si>
    <t>점검 프로그램 사용 대가 내역(1회 적용금액)</t>
  </si>
  <si>
    <t>직접인건비*0%</t>
  </si>
  <si>
    <t>(직접인건비+제경비)*0%</t>
  </si>
  <si>
    <t>① 점검프로그램을 이용하여 "사용자"는 직접 점검을 시행하고 저장 및 전송을 원칙으로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</si>
  <si>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</si>
  <si>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③ 제3조 제2항에 따라 정기안전점검 업무의 일부 또는 전부의 변경이 불가피한 경우 "사용자"와 "제공자"는 협의하여 변경할 수 있다.</t>
  </si>
  <si>
    <t>② 지급시기는 계약 후 1개월 이내에 지급하여야 한다.</t>
  </si>
  <si>
    <t>총  사  용  료</t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</si>
  <si>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</si>
  <si>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</si>
  <si>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</si>
  <si>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2026년 연간/2027년 연간/2028년 하반기</t>
    <phoneticPr fontId="1" type="noConversion"/>
  </si>
  <si>
    <t>라. FMS에 도면이 등록되어있지 않을 경우 견적 금액은 추가될 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</si>
  <si>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</si>
  <si>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가. 귀 아파트 담당자 시설물안전법교육 이수로 기술자 등록 여건이 필수 임.</t>
    <phoneticPr fontId="1" type="noConversion"/>
  </si>
  <si>
    <t>나. 점검프로그램 사용 기간 - 2026년 , 2027년 , 2028년 하반기 (5회)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</si>
  <si>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</si>
  <si>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</si>
  <si>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</si>
  <si>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</si>
  <si>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제11조(기타사항)</t>
  </si>
  <si>
    <t>제10조(보안사항)</t>
  </si>
  <si>
    <t>제9조(계약의 해제 및 해지)</t>
  </si>
  <si>
    <t>제8조(설계도서 등의 열람교부 등)</t>
  </si>
  <si>
    <t>제7조(실시결과의 통보)</t>
  </si>
  <si>
    <t>제6조(실시자의 의무)</t>
  </si>
  <si>
    <t>제5조(비용의 부담)</t>
  </si>
  <si>
    <t>제4조(계약기간)</t>
  </si>
  <si>
    <t>제3조(용역의 범위)</t>
  </si>
  <si>
    <t xml:space="preserve">제2조(사용자 단지 개요) </t>
  </si>
  <si>
    <t>제1조(목적)</t>
  </si>
  <si>
    <t>●   상호또는법인명 : (주)에이앤비</t>
  </si>
  <si>
    <t>●   전화번호 : 031-283-3328 팩스번호 : 031-284-3328</t>
  </si>
  <si>
    <t>●   대 표 자 : 서 응 원</t>
  </si>
  <si>
    <t>●   주 소 : 경기도 용인시 기흥구 마북로 159 한성프라자 207호</t>
    <phoneticPr fontId="1" type="noConversion"/>
  </si>
  <si>
    <t>●   사업자등록번호 : 863-87-00907</t>
    <phoneticPr fontId="1" type="noConversion"/>
  </si>
  <si>
    <t>02-912-5002 / 02-912-5002</t>
    <phoneticPr fontId="1" type="noConversion"/>
  </si>
  <si>
    <t>02-912-5002</t>
    <phoneticPr fontId="1" type="noConversion"/>
  </si>
  <si>
    <t>/</t>
    <phoneticPr fontId="1" type="noConversion"/>
  </si>
  <si>
    <t xml:space="preserve">-1회당 : 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</si>
  <si>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</si>
  <si>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</si>
  <si>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</si>
  <si>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</si>
  <si>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참고사항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</si>
  <si>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</si>
  <si>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</si>
  <si>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</si>
  <si>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</si>
  <si>
    <t>③ 용      도 : 공동주택</t>
    <phoneticPr fontId="1" type="noConversion"/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</si>
  <si>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</si>
  <si>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① "사용자"는 시설물안전법 제17조 제1항에 따라 "제공자"에게 정기안전점검 실시결과를 저장전송하고 통보해주어야 한다.</t>
    <phoneticPr fontId="1" type="noConversion"/>
  </si>
  <si>
    <t>사용자</t>
    <phoneticPr fontId="1" type="noConversion"/>
  </si>
  <si>
    <r>
      <t xml:space="preserve">점검프로그램 제공자인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"제공자"라 한다)는 다음과 같이 계약을 체결한다.</t>
    </r>
    <phoneticPr fontId="1" type="noConversion"/>
  </si>
  <si>
    <t>마. 전화 / 팩스  :</t>
    <phoneticPr fontId="1" type="noConversion"/>
  </si>
  <si>
    <t>라. 준  공  일   :</t>
    <phoneticPr fontId="1" type="noConversion"/>
  </si>
  <si>
    <t>다. 단 지 규 모  :</t>
    <phoneticPr fontId="1" type="noConversion"/>
  </si>
  <si>
    <t>나. 소  재  지   :</t>
    <phoneticPr fontId="1" type="noConversion"/>
  </si>
  <si>
    <t>가. 단  지  명   :</t>
    <phoneticPr fontId="1" type="noConversion"/>
  </si>
  <si>
    <t>입주자대표회의(이하 "사용자"라 한다)와</t>
    <phoneticPr fontId="1" type="noConversion"/>
  </si>
  <si>
    <t>경기도 용인시 기흥구 마북로 159,
한성프라자 207호(마북동)</t>
    <phoneticPr fontId="1" type="noConversion"/>
  </si>
  <si>
    <r>
      <t xml:space="preserve">           </t>
    </r>
    <r>
      <rPr>
        <sz val="14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</si>
  <si>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phoneticPr fontId="1" type="noConversion"/>
  </si>
  <si>
    <t xml:space="preserve">            3. 귀 아파트에서 사용하고자 하는 점검 프로그램에 관한 견적서를 아래와 같이 제출하오니 검토하여 주시기 바랍니다.</t>
    <phoneticPr fontId="1" type="noConversion"/>
  </si>
  <si>
    <t xml:space="preserve">            4. 시설물 개요</t>
    <phoneticPr fontId="1" type="noConversion"/>
  </si>
  <si>
    <t xml:space="preserve">            5. 용  역   범  위  : </t>
    <phoneticPr fontId="1" type="noConversion"/>
  </si>
  <si>
    <t xml:space="preserve">            7. 참고사항</t>
    <phoneticPr fontId="1" type="noConversion"/>
  </si>
  <si>
    <r>
      <t xml:space="preserve">       </t>
    </r>
    <r>
      <rPr>
        <b/>
        <sz val="16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 xml:space="preserve"> </t>
    </r>
    <r>
      <rPr>
        <b/>
        <sz val="12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 역   비  :</t>
    </r>
    <phoneticPr fontId="1" type="noConversion"/>
  </si>
  <si>
    <t xml:space="preserve">가. 시설물의 안전 및 유지관리에 관한 특별법 제11조에 의거한 건축물 정기안전점검으로
테블릿 PC를 이용한 점검프로그램 제공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</si>
</sst>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yyyy&quot;년&quot;\ m&quot;월&quot;\ d&quot;일&quot;;@"/>
    <numFmt numFmtId="178" formatCode="@\ &quot;정&quot;&quot;기&quot;&quot;안&quot;&quot;전&quot;&quot;점&quot;&quot;검&quot;&quot;(상반기)&quot;\ &quot;용&quot;&quot;역&quot;"/>
    <numFmt numFmtId="179" formatCode="&quot;일금&quot;\ [$-412]General&quot;원&quot;&quot;정&quot;"/>
    <numFmt numFmtId="180" formatCode="&quot;₩&quot;#,##0"/>
    <numFmt numFmtId="181" formatCode="#,##0_ "/>
    <numFmt numFmtId="182" formatCode="0_);[Red]\(0\)"/>
    <numFmt numFmtId="183" formatCode="\ "/>
    <numFmt numFmtId="184" formatCode="0.0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0.000"/>
    <numFmt numFmtId="198" formatCode="#,##0.00;[Red]#,##0.00;&quot; &quot;"/>
    <numFmt numFmtId="199" formatCode="_ &quot;₩&quot;* #,##0_ ;_ &quot;₩&quot;* \-#,##0_ ;_ &quot;₩&quot;* &quot;-&quot;_ ;_ @_ "/>
    <numFmt numFmtId="200" formatCode="_ &quot;₩&quot;* #,##0.00_ ;_ &quot;₩&quot;* \-#,##0.00_ ;_ &quot;₩&quot;* &quot;-&quot;??_ ;_ @_ "/>
    <numFmt numFmtId="201" formatCode="_ * #,##0.00_ ;_ * \-#,##0.00_ ;_ * &quot;-&quot;??_ ;_ @_ "/>
    <numFmt numFmtId="202" formatCode="\$#,##0;\(\$#,##0\)"/>
    <numFmt numFmtId="203" formatCode="0.00&quot;  &quot;"/>
    <numFmt numFmtId="204" formatCode="0,###,###"/>
    <numFmt numFmtId="205" formatCode="0.##"/>
    <numFmt numFmtId="206" formatCode="#,##0\ &quot;Esc.&quot;;[Red]\-#,##0\ &quot;Esc.&quot;"/>
    <numFmt numFmtId="207" formatCode="#,##0.00&quot; F&quot;_);\(#,##0.00&quot; F&quot;\)"/>
    <numFmt numFmtId="208" formatCode="#,##0.000\ &quot;EA &quot;"/>
    <numFmt numFmtId="209" formatCode="###"/>
    <numFmt numFmtId="210" formatCode="##"/>
    <numFmt numFmtId="211" formatCode="#,##0.0_);\(#,##0.0\)"/>
    <numFmt numFmtId="212" formatCode="#,##0.000\ &quot;㎏ &quot;"/>
    <numFmt numFmtId="213" formatCode="#,##0.000\ &quot;m  &quot;"/>
    <numFmt numFmtId="214" formatCode="#,##0.000\ &quot;㎡ &quot;"/>
    <numFmt numFmtId="215" formatCode="#,##0.000\ &quot;㎥ &quot;"/>
    <numFmt numFmtId="216" formatCode="&quot;$&quot;#,##0.0_);\(&quot;$&quot;#,##0.0\)"/>
    <numFmt numFmtId="217" formatCode="&quot;$&quot;#,##0;\-&quot;$&quot;#,##0"/>
    <numFmt numFmtId="218" formatCode="0.00_);[Red]\(0.00\)"/>
    <numFmt numFmtId="219" formatCode="_-* #,##0\ &quot;DM&quot;_-;\-* #,##0\ &quot;DM&quot;_-;_-* &quot;-&quot;\ &quot;DM&quot;_-;_-@_-"/>
    <numFmt numFmtId="220" formatCode="_-* #,##0.00\ &quot;DM&quot;_-;\-* #,##0.00\ &quot;DM&quot;_-;_-* &quot;-&quot;??\ &quot;DM&quot;_-;_-@_-"/>
    <numFmt numFmtId="221" formatCode="&quot;₩&quot;#,##0;&quot;₩&quot;&quot;₩&quot;&quot;₩&quot;&quot;₩&quot;\-#,##0"/>
    <numFmt numFmtId="222" formatCode="#,##0;[Red]&quot;△&quot;#,##0"/>
    <numFmt numFmtId="223" formatCode="#."/>
    <numFmt numFmtId="224" formatCode="_(&quot;RM&quot;* #,##0.00_);_(&quot;RM&quot;* \(#,##0.00\);_(&quot;RM&quot;* &quot;-&quot;??_);_(@_)"/>
    <numFmt numFmtId="225" formatCode="&quot;US$&quot;#,##0_);\(&quot;US$&quot;#,##0\)"/>
    <numFmt numFmtId="226" formatCode="0_);\(0\)"/>
    <numFmt numFmtId="227" formatCode="0.0%"/>
    <numFmt numFmtId="228" formatCode="?/?#"/>
    <numFmt numFmtId="229" formatCode="_-* #,##0;\-* #,##0;_-* &quot;-&quot;;_-@"/>
    <numFmt numFmtId="230" formatCode="#,##0;[Red]&quot;-&quot;#,##0"/>
    <numFmt numFmtId="231" formatCode="&quot;  &quot;@"/>
    <numFmt numFmtId="232" formatCode="&quot;₩&quot;#,##0;[Red]&quot;₩&quot;&quot;₩&quot;&quot;₩&quot;&quot;₩&quot;\-#,##0"/>
    <numFmt numFmtId="233" formatCode="&quot;US$&quot;#,##0_);[Red]\(&quot;US$&quot;#,##0\)"/>
    <numFmt numFmtId="234" formatCode="_-* #,##0_-;&quot;₩&quot;\!\-* #,##0_-;_-* &quot;-&quot;_-;_-@_-"/>
    <numFmt numFmtId="235" formatCode="&quot;₩&quot;#\!\,##0;[Red]&quot;₩&quot;&quot;₩&quot;\!\-#\!\,##0"/>
    <numFmt numFmtId="236" formatCode="#,##0&quot; &quot;;[Red]&quot;△&quot;#,##0&quot; &quot;"/>
    <numFmt numFmtId="237" formatCode="* #,##0&quot; &quot;;[Red]* &quot;△&quot;#,##0&quot; &quot;;* @"/>
    <numFmt numFmtId="238" formatCode="_-* #,##0.000_-;\-* #,##0.000_-;_-* &quot;-&quot;_-;_-@_-"/>
    <numFmt numFmtId="239" formatCode="#,##0.####;[Red]&quot;△&quot;#,##0.####"/>
    <numFmt numFmtId="240" formatCode="#,##0.00##;[Red]&quot;△&quot;#,##0.00##"/>
    <numFmt numFmtId="241" formatCode="_-* #,##0.00_-;&quot;₩&quot;&quot;₩&quot;\-* #,##0.00_-;_-* &quot;-&quot;??_-;_-@_-"/>
    <numFmt numFmtId="242" formatCode="_-&quot;₩&quot;* #,##0.00_-;&quot;₩&quot;&quot;₩&quot;\-&quot;₩&quot;* #,##0.00_-;_-&quot;₩&quot;* &quot;-&quot;??_-;_-@_-"/>
    <numFmt numFmtId="243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family val="1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8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b/>
      <sz val="16"/>
      <color rgb="FF000000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4"/>
      <color rgb="FF000000"/>
      <name val="바탕체"/>
      <family val="1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b/>
      <sz val="12"/>
      <color rgb="FF000000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2">
      <alignment horizontal="center" vertical="center"/>
    </xf>
    <xf numFmtId="3" fontId="29" fillId="0" borderId="1">
      <alignment vertical="center"/>
    </xf>
    <xf numFmtId="184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5" fontId="7" fillId="0" borderId="0" applyFont="0" applyFill="0" applyBorder="0" applyProtection="0">
      <alignment vertical="center"/>
    </xf>
    <xf numFmtId="186" fontId="7" fillId="0" borderId="0">
      <alignment vertical="center"/>
    </xf>
    <xf numFmtId="187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8" fontId="32" fillId="0" borderId="0" applyFont="0" applyFill="0" applyBorder="0" applyAlignment="0" applyProtection="0">
      <alignment vertical="center"/>
    </xf>
    <xf numFmtId="189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0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1" fontId="6" fillId="0" borderId="0">
      <alignment vertical="center"/>
    </xf>
    <xf numFmtId="192" fontId="2" fillId="0" borderId="0">
      <alignment vertical="center"/>
    </xf>
    <xf numFmtId="3" fontId="36" fillId="0" borderId="46">
      <alignment horizontal="right" vertical="center"/>
    </xf>
    <xf numFmtId="192" fontId="2" fillId="0" borderId="0">
      <alignment vertical="center"/>
    </xf>
    <xf numFmtId="3" fontId="36" fillId="0" borderId="46">
      <alignment horizontal="right" vertical="center"/>
    </xf>
    <xf numFmtId="192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2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5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5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7" fontId="3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7" fontId="3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2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192" fontId="2" fillId="0" borderId="0">
      <alignment vertical="center"/>
    </xf>
    <xf numFmtId="192" fontId="2" fillId="0" borderId="0">
      <alignment vertical="center"/>
    </xf>
    <xf numFmtId="192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8" fontId="38" fillId="0" borderId="0">
      <alignment vertical="center"/>
    </xf>
    <xf numFmtId="0" fontId="7" fillId="0" borderId="0">
      <alignment vertical="center"/>
    </xf>
    <xf numFmtId="2" fontId="36" fillId="0" borderId="46">
      <alignment horizontal="right" vertical="center"/>
    </xf>
    <xf numFmtId="0" fontId="6" fillId="0" borderId="47">
      <alignment horizontal="center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198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199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9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2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3" fontId="7" fillId="0" borderId="0">
      <alignment vertical="center"/>
    </xf>
    <xf numFmtId="204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7" fontId="7" fillId="0" borderId="1" applyFill="0" applyBorder="0" applyAlignment="0">
      <alignment vertical="center"/>
    </xf>
    <xf numFmtId="205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6" fontId="7" fillId="0" borderId="0" applyFont="0" applyFill="0" applyBorder="0" applyAlignment="0" applyProtection="0">
      <alignment vertical="center"/>
    </xf>
    <xf numFmtId="207" fontId="7" fillId="0" borderId="0">
      <alignment vertical="center"/>
    </xf>
    <xf numFmtId="208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09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48">
      <alignment horizontal="right" vertical="center"/>
    </xf>
    <xf numFmtId="4" fontId="51" fillId="0" borderId="48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49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0" fontId="32" fillId="0" borderId="0">
      <alignment vertical="center"/>
      <protection locked="0"/>
    </xf>
    <xf numFmtId="210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1" fontId="58" fillId="9" borderId="0">
      <alignment vertical="center"/>
    </xf>
    <xf numFmtId="212" fontId="51" fillId="0" borderId="1">
      <alignment vertical="center"/>
    </xf>
    <xf numFmtId="211" fontId="59" fillId="10" borderId="0">
      <alignment vertical="center"/>
    </xf>
    <xf numFmtId="213" fontId="51" fillId="0" borderId="1">
      <alignment horizontal="right" vertical="center"/>
    </xf>
    <xf numFmtId="214" fontId="51" fillId="0" borderId="1">
      <alignment vertical="center"/>
    </xf>
    <xf numFmtId="215" fontId="51" fillId="0" borderId="1">
      <alignment vertical="center"/>
    </xf>
    <xf numFmtId="41" fontId="32" fillId="0" borderId="0" applyFont="0" applyFill="0" applyBorder="0" applyAlignment="0" applyProtection="0">
      <alignment vertical="center"/>
    </xf>
    <xf numFmtId="43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6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1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7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8" fontId="38" fillId="0" borderId="0">
      <alignment vertical="center"/>
    </xf>
    <xf numFmtId="218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0">
      <alignment vertical="center"/>
      <protection locked="0"/>
    </xf>
    <xf numFmtId="0" fontId="69" fillId="0" borderId="47">
      <alignment horizontal="left" vertical="center"/>
    </xf>
    <xf numFmtId="219" fontId="32" fillId="0" borderId="0" applyFont="0" applyFill="0" applyBorder="0" applyAlignment="0" applyProtection="0">
      <alignment vertical="center"/>
    </xf>
    <xf numFmtId="220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1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1">
      <alignment horizontal="center" vertical="center"/>
    </xf>
    <xf numFmtId="37" fontId="29" fillId="0" borderId="46" applyAlignment="0">
      <alignment vertical="center"/>
    </xf>
    <xf numFmtId="0" fontId="7" fillId="0" borderId="0">
      <alignment vertical="center"/>
    </xf>
    <xf numFmtId="222" fontId="12" fillId="0" borderId="31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2">
      <alignment horizontal="center" vertical="center"/>
    </xf>
    <xf numFmtId="0" fontId="72" fillId="0" borderId="53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0" fontId="12" fillId="0" borderId="48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3" fontId="50" fillId="0" borderId="0">
      <alignment vertical="center"/>
      <protection locked="0"/>
    </xf>
    <xf numFmtId="224" fontId="6" fillId="0" borderId="0" applyFont="0" applyFill="0" applyBorder="0" applyProtection="0">
      <alignment horizontal="center" vertical="center"/>
    </xf>
    <xf numFmtId="225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6" fontId="7" fillId="0" borderId="0" applyFont="0" applyFill="0" applyBorder="0" applyAlignment="0" applyProtection="0">
      <alignment vertical="center"/>
    </xf>
    <xf numFmtId="227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8" fontId="76" fillId="0" borderId="54" applyFont="0" applyFill="0" applyAlignment="0" applyProtection="0">
      <alignment horizontal="center" vertical="center"/>
    </xf>
    <xf numFmtId="0" fontId="77" fillId="0" borderId="0">
      <alignment vertical="center"/>
    </xf>
    <xf numFmtId="190" fontId="78" fillId="0" borderId="31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1" fontId="100" fillId="0" borderId="55">
      <alignment vertical="center"/>
    </xf>
    <xf numFmtId="229" fontId="74" fillId="0" borderId="0">
      <alignment vertical="center"/>
    </xf>
    <xf numFmtId="190" fontId="79" fillId="0" borderId="31">
      <alignment vertical="center"/>
    </xf>
    <xf numFmtId="230" fontId="80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3" fontId="100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6">
      <alignment vertical="center"/>
    </xf>
    <xf numFmtId="231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2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57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3" fontId="50" fillId="0" borderId="0">
      <alignment vertical="center"/>
      <protection locked="0"/>
    </xf>
    <xf numFmtId="223" fontId="50" fillId="0" borderId="0">
      <alignment vertical="center"/>
      <protection locked="0"/>
    </xf>
    <xf numFmtId="233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5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1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29" fontId="75" fillId="0" borderId="0" applyFont="0" applyFill="0" applyBorder="0" applyAlignment="0" applyProtection="0">
      <alignment vertical="center"/>
    </xf>
    <xf numFmtId="236" fontId="28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75" fillId="0" borderId="1">
      <alignment vertical="center"/>
    </xf>
    <xf numFmtId="239" fontId="28" fillId="0" borderId="0" applyFont="0" applyFill="0" applyBorder="0" applyAlignment="0" applyProtection="0">
      <alignment vertical="center"/>
    </xf>
    <xf numFmtId="240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3" fontId="50" fillId="0" borderId="0">
      <alignment vertical="center"/>
      <protection locked="0"/>
    </xf>
    <xf numFmtId="223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1" fontId="6" fillId="0" borderId="0">
      <alignment vertical="center"/>
      <protection locked="0"/>
    </xf>
    <xf numFmtId="223" fontId="50" fillId="0" borderId="0">
      <alignment vertical="center"/>
      <protection locked="0"/>
    </xf>
    <xf numFmtId="0" fontId="79" fillId="0" borderId="55">
      <alignment horizontal="center" vertical="center"/>
    </xf>
    <xf numFmtId="0" fontId="79" fillId="0" borderId="55">
      <alignment horizontal="left" vertical="center"/>
    </xf>
    <xf numFmtId="0" fontId="79" fillId="0" borderId="55">
      <alignment vertical="center" textRotation="255"/>
    </xf>
    <xf numFmtId="0" fontId="29" fillId="0" borderId="57">
      <alignment horizontal="distributed" vertical="center"/>
    </xf>
    <xf numFmtId="0" fontId="29" fillId="0" borderId="58">
      <alignment horizontal="distributed" vertical="center"/>
    </xf>
    <xf numFmtId="0" fontId="29" fillId="0" borderId="59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0" fillId="0" borderId="0" applyFill="0" applyProtection="0">
      <alignment vertical="center"/>
    </xf>
    <xf numFmtId="0" fontId="7" fillId="0" borderId="0">
      <alignment vertical="center"/>
    </xf>
    <xf numFmtId="1" fontId="29" fillId="0" borderId="56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0">
      <alignment vertical="center"/>
      <protection locked="0"/>
    </xf>
    <xf numFmtId="242" fontId="6" fillId="0" borderId="0">
      <alignment vertical="center"/>
      <protection locked="0"/>
    </xf>
    <xf numFmtId="243" fontId="6" fillId="0" borderId="0">
      <alignment vertical="center"/>
      <protection locked="0"/>
    </xf>
    <xf numFmtId="0" fontId="98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</cellStyleXfs>
  <cellXfs count="312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8" fontId="13" fillId="0" borderId="3" xfId="2" applyNumberFormat="1" applyFont="1" applyBorder="1" applyAlignment="1">
      <alignment horizontal="center" vertical="center" shrinkToFit="1"/>
    </xf>
    <xf numFmtId="179" fontId="15" fillId="5" borderId="8" xfId="2" quotePrefix="1" applyNumberFormat="1" applyFont="1" applyFill="1" applyBorder="1" applyAlignment="1">
      <alignment vertical="center" shrinkToFit="1"/>
    </xf>
    <xf numFmtId="0" fontId="16" fillId="0" borderId="0" xfId="2" applyFont="1">
      <alignment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1" xfId="4" applyFont="1" applyFill="1" applyBorder="1" applyAlignment="1">
      <alignment horizontal="center" vertical="center"/>
    </xf>
    <xf numFmtId="41" fontId="14" fillId="7" borderId="21" xfId="2" applyNumberFormat="1" applyFont="1" applyFill="1" applyBorder="1" applyAlignment="1">
      <alignment horizontal="right" vertical="center" shrinkToFit="1"/>
    </xf>
    <xf numFmtId="0" fontId="20" fillId="0" borderId="23" xfId="2" applyFont="1" applyBorder="1" applyAlignment="1">
      <alignment horizontal="center" vertical="center"/>
    </xf>
    <xf numFmtId="41" fontId="20" fillId="0" borderId="23" xfId="5" applyFont="1" applyFill="1" applyBorder="1" applyAlignment="1">
      <alignment horizontal="right" vertical="center" shrinkToFit="1"/>
    </xf>
    <xf numFmtId="0" fontId="20" fillId="0" borderId="24" xfId="2" applyFont="1" applyBorder="1" applyAlignment="1">
      <alignment horizontal="center" vertical="center" shrinkToFit="1"/>
    </xf>
    <xf numFmtId="49" fontId="14" fillId="0" borderId="25" xfId="2" quotePrefix="1" applyNumberFormat="1" applyFont="1" applyBorder="1">
      <alignment vertical="center"/>
    </xf>
    <xf numFmtId="180" fontId="20" fillId="0" borderId="26" xfId="2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/>
    </xf>
    <xf numFmtId="41" fontId="20" fillId="0" borderId="28" xfId="5" applyFont="1" applyBorder="1" applyAlignment="1">
      <alignment horizontal="right" vertical="center" shrinkToFit="1"/>
    </xf>
    <xf numFmtId="0" fontId="20" fillId="0" borderId="28" xfId="2" applyFont="1" applyBorder="1" applyAlignment="1">
      <alignment horizontal="center" vertical="center"/>
    </xf>
    <xf numFmtId="49" fontId="15" fillId="0" borderId="25" xfId="2" quotePrefix="1" applyNumberFormat="1" applyFont="1" applyBorder="1" applyAlignment="1">
      <alignment vertical="center" textRotation="255"/>
    </xf>
    <xf numFmtId="0" fontId="20" fillId="0" borderId="26" xfId="2" quotePrefix="1" applyFont="1" applyBorder="1" applyAlignment="1">
      <alignment horizontal="center" vertical="center"/>
    </xf>
    <xf numFmtId="41" fontId="20" fillId="0" borderId="27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41" fontId="21" fillId="7" borderId="1" xfId="5" applyFont="1" applyFill="1" applyBorder="1" applyAlignment="1">
      <alignment horizontal="right" vertical="center" shrinkToFit="1"/>
    </xf>
    <xf numFmtId="0" fontId="22" fillId="7" borderId="30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1" xfId="2" applyFont="1" applyFill="1" applyBorder="1">
      <alignment vertical="center"/>
    </xf>
    <xf numFmtId="0" fontId="14" fillId="7" borderId="31" xfId="2" applyFont="1" applyFill="1" applyBorder="1" applyAlignment="1">
      <alignment horizontal="right" vertical="center"/>
    </xf>
    <xf numFmtId="0" fontId="14" fillId="7" borderId="31" xfId="2" applyFont="1" applyFill="1" applyBorder="1" applyAlignment="1">
      <alignment horizontal="center" vertical="center"/>
    </xf>
    <xf numFmtId="0" fontId="20" fillId="0" borderId="32" xfId="2" applyFont="1" applyBorder="1" applyAlignment="1">
      <alignment horizontal="left" vertical="center" indent="1"/>
    </xf>
    <xf numFmtId="0" fontId="20" fillId="0" borderId="33" xfId="2" applyFont="1" applyBorder="1">
      <alignment vertical="center"/>
    </xf>
    <xf numFmtId="0" fontId="20" fillId="0" borderId="33" xfId="2" applyFont="1" applyBorder="1" applyAlignment="1">
      <alignment horizontal="right" vertical="center"/>
    </xf>
    <xf numFmtId="0" fontId="20" fillId="0" borderId="33" xfId="2" applyFont="1" applyBorder="1" applyAlignment="1">
      <alignment horizontal="center" vertical="center"/>
    </xf>
    <xf numFmtId="38" fontId="20" fillId="0" borderId="33" xfId="5" applyNumberFormat="1" applyFont="1" applyBorder="1" applyAlignment="1">
      <alignment horizontal="right" vertical="center" shrinkToFit="1"/>
    </xf>
    <xf numFmtId="0" fontId="20" fillId="0" borderId="34" xfId="2" applyFont="1" applyBorder="1" applyAlignment="1">
      <alignment horizontal="center" vertical="center" shrinkToFit="1"/>
    </xf>
    <xf numFmtId="0" fontId="20" fillId="0" borderId="35" xfId="2" applyFont="1" applyBorder="1" applyAlignment="1">
      <alignment horizontal="left" vertical="center" indent="1"/>
    </xf>
    <xf numFmtId="0" fontId="20" fillId="0" borderId="23" xfId="2" applyFont="1" applyBorder="1">
      <alignment vertical="center"/>
    </xf>
    <xf numFmtId="181" fontId="20" fillId="0" borderId="23" xfId="2" applyNumberFormat="1" applyFont="1" applyBorder="1" applyAlignment="1">
      <alignment horizontal="right" vertical="center"/>
    </xf>
    <xf numFmtId="38" fontId="20" fillId="0" borderId="31" xfId="5" applyNumberFormat="1" applyFont="1" applyBorder="1" applyAlignment="1">
      <alignment horizontal="right" vertical="center" shrinkToFit="1"/>
    </xf>
    <xf numFmtId="0" fontId="20" fillId="0" borderId="36" xfId="2" applyFont="1" applyBorder="1" applyAlignment="1">
      <alignment horizontal="center" vertical="center" shrinkToFit="1"/>
    </xf>
    <xf numFmtId="0" fontId="19" fillId="0" borderId="37" xfId="2" applyFont="1" applyBorder="1">
      <alignment vertical="center"/>
    </xf>
    <xf numFmtId="0" fontId="20" fillId="0" borderId="38" xfId="2" applyFont="1" applyBorder="1" applyAlignment="1">
      <alignment horizontal="left" vertical="center" indent="1"/>
    </xf>
    <xf numFmtId="0" fontId="20" fillId="0" borderId="27" xfId="2" applyFont="1" applyBorder="1">
      <alignment vertical="center"/>
    </xf>
    <xf numFmtId="38" fontId="20" fillId="0" borderId="27" xfId="2" applyNumberFormat="1" applyFont="1" applyBorder="1" applyAlignment="1">
      <alignment horizontal="right" vertical="center" shrinkToFit="1"/>
    </xf>
    <xf numFmtId="181" fontId="20" fillId="0" borderId="27" xfId="2" applyNumberFormat="1" applyFont="1" applyBorder="1" applyAlignment="1">
      <alignment horizontal="right" vertical="center"/>
    </xf>
    <xf numFmtId="182" fontId="20" fillId="0" borderId="26" xfId="2" applyNumberFormat="1" applyFont="1" applyBorder="1" applyAlignment="1">
      <alignment horizontal="center" vertical="center"/>
    </xf>
    <xf numFmtId="182" fontId="20" fillId="0" borderId="27" xfId="2" applyNumberFormat="1" applyFont="1" applyBorder="1" applyAlignment="1">
      <alignment horizontal="center" vertical="center"/>
    </xf>
    <xf numFmtId="0" fontId="20" fillId="0" borderId="39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0" xfId="2" applyFont="1" applyBorder="1">
      <alignment vertical="center"/>
    </xf>
    <xf numFmtId="181" fontId="20" fillId="0" borderId="28" xfId="2" applyNumberFormat="1" applyFont="1" applyBorder="1" applyAlignment="1">
      <alignment horizontal="right" vertical="center"/>
    </xf>
    <xf numFmtId="182" fontId="20" fillId="0" borderId="28" xfId="2" applyNumberFormat="1" applyFont="1" applyBorder="1" applyAlignment="1">
      <alignment horizontal="center" vertical="center"/>
    </xf>
    <xf numFmtId="38" fontId="20" fillId="0" borderId="28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41" fontId="21" fillId="7" borderId="1" xfId="2" applyNumberFormat="1" applyFont="1" applyFill="1" applyBorder="1" applyAlignment="1">
      <alignment horizontal="right" vertical="center" shrinkToFit="1"/>
    </xf>
    <xf numFmtId="0" fontId="20" fillId="7" borderId="30" xfId="2" applyFont="1" applyFill="1" applyBorder="1" applyAlignment="1">
      <alignment horizontal="center" vertical="center" shrinkToFit="1"/>
    </xf>
    <xf numFmtId="41" fontId="14" fillId="0" borderId="1" xfId="2" applyNumberFormat="1" applyFont="1" applyBorder="1" applyAlignment="1">
      <alignment vertical="center" shrinkToFit="1"/>
    </xf>
    <xf numFmtId="0" fontId="24" fillId="0" borderId="30" xfId="2" applyFont="1" applyBorder="1" applyAlignment="1">
      <alignment horizontal="center" vertical="center" wrapText="1" shrinkToFit="1"/>
    </xf>
    <xf numFmtId="0" fontId="20" fillId="0" borderId="30" xfId="2" applyFont="1" applyBorder="1" applyAlignment="1">
      <alignment horizontal="center" vertical="center" shrinkToFit="1"/>
    </xf>
    <xf numFmtId="41" fontId="14" fillId="5" borderId="1" xfId="2" applyNumberFormat="1" applyFont="1" applyFill="1" applyBorder="1" applyAlignment="1">
      <alignment vertical="center" shrinkToFit="1"/>
    </xf>
    <xf numFmtId="0" fontId="20" fillId="5" borderId="30" xfId="2" applyFont="1" applyFill="1" applyBorder="1" applyAlignment="1">
      <alignment horizontal="center" vertical="center" shrinkToFit="1"/>
    </xf>
    <xf numFmtId="41" fontId="14" fillId="0" borderId="1" xfId="2" applyNumberFormat="1" applyFont="1" applyBorder="1" applyAlignment="1">
      <alignment horizontal="right" vertical="center" shrinkToFit="1"/>
    </xf>
    <xf numFmtId="0" fontId="25" fillId="7" borderId="43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5" xfId="2" applyFont="1" applyFill="1" applyBorder="1" applyAlignment="1">
      <alignment vertical="center" shrinkToFit="1"/>
    </xf>
    <xf numFmtId="0" fontId="25" fillId="7" borderId="15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5" xfId="2" applyBorder="1" applyAlignment="1"/>
    <xf numFmtId="0" fontId="79" fillId="0" borderId="44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4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4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41" fontId="14" fillId="5" borderId="49" xfId="2" applyNumberFormat="1" applyFont="1" applyFill="1" applyBorder="1" applyAlignment="1">
      <alignment vertical="center" shrinkToFit="1"/>
    </xf>
    <xf numFmtId="0" fontId="15" fillId="5" borderId="30" xfId="2" applyFont="1" applyFill="1" applyBorder="1" applyAlignment="1">
      <alignment horizontal="center" vertical="center" shrinkToFit="1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14" fillId="5" borderId="49" xfId="2" applyFont="1" applyFill="1" applyBorder="1" applyAlignment="1">
      <alignment horizontal="center" vertical="center"/>
    </xf>
    <xf numFmtId="0" fontId="15" fillId="5" borderId="66" xfId="2" applyFont="1" applyFill="1" applyBorder="1" applyAlignment="1">
      <alignment horizontal="center" vertical="center" shrinkToFit="1"/>
    </xf>
    <xf numFmtId="0" fontId="2" fillId="0" borderId="0" xfId="1" applyFont="1">
      <alignment vertical="center"/>
    </xf>
    <xf numFmtId="0" fontId="6" fillId="0" borderId="0" xfId="1" applyFont="1">
      <alignment vertical="center"/>
    </xf>
    <xf numFmtId="0" fontId="14" fillId="0" borderId="64" xfId="2" applyFont="1" applyBorder="1" applyAlignment="1">
      <alignment horizontal="center" vertical="center"/>
    </xf>
    <xf numFmtId="41" fontId="15" fillId="0" borderId="64" xfId="2" applyNumberFormat="1" applyFont="1" applyBorder="1" applyAlignment="1">
      <alignment vertical="center" shrinkToFit="1"/>
    </xf>
    <xf numFmtId="0" fontId="15" fillId="0" borderId="69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0" fillId="0" borderId="0" xfId="2" applyFont="1">
      <alignment vertical="center"/>
    </xf>
    <xf numFmtId="0" fontId="6" fillId="0" borderId="0" xfId="0" applyFont="1" applyFill="1" applyProtection="1">
      <alignment vertical="center"/>
    </xf>
    <xf numFmtId="0" fontId="103" fillId="0" borderId="0" xfId="0" applyFont="1" applyFill="1" applyProtection="1">
      <alignment vertical="center"/>
    </xf>
    <xf numFmtId="0" fontId="6" fillId="2" borderId="0" xfId="0" applyFont="1" applyFill="1" applyProtection="1">
      <alignment vertical="center"/>
    </xf>
    <xf numFmtId="0" fontId="103" fillId="2" borderId="0" xfId="0" applyFont="1" applyFill="1" applyProtection="1">
      <alignment vertical="center"/>
    </xf>
    <xf numFmtId="0" fontId="105" fillId="0" borderId="0" xfId="0" applyFont="1" applyFill="1" applyProtection="1">
      <alignment vertical="center"/>
    </xf>
    <xf numFmtId="0" fontId="6" fillId="0" borderId="0" xfId="0" applyFont="1" applyFill="1" applyAlignment="1" applyProtection="1">
      <alignment horizontal="left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vertical="center" shrinkToFit="1"/>
    </xf>
    <xf numFmtId="0" fontId="104" fillId="0" borderId="0" xfId="1" applyFont="1" applyAlignment="1">
      <alignment vertical="center" shrinkToFit="1"/>
    </xf>
    <xf numFmtId="0" fontId="106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51" fillId="0" borderId="0" xfId="0" applyFont="1" applyFill="1" applyProtection="1">
      <alignment vertical="center"/>
    </xf>
    <xf numFmtId="3" fontId="51" fillId="0" borderId="0" xfId="0" applyNumberFormat="1" applyFont="1" applyFill="1" applyProtection="1">
      <alignment vertical="center"/>
    </xf>
    <xf numFmtId="0" fontId="2" fillId="0" borderId="0" xfId="2" applyFont="1" applyAlignment="1"/>
    <xf numFmtId="0" fontId="93" fillId="0" borderId="0" xfId="2" applyFont="1" applyAlignment="1">
      <alignment horizontal="left" vertical="center"/>
    </xf>
    <xf numFmtId="0" fontId="111" fillId="0" borderId="49" xfId="2" applyFont="1" applyBorder="1" applyAlignment="1">
      <alignment horizontal="center" vertical="center" shrinkToFit="1"/>
    </xf>
    <xf numFmtId="0" fontId="105" fillId="0" borderId="0" xfId="0" applyFont="1" applyFill="1" applyAlignment="1" applyProtection="1">
      <alignment horizontal="left" vertical="center"/>
    </xf>
    <xf numFmtId="0" fontId="14" fillId="12" borderId="22" xfId="4" applyFont="1" applyFill="1" applyBorder="1" applyAlignment="1">
      <alignment horizontal="center" vertical="center" shrinkToFit="1"/>
    </xf>
    <xf numFmtId="0" fontId="6" fillId="0" borderId="0" xfId="0" applyFont="1" applyFill="1" applyAlignment="1" applyProtection="1">
      <alignment horizontal="left" vertical="center"/>
    </xf>
    <xf numFmtId="0" fontId="108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102" fillId="0" borderId="0" xfId="0" applyFont="1" applyFill="1" applyAlignment="1" applyProtection="1">
      <alignment horizontal="center" vertical="center"/>
    </xf>
    <xf numFmtId="0" fontId="103" fillId="0" borderId="0" xfId="0" applyFont="1" applyFill="1" applyAlignment="1" applyProtection="1">
      <alignment horizontal="center" vertical="center" shrinkToFit="1"/>
    </xf>
    <xf numFmtId="0" fontId="104" fillId="0" borderId="0" xfId="0" applyFont="1" applyFill="1" applyAlignment="1" applyProtection="1">
      <alignment horizontal="center" vertical="center" shrinkToFit="1"/>
    </xf>
    <xf numFmtId="0" fontId="105" fillId="0" borderId="0" xfId="0" applyFont="1" applyFill="1" applyAlignment="1" applyProtection="1">
      <alignment horizontal="left" vertical="center"/>
    </xf>
    <xf numFmtId="177" fontId="105" fillId="0" borderId="0" xfId="0" applyNumberFormat="1" applyFont="1" applyFill="1" applyAlignment="1" applyProtection="1">
      <alignment horizontal="left" vertical="center"/>
    </xf>
    <xf numFmtId="0" fontId="6" fillId="0" borderId="0" xfId="1" applyFont="1" applyAlignment="1">
      <alignment horizontal="left" vertical="center" wrapText="1"/>
    </xf>
    <xf numFmtId="0" fontId="6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6" fillId="0" borderId="0" xfId="0" applyFont="1" applyFill="1" applyAlignment="1" applyProtection="1">
      <alignment horizontal="left" vertical="center" shrinkToFit="1"/>
    </xf>
    <xf numFmtId="0" fontId="108" fillId="0" borderId="0" xfId="0" quotePrefix="1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 wrapText="1"/>
    </xf>
    <xf numFmtId="0" fontId="6" fillId="0" borderId="0" xfId="0" quotePrefix="1" applyFont="1" applyFill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center" vertical="center" wrapText="1"/>
    </xf>
    <xf numFmtId="0" fontId="6" fillId="0" borderId="0" xfId="1" applyFont="1" applyAlignment="1">
      <alignment horizontal="center" vertical="center"/>
    </xf>
    <xf numFmtId="37" fontId="6" fillId="0" borderId="0" xfId="1" applyNumberFormat="1" applyFont="1" applyAlignment="1">
      <alignment horizontal="left" vertical="center"/>
    </xf>
    <xf numFmtId="0" fontId="104" fillId="0" borderId="0" xfId="1" applyFont="1" applyAlignment="1">
      <alignment horizontal="center" vertical="center" shrinkToFit="1"/>
    </xf>
    <xf numFmtId="0" fontId="104" fillId="0" borderId="0" xfId="1" applyFont="1" applyAlignment="1">
      <alignment horizontal="center" vertical="center"/>
    </xf>
    <xf numFmtId="0" fontId="107" fillId="0" borderId="0" xfId="0" applyFont="1" applyFill="1" applyAlignment="1" applyProtection="1">
      <alignment horizontal="center" vertical="center"/>
    </xf>
    <xf numFmtId="0" fontId="105" fillId="0" borderId="0" xfId="0" applyFont="1" applyFill="1" applyAlignment="1" applyProtection="1">
      <alignment horizontal="left" vertical="center" shrinkToFit="1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41" fontId="15" fillId="5" borderId="6" xfId="2" applyNumberFormat="1" applyFont="1" applyFill="1" applyBorder="1" applyAlignment="1">
      <alignment horizontal="center" vertical="center" shrinkToFit="1"/>
    </xf>
    <xf numFmtId="179" fontId="15" fillId="5" borderId="7" xfId="2" applyNumberFormat="1" applyFont="1" applyFill="1" applyBorder="1" applyAlignment="1">
      <alignment horizontal="center" vertical="center" shrinkToFit="1"/>
    </xf>
    <xf numFmtId="41" fontId="15" fillId="5" borderId="7" xfId="2" applyNumberFormat="1" applyFont="1" applyFill="1" applyBorder="1" applyAlignment="1">
      <alignment horizontal="center" vertical="center" shrinkToFit="1"/>
    </xf>
    <xf numFmtId="41" fontId="15" fillId="5" borderId="8" xfId="2" applyNumberFormat="1" applyFont="1" applyFill="1" applyBorder="1" applyAlignment="1">
      <alignment horizontal="center" vertical="center" shrinkToFit="1"/>
    </xf>
    <xf numFmtId="0" fontId="15" fillId="6" borderId="11" xfId="2" applyFont="1" applyFill="1" applyBorder="1" applyAlignment="1">
      <alignment horizontal="center" vertical="center"/>
    </xf>
    <xf numFmtId="0" fontId="15" fillId="6" borderId="12" xfId="2" applyFont="1" applyFill="1" applyBorder="1" applyAlignment="1">
      <alignment horizontal="center" vertical="center"/>
    </xf>
    <xf numFmtId="179" fontId="15" fillId="6" borderId="12" xfId="2" applyNumberFormat="1" applyFont="1" applyFill="1" applyBorder="1" applyAlignment="1">
      <alignment horizontal="left" vertical="center" shrinkToFit="1"/>
    </xf>
    <xf numFmtId="179" fontId="15" fillId="6" borderId="13" xfId="2" applyNumberFormat="1" applyFont="1" applyFill="1" applyBorder="1" applyAlignment="1">
      <alignment horizontal="left" vertical="center" shrinkToFit="1"/>
    </xf>
    <xf numFmtId="0" fontId="17" fillId="0" borderId="14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0" fontId="14" fillId="0" borderId="16" xfId="4" applyFont="1" applyFill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23" fillId="7" borderId="19" xfId="4" applyFont="1" applyFill="1" applyBorder="1" applyAlignment="1">
      <alignment horizontal="left" vertical="center"/>
    </xf>
    <xf numFmtId="0" fontId="23" fillId="7" borderId="20" xfId="4" applyFont="1" applyFill="1" applyBorder="1" applyAlignment="1">
      <alignment horizontal="left" vertical="center"/>
    </xf>
    <xf numFmtId="0" fontId="23" fillId="7" borderId="29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29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4" fillId="0" borderId="1" xfId="2" applyFont="1" applyBorder="1" applyAlignment="1">
      <alignment horizontal="center" vertical="center"/>
    </xf>
    <xf numFmtId="0" fontId="14" fillId="0" borderId="29" xfId="2" applyFont="1" applyBorder="1" applyAlignment="1">
      <alignment horizontal="center" vertical="center"/>
    </xf>
    <xf numFmtId="0" fontId="14" fillId="5" borderId="29" xfId="2" applyFont="1" applyFill="1" applyBorder="1" applyAlignment="1">
      <alignment horizontal="center" vertical="center"/>
    </xf>
    <xf numFmtId="0" fontId="14" fillId="5" borderId="1" xfId="2" applyFont="1" applyFill="1" applyBorder="1" applyAlignment="1">
      <alignment horizontal="center" vertical="center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23" fillId="0" borderId="63" xfId="2" applyFont="1" applyBorder="1" applyAlignment="1">
      <alignment horizontal="left" vertical="center"/>
    </xf>
    <xf numFmtId="0" fontId="23" fillId="0" borderId="64" xfId="2" applyFont="1" applyBorder="1" applyAlignment="1">
      <alignment horizontal="left" vertical="center"/>
    </xf>
    <xf numFmtId="0" fontId="14" fillId="0" borderId="44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5" xfId="2" applyFont="1" applyBorder="1" applyAlignment="1">
      <alignment horizontal="left" vertical="center" wrapText="1"/>
    </xf>
    <xf numFmtId="0" fontId="14" fillId="0" borderId="14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25" fillId="7" borderId="41" xfId="2" applyFont="1" applyFill="1" applyBorder="1" applyAlignment="1">
      <alignment horizontal="center" vertical="center"/>
    </xf>
    <xf numFmtId="0" fontId="25" fillId="7" borderId="42" xfId="2" applyFont="1" applyFill="1" applyBorder="1" applyAlignment="1">
      <alignment horizontal="center" vertical="center"/>
    </xf>
    <xf numFmtId="0" fontId="25" fillId="7" borderId="44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4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2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  <xf numFmtId="0" fontId="2" fillId="0" borderId="0" xfId="2" applyFont="1" applyAlignment="1">
      <alignment horizontal="left" vertical="center" wrapText="1"/>
    </xf>
    <xf numFmtId="0" fontId="2" fillId="0" borderId="45" xfId="2" applyFont="1" applyBorder="1" applyAlignment="1">
      <alignment horizontal="left" vertical="center" wrapText="1"/>
    </xf>
    <xf numFmtId="0" fontId="79" fillId="0" borderId="44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70" xfId="2" applyFont="1" applyBorder="1" applyAlignment="1">
      <alignment horizontal="center" vertical="center" shrinkToFit="1"/>
    </xf>
    <xf numFmtId="0" fontId="2" fillId="0" borderId="53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72" fillId="0" borderId="61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2" fillId="0" borderId="0" xfId="0" applyFont="1" applyAlignment="1">
      <alignment horizontal="left" vertical="center" wrapText="1"/>
    </xf>
    <xf numFmtId="0" fontId="72" fillId="0" borderId="45" xfId="0" applyFont="1" applyBorder="1" applyAlignment="1">
      <alignment horizontal="left" vertical="center" wrapText="1"/>
    </xf>
    <xf numFmtId="0" fontId="72" fillId="0" borderId="71" xfId="0" quotePrefix="1" applyFont="1" applyBorder="1" applyAlignment="1">
      <alignment horizontal="center" vertical="center" wrapText="1"/>
    </xf>
    <xf numFmtId="0" fontId="72" fillId="0" borderId="3" xfId="0" quotePrefix="1" applyFont="1" applyBorder="1" applyAlignment="1">
      <alignment horizontal="center" vertical="center" wrapText="1"/>
    </xf>
    <xf numFmtId="0" fontId="72" fillId="0" borderId="3" xfId="0" applyFont="1" applyBorder="1" applyAlignment="1">
      <alignment horizontal="left" vertical="center" wrapText="1"/>
    </xf>
    <xf numFmtId="0" fontId="72" fillId="0" borderId="15" xfId="0" applyFont="1" applyBorder="1" applyAlignment="1">
      <alignment horizontal="left" vertical="center" wrapText="1"/>
    </xf>
    <xf numFmtId="0" fontId="2" fillId="0" borderId="44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93" fillId="0" borderId="63" xfId="2" applyFont="1" applyBorder="1" applyAlignment="1">
      <alignment horizontal="center" vertical="center" textRotation="255" wrapText="1"/>
    </xf>
    <xf numFmtId="0" fontId="93" fillId="0" borderId="64" xfId="2" applyFont="1" applyBorder="1" applyAlignment="1">
      <alignment horizontal="center" vertical="center" textRotation="255" wrapText="1"/>
    </xf>
    <xf numFmtId="0" fontId="93" fillId="0" borderId="44" xfId="2" applyFont="1" applyBorder="1" applyAlignment="1">
      <alignment horizontal="center" vertical="center" textRotation="255" wrapText="1"/>
    </xf>
    <xf numFmtId="0" fontId="93" fillId="0" borderId="0" xfId="2" applyFont="1" applyAlignment="1">
      <alignment horizontal="center" vertical="center" textRotation="255" wrapText="1"/>
    </xf>
    <xf numFmtId="0" fontId="93" fillId="0" borderId="14" xfId="2" applyFont="1" applyBorder="1" applyAlignment="1">
      <alignment horizontal="center" vertical="center" textRotation="255" wrapText="1"/>
    </xf>
    <xf numFmtId="0" fontId="93" fillId="0" borderId="3" xfId="2" applyFont="1" applyBorder="1" applyAlignment="1">
      <alignment horizontal="center" vertical="center" textRotation="255" wrapText="1"/>
    </xf>
    <xf numFmtId="0" fontId="112" fillId="0" borderId="10" xfId="2" applyFont="1" applyBorder="1" applyAlignment="1">
      <alignment horizontal="center" vertical="center" shrinkToFit="1"/>
    </xf>
    <xf numFmtId="0" fontId="112" fillId="0" borderId="1" xfId="2" applyFont="1" applyBorder="1" applyAlignment="1">
      <alignment horizontal="center" vertical="center" shrinkToFit="1"/>
    </xf>
    <xf numFmtId="0" fontId="111" fillId="0" borderId="65" xfId="2" applyFont="1" applyBorder="1" applyAlignment="1">
      <alignment horizontal="left" vertical="center" wrapText="1"/>
    </xf>
    <xf numFmtId="0" fontId="111" fillId="0" borderId="49" xfId="2" applyFont="1" applyBorder="1" applyAlignment="1">
      <alignment horizontal="left" vertical="center" wrapText="1"/>
    </xf>
    <xf numFmtId="0" fontId="111" fillId="0" borderId="6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center" vertical="center" shrinkToFit="1"/>
    </xf>
    <xf numFmtId="0" fontId="112" fillId="0" borderId="64" xfId="2" applyFont="1" applyBorder="1" applyAlignment="1">
      <alignment horizontal="center" vertical="center" shrinkToFit="1"/>
    </xf>
    <xf numFmtId="0" fontId="112" fillId="0" borderId="68" xfId="2" applyFont="1" applyBorder="1" applyAlignment="1">
      <alignment horizontal="center" vertical="center" shrinkToFit="1"/>
    </xf>
    <xf numFmtId="0" fontId="112" fillId="0" borderId="61" xfId="2" applyFont="1" applyBorder="1" applyAlignment="1">
      <alignment horizontal="center" vertical="center" shrinkToFit="1"/>
    </xf>
    <xf numFmtId="0" fontId="112" fillId="0" borderId="0" xfId="2" applyFont="1" applyAlignment="1">
      <alignment horizontal="center" vertical="center" shrinkToFit="1"/>
    </xf>
    <xf numFmtId="0" fontId="112" fillId="0" borderId="73" xfId="2" applyFont="1" applyBorder="1" applyAlignment="1">
      <alignment horizontal="center" vertical="center" shrinkToFit="1"/>
    </xf>
    <xf numFmtId="0" fontId="112" fillId="0" borderId="71" xfId="2" applyFont="1" applyBorder="1" applyAlignment="1">
      <alignment horizontal="center" vertical="center" shrinkToFit="1"/>
    </xf>
    <xf numFmtId="0" fontId="112" fillId="0" borderId="3" xfId="2" applyFont="1" applyBorder="1" applyAlignment="1">
      <alignment horizontal="center" vertical="center" shrinkToFit="1"/>
    </xf>
    <xf numFmtId="0" fontId="112" fillId="0" borderId="74" xfId="2" applyFont="1" applyBorder="1" applyAlignment="1">
      <alignment horizontal="center" vertical="center" shrinkToFit="1"/>
    </xf>
    <xf numFmtId="0" fontId="114" fillId="0" borderId="65" xfId="2" applyFont="1" applyBorder="1" applyAlignment="1">
      <alignment horizontal="left" vertical="center" shrinkToFit="1"/>
    </xf>
    <xf numFmtId="0" fontId="114" fillId="0" borderId="49" xfId="2" applyFont="1" applyBorder="1" applyAlignment="1">
      <alignment horizontal="left" vertical="center" shrinkToFit="1"/>
    </xf>
    <xf numFmtId="0" fontId="114" fillId="0" borderId="66" xfId="2" applyFont="1" applyBorder="1" applyAlignment="1">
      <alignment horizontal="left" vertical="center" shrinkToFit="1"/>
    </xf>
    <xf numFmtId="0" fontId="112" fillId="0" borderId="65" xfId="2" applyFont="1" applyBorder="1" applyAlignment="1">
      <alignment horizontal="center" vertical="center" shrinkToFit="1"/>
    </xf>
    <xf numFmtId="0" fontId="112" fillId="0" borderId="49" xfId="2" applyFont="1" applyBorder="1" applyAlignment="1">
      <alignment horizontal="center" vertical="center" shrinkToFit="1"/>
    </xf>
    <xf numFmtId="0" fontId="112" fillId="0" borderId="2" xfId="2" applyFont="1" applyBorder="1" applyAlignment="1">
      <alignment horizontal="center" vertical="center" shrinkToFit="1"/>
    </xf>
    <xf numFmtId="0" fontId="114" fillId="0" borderId="65" xfId="2" applyFont="1" applyBorder="1" applyAlignment="1">
      <alignment horizontal="left" vertical="center" wrapText="1"/>
    </xf>
    <xf numFmtId="0" fontId="114" fillId="0" borderId="49" xfId="2" applyFont="1" applyBorder="1" applyAlignment="1">
      <alignment horizontal="left" vertical="center" wrapText="1"/>
    </xf>
    <xf numFmtId="0" fontId="114" fillId="0" borderId="66" xfId="2" applyFont="1" applyBorder="1" applyAlignment="1">
      <alignment horizontal="left" vertical="center" wrapText="1"/>
    </xf>
    <xf numFmtId="179" fontId="114" fillId="0" borderId="1" xfId="2" applyNumberFormat="1" applyFont="1" applyBorder="1" applyAlignment="1">
      <alignment horizontal="left" vertical="center" shrinkToFit="1"/>
    </xf>
    <xf numFmtId="179" fontId="114" fillId="0" borderId="30" xfId="2" applyNumberFormat="1" applyFont="1" applyBorder="1" applyAlignment="1">
      <alignment horizontal="left" vertical="center" shrinkToFit="1"/>
    </xf>
    <xf numFmtId="0" fontId="93" fillId="0" borderId="60" xfId="2" applyFont="1" applyBorder="1" applyAlignment="1">
      <alignment horizontal="center" vertical="center" textRotation="255" wrapText="1"/>
    </xf>
    <xf numFmtId="0" fontId="93" fillId="0" borderId="21" xfId="2" applyFont="1" applyBorder="1" applyAlignment="1">
      <alignment horizontal="center" vertical="center" textRotation="255" wrapText="1"/>
    </xf>
    <xf numFmtId="0" fontId="93" fillId="0" borderId="29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1" xfId="2" applyFont="1" applyBorder="1" applyAlignment="1">
      <alignment horizontal="center" vertical="center" wrapText="1"/>
    </xf>
    <xf numFmtId="0" fontId="114" fillId="0" borderId="21" xfId="2" applyFont="1" applyBorder="1" applyAlignment="1">
      <alignment horizontal="left" vertical="center" wrapText="1"/>
    </xf>
    <xf numFmtId="0" fontId="114" fillId="0" borderId="22" xfId="2" applyFont="1" applyBorder="1" applyAlignment="1">
      <alignment horizontal="left" vertical="center" wrapText="1"/>
    </xf>
    <xf numFmtId="0" fontId="111" fillId="0" borderId="0" xfId="2" applyFont="1" applyAlignment="1">
      <alignment horizontal="left" vertical="center" wrapText="1"/>
    </xf>
    <xf numFmtId="0" fontId="111" fillId="0" borderId="45" xfId="2" applyFont="1" applyBorder="1" applyAlignment="1">
      <alignment horizontal="left" vertical="center" wrapText="1"/>
    </xf>
    <xf numFmtId="0" fontId="111" fillId="0" borderId="53" xfId="2" applyFont="1" applyBorder="1" applyAlignment="1">
      <alignment horizontal="left" vertical="center" wrapText="1"/>
    </xf>
    <xf numFmtId="0" fontId="111" fillId="0" borderId="62" xfId="2" applyFont="1" applyBorder="1" applyAlignment="1">
      <alignment horizontal="left" vertical="center" wrapText="1"/>
    </xf>
    <xf numFmtId="0" fontId="88" fillId="11" borderId="61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101" fillId="0" borderId="0" xfId="2" applyFont="1" applyAlignment="1">
      <alignment horizontal="center" vertical="center" wrapText="1"/>
    </xf>
    <xf numFmtId="0" fontId="79" fillId="11" borderId="61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14" fontId="101" fillId="0" borderId="0" xfId="2" applyNumberFormat="1" applyFont="1" applyAlignment="1">
      <alignment horizontal="center" vertical="center"/>
    </xf>
    <xf numFmtId="0" fontId="91" fillId="0" borderId="0" xfId="2" applyFont="1" applyAlignment="1">
      <alignment horizontal="left" vertical="center" wrapText="1"/>
    </xf>
    <xf numFmtId="0" fontId="92" fillId="0" borderId="41" xfId="2" applyFont="1" applyBorder="1" applyAlignment="1">
      <alignment horizontal="center" vertical="center" wrapText="1"/>
    </xf>
    <xf numFmtId="0" fontId="92" fillId="0" borderId="42" xfId="2" applyFont="1" applyBorder="1" applyAlignment="1">
      <alignment horizontal="center" vertical="center" wrapText="1"/>
    </xf>
    <xf numFmtId="0" fontId="92" fillId="0" borderId="43" xfId="2" applyFont="1" applyBorder="1" applyAlignment="1">
      <alignment horizontal="center" vertical="center" wrapText="1"/>
    </xf>
    <xf numFmtId="0" fontId="111" fillId="0" borderId="1" xfId="2" applyFont="1" applyBorder="1" applyAlignment="1">
      <alignment horizontal="left" vertical="center" wrapText="1"/>
    </xf>
    <xf numFmtId="0" fontId="111" fillId="0" borderId="30" xfId="2" applyFont="1" applyBorder="1" applyAlignment="1">
      <alignment horizontal="left" vertical="center" wrapText="1"/>
    </xf>
    <xf numFmtId="0" fontId="111" fillId="0" borderId="65" xfId="2" applyFont="1" applyBorder="1" applyAlignment="1">
      <alignment horizontal="center" vertical="center" shrinkToFit="1"/>
    </xf>
    <xf numFmtId="0" fontId="111" fillId="0" borderId="49" xfId="2" applyFont="1" applyBorder="1" applyAlignment="1">
      <alignment horizontal="center" vertical="center" shrinkToFit="1"/>
    </xf>
    <xf numFmtId="0" fontId="111" fillId="0" borderId="66" xfId="2" applyFont="1" applyBorder="1" applyAlignment="1">
      <alignment horizontal="center" vertical="center" shrinkToFit="1"/>
    </xf>
    <xf numFmtId="0" fontId="2" fillId="0" borderId="63" xfId="2" applyFont="1" applyBorder="1" applyAlignment="1">
      <alignment horizontal="center" vertical="center" wrapText="1"/>
    </xf>
    <xf numFmtId="0" fontId="2" fillId="0" borderId="64" xfId="2" applyFont="1" applyBorder="1" applyAlignment="1">
      <alignment horizontal="center" vertical="center" wrapText="1"/>
    </xf>
    <xf numFmtId="0" fontId="2" fillId="0" borderId="69" xfId="2" applyFont="1" applyBorder="1" applyAlignment="1">
      <alignment horizontal="center" vertical="center" wrapText="1"/>
    </xf>
    <xf numFmtId="0" fontId="2" fillId="0" borderId="44" xfId="2" applyFont="1" applyBorder="1" applyAlignment="1">
      <alignment horizontal="center" vertical="center" wrapText="1"/>
    </xf>
    <xf numFmtId="0" fontId="2" fillId="0" borderId="0" xfId="2" applyFont="1" applyAlignment="1">
      <alignment horizontal="center" vertical="center" wrapText="1"/>
    </xf>
    <xf numFmtId="0" fontId="10" fillId="0" borderId="0" xfId="2" applyFont="1" applyAlignment="1">
      <alignment horizontal="left" vertical="center" shrinkToFit="1"/>
    </xf>
    <xf numFmtId="0" fontId="10" fillId="0" borderId="0" xfId="2" applyFont="1" applyAlignment="1">
      <alignment horizontal="left" vertical="center" wrapText="1"/>
    </xf>
    <xf numFmtId="0" fontId="7" fillId="0" borderId="0" xfId="2" applyAlignment="1">
      <alignment horizontal="left" vertical="center" wrapText="1"/>
    </xf>
    <xf numFmtId="0" fontId="7" fillId="0" borderId="45" xfId="2" applyBorder="1" applyAlignment="1">
      <alignment horizontal="left" vertical="center" wrapText="1"/>
    </xf>
    <xf numFmtId="0" fontId="2" fillId="0" borderId="14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left" vertical="center" shrinkToFit="1"/>
    </xf>
    <xf numFmtId="0" fontId="2" fillId="0" borderId="3" xfId="2" applyFont="1" applyBorder="1" applyAlignment="1">
      <alignment horizontal="left" vertical="center" wrapText="1"/>
    </xf>
    <xf numFmtId="0" fontId="2" fillId="0" borderId="15" xfId="2" applyFont="1" applyBorder="1" applyAlignment="1">
      <alignment horizontal="left" vertical="center" wrapText="1"/>
    </xf>
    <xf numFmtId="0" fontId="95" fillId="0" borderId="0" xfId="2" applyFont="1" applyAlignment="1">
      <alignment horizontal="left" vertical="center"/>
    </xf>
    <xf numFmtId="0" fontId="96" fillId="0" borderId="0" xfId="2" applyFont="1" applyAlignment="1">
      <alignment horizontal="center" vertical="center"/>
    </xf>
    <xf numFmtId="0" fontId="93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shrinkToFit="1"/>
    </xf>
    <xf numFmtId="0" fontId="115" fillId="0" borderId="0" xfId="2" applyFont="1" applyAlignment="1">
      <alignment horizontal="center" vertical="center" shrinkToFit="1"/>
    </xf>
    <xf numFmtId="0" fontId="10" fillId="0" borderId="0" xfId="2" applyFont="1" applyAlignment="1">
      <alignment horizontal="center" vertical="center" shrinkToFit="1"/>
    </xf>
    <xf numFmtId="0" fontId="2" fillId="0" borderId="0" xfId="2" applyFont="1" applyAlignment="1">
      <alignment horizontal="left" vertical="center"/>
    </xf>
    <xf numFmtId="0" fontId="111" fillId="0" borderId="67" xfId="0" applyFont="1" applyBorder="1" applyAlignment="1">
      <alignment horizontal="left" vertical="center" wrapText="1"/>
    </xf>
    <xf numFmtId="0" fontId="111" fillId="0" borderId="64" xfId="0" applyFont="1" applyBorder="1" applyAlignment="1">
      <alignment horizontal="left" vertical="center" wrapText="1"/>
    </xf>
    <xf numFmtId="0" fontId="111" fillId="0" borderId="69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wrapText="1"/>
    </xf>
  </cellXfs>
  <cellStyles count="3116">
    <cellStyle name=" " xfId="6"/>
    <cellStyle name="' '" xfId="7"/>
    <cellStyle name=" _97연말" xfId="8"/>
    <cellStyle name=" _97연말1" xfId="9"/>
    <cellStyle name=" _Book1" xfId="10"/>
    <cellStyle name="&quot;" xfId="11"/>
    <cellStyle name="#,##0" xfId="12"/>
    <cellStyle name="(##.00)" xfId="13"/>
    <cellStyle name="(△콤마)" xfId="14"/>
    <cellStyle name="(백분율)" xfId="15"/>
    <cellStyle name="(콤마)" xfId="16"/>
    <cellStyle name="??&amp;O?&amp;H?_x0008__x000f__x0007_?_x0007__x0001__x0001_" xfId="17"/>
    <cellStyle name="??&amp;O?&amp;H?_x0008_??_x0007__x0001__x0001_" xfId="18"/>
    <cellStyle name="?W?_laroux" xfId="19"/>
    <cellStyle name="?曹%U?&amp;H?_x0008_?s_x000a__x0007__x0001__x0001_" xfId="20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_00-설계서,원가계산,내역서" xfId="866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’E‰Y [0.00]_laroux" xfId="1098"/>
    <cellStyle name="’E‰Y_laroux" xfId="1099"/>
    <cellStyle name="¤@?e_TEST-1 " xfId="1100"/>
    <cellStyle name="+,-,0" xfId="1101"/>
    <cellStyle name="△ []" xfId="1102"/>
    <cellStyle name="△ [0]" xfId="1103"/>
    <cellStyle name="△백분율" xfId="1104"/>
    <cellStyle name="△콤마" xfId="1105"/>
    <cellStyle name="ÊÝ [0.00]_Region Orders (2)" xfId="1106"/>
    <cellStyle name="ÊÝ_Region Orders (2)" xfId="1107"/>
    <cellStyle name="W_Pacific Region P&amp;L" xfId="1108"/>
    <cellStyle name="0" xfId="1109"/>
    <cellStyle name="0.0" xfId="1110"/>
    <cellStyle name="0.00" xfId="1111"/>
    <cellStyle name="00" xfId="1112"/>
    <cellStyle name="1" xfId="1113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11" xfId="2600"/>
    <cellStyle name="111" xfId="2601"/>
    <cellStyle name="2" xfId="2602"/>
    <cellStyle name="2)" xfId="2603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0% - 강조색1 2" xfId="4"/>
    <cellStyle name="2자리" xfId="2642"/>
    <cellStyle name="A¨­￠￢￠O [0]_AO¨uRCN¡¾U " xfId="2643"/>
    <cellStyle name="A¨­￠￢￠O_AO¨uRCN¡¾U " xfId="2644"/>
    <cellStyle name="AeE­ [0]_ 2ÆAAþº° " xfId="2645"/>
    <cellStyle name="ÅëÈ­ [0]_¸ðÇü¸·" xfId="2646"/>
    <cellStyle name="AeE­ [0]_95³aAN°y¼o·R " xfId="2647"/>
    <cellStyle name="ÅëÈ­ [0]_Á¤»ê¼­°©Áö" xfId="2648"/>
    <cellStyle name="AeE­ [0]_A¾CO½A¼³ " xfId="2649"/>
    <cellStyle name="AeE­_ 2ÆAAþº° " xfId="2650"/>
    <cellStyle name="ÅëÈ­_¸ðÇü¸·" xfId="2651"/>
    <cellStyle name="AeE­_95³aAN°y¼o·R " xfId="2652"/>
    <cellStyle name="ÅëÈ­_Á¤»ê¼­°©Áö" xfId="2653"/>
    <cellStyle name="AeE­_A¾CO½A¼³ " xfId="2654"/>
    <cellStyle name="AeE¡ⓒ [0]_AO¨uRCN¡¾U " xfId="2655"/>
    <cellStyle name="AeE¡ⓒ_AO¨uRCN¡¾U " xfId="2656"/>
    <cellStyle name="ALIGNMENT" xfId="2657"/>
    <cellStyle name="args.style" xfId="2658"/>
    <cellStyle name="AÞ¸¶ [0]_ 2ÆAAþº° " xfId="2659"/>
    <cellStyle name="ÄÞ¸¶ [0]_¸ðÇü¸·" xfId="2660"/>
    <cellStyle name="AÞ¸¶ [0]_95³aAN°y¼o·R " xfId="2661"/>
    <cellStyle name="ÄÞ¸¶ [0]_Á¤»ê¼­°©Áö" xfId="2662"/>
    <cellStyle name="AÞ¸¶_ 2ÆAAþº° " xfId="2663"/>
    <cellStyle name="ÄÞ¸¶_¸ðÇü¸·" xfId="2664"/>
    <cellStyle name="AÞ¸¶_95³aAN°y¼o·R " xfId="2665"/>
    <cellStyle name="ÄÞ¸¶_Á¤»ê¼­°©Áö" xfId="2666"/>
    <cellStyle name="AÞ¸¶_A¾CO½A¼³ " xfId="2667"/>
    <cellStyle name="C¡IA¨ª_¡ic¨u¡A¨￢I¨￢¡Æ AN¡Æe " xfId="2668"/>
    <cellStyle name="C￥AØ_ °u¸R½CCa1" xfId="2669"/>
    <cellStyle name="Ç¥ÁØ_»óºÎ¼ö·®Áý°è " xfId="2670"/>
    <cellStyle name="C￥AØ_°­´c (2)" xfId="2671"/>
    <cellStyle name="Ç¥ÁØ_°­´ç (2)" xfId="2672"/>
    <cellStyle name="C￥AØ_¼³°e¿e¿ª" xfId="2673"/>
    <cellStyle name="Ç¥ÁØ_¼öÀÍ¼º " xfId="2674"/>
    <cellStyle name="C￥AØ_95³aAN°y¼o·R " xfId="2675"/>
    <cellStyle name="Calc Currency (0)" xfId="2676"/>
    <cellStyle name="category" xfId="2677"/>
    <cellStyle name="CIAIÆU¸μAⓒ" xfId="2678"/>
    <cellStyle name="comma zerodec" xfId="2679"/>
    <cellStyle name="Comma0" xfId="2680"/>
    <cellStyle name="Copied" xfId="2681"/>
    <cellStyle name="COST1" xfId="2682"/>
    <cellStyle name="Curre~cy [0]_MATERAL2" xfId="2683"/>
    <cellStyle name="Curren?_x0012_퐀_x0017_?" xfId="2684"/>
    <cellStyle name="Currency [0]͢laroux_1" xfId="2685"/>
    <cellStyle name="currency-$" xfId="2686"/>
    <cellStyle name="Currency0" xfId="2687"/>
    <cellStyle name="Currency1" xfId="2688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[yellow]" xfId="2713"/>
    <cellStyle name="Input Cells" xfId="2714"/>
    <cellStyle name="kg" xfId="2715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ma_CASH &amp; DSO" xfId="2722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 dec" xfId="2728"/>
    <cellStyle name="Normal - Style1" xfId="2729"/>
    <cellStyle name="Normal - 유형1" xfId="2730"/>
    <cellStyle name="Œ…?æ맖?e [0.00]_laroux" xfId="2731"/>
    <cellStyle name="Œ…?æ맖?e_laroux" xfId="2732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ercent [2]" xfId="2736"/>
    <cellStyle name="pricing" xfId="2737"/>
    <cellStyle name="PSChar" xfId="2738"/>
    <cellStyle name="RevList" xfId="2739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TANDARD" xfId="2743"/>
    <cellStyle name="STD" xfId="2744"/>
    <cellStyle name="subhead" xfId="2745"/>
    <cellStyle name="Subtotal" xfId="2746"/>
    <cellStyle name="Title" xfId="2747"/>
    <cellStyle name="title [1]" xfId="2748"/>
    <cellStyle name="title [2]" xfId="2749"/>
    <cellStyle name="Total" xfId="2750"/>
    <cellStyle name="UM" xfId="2751"/>
    <cellStyle name="W?rung [0]_laroux" xfId="2752"/>
    <cellStyle name="W?rung_laroux" xfId="2753"/>
    <cellStyle name="μU¿¡ ¿A´A CIAIÆU¸μAⓒ" xfId="2754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△1]" xfId="2779"/>
    <cellStyle name="백분율 [△2]" xfId="2780"/>
    <cellStyle name="백분율 [0]" xfId="2781"/>
    <cellStyle name="백분율 [2]" xfId="2782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열어 본 하이퍼링크" xfId="3115" builtinId="9" hidden="1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_~MGaE" xfId="3064"/>
    <cellStyle name="자리수0" xfId="3065"/>
    <cellStyle name="정기수 - 유형1" xfId="3066"/>
    <cellStyle name="제목 1(左)" xfId="3067"/>
    <cellStyle name="제목 1(中)" xfId="3068"/>
    <cellStyle name="제목[1 줄]" xfId="3069"/>
    <cellStyle name="제목[2줄 아래]" xfId="3070"/>
    <cellStyle name="제목[2줄 위]" xfId="3071"/>
    <cellStyle name="제목1" xfId="3072"/>
    <cellStyle name="제목2" xfId="3073"/>
    <cellStyle name="좋음 2" xfId="3074"/>
    <cellStyle name="지정되지 않음" xfId="3075"/>
    <cellStyle name="콤" xfId="3076"/>
    <cellStyle name="콤마 [" xfId="3077"/>
    <cellStyle name="콤마 [#]" xfId="3078"/>
    <cellStyle name="콤마 []" xfId="3079"/>
    <cellStyle name="콤마 [0]" xfId="3080"/>
    <cellStyle name="콤마 [1]" xfId="3081"/>
    <cellStyle name="콤마 [2]" xfId="3082"/>
    <cellStyle name="콤마 [금액]" xfId="3083"/>
    <cellStyle name="콤마 [소수]" xfId="3084"/>
    <cellStyle name="콤마 [수량]" xfId="3085"/>
    <cellStyle name="콤마 1" xfId="3086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中)" xfId="3102"/>
    <cellStyle name="표머릿글(下)" xfId="3103"/>
    <cellStyle name="표준" xfId="0" builtinId="0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標準_Akia(F）-8" xfId="3107"/>
    <cellStyle name="표준1" xfId="3108"/>
    <cellStyle name="표준2" xfId="3109"/>
    <cellStyle name="표준℘Sheet8 (3)" xfId="3110"/>
    <cellStyle name="하이퍼링크" xfId="3114" builtinId="8" hidden="1"/>
    <cellStyle name="합산" xfId="3111"/>
    <cellStyle name="화폐기호" xfId="3112"/>
    <cellStyle name="화폐기호0" xfId="311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142875</xdr:colOff>
      <xdr:row>42</xdr:row>
      <xdr:rowOff>76200</xdr:rowOff>
    </xdr:from>
    <xdr:to>
      <xdr:col>29</xdr:col>
      <xdr:colOff>217805</xdr:colOff>
      <xdr:row>45</xdr:row>
      <xdr:rowOff>25400</xdr:rowOff>
    </xdr:to>
    <xdr:pic>
      <xdr:nvPicPr>
        <xdr:cNvPr id="1177" name="Picture 1" descr="xl/media/image1.png">
          <a:extLst>
            <a:ext uri="{FF2B5EF4-FFF2-40B4-BE49-F238E27FC236}">
              <a16:creationId xmlns=""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695055" y="9095740"/>
          <a:ext cx="817880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320675</xdr:colOff>
      <xdr:row>32</xdr:row>
      <xdr:rowOff>241300</xdr:rowOff>
    </xdr:from>
    <xdr:to>
      <xdr:col>2</xdr:col>
      <xdr:colOff>587374</xdr:colOff>
      <xdr:row>36</xdr:row>
      <xdr:rowOff>15875</xdr:rowOff>
    </xdr:to>
    <xdr:pic>
      <xdr:nvPicPr>
        <xdr:cNvPr id="2" name="_x224090752" descr="EMB0000176c6721">
          <a:extLst>
            <a:ext uri="{FF2B5EF4-FFF2-40B4-BE49-F238E27FC236}">
              <a16:creationId xmlns=""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4275" y="8851900"/>
          <a:ext cx="1142999" cy="9429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7</xdr:col>
      <xdr:colOff>110067</xdr:colOff>
      <xdr:row>33</xdr:row>
      <xdr:rowOff>255059</xdr:rowOff>
    </xdr:from>
    <xdr:to>
      <xdr:col>7</xdr:col>
      <xdr:colOff>976207</xdr:colOff>
      <xdr:row>36</xdr:row>
      <xdr:rowOff>227330</xdr:rowOff>
    </xdr:to>
    <xdr:pic>
      <xdr:nvPicPr>
        <xdr:cNvPr id="3" name="그림 7" descr="xl/media/image3.png">
          <a:extLst>
            <a:ext uri="{FF2B5EF4-FFF2-40B4-BE49-F238E27FC236}">
              <a16:creationId xmlns=""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681134" y="9170459"/>
          <a:ext cx="866140" cy="861271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=""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4055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BH117"/>
  <sheetViews>
    <sheetView tabSelected="1" view="pageBreakPreview" topLeftCell="E4" zoomScaleNormal="100" zoomScaleSheetLayoutView="100" workbookViewId="0">
      <selection activeCell="J28" sqref="J28"/>
    </sheetView>
  </sheetViews>
  <sheetFormatPr defaultColWidth="11.42578125" defaultRowHeight="12"/>
  <cols>
    <col min="6" max="7" width="3.7109375" customWidth="1"/>
    <col min="8" max="8" width="3.7109375" style="9" customWidth="1"/>
    <col min="9" max="14" width="3.7109375" style="8" customWidth="1"/>
    <col min="15" max="33" width="3.7109375" customWidth="1"/>
    <col min="34" max="34" width="3" customWidth="1"/>
    <col min="35" max="261" width="8.85546875" customWidth="1"/>
  </cols>
  <sheetData>
    <row r="1" spans="6:34" s="2" customFormat="1" ht="42" customHeight="1">
      <c r="F1" s="138" t="s">
        <v>0</v>
      </c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"/>
    </row>
    <row r="2" spans="6:34" s="2" customFormat="1" ht="12" customHeight="1"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8"/>
      <c r="AE2" s="118"/>
      <c r="AF2" s="118"/>
      <c r="AG2" s="118"/>
      <c r="AH2" s="1"/>
    </row>
    <row r="3" spans="6:34" s="2" customFormat="1" ht="18" customHeight="1">
      <c r="F3" s="139" t="s">
        <v>117</v>
      </c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"/>
    </row>
    <row r="4" spans="6:34" s="2" customFormat="1" ht="7.5" customHeight="1"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20"/>
      <c r="AE4" s="120"/>
      <c r="AF4" s="120"/>
      <c r="AG4" s="120"/>
      <c r="AH4" s="1"/>
    </row>
    <row r="5" spans="6:34" s="2" customFormat="1" ht="8.25" customHeight="1"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8"/>
      <c r="AE5" s="118"/>
      <c r="AF5" s="118"/>
      <c r="AG5" s="118"/>
      <c r="AH5" s="1"/>
    </row>
    <row r="6" spans="6:34" s="2" customFormat="1" ht="21.95" customHeight="1">
      <c r="F6" s="140" t="s">
        <v>1</v>
      </c>
      <c r="G6" s="140"/>
      <c r="H6" s="140"/>
      <c r="I6" s="140"/>
      <c r="J6" s="141" t="s">
        <v>15</v>
      </c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17"/>
      <c r="AG6" s="117"/>
      <c r="AH6" s="1"/>
    </row>
    <row r="7" spans="6:34" s="2" customFormat="1" ht="21.95" customHeight="1">
      <c r="F7" s="140" t="s">
        <v>2</v>
      </c>
      <c r="G7" s="140"/>
      <c r="H7" s="140"/>
      <c r="I7" s="140"/>
      <c r="J7" s="142" t="s">
        <v>9</v>
      </c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17"/>
      <c r="AG7" s="117"/>
      <c r="AH7" s="1"/>
    </row>
    <row r="8" spans="6:34" s="2" customFormat="1" ht="21.95" customHeight="1">
      <c r="F8" s="140" t="s">
        <v>3</v>
      </c>
      <c r="G8" s="140"/>
      <c r="H8" s="140"/>
      <c r="I8" s="140"/>
      <c r="J8" s="141" t="s">
        <v>10</v>
      </c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17"/>
      <c r="AG8" s="117"/>
      <c r="AH8" s="1"/>
    </row>
    <row r="9" spans="6:34" s="2" customFormat="1" ht="21.95" customHeight="1">
      <c r="F9" s="140" t="s">
        <v>4</v>
      </c>
      <c r="G9" s="140"/>
      <c r="H9" s="140"/>
      <c r="I9" s="140"/>
      <c r="J9" s="121" t="s">
        <v>5</v>
      </c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17"/>
      <c r="AG9" s="117"/>
      <c r="AH9" s="1"/>
    </row>
    <row r="10" spans="6:34" s="2" customFormat="1" ht="21.95" customHeight="1">
      <c r="F10" s="140" t="s">
        <v>6</v>
      </c>
      <c r="G10" s="140"/>
      <c r="H10" s="140"/>
      <c r="I10" s="140"/>
      <c r="J10" s="141" t="s">
        <v>134</v>
      </c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"/>
    </row>
    <row r="11" spans="6:34" s="2" customFormat="1" ht="7.5" customHeight="1"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20"/>
      <c r="AE11" s="120"/>
      <c r="AF11" s="120"/>
      <c r="AG11" s="120"/>
      <c r="AH11" s="1"/>
    </row>
    <row r="12" spans="6:34" s="2" customFormat="1" ht="13.5" customHeight="1"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8"/>
      <c r="AE12" s="118"/>
      <c r="AF12" s="118"/>
      <c r="AG12" s="118"/>
      <c r="AH12" s="1"/>
    </row>
    <row r="13" spans="6:34" s="2" customFormat="1" ht="19.5" customHeight="1">
      <c r="F13" s="135" t="s">
        <v>184</v>
      </c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"/>
    </row>
    <row r="14" spans="6:34" s="2" customFormat="1" ht="5.0999999999999996" customHeight="1"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"/>
    </row>
    <row r="15" spans="6:34" s="2" customFormat="1" ht="59.25" customHeight="1">
      <c r="F15" s="143" t="s">
        <v>185</v>
      </c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"/>
    </row>
    <row r="16" spans="6:34" s="2" customFormat="1" ht="5.0999999999999996" customHeight="1"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"/>
    </row>
    <row r="17" spans="4:60" s="10" customFormat="1" ht="33.75" customHeight="1">
      <c r="F17" s="144" t="s">
        <v>186</v>
      </c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  <c r="AD17" s="144"/>
      <c r="AE17" s="144"/>
      <c r="AF17" s="144"/>
      <c r="AG17" s="144"/>
      <c r="AH17" s="3"/>
    </row>
    <row r="18" spans="4:60" s="2" customFormat="1" ht="5.0999999999999996" customHeight="1"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"/>
    </row>
    <row r="19" spans="4:60" s="2" customFormat="1" ht="19.5" customHeight="1">
      <c r="F19" s="135" t="s">
        <v>187</v>
      </c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45"/>
      <c r="AY19" s="145"/>
      <c r="AZ19" s="145"/>
      <c r="BA19" s="145"/>
      <c r="BB19" s="145"/>
      <c r="BC19" s="145"/>
      <c r="BD19" s="145"/>
      <c r="BE19" s="145"/>
      <c r="BF19" s="145"/>
      <c r="BG19" s="145"/>
      <c r="BH19" s="145"/>
    </row>
    <row r="20" spans="4:60" s="12" customFormat="1" ht="16.5" customHeight="1">
      <c r="F20" s="117"/>
      <c r="G20" s="117"/>
      <c r="H20" s="117"/>
      <c r="I20" s="117"/>
      <c r="J20" s="147" t="s">
        <v>181</v>
      </c>
      <c r="K20" s="147"/>
      <c r="L20" s="147"/>
      <c r="M20" s="147"/>
      <c r="N20" s="147"/>
      <c r="O20" s="147"/>
      <c r="P20" s="141" t="s">
        <v>11</v>
      </c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1"/>
      <c r="AM20" s="146"/>
      <c r="AN20" s="146"/>
      <c r="AO20" s="146"/>
      <c r="AP20" s="146"/>
      <c r="AQ20" s="146"/>
      <c r="AR20" s="146"/>
      <c r="AS20" s="146"/>
      <c r="AT20" s="146"/>
      <c r="AU20" s="146"/>
      <c r="AV20" s="146"/>
      <c r="AW20" s="146"/>
      <c r="AX20" s="146"/>
      <c r="AY20" s="146"/>
      <c r="AZ20" s="146"/>
      <c r="BA20" s="146"/>
      <c r="BB20" s="146"/>
      <c r="BC20" s="146"/>
      <c r="BD20" s="146"/>
      <c r="BE20" s="146"/>
      <c r="BF20" s="146"/>
      <c r="BG20" s="146"/>
      <c r="BH20" s="146"/>
    </row>
    <row r="21" spans="4:60" s="12" customFormat="1" ht="16.5" customHeight="1">
      <c r="F21" s="117"/>
      <c r="G21" s="117"/>
      <c r="H21" s="117"/>
      <c r="I21" s="117"/>
      <c r="J21" s="147" t="s">
        <v>180</v>
      </c>
      <c r="K21" s="147"/>
      <c r="L21" s="147"/>
      <c r="M21" s="147"/>
      <c r="N21" s="147"/>
      <c r="O21" s="147"/>
      <c r="P21" s="141" t="s">
        <v>12</v>
      </c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  <c r="AD21" s="141"/>
      <c r="AE21" s="141"/>
      <c r="AF21" s="141"/>
      <c r="AG21" s="141"/>
      <c r="AH21" s="11"/>
    </row>
    <row r="22" spans="4:60" s="12" customFormat="1" ht="16.5" customHeight="1">
      <c r="F22" s="117"/>
      <c r="G22" s="117"/>
      <c r="H22" s="117"/>
      <c r="I22" s="117"/>
      <c r="J22" s="147" t="s">
        <v>179</v>
      </c>
      <c r="K22" s="147"/>
      <c r="L22" s="147"/>
      <c r="M22" s="147"/>
      <c r="N22" s="147"/>
      <c r="O22" s="147"/>
      <c r="P22" s="141" t="s">
        <v>13</v>
      </c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1"/>
    </row>
    <row r="23" spans="4:60" s="12" customFormat="1" ht="16.5" customHeight="1">
      <c r="F23" s="117"/>
      <c r="G23" s="117"/>
      <c r="H23" s="117"/>
      <c r="I23" s="117"/>
      <c r="J23" s="147" t="s">
        <v>178</v>
      </c>
      <c r="K23" s="147"/>
      <c r="L23" s="147"/>
      <c r="M23" s="147"/>
      <c r="N23" s="147"/>
      <c r="O23" s="147"/>
      <c r="P23" s="141" t="s">
        <v>14</v>
      </c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1"/>
    </row>
    <row r="24" spans="4:60" s="12" customFormat="1" ht="16.5" customHeight="1">
      <c r="F24" s="117"/>
      <c r="G24" s="117"/>
      <c r="H24" s="117"/>
      <c r="I24" s="117"/>
      <c r="J24" s="147" t="s">
        <v>177</v>
      </c>
      <c r="K24" s="147"/>
      <c r="L24" s="147"/>
      <c r="M24" s="147"/>
      <c r="N24" s="147"/>
      <c r="O24" s="147"/>
      <c r="P24" s="141" t="s">
        <v>159</v>
      </c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33"/>
      <c r="AB24" s="133"/>
      <c r="AC24" s="133"/>
      <c r="AD24" s="133"/>
      <c r="AE24" s="133"/>
      <c r="AF24" s="133"/>
      <c r="AG24" s="133"/>
      <c r="AH24" s="13"/>
    </row>
    <row r="25" spans="4:60" s="2" customFormat="1" ht="5.0999999999999996" customHeight="1"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"/>
    </row>
    <row r="26" spans="4:60" s="2" customFormat="1" ht="19.5" customHeight="1">
      <c r="F26" s="135" t="s">
        <v>188</v>
      </c>
      <c r="G26" s="135"/>
      <c r="H26" s="135"/>
      <c r="I26" s="135"/>
      <c r="J26" s="135"/>
      <c r="K26" s="135"/>
      <c r="L26" s="135"/>
      <c r="M26" s="135"/>
      <c r="N26" s="135"/>
      <c r="O26" s="135"/>
      <c r="P26" s="135" t="s">
        <v>8</v>
      </c>
      <c r="Q26" s="135"/>
      <c r="R26" s="135"/>
      <c r="S26" s="135"/>
      <c r="T26" s="135"/>
      <c r="U26" s="135"/>
      <c r="V26" s="135"/>
      <c r="W26" s="135"/>
      <c r="X26" s="135"/>
      <c r="Y26" s="122"/>
      <c r="Z26" s="122"/>
      <c r="AA26" s="122"/>
      <c r="AB26" s="122"/>
      <c r="AC26" s="122"/>
      <c r="AD26" s="122"/>
      <c r="AE26" s="122"/>
      <c r="AF26" s="122"/>
      <c r="AG26" s="117"/>
      <c r="AH26" s="1"/>
    </row>
    <row r="27" spans="4:60" s="12" customFormat="1" ht="36.950000000000003" customHeight="1">
      <c r="F27" s="117"/>
      <c r="G27" s="117"/>
      <c r="H27" s="117"/>
      <c r="I27" s="117"/>
      <c r="J27" s="144" t="s">
        <v>191</v>
      </c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1"/>
    </row>
    <row r="28" spans="4:60" s="2" customFormat="1" ht="5.0999999999999996" customHeight="1"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"/>
    </row>
    <row r="29" spans="4:60" s="12" customFormat="1" ht="19.5" customHeight="1">
      <c r="F29" s="136" t="s">
        <v>190</v>
      </c>
      <c r="G29" s="136"/>
      <c r="H29" s="136"/>
      <c r="I29" s="136"/>
      <c r="J29" s="136"/>
      <c r="K29" s="136"/>
      <c r="L29" s="136"/>
      <c r="M29" s="136"/>
      <c r="N29" s="136"/>
      <c r="O29" s="136"/>
      <c r="P29" s="137" t="str">
        <f>"일금"&amp;NUMBERSTRING(대가산출!H25,1)&amp;"원정 (₩"&amp;TEXT(대가산출!H25,"#,##0")&amp;")"</f>
        <v>일금칠십만원정 (₩700,000)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48" t="s">
        <v>63</v>
      </c>
      <c r="AD29" s="149"/>
      <c r="AE29" s="149"/>
      <c r="AF29" s="150" t="s">
        <v>16</v>
      </c>
      <c r="AG29" s="150"/>
      <c r="AH29" s="11"/>
    </row>
    <row r="30" spans="4:60" s="109" customFormat="1" ht="15.95" customHeight="1">
      <c r="D30" s="110"/>
      <c r="E30" s="110"/>
      <c r="F30" s="110"/>
      <c r="G30" s="110"/>
      <c r="H30" s="123"/>
      <c r="I30" s="110"/>
      <c r="J30" s="153"/>
      <c r="K30" s="153"/>
      <c r="L30" s="153"/>
      <c r="M30" s="153"/>
      <c r="N30" s="153"/>
      <c r="O30" s="153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24"/>
      <c r="AC30" s="151"/>
      <c r="AD30" s="152"/>
      <c r="AE30" s="152"/>
      <c r="AF30" s="124"/>
      <c r="AG30" s="110"/>
    </row>
    <row r="31" spans="4:60" s="109" customFormat="1" ht="15.95" customHeight="1">
      <c r="D31" s="110"/>
      <c r="E31" s="110"/>
      <c r="F31" s="110"/>
      <c r="G31" s="110"/>
      <c r="H31" s="123"/>
      <c r="I31" s="110"/>
      <c r="J31" s="153"/>
      <c r="K31" s="153"/>
      <c r="L31" s="153"/>
      <c r="M31" s="153"/>
      <c r="N31" s="153"/>
      <c r="O31" s="153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B31" s="124"/>
      <c r="AC31" s="151"/>
      <c r="AD31" s="152"/>
      <c r="AE31" s="152"/>
      <c r="AF31" s="124"/>
      <c r="AG31" s="110"/>
    </row>
    <row r="32" spans="4:60" s="109" customFormat="1" ht="15.95" customHeight="1">
      <c r="D32" s="110"/>
      <c r="E32" s="110"/>
      <c r="F32" s="110"/>
      <c r="G32" s="110"/>
      <c r="H32" s="123"/>
      <c r="I32" s="110"/>
      <c r="J32" s="153"/>
      <c r="K32" s="153"/>
      <c r="L32" s="153"/>
      <c r="M32" s="153"/>
      <c r="N32" s="153"/>
      <c r="O32" s="153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  <c r="AA32" s="154"/>
      <c r="AB32" s="124"/>
      <c r="AC32" s="151"/>
      <c r="AD32" s="152"/>
      <c r="AE32" s="152"/>
      <c r="AF32" s="124"/>
      <c r="AG32" s="110"/>
    </row>
    <row r="33" spans="4:37" s="109" customFormat="1" ht="15.95" customHeight="1">
      <c r="D33" s="110"/>
      <c r="E33" s="110"/>
      <c r="F33" s="110"/>
      <c r="G33" s="110"/>
      <c r="H33" s="123"/>
      <c r="I33" s="110"/>
      <c r="J33" s="153"/>
      <c r="K33" s="153"/>
      <c r="L33" s="153"/>
      <c r="M33" s="153"/>
      <c r="N33" s="153"/>
      <c r="O33" s="153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  <c r="AA33" s="154"/>
      <c r="AB33" s="124"/>
      <c r="AC33" s="151"/>
      <c r="AD33" s="152"/>
      <c r="AE33" s="152"/>
      <c r="AF33" s="124"/>
      <c r="AG33" s="110"/>
    </row>
    <row r="34" spans="4:37" s="109" customFormat="1" ht="15.95" customHeight="1">
      <c r="D34" s="110"/>
      <c r="E34" s="110"/>
      <c r="F34" s="110"/>
      <c r="G34" s="110"/>
      <c r="H34" s="123"/>
      <c r="I34" s="110"/>
      <c r="J34" s="153"/>
      <c r="K34" s="153"/>
      <c r="L34" s="153"/>
      <c r="M34" s="153"/>
      <c r="N34" s="153"/>
      <c r="O34" s="153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124"/>
      <c r="AC34" s="151"/>
      <c r="AD34" s="152"/>
      <c r="AE34" s="152"/>
      <c r="AF34" s="124"/>
      <c r="AG34" s="110"/>
    </row>
    <row r="35" spans="4:37" s="109" customFormat="1" ht="15.95" customHeight="1">
      <c r="D35" s="110"/>
      <c r="E35" s="110"/>
      <c r="F35" s="110"/>
      <c r="G35" s="110"/>
      <c r="H35" s="123"/>
      <c r="I35" s="110"/>
      <c r="J35" s="156"/>
      <c r="K35" s="156"/>
      <c r="L35" s="156"/>
      <c r="M35" s="156"/>
      <c r="N35" s="156"/>
      <c r="O35" s="156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25"/>
      <c r="AC35" s="155"/>
      <c r="AD35" s="155"/>
      <c r="AE35" s="155"/>
      <c r="AF35" s="124"/>
      <c r="AG35" s="110"/>
    </row>
    <row r="36" spans="4:37" s="2" customFormat="1" ht="5.0999999999999996" customHeight="1"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"/>
    </row>
    <row r="37" spans="4:37" s="2" customFormat="1" ht="19.5" customHeight="1">
      <c r="F37" s="135" t="s">
        <v>189</v>
      </c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17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"/>
    </row>
    <row r="38" spans="4:37" s="2" customFormat="1" ht="16.5" customHeight="1">
      <c r="F38" s="117"/>
      <c r="G38" s="117"/>
      <c r="H38" s="117"/>
      <c r="I38" s="117"/>
      <c r="J38" s="158" t="s">
        <v>137</v>
      </c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8"/>
      <c r="AH38" s="14"/>
      <c r="AI38" s="15"/>
      <c r="AJ38" s="15"/>
      <c r="AK38" s="15"/>
    </row>
    <row r="39" spans="4:37" s="2" customFormat="1" ht="16.5" customHeight="1">
      <c r="F39" s="117"/>
      <c r="G39" s="117"/>
      <c r="H39" s="117"/>
      <c r="I39" s="117"/>
      <c r="J39" s="158" t="s">
        <v>138</v>
      </c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  <c r="AA39" s="158"/>
      <c r="AB39" s="158"/>
      <c r="AC39" s="158"/>
      <c r="AD39" s="158"/>
      <c r="AE39" s="158"/>
      <c r="AF39" s="158"/>
      <c r="AG39" s="158"/>
      <c r="AH39" s="1"/>
    </row>
    <row r="40" spans="4:37" s="2" customFormat="1" ht="16.5" customHeight="1">
      <c r="F40" s="117"/>
      <c r="G40" s="117"/>
      <c r="H40" s="117"/>
      <c r="I40" s="117"/>
      <c r="J40" s="135" t="s">
        <v>136</v>
      </c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135"/>
      <c r="AG40" s="135"/>
      <c r="AH40" s="1"/>
    </row>
    <row r="41" spans="4:37" s="2" customFormat="1" ht="16.5" customHeight="1">
      <c r="F41" s="117"/>
      <c r="G41" s="117"/>
      <c r="H41" s="117"/>
      <c r="I41" s="117"/>
      <c r="J41" s="147" t="s">
        <v>135</v>
      </c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"/>
    </row>
    <row r="42" spans="4:37" s="2" customFormat="1" ht="5.0999999999999996" customHeight="1">
      <c r="F42" s="12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"/>
    </row>
    <row r="43" spans="4:37" s="2" customFormat="1" ht="19.5" customHeight="1">
      <c r="F43" s="135" t="s">
        <v>118</v>
      </c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B43" s="135"/>
      <c r="AC43" s="135"/>
      <c r="AD43" s="135"/>
      <c r="AE43" s="135"/>
      <c r="AF43" s="135"/>
      <c r="AG43" s="135"/>
      <c r="AH43" s="1"/>
    </row>
    <row r="44" spans="4:37" s="2" customFormat="1" ht="3.75" customHeight="1">
      <c r="F44" s="12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"/>
    </row>
    <row r="45" spans="4:37" s="2" customFormat="1" ht="39.75" customHeight="1">
      <c r="F45" s="157" t="s">
        <v>7</v>
      </c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  <c r="AG45" s="157"/>
      <c r="AH45" s="4"/>
    </row>
    <row r="46" spans="4:37" ht="6" customHeight="1">
      <c r="F46" s="128"/>
      <c r="G46" s="128"/>
      <c r="H46" s="129"/>
      <c r="I46" s="129"/>
      <c r="J46" s="129"/>
      <c r="K46" s="129"/>
      <c r="L46" s="129"/>
      <c r="M46" s="129"/>
      <c r="N46" s="129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17"/>
      <c r="AH46" s="2"/>
    </row>
    <row r="47" spans="4:37">
      <c r="F47" s="5"/>
      <c r="G47" s="5"/>
      <c r="H47" s="6"/>
      <c r="I47" s="6"/>
      <c r="J47" s="6"/>
      <c r="K47" s="6"/>
      <c r="L47" s="6"/>
      <c r="M47" s="6"/>
      <c r="N47" s="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4:37">
      <c r="F48" s="5"/>
      <c r="G48" s="5"/>
      <c r="H48" s="6"/>
      <c r="I48" s="6"/>
      <c r="J48" s="6"/>
      <c r="K48" s="6"/>
      <c r="L48" s="6"/>
      <c r="M48" s="6"/>
      <c r="N48" s="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  <row r="116" spans="8:14">
      <c r="H116" s="7"/>
      <c r="I116" s="7"/>
      <c r="J116" s="7"/>
      <c r="K116" s="7"/>
      <c r="L116" s="7"/>
      <c r="M116" s="7"/>
      <c r="N116" s="7"/>
    </row>
    <row r="117" spans="8:14">
      <c r="H117" s="7"/>
      <c r="I117" s="7"/>
      <c r="J117" s="7"/>
      <c r="K117" s="7"/>
      <c r="L117" s="7"/>
      <c r="M117" s="7"/>
      <c r="N117" s="7"/>
    </row>
  </sheetData>
  <mergeCells count="59">
    <mergeCell ref="F43:AG43"/>
    <mergeCell ref="F45:AG45"/>
    <mergeCell ref="F37:Q37"/>
    <mergeCell ref="J38:AG38"/>
    <mergeCell ref="J39:AG39"/>
    <mergeCell ref="J40:AG40"/>
    <mergeCell ref="J41:AG41"/>
    <mergeCell ref="AC34:AE34"/>
    <mergeCell ref="AC35:AE35"/>
    <mergeCell ref="J34:O34"/>
    <mergeCell ref="J35:O35"/>
    <mergeCell ref="P34:AA34"/>
    <mergeCell ref="P35:AA35"/>
    <mergeCell ref="AC32:AE32"/>
    <mergeCell ref="AC33:AE33"/>
    <mergeCell ref="J32:O32"/>
    <mergeCell ref="J33:O33"/>
    <mergeCell ref="P32:AA32"/>
    <mergeCell ref="P33:AA33"/>
    <mergeCell ref="AC29:AE29"/>
    <mergeCell ref="AF29:AG29"/>
    <mergeCell ref="J27:AG27"/>
    <mergeCell ref="AC30:AE30"/>
    <mergeCell ref="AC31:AE31"/>
    <mergeCell ref="J30:O30"/>
    <mergeCell ref="J31:O31"/>
    <mergeCell ref="P30:AA30"/>
    <mergeCell ref="P31:AA31"/>
    <mergeCell ref="J21:O21"/>
    <mergeCell ref="J22:O22"/>
    <mergeCell ref="J23:O23"/>
    <mergeCell ref="J24:O24"/>
    <mergeCell ref="P21:AG21"/>
    <mergeCell ref="P22:AG22"/>
    <mergeCell ref="P23:AG23"/>
    <mergeCell ref="P24:Z24"/>
    <mergeCell ref="F15:AG15"/>
    <mergeCell ref="F17:AG17"/>
    <mergeCell ref="F19:AG19"/>
    <mergeCell ref="AM19:BH19"/>
    <mergeCell ref="AM20:BH20"/>
    <mergeCell ref="J20:O20"/>
    <mergeCell ref="P20:AG20"/>
    <mergeCell ref="F26:O26"/>
    <mergeCell ref="P26:X26"/>
    <mergeCell ref="F29:O29"/>
    <mergeCell ref="P29:AB29"/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F13:AG13"/>
    <mergeCell ref="J10:AG10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7"/>
  <sheetViews>
    <sheetView view="pageBreakPreview" zoomScaleNormal="100" zoomScaleSheetLayoutView="100" workbookViewId="0">
      <selection activeCell="H9" sqref="H9"/>
    </sheetView>
  </sheetViews>
  <sheetFormatPr defaultColWidth="14.85546875" defaultRowHeight="13.5"/>
  <cols>
    <col min="1" max="1" width="11.28515625" style="82" customWidth="1"/>
    <col min="2" max="3" width="11.42578125" style="82" customWidth="1"/>
    <col min="4" max="5" width="11" style="82" customWidth="1"/>
    <col min="6" max="7" width="8.28515625" style="83" customWidth="1"/>
    <col min="8" max="8" width="13.42578125" style="82" customWidth="1"/>
    <col min="9" max="9" width="13.42578125" style="84" customWidth="1"/>
    <col min="10" max="256" width="11.28515625" style="82" customWidth="1"/>
    <col min="257" max="257" width="14.85546875" style="82" customWidth="1"/>
    <col min="258" max="16384" width="14.85546875" style="82"/>
  </cols>
  <sheetData>
    <row r="1" spans="2:9" s="16" customFormat="1" ht="39" customHeight="1">
      <c r="B1" s="159" t="s">
        <v>123</v>
      </c>
      <c r="C1" s="160"/>
      <c r="D1" s="160"/>
      <c r="E1" s="160"/>
      <c r="F1" s="160"/>
      <c r="G1" s="160"/>
      <c r="H1" s="160"/>
      <c r="I1" s="160"/>
    </row>
    <row r="2" spans="2:9" s="16" customFormat="1" ht="18" customHeight="1" thickBot="1">
      <c r="B2" s="17"/>
      <c r="C2" s="17"/>
      <c r="D2" s="17"/>
      <c r="E2" s="17"/>
      <c r="F2" s="17"/>
      <c r="G2" s="17"/>
      <c r="H2" s="161"/>
      <c r="I2" s="161"/>
    </row>
    <row r="3" spans="2:9" s="19" customFormat="1" ht="34.5" customHeight="1" thickBot="1">
      <c r="B3" s="162" t="s">
        <v>17</v>
      </c>
      <c r="C3" s="163"/>
      <c r="D3" s="166" t="str">
        <f>"일금"&amp;NUMBERSTRING(H25,1)&amp;"원정 (₩"&amp;TEXT(H25,"#,##0")&amp;") - VAT별도"</f>
        <v>일금칠십만원정 (₩700,000) - VAT별도</v>
      </c>
      <c r="E3" s="168"/>
      <c r="F3" s="168"/>
      <c r="G3" s="168"/>
      <c r="H3" s="168"/>
      <c r="I3" s="169"/>
    </row>
    <row r="4" spans="2:9" s="19" customFormat="1" ht="38.25" hidden="1" customHeight="1">
      <c r="B4" s="164" t="s">
        <v>130</v>
      </c>
      <c r="C4" s="165"/>
      <c r="D4" s="166" t="str">
        <f>"일금"&amp;NUMBERSTRING(H28,1)&amp;"원정 (₩"&amp;TEXT(H28,"#,##0")&amp;") - VAT별도"</f>
        <v>일금삼백오십만원정 (₩3,500,000) - VAT별도</v>
      </c>
      <c r="E4" s="167"/>
      <c r="F4" s="167"/>
      <c r="G4" s="167"/>
      <c r="H4" s="167"/>
      <c r="I4" s="18" t="s">
        <v>18</v>
      </c>
    </row>
    <row r="5" spans="2:9" s="19" customFormat="1" ht="38.25" hidden="1" customHeight="1">
      <c r="B5" s="170" t="s">
        <v>19</v>
      </c>
      <c r="C5" s="171"/>
      <c r="D5" s="172" t="e">
        <f>"일금 "&amp;NUMBERSTRING(H26,1)&amp;"원정"&amp;TEXT(H26,"(￦ #,##0)")&amp;" "</f>
        <v>#VALUE!</v>
      </c>
      <c r="E5" s="172"/>
      <c r="F5" s="172"/>
      <c r="G5" s="172"/>
      <c r="H5" s="172"/>
      <c r="I5" s="173"/>
    </row>
    <row r="6" spans="2:9" s="19" customFormat="1" ht="31.5" customHeight="1" thickBot="1">
      <c r="B6" s="174" t="s">
        <v>20</v>
      </c>
      <c r="C6" s="175"/>
      <c r="D6" s="175"/>
      <c r="E6" s="175"/>
      <c r="F6" s="175"/>
      <c r="G6" s="175"/>
      <c r="H6" s="175"/>
      <c r="I6" s="176"/>
    </row>
    <row r="7" spans="2:9" s="22" customFormat="1" ht="30" customHeight="1" thickBot="1">
      <c r="B7" s="177" t="s">
        <v>21</v>
      </c>
      <c r="C7" s="178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7.95" customHeight="1">
      <c r="B8" s="179" t="s">
        <v>164</v>
      </c>
      <c r="C8" s="180"/>
      <c r="D8" s="23"/>
      <c r="E8" s="23"/>
      <c r="F8" s="23"/>
      <c r="G8" s="23"/>
      <c r="H8" s="24">
        <f>INT(SUM(H9,H10,H11,H12))</f>
        <v>766056</v>
      </c>
      <c r="I8" s="134"/>
    </row>
    <row r="9" spans="2:9" s="22" customFormat="1" ht="18" customHeight="1">
      <c r="B9" s="33"/>
      <c r="C9" s="34" t="s">
        <v>171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2" customFormat="1" ht="18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2" customFormat="1" ht="18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2" customFormat="1" ht="18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2" customFormat="1" ht="27.95" customHeight="1">
      <c r="B13" s="181" t="s">
        <v>33</v>
      </c>
      <c r="C13" s="182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124</v>
      </c>
    </row>
    <row r="14" spans="2:9" s="22" customFormat="1" ht="27.95" customHeight="1">
      <c r="B14" s="181" t="s">
        <v>35</v>
      </c>
      <c r="C14" s="182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125</v>
      </c>
    </row>
    <row r="15" spans="2:9" s="22" customFormat="1" ht="27.95" customHeight="1">
      <c r="B15" s="181" t="s">
        <v>37</v>
      </c>
      <c r="C15" s="182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2" customFormat="1" ht="18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2" customFormat="1" ht="18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2" customFormat="1" ht="18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2" customFormat="1" ht="18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120</v>
      </c>
    </row>
    <row r="20" spans="2:13" s="22" customFormat="1" ht="18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119</v>
      </c>
    </row>
    <row r="21" spans="2:13" s="22" customFormat="1" ht="18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2" customFormat="1" ht="27.95" customHeight="1">
      <c r="B22" s="181" t="s">
        <v>46</v>
      </c>
      <c r="C22" s="182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2" customFormat="1" ht="27.95" customHeight="1">
      <c r="B23" s="183" t="s">
        <v>165</v>
      </c>
      <c r="C23" s="184"/>
      <c r="D23" s="185" t="s">
        <v>48</v>
      </c>
      <c r="E23" s="185"/>
      <c r="F23" s="185"/>
      <c r="G23" s="185"/>
      <c r="H23" s="72">
        <f>(SUM(H8,H13,H14,H15,H22))</f>
        <v>796056</v>
      </c>
      <c r="I23" s="73"/>
    </row>
    <row r="24" spans="2:13" s="22" customFormat="1" ht="18" customHeight="1">
      <c r="B24" s="186" t="s">
        <v>49</v>
      </c>
      <c r="C24" s="185"/>
      <c r="D24" s="185"/>
      <c r="E24" s="185"/>
      <c r="F24" s="185"/>
      <c r="G24" s="185"/>
      <c r="H24" s="72">
        <f>H23-H25</f>
        <v>96056</v>
      </c>
      <c r="I24" s="74"/>
    </row>
    <row r="25" spans="2:13" s="22" customFormat="1" ht="18" customHeight="1">
      <c r="B25" s="187" t="s">
        <v>50</v>
      </c>
      <c r="C25" s="188"/>
      <c r="D25" s="188"/>
      <c r="E25" s="188"/>
      <c r="F25" s="188"/>
      <c r="G25" s="188"/>
      <c r="H25" s="75">
        <v>700000</v>
      </c>
      <c r="I25" s="76"/>
    </row>
    <row r="26" spans="2:13" s="22" customFormat="1" ht="18" customHeight="1">
      <c r="B26" s="186" t="s">
        <v>51</v>
      </c>
      <c r="C26" s="185"/>
      <c r="D26" s="185"/>
      <c r="E26" s="185"/>
      <c r="F26" s="185"/>
      <c r="G26" s="185"/>
      <c r="H26" s="77" t="s">
        <v>52</v>
      </c>
      <c r="I26" s="74"/>
    </row>
    <row r="27" spans="2:13" s="22" customFormat="1" ht="27.95" customHeight="1">
      <c r="B27" s="189" t="s">
        <v>166</v>
      </c>
      <c r="C27" s="190"/>
      <c r="D27" s="188"/>
      <c r="E27" s="188"/>
      <c r="F27" s="188"/>
      <c r="G27" s="188"/>
      <c r="H27" s="103">
        <f>H25</f>
        <v>700000</v>
      </c>
      <c r="I27" s="104" t="s">
        <v>53</v>
      </c>
    </row>
    <row r="28" spans="2:13" s="22" customFormat="1" ht="27.95" hidden="1" customHeight="1">
      <c r="B28" s="105"/>
      <c r="C28" s="106"/>
      <c r="D28" s="107"/>
      <c r="E28" s="107"/>
      <c r="F28" s="107"/>
      <c r="G28" s="107">
        <v>5</v>
      </c>
      <c r="H28" s="103">
        <f>G28*H27</f>
        <v>3500000</v>
      </c>
      <c r="I28" s="108"/>
    </row>
    <row r="29" spans="2:13" s="22" customFormat="1" ht="15.95" customHeight="1">
      <c r="B29" s="191" t="s">
        <v>167</v>
      </c>
      <c r="C29" s="192"/>
      <c r="D29" s="111"/>
      <c r="E29" s="111"/>
      <c r="F29" s="111"/>
      <c r="G29" s="111"/>
      <c r="H29" s="112"/>
      <c r="I29" s="113"/>
    </row>
    <row r="30" spans="2:13" s="22" customFormat="1" ht="32.25" customHeight="1">
      <c r="B30" s="193" t="s">
        <v>168</v>
      </c>
      <c r="C30" s="194"/>
      <c r="D30" s="194"/>
      <c r="E30" s="194"/>
      <c r="F30" s="194"/>
      <c r="G30" s="194"/>
      <c r="H30" s="194"/>
      <c r="I30" s="195"/>
    </row>
    <row r="31" spans="2:13" s="22" customFormat="1" ht="32.1" customHeight="1">
      <c r="B31" s="193" t="s">
        <v>169</v>
      </c>
      <c r="C31" s="194"/>
      <c r="D31" s="194"/>
      <c r="E31" s="194"/>
      <c r="F31" s="194"/>
      <c r="G31" s="194"/>
      <c r="H31" s="194"/>
      <c r="I31" s="195"/>
    </row>
    <row r="32" spans="2:13" s="22" customFormat="1" ht="15.95" customHeight="1">
      <c r="B32" s="196" t="s">
        <v>170</v>
      </c>
      <c r="C32" s="197"/>
      <c r="D32" s="197"/>
      <c r="E32" s="197"/>
      <c r="F32" s="197"/>
      <c r="G32" s="197"/>
      <c r="H32" s="197"/>
      <c r="I32" s="198"/>
    </row>
    <row r="33" spans="2:9" s="79" customFormat="1" ht="23.1" customHeight="1">
      <c r="B33" s="199"/>
      <c r="C33" s="200"/>
      <c r="D33" s="205" t="s">
        <v>54</v>
      </c>
      <c r="E33" s="205"/>
      <c r="F33" s="205"/>
      <c r="G33" s="205"/>
      <c r="H33" s="205"/>
      <c r="I33" s="78"/>
    </row>
    <row r="34" spans="2:9" s="79" customFormat="1" ht="23.1" customHeight="1">
      <c r="B34" s="201"/>
      <c r="C34" s="202"/>
      <c r="D34" s="206" t="s">
        <v>55</v>
      </c>
      <c r="E34" s="206"/>
      <c r="F34" s="206"/>
      <c r="G34" s="206"/>
      <c r="H34" s="206"/>
      <c r="I34" s="80" t="s">
        <v>56</v>
      </c>
    </row>
    <row r="35" spans="2:9" s="79" customFormat="1" ht="23.1" customHeight="1">
      <c r="B35" s="201"/>
      <c r="C35" s="202"/>
      <c r="D35" s="206" t="s">
        <v>57</v>
      </c>
      <c r="E35" s="206"/>
      <c r="F35" s="206"/>
      <c r="G35" s="206"/>
      <c r="H35" s="206"/>
      <c r="I35" s="80" t="s">
        <v>58</v>
      </c>
    </row>
    <row r="36" spans="2:9" s="79" customFormat="1" ht="23.1" customHeight="1">
      <c r="B36" s="201"/>
      <c r="C36" s="202"/>
      <c r="D36" s="206" t="s">
        <v>59</v>
      </c>
      <c r="E36" s="206"/>
      <c r="F36" s="206"/>
      <c r="G36" s="206"/>
      <c r="H36" s="206"/>
      <c r="I36" s="80" t="s">
        <v>60</v>
      </c>
    </row>
    <row r="37" spans="2:9" s="79" customFormat="1" ht="23.1" customHeight="1">
      <c r="B37" s="203"/>
      <c r="C37" s="204"/>
      <c r="D37" s="207" t="s">
        <v>61</v>
      </c>
      <c r="E37" s="207"/>
      <c r="F37" s="207"/>
      <c r="G37" s="207"/>
      <c r="H37" s="207"/>
      <c r="I37" s="81" t="s">
        <v>62</v>
      </c>
    </row>
  </sheetData>
  <mergeCells count="35"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  <mergeCell ref="B26:C26"/>
    <mergeCell ref="D26:G26"/>
    <mergeCell ref="B27:C27"/>
    <mergeCell ref="D27:G27"/>
    <mergeCell ref="B29:C29"/>
    <mergeCell ref="D23:G23"/>
    <mergeCell ref="B24:C24"/>
    <mergeCell ref="D24:G24"/>
    <mergeCell ref="B25:C25"/>
    <mergeCell ref="D25:G25"/>
    <mergeCell ref="B13:C13"/>
    <mergeCell ref="B14:C14"/>
    <mergeCell ref="B15:C15"/>
    <mergeCell ref="B22:C22"/>
    <mergeCell ref="B23:C23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H4"/>
    <mergeCell ref="D3:I3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E1:X117"/>
  <sheetViews>
    <sheetView view="pageBreakPreview" topLeftCell="B34" zoomScaleNormal="100" zoomScaleSheetLayoutView="100" workbookViewId="0">
      <selection activeCell="R55" sqref="R55:X55"/>
    </sheetView>
  </sheetViews>
  <sheetFormatPr defaultColWidth="8.85546875" defaultRowHeight="13.5"/>
  <cols>
    <col min="1" max="4" width="9.140625" style="82" customWidth="1"/>
    <col min="5" max="9" width="5.140625" style="82" customWidth="1"/>
    <col min="10" max="10" width="5.140625" style="83" customWidth="1"/>
    <col min="11" max="12" width="5.140625" style="86" customWidth="1"/>
    <col min="13" max="13" width="5.140625" style="82" customWidth="1"/>
    <col min="14" max="14" width="5.140625" style="84" customWidth="1"/>
    <col min="15" max="24" width="5.140625" style="82" customWidth="1"/>
    <col min="25" max="252" width="11.28515625" style="82" customWidth="1"/>
    <col min="253" max="258" width="4.85546875" style="82" customWidth="1"/>
    <col min="259" max="259" width="7.42578125" style="82" customWidth="1"/>
    <col min="260" max="272" width="4.85546875" style="82" customWidth="1"/>
    <col min="273" max="508" width="11.28515625" style="82" customWidth="1"/>
    <col min="509" max="514" width="4.85546875" style="82" customWidth="1"/>
    <col min="515" max="515" width="7.42578125" style="82" customWidth="1"/>
    <col min="516" max="528" width="4.85546875" style="82" customWidth="1"/>
    <col min="529" max="764" width="11.28515625" style="82" customWidth="1"/>
    <col min="765" max="770" width="4.85546875" style="82" customWidth="1"/>
    <col min="771" max="771" width="7.42578125" style="82" customWidth="1"/>
    <col min="772" max="784" width="4.85546875" style="82" customWidth="1"/>
    <col min="785" max="1020" width="11.28515625" style="82" customWidth="1"/>
    <col min="1021" max="1026" width="4.85546875" style="82" customWidth="1"/>
    <col min="1027" max="1027" width="7.42578125" style="82" customWidth="1"/>
    <col min="1028" max="1040" width="4.85546875" style="82" customWidth="1"/>
    <col min="1041" max="1276" width="11.28515625" style="82" customWidth="1"/>
    <col min="1277" max="1282" width="4.85546875" style="82" customWidth="1"/>
    <col min="1283" max="1283" width="7.42578125" style="82" customWidth="1"/>
    <col min="1284" max="1296" width="4.85546875" style="82" customWidth="1"/>
    <col min="1297" max="1532" width="11.28515625" style="82" customWidth="1"/>
    <col min="1533" max="1538" width="4.85546875" style="82" customWidth="1"/>
    <col min="1539" max="1539" width="7.42578125" style="82" customWidth="1"/>
    <col min="1540" max="1552" width="4.85546875" style="82" customWidth="1"/>
    <col min="1553" max="1788" width="11.28515625" style="82" customWidth="1"/>
    <col min="1789" max="1794" width="4.85546875" style="82" customWidth="1"/>
    <col min="1795" max="1795" width="7.42578125" style="82" customWidth="1"/>
    <col min="1796" max="1808" width="4.85546875" style="82" customWidth="1"/>
    <col min="1809" max="2044" width="11.28515625" style="82" customWidth="1"/>
    <col min="2045" max="2050" width="4.85546875" style="82" customWidth="1"/>
    <col min="2051" max="2051" width="7.42578125" style="82" customWidth="1"/>
    <col min="2052" max="2064" width="4.85546875" style="82" customWidth="1"/>
    <col min="2065" max="2300" width="11.28515625" style="82" customWidth="1"/>
    <col min="2301" max="2306" width="4.85546875" style="82" customWidth="1"/>
    <col min="2307" max="2307" width="7.42578125" style="82" customWidth="1"/>
    <col min="2308" max="2320" width="4.85546875" style="82" customWidth="1"/>
    <col min="2321" max="2556" width="11.28515625" style="82" customWidth="1"/>
    <col min="2557" max="2562" width="4.85546875" style="82" customWidth="1"/>
    <col min="2563" max="2563" width="7.42578125" style="82" customWidth="1"/>
    <col min="2564" max="2576" width="4.85546875" style="82" customWidth="1"/>
    <col min="2577" max="2812" width="11.28515625" style="82" customWidth="1"/>
    <col min="2813" max="2818" width="4.85546875" style="82" customWidth="1"/>
    <col min="2819" max="2819" width="7.42578125" style="82" customWidth="1"/>
    <col min="2820" max="2832" width="4.85546875" style="82" customWidth="1"/>
    <col min="2833" max="3068" width="11.28515625" style="82" customWidth="1"/>
    <col min="3069" max="3074" width="4.85546875" style="82" customWidth="1"/>
    <col min="3075" max="3075" width="7.42578125" style="82" customWidth="1"/>
    <col min="3076" max="3088" width="4.85546875" style="82" customWidth="1"/>
    <col min="3089" max="3324" width="11.28515625" style="82" customWidth="1"/>
    <col min="3325" max="3330" width="4.85546875" style="82" customWidth="1"/>
    <col min="3331" max="3331" width="7.42578125" style="82" customWidth="1"/>
    <col min="3332" max="3344" width="4.85546875" style="82" customWidth="1"/>
    <col min="3345" max="3580" width="11.28515625" style="82" customWidth="1"/>
    <col min="3581" max="3586" width="4.85546875" style="82" customWidth="1"/>
    <col min="3587" max="3587" width="7.42578125" style="82" customWidth="1"/>
    <col min="3588" max="3600" width="4.85546875" style="82" customWidth="1"/>
    <col min="3601" max="3836" width="11.28515625" style="82" customWidth="1"/>
    <col min="3837" max="3842" width="4.85546875" style="82" customWidth="1"/>
    <col min="3843" max="3843" width="7.42578125" style="82" customWidth="1"/>
    <col min="3844" max="3856" width="4.85546875" style="82" customWidth="1"/>
    <col min="3857" max="4092" width="11.28515625" style="82" customWidth="1"/>
    <col min="4093" max="4098" width="4.85546875" style="82" customWidth="1"/>
    <col min="4099" max="4099" width="7.42578125" style="82" customWidth="1"/>
    <col min="4100" max="4112" width="4.85546875" style="82" customWidth="1"/>
    <col min="4113" max="4348" width="11.28515625" style="82" customWidth="1"/>
    <col min="4349" max="4354" width="4.85546875" style="82" customWidth="1"/>
    <col min="4355" max="4355" width="7.42578125" style="82" customWidth="1"/>
    <col min="4356" max="4368" width="4.85546875" style="82" customWidth="1"/>
    <col min="4369" max="4604" width="11.28515625" style="82" customWidth="1"/>
    <col min="4605" max="4610" width="4.85546875" style="82" customWidth="1"/>
    <col min="4611" max="4611" width="7.42578125" style="82" customWidth="1"/>
    <col min="4612" max="4624" width="4.85546875" style="82" customWidth="1"/>
    <col min="4625" max="4860" width="11.28515625" style="82" customWidth="1"/>
    <col min="4861" max="4866" width="4.85546875" style="82" customWidth="1"/>
    <col min="4867" max="4867" width="7.42578125" style="82" customWidth="1"/>
    <col min="4868" max="4880" width="4.85546875" style="82" customWidth="1"/>
    <col min="4881" max="5116" width="11.28515625" style="82" customWidth="1"/>
    <col min="5117" max="5122" width="4.85546875" style="82" customWidth="1"/>
    <col min="5123" max="5123" width="7.42578125" style="82" customWidth="1"/>
    <col min="5124" max="5136" width="4.85546875" style="82" customWidth="1"/>
    <col min="5137" max="5372" width="11.28515625" style="82" customWidth="1"/>
    <col min="5373" max="5378" width="4.85546875" style="82" customWidth="1"/>
    <col min="5379" max="5379" width="7.42578125" style="82" customWidth="1"/>
    <col min="5380" max="5392" width="4.85546875" style="82" customWidth="1"/>
    <col min="5393" max="5628" width="11.28515625" style="82" customWidth="1"/>
    <col min="5629" max="5634" width="4.85546875" style="82" customWidth="1"/>
    <col min="5635" max="5635" width="7.42578125" style="82" customWidth="1"/>
    <col min="5636" max="5648" width="4.85546875" style="82" customWidth="1"/>
    <col min="5649" max="5884" width="11.28515625" style="82" customWidth="1"/>
    <col min="5885" max="5890" width="4.85546875" style="82" customWidth="1"/>
    <col min="5891" max="5891" width="7.42578125" style="82" customWidth="1"/>
    <col min="5892" max="5904" width="4.85546875" style="82" customWidth="1"/>
    <col min="5905" max="6140" width="11.28515625" style="82" customWidth="1"/>
    <col min="6141" max="6146" width="4.85546875" style="82" customWidth="1"/>
    <col min="6147" max="6147" width="7.42578125" style="82" customWidth="1"/>
    <col min="6148" max="6160" width="4.85546875" style="82" customWidth="1"/>
    <col min="6161" max="6396" width="11.28515625" style="82" customWidth="1"/>
    <col min="6397" max="6402" width="4.85546875" style="82" customWidth="1"/>
    <col min="6403" max="6403" width="7.42578125" style="82" customWidth="1"/>
    <col min="6404" max="6416" width="4.85546875" style="82" customWidth="1"/>
    <col min="6417" max="6652" width="11.28515625" style="82" customWidth="1"/>
    <col min="6653" max="6658" width="4.85546875" style="82" customWidth="1"/>
    <col min="6659" max="6659" width="7.42578125" style="82" customWidth="1"/>
    <col min="6660" max="6672" width="4.85546875" style="82" customWidth="1"/>
    <col min="6673" max="6908" width="11.28515625" style="82" customWidth="1"/>
    <col min="6909" max="6914" width="4.85546875" style="82" customWidth="1"/>
    <col min="6915" max="6915" width="7.42578125" style="82" customWidth="1"/>
    <col min="6916" max="6928" width="4.85546875" style="82" customWidth="1"/>
    <col min="6929" max="7164" width="11.28515625" style="82" customWidth="1"/>
    <col min="7165" max="7170" width="4.85546875" style="82" customWidth="1"/>
    <col min="7171" max="7171" width="7.42578125" style="82" customWidth="1"/>
    <col min="7172" max="7184" width="4.85546875" style="82" customWidth="1"/>
    <col min="7185" max="7420" width="11.28515625" style="82" customWidth="1"/>
    <col min="7421" max="7426" width="4.85546875" style="82" customWidth="1"/>
    <col min="7427" max="7427" width="7.42578125" style="82" customWidth="1"/>
    <col min="7428" max="7440" width="4.85546875" style="82" customWidth="1"/>
    <col min="7441" max="7676" width="11.28515625" style="82" customWidth="1"/>
    <col min="7677" max="7682" width="4.85546875" style="82" customWidth="1"/>
    <col min="7683" max="7683" width="7.42578125" style="82" customWidth="1"/>
    <col min="7684" max="7696" width="4.85546875" style="82" customWidth="1"/>
    <col min="7697" max="7932" width="11.28515625" style="82" customWidth="1"/>
    <col min="7933" max="7938" width="4.85546875" style="82" customWidth="1"/>
    <col min="7939" max="7939" width="7.42578125" style="82" customWidth="1"/>
    <col min="7940" max="7952" width="4.85546875" style="82" customWidth="1"/>
    <col min="7953" max="8188" width="11.28515625" style="82" customWidth="1"/>
    <col min="8189" max="8194" width="4.85546875" style="82" customWidth="1"/>
    <col min="8195" max="8195" width="7.42578125" style="82" customWidth="1"/>
    <col min="8196" max="8208" width="4.85546875" style="82" customWidth="1"/>
    <col min="8209" max="8444" width="11.28515625" style="82" customWidth="1"/>
    <col min="8445" max="8450" width="4.85546875" style="82" customWidth="1"/>
    <col min="8451" max="8451" width="7.42578125" style="82" customWidth="1"/>
    <col min="8452" max="8464" width="4.85546875" style="82" customWidth="1"/>
    <col min="8465" max="8700" width="11.28515625" style="82" customWidth="1"/>
    <col min="8701" max="8706" width="4.85546875" style="82" customWidth="1"/>
    <col min="8707" max="8707" width="7.42578125" style="82" customWidth="1"/>
    <col min="8708" max="8720" width="4.85546875" style="82" customWidth="1"/>
    <col min="8721" max="8956" width="11.28515625" style="82" customWidth="1"/>
    <col min="8957" max="8962" width="4.85546875" style="82" customWidth="1"/>
    <col min="8963" max="8963" width="7.42578125" style="82" customWidth="1"/>
    <col min="8964" max="8976" width="4.85546875" style="82" customWidth="1"/>
    <col min="8977" max="9212" width="11.28515625" style="82" customWidth="1"/>
    <col min="9213" max="9218" width="4.85546875" style="82" customWidth="1"/>
    <col min="9219" max="9219" width="7.42578125" style="82" customWidth="1"/>
    <col min="9220" max="9232" width="4.85546875" style="82" customWidth="1"/>
    <col min="9233" max="9468" width="11.28515625" style="82" customWidth="1"/>
    <col min="9469" max="9474" width="4.85546875" style="82" customWidth="1"/>
    <col min="9475" max="9475" width="7.42578125" style="82" customWidth="1"/>
    <col min="9476" max="9488" width="4.85546875" style="82" customWidth="1"/>
    <col min="9489" max="9724" width="11.28515625" style="82" customWidth="1"/>
    <col min="9725" max="9730" width="4.85546875" style="82" customWidth="1"/>
    <col min="9731" max="9731" width="7.42578125" style="82" customWidth="1"/>
    <col min="9732" max="9744" width="4.85546875" style="82" customWidth="1"/>
    <col min="9745" max="9980" width="11.28515625" style="82" customWidth="1"/>
    <col min="9981" max="9986" width="4.85546875" style="82" customWidth="1"/>
    <col min="9987" max="9987" width="7.42578125" style="82" customWidth="1"/>
    <col min="9988" max="10000" width="4.85546875" style="82" customWidth="1"/>
    <col min="10001" max="10236" width="11.28515625" style="82" customWidth="1"/>
    <col min="10237" max="10242" width="4.85546875" style="82" customWidth="1"/>
    <col min="10243" max="10243" width="7.42578125" style="82" customWidth="1"/>
    <col min="10244" max="10256" width="4.85546875" style="82" customWidth="1"/>
    <col min="10257" max="10492" width="11.28515625" style="82" customWidth="1"/>
    <col min="10493" max="10498" width="4.85546875" style="82" customWidth="1"/>
    <col min="10499" max="10499" width="7.42578125" style="82" customWidth="1"/>
    <col min="10500" max="10512" width="4.85546875" style="82" customWidth="1"/>
    <col min="10513" max="10748" width="11.28515625" style="82" customWidth="1"/>
    <col min="10749" max="10754" width="4.85546875" style="82" customWidth="1"/>
    <col min="10755" max="10755" width="7.42578125" style="82" customWidth="1"/>
    <col min="10756" max="10768" width="4.85546875" style="82" customWidth="1"/>
    <col min="10769" max="11004" width="11.28515625" style="82" customWidth="1"/>
    <col min="11005" max="11010" width="4.85546875" style="82" customWidth="1"/>
    <col min="11011" max="11011" width="7.42578125" style="82" customWidth="1"/>
    <col min="11012" max="11024" width="4.85546875" style="82" customWidth="1"/>
    <col min="11025" max="11260" width="11.28515625" style="82" customWidth="1"/>
    <col min="11261" max="11266" width="4.85546875" style="82" customWidth="1"/>
    <col min="11267" max="11267" width="7.42578125" style="82" customWidth="1"/>
    <col min="11268" max="11280" width="4.85546875" style="82" customWidth="1"/>
    <col min="11281" max="11516" width="11.28515625" style="82" customWidth="1"/>
    <col min="11517" max="11522" width="4.85546875" style="82" customWidth="1"/>
    <col min="11523" max="11523" width="7.42578125" style="82" customWidth="1"/>
    <col min="11524" max="11536" width="4.85546875" style="82" customWidth="1"/>
    <col min="11537" max="11772" width="11.28515625" style="82" customWidth="1"/>
    <col min="11773" max="11778" width="4.85546875" style="82" customWidth="1"/>
    <col min="11779" max="11779" width="7.42578125" style="82" customWidth="1"/>
    <col min="11780" max="11792" width="4.85546875" style="82" customWidth="1"/>
    <col min="11793" max="12028" width="11.28515625" style="82" customWidth="1"/>
    <col min="12029" max="12034" width="4.85546875" style="82" customWidth="1"/>
    <col min="12035" max="12035" width="7.42578125" style="82" customWidth="1"/>
    <col min="12036" max="12048" width="4.85546875" style="82" customWidth="1"/>
    <col min="12049" max="12284" width="11.28515625" style="82" customWidth="1"/>
    <col min="12285" max="12290" width="4.85546875" style="82" customWidth="1"/>
    <col min="12291" max="12291" width="7.42578125" style="82" customWidth="1"/>
    <col min="12292" max="12304" width="4.85546875" style="82" customWidth="1"/>
    <col min="12305" max="12540" width="11.28515625" style="82" customWidth="1"/>
    <col min="12541" max="12546" width="4.85546875" style="82" customWidth="1"/>
    <col min="12547" max="12547" width="7.42578125" style="82" customWidth="1"/>
    <col min="12548" max="12560" width="4.85546875" style="82" customWidth="1"/>
    <col min="12561" max="12796" width="11.28515625" style="82" customWidth="1"/>
    <col min="12797" max="12802" width="4.85546875" style="82" customWidth="1"/>
    <col min="12803" max="12803" width="7.42578125" style="82" customWidth="1"/>
    <col min="12804" max="12816" width="4.85546875" style="82" customWidth="1"/>
    <col min="12817" max="13052" width="11.28515625" style="82" customWidth="1"/>
    <col min="13053" max="13058" width="4.85546875" style="82" customWidth="1"/>
    <col min="13059" max="13059" width="7.42578125" style="82" customWidth="1"/>
    <col min="13060" max="13072" width="4.85546875" style="82" customWidth="1"/>
    <col min="13073" max="13308" width="11.28515625" style="82" customWidth="1"/>
    <col min="13309" max="13314" width="4.85546875" style="82" customWidth="1"/>
    <col min="13315" max="13315" width="7.42578125" style="82" customWidth="1"/>
    <col min="13316" max="13328" width="4.85546875" style="82" customWidth="1"/>
    <col min="13329" max="13564" width="11.28515625" style="82" customWidth="1"/>
    <col min="13565" max="13570" width="4.85546875" style="82" customWidth="1"/>
    <col min="13571" max="13571" width="7.42578125" style="82" customWidth="1"/>
    <col min="13572" max="13584" width="4.85546875" style="82" customWidth="1"/>
    <col min="13585" max="13820" width="11.28515625" style="82" customWidth="1"/>
    <col min="13821" max="13826" width="4.85546875" style="82" customWidth="1"/>
    <col min="13827" max="13827" width="7.42578125" style="82" customWidth="1"/>
    <col min="13828" max="13840" width="4.85546875" style="82" customWidth="1"/>
    <col min="13841" max="14076" width="11.28515625" style="82" customWidth="1"/>
    <col min="14077" max="14082" width="4.85546875" style="82" customWidth="1"/>
    <col min="14083" max="14083" width="7.42578125" style="82" customWidth="1"/>
    <col min="14084" max="14096" width="4.85546875" style="82" customWidth="1"/>
    <col min="14097" max="14332" width="11.28515625" style="82" customWidth="1"/>
    <col min="14333" max="14338" width="4.85546875" style="82" customWidth="1"/>
    <col min="14339" max="14339" width="7.42578125" style="82" customWidth="1"/>
    <col min="14340" max="14352" width="4.85546875" style="82" customWidth="1"/>
    <col min="14353" max="14588" width="11.28515625" style="82" customWidth="1"/>
    <col min="14589" max="14594" width="4.85546875" style="82" customWidth="1"/>
    <col min="14595" max="14595" width="7.42578125" style="82" customWidth="1"/>
    <col min="14596" max="14608" width="4.85546875" style="82" customWidth="1"/>
    <col min="14609" max="14844" width="11.28515625" style="82" customWidth="1"/>
    <col min="14845" max="14850" width="4.85546875" style="82" customWidth="1"/>
    <col min="14851" max="14851" width="7.42578125" style="82" customWidth="1"/>
    <col min="14852" max="14864" width="4.85546875" style="82" customWidth="1"/>
    <col min="14865" max="15100" width="11.28515625" style="82" customWidth="1"/>
    <col min="15101" max="15106" width="4.85546875" style="82" customWidth="1"/>
    <col min="15107" max="15107" width="7.42578125" style="82" customWidth="1"/>
    <col min="15108" max="15120" width="4.85546875" style="82" customWidth="1"/>
    <col min="15121" max="15356" width="11.28515625" style="82" customWidth="1"/>
    <col min="15357" max="15362" width="4.85546875" style="82" customWidth="1"/>
    <col min="15363" max="15363" width="7.42578125" style="82" customWidth="1"/>
    <col min="15364" max="15376" width="4.85546875" style="82" customWidth="1"/>
    <col min="15377" max="15612" width="11.28515625" style="82" customWidth="1"/>
    <col min="15613" max="15618" width="4.85546875" style="82" customWidth="1"/>
    <col min="15619" max="15619" width="7.42578125" style="82" customWidth="1"/>
    <col min="15620" max="15632" width="4.85546875" style="82" customWidth="1"/>
    <col min="15633" max="15868" width="11.28515625" style="82" customWidth="1"/>
    <col min="15869" max="15874" width="4.85546875" style="82" customWidth="1"/>
    <col min="15875" max="15875" width="7.42578125" style="82" customWidth="1"/>
    <col min="15876" max="15888" width="4.85546875" style="82" customWidth="1"/>
    <col min="15889" max="16124" width="11.28515625" style="82" customWidth="1"/>
    <col min="16125" max="16130" width="4.85546875" style="82" customWidth="1"/>
    <col min="16131" max="16131" width="7.42578125" style="82" customWidth="1"/>
    <col min="16132" max="16144" width="4.85546875" style="82" customWidth="1"/>
    <col min="16145" max="16384" width="9.140625" style="82" customWidth="1"/>
  </cols>
  <sheetData>
    <row r="1" spans="5:24">
      <c r="E1" s="85"/>
      <c r="F1" s="85"/>
    </row>
    <row r="2" spans="5:24">
      <c r="E2" s="85"/>
      <c r="F2" s="85"/>
    </row>
    <row r="3" spans="5:24">
      <c r="E3" s="85"/>
      <c r="F3" s="85"/>
    </row>
    <row r="4" spans="5:24">
      <c r="E4" s="85"/>
      <c r="F4" s="85"/>
    </row>
    <row r="5" spans="5:24">
      <c r="E5" s="85"/>
      <c r="F5" s="85"/>
    </row>
    <row r="6" spans="5:24">
      <c r="E6" s="85"/>
      <c r="F6" s="85"/>
    </row>
    <row r="7" spans="5:24" ht="3.95" customHeight="1">
      <c r="E7" s="269" t="s">
        <v>64</v>
      </c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270"/>
      <c r="T7" s="270"/>
      <c r="U7" s="270"/>
      <c r="V7" s="270"/>
      <c r="W7" s="270"/>
      <c r="X7" s="270"/>
    </row>
    <row r="8" spans="5:24" ht="66" customHeight="1">
      <c r="E8" s="271" t="s">
        <v>98</v>
      </c>
      <c r="F8" s="271"/>
      <c r="G8" s="271"/>
      <c r="H8" s="271"/>
      <c r="I8" s="271"/>
      <c r="J8" s="271"/>
      <c r="K8" s="271"/>
      <c r="L8" s="271"/>
      <c r="M8" s="271"/>
      <c r="N8" s="271"/>
      <c r="O8" s="271"/>
      <c r="P8" s="271"/>
      <c r="Q8" s="271"/>
      <c r="R8" s="271"/>
      <c r="S8" s="271"/>
      <c r="T8" s="271"/>
      <c r="U8" s="271"/>
      <c r="V8" s="271"/>
      <c r="W8" s="271"/>
      <c r="X8" s="271"/>
    </row>
    <row r="9" spans="5:24" ht="44.1" customHeight="1">
      <c r="E9" s="272" t="str">
        <f>갑지!P20</f>
        <v>래미안길음뉴타운9단지아파트</v>
      </c>
      <c r="F9" s="272"/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2"/>
      <c r="R9" s="272"/>
      <c r="S9" s="272"/>
      <c r="T9" s="272"/>
      <c r="U9" s="272"/>
      <c r="V9" s="272"/>
      <c r="W9" s="272"/>
      <c r="X9" s="272"/>
    </row>
    <row r="10" spans="5:24" ht="3.95" customHeight="1">
      <c r="E10" s="273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274"/>
      <c r="R10" s="274"/>
      <c r="S10" s="274"/>
      <c r="T10" s="274"/>
      <c r="U10" s="274"/>
      <c r="V10" s="274"/>
      <c r="W10" s="274"/>
      <c r="X10" s="274"/>
    </row>
    <row r="11" spans="5:24" ht="39.950000000000003" customHeight="1">
      <c r="E11" s="87"/>
      <c r="F11" s="87"/>
    </row>
    <row r="12" spans="5:24" ht="39.950000000000003" customHeight="1">
      <c r="E12" s="87"/>
      <c r="F12" s="87"/>
    </row>
    <row r="13" spans="5:24" ht="39.950000000000003" customHeight="1">
      <c r="E13" s="87"/>
      <c r="F13" s="87"/>
    </row>
    <row r="14" spans="5:24" ht="39.950000000000003" customHeight="1">
      <c r="E14" s="87"/>
      <c r="F14" s="87"/>
    </row>
    <row r="15" spans="5:24" ht="39.950000000000003" customHeight="1">
      <c r="E15" s="87"/>
      <c r="F15" s="87"/>
    </row>
    <row r="16" spans="5:24" ht="22.5">
      <c r="E16" s="275" t="str">
        <f>갑지!J10</f>
        <v>2026년 연간/2027년 연간/2028년 하반기</v>
      </c>
      <c r="F16" s="275"/>
      <c r="G16" s="275"/>
      <c r="H16" s="275"/>
      <c r="I16" s="275"/>
      <c r="J16" s="275"/>
      <c r="K16" s="275"/>
      <c r="L16" s="275"/>
      <c r="M16" s="275"/>
      <c r="N16" s="275"/>
      <c r="O16" s="275"/>
      <c r="P16" s="275"/>
      <c r="Q16" s="275"/>
      <c r="R16" s="275"/>
      <c r="S16" s="275"/>
      <c r="T16" s="275"/>
      <c r="U16" s="275"/>
      <c r="V16" s="275"/>
      <c r="W16" s="275"/>
      <c r="X16" s="275"/>
    </row>
    <row r="17" spans="5:24" ht="39.950000000000003" customHeight="1">
      <c r="E17" s="87"/>
      <c r="F17" s="87"/>
    </row>
    <row r="18" spans="5:24" ht="39.950000000000003" customHeight="1">
      <c r="E18" s="87"/>
      <c r="F18" s="87"/>
    </row>
    <row r="19" spans="5:24" ht="39.950000000000003" customHeight="1">
      <c r="E19" s="87"/>
      <c r="F19" s="87"/>
    </row>
    <row r="20" spans="5:24" ht="39.950000000000003" customHeight="1">
      <c r="E20" s="87"/>
      <c r="F20" s="87"/>
    </row>
    <row r="21" spans="5:24" ht="39.950000000000003" customHeight="1">
      <c r="E21" s="85"/>
      <c r="F21" s="85"/>
    </row>
    <row r="22" spans="5:24" ht="53.25" customHeight="1">
      <c r="G22" s="88"/>
      <c r="H22" s="88"/>
      <c r="L22" s="276" t="s">
        <v>65</v>
      </c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</row>
    <row r="23" spans="5:24" ht="24" customHeight="1">
      <c r="G23" s="89"/>
      <c r="H23" s="89"/>
      <c r="I23" s="89"/>
      <c r="L23" s="208" t="s">
        <v>66</v>
      </c>
      <c r="M23" s="208"/>
      <c r="N23" s="208"/>
      <c r="O23" s="208"/>
      <c r="P23" s="208"/>
      <c r="Q23" s="208"/>
      <c r="R23" s="208"/>
      <c r="S23" s="208"/>
      <c r="T23" s="208"/>
      <c r="U23" s="208"/>
      <c r="V23" s="208"/>
      <c r="W23" s="208"/>
      <c r="X23" s="208"/>
    </row>
    <row r="24" spans="5:24" ht="24" customHeight="1">
      <c r="G24" s="89"/>
      <c r="H24" s="89"/>
      <c r="I24" s="89"/>
      <c r="L24" s="208" t="s">
        <v>67</v>
      </c>
      <c r="M24" s="208"/>
      <c r="N24" s="208"/>
      <c r="O24" s="208"/>
      <c r="P24" s="208"/>
      <c r="Q24" s="208"/>
      <c r="R24" s="208"/>
      <c r="S24" s="208"/>
      <c r="T24" s="208"/>
      <c r="U24" s="208"/>
      <c r="V24" s="208"/>
      <c r="W24" s="208"/>
      <c r="X24" s="208"/>
    </row>
    <row r="25" spans="5:24" ht="24" customHeight="1">
      <c r="G25" s="89"/>
      <c r="H25" s="89"/>
      <c r="I25" s="89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5:24" ht="24" customHeight="1">
      <c r="G26" s="89"/>
      <c r="H26" s="89"/>
      <c r="I26" s="89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5:24" ht="43.5" customHeight="1">
      <c r="E27" s="277" t="s">
        <v>114</v>
      </c>
      <c r="F27" s="278"/>
      <c r="G27" s="278"/>
      <c r="H27" s="278"/>
      <c r="I27" s="278"/>
      <c r="J27" s="278"/>
      <c r="K27" s="278"/>
      <c r="L27" s="278"/>
      <c r="M27" s="278"/>
      <c r="N27" s="278"/>
      <c r="O27" s="278"/>
      <c r="P27" s="278"/>
      <c r="Q27" s="278"/>
      <c r="R27" s="278"/>
      <c r="S27" s="278"/>
      <c r="T27" s="278"/>
      <c r="U27" s="278"/>
      <c r="V27" s="278"/>
      <c r="W27" s="278"/>
      <c r="X27" s="279"/>
    </row>
    <row r="28" spans="5:24" ht="24.95" customHeight="1">
      <c r="E28" s="258" t="s">
        <v>68</v>
      </c>
      <c r="F28" s="259"/>
      <c r="G28" s="262" t="s">
        <v>69</v>
      </c>
      <c r="H28" s="262"/>
      <c r="I28" s="262"/>
      <c r="J28" s="263" t="str">
        <f>E9</f>
        <v>래미안길음뉴타운9단지아파트</v>
      </c>
      <c r="K28" s="263"/>
      <c r="L28" s="263"/>
      <c r="M28" s="263"/>
      <c r="N28" s="263"/>
      <c r="O28" s="263"/>
      <c r="P28" s="263"/>
      <c r="Q28" s="263"/>
      <c r="R28" s="263"/>
      <c r="S28" s="263"/>
      <c r="T28" s="263"/>
      <c r="U28" s="263"/>
      <c r="V28" s="263"/>
      <c r="W28" s="263"/>
      <c r="X28" s="264"/>
    </row>
    <row r="29" spans="5:24" ht="24.95" customHeight="1">
      <c r="E29" s="260"/>
      <c r="F29" s="261"/>
      <c r="G29" s="234" t="s">
        <v>70</v>
      </c>
      <c r="H29" s="234"/>
      <c r="I29" s="234"/>
      <c r="J29" s="265" t="s">
        <v>154</v>
      </c>
      <c r="K29" s="265"/>
      <c r="L29" s="265"/>
      <c r="M29" s="265"/>
      <c r="N29" s="265"/>
      <c r="O29" s="265"/>
      <c r="P29" s="265"/>
      <c r="Q29" s="265"/>
      <c r="R29" s="265"/>
      <c r="S29" s="265"/>
      <c r="T29" s="265"/>
      <c r="U29" s="265"/>
      <c r="V29" s="265"/>
      <c r="W29" s="265"/>
      <c r="X29" s="266"/>
    </row>
    <row r="30" spans="5:24" ht="24.95" customHeight="1">
      <c r="E30" s="260"/>
      <c r="F30" s="261"/>
      <c r="G30" s="234"/>
      <c r="H30" s="234"/>
      <c r="I30" s="234"/>
      <c r="J30" s="265" t="s">
        <v>158</v>
      </c>
      <c r="K30" s="265"/>
      <c r="L30" s="265"/>
      <c r="M30" s="265"/>
      <c r="N30" s="265"/>
      <c r="O30" s="265"/>
      <c r="P30" s="265"/>
      <c r="Q30" s="265"/>
      <c r="R30" s="265"/>
      <c r="S30" s="265"/>
      <c r="T30" s="265"/>
      <c r="U30" s="265"/>
      <c r="V30" s="265"/>
      <c r="W30" s="265"/>
      <c r="X30" s="266"/>
    </row>
    <row r="31" spans="5:24" ht="24.95" customHeight="1">
      <c r="E31" s="260"/>
      <c r="F31" s="261"/>
      <c r="G31" s="234"/>
      <c r="H31" s="234"/>
      <c r="I31" s="234"/>
      <c r="J31" s="265" t="s">
        <v>157</v>
      </c>
      <c r="K31" s="265"/>
      <c r="L31" s="265"/>
      <c r="M31" s="265"/>
      <c r="N31" s="265"/>
      <c r="O31" s="265"/>
      <c r="P31" s="265"/>
      <c r="Q31" s="265"/>
      <c r="R31" s="265"/>
      <c r="S31" s="265"/>
      <c r="T31" s="265"/>
      <c r="U31" s="265"/>
      <c r="V31" s="265"/>
      <c r="W31" s="265"/>
      <c r="X31" s="266"/>
    </row>
    <row r="32" spans="5:24" ht="24.95" customHeight="1">
      <c r="E32" s="260"/>
      <c r="F32" s="261"/>
      <c r="G32" s="234"/>
      <c r="H32" s="234"/>
      <c r="I32" s="234"/>
      <c r="J32" s="265" t="s">
        <v>155</v>
      </c>
      <c r="K32" s="265"/>
      <c r="L32" s="265"/>
      <c r="M32" s="265"/>
      <c r="N32" s="265"/>
      <c r="O32" s="265"/>
      <c r="P32" s="265"/>
      <c r="Q32" s="265"/>
      <c r="R32" s="265"/>
      <c r="S32" s="265"/>
      <c r="T32" s="265"/>
      <c r="U32" s="265"/>
      <c r="V32" s="265"/>
      <c r="W32" s="265"/>
      <c r="X32" s="266"/>
    </row>
    <row r="33" spans="5:24" ht="24.95" customHeight="1">
      <c r="E33" s="260"/>
      <c r="F33" s="261"/>
      <c r="G33" s="234"/>
      <c r="H33" s="234"/>
      <c r="I33" s="234"/>
      <c r="J33" s="267" t="s">
        <v>156</v>
      </c>
      <c r="K33" s="267"/>
      <c r="L33" s="267"/>
      <c r="M33" s="267"/>
      <c r="N33" s="267"/>
      <c r="O33" s="267"/>
      <c r="P33" s="267"/>
      <c r="Q33" s="267"/>
      <c r="R33" s="267"/>
      <c r="S33" s="267"/>
      <c r="T33" s="267"/>
      <c r="U33" s="267"/>
      <c r="V33" s="267"/>
      <c r="W33" s="267"/>
      <c r="X33" s="268"/>
    </row>
    <row r="34" spans="5:24" ht="24.95" customHeight="1">
      <c r="E34" s="227" t="s">
        <v>71</v>
      </c>
      <c r="F34" s="228"/>
      <c r="G34" s="233" t="s">
        <v>72</v>
      </c>
      <c r="H34" s="233"/>
      <c r="I34" s="233"/>
      <c r="J34" s="247" t="str">
        <f>J28&amp;" 점검프로그램 사용"</f>
        <v>래미안길음뉴타운9단지아파트 점검프로그램 사용</v>
      </c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248"/>
      <c r="W34" s="248"/>
      <c r="X34" s="249"/>
    </row>
    <row r="35" spans="5:24" ht="24.95" customHeight="1">
      <c r="E35" s="229"/>
      <c r="F35" s="230"/>
      <c r="G35" s="234" t="s">
        <v>73</v>
      </c>
      <c r="H35" s="234"/>
      <c r="I35" s="234"/>
      <c r="J35" s="253" t="str">
        <f>대가산출!D4</f>
        <v>일금삼백오십만원정 (₩3,500,000) - VAT별도</v>
      </c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5"/>
    </row>
    <row r="36" spans="5:24" ht="24.95" customHeight="1">
      <c r="E36" s="229"/>
      <c r="F36" s="230"/>
      <c r="G36" s="234" t="s">
        <v>74</v>
      </c>
      <c r="H36" s="234"/>
      <c r="I36" s="234"/>
      <c r="J36" s="256" t="str">
        <f>J35</f>
        <v>일금삼백오십만원정 (₩3,500,000) - VAT별도</v>
      </c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7"/>
    </row>
    <row r="37" spans="5:24" ht="24.95" customHeight="1">
      <c r="E37" s="229"/>
      <c r="F37" s="230"/>
      <c r="G37" s="234" t="s">
        <v>75</v>
      </c>
      <c r="H37" s="234"/>
      <c r="I37" s="234"/>
      <c r="J37" s="280" t="s">
        <v>122</v>
      </c>
      <c r="K37" s="280"/>
      <c r="L37" s="280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280"/>
      <c r="X37" s="281"/>
    </row>
    <row r="38" spans="5:24" ht="24.95" customHeight="1">
      <c r="E38" s="229"/>
      <c r="F38" s="230"/>
      <c r="G38" s="234" t="s">
        <v>76</v>
      </c>
      <c r="H38" s="234"/>
      <c r="I38" s="234"/>
      <c r="J38" s="280" t="s">
        <v>77</v>
      </c>
      <c r="K38" s="280"/>
      <c r="L38" s="280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280"/>
      <c r="X38" s="281"/>
    </row>
    <row r="39" spans="5:24" ht="24.95" customHeight="1">
      <c r="E39" s="229"/>
      <c r="F39" s="230"/>
      <c r="G39" s="234" t="s">
        <v>78</v>
      </c>
      <c r="H39" s="234"/>
      <c r="I39" s="234"/>
      <c r="J39" s="280" t="str">
        <f>갑지!P21</f>
        <v>서울 성북구 길음로9길 50 (길음동)</v>
      </c>
      <c r="K39" s="280"/>
      <c r="L39" s="280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280"/>
      <c r="X39" s="281"/>
    </row>
    <row r="40" spans="5:24" ht="24.95" customHeight="1">
      <c r="E40" s="229"/>
      <c r="F40" s="230"/>
      <c r="G40" s="234"/>
      <c r="H40" s="234"/>
      <c r="I40" s="234"/>
      <c r="J40" s="282" t="s">
        <v>79</v>
      </c>
      <c r="K40" s="283"/>
      <c r="L40" s="283" t="s">
        <v>160</v>
      </c>
      <c r="M40" s="283"/>
      <c r="N40" s="283"/>
      <c r="O40" s="283"/>
      <c r="P40" s="283"/>
      <c r="Q40" s="132" t="s">
        <v>161</v>
      </c>
      <c r="R40" s="283" t="s">
        <v>80</v>
      </c>
      <c r="S40" s="283"/>
      <c r="T40" s="283" t="s">
        <v>160</v>
      </c>
      <c r="U40" s="283"/>
      <c r="V40" s="283"/>
      <c r="W40" s="283"/>
      <c r="X40" s="284"/>
    </row>
    <row r="41" spans="5:24" ht="24.95" customHeight="1">
      <c r="E41" s="229"/>
      <c r="F41" s="230"/>
      <c r="G41" s="250" t="s">
        <v>81</v>
      </c>
      <c r="H41" s="251"/>
      <c r="I41" s="252"/>
      <c r="J41" s="235" t="s">
        <v>82</v>
      </c>
      <c r="K41" s="236"/>
      <c r="L41" s="236"/>
      <c r="M41" s="236"/>
      <c r="N41" s="236"/>
      <c r="O41" s="236"/>
      <c r="P41" s="236"/>
      <c r="Q41" s="236"/>
      <c r="R41" s="236"/>
      <c r="S41" s="236"/>
      <c r="T41" s="236"/>
      <c r="U41" s="236"/>
      <c r="V41" s="236"/>
      <c r="W41" s="236"/>
      <c r="X41" s="237"/>
    </row>
    <row r="42" spans="5:24" ht="24.95" customHeight="1">
      <c r="E42" s="229"/>
      <c r="F42" s="230"/>
      <c r="G42" s="238" t="s">
        <v>83</v>
      </c>
      <c r="H42" s="239"/>
      <c r="I42" s="240"/>
      <c r="J42" s="306" t="s">
        <v>113</v>
      </c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8"/>
    </row>
    <row r="43" spans="5:24" ht="24.95" customHeight="1">
      <c r="E43" s="229"/>
      <c r="F43" s="230"/>
      <c r="G43" s="241"/>
      <c r="H43" s="242"/>
      <c r="I43" s="243"/>
      <c r="J43" s="216" t="s">
        <v>115</v>
      </c>
      <c r="K43" s="217"/>
      <c r="L43" s="217"/>
      <c r="M43" s="218" t="str">
        <f>대가산출!D4</f>
        <v>일금삼백오십만원정 (₩3,500,000) - VAT별도</v>
      </c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9"/>
    </row>
    <row r="44" spans="5:24" ht="24.95" customHeight="1">
      <c r="E44" s="231"/>
      <c r="F44" s="232"/>
      <c r="G44" s="244"/>
      <c r="H44" s="245"/>
      <c r="I44" s="246"/>
      <c r="J44" s="220" t="s">
        <v>162</v>
      </c>
      <c r="K44" s="221"/>
      <c r="L44" s="221"/>
      <c r="M44" s="222" t="str">
        <f>대가산출!D3&amp;U35</f>
        <v>일금칠십만원정 (₩700,000) - VAT별도</v>
      </c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3"/>
    </row>
    <row r="45" spans="5:24">
      <c r="E45" s="210"/>
      <c r="F45" s="211"/>
      <c r="G45" s="211"/>
      <c r="H45" s="211"/>
      <c r="X45" s="91"/>
    </row>
    <row r="46" spans="5:24" ht="55.5" customHeight="1">
      <c r="E46" s="224" t="s">
        <v>84</v>
      </c>
      <c r="F46" s="208"/>
      <c r="G46" s="208"/>
      <c r="H46" s="208"/>
      <c r="I46" s="208"/>
      <c r="J46" s="208"/>
      <c r="K46" s="208"/>
      <c r="L46" s="208"/>
      <c r="M46" s="208"/>
      <c r="N46" s="208"/>
      <c r="O46" s="208"/>
      <c r="P46" s="208"/>
      <c r="Q46" s="208"/>
      <c r="R46" s="208"/>
      <c r="S46" s="208"/>
      <c r="T46" s="208"/>
      <c r="U46" s="208"/>
      <c r="V46" s="208"/>
      <c r="W46" s="208"/>
      <c r="X46" s="209"/>
    </row>
    <row r="47" spans="5:24">
      <c r="E47" s="92"/>
      <c r="F47" s="93"/>
      <c r="G47" s="93"/>
      <c r="H47" s="93"/>
      <c r="X47" s="91"/>
    </row>
    <row r="48" spans="5:24" ht="24.95" customHeight="1">
      <c r="E48" s="225" t="s">
        <v>85</v>
      </c>
      <c r="F48" s="226"/>
      <c r="G48" s="226"/>
      <c r="H48" s="208" t="s">
        <v>99</v>
      </c>
      <c r="I48" s="208"/>
      <c r="J48" s="208"/>
      <c r="K48" s="208"/>
      <c r="L48" s="208"/>
      <c r="M48" s="208"/>
      <c r="N48" s="208"/>
      <c r="O48" s="208"/>
      <c r="P48" s="208"/>
      <c r="Q48" s="208"/>
      <c r="R48" s="208"/>
      <c r="S48" s="208"/>
      <c r="T48" s="208"/>
      <c r="U48" s="208"/>
      <c r="V48" s="208"/>
      <c r="W48" s="208"/>
      <c r="X48" s="209"/>
    </row>
    <row r="49" spans="5:24" ht="17.25" customHeight="1">
      <c r="E49" s="94"/>
      <c r="F49" s="89"/>
      <c r="G49" s="89"/>
      <c r="H49" s="208"/>
      <c r="I49" s="208"/>
      <c r="J49" s="208"/>
      <c r="K49" s="208"/>
      <c r="L49" s="208"/>
      <c r="M49" s="208"/>
      <c r="N49" s="208"/>
      <c r="O49" s="208"/>
      <c r="P49" s="208"/>
      <c r="Q49" s="208"/>
      <c r="R49" s="208"/>
      <c r="S49" s="208"/>
      <c r="T49" s="208"/>
      <c r="U49" s="208"/>
      <c r="V49" s="208"/>
      <c r="W49" s="208"/>
      <c r="X49" s="209"/>
    </row>
    <row r="50" spans="5:24" ht="24.95" hidden="1" customHeight="1">
      <c r="E50" s="94"/>
      <c r="F50" s="89"/>
      <c r="G50" s="89"/>
      <c r="H50" s="208"/>
      <c r="I50" s="208"/>
      <c r="J50" s="208"/>
      <c r="K50" s="208"/>
      <c r="L50" s="208"/>
      <c r="M50" s="208"/>
      <c r="N50" s="208"/>
      <c r="O50" s="208"/>
      <c r="P50" s="208"/>
      <c r="Q50" s="208"/>
      <c r="R50" s="208"/>
      <c r="S50" s="208"/>
      <c r="T50" s="208"/>
      <c r="U50" s="208"/>
      <c r="V50" s="208"/>
      <c r="W50" s="208"/>
      <c r="X50" s="209"/>
    </row>
    <row r="51" spans="5:24">
      <c r="E51" s="210"/>
      <c r="F51" s="211"/>
      <c r="G51" s="211"/>
      <c r="H51" s="211"/>
      <c r="X51" s="91"/>
    </row>
    <row r="52" spans="5:24" ht="24.95" customHeight="1">
      <c r="E52" s="212" t="s">
        <v>86</v>
      </c>
      <c r="F52" s="213"/>
      <c r="G52" s="213"/>
      <c r="H52" s="214" t="s">
        <v>121</v>
      </c>
      <c r="I52" s="214"/>
      <c r="J52" s="214"/>
      <c r="K52" s="214"/>
      <c r="L52" s="214"/>
      <c r="M52" s="214"/>
      <c r="N52" s="214"/>
      <c r="O52" s="214"/>
      <c r="P52" s="214"/>
      <c r="Q52" s="214"/>
      <c r="R52" s="214"/>
      <c r="S52" s="214"/>
      <c r="T52" s="214"/>
      <c r="U52" s="214"/>
      <c r="V52" s="214"/>
      <c r="W52" s="214"/>
      <c r="X52" s="215"/>
    </row>
    <row r="53" spans="5:24" ht="26.25" customHeight="1">
      <c r="E53" s="285" t="s">
        <v>101</v>
      </c>
      <c r="F53" s="286"/>
      <c r="G53" s="286"/>
      <c r="H53" s="286"/>
      <c r="I53" s="286"/>
      <c r="J53" s="286"/>
      <c r="K53" s="286"/>
      <c r="L53" s="286"/>
      <c r="M53" s="286"/>
      <c r="N53" s="286"/>
      <c r="O53" s="286" t="s">
        <v>102</v>
      </c>
      <c r="P53" s="286"/>
      <c r="Q53" s="286"/>
      <c r="R53" s="286"/>
      <c r="S53" s="286"/>
      <c r="T53" s="286"/>
      <c r="U53" s="286"/>
      <c r="V53" s="286"/>
      <c r="W53" s="286"/>
      <c r="X53" s="287"/>
    </row>
    <row r="54" spans="5:24" ht="40.5" customHeight="1">
      <c r="E54" s="288" t="s">
        <v>87</v>
      </c>
      <c r="F54" s="289"/>
      <c r="G54" s="289"/>
      <c r="H54" s="290" t="str">
        <f>E9</f>
        <v>래미안길음뉴타운9단지아파트</v>
      </c>
      <c r="I54" s="290"/>
      <c r="J54" s="290"/>
      <c r="K54" s="290"/>
      <c r="L54" s="290"/>
      <c r="M54" s="290"/>
      <c r="N54" s="290"/>
      <c r="O54" s="289" t="s">
        <v>88</v>
      </c>
      <c r="P54" s="289"/>
      <c r="Q54" s="289"/>
      <c r="R54" s="208" t="s">
        <v>89</v>
      </c>
      <c r="S54" s="208"/>
      <c r="T54" s="208"/>
      <c r="U54" s="208"/>
      <c r="V54" s="208"/>
      <c r="W54" s="208"/>
      <c r="X54" s="209"/>
    </row>
    <row r="55" spans="5:24" ht="40.5" customHeight="1">
      <c r="E55" s="288" t="s">
        <v>90</v>
      </c>
      <c r="F55" s="289"/>
      <c r="G55" s="289"/>
      <c r="H55" s="291" t="str">
        <f>J39</f>
        <v>서울 성북구 길음로9길 50 (길음동)</v>
      </c>
      <c r="I55" s="291"/>
      <c r="J55" s="291"/>
      <c r="K55" s="291"/>
      <c r="L55" s="291"/>
      <c r="M55" s="291"/>
      <c r="N55" s="291"/>
      <c r="O55" s="289" t="s">
        <v>91</v>
      </c>
      <c r="P55" s="289"/>
      <c r="Q55" s="289"/>
      <c r="R55" s="292" t="s">
        <v>183</v>
      </c>
      <c r="S55" s="292"/>
      <c r="T55" s="292"/>
      <c r="U55" s="292"/>
      <c r="V55" s="292"/>
      <c r="W55" s="292"/>
      <c r="X55" s="293"/>
    </row>
    <row r="56" spans="5:24" ht="40.5" customHeight="1">
      <c r="E56" s="294" t="s">
        <v>92</v>
      </c>
      <c r="F56" s="295"/>
      <c r="G56" s="295"/>
      <c r="H56" s="296" t="s">
        <v>93</v>
      </c>
      <c r="I56" s="296"/>
      <c r="J56" s="296"/>
      <c r="K56" s="296"/>
      <c r="L56" s="296"/>
      <c r="M56" s="296"/>
      <c r="N56" s="296"/>
      <c r="O56" s="295" t="s">
        <v>94</v>
      </c>
      <c r="P56" s="295"/>
      <c r="Q56" s="295"/>
      <c r="R56" s="297" t="s">
        <v>95</v>
      </c>
      <c r="S56" s="297"/>
      <c r="T56" s="297"/>
      <c r="U56" s="297"/>
      <c r="V56" s="297"/>
      <c r="W56" s="297"/>
      <c r="X56" s="298"/>
    </row>
    <row r="57" spans="5:24" ht="16.5">
      <c r="E57" s="299" t="s">
        <v>96</v>
      </c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</row>
    <row r="58" spans="5:24" ht="25.5">
      <c r="E58" s="300" t="s">
        <v>100</v>
      </c>
      <c r="F58" s="300"/>
      <c r="G58" s="300"/>
      <c r="H58" s="300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</row>
    <row r="59" spans="5:24" ht="14.25">
      <c r="E59" s="95"/>
      <c r="I59" s="83"/>
      <c r="J59" s="86"/>
      <c r="L59" s="84"/>
    </row>
    <row r="60" spans="5:24" ht="24.95" customHeight="1">
      <c r="E60" s="130"/>
      <c r="F60" s="304" t="s">
        <v>175</v>
      </c>
      <c r="G60" s="304"/>
      <c r="H60" s="303" t="str">
        <f>H54</f>
        <v>래미안길음뉴타운9단지아파트</v>
      </c>
      <c r="I60" s="303"/>
      <c r="J60" s="303"/>
      <c r="K60" s="303"/>
      <c r="L60" s="303"/>
      <c r="M60" s="303"/>
      <c r="N60" s="303"/>
      <c r="O60" s="303"/>
      <c r="P60" s="304" t="s">
        <v>182</v>
      </c>
      <c r="Q60" s="304"/>
      <c r="R60" s="304"/>
      <c r="S60" s="304"/>
      <c r="T60" s="304"/>
      <c r="U60" s="304"/>
      <c r="V60" s="304"/>
      <c r="W60" s="304"/>
      <c r="X60" s="304"/>
    </row>
    <row r="61" spans="5:24" ht="24.95" customHeight="1">
      <c r="F61" s="302" t="s">
        <v>176</v>
      </c>
      <c r="G61" s="302"/>
      <c r="H61" s="302"/>
      <c r="I61" s="302"/>
      <c r="J61" s="302"/>
      <c r="K61" s="302"/>
      <c r="L61" s="302"/>
      <c r="M61" s="302"/>
      <c r="N61" s="302"/>
      <c r="O61" s="302"/>
      <c r="P61" s="302"/>
      <c r="Q61" s="302"/>
      <c r="R61" s="302"/>
      <c r="S61" s="302"/>
      <c r="T61" s="302"/>
      <c r="U61" s="302"/>
      <c r="V61" s="302"/>
      <c r="W61" s="302"/>
      <c r="X61" s="302"/>
    </row>
    <row r="62" spans="5:24" ht="20.100000000000001" customHeight="1">
      <c r="E62" s="96"/>
      <c r="F62" s="96"/>
      <c r="G62" s="96"/>
      <c r="H62" s="96"/>
      <c r="I62" s="96"/>
      <c r="J62" s="96"/>
      <c r="K62" s="96"/>
      <c r="L62" s="96"/>
      <c r="M62" s="96"/>
    </row>
    <row r="63" spans="5:24" ht="20.100000000000001" customHeight="1">
      <c r="E63" s="301" t="s">
        <v>153</v>
      </c>
      <c r="F63" s="301"/>
      <c r="G63" s="301"/>
      <c r="H63" s="301"/>
      <c r="I63" s="301"/>
      <c r="J63" s="301"/>
      <c r="K63" s="301"/>
      <c r="L63" s="301"/>
      <c r="M63" s="301"/>
    </row>
    <row r="64" spans="5:24" ht="63" customHeight="1">
      <c r="F64" s="208" t="s">
        <v>163</v>
      </c>
      <c r="G64" s="208"/>
      <c r="H64" s="208"/>
      <c r="I64" s="208"/>
      <c r="J64" s="208"/>
      <c r="K64" s="208"/>
      <c r="L64" s="208"/>
      <c r="M64" s="208"/>
      <c r="N64" s="208"/>
      <c r="O64" s="208"/>
      <c r="P64" s="208"/>
      <c r="Q64" s="208"/>
      <c r="R64" s="208"/>
      <c r="S64" s="208"/>
      <c r="T64" s="208"/>
      <c r="U64" s="208"/>
      <c r="V64" s="208"/>
      <c r="W64" s="208"/>
      <c r="X64" s="208"/>
    </row>
    <row r="65" spans="5:24" ht="20.100000000000001" customHeight="1">
      <c r="E65" s="97"/>
      <c r="I65" s="83"/>
      <c r="J65" s="86"/>
      <c r="L65" s="84"/>
    </row>
    <row r="66" spans="5:24" ht="20.100000000000001" customHeight="1">
      <c r="E66" s="301" t="s">
        <v>152</v>
      </c>
      <c r="F66" s="301"/>
      <c r="G66" s="301"/>
      <c r="H66" s="301"/>
      <c r="I66" s="301"/>
      <c r="J66" s="301"/>
      <c r="K66" s="301"/>
      <c r="L66" s="301"/>
      <c r="M66" s="301"/>
      <c r="N66" s="301"/>
      <c r="O66" s="301"/>
      <c r="P66" s="301"/>
      <c r="Q66" s="301"/>
      <c r="R66" s="301"/>
      <c r="S66" s="301"/>
      <c r="T66" s="301"/>
      <c r="U66" s="301"/>
      <c r="V66" s="301"/>
      <c r="W66" s="301"/>
      <c r="X66" s="301"/>
    </row>
    <row r="67" spans="5:24" ht="20.100000000000001" customHeight="1">
      <c r="F67" s="305" t="str">
        <f>"① 시설물명 : "&amp;H54</f>
        <v>① 시설물명 : 래미안길음뉴타운9단지아파트</v>
      </c>
      <c r="G67" s="305"/>
      <c r="H67" s="305"/>
      <c r="I67" s="305"/>
      <c r="J67" s="305"/>
      <c r="K67" s="305"/>
      <c r="L67" s="305"/>
      <c r="M67" s="305"/>
      <c r="N67" s="305"/>
      <c r="O67" s="305"/>
      <c r="P67" s="305"/>
      <c r="Q67" s="305"/>
      <c r="R67" s="305"/>
      <c r="S67" s="305"/>
      <c r="T67" s="305"/>
      <c r="U67" s="305"/>
      <c r="V67" s="305"/>
      <c r="W67" s="305"/>
      <c r="X67" s="305"/>
    </row>
    <row r="68" spans="5:24" ht="20.100000000000001" customHeight="1">
      <c r="F68" s="305" t="str">
        <f>"② 위      치 : "&amp;H55</f>
        <v>② 위      치 : 서울 성북구 길음로9길 50 (길음동)</v>
      </c>
      <c r="G68" s="305"/>
      <c r="H68" s="305"/>
      <c r="I68" s="305"/>
      <c r="J68" s="305"/>
      <c r="K68" s="305"/>
      <c r="L68" s="305"/>
      <c r="M68" s="305"/>
      <c r="N68" s="305"/>
      <c r="O68" s="305"/>
      <c r="P68" s="305"/>
      <c r="Q68" s="305"/>
      <c r="R68" s="305"/>
      <c r="S68" s="305"/>
      <c r="T68" s="305"/>
      <c r="U68" s="305"/>
      <c r="V68" s="305"/>
      <c r="W68" s="305"/>
      <c r="X68" s="305"/>
    </row>
    <row r="69" spans="5:24" ht="20.100000000000001" customHeight="1">
      <c r="F69" s="305" t="s">
        <v>172</v>
      </c>
      <c r="G69" s="305"/>
      <c r="H69" s="305"/>
      <c r="I69" s="305"/>
      <c r="J69" s="305"/>
      <c r="K69" s="305"/>
      <c r="L69" s="305"/>
      <c r="M69" s="305"/>
      <c r="N69" s="305"/>
      <c r="O69" s="305"/>
      <c r="P69" s="305"/>
      <c r="Q69" s="305"/>
      <c r="R69" s="305"/>
      <c r="S69" s="305"/>
      <c r="T69" s="305"/>
      <c r="U69" s="305"/>
      <c r="V69" s="305"/>
      <c r="W69" s="305"/>
      <c r="X69" s="305"/>
    </row>
    <row r="70" spans="5:24" ht="20.100000000000001" customHeight="1">
      <c r="F70" s="305" t="str">
        <f>"④ 점검프로그램 대상시설물의 범위 : "&amp;갑지!P22</f>
        <v>④ 점검프로그램 대상시설물의 범위 : 아파트 15개동 1012세대 (해당동 : 15개동)</v>
      </c>
      <c r="G70" s="305"/>
      <c r="H70" s="305"/>
      <c r="I70" s="305"/>
      <c r="J70" s="305"/>
      <c r="K70" s="305"/>
      <c r="L70" s="305"/>
      <c r="M70" s="305"/>
      <c r="N70" s="305"/>
      <c r="O70" s="305"/>
      <c r="P70" s="305"/>
      <c r="Q70" s="305"/>
      <c r="R70" s="305"/>
      <c r="S70" s="305"/>
      <c r="T70" s="305"/>
      <c r="U70" s="305"/>
      <c r="V70" s="305"/>
      <c r="W70" s="305"/>
      <c r="X70" s="305"/>
    </row>
    <row r="71" spans="5:24" ht="20.100000000000001" customHeight="1">
      <c r="E71" s="97"/>
      <c r="I71" s="83"/>
      <c r="J71" s="86"/>
      <c r="L71" s="84"/>
    </row>
    <row r="72" spans="5:24" ht="18.75">
      <c r="E72" s="301" t="s">
        <v>151</v>
      </c>
      <c r="F72" s="301"/>
      <c r="G72" s="301"/>
      <c r="H72" s="301"/>
      <c r="I72" s="301"/>
      <c r="J72" s="301"/>
      <c r="K72" s="301"/>
      <c r="L72" s="301"/>
      <c r="M72" s="301"/>
    </row>
    <row r="73" spans="5:24" ht="38.25" customHeight="1">
      <c r="F73" s="208" t="s">
        <v>126</v>
      </c>
      <c r="G73" s="208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  <c r="T73" s="208"/>
      <c r="U73" s="208"/>
      <c r="V73" s="208"/>
      <c r="W73" s="208"/>
      <c r="X73" s="208"/>
    </row>
    <row r="74" spans="5:24" ht="53.25" customHeight="1">
      <c r="F74" s="208" t="s">
        <v>103</v>
      </c>
      <c r="G74" s="208"/>
      <c r="H74" s="208"/>
      <c r="I74" s="208"/>
      <c r="J74" s="208"/>
      <c r="K74" s="208"/>
      <c r="L74" s="208"/>
      <c r="M74" s="208"/>
      <c r="N74" s="208"/>
      <c r="O74" s="208"/>
      <c r="P74" s="208"/>
      <c r="Q74" s="208"/>
      <c r="R74" s="208"/>
      <c r="S74" s="208"/>
      <c r="T74" s="208"/>
      <c r="U74" s="208"/>
      <c r="V74" s="208"/>
      <c r="W74" s="208"/>
      <c r="X74" s="208"/>
    </row>
    <row r="75" spans="5:24" ht="42" customHeight="1">
      <c r="F75" s="208" t="s">
        <v>104</v>
      </c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X75" s="208"/>
    </row>
    <row r="76" spans="5:24" ht="48" customHeight="1">
      <c r="E76" s="97"/>
      <c r="F76" s="208" t="s">
        <v>127</v>
      </c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X76" s="208"/>
    </row>
    <row r="77" spans="5:24" ht="20.100000000000001" customHeight="1">
      <c r="E77" s="97"/>
      <c r="I77" s="83"/>
      <c r="J77" s="86"/>
      <c r="L77" s="84"/>
    </row>
    <row r="78" spans="5:24" ht="18.75">
      <c r="E78" s="301" t="s">
        <v>150</v>
      </c>
      <c r="F78" s="301"/>
      <c r="G78" s="301"/>
      <c r="H78" s="301"/>
      <c r="I78" s="301"/>
      <c r="J78" s="301"/>
      <c r="K78" s="301"/>
      <c r="L78" s="301"/>
      <c r="M78" s="301"/>
    </row>
    <row r="79" spans="5:24" ht="20.100000000000001" customHeight="1">
      <c r="F79" s="116" t="s">
        <v>116</v>
      </c>
      <c r="G79" s="98"/>
      <c r="H79" s="98"/>
      <c r="I79" s="98"/>
      <c r="J79" s="98"/>
      <c r="K79" s="98"/>
      <c r="L79" s="98"/>
      <c r="M79" s="98"/>
    </row>
    <row r="80" spans="5:24" ht="39.950000000000003" customHeight="1">
      <c r="F80" s="208" t="s">
        <v>105</v>
      </c>
      <c r="G80" s="208"/>
      <c r="H80" s="208"/>
      <c r="I80" s="208"/>
      <c r="J80" s="208"/>
      <c r="K80" s="208"/>
      <c r="L80" s="208"/>
      <c r="M80" s="208"/>
      <c r="N80" s="208"/>
      <c r="O80" s="208"/>
      <c r="P80" s="208"/>
      <c r="Q80" s="208"/>
      <c r="R80" s="208"/>
      <c r="S80" s="208"/>
      <c r="T80" s="208"/>
      <c r="U80" s="208"/>
      <c r="V80" s="208"/>
      <c r="W80" s="208"/>
      <c r="X80" s="208"/>
    </row>
    <row r="81" spans="5:24" ht="20.100000000000001" customHeight="1">
      <c r="E81" s="97"/>
      <c r="I81" s="83"/>
      <c r="J81" s="86"/>
      <c r="L81" s="84"/>
    </row>
    <row r="82" spans="5:24" ht="20.100000000000001" customHeight="1">
      <c r="E82" s="301" t="s">
        <v>149</v>
      </c>
      <c r="F82" s="301"/>
      <c r="G82" s="301"/>
      <c r="H82" s="301"/>
      <c r="I82" s="301"/>
      <c r="J82" s="301"/>
      <c r="K82" s="301"/>
      <c r="L82" s="301"/>
      <c r="M82" s="301"/>
    </row>
    <row r="83" spans="5:24" ht="20.100000000000001" customHeight="1">
      <c r="F83" s="208" t="s">
        <v>106</v>
      </c>
      <c r="G83" s="208"/>
      <c r="H83" s="208"/>
      <c r="I83" s="208"/>
      <c r="J83" s="208"/>
      <c r="K83" s="208"/>
      <c r="L83" s="208"/>
      <c r="M83" s="208"/>
      <c r="N83" s="208"/>
      <c r="O83" s="208"/>
      <c r="P83" s="208"/>
      <c r="Q83" s="208"/>
      <c r="R83" s="208"/>
      <c r="S83" s="208"/>
      <c r="T83" s="208"/>
      <c r="U83" s="208"/>
      <c r="V83" s="208"/>
      <c r="W83" s="208"/>
      <c r="X83" s="208"/>
    </row>
    <row r="84" spans="5:24" ht="20.100000000000001" customHeight="1">
      <c r="E84" s="99"/>
      <c r="F84" s="208" t="s">
        <v>129</v>
      </c>
      <c r="G84" s="208"/>
      <c r="H84" s="208"/>
      <c r="I84" s="208"/>
      <c r="J84" s="208"/>
      <c r="K84" s="208"/>
      <c r="L84" s="208"/>
      <c r="M84" s="208"/>
      <c r="N84" s="208"/>
      <c r="O84" s="208"/>
      <c r="P84" s="208"/>
      <c r="Q84" s="208"/>
      <c r="R84" s="208"/>
      <c r="S84" s="208"/>
      <c r="T84" s="208"/>
      <c r="U84" s="208"/>
      <c r="V84" s="208"/>
      <c r="W84" s="208"/>
      <c r="X84" s="208"/>
    </row>
    <row r="85" spans="5:24" ht="39.950000000000003" customHeight="1">
      <c r="E85" s="100"/>
      <c r="F85" s="208" t="s">
        <v>128</v>
      </c>
      <c r="G85" s="208"/>
      <c r="H85" s="208"/>
      <c r="I85" s="208"/>
      <c r="J85" s="208"/>
      <c r="K85" s="208"/>
      <c r="L85" s="208"/>
      <c r="M85" s="208"/>
      <c r="N85" s="208"/>
      <c r="O85" s="208"/>
      <c r="P85" s="208"/>
      <c r="Q85" s="208"/>
      <c r="R85" s="208"/>
      <c r="S85" s="208"/>
      <c r="T85" s="208"/>
      <c r="U85" s="208"/>
      <c r="V85" s="208"/>
      <c r="W85" s="208"/>
      <c r="X85" s="208"/>
    </row>
    <row r="86" spans="5:24" ht="47.1" customHeight="1">
      <c r="F86" s="302"/>
      <c r="G86" s="302"/>
      <c r="H86" s="302"/>
      <c r="I86" s="302"/>
      <c r="J86" s="302"/>
      <c r="K86" s="302"/>
      <c r="L86" s="302"/>
      <c r="M86" s="302"/>
      <c r="N86" s="302"/>
      <c r="O86" s="302"/>
      <c r="P86" s="302"/>
      <c r="Q86" s="302"/>
      <c r="R86" s="302"/>
      <c r="S86" s="302"/>
      <c r="T86" s="302"/>
      <c r="U86" s="302"/>
      <c r="V86" s="302"/>
      <c r="W86" s="302"/>
      <c r="X86" s="302"/>
    </row>
    <row r="87" spans="5:24" ht="20.100000000000001" customHeight="1">
      <c r="E87" s="301" t="s">
        <v>148</v>
      </c>
      <c r="F87" s="301"/>
      <c r="G87" s="301"/>
      <c r="H87" s="301"/>
      <c r="I87" s="301"/>
      <c r="J87" s="301"/>
      <c r="K87" s="301"/>
      <c r="L87" s="301"/>
      <c r="M87" s="301"/>
    </row>
    <row r="88" spans="5:24" ht="39.950000000000003" customHeight="1">
      <c r="F88" s="208" t="s">
        <v>108</v>
      </c>
      <c r="G88" s="208"/>
      <c r="H88" s="208"/>
      <c r="I88" s="208"/>
      <c r="J88" s="208"/>
      <c r="K88" s="208"/>
      <c r="L88" s="208"/>
      <c r="M88" s="208"/>
      <c r="N88" s="208"/>
      <c r="O88" s="208"/>
      <c r="P88" s="208"/>
      <c r="Q88" s="208"/>
      <c r="R88" s="208"/>
      <c r="S88" s="208"/>
      <c r="T88" s="208"/>
      <c r="U88" s="208"/>
      <c r="V88" s="208"/>
      <c r="W88" s="208"/>
      <c r="X88" s="208"/>
    </row>
    <row r="89" spans="5:24" ht="39.950000000000003" customHeight="1">
      <c r="F89" s="208" t="s">
        <v>109</v>
      </c>
      <c r="G89" s="208"/>
      <c r="H89" s="208"/>
      <c r="I89" s="208"/>
      <c r="J89" s="208"/>
      <c r="K89" s="208"/>
      <c r="L89" s="208"/>
      <c r="M89" s="208"/>
      <c r="N89" s="208"/>
      <c r="O89" s="208"/>
      <c r="P89" s="208"/>
      <c r="Q89" s="208"/>
      <c r="R89" s="208"/>
      <c r="S89" s="208"/>
      <c r="T89" s="208"/>
      <c r="U89" s="208"/>
      <c r="V89" s="208"/>
      <c r="W89" s="208"/>
      <c r="X89" s="208"/>
    </row>
    <row r="90" spans="5:24" ht="34.5" customHeight="1">
      <c r="F90" s="208" t="s">
        <v>110</v>
      </c>
      <c r="G90" s="208"/>
      <c r="H90" s="208"/>
      <c r="I90" s="208"/>
      <c r="J90" s="208"/>
      <c r="K90" s="208"/>
      <c r="L90" s="208"/>
      <c r="M90" s="208"/>
      <c r="N90" s="208"/>
      <c r="O90" s="208"/>
      <c r="P90" s="208"/>
      <c r="Q90" s="208"/>
      <c r="R90" s="208"/>
      <c r="S90" s="208"/>
      <c r="T90" s="208"/>
      <c r="U90" s="208"/>
      <c r="V90" s="208"/>
      <c r="W90" s="208"/>
      <c r="X90" s="208"/>
    </row>
    <row r="91" spans="5:24" ht="20.100000000000001" customHeight="1">
      <c r="E91" s="97"/>
      <c r="I91" s="83"/>
      <c r="J91" s="86"/>
      <c r="L91" s="84"/>
    </row>
    <row r="92" spans="5:24" ht="20.100000000000001" customHeight="1">
      <c r="E92" s="301" t="s">
        <v>147</v>
      </c>
      <c r="F92" s="301"/>
      <c r="G92" s="301"/>
      <c r="H92" s="301"/>
      <c r="I92" s="301"/>
      <c r="J92" s="301"/>
      <c r="K92" s="301"/>
      <c r="L92" s="301"/>
      <c r="M92" s="301"/>
    </row>
    <row r="93" spans="5:24" ht="39.950000000000003" customHeight="1">
      <c r="F93" s="208" t="s">
        <v>174</v>
      </c>
      <c r="G93" s="208"/>
      <c r="H93" s="208"/>
      <c r="I93" s="208"/>
      <c r="J93" s="208"/>
      <c r="K93" s="208"/>
      <c r="L93" s="208"/>
      <c r="M93" s="208"/>
      <c r="N93" s="208"/>
      <c r="O93" s="208"/>
      <c r="P93" s="208"/>
      <c r="Q93" s="208"/>
      <c r="R93" s="208"/>
      <c r="S93" s="208"/>
      <c r="T93" s="208"/>
      <c r="U93" s="208"/>
      <c r="V93" s="208"/>
      <c r="W93" s="208"/>
      <c r="X93" s="208"/>
    </row>
    <row r="94" spans="5:24" ht="39.950000000000003" customHeight="1">
      <c r="F94" s="208" t="s">
        <v>111</v>
      </c>
      <c r="G94" s="208"/>
      <c r="H94" s="208"/>
      <c r="I94" s="208"/>
      <c r="J94" s="208"/>
      <c r="K94" s="208"/>
      <c r="L94" s="208"/>
      <c r="M94" s="208"/>
      <c r="N94" s="208"/>
      <c r="O94" s="208"/>
      <c r="P94" s="208"/>
      <c r="Q94" s="208"/>
      <c r="R94" s="208"/>
      <c r="S94" s="208"/>
      <c r="T94" s="208"/>
      <c r="U94" s="208"/>
      <c r="V94" s="208"/>
      <c r="W94" s="208"/>
      <c r="X94" s="208"/>
    </row>
    <row r="95" spans="5:24" ht="20.100000000000001" customHeight="1">
      <c r="E95" s="97"/>
      <c r="I95" s="83"/>
      <c r="J95" s="86"/>
      <c r="L95" s="84"/>
    </row>
    <row r="96" spans="5:24" ht="20.100000000000001" customHeight="1">
      <c r="E96" s="301" t="s">
        <v>146</v>
      </c>
      <c r="F96" s="301"/>
      <c r="G96" s="301"/>
      <c r="H96" s="301"/>
      <c r="I96" s="301"/>
      <c r="J96" s="301"/>
      <c r="K96" s="301"/>
      <c r="L96" s="301"/>
      <c r="M96" s="301"/>
    </row>
    <row r="97" spans="5:24" ht="43.5" customHeight="1">
      <c r="F97" s="208" t="s">
        <v>131</v>
      </c>
      <c r="G97" s="208"/>
      <c r="H97" s="208"/>
      <c r="I97" s="208"/>
      <c r="J97" s="208"/>
      <c r="K97" s="208"/>
      <c r="L97" s="208"/>
      <c r="M97" s="208"/>
      <c r="N97" s="208"/>
      <c r="O97" s="208"/>
      <c r="P97" s="208"/>
      <c r="Q97" s="208"/>
      <c r="R97" s="208"/>
      <c r="S97" s="208"/>
      <c r="T97" s="208"/>
      <c r="U97" s="208"/>
      <c r="V97" s="208"/>
      <c r="W97" s="208"/>
      <c r="X97" s="208"/>
    </row>
    <row r="98" spans="5:24" ht="20.100000000000001" customHeight="1">
      <c r="E98" s="97"/>
      <c r="I98" s="83"/>
      <c r="J98" s="86"/>
      <c r="L98" s="84"/>
    </row>
    <row r="99" spans="5:24" ht="20.100000000000001" customHeight="1">
      <c r="E99" s="131" t="s">
        <v>145</v>
      </c>
      <c r="F99" s="101"/>
      <c r="G99" s="101"/>
      <c r="H99" s="101"/>
      <c r="I99" s="101"/>
      <c r="J99" s="101"/>
      <c r="K99" s="101"/>
      <c r="L99" s="101"/>
      <c r="M99" s="101"/>
    </row>
    <row r="100" spans="5:24" ht="20.100000000000001" customHeight="1">
      <c r="F100" s="305" t="s">
        <v>97</v>
      </c>
      <c r="G100" s="305"/>
      <c r="H100" s="305"/>
      <c r="I100" s="305"/>
      <c r="J100" s="305"/>
      <c r="K100" s="305"/>
      <c r="L100" s="305"/>
      <c r="M100" s="305"/>
      <c r="N100" s="305"/>
      <c r="O100" s="305"/>
      <c r="P100" s="305"/>
      <c r="Q100" s="305"/>
      <c r="R100" s="305"/>
      <c r="S100" s="305"/>
      <c r="T100" s="305"/>
      <c r="U100" s="305"/>
      <c r="V100" s="305"/>
      <c r="W100" s="305"/>
      <c r="X100" s="305"/>
    </row>
    <row r="101" spans="5:24" ht="20.100000000000001" customHeight="1">
      <c r="E101" s="102"/>
      <c r="F101" s="208" t="s">
        <v>139</v>
      </c>
      <c r="G101" s="208"/>
      <c r="H101" s="208"/>
      <c r="I101" s="208"/>
      <c r="J101" s="208"/>
      <c r="K101" s="208"/>
      <c r="L101" s="208"/>
      <c r="M101" s="208"/>
      <c r="N101" s="208"/>
      <c r="O101" s="208"/>
      <c r="P101" s="208"/>
      <c r="Q101" s="208"/>
      <c r="R101" s="208"/>
      <c r="S101" s="208"/>
      <c r="T101" s="208"/>
      <c r="U101" s="208"/>
      <c r="V101" s="208"/>
      <c r="W101" s="208"/>
      <c r="X101" s="208"/>
    </row>
    <row r="102" spans="5:24" ht="20.100000000000001" customHeight="1">
      <c r="E102" s="102"/>
      <c r="F102" s="302" t="s">
        <v>140</v>
      </c>
      <c r="G102" s="302"/>
      <c r="H102" s="302"/>
      <c r="I102" s="302"/>
      <c r="J102" s="302"/>
      <c r="K102" s="302"/>
      <c r="L102" s="302"/>
      <c r="M102" s="302"/>
      <c r="N102" s="302"/>
      <c r="O102" s="302"/>
      <c r="P102" s="302"/>
      <c r="Q102" s="302"/>
      <c r="R102" s="302"/>
      <c r="S102" s="302"/>
      <c r="T102" s="302"/>
      <c r="U102" s="302"/>
      <c r="V102" s="302"/>
      <c r="W102" s="302"/>
      <c r="X102" s="302"/>
    </row>
    <row r="103" spans="5:24" ht="20.100000000000001" customHeight="1">
      <c r="E103" s="102"/>
      <c r="F103" s="302" t="s">
        <v>141</v>
      </c>
      <c r="G103" s="302"/>
      <c r="H103" s="302"/>
      <c r="I103" s="302"/>
      <c r="J103" s="302"/>
      <c r="K103" s="302"/>
      <c r="L103" s="302"/>
      <c r="M103" s="302"/>
      <c r="N103" s="302"/>
      <c r="O103" s="302"/>
      <c r="P103" s="302"/>
      <c r="Q103" s="302"/>
      <c r="R103" s="302"/>
      <c r="S103" s="302"/>
      <c r="T103" s="302"/>
      <c r="U103" s="302"/>
      <c r="V103" s="302"/>
      <c r="W103" s="302"/>
      <c r="X103" s="302"/>
    </row>
    <row r="104" spans="5:24" ht="20.100000000000001" customHeight="1">
      <c r="E104" s="102"/>
      <c r="F104" s="302" t="s">
        <v>142</v>
      </c>
      <c r="G104" s="302"/>
      <c r="H104" s="302"/>
      <c r="I104" s="302"/>
      <c r="J104" s="302"/>
      <c r="K104" s="302"/>
      <c r="L104" s="302"/>
      <c r="M104" s="302"/>
      <c r="N104" s="302"/>
      <c r="O104" s="302"/>
      <c r="P104" s="302"/>
      <c r="Q104" s="302"/>
      <c r="R104" s="302"/>
      <c r="S104" s="302"/>
      <c r="T104" s="302"/>
      <c r="U104" s="302"/>
      <c r="V104" s="302"/>
      <c r="W104" s="302"/>
      <c r="X104" s="302"/>
    </row>
    <row r="105" spans="5:24" ht="20.100000000000001" customHeight="1">
      <c r="E105" s="97"/>
      <c r="I105" s="83"/>
      <c r="J105" s="86"/>
      <c r="L105" s="84"/>
    </row>
    <row r="106" spans="5:24" ht="20.100000000000001" customHeight="1">
      <c r="E106" s="131" t="s">
        <v>144</v>
      </c>
      <c r="F106" s="101"/>
      <c r="G106" s="101"/>
      <c r="H106" s="101"/>
      <c r="I106" s="101"/>
      <c r="J106" s="101"/>
      <c r="K106" s="101"/>
      <c r="L106" s="101"/>
      <c r="M106" s="101"/>
    </row>
    <row r="107" spans="5:24" ht="39.950000000000003" customHeight="1">
      <c r="F107" s="208" t="s">
        <v>173</v>
      </c>
      <c r="G107" s="208"/>
      <c r="H107" s="208"/>
      <c r="I107" s="208"/>
      <c r="J107" s="208"/>
      <c r="K107" s="208"/>
      <c r="L107" s="208"/>
      <c r="M107" s="208"/>
      <c r="N107" s="208"/>
      <c r="O107" s="208"/>
      <c r="P107" s="208"/>
      <c r="Q107" s="208"/>
      <c r="R107" s="208"/>
      <c r="S107" s="208"/>
      <c r="T107" s="208"/>
      <c r="U107" s="208"/>
      <c r="V107" s="208"/>
      <c r="W107" s="208"/>
      <c r="X107" s="208"/>
    </row>
    <row r="108" spans="5:24" ht="20.100000000000001" customHeight="1">
      <c r="E108" s="97"/>
      <c r="I108" s="83"/>
      <c r="J108" s="86"/>
      <c r="L108" s="84"/>
    </row>
    <row r="109" spans="5:24" ht="20.100000000000001" customHeight="1">
      <c r="E109" s="301" t="s">
        <v>143</v>
      </c>
      <c r="F109" s="301"/>
      <c r="G109" s="301"/>
      <c r="H109" s="301"/>
      <c r="I109" s="301"/>
      <c r="J109" s="301"/>
      <c r="K109" s="301"/>
      <c r="L109" s="301"/>
      <c r="M109" s="301"/>
    </row>
    <row r="110" spans="5:24" ht="39.950000000000003" customHeight="1">
      <c r="F110" s="208" t="s">
        <v>107</v>
      </c>
      <c r="G110" s="208"/>
      <c r="H110" s="208"/>
      <c r="I110" s="208"/>
      <c r="J110" s="208"/>
      <c r="K110" s="208"/>
      <c r="L110" s="208"/>
      <c r="M110" s="208"/>
      <c r="N110" s="208"/>
      <c r="O110" s="208"/>
      <c r="P110" s="208"/>
      <c r="Q110" s="208"/>
      <c r="R110" s="208"/>
      <c r="S110" s="208"/>
      <c r="T110" s="208"/>
      <c r="U110" s="208"/>
      <c r="V110" s="208"/>
      <c r="W110" s="208"/>
      <c r="X110" s="208"/>
    </row>
    <row r="111" spans="5:24" ht="39.950000000000003" customHeight="1">
      <c r="F111" s="208" t="s">
        <v>112</v>
      </c>
      <c r="G111" s="208"/>
      <c r="H111" s="208"/>
      <c r="I111" s="208"/>
      <c r="J111" s="208"/>
      <c r="K111" s="208"/>
      <c r="L111" s="208"/>
      <c r="M111" s="208"/>
      <c r="N111" s="208"/>
      <c r="O111" s="208"/>
      <c r="P111" s="208"/>
      <c r="Q111" s="208"/>
      <c r="R111" s="208"/>
      <c r="S111" s="208"/>
      <c r="T111" s="208"/>
      <c r="U111" s="208"/>
      <c r="V111" s="208"/>
      <c r="W111" s="208"/>
      <c r="X111" s="208"/>
    </row>
    <row r="112" spans="5:24" ht="20.100000000000001" customHeight="1"/>
    <row r="113" spans="5:24" ht="20.100000000000001" customHeight="1">
      <c r="E113" s="310" t="s">
        <v>133</v>
      </c>
      <c r="F113" s="311"/>
      <c r="G113" s="311"/>
      <c r="H113" s="311"/>
      <c r="I113" s="311"/>
      <c r="J113" s="311"/>
      <c r="K113" s="311"/>
      <c r="L113" s="311"/>
      <c r="M113" s="311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</row>
    <row r="114" spans="5:24" ht="53.1" customHeight="1">
      <c r="E114" s="115"/>
      <c r="F114" s="309" t="s">
        <v>132</v>
      </c>
      <c r="G114" s="309"/>
      <c r="H114" s="309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</row>
    <row r="115" spans="5:24" ht="42" customHeight="1"/>
    <row r="116" spans="5:24" ht="13.5" customHeight="1"/>
    <row r="117" spans="5:24" ht="13.5" customHeight="1"/>
  </sheetData>
  <mergeCells count="111">
    <mergeCell ref="J42:X42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F88:X88"/>
    <mergeCell ref="F89:X89"/>
    <mergeCell ref="F90:X90"/>
    <mergeCell ref="E92:M92"/>
    <mergeCell ref="F93:X93"/>
    <mergeCell ref="E109:M109"/>
    <mergeCell ref="F110:X110"/>
    <mergeCell ref="F111:X111"/>
    <mergeCell ref="E113:M113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64:X64"/>
    <mergeCell ref="E66:X66"/>
    <mergeCell ref="E72:M72"/>
    <mergeCell ref="F73:X73"/>
    <mergeCell ref="F74:X74"/>
    <mergeCell ref="F75:X75"/>
    <mergeCell ref="F67:X67"/>
    <mergeCell ref="F68:X68"/>
    <mergeCell ref="F69:X69"/>
    <mergeCell ref="F70:X70"/>
    <mergeCell ref="E56:G56"/>
    <mergeCell ref="H56:N56"/>
    <mergeCell ref="O56:Q56"/>
    <mergeCell ref="R56:X56"/>
    <mergeCell ref="E57:X57"/>
    <mergeCell ref="E58:X58"/>
    <mergeCell ref="E63:M63"/>
    <mergeCell ref="F61:X61"/>
    <mergeCell ref="H60:O60"/>
    <mergeCell ref="F60:G60"/>
    <mergeCell ref="P60:X60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H49:X49"/>
    <mergeCell ref="H50:X50"/>
    <mergeCell ref="E51:H51"/>
    <mergeCell ref="E52:G52"/>
    <mergeCell ref="H52:X52"/>
    <mergeCell ref="J43:L43"/>
    <mergeCell ref="M43:X43"/>
    <mergeCell ref="J44:L44"/>
    <mergeCell ref="M44:X44"/>
    <mergeCell ref="E45:H45"/>
    <mergeCell ref="E46:X46"/>
    <mergeCell ref="E48:G48"/>
    <mergeCell ref="H48:X48"/>
    <mergeCell ref="E34:F44"/>
    <mergeCell ref="G34:I34"/>
    <mergeCell ref="G35:I35"/>
    <mergeCell ref="J41:X41"/>
    <mergeCell ref="G42:I44"/>
    <mergeCell ref="G36:I36"/>
    <mergeCell ref="J34:X34"/>
    <mergeCell ref="G41:I41"/>
    <mergeCell ref="J35:X35"/>
    <mergeCell ref="J36:X36"/>
    <mergeCell ref="G37:I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6" min="4" max="23" man="1"/>
    <brk id="56" min="4" max="23" man="1"/>
    <brk id="86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renew0414</cp:lastModifiedBy>
  <cp:revision>3</cp:revision>
  <cp:lastPrinted>2026-05-07T06:45:30Z</cp:lastPrinted>
  <dcterms:modified xsi:type="dcterms:W3CDTF">2026-05-07T06:45:40Z</dcterms:modified>
</cp:coreProperties>
</file>