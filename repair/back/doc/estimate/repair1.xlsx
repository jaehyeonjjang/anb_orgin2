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seongjaehyeon/anb_origin2/repair/back/doc/estimate/"/>
    </mc:Choice>
  </mc:AlternateContent>
  <xr:revisionPtr revIDLastSave="0" documentId="13_ncr:1_{84F0EDE7-F3D8-FE47-8388-682387A23000}" xr6:coauthVersionLast="47" xr6:coauthVersionMax="47" xr10:uidLastSave="{00000000-0000-0000-0000-000000000000}"/>
  <bookViews>
    <workbookView xWindow="0" yWindow="680" windowWidth="34200" windowHeight="19800" activeTab="2" xr2:uid="{00000000-000D-0000-FFFF-FFFF00000000}"/>
  </bookViews>
  <sheets>
    <sheet name="갑지" sheetId="1" r:id="rId1"/>
    <sheet name="대가산출" sheetId="3" r:id="rId2"/>
    <sheet name="계약서1" sheetId="4" r:id="rId3"/>
  </sheets>
  <externalReferences>
    <externalReference r:id="rId4"/>
  </externalReferences>
  <definedNames>
    <definedName name="_1.전기공사" localSheetId="2">#REF!</definedName>
    <definedName name="_1.전기공사">#REF!</definedName>
    <definedName name="_A100000" localSheetId="2">#REF!</definedName>
    <definedName name="_A100000">#REF!</definedName>
    <definedName name="_A66000" localSheetId="2">#REF!</definedName>
    <definedName name="_A66000">#REF!</definedName>
    <definedName name="_A67000" localSheetId="2">#REF!</definedName>
    <definedName name="_A67000">#REF!</definedName>
    <definedName name="_A68000" localSheetId="2">#REF!</definedName>
    <definedName name="_A68000">#REF!</definedName>
    <definedName name="_A80000" localSheetId="2">#REF!</definedName>
    <definedName name="_A80000">#REF!</definedName>
    <definedName name="_Fill" localSheetId="2" hidden="1">#REF!</definedName>
    <definedName name="_Fill" hidden="1">#REF!</definedName>
    <definedName name="_Key1" localSheetId="2" hidden="1">#REF!</definedName>
    <definedName name="_Key1" hidden="1">#REF!</definedName>
    <definedName name="_Key2" localSheetId="2" hidden="1">#REF!</definedName>
    <definedName name="_Key2" hidden="1">#REF!</definedName>
    <definedName name="_Order1" hidden="1">255</definedName>
    <definedName name="_Order2" hidden="1">255</definedName>
    <definedName name="_Sort" localSheetId="2" hidden="1">#REF!</definedName>
    <definedName name="_Sort" hidden="1">#REF!</definedName>
    <definedName name="_zz1" localSheetId="2">#REF!</definedName>
    <definedName name="_zz1">#REF!</definedName>
    <definedName name="가맹" localSheetId="2">#REF!</definedName>
    <definedName name="가맹">#REF!</definedName>
    <definedName name="가설공" localSheetId="2">#REF!</definedName>
    <definedName name="가설공">#REF!</definedName>
    <definedName name="가시설" localSheetId="2">#REF!</definedName>
    <definedName name="가시설">#REF!</definedName>
    <definedName name="감사.." localSheetId="2">#REF!</definedName>
    <definedName name="감사..">#REF!</definedName>
    <definedName name="갑지" localSheetId="2">#REF!</definedName>
    <definedName name="갑지">#REF!</definedName>
    <definedName name="건물용도" localSheetId="2">#REF!</definedName>
    <definedName name="건물용도">#REF!</definedName>
    <definedName name="건축" localSheetId="2">#REF!</definedName>
    <definedName name="건축">#REF!</definedName>
    <definedName name="경과년수">#REF!</definedName>
    <definedName name="계측기">#REF!,#REF!</definedName>
    <definedName name="고급" localSheetId="2">#REF!</definedName>
    <definedName name="고급">#REF!</definedName>
    <definedName name="고케">70455</definedName>
    <definedName name="공사명" localSheetId="2">#REF!</definedName>
    <definedName name="공사명">#REF!</definedName>
    <definedName name="공정수량" localSheetId="2">#REF!</definedName>
    <definedName name="공정수량">#REF!</definedName>
    <definedName name="공정집계" localSheetId="2">#REF!</definedName>
    <definedName name="공정집계">#REF!</definedName>
    <definedName name="공조실급수2" localSheetId="2">#REF!</definedName>
    <definedName name="공조실급수2">#REF!</definedName>
    <definedName name="구구일일">#REF!</definedName>
    <definedName name="구조방식" localSheetId="2">#REF!</definedName>
    <definedName name="구조방식">#REF!</definedName>
    <definedName name="구조형식" localSheetId="2">#REF!</definedName>
    <definedName name="구조형식">#REF!</definedName>
    <definedName name="근린합계" localSheetId="2">#REF!</definedName>
    <definedName name="근린합계">#REF!</definedName>
    <definedName name="기술료" localSheetId="2">#REF!</definedName>
    <definedName name="기술료">#REF!</definedName>
    <definedName name="기술사" localSheetId="2">#REF!</definedName>
    <definedName name="기술사">#REF!</definedName>
    <definedName name="기초대가" localSheetId="2">#REF!</definedName>
    <definedName name="기초대가">#REF!</definedName>
    <definedName name="내선">49296</definedName>
    <definedName name="내업" localSheetId="2">#REF!</definedName>
    <definedName name="내업">#REF!</definedName>
    <definedName name="내역" localSheetId="2">#REF!</definedName>
    <definedName name="내역">#REF!</definedName>
    <definedName name="내역111111111111111">#REF!</definedName>
    <definedName name="내역15회" localSheetId="2">#REF!</definedName>
    <definedName name="내역15회">#REF!</definedName>
    <definedName name="내역서" localSheetId="2">#REF!</definedName>
    <definedName name="내역서">#REF!</definedName>
    <definedName name="내역서01" localSheetId="2">#REF!</definedName>
    <definedName name="내역서01">#REF!</definedName>
    <definedName name="내역서02">#REF!</definedName>
    <definedName name="노임" localSheetId="2">#REF!</definedName>
    <definedName name="노임">#REF!</definedName>
    <definedName name="노임단가">#REF!</definedName>
    <definedName name="단가" localSheetId="2">#REF!</definedName>
    <definedName name="단가">#REF!</definedName>
    <definedName name="단지합계" localSheetId="2">#REF!</definedName>
    <definedName name="단지합계">#REF!</definedName>
    <definedName name="대구" localSheetId="2">#REF!</definedName>
    <definedName name="대구">#REF!</definedName>
    <definedName name="대구방범확정" localSheetId="2">#REF!</definedName>
    <definedName name="대구방범확정">#REF!</definedName>
    <definedName name="대외" localSheetId="2">#REF!</definedName>
    <definedName name="대외">#REF!</definedName>
    <definedName name="대외공문웅상" localSheetId="2">#REF!</definedName>
    <definedName name="대외공문웅상">#REF!</definedName>
    <definedName name="동락내역" localSheetId="2">#REF!</definedName>
    <definedName name="동락내역">#REF!</definedName>
    <definedName name="ㅁ1180" localSheetId="2">#REF!</definedName>
    <definedName name="ㅁ1180">#REF!</definedName>
    <definedName name="ㅁㅁ" localSheetId="2">#REF!</definedName>
    <definedName name="ㅁㅁ">#REF!</definedName>
    <definedName name="마산내역서" localSheetId="2">#REF!</definedName>
    <definedName name="마산내역서">#REF!</definedName>
    <definedName name="매크로19" localSheetId="2">#REF!</definedName>
    <definedName name="매크로19">#REF!</definedName>
    <definedName name="몰라" localSheetId="2">#REF!</definedName>
    <definedName name="몰라">#REF!</definedName>
    <definedName name="ㅂ">#REF!</definedName>
    <definedName name="ㅂ12">#REF!,#REF!</definedName>
    <definedName name="발주공사비" localSheetId="2">#REF!</definedName>
    <definedName name="발주공사비">#REF!</definedName>
    <definedName name="배전">182333</definedName>
    <definedName name="보통">34360</definedName>
    <definedName name="본점엔트런스계약의뢰" localSheetId="2">#REF!</definedName>
    <definedName name="본점엔트런스계약의뢰">#REF!</definedName>
    <definedName name="부대공" localSheetId="2">#REF!</definedName>
    <definedName name="부대공">#REF!</definedName>
    <definedName name="부대공사" localSheetId="2">#REF!</definedName>
    <definedName name="부대공사">#REF!</definedName>
    <definedName name="ㅅㄱ" localSheetId="2">#REF!</definedName>
    <definedName name="ㅅㄱ">#REF!</definedName>
    <definedName name="사급자재" localSheetId="2">#REF!</definedName>
    <definedName name="사급자재">#REF!</definedName>
    <definedName name="산출근거" localSheetId="2">#REF!</definedName>
    <definedName name="산출근거">#REF!</definedName>
    <definedName name="상우" localSheetId="2">#REF!</definedName>
    <definedName name="상우">#REF!</definedName>
    <definedName name="새수량">#REF!,#REF!</definedName>
    <definedName name="설비" localSheetId="2">#REF!</definedName>
    <definedName name="설비">#REF!</definedName>
    <definedName name="수량" localSheetId="2">#REF!</definedName>
    <definedName name="수량">#REF!</definedName>
    <definedName name="순공사" localSheetId="2">#REF!</definedName>
    <definedName name="순공사">#REF!</definedName>
    <definedName name="순공사비" localSheetId="2">#REF!</definedName>
    <definedName name="순공사비">#REF!</definedName>
    <definedName name="순공사비계" localSheetId="2">#REF!</definedName>
    <definedName name="순공사비계">#REF!</definedName>
    <definedName name="ㅇ" localSheetId="2">#REF!</definedName>
    <definedName name="ㅇ">#REF!</definedName>
    <definedName name="ㅇㄹㅇ" localSheetId="2">#REF!</definedName>
    <definedName name="ㅇㄹㅇ">#REF!</definedName>
    <definedName name="ㅇㅇ" localSheetId="2">#REF!</definedName>
    <definedName name="ㅇㅇ">#REF!</definedName>
    <definedName name="안전통로조서" localSheetId="2">{"Book1","01-1월자금청구.xls"}</definedName>
    <definedName name="안전통로조서">{"Book1","01-1월자금청구.xls"}</definedName>
    <definedName name="여벌" localSheetId="2">#REF!</definedName>
    <definedName name="여벌">#REF!</definedName>
    <definedName name="영구배수">#REF!,#REF!</definedName>
    <definedName name="영구배수1">#REF!,#REF!</definedName>
    <definedName name="용도" localSheetId="2">#REF!</definedName>
    <definedName name="용도">#REF!</definedName>
    <definedName name="용역" localSheetId="2">#REF!</definedName>
    <definedName name="용역">#REF!</definedName>
    <definedName name="이름">#REF!</definedName>
    <definedName name="인력품" localSheetId="2">#REF!</definedName>
    <definedName name="인력품">#REF!</definedName>
    <definedName name="인테리어" localSheetId="2">#REF!</definedName>
    <definedName name="인테리어">#REF!</definedName>
    <definedName name="일대1" localSheetId="2">#REF!</definedName>
    <definedName name="일대1">#REF!</definedName>
    <definedName name="일위" localSheetId="2">#REF!</definedName>
    <definedName name="일위">#REF!</definedName>
    <definedName name="일위1" localSheetId="2">#REF!</definedName>
    <definedName name="일위1">#REF!</definedName>
    <definedName name="일위대가" localSheetId="2">#REF!</definedName>
    <definedName name="일위대가">#REF!</definedName>
    <definedName name="일위목록" localSheetId="2">#REF!</definedName>
    <definedName name="일위목록">#REF!</definedName>
    <definedName name="일위수량" localSheetId="2">#REF!</definedName>
    <definedName name="일위수량">#REF!</definedName>
    <definedName name="자재">#REF!,#REF!</definedName>
    <definedName name="자재단가" localSheetId="2">#REF!</definedName>
    <definedName name="자재단가">#REF!</definedName>
    <definedName name="자재비" localSheetId="2">#REF!</definedName>
    <definedName name="자재비">#REF!</definedName>
    <definedName name="자재비." localSheetId="2">#REF!</definedName>
    <definedName name="자재비.">#REF!</definedName>
    <definedName name="자재집계">#REF!,#REF!</definedName>
    <definedName name="자탐" localSheetId="2">#REF!</definedName>
    <definedName name="자탐">#REF!</definedName>
    <definedName name="저케">62694</definedName>
    <definedName name="전기" localSheetId="2">#REF!</definedName>
    <definedName name="전기">#REF!</definedName>
    <definedName name="정립특수" localSheetId="2">{"Book1","01-1월자금청구.xls"}</definedName>
    <definedName name="정립특수">{"Book1","01-1월자금청구.xls"}</definedName>
    <definedName name="제경비" localSheetId="2">#REF!</definedName>
    <definedName name="제경비">#REF!</definedName>
    <definedName name="제작비" localSheetId="2">#REF!</definedName>
    <definedName name="제작비">#REF!</definedName>
    <definedName name="주배수" localSheetId="2">#REF!</definedName>
    <definedName name="주배수">#REF!</definedName>
    <definedName name="주변부대" localSheetId="2">#REF!</definedName>
    <definedName name="주변부대">#REF!</definedName>
    <definedName name="주부대공" localSheetId="2">#REF!</definedName>
    <definedName name="주부대공">#REF!</definedName>
    <definedName name="주토공" localSheetId="2">#REF!</definedName>
    <definedName name="주토공">#REF!</definedName>
    <definedName name="중급" localSheetId="2">#REF!</definedName>
    <definedName name="중급">#REF!</definedName>
    <definedName name="중기목록" localSheetId="2">#REF!</definedName>
    <definedName name="중기목록">#REF!</definedName>
    <definedName name="지급자재" localSheetId="2">#REF!</definedName>
    <definedName name="지급자재">#REF!</definedName>
    <definedName name="지급자재비계" localSheetId="2">#REF!</definedName>
    <definedName name="지급자재비계">#REF!</definedName>
    <definedName name="지하" localSheetId="2">#REF!</definedName>
    <definedName name="지하">#REF!</definedName>
    <definedName name="직영" localSheetId="2">#REF!</definedName>
    <definedName name="직영">#REF!</definedName>
    <definedName name="직접경비" localSheetId="2">#REF!</definedName>
    <definedName name="직접경비">#REF!</definedName>
    <definedName name="ㅊ2409" localSheetId="2">#REF!</definedName>
    <definedName name="ㅊ2409">#REF!</definedName>
    <definedName name="책정금액" localSheetId="2">#REF!</definedName>
    <definedName name="책정금액">#REF!</definedName>
    <definedName name="초급" localSheetId="2">#REF!</definedName>
    <definedName name="초급">#REF!</definedName>
    <definedName name="토공사" localSheetId="2">#REF!</definedName>
    <definedName name="토공사">#REF!</definedName>
    <definedName name="토공사2">#REF!,#REF!</definedName>
    <definedName name="토목" localSheetId="2">#REF!</definedName>
    <definedName name="토목">#REF!</definedName>
    <definedName name="통내">56623</definedName>
    <definedName name="통케">83279</definedName>
    <definedName name="투수콘" localSheetId="2">#REF!</definedName>
    <definedName name="투수콘">#REF!</definedName>
    <definedName name="특케">111738</definedName>
    <definedName name="폐기물처리용역" localSheetId="2">#REF!</definedName>
    <definedName name="폐기물처리용역">#REF!</definedName>
    <definedName name="포장공사" localSheetId="2">#REF!</definedName>
    <definedName name="포장공사">#REF!</definedName>
    <definedName name="포항내역서" localSheetId="2">#REF!</definedName>
    <definedName name="포항내역서">#REF!</definedName>
    <definedName name="표지" localSheetId="2" hidden="1">#REF!</definedName>
    <definedName name="표지" hidden="1">#REF!</definedName>
    <definedName name="표지2" localSheetId="2" hidden="1">#REF!</definedName>
    <definedName name="표지2" hidden="1">#REF!</definedName>
    <definedName name="표지3" localSheetId="2">#REF!</definedName>
    <definedName name="표지3">#REF!</definedName>
    <definedName name="품명" localSheetId="2">#REF!</definedName>
    <definedName name="품명">#REF!</definedName>
    <definedName name="한자">[1]숫자읽기!$U$3:$V$12</definedName>
    <definedName name="합계금액" localSheetId="2">#REF!</definedName>
    <definedName name="합계금액">#REF!</definedName>
    <definedName name="형식" localSheetId="2">#REF!</definedName>
    <definedName name="형식">#REF!</definedName>
    <definedName name="a" localSheetId="2">#REF!</definedName>
    <definedName name="a">#REF!</definedName>
    <definedName name="aaa" localSheetId="2">#REF!</definedName>
    <definedName name="aaa">#REF!</definedName>
    <definedName name="aaaaaaaaaaaaaa" localSheetId="2">#REF!</definedName>
    <definedName name="aaaaaaaaaaaaaa">#REF!</definedName>
    <definedName name="ABC">#REF!,#REF!</definedName>
    <definedName name="AS">#REF!,#REF!</definedName>
    <definedName name="AUAcºn" localSheetId="2">#REF!</definedName>
    <definedName name="AUAcºn">#REF!</definedName>
    <definedName name="Client" localSheetId="2">#REF!</definedName>
    <definedName name="Client">#REF!</definedName>
    <definedName name="CM" localSheetId="2">#REF!</definedName>
    <definedName name="CM">#REF!</definedName>
    <definedName name="cse" localSheetId="2">#REF!</definedName>
    <definedName name="cse">#REF!</definedName>
    <definedName name="_xlnm.Database" localSheetId="2">#REF!</definedName>
    <definedName name="_xlnm.Database">#REF!</definedName>
    <definedName name="DATABASE1" localSheetId="2">#REF!</definedName>
    <definedName name="DATABASE1">#REF!</definedName>
    <definedName name="Date_Bidding" localSheetId="2">#REF!</definedName>
    <definedName name="Date_Bidding">#REF!</definedName>
    <definedName name="ddq">#REF!,#REF!</definedName>
    <definedName name="Document_array" localSheetId="2">{"Book1","01-1월자금청구.xls"}</definedName>
    <definedName name="Document_array">{"Book1","01-1월자금청구.xls"}</definedName>
    <definedName name="DROW">#N/A</definedName>
    <definedName name="ek" localSheetId="2">#REF!</definedName>
    <definedName name="ek">#REF!</definedName>
    <definedName name="eorn1" localSheetId="2">#REF!</definedName>
    <definedName name="eorn1">#REF!</definedName>
    <definedName name="Exchange_Rate" localSheetId="2">#REF!</definedName>
    <definedName name="Exchange_Rate">#REF!</definedName>
    <definedName name="_xlnm.Extract" localSheetId="2">#REF!</definedName>
    <definedName name="_xlnm.Extract">#REF!</definedName>
    <definedName name="extract1" localSheetId="2">#REF!</definedName>
    <definedName name="extract1">#REF!</definedName>
    <definedName name="f" localSheetId="2">#REF!</definedName>
    <definedName name="f">#REF!</definedName>
    <definedName name="fgf" localSheetId="2">#REF!</definedName>
    <definedName name="fgf">#REF!</definedName>
    <definedName name="gidtlr" localSheetId="2">#REF!</definedName>
    <definedName name="gidtlr">#REF!</definedName>
    <definedName name="J" localSheetId="2">#REF!</definedName>
    <definedName name="J">#REF!</definedName>
    <definedName name="JL">#REF!,#REF!</definedName>
    <definedName name="lw" localSheetId="2">#REF!</definedName>
    <definedName name="lw">#REF!</definedName>
    <definedName name="Out_of_Scope" localSheetId="2">#REF!</definedName>
    <definedName name="Out_of_Scope">#REF!</definedName>
    <definedName name="P_1" localSheetId="2">#REF!</definedName>
    <definedName name="P_1">#REF!</definedName>
    <definedName name="P_2" localSheetId="2">#REF!</definedName>
    <definedName name="P_2">#REF!</definedName>
    <definedName name="P_3" localSheetId="2">#REF!</definedName>
    <definedName name="P_3">#REF!</definedName>
    <definedName name="P_4" localSheetId="2">#REF!</definedName>
    <definedName name="P_4">#REF!</definedName>
    <definedName name="Period_Const" localSheetId="2">#REF!</definedName>
    <definedName name="Period_Const">#REF!</definedName>
    <definedName name="phc" localSheetId="2">#REF!</definedName>
    <definedName name="phc">#REF!</definedName>
    <definedName name="_xlnm.Print_Area" localSheetId="0">갑지!$G$1:$AH$46</definedName>
    <definedName name="_xlnm.Print_Area" localSheetId="2">계약서1!$B$1:$U$110</definedName>
    <definedName name="_xlnm.Print_Area" localSheetId="1">대가산출!$G$1:$N$31</definedName>
    <definedName name="_xlnm.Print_Area">#REF!</definedName>
    <definedName name="PRINT_AREA_MI" localSheetId="2">#REF!</definedName>
    <definedName name="PRINT_AREA_MI">#REF!</definedName>
    <definedName name="PRINT_AREA_MI1" localSheetId="2">#REF!</definedName>
    <definedName name="PRINT_AREA_MI1">#REF!</definedName>
    <definedName name="print_title" localSheetId="2">#REF!</definedName>
    <definedName name="print_title">#REF!</definedName>
    <definedName name="_xlnm.Print_Titles" localSheetId="2">#REF!</definedName>
    <definedName name="_xlnm.Print_Titles">#REF!</definedName>
    <definedName name="PRINT_TITLES_MI" localSheetId="2">#REF!</definedName>
    <definedName name="PRINT_TITLES_MI">#REF!</definedName>
    <definedName name="PRINT_TITLES_MI1" localSheetId="2">#REF!</definedName>
    <definedName name="PRINT_TITLES_MI1">#REF!</definedName>
    <definedName name="Q" localSheetId="2">#REF!</definedName>
    <definedName name="Q">#REF!</definedName>
    <definedName name="QQQ" localSheetId="2">#REF!</definedName>
    <definedName name="QQQ">#REF!</definedName>
    <definedName name="RCD">#REF!,#REF!</definedName>
    <definedName name="s">#REF!,#REF!</definedName>
    <definedName name="sd">#REF!,#REF!</definedName>
    <definedName name="SSS" localSheetId="2">#REF!</definedName>
    <definedName name="SSS">#REF!</definedName>
    <definedName name="Story_Total" localSheetId="2">#REF!</definedName>
    <definedName name="Story_Total">#REF!</definedName>
    <definedName name="Struct_Type" localSheetId="2">#REF!</definedName>
    <definedName name="Struct_Type">#REF!</definedName>
    <definedName name="TC임대차공사" localSheetId="2">{"Book1","01-1월자금청구.xls"}</definedName>
    <definedName name="TC임대차공사">{"Book1","01-1월자금청구.xls"}</definedName>
    <definedName name="Total_Floor_Area" localSheetId="2">#REF!</definedName>
    <definedName name="Total_Floor_Area">#REF!</definedName>
    <definedName name="zz" localSheetId="2">#REF!</definedName>
    <definedName name="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3" l="1"/>
  <c r="M16" i="3"/>
  <c r="M15" i="3"/>
  <c r="M14" i="3"/>
  <c r="M13" i="3"/>
  <c r="M12" i="3"/>
  <c r="M11" i="3"/>
  <c r="M10" i="3"/>
  <c r="M9" i="3"/>
  <c r="M8" i="3"/>
  <c r="I5" i="3"/>
  <c r="R25" i="1"/>
  <c r="G40" i="4"/>
  <c r="F54" i="4" s="1"/>
  <c r="B9" i="4"/>
  <c r="G29" i="4" s="1"/>
  <c r="M17" i="3" l="1"/>
  <c r="M18" i="3" s="1"/>
  <c r="M22" i="3" s="1"/>
  <c r="M24" i="3" s="1"/>
  <c r="G35" i="4"/>
  <c r="F53" i="4"/>
  <c r="B61" i="4" s="1"/>
  <c r="M26" i="3" l="1"/>
  <c r="I4" i="3"/>
  <c r="G36" i="4" l="1"/>
  <c r="R35" i="1"/>
  <c r="G37" i="4"/>
</calcChain>
</file>

<file path=xl/sharedStrings.xml><?xml version="1.0" encoding="utf-8"?>
<sst xmlns="http://schemas.openxmlformats.org/spreadsheetml/2006/main" count="199" uniqueCount="180">
  <si>
    <t xml:space="preserve">㈜ 에 이 앤 비 </t>
  </si>
  <si>
    <t>문서번호 :</t>
  </si>
  <si>
    <t>작성일자 :</t>
  </si>
  <si>
    <t>수    신 :</t>
  </si>
  <si>
    <t>참    조 :</t>
  </si>
  <si>
    <t>관리소장님</t>
  </si>
  <si>
    <t>제    목 :</t>
  </si>
  <si>
    <t>㈜에이앤비 대표이사</t>
  </si>
  <si>
    <t>2026년 01월 05일</t>
  </si>
  <si>
    <t>ANB-20260105-13</t>
  </si>
  <si>
    <r>
      <t xml:space="preserve">           </t>
    </r>
    <r>
      <rPr>
        <b/>
        <sz val="12"/>
        <color rgb="FF000000"/>
        <rFont val="바탕체"/>
        <family val="1"/>
        <charset val="129"/>
      </rPr>
      <t>4.</t>
    </r>
    <r>
      <rPr>
        <sz val="12"/>
        <color rgb="FF000000"/>
        <rFont val="바탕체"/>
        <family val="1"/>
        <charset val="129"/>
      </rPr>
      <t xml:space="preserve"> 시설물 개요</t>
    </r>
  </si>
  <si>
    <t>서울 성북구 길음로9길 50 (길음동)</t>
  </si>
  <si>
    <t>2010년 09월</t>
  </si>
  <si>
    <t>02-912-5002</t>
  </si>
  <si>
    <t>/</t>
  </si>
  <si>
    <r>
      <t xml:space="preserve">           </t>
    </r>
    <r>
      <rPr>
        <b/>
        <sz val="12"/>
        <color rgb="FF000000"/>
        <rFont val="바탕체"/>
        <family val="1"/>
        <charset val="129"/>
      </rPr>
      <t>6.</t>
    </r>
    <r>
      <rPr>
        <sz val="12"/>
        <color rgb="FF000000"/>
        <rFont val="바탕체"/>
        <family val="1"/>
        <charset val="129"/>
      </rPr>
      <t xml:space="preserve"> 용    역    비    :</t>
    </r>
  </si>
  <si>
    <r>
      <t xml:space="preserve">           </t>
    </r>
    <r>
      <rPr>
        <b/>
        <sz val="12"/>
        <color rgb="FF000000"/>
        <rFont val="바탕체"/>
        <family val="1"/>
        <charset val="129"/>
      </rPr>
      <t>5.</t>
    </r>
    <r>
      <rPr>
        <sz val="12"/>
        <color rgb="FF000000"/>
        <rFont val="바탕체"/>
        <family val="1"/>
        <charset val="129"/>
      </rPr>
      <t xml:space="preserve"> 용  역   범  위   : </t>
    </r>
  </si>
  <si>
    <t xml:space="preserve">          </t>
  </si>
  <si>
    <t>30일입니다.</t>
  </si>
  <si>
    <t>전화번호 : 031-283-3328  담당자 : 이 현 희 실장</t>
  </si>
  <si>
    <t>발행일로부터</t>
  </si>
  <si>
    <t>대 표 이 사    서  응  원  (인)</t>
  </si>
  <si>
    <t>견적서 유효기간</t>
  </si>
  <si>
    <t>경기도 용인시 기흥구 마북로 159 (한성프라자 207호)</t>
  </si>
  <si>
    <t xml:space="preserve">※ 특이사항 </t>
  </si>
  <si>
    <t>사업자등록번호 : 863-87-00907</t>
  </si>
  <si>
    <t>㈜ 에    이    앤    비</t>
  </si>
  <si>
    <t>부가세 별도</t>
  </si>
  <si>
    <t>견  적  금  액</t>
  </si>
  <si>
    <t>별도</t>
  </si>
  <si>
    <t>절 삭 금 액</t>
  </si>
  <si>
    <t>구조형식,용도,경과년수</t>
  </si>
  <si>
    <t>%</t>
  </si>
  <si>
    <t xml:space="preserve"> 4. 직 접  경 비</t>
  </si>
  <si>
    <t xml:space="preserve"> 3. 기   술   료</t>
  </si>
  <si>
    <t xml:space="preserve"> 2. 제   경   비</t>
  </si>
  <si>
    <t>인·일</t>
  </si>
  <si>
    <t>초급기술자</t>
  </si>
  <si>
    <t>중급기술자</t>
  </si>
  <si>
    <t>고급기술자</t>
  </si>
  <si>
    <t>특급기술자</t>
  </si>
  <si>
    <t>나.내업</t>
  </si>
  <si>
    <t>가.외업</t>
  </si>
  <si>
    <t>비       고</t>
  </si>
  <si>
    <t>금      액</t>
  </si>
  <si>
    <t>인  원</t>
  </si>
  <si>
    <t>단  위</t>
  </si>
  <si>
    <t>단   가</t>
  </si>
  <si>
    <t>기술자등급</t>
  </si>
  <si>
    <t>구        분</t>
  </si>
  <si>
    <t>산  출  내  역  서</t>
  </si>
  <si>
    <t>부가가치세</t>
  </si>
  <si>
    <t>공급가액</t>
  </si>
  <si>
    <t>총  용  역  비</t>
  </si>
  <si>
    <t>사우</t>
  </si>
  <si>
    <t>㈜ 에이앤비</t>
  </si>
  <si>
    <r>
      <t xml:space="preserve">경기도 용인시 기흥구 마북로 </t>
    </r>
    <r>
      <rPr>
        <sz val="12"/>
        <color rgb="FF000000"/>
        <rFont val="돋움"/>
        <family val="2"/>
        <charset val="129"/>
      </rPr>
      <t>159 한성프라자 207호</t>
    </r>
  </si>
  <si>
    <r>
      <t xml:space="preserve">전화 </t>
    </r>
    <r>
      <rPr>
        <sz val="12"/>
        <color rgb="FF000000"/>
        <rFont val="돋움"/>
        <family val="2"/>
        <charset val="129"/>
      </rPr>
      <t>: 031-283-3328        팩스 :031-284-3328</t>
    </r>
  </si>
  <si>
    <t>계  약  자</t>
  </si>
  <si>
    <t>관 리 주 체</t>
  </si>
  <si>
    <t>계약상대자</t>
  </si>
  <si>
    <r>
      <rPr>
        <sz val="8"/>
        <color rgb="FF000000"/>
        <rFont val="돋움"/>
        <family val="2"/>
        <charset val="129"/>
      </rPr>
      <t xml:space="preserve">●   </t>
    </r>
    <r>
      <rPr>
        <sz val="12"/>
        <color rgb="FF000000"/>
        <rFont val="돋움"/>
        <family val="2"/>
        <charset val="129"/>
      </rPr>
      <t>상호또는법인명 : (주)에이앤비</t>
    </r>
  </si>
  <si>
    <r>
      <rPr>
        <sz val="8"/>
        <color rgb="FF000000"/>
        <rFont val="돋움"/>
        <family val="2"/>
        <charset val="129"/>
      </rPr>
      <t xml:space="preserve">●   </t>
    </r>
    <r>
      <rPr>
        <sz val="12"/>
        <color rgb="FF000000"/>
        <rFont val="돋움"/>
        <family val="2"/>
        <charset val="129"/>
      </rPr>
      <t>사업자등록번호 : 863-87-00907</t>
    </r>
  </si>
  <si>
    <r>
      <rPr>
        <sz val="8"/>
        <color rgb="FF000000"/>
        <rFont val="돋움"/>
        <family val="2"/>
        <charset val="129"/>
      </rPr>
      <t xml:space="preserve">●    </t>
    </r>
    <r>
      <rPr>
        <sz val="12"/>
        <color rgb="FF000000"/>
        <rFont val="돋움"/>
        <family val="2"/>
        <charset val="129"/>
      </rPr>
      <t>주 소 : 경기도 용인시 기흥구 마북로 159 한성프라자 207호</t>
    </r>
  </si>
  <si>
    <r>
      <rPr>
        <sz val="8"/>
        <color rgb="FF000000"/>
        <rFont val="돋움"/>
        <family val="2"/>
        <charset val="129"/>
      </rPr>
      <t xml:space="preserve">●   </t>
    </r>
    <r>
      <rPr>
        <sz val="12"/>
        <color rgb="FF000000"/>
        <rFont val="돋움"/>
        <family val="2"/>
        <charset val="129"/>
      </rPr>
      <t>전화번호 : 031-283-3328     팩스번호 : 031-284-3328</t>
    </r>
  </si>
  <si>
    <r>
      <rPr>
        <sz val="8"/>
        <color rgb="FF000000"/>
        <rFont val="돋움"/>
        <family val="2"/>
        <charset val="129"/>
      </rPr>
      <t xml:space="preserve">●   </t>
    </r>
    <r>
      <rPr>
        <sz val="12"/>
        <color rgb="FF000000"/>
        <rFont val="돋움"/>
        <family val="2"/>
        <charset val="129"/>
      </rPr>
      <t>대 표 자 : 서 응 원</t>
    </r>
  </si>
  <si>
    <t>계  약  내  용</t>
  </si>
  <si>
    <t>계 약 건 명</t>
  </si>
  <si>
    <t>계 약 금 액</t>
  </si>
  <si>
    <t>공 급 가 액</t>
  </si>
  <si>
    <t>부가 가치세</t>
  </si>
  <si>
    <t>10% 별도</t>
  </si>
  <si>
    <t xml:space="preserve">2026   .     .     .   ~   2026 .     .     . </t>
  </si>
  <si>
    <t>보고서 납품</t>
  </si>
  <si>
    <t>기 타 사 항</t>
  </si>
  <si>
    <r>
      <t>붙</t>
    </r>
    <r>
      <rPr>
        <sz val="12"/>
        <color rgb="FF000000"/>
        <rFont val="돋움"/>
        <family val="2"/>
        <charset val="129"/>
      </rPr>
      <t xml:space="preserve"> 임 서 류 :</t>
    </r>
  </si>
  <si>
    <r>
      <t>계</t>
    </r>
    <r>
      <rPr>
        <sz val="12"/>
        <color rgb="FF000000"/>
        <rFont val="돋움"/>
        <family val="2"/>
        <charset val="129"/>
      </rPr>
      <t xml:space="preserve"> 약 일 자 : </t>
    </r>
  </si>
  <si>
    <r>
      <t>&lt;</t>
    </r>
    <r>
      <rPr>
        <sz val="13"/>
        <color rgb="FF000000"/>
        <rFont val="돋움"/>
        <family val="2"/>
        <charset val="129"/>
      </rPr>
      <t>붙임 1&gt;</t>
    </r>
  </si>
  <si>
    <r>
      <t>제</t>
    </r>
    <r>
      <rPr>
        <b/>
        <sz val="12"/>
        <color rgb="FF000000"/>
        <rFont val="돋움"/>
        <family val="2"/>
        <charset val="129"/>
      </rPr>
      <t>1조(목적)</t>
    </r>
  </si>
  <si>
    <t>마곡엠밸리4단지아파트</t>
  </si>
  <si>
    <t>계약일로 부터 60일 이내이며 보고서 1부</t>
  </si>
  <si>
    <t>대표회의 회장  :</t>
  </si>
  <si>
    <t>(인)</t>
  </si>
  <si>
    <t xml:space="preserve"> 서        응       원 </t>
  </si>
  <si>
    <t xml:space="preserve">제2조(용역의 범위) </t>
  </si>
  <si>
    <t>제3조(용역의 종료 및 프로그램 계약기간)</t>
  </si>
  <si>
    <t>프로그램 계약기간은 서류접수한 날로 계약하여 6개월이 경과한 때에 종료한다.</t>
  </si>
  <si>
    <t>제4조(비용의 부담)</t>
  </si>
  <si>
    <t>② 지급시기는 계약일로 부터 60일 이내에 집급하여야 한다.</t>
  </si>
  <si>
    <t>③ 보고서 납품 완료 후 추가적인 조정은 계약기간 이내에는 "수주자"는 "발주자"의 요구가 있을 시 언제든지 응하여야 하며, 수정본에 대한 보고서 출력은 "발주자"가 직접 출력한다.</t>
  </si>
  <si>
    <t>④ 계약기간인 6개월이 경과 후 재조정시(수시조정 포함)에는 재계약을 진행하여야 하며 추가비용이 발생한다.</t>
  </si>
  <si>
    <t>제5조(통지·통보 방법)</t>
  </si>
  <si>
    <t>"수주자"는 장기수선계획업무와 관련한 사항을 통지·통보하고자 하는 때에는 서면으로 하는 것을 원칙으로 하고, "수주자"의 통지·통보 후 10일 이내에 "발주자"의 회신이 없는 경우 "발주자"가 통지·통보내용을 승낙한 것으로 본다.</t>
  </si>
  <si>
    <t>제6조(당사자의 의무 및 자료의 제공 및 보관 책임)</t>
  </si>
  <si>
    <t>② 위임업무 처리시 필요한 자료 통보</t>
  </si>
  <si>
    <t>"발주자"와 "수주자"사이에 분쟁이 발생한 경우 "발주자"에게 이익이 되는 법원을 관할법원으로 정한다.</t>
  </si>
  <si>
    <t>제7조(관할의 합의)</t>
  </si>
  <si>
    <t>제8조(계약의 승계 및 해지)</t>
  </si>
  <si>
    <t xml:space="preserve">① "발주자의 구성원 및 회장(단장 포함)이 변경이 있을 경우에도 본 계약은 자동적으로 후임 구성원 및 회장(단장 포함)에게 승계된 것으로 본다. </t>
  </si>
  <si>
    <t>제9조(특약사항)</t>
  </si>
  <si>
    <t>① 장기수선계획 작성은 "수주자"의 책임하에 소속 기술력을 발휘하여 작성한다.</t>
  </si>
  <si>
    <t>② 장기수선계획 조정시에는 검토보고서가 포함되지 않는다. 단, 검토보고서를 요청할 때에는 "발주자"가 작성하여 제공하는 것을 원칙으로 하되 "발주자"가 제공하지 않을시 "수주자"의 양식으로 진행함에 이의를 제기하지 않는다.</t>
  </si>
  <si>
    <t>④ 장기수선계획 관련 "발주자"가 "수주자"에게 제출한 모든 서류의 보관 기간은 3년으로 한다.</t>
  </si>
  <si>
    <t>⑥ 장기수선계획 용역 계약기간 내에는 보고서 바인더는 1권만 제공하고 추가 요청시는 1권당 3만원(부가세 별도)을 지급한다.</t>
  </si>
  <si>
    <t>장기수선계획서 조정 용역</t>
  </si>
  <si>
    <t>장기수선계획서 조정 계약서</t>
  </si>
  <si>
    <t>1. 장기수선계획서 조정 계약서 1부.</t>
  </si>
  <si>
    <t>장기수선계획서 조정 계약조건</t>
  </si>
  <si>
    <t>1. 장기수선 충당금 보조부원장(출력 가능한 년도까지)</t>
  </si>
  <si>
    <t>3. 단지개요, 적립요율부분, 최근 관리부과내역서, 사업자등록증 사본</t>
  </si>
  <si>
    <t>③ "수주자"가 "발주자"의 아파트 상황에 따라 필요서류를 급히 반환 및 열람을 요구하는 경우는 언제든지 응하여야 한다.</t>
  </si>
  <si>
    <t>가. 공동주택관리법 제29조에 의거한 장기수선계획 검토·조정</t>
  </si>
  <si>
    <t>아파트 15개동 1012세대</t>
  </si>
  <si>
    <t>(우)16910  경기도 용인시 기흥구 마북로 159 한성프라자 207호 (마북동)   전화 : 031-283-3328    팩스 : 031-284-3328</t>
  </si>
  <si>
    <t>※ 첨    부 :  1. 장기수선계획서 조정 견적서 1부 끝.</t>
  </si>
  <si>
    <t xml:space="preserve">장기수선계획 조정 </t>
  </si>
  <si>
    <t>계약  기간</t>
  </si>
  <si>
    <t>위       치</t>
  </si>
  <si>
    <t xml:space="preserve"> 2026년    월     일</t>
  </si>
  <si>
    <t>관 리 주 체(발 주 자)</t>
  </si>
  <si>
    <t>계 약 상 대 자(수 주 자)</t>
  </si>
  <si>
    <t>상      호  :</t>
  </si>
  <si>
    <t>상      호 :</t>
  </si>
  <si>
    <t xml:space="preserve"> ㈜  에  이  앤  비</t>
  </si>
  <si>
    <t>주      소  :</t>
  </si>
  <si>
    <t>주      소 :</t>
  </si>
  <si>
    <t xml:space="preserve">대표이사 : </t>
  </si>
  <si>
    <t>① 조정</t>
  </si>
  <si>
    <t>② 본 계약은 당사자 사이의 합의 또는 천재지변, 전쟁, 기타 불가항력의 사유로 인하여 위임업무가 불가능할 때 해지 할 수 있다.</t>
  </si>
  <si>
    <t>③ 장기수선계획서 완성본은 3회(검수, 수정, 회수)까지만 수정한 후 완료하는 것으로 한다.</t>
  </si>
  <si>
    <t xml:space="preserve">         (장기수선계획의 수립), 시행규칙 제7조(장기수선계획의 수립기준 등)의 규정에 따라</t>
  </si>
  <si>
    <t>3. 조정시에는 도면에 의한 물량산출은 하지 않는다(기존 장기수선계획서로 작성)</t>
  </si>
  <si>
    <t>2. "수주자"는 "발주자"가 제공한 자료가 부실한 경우 반드시 "발주자"에게 서면으로 통보한다.</t>
  </si>
  <si>
    <t>2. 기존 장기수선계획서 (이전 작성한 장기수선 계획서)</t>
  </si>
  <si>
    <t>4. 장기수선계획을 위한 사전 예비조사서 (수주자 제공 양식 작성)</t>
  </si>
  <si>
    <t>5. 아파트에서 결정해야 할 사항 (1∽4번 모두 작성)</t>
  </si>
  <si>
    <t>2026년</t>
  </si>
  <si>
    <t>1. "발주자"는 수주자"에게 제공한 기존 장기수선 계획서를 바탕으로 작성하는 업무</t>
  </si>
  <si>
    <t>① 장기수선계획서 조정 대행 계약서에 명기한 계약금액으로 한다.</t>
  </si>
  <si>
    <t>① "수주자"는 모든 지식과 기술을 활용하여 신의성실의 원칙에 따라 선량한 관리자로서 본 계약서에 정한 위임업무를 처리해야 하고, "발주자"는 "수주자"의 위임업무 처리에 필요하다고 인정되는 경우는 성실히 협조를 해야 한다. 또한 위임업무 처리를 위하여 "발주자"가 "수주자"에게 제공한 서류와 자료는 위임업무가 종료될 때 반환한다.</t>
  </si>
  <si>
    <t>⑦ 장기수선계획 보고서 바인더 제공 후 수정부분 출력은 "발주자" 자체적으로 출력하되 "수주자"에게 요청시에는 출력 및 우편 발송 비용(3만원 부가세 별도)등 별도로 발생한다.</t>
  </si>
  <si>
    <t>직접인건비*10%</t>
  </si>
  <si>
    <t>(직접인건비+제경비)*10%</t>
  </si>
  <si>
    <t>귀 아파트에서 수립하고자 하는 장기수선계획서 작성에 관한 견적서를 아래와 같이 제출하</t>
  </si>
  <si>
    <t>오니 검토하시어 수립 대행업무 위임하여 주시기 바랍니다.</t>
  </si>
  <si>
    <t>나. 이 견적서의 유효기간은 30일 입니다.</t>
  </si>
  <si>
    <t xml:space="preserve">마. 전화/팩스 번호 :  </t>
  </si>
  <si>
    <t>라. 준     공     일   :</t>
  </si>
  <si>
    <t>다. 단  지   규  모   :</t>
  </si>
  <si>
    <t xml:space="preserve">나. 소     재     지   : </t>
  </si>
  <si>
    <t>가. 단     지     명   :</t>
  </si>
  <si>
    <t>본 계약은 "발주자"가 관리하고 있는 시설물에 대하여 "발주자"는 시설물에 대한 공동주택관리법 제29조(장기수선계획)의 규정에 따라 장기적으로 주요시설을 보수하거나 교체하는데 필요한 계획의 재수립(수량 및 물량 적산)에 관한 장기수선 계획서 업무를 "수주자"에게 위임하고 "수주자"는 아파트의 장기수선계획서의 작성 조정 대행을 성실히 수행하는 것을 원칙으로 한다.</t>
  </si>
  <si>
    <t xml:space="preserve"> 6. 추 가  경 비</t>
  </si>
  <si>
    <t xml:space="preserve"> 7. 합 계 금 액</t>
  </si>
  <si>
    <r>
      <t xml:space="preserve"> </t>
    </r>
    <r>
      <rPr>
        <sz val="11"/>
        <color rgb="FF000000"/>
        <rFont val="한컴 솔잎 B"/>
        <charset val="129"/>
      </rPr>
      <t>5. 인   쇄   비</t>
    </r>
  </si>
  <si>
    <t>③ 계약이 해지된 때에는 "발주자"와 "수주자"는 지체없이 그때까지 발생한 비용 등을 정산하여야 한다.</t>
  </si>
  <si>
    <t>⑤ 장기수선계획 계약서 작성 및 제출 후 조정작업 진행하는 것을 원칙으로 한다. 다만, 부득이 계약서 작성 전에 급히 조정을 원하는 경우는 선 진행을 하되 중간에 "발주자"에 의해 계약 파기 요청을 하는 경우에는 계약금의 70%를 지급하기로 한다.</t>
  </si>
  <si>
    <t>가. 장기수선계획 용역기간 : 6개월   (계약일자로부터)</t>
  </si>
  <si>
    <t xml:space="preserve">            관리주체와 계약상대자는 상호 대등한 입장에서 붙임의 계약문서에 의하여 위와 같이 계약을 체결하고 신의에 따라 성실히 계약상의 의무를 이행할 것을 확약하며, 이 계약의 증거로서 계약서를 작성하여 당사자가 기명날인한 후 각각 1통씩 보관한다.</t>
  </si>
  <si>
    <t>( 1 + 2 + 3 + 4 + 5 + 6 )</t>
  </si>
  <si>
    <t xml:space="preserve"> 1. 직 접 인 건 비</t>
  </si>
  <si>
    <r>
      <rPr>
        <sz val="11"/>
        <color rgb="FF000000"/>
        <rFont val="돋움"/>
        <family val="2"/>
        <charset val="129"/>
      </rPr>
      <t>경기도 용인시 기흥구 마북로 159 한성프라자 207호</t>
    </r>
  </si>
  <si>
    <t>나. 장기수선계획 보고서(1부) 및 엑셀파일 출력물 제공</t>
  </si>
  <si>
    <t>031-657-6579</t>
  </si>
  <si>
    <t>팩스 :</t>
  </si>
  <si>
    <t>031-656-6579</t>
  </si>
  <si>
    <t>전화 :</t>
  </si>
  <si>
    <t xml:space="preserve">        「공동주택관리법」(이하 “공주법”이라 한다) 제29조(장기수선계획), 시행령 제30조</t>
  </si>
  <si>
    <t xml:space="preserve"> (이하 "발주자"라 한다)와 장기수선계획 조정 대행자인</t>
  </si>
  <si>
    <t xml:space="preserve">        ㈜ 에이앤비 (이하 "수주자"라 한다)는 다음과같이 계약을 체결한다.</t>
  </si>
  <si>
    <r>
      <t xml:space="preserve">                 </t>
    </r>
    <r>
      <rPr>
        <b/>
        <sz val="12"/>
        <color rgb="FF000000"/>
        <rFont val="함초롱바탕"/>
        <charset val="129"/>
      </rPr>
      <t>1.</t>
    </r>
    <r>
      <rPr>
        <sz val="12"/>
        <color rgb="FF000000"/>
        <rFont val="함초롱바탕"/>
        <charset val="129"/>
      </rPr>
      <t xml:space="preserve"> 귀 사의 무궁한 발전을 기원합니다.</t>
    </r>
  </si>
  <si>
    <r>
      <t xml:space="preserve">                 </t>
    </r>
    <r>
      <rPr>
        <b/>
        <sz val="12"/>
        <color rgb="FF000000"/>
        <rFont val="함초롱바탕"/>
        <charset val="129"/>
      </rPr>
      <t>2.</t>
    </r>
    <r>
      <rPr>
        <sz val="12"/>
        <color rgb="FF000000"/>
        <rFont val="함초롱바탕"/>
        <charset val="129"/>
      </rPr>
      <t xml:space="preserve"> 당 사는 경기도 용인시 기흥구 마북로 159, 한성프라자 207호에 위치한 업체</t>
    </r>
  </si>
  <si>
    <t>로 시설물 안전진단(구조 안전진단), 안전점검(정밀, 정기), 건축물 하자 조사(점검), 장기수</t>
  </si>
  <si>
    <t>선계획 조정(검토 포함) , 시설물 유지보수(도장, 방수공사 등), 기술자문 및 감리 등을 주 업</t>
  </si>
  <si>
    <t>무로 하는 ㈜에이앤비입니다.</t>
  </si>
  <si>
    <r>
      <t xml:space="preserve">                 </t>
    </r>
    <r>
      <rPr>
        <b/>
        <sz val="12"/>
        <color rgb="FF000000"/>
        <rFont val="함초롱바탕"/>
        <charset val="129"/>
      </rPr>
      <t>3.</t>
    </r>
    <r>
      <rPr>
        <sz val="12"/>
        <color rgb="FF000000"/>
        <rFont val="함초롱바탕"/>
        <charset val="129"/>
      </rPr>
      <t xml:space="preserve"> 그 동안 귀사에서 물심양면으로 도와주신 부분에 대하여 무궁한 감사 드리며, </t>
    </r>
  </si>
  <si>
    <r>
      <t xml:space="preserve">                 </t>
    </r>
    <r>
      <rPr>
        <b/>
        <sz val="12"/>
        <color rgb="FF000000"/>
        <rFont val="함초롱바탕"/>
        <charset val="129"/>
      </rPr>
      <t>4.</t>
    </r>
    <r>
      <rPr>
        <sz val="12"/>
        <color rgb="FF000000"/>
        <rFont val="함초롱바탕"/>
        <charset val="129"/>
      </rPr>
      <t xml:space="preserve"> 시설물 개요</t>
    </r>
  </si>
  <si>
    <r>
      <t xml:space="preserve">                 </t>
    </r>
    <r>
      <rPr>
        <b/>
        <sz val="12"/>
        <color rgb="FF000000"/>
        <rFont val="함초롱바탕"/>
        <charset val="129"/>
      </rPr>
      <t>6.</t>
    </r>
    <r>
      <rPr>
        <sz val="12"/>
        <color rgb="FF000000"/>
        <rFont val="함초롱바탕"/>
        <charset val="129"/>
      </rPr>
      <t xml:space="preserve"> 용    역    비  :</t>
    </r>
    <phoneticPr fontId="1" type="noConversion"/>
  </si>
  <si>
    <r>
      <t xml:space="preserve">                 7. </t>
    </r>
    <r>
      <rPr>
        <sz val="12"/>
        <color rgb="FF000000"/>
        <rFont val="함초롱바탕"/>
        <charset val="129"/>
      </rPr>
      <t>참 고 사 항</t>
    </r>
    <phoneticPr fontId="1" type="noConversion"/>
  </si>
  <si>
    <r>
      <t xml:space="preserve">    </t>
    </r>
    <r>
      <rPr>
        <b/>
        <sz val="12"/>
        <color rgb="FF000000"/>
        <rFont val="함초롱바탕"/>
        <charset val="129"/>
      </rPr>
      <t>5.</t>
    </r>
    <r>
      <rPr>
        <sz val="12"/>
        <color rgb="FF000000"/>
        <rFont val="함초롱바탕"/>
        <charset val="129"/>
      </rPr>
      <t xml:space="preserve"> 용  역   범  위 : 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</si>
</sst>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1">
    <numFmt numFmtId="41" formatCode="_(* #,##0_);_(* \(#,##0\);_(* &quot;-&quot;_);_(@_)"/>
    <numFmt numFmtId="176" formatCode="_-&quot;₩&quot;* #,##0_-;\-&quot;₩&quot;* #,##0_-;_-&quot;₩&quot;* &quot;-&quot;_-;_-@_-"/>
    <numFmt numFmtId="177" formatCode="_-* #,##0_-;\-* #,##0_-;_-* &quot;-&quot;_-;_-@_-"/>
    <numFmt numFmtId="178" formatCode="_-* #,##0.00_-;\-* #,##0.00_-;_-* &quot;-&quot;??_-;_-@_-"/>
    <numFmt numFmtId="179" formatCode="yyyy&quot;년&quot;\ m&quot;월&quot;\ d&quot;일&quot;;@"/>
    <numFmt numFmtId="180" formatCode="0_);[Red]\(0\)"/>
    <numFmt numFmtId="181" formatCode="#,##0_ "/>
    <numFmt numFmtId="182" formatCode="&quot;₩&quot;#,##0"/>
    <numFmt numFmtId="183" formatCode="&quot;일금&quot;\ [$-412]General&quot;원&quot;&quot;정&quot;"/>
    <numFmt numFmtId="184" formatCode="@\ &quot;정&quot;&quot;기&quot;&quot;안&quot;&quot;전&quot;&quot;점&quot;&quot;검&quot;&quot;(상반기)&quot;\ &quot;용&quot;&quot;역&quot;"/>
    <numFmt numFmtId="185" formatCode="\ "/>
    <numFmt numFmtId="186" formatCode="0.0"/>
    <numFmt numFmtId="187" formatCode="mm&quot;월&quot;\ dd&quot;일&quot;"/>
    <numFmt numFmtId="188" formatCode="_-* #,##0.0_-;\-* #,##0.0_-;_-* &quot;-&quot;??_-;_-@_-"/>
    <numFmt numFmtId="189" formatCode="_-* #,##0_-;\-* #,##0_-;_-* &quot;-&quot;??_-;_-@_-"/>
    <numFmt numFmtId="190" formatCode="_-&quot;$&quot;* #,##0.00_-;\-&quot;$&quot;* #,##0.00_-;_-&quot;$&quot;* &quot;-&quot;??_-;_-@_-"/>
    <numFmt numFmtId="191" formatCode="_-&quot;$&quot;* #,##0_-;\-&quot;$&quot;* #,##0_-;_-&quot;$&quot;* &quot;-&quot;_-;_-@_-"/>
    <numFmt numFmtId="192" formatCode="_ * #,##0_ ;_ * \-#,##0_ ;_ * &quot;-&quot;_ ;_ @_ "/>
    <numFmt numFmtId="193" formatCode="#,##0;&quot;-&quot;#,##0"/>
    <numFmt numFmtId="194" formatCode="#,##0.0;[Red]#,##0.0;&quot; &quot;"/>
    <numFmt numFmtId="195" formatCode="0.0000%"/>
    <numFmt numFmtId="196" formatCode="#,##0.0000"/>
    <numFmt numFmtId="197" formatCode="0.0000"/>
    <numFmt numFmtId="198" formatCode="#,##0,"/>
    <numFmt numFmtId="199" formatCode="0.000"/>
    <numFmt numFmtId="200" formatCode="#,##0.00;[Red]#,##0.00;&quot; &quot;"/>
    <numFmt numFmtId="201" formatCode="_ &quot;₩&quot;* #,##0_ ;_ &quot;₩&quot;* \-#,##0_ ;_ &quot;₩&quot;* &quot;-&quot;_ ;_ @_ "/>
    <numFmt numFmtId="202" formatCode="_ &quot;₩&quot;* #,##0.00_ ;_ &quot;₩&quot;* \-#,##0.00_ ;_ &quot;₩&quot;* &quot;-&quot;??_ ;_ @_ "/>
    <numFmt numFmtId="203" formatCode="_ * #,##0.00_ ;_ * \-#,##0.00_ ;_ * &quot;-&quot;??_ ;_ @_ "/>
    <numFmt numFmtId="204" formatCode="\$#,##0;\(\$#,##0\)"/>
    <numFmt numFmtId="205" formatCode="0.00&quot;  &quot;"/>
    <numFmt numFmtId="206" formatCode="0,###,###"/>
    <numFmt numFmtId="207" formatCode="0.##"/>
    <numFmt numFmtId="208" formatCode="#,##0\ &quot;Esc.&quot;;[Red]\-#,##0\ &quot;Esc.&quot;"/>
    <numFmt numFmtId="209" formatCode="#,##0.00&quot; F&quot;_);\(#,##0.00&quot; F&quot;\)"/>
    <numFmt numFmtId="210" formatCode="#,##0.000\ &quot;EA &quot;"/>
    <numFmt numFmtId="211" formatCode="###"/>
    <numFmt numFmtId="212" formatCode="##"/>
    <numFmt numFmtId="213" formatCode="#,##0.0_);\(#,##0.0\)"/>
    <numFmt numFmtId="214" formatCode="#,##0.000\ &quot;㎏ &quot;"/>
    <numFmt numFmtId="215" formatCode="#,##0.000\ &quot;m  &quot;"/>
    <numFmt numFmtId="216" formatCode="#,##0.000\ &quot;㎡ &quot;"/>
    <numFmt numFmtId="217" formatCode="#,##0.000\ &quot;㎥ &quot;"/>
    <numFmt numFmtId="218" formatCode="&quot;$&quot;#,##0.0_);\(&quot;$&quot;#,##0.0\)"/>
    <numFmt numFmtId="219" formatCode="&quot;$&quot;#,##0;\-&quot;$&quot;#,##0"/>
    <numFmt numFmtId="220" formatCode="0.00_);[Red]\(0.00\)"/>
    <numFmt numFmtId="221" formatCode="_-* #,##0\ &quot;DM&quot;_-;\-* #,##0\ &quot;DM&quot;_-;_-* &quot;-&quot;\ &quot;DM&quot;_-;_-@_-"/>
    <numFmt numFmtId="222" formatCode="_-* #,##0.00\ &quot;DM&quot;_-;\-* #,##0.00\ &quot;DM&quot;_-;_-* &quot;-&quot;??\ &quot;DM&quot;_-;_-@_-"/>
    <numFmt numFmtId="223" formatCode="&quot;₩&quot;#,##0;&quot;₩&quot;&quot;₩&quot;&quot;₩&quot;&quot;₩&quot;\-#,##0"/>
    <numFmt numFmtId="224" formatCode="#,##0;[Red]&quot;△&quot;#,##0"/>
    <numFmt numFmtId="225" formatCode="#."/>
    <numFmt numFmtId="226" formatCode="_(&quot;RM&quot;* #,##0.00_);_(&quot;RM&quot;* \(#,##0.00\);_(&quot;RM&quot;* &quot;-&quot;??_);_(@_)"/>
    <numFmt numFmtId="227" formatCode="&quot;US$&quot;#,##0_);\(&quot;US$&quot;#,##0\)"/>
    <numFmt numFmtId="228" formatCode="0_);\(0\)"/>
    <numFmt numFmtId="229" formatCode="0.0%"/>
    <numFmt numFmtId="230" formatCode="?/?#"/>
    <numFmt numFmtId="231" formatCode="_-* #,##0;\-* #,##0;_-* &quot;-&quot;;_-@"/>
    <numFmt numFmtId="232" formatCode="#,##0;[Red]&quot;-&quot;#,##0"/>
    <numFmt numFmtId="233" formatCode="&quot;  &quot;@"/>
    <numFmt numFmtId="234" formatCode="&quot;₩&quot;#,##0;[Red]&quot;₩&quot;&quot;₩&quot;&quot;₩&quot;&quot;₩&quot;\-#,##0"/>
    <numFmt numFmtId="235" formatCode="&quot;US$&quot;#,##0_);[Red]\(&quot;US$&quot;#,##0\)"/>
    <numFmt numFmtId="236" formatCode="_-* #,##0_-;&quot;₩&quot;\!\-* #,##0_-;_-* &quot;-&quot;_-;_-@_-"/>
    <numFmt numFmtId="237" formatCode="&quot;₩&quot;#\!\,##0;[Red]&quot;₩&quot;&quot;₩&quot;\!\-#\!\,##0"/>
    <numFmt numFmtId="238" formatCode="#,##0&quot; &quot;;[Red]&quot;△&quot;#,##0&quot; &quot;"/>
    <numFmt numFmtId="239" formatCode="* #,##0&quot; &quot;;[Red]* &quot;△&quot;#,##0&quot; &quot;;* @"/>
    <numFmt numFmtId="240" formatCode="_-* #,##0.000_-;\-* #,##0.000_-;_-* &quot;-&quot;_-;_-@_-"/>
    <numFmt numFmtId="241" formatCode="#,##0.####;[Red]&quot;△&quot;#,##0.####"/>
    <numFmt numFmtId="242" formatCode="#,##0.00##;[Red]&quot;△&quot;#,##0.00##"/>
    <numFmt numFmtId="243" formatCode="_-* #,##0.00_-;&quot;₩&quot;&quot;₩&quot;\-* #,##0.00_-;_-* &quot;-&quot;??_-;_-@_-"/>
    <numFmt numFmtId="244" formatCode="_-&quot;₩&quot;* #,##0.00_-;&quot;₩&quot;&quot;₩&quot;\-&quot;₩&quot;* #,##0.00_-;_-&quot;₩&quot;* &quot;-&quot;??_-;_-@_-"/>
    <numFmt numFmtId="245" formatCode="&quot;₩&quot;#,##0.00;&quot;₩&quot;&quot;₩&quot;&quot;₩&quot;&quot;₩&quot;\-#,##0.00"/>
  </numFmts>
  <fonts count="115">
    <font>
      <sz val="10"/>
      <color rgb="FF000000"/>
      <name val="바탕"/>
    </font>
    <font>
      <sz val="12"/>
      <color rgb="FF000000"/>
      <name val="함초롬바탕"/>
      <family val="3"/>
      <charset val="129"/>
    </font>
    <font>
      <sz val="12"/>
      <color rgb="FF000000"/>
      <name val="돋움"/>
      <family val="2"/>
      <charset val="129"/>
    </font>
    <font>
      <b/>
      <sz val="28"/>
      <color rgb="FF000000"/>
      <name val="함초롬바탕"/>
      <charset val="129"/>
    </font>
    <font>
      <sz val="10"/>
      <color rgb="FF000000"/>
      <name val="NanumGothic"/>
      <family val="2"/>
      <charset val="129"/>
    </font>
    <font>
      <sz val="11"/>
      <color rgb="FF000000"/>
      <name val="함초롬바탕"/>
      <charset val="129"/>
    </font>
    <font>
      <b/>
      <sz val="12"/>
      <color rgb="FF000000"/>
      <name val="바탕체"/>
      <family val="1"/>
      <charset val="129"/>
    </font>
    <font>
      <sz val="8"/>
      <color rgb="FF000000"/>
      <name val="돋움"/>
      <family val="2"/>
      <charset val="129"/>
    </font>
    <font>
      <sz val="11"/>
      <color rgb="FF000000"/>
      <name val="돋움"/>
      <family val="2"/>
      <charset val="129"/>
    </font>
    <font>
      <sz val="12"/>
      <color rgb="FF000000"/>
      <name val="바탕체"/>
      <family val="1"/>
      <charset val="129"/>
    </font>
    <font>
      <sz val="11"/>
      <color rgb="FF000000"/>
      <name val="바탕체"/>
      <family val="1"/>
      <charset val="129"/>
    </font>
    <font>
      <sz val="12"/>
      <color theme="1"/>
      <name val="돋움"/>
      <family val="2"/>
      <charset val="129"/>
    </font>
    <font>
      <sz val="13"/>
      <color rgb="FF000000"/>
      <name val="굴림"/>
      <family val="2"/>
      <charset val="129"/>
    </font>
    <font>
      <sz val="13"/>
      <color rgb="FF000000"/>
      <name val="한컴 솔잎 B"/>
      <family val="3"/>
      <charset val="129"/>
    </font>
    <font>
      <sz val="11"/>
      <color rgb="FF000000"/>
      <name val="한컴 솔잎 B"/>
      <charset val="129"/>
    </font>
    <font>
      <sz val="16"/>
      <color rgb="FF000000"/>
      <name val="한컴 솔잎 B"/>
      <charset val="129"/>
    </font>
    <font>
      <sz val="10"/>
      <color rgb="FF000000"/>
      <name val="굴림"/>
      <family val="2"/>
      <charset val="129"/>
    </font>
    <font>
      <sz val="14"/>
      <color rgb="FF000000"/>
      <name val="한컴 솔잎 B"/>
      <charset val="129"/>
    </font>
    <font>
      <sz val="10"/>
      <color rgb="FF000000"/>
      <name val="한컴 솔잎 B"/>
      <charset val="129"/>
    </font>
    <font>
      <sz val="12"/>
      <color rgb="FF000000"/>
      <name val="한컴 솔잎 B"/>
      <charset val="129"/>
    </font>
    <font>
      <sz val="8"/>
      <color rgb="FF000000"/>
      <name val="한컴 솔잎 B"/>
      <charset val="129"/>
    </font>
    <font>
      <b/>
      <sz val="11"/>
      <color rgb="FF000000"/>
      <name val="한컴 솔잎 B"/>
      <charset val="129"/>
    </font>
    <font>
      <sz val="9"/>
      <color rgb="FF000000"/>
      <name val="한컴 솔잎 B"/>
      <charset val="129"/>
    </font>
    <font>
      <sz val="11"/>
      <color theme="1"/>
      <name val="맑은 고딕"/>
      <family val="2"/>
      <charset val="129"/>
      <scheme val="minor"/>
    </font>
    <font>
      <sz val="11"/>
      <color rgb="FF000000"/>
      <name val="굴림"/>
      <family val="2"/>
      <charset val="129"/>
    </font>
    <font>
      <sz val="20"/>
      <color rgb="FF000000"/>
      <name val="한컴 솔잎 B"/>
      <charset val="129"/>
    </font>
    <font>
      <sz val="11"/>
      <color rgb="FF000000"/>
      <name val="굴림체"/>
      <family val="2"/>
      <charset val="129"/>
    </font>
    <font>
      <sz val="10"/>
      <color rgb="FF000000"/>
      <name val="굴림체"/>
      <family val="2"/>
      <charset val="129"/>
    </font>
    <font>
      <sz val="22"/>
      <color rgb="FF000000"/>
      <name val="한컴 솔잎 B"/>
      <charset val="129"/>
    </font>
    <font>
      <sz val="26"/>
      <color rgb="FF000000"/>
      <name val="한컴 솔잎 B"/>
      <charset val="129"/>
    </font>
    <font>
      <sz val="10"/>
      <color rgb="FF000000"/>
      <name val="MS Sans Serif"/>
    </font>
    <font>
      <sz val="12"/>
      <color rgb="FF000000"/>
      <name val="돋움체"/>
      <family val="2"/>
      <charset val="129"/>
    </font>
    <font>
      <sz val="12"/>
      <color rgb="FF000000"/>
      <name val="굴림체"/>
      <family val="2"/>
      <charset val="129"/>
    </font>
    <font>
      <i/>
      <sz val="12"/>
      <color rgb="FF000000"/>
      <name val="굴림체"/>
      <family val="2"/>
      <charset val="129"/>
    </font>
    <font>
      <sz val="10"/>
      <color rgb="FF000000"/>
      <name val="Arial"/>
      <family val="2"/>
    </font>
    <font>
      <sz val="10"/>
      <color rgb="FF000000"/>
      <name val="Times New Roman"/>
      <family val="1"/>
    </font>
    <font>
      <sz val="10"/>
      <color rgb="FF000000"/>
      <name val="Helv"/>
    </font>
    <font>
      <sz val="12"/>
      <color rgb="FF000000"/>
      <name val="Times New Roman"/>
      <family val="1"/>
    </font>
    <font>
      <sz val="10"/>
      <color rgb="FF000000"/>
      <name val="Courier New"/>
      <family val="1"/>
    </font>
    <font>
      <sz val="12"/>
      <color rgb="FF000000"/>
      <name val="견명조"/>
      <family val="3"/>
      <charset val="129"/>
    </font>
    <font>
      <sz val="10"/>
      <color rgb="FF000000"/>
      <name val="돋움체"/>
      <family val="2"/>
      <charset val="129"/>
    </font>
    <font>
      <sz val="12"/>
      <color rgb="FF000000"/>
      <name val="ⓒoUAAA¨u"/>
      <family val="3"/>
      <charset val="129"/>
    </font>
    <font>
      <sz val="12"/>
      <color rgb="FF000000"/>
      <name val="¹UAAA¼"/>
      <family val="3"/>
      <charset val="129"/>
    </font>
    <font>
      <sz val="12"/>
      <color rgb="FF000000"/>
      <name val="¹ÙÅÁÃ¼"/>
      <family val="3"/>
      <charset val="129"/>
    </font>
    <font>
      <sz val="12"/>
      <color rgb="FF000000"/>
      <name val="±¼¸²A¼"/>
      <family val="3"/>
      <charset val="129"/>
    </font>
    <font>
      <sz val="8"/>
      <color rgb="FF000000"/>
      <name val="Times New Roman"/>
      <family val="1"/>
    </font>
    <font>
      <sz val="10"/>
      <color rgb="FF000000"/>
      <name val="μ¸¿oA¼"/>
      <family val="3"/>
      <charset val="129"/>
    </font>
    <font>
      <sz val="12"/>
      <color rgb="FF000000"/>
      <name val="System"/>
    </font>
    <font>
      <b/>
      <sz val="10"/>
      <color rgb="FF000000"/>
      <name val="Helv"/>
    </font>
    <font>
      <u/>
      <sz val="10"/>
      <color rgb="FF0000FF"/>
      <name val="Arial"/>
      <family val="2"/>
    </font>
    <font>
      <sz val="10"/>
      <color rgb="FF000000"/>
      <name val="MS Serif"/>
    </font>
    <font>
      <sz val="10"/>
      <color rgb="FF000000"/>
      <name val="Courier"/>
    </font>
    <font>
      <sz val="1"/>
      <color rgb="FF000000"/>
      <name val="Courier"/>
    </font>
    <font>
      <sz val="10"/>
      <color rgb="FF000000"/>
      <name val="바탕체"/>
      <family val="1"/>
      <charset val="129"/>
    </font>
    <font>
      <sz val="10"/>
      <color rgb="FF800000"/>
      <name val="MS Serif"/>
    </font>
    <font>
      <i/>
      <sz val="1"/>
      <color rgb="FF000000"/>
      <name val="Courier"/>
    </font>
    <font>
      <sz val="8"/>
      <color rgb="FF000000"/>
      <name val="Arial"/>
      <family val="2"/>
    </font>
    <font>
      <b/>
      <sz val="12"/>
      <color rgb="FF000000"/>
      <name val="Helv"/>
    </font>
    <font>
      <b/>
      <sz val="12"/>
      <color rgb="FF000000"/>
      <name val="Arial"/>
      <family val="2"/>
    </font>
    <font>
      <b/>
      <sz val="1"/>
      <color rgb="FF000000"/>
      <name val="Courier"/>
    </font>
    <font>
      <sz val="12"/>
      <color rgb="FF000000"/>
      <name val="Helv"/>
    </font>
    <font>
      <sz val="12"/>
      <color rgb="FFC0C0C0"/>
      <name val="Helv"/>
    </font>
    <font>
      <b/>
      <sz val="11"/>
      <color rgb="FF000000"/>
      <name val="Helv"/>
    </font>
    <font>
      <sz val="12"/>
      <color rgb="FF000000"/>
      <name val="宋体"/>
      <charset val="134"/>
    </font>
    <font>
      <sz val="7"/>
      <color rgb="FF000000"/>
      <name val="Small Fonts"/>
    </font>
    <font>
      <sz val="10"/>
      <color rgb="FF000000"/>
      <name val="Tms Rmn"/>
    </font>
    <font>
      <sz val="8"/>
      <color rgb="FF000000"/>
      <name val="Helv"/>
    </font>
    <font>
      <b/>
      <sz val="8"/>
      <color rgb="FF000000"/>
      <name val="Times New Roman"/>
      <family val="1"/>
    </font>
    <font>
      <b/>
      <sz val="8"/>
      <color rgb="FF000000"/>
      <name val="Helv"/>
    </font>
    <font>
      <b/>
      <i/>
      <sz val="18"/>
      <color rgb="FF0000FF"/>
      <name val="돋움체"/>
      <family val="2"/>
      <charset val="129"/>
    </font>
    <font>
      <b/>
      <u/>
      <sz val="13"/>
      <color rgb="FF000000"/>
      <name val="굴림체"/>
      <family val="2"/>
      <charset val="129"/>
    </font>
    <font>
      <sz val="8"/>
      <color rgb="FF000000"/>
      <name val="바탕체"/>
      <family val="1"/>
      <charset val="129"/>
    </font>
    <font>
      <u/>
      <sz val="10"/>
      <color rgb="FF800080"/>
      <name val="Arial"/>
      <family val="2"/>
    </font>
    <font>
      <sz val="12"/>
      <color rgb="FF000000"/>
      <name val="명조"/>
      <family val="3"/>
      <charset val="129"/>
    </font>
    <font>
      <b/>
      <sz val="11"/>
      <color rgb="FF000000"/>
      <name val="돋움"/>
      <family val="2"/>
      <charset val="129"/>
    </font>
    <font>
      <u/>
      <sz val="10"/>
      <color rgb="FFFF00FF"/>
      <name val="MS Sans Serif"/>
    </font>
    <font>
      <sz val="9"/>
      <color rgb="FF000000"/>
      <name val="돋움체"/>
      <family val="2"/>
      <charset val="129"/>
    </font>
    <font>
      <sz val="11"/>
      <color rgb="FF000000"/>
      <name val="돋움체"/>
      <family val="2"/>
      <charset val="129"/>
    </font>
    <font>
      <sz val="9"/>
      <color rgb="FF000000"/>
      <name val="MS Sans Serif"/>
    </font>
    <font>
      <sz val="12"/>
      <color rgb="FF000000"/>
      <name val="뼻뮝"/>
      <family val="3"/>
      <charset val="129"/>
    </font>
    <font>
      <sz val="10"/>
      <color rgb="FFFFFFFF"/>
      <name val="돋움체"/>
      <family val="2"/>
      <charset val="129"/>
    </font>
    <font>
      <sz val="10"/>
      <color rgb="FF000000"/>
      <name val="돋움"/>
      <family val="2"/>
      <charset val="129"/>
    </font>
    <font>
      <b/>
      <sz val="12"/>
      <color rgb="FF800000"/>
      <name val="굴림체"/>
      <family val="2"/>
      <charset val="129"/>
    </font>
    <font>
      <sz val="10"/>
      <color rgb="FF000000"/>
      <name val="명조"/>
      <charset val="129"/>
    </font>
    <font>
      <sz val="10"/>
      <color rgb="FF000000"/>
      <name val="궁서(English)"/>
      <family val="3"/>
      <charset val="129"/>
    </font>
    <font>
      <sz val="10"/>
      <color rgb="FF0000FF"/>
      <name val="굴림체"/>
      <family val="2"/>
      <charset val="129"/>
    </font>
    <font>
      <sz val="12"/>
      <color rgb="FF000000"/>
      <name val="견고딕"/>
      <family val="3"/>
      <charset val="129"/>
    </font>
    <font>
      <sz val="18"/>
      <color rgb="FF000000"/>
      <name val="돋움체"/>
      <family val="2"/>
      <charset val="129"/>
    </font>
    <font>
      <sz val="17"/>
      <color rgb="FF000000"/>
      <name val="바탕체"/>
      <family val="1"/>
      <charset val="129"/>
    </font>
    <font>
      <sz val="11"/>
      <color rgb="FF006100"/>
      <name val="맑은 고딕"/>
      <family val="2"/>
      <charset val="129"/>
      <scheme val="minor"/>
    </font>
    <font>
      <sz val="2"/>
      <color rgb="FF000000"/>
      <name val="돋움"/>
      <family val="2"/>
      <charset val="129"/>
    </font>
    <font>
      <b/>
      <sz val="33"/>
      <color rgb="FF000000"/>
      <name val="돋움"/>
      <family val="2"/>
      <charset val="129"/>
    </font>
    <font>
      <b/>
      <sz val="20"/>
      <color rgb="FF000000"/>
      <name val="돋움"/>
      <family val="2"/>
      <charset val="129"/>
    </font>
    <font>
      <b/>
      <sz val="36"/>
      <color rgb="FF000000"/>
      <name val="돋움"/>
      <family val="2"/>
      <charset val="129"/>
    </font>
    <font>
      <b/>
      <sz val="17"/>
      <color rgb="FF000000"/>
      <name val="돋움"/>
      <family val="2"/>
      <charset val="129"/>
    </font>
    <font>
      <b/>
      <sz val="14"/>
      <color rgb="FF000000"/>
      <name val="돋움"/>
      <family val="2"/>
      <charset val="129"/>
    </font>
    <font>
      <b/>
      <sz val="12"/>
      <color rgb="FF000000"/>
      <name val="돋움"/>
      <family val="2"/>
      <charset val="129"/>
    </font>
    <font>
      <sz val="11.5"/>
      <color rgb="FF000000"/>
      <name val="돋움"/>
      <family val="2"/>
      <charset val="129"/>
    </font>
    <font>
      <sz val="13"/>
      <color rgb="FF000000"/>
      <name val="돋움"/>
      <family val="2"/>
      <charset val="129"/>
    </font>
    <font>
      <b/>
      <u/>
      <sz val="20"/>
      <color rgb="FF000000"/>
      <name val="돋움"/>
      <family val="2"/>
      <charset val="129"/>
    </font>
    <font>
      <u/>
      <sz val="11"/>
      <color theme="10"/>
      <name val="바탕"/>
      <family val="1"/>
      <charset val="129"/>
    </font>
    <font>
      <u/>
      <sz val="11"/>
      <color theme="11"/>
      <name val="바탕"/>
      <family val="1"/>
      <charset val="129"/>
    </font>
    <font>
      <b/>
      <sz val="18"/>
      <color rgb="FF000000"/>
      <name val="돋움"/>
      <family val="2"/>
      <charset val="129"/>
    </font>
    <font>
      <sz val="10"/>
      <color rgb="FF000000"/>
      <name val="바탕"/>
      <family val="1"/>
      <charset val="129"/>
    </font>
    <font>
      <sz val="12"/>
      <color rgb="FF000000"/>
      <name val="함초롱바탕"/>
      <charset val="129"/>
    </font>
    <font>
      <b/>
      <sz val="36"/>
      <color rgb="FF000000"/>
      <name val="함초롱바탕"/>
      <charset val="129"/>
    </font>
    <font>
      <sz val="9"/>
      <color rgb="FF000000"/>
      <name val="함초롱바탕"/>
      <charset val="129"/>
    </font>
    <font>
      <sz val="10"/>
      <color rgb="FF000000"/>
      <name val="함초롱바탕"/>
      <charset val="129"/>
    </font>
    <font>
      <b/>
      <sz val="12"/>
      <color rgb="FF000000"/>
      <name val="함초롱바탕"/>
      <charset val="129"/>
    </font>
    <font>
      <b/>
      <u/>
      <sz val="12"/>
      <color rgb="FFFF0000"/>
      <name val="함초롱바탕"/>
      <charset val="129"/>
    </font>
    <font>
      <sz val="12"/>
      <color theme="1"/>
      <name val="함초롱바탕"/>
      <charset val="129"/>
    </font>
    <font>
      <sz val="11.5"/>
      <color rgb="FF000000"/>
      <name val="함초롱바탕"/>
      <charset val="129"/>
    </font>
    <font>
      <b/>
      <sz val="32"/>
      <color rgb="FF000000"/>
      <name val="함초롱바탕"/>
      <charset val="129"/>
    </font>
    <font>
      <b/>
      <u/>
      <sz val="12"/>
      <color theme="1"/>
      <name val="함초롱바탕"/>
      <charset val="129"/>
    </font>
    <font>
      <b/>
      <u/>
      <sz val="12"/>
      <color rgb="FF000000"/>
      <name val="함초롱바탕"/>
      <charset val="129"/>
    </font>
  </fonts>
  <fills count="14">
    <fill>
      <patternFill patternType="none"/>
    </fill>
    <fill>
      <patternFill patternType="gray125"/>
    </fill>
    <fill>
      <patternFill patternType="solid">
        <fgColor rgb="FFC0C0C0"/>
        <bgColor rgb="FFFFFFFF"/>
      </patternFill>
    </fill>
    <fill>
      <patternFill patternType="solid">
        <fgColor rgb="FFC6EFCE"/>
        <bgColor rgb="FF000000"/>
      </patternFill>
    </fill>
    <fill>
      <patternFill patternType="solid">
        <fgColor theme="4" tint="0.79995117038483843"/>
        <bgColor rgb="FFFFFFFF"/>
      </patternFill>
    </fill>
    <fill>
      <patternFill patternType="solid">
        <fgColor rgb="FFC0C0C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CCCCFF"/>
        <bgColor rgb="FF000000"/>
      </patternFill>
    </fill>
    <fill>
      <patternFill patternType="solid">
        <fgColor rgb="FFFFFFCC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0000FF"/>
        <bgColor rgb="FF000000"/>
      </patternFill>
    </fill>
    <fill>
      <patternFill patternType="solid">
        <fgColor rgb="FF000000"/>
        <bgColor rgb="FF000000"/>
      </patternFill>
    </fill>
    <fill>
      <patternFill patternType="solid">
        <fgColor theme="0" tint="-0.249977111117893"/>
        <bgColor rgb="FF000000"/>
      </patternFill>
    </fill>
    <fill>
      <patternFill patternType="solid">
        <fgColor theme="0"/>
        <bgColor rgb="FF000000"/>
      </patternFill>
    </fill>
  </fills>
  <borders count="7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dotted">
        <color rgb="FF000000"/>
      </top>
      <bottom/>
      <diagonal/>
    </border>
    <border>
      <left style="thin">
        <color rgb="FF000000"/>
      </left>
      <right style="thin">
        <color rgb="FF000000"/>
      </right>
      <top style="dotted">
        <color rgb="FF000000"/>
      </top>
      <bottom/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/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/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dotted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rgb="FF000000"/>
      </bottom>
      <diagonal/>
    </border>
    <border>
      <left style="medium">
        <color auto="1"/>
      </left>
      <right/>
      <top style="medium">
        <color rgb="FF000000"/>
      </top>
      <bottom style="medium">
        <color rgb="FF000000"/>
      </bottom>
      <diagonal/>
    </border>
    <border>
      <left style="medium">
        <color auto="1"/>
      </left>
      <right/>
      <top style="medium">
        <color rgb="FF000000"/>
      </top>
      <bottom style="thin">
        <color rgb="FF000000"/>
      </bottom>
      <diagonal/>
    </border>
    <border>
      <left style="medium">
        <color auto="1"/>
      </left>
      <right/>
      <top style="thin">
        <color rgb="FF000000"/>
      </top>
      <bottom style="medium">
        <color rgb="FF000000"/>
      </bottom>
      <diagonal/>
    </border>
    <border>
      <left style="medium">
        <color auto="1"/>
      </left>
      <right/>
      <top/>
      <bottom style="dotted">
        <color rgb="FF000000"/>
      </bottom>
      <diagonal/>
    </border>
    <border>
      <left style="medium">
        <color auto="1"/>
      </left>
      <right/>
      <top style="dotted">
        <color rgb="FF000000"/>
      </top>
      <bottom style="dotted">
        <color rgb="FF000000"/>
      </bottom>
      <diagonal/>
    </border>
    <border>
      <left style="medium">
        <color auto="1"/>
      </left>
      <right/>
      <top style="thin">
        <color rgb="FF000000"/>
      </top>
      <bottom style="thin">
        <color rgb="FF000000"/>
      </bottom>
      <diagonal/>
    </border>
    <border>
      <left style="medium">
        <color auto="1"/>
      </left>
      <right/>
      <top style="medium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</borders>
  <cellStyleXfs count="3121">
    <xf numFmtId="0" fontId="0" fillId="0" borderId="0" applyFill="0" applyProtection="0">
      <alignment vertical="center"/>
    </xf>
    <xf numFmtId="0" fontId="8" fillId="0" borderId="0">
      <alignment vertical="center"/>
    </xf>
    <xf numFmtId="177" fontId="8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0" fontId="103" fillId="0" borderId="0">
      <alignment vertical="center"/>
    </xf>
    <xf numFmtId="0" fontId="8" fillId="0" borderId="0">
      <alignment vertical="center"/>
    </xf>
    <xf numFmtId="177" fontId="8" fillId="0" borderId="0" applyFont="0" applyFill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6" fillId="0" borderId="0">
      <alignment vertical="center"/>
    </xf>
    <xf numFmtId="0" fontId="9" fillId="0" borderId="0">
      <alignment vertical="center"/>
      <protection locked="0"/>
    </xf>
    <xf numFmtId="185" fontId="9" fillId="0" borderId="0" applyFill="0" applyBorder="0" applyProtection="0">
      <alignment vertical="center"/>
    </xf>
    <xf numFmtId="0" fontId="9" fillId="0" borderId="0">
      <alignment vertical="center"/>
      <protection locked="0"/>
    </xf>
    <xf numFmtId="0" fontId="9" fillId="0" borderId="0">
      <alignment vertical="center"/>
      <protection locked="0"/>
    </xf>
    <xf numFmtId="0" fontId="9" fillId="0" borderId="0">
      <alignment vertical="center"/>
      <protection locked="0"/>
    </xf>
    <xf numFmtId="0" fontId="30" fillId="0" borderId="27">
      <alignment horizontal="center" vertical="center"/>
    </xf>
    <xf numFmtId="3" fontId="31" fillId="0" borderId="1">
      <alignment vertical="center"/>
    </xf>
    <xf numFmtId="186" fontId="8" fillId="0" borderId="0" applyFont="0" applyFill="0" applyBorder="0" applyAlignment="0" applyProtection="0">
      <alignment vertical="center"/>
    </xf>
    <xf numFmtId="0" fontId="32" fillId="0" borderId="0">
      <alignment vertical="center"/>
    </xf>
    <xf numFmtId="0" fontId="33" fillId="0" borderId="0">
      <alignment vertical="center"/>
    </xf>
    <xf numFmtId="0" fontId="32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4" fillId="0" borderId="0">
      <alignment vertical="center"/>
    </xf>
    <xf numFmtId="0" fontId="34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7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5" fillId="0" borderId="0">
      <alignment vertical="center"/>
    </xf>
    <xf numFmtId="0" fontId="9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9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0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9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27" fillId="0" borderId="0">
      <alignment vertical="center"/>
    </xf>
    <xf numFmtId="0" fontId="3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4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4" fillId="0" borderId="0">
      <alignment vertical="center"/>
    </xf>
    <xf numFmtId="0" fontId="9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0" fontId="9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6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27" fillId="0" borderId="0" applyFont="0" applyFill="0" applyBorder="0" applyAlignment="0" applyProtection="0">
      <alignment vertical="center"/>
    </xf>
    <xf numFmtId="0" fontId="34" fillId="0" borderId="0" applyFont="0" applyFill="0" applyBorder="0" applyAlignment="0" applyProtection="0">
      <alignment vertical="center"/>
    </xf>
    <xf numFmtId="0" fontId="34" fillId="0" borderId="0" applyFont="0" applyFill="0" applyBorder="0" applyAlignment="0" applyProtection="0">
      <alignment vertical="center"/>
    </xf>
    <xf numFmtId="0" fontId="37" fillId="0" borderId="0">
      <alignment vertical="center"/>
    </xf>
    <xf numFmtId="187" fontId="8" fillId="0" borderId="0" applyFont="0" applyFill="0" applyBorder="0" applyProtection="0">
      <alignment vertical="center"/>
    </xf>
    <xf numFmtId="188" fontId="8" fillId="0" borderId="0">
      <alignment vertical="center"/>
    </xf>
    <xf numFmtId="189" fontId="8" fillId="0" borderId="0" applyFont="0" applyFill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190" fontId="34" fillId="0" borderId="0" applyFont="0" applyFill="0" applyBorder="0" applyAlignment="0" applyProtection="0">
      <alignment vertical="center"/>
    </xf>
    <xf numFmtId="191" fontId="34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192" fontId="10" fillId="0" borderId="1">
      <alignment vertical="center"/>
    </xf>
    <xf numFmtId="3" fontId="31" fillId="0" borderId="1">
      <alignment vertical="center"/>
    </xf>
    <xf numFmtId="3" fontId="31" fillId="0" borderId="1">
      <alignment vertical="center"/>
    </xf>
    <xf numFmtId="193" fontId="9" fillId="0" borderId="0">
      <alignment vertical="center"/>
    </xf>
    <xf numFmtId="194" fontId="2" fillId="0" borderId="0">
      <alignment vertical="center"/>
    </xf>
    <xf numFmtId="3" fontId="38" fillId="0" borderId="33">
      <alignment horizontal="right" vertical="center"/>
    </xf>
    <xf numFmtId="194" fontId="2" fillId="0" borderId="0">
      <alignment vertical="center"/>
    </xf>
    <xf numFmtId="3" fontId="38" fillId="0" borderId="33">
      <alignment horizontal="right" vertical="center"/>
    </xf>
    <xf numFmtId="194" fontId="2" fillId="0" borderId="0">
      <alignment vertical="center"/>
    </xf>
    <xf numFmtId="3" fontId="38" fillId="0" borderId="33">
      <alignment horizontal="right" vertical="center"/>
    </xf>
    <xf numFmtId="3" fontId="38" fillId="0" borderId="33">
      <alignment horizontal="right" vertical="center"/>
    </xf>
    <xf numFmtId="3" fontId="38" fillId="0" borderId="33">
      <alignment horizontal="right"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6" fontId="8" fillId="0" borderId="0">
      <alignment vertical="center"/>
    </xf>
    <xf numFmtId="194" fontId="2" fillId="0" borderId="0">
      <alignment vertical="center"/>
    </xf>
    <xf numFmtId="0" fontId="26" fillId="0" borderId="0">
      <alignment horizontal="center" vertical="center"/>
    </xf>
    <xf numFmtId="3" fontId="38" fillId="0" borderId="33">
      <alignment horizontal="right" vertical="center"/>
    </xf>
    <xf numFmtId="3" fontId="38" fillId="0" borderId="33">
      <alignment horizontal="right" vertical="center"/>
    </xf>
    <xf numFmtId="3" fontId="38" fillId="0" borderId="33">
      <alignment horizontal="right" vertical="center"/>
    </xf>
    <xf numFmtId="3" fontId="38" fillId="0" borderId="33">
      <alignment horizontal="right" vertical="center"/>
    </xf>
    <xf numFmtId="3" fontId="38" fillId="0" borderId="33">
      <alignment horizontal="right" vertical="center"/>
    </xf>
    <xf numFmtId="3" fontId="38" fillId="0" borderId="33">
      <alignment horizontal="right" vertical="center"/>
    </xf>
    <xf numFmtId="3" fontId="38" fillId="0" borderId="33">
      <alignment horizontal="right" vertical="center"/>
    </xf>
    <xf numFmtId="3" fontId="38" fillId="0" borderId="33">
      <alignment horizontal="right" vertical="center"/>
    </xf>
    <xf numFmtId="3" fontId="38" fillId="0" borderId="33">
      <alignment horizontal="right" vertical="center"/>
    </xf>
    <xf numFmtId="3" fontId="38" fillId="0" borderId="33">
      <alignment horizontal="right" vertical="center"/>
    </xf>
    <xf numFmtId="3" fontId="38" fillId="0" borderId="33">
      <alignment horizontal="right" vertical="center"/>
    </xf>
    <xf numFmtId="3" fontId="38" fillId="0" borderId="33">
      <alignment horizontal="right" vertical="center"/>
    </xf>
    <xf numFmtId="3" fontId="38" fillId="0" borderId="33">
      <alignment horizontal="right" vertical="center"/>
    </xf>
    <xf numFmtId="3" fontId="38" fillId="0" borderId="33">
      <alignment horizontal="right" vertical="center"/>
    </xf>
    <xf numFmtId="3" fontId="38" fillId="0" borderId="33">
      <alignment horizontal="right" vertical="center"/>
    </xf>
    <xf numFmtId="3" fontId="38" fillId="0" borderId="33">
      <alignment horizontal="right" vertical="center"/>
    </xf>
    <xf numFmtId="3" fontId="38" fillId="0" borderId="33">
      <alignment horizontal="right" vertical="center"/>
    </xf>
    <xf numFmtId="3" fontId="38" fillId="0" borderId="33">
      <alignment horizontal="right" vertical="center"/>
    </xf>
    <xf numFmtId="3" fontId="38" fillId="0" borderId="33">
      <alignment horizontal="right" vertical="center"/>
    </xf>
    <xf numFmtId="3" fontId="38" fillId="0" borderId="33">
      <alignment horizontal="right" vertical="center"/>
    </xf>
    <xf numFmtId="3" fontId="38" fillId="0" borderId="33">
      <alignment horizontal="right" vertical="center"/>
    </xf>
    <xf numFmtId="3" fontId="38" fillId="0" borderId="33">
      <alignment horizontal="right" vertical="center"/>
    </xf>
    <xf numFmtId="3" fontId="38" fillId="0" borderId="33">
      <alignment horizontal="right" vertical="center"/>
    </xf>
    <xf numFmtId="3" fontId="38" fillId="0" borderId="33">
      <alignment horizontal="right" vertical="center"/>
    </xf>
    <xf numFmtId="3" fontId="38" fillId="0" borderId="33">
      <alignment horizontal="right" vertical="center"/>
    </xf>
    <xf numFmtId="3" fontId="38" fillId="0" borderId="33">
      <alignment horizontal="right" vertical="center"/>
    </xf>
    <xf numFmtId="3" fontId="38" fillId="0" borderId="33">
      <alignment horizontal="right" vertical="center"/>
    </xf>
    <xf numFmtId="3" fontId="38" fillId="0" borderId="33">
      <alignment horizontal="right" vertical="center"/>
    </xf>
    <xf numFmtId="3" fontId="38" fillId="0" borderId="33">
      <alignment horizontal="right" vertical="center"/>
    </xf>
    <xf numFmtId="3" fontId="38" fillId="0" borderId="33">
      <alignment horizontal="right" vertical="center"/>
    </xf>
    <xf numFmtId="3" fontId="38" fillId="0" borderId="33">
      <alignment horizontal="right" vertical="center"/>
    </xf>
    <xf numFmtId="3" fontId="38" fillId="0" borderId="33">
      <alignment horizontal="right" vertical="center"/>
    </xf>
    <xf numFmtId="3" fontId="38" fillId="0" borderId="33">
      <alignment horizontal="right" vertical="center"/>
    </xf>
    <xf numFmtId="3" fontId="38" fillId="0" borderId="33">
      <alignment horizontal="right" vertical="center"/>
    </xf>
    <xf numFmtId="3" fontId="38" fillId="0" borderId="33">
      <alignment horizontal="right" vertical="center"/>
    </xf>
    <xf numFmtId="3" fontId="38" fillId="0" borderId="33">
      <alignment horizontal="right" vertical="center"/>
    </xf>
    <xf numFmtId="3" fontId="38" fillId="0" borderId="33">
      <alignment horizontal="right" vertical="center"/>
    </xf>
    <xf numFmtId="41" fontId="9" fillId="0" borderId="0">
      <alignment horizontal="center" vertical="center"/>
    </xf>
    <xf numFmtId="177" fontId="9" fillId="0" borderId="0">
      <alignment horizontal="center" vertical="center"/>
    </xf>
    <xf numFmtId="177" fontId="9" fillId="0" borderId="0">
      <alignment horizontal="center" vertical="center"/>
    </xf>
    <xf numFmtId="197" fontId="9" fillId="0" borderId="0">
      <alignment horizontal="center" vertical="center"/>
    </xf>
    <xf numFmtId="198" fontId="8" fillId="0" borderId="0">
      <alignment horizontal="center" vertical="center"/>
    </xf>
    <xf numFmtId="198" fontId="8" fillId="0" borderId="0">
      <alignment horizontal="center" vertical="center"/>
    </xf>
    <xf numFmtId="198" fontId="8" fillId="0" borderId="0">
      <alignment horizontal="center" vertical="center"/>
    </xf>
    <xf numFmtId="198" fontId="8" fillId="0" borderId="0">
      <alignment horizontal="center" vertical="center"/>
    </xf>
    <xf numFmtId="41" fontId="9" fillId="0" borderId="0">
      <alignment horizontal="center" vertical="center"/>
    </xf>
    <xf numFmtId="177" fontId="9" fillId="0" borderId="0">
      <alignment horizontal="center" vertical="center"/>
    </xf>
    <xf numFmtId="177" fontId="9" fillId="0" borderId="0">
      <alignment horizontal="center" vertical="center"/>
    </xf>
    <xf numFmtId="198" fontId="8" fillId="0" borderId="0">
      <alignment horizontal="center" vertical="center"/>
    </xf>
    <xf numFmtId="198" fontId="8" fillId="0" borderId="0">
      <alignment horizontal="center" vertical="center"/>
    </xf>
    <xf numFmtId="197" fontId="9" fillId="0" borderId="0">
      <alignment horizontal="center" vertical="center"/>
    </xf>
    <xf numFmtId="41" fontId="9" fillId="0" borderId="0">
      <alignment horizontal="center" vertical="center"/>
    </xf>
    <xf numFmtId="177" fontId="9" fillId="0" borderId="0">
      <alignment horizontal="center" vertical="center"/>
    </xf>
    <xf numFmtId="177" fontId="9" fillId="0" borderId="0">
      <alignment horizontal="center" vertical="center"/>
    </xf>
    <xf numFmtId="41" fontId="9" fillId="0" borderId="0">
      <alignment horizontal="center" vertical="center"/>
    </xf>
    <xf numFmtId="177" fontId="9" fillId="0" borderId="0">
      <alignment horizontal="center" vertical="center"/>
    </xf>
    <xf numFmtId="177" fontId="9" fillId="0" borderId="0">
      <alignment horizontal="center" vertical="center"/>
    </xf>
    <xf numFmtId="41" fontId="9" fillId="0" borderId="0">
      <alignment horizontal="center" vertical="center"/>
    </xf>
    <xf numFmtId="177" fontId="9" fillId="0" borderId="0">
      <alignment horizontal="center" vertical="center"/>
    </xf>
    <xf numFmtId="177" fontId="9" fillId="0" borderId="0">
      <alignment horizontal="center" vertical="center"/>
    </xf>
    <xf numFmtId="41" fontId="9" fillId="0" borderId="0">
      <alignment horizontal="center" vertical="center"/>
    </xf>
    <xf numFmtId="177" fontId="9" fillId="0" borderId="0">
      <alignment horizontal="center" vertical="center"/>
    </xf>
    <xf numFmtId="177" fontId="9" fillId="0" borderId="0">
      <alignment horizontal="center" vertical="center"/>
    </xf>
    <xf numFmtId="41" fontId="9" fillId="0" borderId="0">
      <alignment horizontal="center" vertical="center"/>
    </xf>
    <xf numFmtId="177" fontId="9" fillId="0" borderId="0">
      <alignment horizontal="center" vertical="center"/>
    </xf>
    <xf numFmtId="177" fontId="9" fillId="0" borderId="0">
      <alignment horizontal="center" vertical="center"/>
    </xf>
    <xf numFmtId="41" fontId="9" fillId="0" borderId="0">
      <alignment horizontal="center" vertical="center"/>
    </xf>
    <xf numFmtId="177" fontId="9" fillId="0" borderId="0">
      <alignment horizontal="center" vertical="center"/>
    </xf>
    <xf numFmtId="177" fontId="9" fillId="0" borderId="0">
      <alignment horizontal="center" vertical="center"/>
    </xf>
    <xf numFmtId="41" fontId="9" fillId="0" borderId="0">
      <alignment horizontal="center" vertical="center"/>
    </xf>
    <xf numFmtId="177" fontId="9" fillId="0" borderId="0">
      <alignment horizontal="center" vertical="center"/>
    </xf>
    <xf numFmtId="177" fontId="9" fillId="0" borderId="0">
      <alignment horizontal="center" vertical="center"/>
    </xf>
    <xf numFmtId="198" fontId="8" fillId="0" borderId="0">
      <alignment horizontal="center" vertical="center"/>
    </xf>
    <xf numFmtId="198" fontId="8" fillId="0" borderId="0">
      <alignment horizontal="center" vertical="center"/>
    </xf>
    <xf numFmtId="198" fontId="8" fillId="0" borderId="0">
      <alignment horizontal="center" vertical="center"/>
    </xf>
    <xf numFmtId="198" fontId="8" fillId="0" borderId="0">
      <alignment horizontal="center" vertical="center"/>
    </xf>
    <xf numFmtId="41" fontId="9" fillId="0" borderId="0">
      <alignment horizontal="center" vertical="center"/>
    </xf>
    <xf numFmtId="177" fontId="9" fillId="0" borderId="0">
      <alignment horizontal="center" vertical="center"/>
    </xf>
    <xf numFmtId="177" fontId="9" fillId="0" borderId="0">
      <alignment horizontal="center" vertical="center"/>
    </xf>
    <xf numFmtId="41" fontId="9" fillId="0" borderId="0">
      <alignment horizontal="center" vertical="center"/>
    </xf>
    <xf numFmtId="177" fontId="9" fillId="0" borderId="0">
      <alignment horizontal="center" vertical="center"/>
    </xf>
    <xf numFmtId="177" fontId="9" fillId="0" borderId="0">
      <alignment horizontal="center" vertical="center"/>
    </xf>
    <xf numFmtId="41" fontId="9" fillId="0" borderId="0">
      <alignment horizontal="center" vertical="center"/>
    </xf>
    <xf numFmtId="177" fontId="9" fillId="0" borderId="0">
      <alignment horizontal="center" vertical="center"/>
    </xf>
    <xf numFmtId="177" fontId="9" fillId="0" borderId="0">
      <alignment horizontal="center" vertical="center"/>
    </xf>
    <xf numFmtId="41" fontId="9" fillId="0" borderId="0">
      <alignment horizontal="center" vertical="center"/>
    </xf>
    <xf numFmtId="177" fontId="9" fillId="0" borderId="0">
      <alignment horizontal="center" vertical="center"/>
    </xf>
    <xf numFmtId="177" fontId="9" fillId="0" borderId="0">
      <alignment horizontal="center" vertical="center"/>
    </xf>
    <xf numFmtId="41" fontId="9" fillId="0" borderId="0">
      <alignment horizontal="center" vertical="center"/>
    </xf>
    <xf numFmtId="177" fontId="9" fillId="0" borderId="0">
      <alignment horizontal="center" vertical="center"/>
    </xf>
    <xf numFmtId="177" fontId="9" fillId="0" borderId="0">
      <alignment horizontal="center" vertical="center"/>
    </xf>
    <xf numFmtId="198" fontId="8" fillId="0" borderId="0">
      <alignment horizontal="center" vertical="center"/>
    </xf>
    <xf numFmtId="198" fontId="8" fillId="0" borderId="0">
      <alignment horizontal="center" vertical="center"/>
    </xf>
    <xf numFmtId="198" fontId="8" fillId="0" borderId="0">
      <alignment horizontal="center" vertical="center"/>
    </xf>
    <xf numFmtId="198" fontId="8" fillId="0" borderId="0">
      <alignment horizontal="center" vertical="center"/>
    </xf>
    <xf numFmtId="41" fontId="9" fillId="0" borderId="0">
      <alignment horizontal="center" vertical="center"/>
    </xf>
    <xf numFmtId="177" fontId="9" fillId="0" borderId="0">
      <alignment horizontal="center" vertical="center"/>
    </xf>
    <xf numFmtId="177" fontId="9" fillId="0" borderId="0">
      <alignment horizontal="center" vertical="center"/>
    </xf>
    <xf numFmtId="199" fontId="39" fillId="0" borderId="0">
      <alignment horizontal="center" vertical="center"/>
    </xf>
    <xf numFmtId="41" fontId="9" fillId="0" borderId="0">
      <alignment horizontal="center" vertical="center"/>
    </xf>
    <xf numFmtId="177" fontId="9" fillId="0" borderId="0">
      <alignment horizontal="center" vertical="center"/>
    </xf>
    <xf numFmtId="177" fontId="9" fillId="0" borderId="0">
      <alignment horizontal="center" vertical="center"/>
    </xf>
    <xf numFmtId="199" fontId="39" fillId="0" borderId="0">
      <alignment horizontal="center" vertical="center"/>
    </xf>
    <xf numFmtId="198" fontId="8" fillId="0" borderId="0">
      <alignment horizontal="center" vertical="center"/>
    </xf>
    <xf numFmtId="198" fontId="8" fillId="0" borderId="0">
      <alignment horizontal="center" vertical="center"/>
    </xf>
    <xf numFmtId="198" fontId="8" fillId="0" borderId="0">
      <alignment horizontal="center" vertical="center"/>
    </xf>
    <xf numFmtId="198" fontId="8" fillId="0" borderId="0">
      <alignment horizontal="center" vertical="center"/>
    </xf>
    <xf numFmtId="194" fontId="2" fillId="0" borderId="0">
      <alignment vertical="center"/>
    </xf>
    <xf numFmtId="0" fontId="26" fillId="0" borderId="0">
      <alignment horizontal="center" vertical="center"/>
    </xf>
    <xf numFmtId="3" fontId="38" fillId="0" borderId="33">
      <alignment horizontal="right"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3" fontId="38" fillId="0" borderId="33">
      <alignment horizontal="right" vertical="center"/>
    </xf>
    <xf numFmtId="3" fontId="38" fillId="0" borderId="33">
      <alignment horizontal="right" vertical="center"/>
    </xf>
    <xf numFmtId="200" fontId="40" fillId="0" borderId="0">
      <alignment vertical="center"/>
    </xf>
    <xf numFmtId="0" fontId="8" fillId="0" borderId="0">
      <alignment vertical="center"/>
    </xf>
    <xf numFmtId="2" fontId="38" fillId="0" borderId="33">
      <alignment horizontal="right" vertical="center"/>
    </xf>
    <xf numFmtId="0" fontId="9" fillId="0" borderId="34">
      <alignment horizontal="center" vertical="center"/>
    </xf>
    <xf numFmtId="2" fontId="38" fillId="0" borderId="33">
      <alignment horizontal="right" vertical="center"/>
    </xf>
    <xf numFmtId="2" fontId="38" fillId="0" borderId="33">
      <alignment horizontal="right" vertical="center"/>
    </xf>
    <xf numFmtId="2" fontId="38" fillId="0" borderId="33">
      <alignment horizontal="right" vertical="center"/>
    </xf>
    <xf numFmtId="2" fontId="38" fillId="0" borderId="33">
      <alignment horizontal="right" vertical="center"/>
    </xf>
    <xf numFmtId="2" fontId="38" fillId="0" borderId="33">
      <alignment horizontal="right" vertical="center"/>
    </xf>
    <xf numFmtId="2" fontId="38" fillId="0" borderId="33">
      <alignment horizontal="right" vertical="center"/>
    </xf>
    <xf numFmtId="2" fontId="38" fillId="0" borderId="33">
      <alignment horizontal="right" vertical="center"/>
    </xf>
    <xf numFmtId="2" fontId="38" fillId="0" borderId="33">
      <alignment horizontal="right" vertical="center"/>
    </xf>
    <xf numFmtId="2" fontId="38" fillId="0" borderId="33">
      <alignment horizontal="right" vertical="center"/>
    </xf>
    <xf numFmtId="2" fontId="38" fillId="0" borderId="33">
      <alignment horizontal="right" vertical="center"/>
    </xf>
    <xf numFmtId="2" fontId="38" fillId="0" borderId="33">
      <alignment horizontal="right" vertical="center"/>
    </xf>
    <xf numFmtId="2" fontId="38" fillId="0" borderId="33">
      <alignment horizontal="right" vertical="center"/>
    </xf>
    <xf numFmtId="2" fontId="38" fillId="0" borderId="33">
      <alignment horizontal="right" vertical="center"/>
    </xf>
    <xf numFmtId="2" fontId="38" fillId="0" borderId="33">
      <alignment horizontal="right" vertical="center"/>
    </xf>
    <xf numFmtId="2" fontId="38" fillId="0" borderId="33">
      <alignment horizontal="right" vertical="center"/>
    </xf>
    <xf numFmtId="2" fontId="38" fillId="0" borderId="33">
      <alignment horizontal="right" vertical="center"/>
    </xf>
    <xf numFmtId="2" fontId="38" fillId="0" borderId="33">
      <alignment horizontal="right" vertical="center"/>
    </xf>
    <xf numFmtId="2" fontId="38" fillId="0" borderId="33">
      <alignment horizontal="right" vertical="center"/>
    </xf>
    <xf numFmtId="2" fontId="38" fillId="0" borderId="33">
      <alignment horizontal="right" vertical="center"/>
    </xf>
    <xf numFmtId="2" fontId="38" fillId="0" borderId="33">
      <alignment horizontal="right" vertical="center"/>
    </xf>
    <xf numFmtId="2" fontId="38" fillId="0" borderId="33">
      <alignment horizontal="right" vertical="center"/>
    </xf>
    <xf numFmtId="2" fontId="38" fillId="0" borderId="33">
      <alignment horizontal="right" vertical="center"/>
    </xf>
    <xf numFmtId="2" fontId="38" fillId="0" borderId="33">
      <alignment horizontal="right" vertical="center"/>
    </xf>
    <xf numFmtId="2" fontId="38" fillId="0" borderId="33">
      <alignment horizontal="right" vertical="center"/>
    </xf>
    <xf numFmtId="2" fontId="38" fillId="0" borderId="33">
      <alignment horizontal="right" vertical="center"/>
    </xf>
    <xf numFmtId="2" fontId="38" fillId="0" borderId="33">
      <alignment horizontal="right" vertical="center"/>
    </xf>
    <xf numFmtId="2" fontId="38" fillId="0" borderId="33">
      <alignment horizontal="right" vertical="center"/>
    </xf>
    <xf numFmtId="2" fontId="38" fillId="0" borderId="33">
      <alignment horizontal="right" vertical="center"/>
    </xf>
    <xf numFmtId="2" fontId="38" fillId="0" borderId="33">
      <alignment horizontal="right" vertical="center"/>
    </xf>
    <xf numFmtId="2" fontId="38" fillId="0" borderId="33">
      <alignment horizontal="right" vertical="center"/>
    </xf>
    <xf numFmtId="2" fontId="38" fillId="0" borderId="33">
      <alignment horizontal="right" vertical="center"/>
    </xf>
    <xf numFmtId="2" fontId="38" fillId="0" borderId="33">
      <alignment horizontal="right" vertical="center"/>
    </xf>
    <xf numFmtId="2" fontId="38" fillId="0" borderId="33">
      <alignment horizontal="right" vertical="center"/>
    </xf>
    <xf numFmtId="2" fontId="38" fillId="0" borderId="33">
      <alignment horizontal="right" vertical="center"/>
    </xf>
    <xf numFmtId="2" fontId="38" fillId="0" borderId="33">
      <alignment horizontal="right" vertical="center"/>
    </xf>
    <xf numFmtId="2" fontId="38" fillId="0" borderId="33">
      <alignment horizontal="right" vertical="center"/>
    </xf>
    <xf numFmtId="2" fontId="38" fillId="0" borderId="33">
      <alignment horizontal="right" vertical="center"/>
    </xf>
    <xf numFmtId="2" fontId="38" fillId="0" borderId="33">
      <alignment horizontal="right" vertical="center"/>
    </xf>
    <xf numFmtId="200" fontId="40" fillId="0" borderId="0">
      <alignment vertical="center"/>
    </xf>
    <xf numFmtId="0" fontId="41" fillId="0" borderId="0" applyFont="0" applyFill="0" applyBorder="0" applyAlignment="0" applyProtection="0">
      <alignment vertical="center"/>
    </xf>
    <xf numFmtId="0" fontId="41" fillId="0" borderId="0" applyFont="0" applyFill="0" applyBorder="0" applyAlignment="0" applyProtection="0">
      <alignment vertical="center"/>
    </xf>
    <xf numFmtId="0" fontId="42" fillId="0" borderId="0" applyFont="0" applyFill="0" applyBorder="0" applyAlignment="0" applyProtection="0">
      <alignment vertical="center"/>
    </xf>
    <xf numFmtId="201" fontId="43" fillId="0" borderId="0" applyFont="0" applyFill="0" applyBorder="0" applyAlignment="0" applyProtection="0">
      <alignment vertical="center"/>
    </xf>
    <xf numFmtId="0" fontId="44" fillId="0" borderId="0" applyFont="0" applyFill="0" applyBorder="0" applyAlignment="0" applyProtection="0">
      <alignment vertical="center"/>
    </xf>
    <xf numFmtId="201" fontId="43" fillId="0" borderId="0" applyFont="0" applyFill="0" applyBorder="0" applyAlignment="0" applyProtection="0">
      <alignment vertical="center"/>
    </xf>
    <xf numFmtId="0" fontId="42" fillId="0" borderId="0" applyFont="0" applyFill="0" applyBorder="0" applyAlignment="0" applyProtection="0">
      <alignment vertical="center"/>
    </xf>
    <xf numFmtId="0" fontId="42" fillId="0" borderId="0" applyFont="0" applyFill="0" applyBorder="0" applyAlignment="0" applyProtection="0">
      <alignment vertical="center"/>
    </xf>
    <xf numFmtId="202" fontId="43" fillId="0" borderId="0" applyFont="0" applyFill="0" applyBorder="0" applyAlignment="0" applyProtection="0">
      <alignment vertical="center"/>
    </xf>
    <xf numFmtId="0" fontId="44" fillId="0" borderId="0" applyFont="0" applyFill="0" applyBorder="0" applyAlignment="0" applyProtection="0">
      <alignment vertical="center"/>
    </xf>
    <xf numFmtId="202" fontId="43" fillId="0" borderId="0" applyFont="0" applyFill="0" applyBorder="0" applyAlignment="0" applyProtection="0">
      <alignment vertical="center"/>
    </xf>
    <xf numFmtId="0" fontId="42" fillId="0" borderId="0" applyFont="0" applyFill="0" applyBorder="0" applyAlignment="0" applyProtection="0">
      <alignment vertical="center"/>
    </xf>
    <xf numFmtId="0" fontId="41" fillId="0" borderId="0" applyFont="0" applyFill="0" applyBorder="0" applyAlignment="0" applyProtection="0">
      <alignment vertical="center"/>
    </xf>
    <xf numFmtId="0" fontId="41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45" fillId="0" borderId="0">
      <alignment horizontal="center" vertical="center" wrapText="1"/>
      <protection locked="0"/>
    </xf>
    <xf numFmtId="0" fontId="46" fillId="0" borderId="0" applyFont="0" applyFill="0" applyBorder="0" applyAlignment="0" applyProtection="0">
      <alignment vertical="center"/>
    </xf>
    <xf numFmtId="192" fontId="43" fillId="0" borderId="0" applyFont="0" applyFill="0" applyBorder="0" applyAlignment="0" applyProtection="0">
      <alignment vertical="center"/>
    </xf>
    <xf numFmtId="0" fontId="44" fillId="0" borderId="0" applyFont="0" applyFill="0" applyBorder="0" applyAlignment="0" applyProtection="0">
      <alignment vertical="center"/>
    </xf>
    <xf numFmtId="192" fontId="43" fillId="0" borderId="0" applyFont="0" applyFill="0" applyBorder="0" applyAlignment="0" applyProtection="0">
      <alignment vertical="center"/>
    </xf>
    <xf numFmtId="0" fontId="42" fillId="0" borderId="0" applyFont="0" applyFill="0" applyBorder="0" applyAlignment="0" applyProtection="0">
      <alignment vertical="center"/>
    </xf>
    <xf numFmtId="0" fontId="42" fillId="0" borderId="0" applyFont="0" applyFill="0" applyBorder="0" applyAlignment="0" applyProtection="0">
      <alignment vertical="center"/>
    </xf>
    <xf numFmtId="203" fontId="43" fillId="0" borderId="0" applyFont="0" applyFill="0" applyBorder="0" applyAlignment="0" applyProtection="0">
      <alignment vertical="center"/>
    </xf>
    <xf numFmtId="0" fontId="44" fillId="0" borderId="0" applyFont="0" applyFill="0" applyBorder="0" applyAlignment="0" applyProtection="0">
      <alignment vertical="center"/>
    </xf>
    <xf numFmtId="203" fontId="43" fillId="0" borderId="0" applyFont="0" applyFill="0" applyBorder="0" applyAlignment="0" applyProtection="0">
      <alignment vertical="center"/>
    </xf>
    <xf numFmtId="0" fontId="42" fillId="0" borderId="0" applyFont="0" applyFill="0" applyBorder="0" applyAlignment="0" applyProtection="0">
      <alignment vertical="center"/>
    </xf>
    <xf numFmtId="0" fontId="47" fillId="0" borderId="0">
      <alignment vertical="center"/>
    </xf>
    <xf numFmtId="37" fontId="42" fillId="0" borderId="0">
      <alignment vertical="center"/>
    </xf>
    <xf numFmtId="0" fontId="43" fillId="0" borderId="0">
      <alignment vertical="center"/>
    </xf>
    <xf numFmtId="0" fontId="42" fillId="0" borderId="0">
      <alignment vertical="center"/>
    </xf>
    <xf numFmtId="0" fontId="43" fillId="0" borderId="0">
      <alignment vertical="center"/>
    </xf>
    <xf numFmtId="0" fontId="42" fillId="0" borderId="0">
      <alignment vertical="center"/>
    </xf>
    <xf numFmtId="49" fontId="43" fillId="0" borderId="0" applyBorder="0">
      <alignment vertical="center"/>
    </xf>
    <xf numFmtId="0" fontId="44" fillId="0" borderId="0">
      <alignment vertical="center"/>
    </xf>
    <xf numFmtId="204" fontId="10" fillId="0" borderId="0" applyFill="0" applyBorder="0" applyAlignment="0">
      <alignment vertical="center"/>
    </xf>
    <xf numFmtId="0" fontId="48" fillId="0" borderId="0">
      <alignment vertical="center"/>
    </xf>
    <xf numFmtId="0" fontId="49" fillId="0" borderId="0" applyNumberFormat="0" applyFill="0" applyBorder="0" applyAlignment="0" applyProtection="0">
      <alignment vertical="top"/>
      <protection locked="0"/>
    </xf>
    <xf numFmtId="205" fontId="8" fillId="0" borderId="0">
      <alignment vertical="center"/>
    </xf>
    <xf numFmtId="206" fontId="9" fillId="0" borderId="0">
      <alignment vertical="center"/>
      <protection locked="0"/>
    </xf>
    <xf numFmtId="0" fontId="50" fillId="0" borderId="0" applyNumberFormat="0" applyAlignment="0">
      <alignment horizontal="left" vertical="center"/>
    </xf>
    <xf numFmtId="0" fontId="51" fillId="0" borderId="0" applyNumberFormat="0" applyAlignment="0">
      <alignment vertical="center"/>
    </xf>
    <xf numFmtId="0" fontId="27" fillId="0" borderId="0" applyFont="0" applyFill="0" applyBorder="0" applyAlignment="0" applyProtection="0">
      <alignment vertical="center"/>
    </xf>
    <xf numFmtId="0" fontId="27" fillId="0" borderId="0" applyFont="0" applyFill="0" applyBorder="0" applyAlignment="0" applyProtection="0">
      <alignment vertical="center"/>
    </xf>
    <xf numFmtId="0" fontId="34" fillId="0" borderId="0" applyFont="0" applyFill="0" applyBorder="0" applyAlignment="0" applyProtection="0">
      <alignment vertical="center"/>
    </xf>
    <xf numFmtId="189" fontId="8" fillId="0" borderId="1" applyFill="0" applyBorder="0" applyAlignment="0">
      <alignment vertical="center"/>
    </xf>
    <xf numFmtId="207" fontId="9" fillId="0" borderId="0">
      <alignment vertical="center"/>
      <protection locked="0"/>
    </xf>
    <xf numFmtId="0" fontId="35" fillId="0" borderId="0">
      <alignment vertical="center"/>
    </xf>
    <xf numFmtId="0" fontId="52" fillId="0" borderId="0">
      <alignment vertical="center"/>
      <protection locked="0"/>
    </xf>
    <xf numFmtId="57" fontId="8" fillId="0" borderId="0" applyFont="0" applyFill="0" applyBorder="0" applyAlignment="0" applyProtection="0">
      <alignment vertical="center"/>
    </xf>
    <xf numFmtId="208" fontId="8" fillId="0" borderId="0" applyFont="0" applyFill="0" applyBorder="0" applyAlignment="0" applyProtection="0">
      <alignment vertical="center"/>
    </xf>
    <xf numFmtId="209" fontId="8" fillId="0" borderId="0">
      <alignment vertical="center"/>
    </xf>
    <xf numFmtId="210" fontId="53" fillId="0" borderId="1">
      <alignment vertical="center"/>
    </xf>
    <xf numFmtId="0" fontId="54" fillId="0" borderId="0" applyNumberFormat="0" applyAlignment="0">
      <alignment horizontal="left" vertical="center"/>
    </xf>
    <xf numFmtId="0" fontId="52" fillId="0" borderId="0">
      <alignment vertical="center"/>
      <protection locked="0"/>
    </xf>
    <xf numFmtId="0" fontId="52" fillId="0" borderId="0">
      <alignment vertical="center"/>
      <protection locked="0"/>
    </xf>
    <xf numFmtId="0" fontId="55" fillId="0" borderId="0">
      <alignment vertical="center"/>
      <protection locked="0"/>
    </xf>
    <xf numFmtId="0" fontId="52" fillId="0" borderId="0">
      <alignment vertical="center"/>
      <protection locked="0"/>
    </xf>
    <xf numFmtId="0" fontId="52" fillId="0" borderId="0">
      <alignment vertical="center"/>
      <protection locked="0"/>
    </xf>
    <xf numFmtId="0" fontId="52" fillId="0" borderId="0">
      <alignment vertical="center"/>
      <protection locked="0"/>
    </xf>
    <xf numFmtId="0" fontId="55" fillId="0" borderId="0">
      <alignment vertical="center"/>
      <protection locked="0"/>
    </xf>
    <xf numFmtId="211" fontId="9" fillId="0" borderId="0">
      <alignment vertical="center"/>
      <protection locked="0"/>
    </xf>
    <xf numFmtId="38" fontId="56" fillId="5" borderId="0" applyNumberFormat="0" applyBorder="0" applyAlignment="0" applyProtection="0">
      <alignment vertical="center"/>
    </xf>
    <xf numFmtId="3" fontId="53" fillId="0" borderId="35">
      <alignment horizontal="right" vertical="center"/>
    </xf>
    <xf numFmtId="4" fontId="53" fillId="0" borderId="35">
      <alignment horizontal="right" vertical="center"/>
    </xf>
    <xf numFmtId="0" fontId="57" fillId="0" borderId="0">
      <alignment horizontal="left" vertical="center"/>
    </xf>
    <xf numFmtId="0" fontId="58" fillId="0" borderId="31" applyNumberFormat="0" applyAlignment="0" applyProtection="0">
      <alignment horizontal="left" vertical="center"/>
    </xf>
    <xf numFmtId="0" fontId="58" fillId="0" borderId="36">
      <alignment horizontal="left" vertical="center"/>
    </xf>
    <xf numFmtId="0" fontId="59" fillId="0" borderId="0">
      <alignment vertical="center"/>
      <protection locked="0"/>
    </xf>
    <xf numFmtId="0" fontId="59" fillId="0" borderId="0">
      <alignment vertical="center"/>
      <protection locked="0"/>
    </xf>
    <xf numFmtId="212" fontId="34" fillId="0" borderId="0">
      <alignment vertical="center"/>
      <protection locked="0"/>
    </xf>
    <xf numFmtId="212" fontId="34" fillId="0" borderId="0">
      <alignment vertical="center"/>
      <protection locked="0"/>
    </xf>
    <xf numFmtId="10" fontId="56" fillId="8" borderId="1" applyNumberFormat="0" applyBorder="0" applyAlignment="0" applyProtection="0">
      <alignment vertical="center"/>
    </xf>
    <xf numFmtId="213" fontId="60" fillId="9" borderId="0">
      <alignment vertical="center"/>
    </xf>
    <xf numFmtId="214" fontId="53" fillId="0" borderId="1">
      <alignment vertical="center"/>
    </xf>
    <xf numFmtId="213" fontId="61" fillId="10" borderId="0">
      <alignment vertical="center"/>
    </xf>
    <xf numFmtId="215" fontId="53" fillId="0" borderId="1">
      <alignment horizontal="right" vertical="center"/>
    </xf>
    <xf numFmtId="216" fontId="53" fillId="0" borderId="1">
      <alignment vertical="center"/>
    </xf>
    <xf numFmtId="217" fontId="53" fillId="0" borderId="1">
      <alignment vertical="center"/>
    </xf>
    <xf numFmtId="177" fontId="34" fillId="0" borderId="0" applyFont="0" applyFill="0" applyBorder="0" applyAlignment="0" applyProtection="0">
      <alignment vertical="center"/>
    </xf>
    <xf numFmtId="178" fontId="34" fillId="0" borderId="0" applyFont="0" applyFill="0" applyBorder="0" applyAlignment="0" applyProtection="0">
      <alignment vertical="center"/>
    </xf>
    <xf numFmtId="0" fontId="34" fillId="0" borderId="0" applyFont="0" applyFill="0" applyBorder="0" applyAlignment="0" applyProtection="0">
      <alignment vertical="center"/>
    </xf>
    <xf numFmtId="0" fontId="62" fillId="0" borderId="4">
      <alignment vertical="center"/>
    </xf>
    <xf numFmtId="0" fontId="34" fillId="0" borderId="0" applyFont="0" applyFill="0" applyBorder="0" applyAlignment="0" applyProtection="0">
      <alignment vertical="center"/>
    </xf>
    <xf numFmtId="0" fontId="34" fillId="0" borderId="0" applyFont="0" applyFill="0" applyBorder="0" applyAlignment="0" applyProtection="0">
      <alignment vertical="center"/>
    </xf>
    <xf numFmtId="0" fontId="34" fillId="0" borderId="0" applyFont="0" applyFill="0" applyBorder="0" applyAlignment="0" applyProtection="0">
      <alignment vertical="center"/>
    </xf>
    <xf numFmtId="0" fontId="63" fillId="0" borderId="0" applyFont="0" applyFill="0" applyBorder="0" applyAlignment="0" applyProtection="0">
      <alignment vertical="center"/>
    </xf>
    <xf numFmtId="37" fontId="64" fillId="0" borderId="0">
      <alignment vertical="center"/>
    </xf>
    <xf numFmtId="218" fontId="10" fillId="0" borderId="0">
      <alignment vertical="center"/>
    </xf>
    <xf numFmtId="0" fontId="9" fillId="0" borderId="0">
      <alignment vertical="center"/>
    </xf>
    <xf numFmtId="0" fontId="34" fillId="0" borderId="0" applyFont="0" applyFill="0" applyBorder="0" applyAlignment="0" applyProtection="0">
      <alignment vertical="center"/>
    </xf>
    <xf numFmtId="0" fontId="34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203" fontId="40" fillId="0" borderId="0">
      <alignment vertical="center"/>
    </xf>
    <xf numFmtId="14" fontId="45" fillId="0" borderId="0">
      <alignment horizontal="center" vertical="center" wrapText="1"/>
      <protection locked="0"/>
    </xf>
    <xf numFmtId="10" fontId="34" fillId="0" borderId="0" applyFont="0" applyFill="0" applyBorder="0" applyAlignment="0" applyProtection="0">
      <alignment vertical="center"/>
    </xf>
    <xf numFmtId="219" fontId="65" fillId="0" borderId="0">
      <alignment vertical="center"/>
    </xf>
    <xf numFmtId="0" fontId="30" fillId="0" borderId="0" applyNumberFormat="0" applyFont="0" applyFill="0" applyBorder="0" applyAlignment="0" applyProtection="0">
      <alignment horizontal="left" vertical="center"/>
    </xf>
    <xf numFmtId="14" fontId="66" fillId="0" borderId="0" applyNumberFormat="0" applyFill="0" applyBorder="0" applyAlignment="0" applyProtection="0">
      <alignment horizontal="left" vertical="center"/>
    </xf>
    <xf numFmtId="0" fontId="9" fillId="0" borderId="0">
      <alignment vertical="center"/>
    </xf>
    <xf numFmtId="220" fontId="40" fillId="0" borderId="0">
      <alignment vertical="center"/>
    </xf>
    <xf numFmtId="220" fontId="40" fillId="0" borderId="0">
      <alignment vertical="distributed"/>
    </xf>
    <xf numFmtId="0" fontId="30" fillId="0" borderId="0">
      <alignment vertical="center"/>
    </xf>
    <xf numFmtId="0" fontId="67" fillId="0" borderId="0">
      <alignment horizontal="center" vertical="center"/>
    </xf>
    <xf numFmtId="0" fontId="62" fillId="0" borderId="0">
      <alignment vertical="center"/>
    </xf>
    <xf numFmtId="40" fontId="68" fillId="0" borderId="0" applyBorder="0">
      <alignment horizontal="right" vertical="center"/>
    </xf>
    <xf numFmtId="49" fontId="69" fillId="0" borderId="0" applyFill="0" applyBorder="0" applyProtection="0">
      <alignment horizontal="centerContinuous" vertical="center"/>
    </xf>
    <xf numFmtId="0" fontId="70" fillId="0" borderId="0" applyFill="0" applyBorder="0" applyProtection="0">
      <alignment horizontal="centerContinuous" vertical="center"/>
    </xf>
    <xf numFmtId="0" fontId="32" fillId="5" borderId="0" applyFill="0" applyBorder="0" applyProtection="0">
      <alignment horizontal="center" vertical="center"/>
    </xf>
    <xf numFmtId="0" fontId="52" fillId="0" borderId="37">
      <alignment vertical="center"/>
      <protection locked="0"/>
    </xf>
    <xf numFmtId="0" fontId="71" fillId="0" borderId="34">
      <alignment horizontal="left" vertical="center"/>
    </xf>
    <xf numFmtId="221" fontId="34" fillId="0" borderId="0" applyFont="0" applyFill="0" applyBorder="0" applyAlignment="0" applyProtection="0">
      <alignment vertical="center"/>
    </xf>
    <xf numFmtId="222" fontId="34" fillId="0" borderId="0" applyFon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top"/>
      <protection locked="0"/>
    </xf>
    <xf numFmtId="49" fontId="53" fillId="0" borderId="1">
      <alignment horizontal="center" vertical="center"/>
    </xf>
    <xf numFmtId="223" fontId="9" fillId="0" borderId="0">
      <alignment vertical="center"/>
      <protection locked="0"/>
    </xf>
    <xf numFmtId="0" fontId="59" fillId="0" borderId="0">
      <alignment vertical="center"/>
      <protection locked="0"/>
    </xf>
    <xf numFmtId="0" fontId="59" fillId="0" borderId="0">
      <alignment vertical="center"/>
      <protection locked="0"/>
    </xf>
    <xf numFmtId="0" fontId="73" fillId="0" borderId="0">
      <alignment vertical="center"/>
    </xf>
    <xf numFmtId="0" fontId="40" fillId="0" borderId="0">
      <alignment vertical="center"/>
    </xf>
    <xf numFmtId="37" fontId="31" fillId="0" borderId="38">
      <alignment horizontal="center" vertical="center"/>
    </xf>
    <xf numFmtId="37" fontId="31" fillId="0" borderId="33" applyAlignment="0">
      <alignment vertical="center"/>
    </xf>
    <xf numFmtId="0" fontId="8" fillId="0" borderId="0">
      <alignment vertical="center"/>
    </xf>
    <xf numFmtId="224" fontId="27" fillId="0" borderId="19" applyFont="0" applyFill="0" applyBorder="0" applyAlignment="0">
      <alignment horizontal="left" vertical="center"/>
    </xf>
    <xf numFmtId="0" fontId="52" fillId="0" borderId="0">
      <alignment vertical="center"/>
      <protection locked="0"/>
    </xf>
    <xf numFmtId="3" fontId="30" fillId="0" borderId="39">
      <alignment horizontal="center" vertical="center"/>
    </xf>
    <xf numFmtId="0" fontId="74" fillId="0" borderId="40">
      <alignment vertical="center"/>
    </xf>
    <xf numFmtId="0" fontId="52" fillId="0" borderId="0">
      <alignment vertical="center"/>
      <protection locked="0"/>
    </xf>
    <xf numFmtId="0" fontId="75" fillId="0" borderId="0" applyNumberFormat="0" applyFill="0" applyBorder="0" applyAlignment="0" applyProtection="0">
      <alignment vertical="center"/>
    </xf>
    <xf numFmtId="0" fontId="34" fillId="0" borderId="0" applyFont="0" applyFill="0" applyBorder="0" applyAlignment="0" applyProtection="0">
      <alignment vertical="center"/>
    </xf>
    <xf numFmtId="0" fontId="34" fillId="0" borderId="0" applyFont="0" applyFill="0" applyBorder="0" applyAlignment="0" applyProtection="0">
      <alignment vertical="center"/>
    </xf>
    <xf numFmtId="192" fontId="27" fillId="0" borderId="35">
      <alignment vertical="center"/>
    </xf>
    <xf numFmtId="0" fontId="34" fillId="0" borderId="0" applyFont="0" applyFill="0" applyBorder="0" applyAlignment="0" applyProtection="0">
      <alignment vertical="center"/>
    </xf>
    <xf numFmtId="0" fontId="34" fillId="0" borderId="0" applyFont="0" applyFill="0" applyBorder="0" applyAlignment="0" applyProtection="0">
      <alignment vertical="center"/>
    </xf>
    <xf numFmtId="0" fontId="40" fillId="0" borderId="0" applyNumberFormat="0" applyFont="0" applyFill="0" applyBorder="0" applyProtection="0">
      <alignment horizontal="distributed" vertical="center"/>
    </xf>
    <xf numFmtId="10" fontId="76" fillId="0" borderId="0">
      <alignment vertical="center"/>
    </xf>
    <xf numFmtId="10" fontId="76" fillId="0" borderId="0">
      <alignment vertical="center"/>
    </xf>
    <xf numFmtId="225" fontId="52" fillId="0" borderId="0">
      <alignment vertical="center"/>
      <protection locked="0"/>
    </xf>
    <xf numFmtId="226" fontId="9" fillId="0" borderId="0" applyFont="0" applyFill="0" applyBorder="0" applyProtection="0">
      <alignment horizontal="center" vertical="center"/>
    </xf>
    <xf numFmtId="227" fontId="9" fillId="0" borderId="0" applyFont="0" applyFill="0" applyBorder="0" applyProtection="0">
      <alignment horizontal="center" vertical="center"/>
    </xf>
    <xf numFmtId="9" fontId="26" fillId="5" borderId="0" applyFill="0" applyBorder="0" applyProtection="0">
      <alignment horizontal="right" vertical="center"/>
    </xf>
    <xf numFmtId="10" fontId="26" fillId="0" borderId="0" applyFill="0" applyBorder="0" applyProtection="0">
      <alignment horizontal="right" vertical="center"/>
    </xf>
    <xf numFmtId="228" fontId="8" fillId="0" borderId="0" applyFont="0" applyFill="0" applyBorder="0" applyAlignment="0" applyProtection="0">
      <alignment vertical="center"/>
    </xf>
    <xf numFmtId="229" fontId="40" fillId="0" borderId="0" applyFont="0" applyFill="0" applyBorder="0" applyAlignment="0" applyProtection="0">
      <alignment vertical="center"/>
    </xf>
    <xf numFmtId="0" fontId="77" fillId="0" borderId="0" applyFont="0" applyFill="0" applyBorder="0" applyProtection="0">
      <alignment horizontal="center" vertical="center"/>
    </xf>
    <xf numFmtId="0" fontId="77" fillId="0" borderId="0" applyFont="0" applyFill="0" applyBorder="0" applyProtection="0">
      <alignment horizontal="center" vertical="center"/>
    </xf>
    <xf numFmtId="230" fontId="78" fillId="0" borderId="41" applyFont="0" applyFill="0" applyAlignment="0" applyProtection="0">
      <alignment horizontal="center" vertical="center"/>
    </xf>
    <xf numFmtId="0" fontId="79" fillId="0" borderId="0">
      <alignment vertical="center"/>
    </xf>
    <xf numFmtId="192" fontId="80" fillId="0" borderId="19">
      <alignment vertical="center"/>
    </xf>
    <xf numFmtId="0" fontId="40" fillId="0" borderId="0" applyNumberFormat="0" applyFont="0" applyFill="0" applyBorder="0" applyProtection="0">
      <alignment horizontal="centerContinuous" vertical="center"/>
    </xf>
    <xf numFmtId="181" fontId="103" fillId="0" borderId="42">
      <alignment vertical="center"/>
    </xf>
    <xf numFmtId="231" fontId="76" fillId="0" borderId="0">
      <alignment vertical="center"/>
    </xf>
    <xf numFmtId="192" fontId="81" fillId="0" borderId="19">
      <alignment vertical="center"/>
    </xf>
    <xf numFmtId="232" fontId="82" fillId="0" borderId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3" fontId="103" fillId="0" borderId="1" applyFont="0" applyFill="0" applyAlignment="0" applyProtection="0">
      <alignment vertical="center"/>
    </xf>
    <xf numFmtId="0" fontId="30" fillId="0" borderId="0">
      <alignment vertical="center"/>
    </xf>
    <xf numFmtId="0" fontId="3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3" fillId="0" borderId="43">
      <alignment vertical="center"/>
    </xf>
    <xf numFmtId="233" fontId="53" fillId="0" borderId="1" applyBorder="0">
      <alignment vertical="center"/>
    </xf>
    <xf numFmtId="0" fontId="84" fillId="0" borderId="0" applyFont="0" applyFill="0" applyBorder="0" applyAlignment="0" applyProtection="0">
      <alignment vertical="center"/>
    </xf>
    <xf numFmtId="0" fontId="85" fillId="0" borderId="0">
      <alignment vertical="center"/>
    </xf>
    <xf numFmtId="0" fontId="86" fillId="0" borderId="0">
      <alignment horizontal="center" vertical="center"/>
    </xf>
    <xf numFmtId="4" fontId="52" fillId="0" borderId="0">
      <alignment vertical="center"/>
      <protection locked="0"/>
    </xf>
    <xf numFmtId="0" fontId="73" fillId="0" borderId="0">
      <alignment vertical="center"/>
    </xf>
    <xf numFmtId="4" fontId="52" fillId="0" borderId="0">
      <alignment vertical="center"/>
      <protection locked="0"/>
    </xf>
    <xf numFmtId="234" fontId="9" fillId="0" borderId="0">
      <alignment vertical="center"/>
      <protection locked="0"/>
    </xf>
    <xf numFmtId="0" fontId="73" fillId="9" borderId="0">
      <alignment vertical="center"/>
    </xf>
    <xf numFmtId="0" fontId="9" fillId="0" borderId="0">
      <alignment vertical="center"/>
    </xf>
    <xf numFmtId="0" fontId="87" fillId="0" borderId="0">
      <alignment horizontal="centerContinuous" vertical="center"/>
    </xf>
    <xf numFmtId="0" fontId="9" fillId="0" borderId="1">
      <alignment horizontal="distributed" vertical="center"/>
    </xf>
    <xf numFmtId="0" fontId="9" fillId="0" borderId="29">
      <alignment horizontal="distributed" vertical="top"/>
    </xf>
    <xf numFmtId="0" fontId="9" fillId="0" borderId="44">
      <alignment horizontal="distributed" vertical="center"/>
    </xf>
    <xf numFmtId="0" fontId="9" fillId="0" borderId="0">
      <alignment vertical="center"/>
    </xf>
    <xf numFmtId="0" fontId="88" fillId="0" borderId="0">
      <alignment vertical="center"/>
    </xf>
    <xf numFmtId="0" fontId="89" fillId="3" borderId="0" applyNumberFormat="0" applyBorder="0" applyAlignment="0" applyProtection="0">
      <alignment vertical="center"/>
    </xf>
    <xf numFmtId="0" fontId="9" fillId="0" borderId="0">
      <alignment vertical="center"/>
    </xf>
    <xf numFmtId="225" fontId="52" fillId="0" borderId="0">
      <alignment vertical="center"/>
      <protection locked="0"/>
    </xf>
    <xf numFmtId="225" fontId="52" fillId="0" borderId="0">
      <alignment vertical="center"/>
      <protection locked="0"/>
    </xf>
    <xf numFmtId="235" fontId="9" fillId="0" borderId="0" applyFont="0" applyFill="0" applyBorder="0" applyProtection="0">
      <alignment vertical="center"/>
    </xf>
    <xf numFmtId="38" fontId="40" fillId="0" borderId="0" applyFont="0" applyFill="0" applyBorder="0" applyProtection="0">
      <alignment vertical="center"/>
    </xf>
    <xf numFmtId="236" fontId="8" fillId="0" borderId="0" applyFont="0" applyFill="0" applyBorder="0" applyAlignment="0" applyProtection="0">
      <alignment vertical="center"/>
    </xf>
    <xf numFmtId="0" fontId="34" fillId="0" borderId="1">
      <alignment vertical="center"/>
    </xf>
    <xf numFmtId="237" fontId="8" fillId="5" borderId="0" applyFill="0" applyBorder="0" applyProtection="0">
      <alignment horizontal="right" vertical="center"/>
    </xf>
    <xf numFmtId="38" fontId="40" fillId="0" borderId="0" applyFont="0" applyFill="0" applyBorder="0" applyAlignment="0" applyProtection="0">
      <alignment vertical="center"/>
    </xf>
    <xf numFmtId="181" fontId="40" fillId="0" borderId="0" applyFont="0" applyFill="0" applyBorder="0" applyAlignment="0" applyProtection="0">
      <alignment vertical="center"/>
    </xf>
    <xf numFmtId="38" fontId="40" fillId="0" borderId="0" applyFill="0" applyBorder="0" applyAlignment="0" applyProtection="0">
      <alignment vertical="center"/>
    </xf>
    <xf numFmtId="231" fontId="77" fillId="0" borderId="0" applyFont="0" applyFill="0" applyBorder="0" applyAlignment="0" applyProtection="0">
      <alignment vertical="center"/>
    </xf>
    <xf numFmtId="238" fontId="30" fillId="0" borderId="0" applyFont="0" applyFill="0" applyBorder="0" applyAlignment="0" applyProtection="0">
      <alignment vertical="center"/>
    </xf>
    <xf numFmtId="239" fontId="30" fillId="0" borderId="0" applyFont="0" applyFill="0" applyBorder="0" applyAlignment="0" applyProtection="0">
      <alignment vertical="center"/>
    </xf>
    <xf numFmtId="240" fontId="77" fillId="0" borderId="1">
      <alignment vertical="center"/>
    </xf>
    <xf numFmtId="241" fontId="30" fillId="0" borderId="0" applyFont="0" applyFill="0" applyBorder="0" applyAlignment="0" applyProtection="0">
      <alignment vertical="center"/>
    </xf>
    <xf numFmtId="242" fontId="30" fillId="0" borderId="0" applyFont="0" applyFill="0" applyBorder="0" applyAlignment="0" applyProtection="0">
      <alignment vertical="center"/>
    </xf>
    <xf numFmtId="0" fontId="9" fillId="0" borderId="0" applyFont="0" applyFill="0" applyBorder="0" applyAlignment="0" applyProtection="0">
      <alignment vertical="center"/>
    </xf>
    <xf numFmtId="225" fontId="52" fillId="0" borderId="0">
      <alignment vertical="center"/>
      <protection locked="0"/>
    </xf>
    <xf numFmtId="225" fontId="52" fillId="0" borderId="0">
      <alignment vertical="center"/>
      <protection locked="0"/>
    </xf>
    <xf numFmtId="0" fontId="9" fillId="0" borderId="0" applyFont="0" applyFill="0" applyBorder="0" applyAlignment="0" applyProtection="0">
      <alignment vertical="center"/>
    </xf>
    <xf numFmtId="243" fontId="9" fillId="0" borderId="0">
      <alignment vertical="center"/>
      <protection locked="0"/>
    </xf>
    <xf numFmtId="225" fontId="52" fillId="0" borderId="0">
      <alignment vertical="center"/>
      <protection locked="0"/>
    </xf>
    <xf numFmtId="0" fontId="81" fillId="0" borderId="42">
      <alignment horizontal="center" vertical="center"/>
    </xf>
    <xf numFmtId="0" fontId="81" fillId="0" borderId="42">
      <alignment horizontal="left" vertical="center"/>
    </xf>
    <xf numFmtId="0" fontId="81" fillId="0" borderId="42">
      <alignment vertical="center" textRotation="255"/>
    </xf>
    <xf numFmtId="0" fontId="31" fillId="0" borderId="44">
      <alignment horizontal="distributed" vertical="center"/>
    </xf>
    <xf numFmtId="0" fontId="31" fillId="0" borderId="45">
      <alignment horizontal="distributed" vertical="center"/>
    </xf>
    <xf numFmtId="0" fontId="31" fillId="0" borderId="46">
      <alignment horizontal="distributed" vertical="top"/>
    </xf>
    <xf numFmtId="0" fontId="8" fillId="0" borderId="0">
      <alignment vertical="center"/>
    </xf>
    <xf numFmtId="0" fontId="8" fillId="0" borderId="0">
      <alignment vertical="center"/>
    </xf>
    <xf numFmtId="0" fontId="103" fillId="0" borderId="0" applyFill="0" applyProtection="0">
      <alignment vertical="center"/>
    </xf>
    <xf numFmtId="0" fontId="8" fillId="0" borderId="0">
      <alignment vertical="center"/>
    </xf>
    <xf numFmtId="1" fontId="31" fillId="0" borderId="43">
      <alignment horizontal="centerContinuous" vertical="center"/>
    </xf>
    <xf numFmtId="0" fontId="8" fillId="0" borderId="1" applyNumberFormat="0" applyFill="0" applyProtection="0">
      <alignment vertical="center"/>
    </xf>
    <xf numFmtId="0" fontId="9" fillId="0" borderId="0">
      <alignment vertical="center"/>
    </xf>
    <xf numFmtId="0" fontId="52" fillId="0" borderId="37">
      <alignment vertical="center"/>
      <protection locked="0"/>
    </xf>
    <xf numFmtId="244" fontId="9" fillId="0" borderId="0">
      <alignment vertical="center"/>
      <protection locked="0"/>
    </xf>
    <xf numFmtId="245" fontId="9" fillId="0" borderId="0">
      <alignment vertical="center"/>
      <protection locked="0"/>
    </xf>
    <xf numFmtId="0" fontId="100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</cellStyleXfs>
  <cellXfs count="311">
    <xf numFmtId="0" fontId="0" fillId="0" borderId="0" xfId="0" applyFill="1" applyProtection="1">
      <alignment vertical="center"/>
    </xf>
    <xf numFmtId="0" fontId="1" fillId="0" borderId="0" xfId="0" applyFont="1" applyFill="1" applyProtection="1">
      <alignment vertical="center"/>
    </xf>
    <xf numFmtId="0" fontId="2" fillId="0" borderId="0" xfId="0" applyFont="1" applyFill="1" applyProtection="1">
      <alignment vertical="center"/>
    </xf>
    <xf numFmtId="0" fontId="3" fillId="0" borderId="0" xfId="0" applyFont="1" applyFill="1" applyAlignment="1" applyProtection="1">
      <alignment horizontal="center" vertical="center"/>
    </xf>
    <xf numFmtId="0" fontId="4" fillId="0" borderId="0" xfId="0" applyFont="1" applyFill="1" applyProtection="1">
      <alignment vertical="center"/>
    </xf>
    <xf numFmtId="3" fontId="4" fillId="0" borderId="0" xfId="0" applyNumberFormat="1" applyFont="1" applyFill="1" applyProtection="1">
      <alignment vertical="center"/>
    </xf>
    <xf numFmtId="3" fontId="0" fillId="0" borderId="0" xfId="0" applyNumberFormat="1" applyFill="1" applyProtection="1">
      <alignment vertical="center"/>
    </xf>
    <xf numFmtId="3" fontId="0" fillId="0" borderId="1" xfId="0" applyNumberFormat="1" applyFill="1" applyBorder="1" applyProtection="1">
      <alignment vertical="center"/>
    </xf>
    <xf numFmtId="0" fontId="8" fillId="0" borderId="0" xfId="0" applyFont="1" applyFill="1" applyProtection="1">
      <alignment vertical="center"/>
    </xf>
    <xf numFmtId="0" fontId="10" fillId="0" borderId="0" xfId="0" applyFont="1" applyFill="1" applyProtection="1">
      <alignment vertical="center"/>
    </xf>
    <xf numFmtId="0" fontId="9" fillId="0" borderId="0" xfId="0" applyFont="1" applyFill="1" applyProtection="1">
      <alignment vertical="center"/>
    </xf>
    <xf numFmtId="0" fontId="11" fillId="0" borderId="0" xfId="0" applyFont="1" applyFill="1" applyProtection="1">
      <alignment vertical="center"/>
    </xf>
    <xf numFmtId="0" fontId="2" fillId="0" borderId="0" xfId="0" applyFont="1" applyFill="1" applyAlignment="1" applyProtection="1">
      <alignment horizontal="left" vertical="center" wrapText="1"/>
    </xf>
    <xf numFmtId="0" fontId="1" fillId="0" borderId="0" xfId="0" applyFont="1" applyFill="1" applyAlignment="1" applyProtection="1">
      <alignment horizontal="left" vertical="center" wrapText="1"/>
    </xf>
    <xf numFmtId="3" fontId="0" fillId="0" borderId="2" xfId="0" applyNumberFormat="1" applyFill="1" applyBorder="1" applyProtection="1">
      <alignment vertical="center"/>
    </xf>
    <xf numFmtId="0" fontId="8" fillId="0" borderId="0" xfId="6" applyAlignment="1"/>
    <xf numFmtId="0" fontId="8" fillId="0" borderId="0" xfId="6" applyAlignment="1">
      <alignment shrinkToFit="1"/>
    </xf>
    <xf numFmtId="0" fontId="8" fillId="0" borderId="0" xfId="6" applyAlignment="1">
      <alignment horizontal="center"/>
    </xf>
    <xf numFmtId="0" fontId="12" fillId="0" borderId="0" xfId="6" applyFont="1">
      <alignment vertical="center"/>
    </xf>
    <xf numFmtId="0" fontId="16" fillId="0" borderId="0" xfId="6" applyFont="1">
      <alignment vertical="center"/>
    </xf>
    <xf numFmtId="0" fontId="24" fillId="0" borderId="0" xfId="6" applyFont="1">
      <alignment vertical="center"/>
    </xf>
    <xf numFmtId="0" fontId="27" fillId="0" borderId="0" xfId="9" applyFont="1">
      <alignment vertical="center"/>
    </xf>
    <xf numFmtId="0" fontId="81" fillId="0" borderId="0" xfId="6" applyFont="1" applyAlignment="1">
      <alignment horizontal="center" vertical="center"/>
    </xf>
    <xf numFmtId="0" fontId="8" fillId="0" borderId="0" xfId="6" applyAlignment="1">
      <alignment horizontal="right"/>
    </xf>
    <xf numFmtId="0" fontId="81" fillId="0" borderId="0" xfId="6" applyFont="1" applyAlignment="1">
      <alignment horizontal="justify" vertical="center"/>
    </xf>
    <xf numFmtId="0" fontId="92" fillId="0" borderId="0" xfId="6" applyFont="1" applyAlignment="1">
      <alignment vertical="center" wrapText="1"/>
    </xf>
    <xf numFmtId="0" fontId="93" fillId="0" borderId="0" xfId="6" applyFont="1" applyAlignment="1">
      <alignment vertical="center" wrapText="1"/>
    </xf>
    <xf numFmtId="0" fontId="2" fillId="0" borderId="0" xfId="6" applyFont="1" applyAlignment="1">
      <alignment vertical="center" wrapText="1"/>
    </xf>
    <xf numFmtId="0" fontId="2" fillId="0" borderId="0" xfId="6" applyFont="1" applyAlignment="1">
      <alignment horizontal="center" vertical="center" wrapText="1"/>
    </xf>
    <xf numFmtId="0" fontId="8" fillId="0" borderId="5" xfId="6" applyBorder="1" applyAlignment="1"/>
    <xf numFmtId="0" fontId="81" fillId="0" borderId="6" xfId="6" applyFont="1" applyBorder="1" applyAlignment="1">
      <alignment vertical="center" wrapText="1"/>
    </xf>
    <xf numFmtId="0" fontId="81" fillId="0" borderId="0" xfId="6" applyFont="1" applyAlignment="1">
      <alignment vertical="center" wrapText="1"/>
    </xf>
    <xf numFmtId="0" fontId="2" fillId="0" borderId="6" xfId="6" applyFont="1" applyBorder="1" applyAlignment="1">
      <alignment vertical="center" wrapText="1"/>
    </xf>
    <xf numFmtId="0" fontId="2" fillId="0" borderId="0" xfId="6" applyFont="1" applyAlignment="1">
      <alignment horizontal="center" vertical="center"/>
    </xf>
    <xf numFmtId="0" fontId="2" fillId="0" borderId="0" xfId="6" applyFont="1" applyAlignment="1">
      <alignment horizontal="left" vertical="center" wrapText="1"/>
    </xf>
    <xf numFmtId="0" fontId="97" fillId="0" borderId="0" xfId="6" applyFont="1" applyAlignment="1">
      <alignment horizontal="justify" vertical="center"/>
    </xf>
    <xf numFmtId="0" fontId="2" fillId="0" borderId="0" xfId="6" applyFont="1">
      <alignment vertical="center"/>
    </xf>
    <xf numFmtId="0" fontId="97" fillId="0" borderId="0" xfId="6" applyFont="1" applyAlignment="1">
      <alignment horizontal="left" vertical="center" wrapText="1"/>
    </xf>
    <xf numFmtId="0" fontId="8" fillId="0" borderId="0" xfId="6" applyAlignment="1">
      <alignment horizontal="left" wrapText="1"/>
    </xf>
    <xf numFmtId="0" fontId="2" fillId="0" borderId="0" xfId="6" applyFont="1" applyAlignment="1">
      <alignment horizontal="left" vertical="center"/>
    </xf>
    <xf numFmtId="0" fontId="8" fillId="0" borderId="0" xfId="6" applyAlignment="1">
      <alignment wrapText="1"/>
    </xf>
    <xf numFmtId="0" fontId="96" fillId="0" borderId="0" xfId="6" applyFont="1" applyAlignment="1">
      <alignment horizontal="left" vertical="center" wrapText="1"/>
    </xf>
    <xf numFmtId="0" fontId="97" fillId="0" borderId="0" xfId="6" applyFont="1" applyAlignment="1">
      <alignment horizontal="justify" vertical="center" wrapText="1"/>
    </xf>
    <xf numFmtId="0" fontId="2" fillId="0" borderId="49" xfId="6" applyFont="1" applyBorder="1" applyAlignment="1">
      <alignment vertical="center" shrinkToFit="1"/>
    </xf>
    <xf numFmtId="0" fontId="2" fillId="0" borderId="54" xfId="6" applyFont="1" applyBorder="1" applyAlignment="1">
      <alignment vertical="center" shrinkToFit="1"/>
    </xf>
    <xf numFmtId="0" fontId="2" fillId="0" borderId="36" xfId="6" applyFont="1" applyBorder="1" applyAlignment="1">
      <alignment horizontal="center" vertical="center" wrapText="1"/>
    </xf>
    <xf numFmtId="0" fontId="2" fillId="0" borderId="0" xfId="0" applyFont="1" applyFill="1" applyAlignment="1" applyProtection="1">
      <alignment vertical="center" shrinkToFit="1"/>
    </xf>
    <xf numFmtId="0" fontId="0" fillId="0" borderId="0" xfId="0" applyFill="1" applyAlignment="1" applyProtection="1">
      <alignment vertical="center" shrinkToFit="1"/>
    </xf>
    <xf numFmtId="0" fontId="9" fillId="0" borderId="0" xfId="5" applyFont="1" applyAlignment="1">
      <alignment vertical="center" wrapText="1" shrinkToFit="1"/>
    </xf>
    <xf numFmtId="0" fontId="103" fillId="0" borderId="0" xfId="5" applyAlignment="1">
      <alignment vertical="center" wrapText="1" shrinkToFit="1"/>
    </xf>
    <xf numFmtId="0" fontId="8" fillId="0" borderId="0" xfId="5" applyFont="1" applyAlignment="1">
      <alignment vertical="center" wrapText="1" shrinkToFit="1"/>
    </xf>
    <xf numFmtId="0" fontId="1" fillId="0" borderId="0" xfId="0" applyFont="1" applyFill="1" applyAlignment="1" applyProtection="1">
      <alignment vertical="center" shrinkToFit="1"/>
    </xf>
    <xf numFmtId="0" fontId="16" fillId="0" borderId="0" xfId="6" applyFont="1" applyAlignment="1">
      <alignment horizontal="left" vertical="center"/>
    </xf>
    <xf numFmtId="184" fontId="28" fillId="0" borderId="4" xfId="0" applyNumberFormat="1" applyFont="1" applyBorder="1" applyAlignment="1">
      <alignment horizontal="center" vertical="center" shrinkToFit="1"/>
    </xf>
    <xf numFmtId="0" fontId="14" fillId="0" borderId="25" xfId="0" applyFont="1" applyBorder="1" applyAlignment="1">
      <alignment horizontal="center" vertical="center"/>
    </xf>
    <xf numFmtId="0" fontId="14" fillId="0" borderId="24" xfId="0" applyFont="1" applyBorder="1" applyAlignment="1">
      <alignment horizontal="center" vertical="center" shrinkToFit="1"/>
    </xf>
    <xf numFmtId="0" fontId="14" fillId="5" borderId="22" xfId="0" applyFont="1" applyFill="1" applyBorder="1" applyAlignment="1">
      <alignment horizontal="center" vertical="center"/>
    </xf>
    <xf numFmtId="177" fontId="14" fillId="5" borderId="22" xfId="0" applyNumberFormat="1" applyFont="1" applyFill="1" applyBorder="1" applyAlignment="1">
      <alignment horizontal="right" vertical="center" shrinkToFit="1"/>
    </xf>
    <xf numFmtId="0" fontId="14" fillId="6" borderId="21" xfId="0" applyFont="1" applyFill="1" applyBorder="1" applyAlignment="1">
      <alignment horizontal="center" vertical="center" shrinkToFit="1"/>
    </xf>
    <xf numFmtId="182" fontId="18" fillId="0" borderId="20" xfId="0" applyNumberFormat="1" applyFont="1" applyBorder="1" applyAlignment="1">
      <alignment horizontal="center" vertical="center"/>
    </xf>
    <xf numFmtId="0" fontId="18" fillId="0" borderId="18" xfId="0" applyFont="1" applyBorder="1" applyAlignment="1">
      <alignment horizontal="center" vertical="center"/>
    </xf>
    <xf numFmtId="177" fontId="18" fillId="0" borderId="18" xfId="0" applyNumberFormat="1" applyFont="1" applyBorder="1" applyAlignment="1">
      <alignment horizontal="right" vertical="center" shrinkToFit="1"/>
    </xf>
    <xf numFmtId="0" fontId="18" fillId="0" borderId="13" xfId="0" applyFont="1" applyBorder="1" applyAlignment="1">
      <alignment horizontal="center" vertical="center" shrinkToFit="1"/>
    </xf>
    <xf numFmtId="182" fontId="18" fillId="0" borderId="17" xfId="0" applyNumberFormat="1" applyFont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177" fontId="18" fillId="0" borderId="14" xfId="0" applyNumberFormat="1" applyFont="1" applyBorder="1" applyAlignment="1">
      <alignment horizontal="right" vertical="center" shrinkToFit="1"/>
    </xf>
    <xf numFmtId="0" fontId="18" fillId="0" borderId="17" xfId="0" applyFont="1" applyBorder="1" applyAlignment="1">
      <alignment horizontal="center" vertical="center"/>
    </xf>
    <xf numFmtId="177" fontId="18" fillId="0" borderId="16" xfId="0" applyNumberFormat="1" applyFont="1" applyBorder="1" applyAlignment="1">
      <alignment horizontal="right" vertical="center" shrinkToFit="1"/>
    </xf>
    <xf numFmtId="0" fontId="14" fillId="5" borderId="1" xfId="0" applyFont="1" applyFill="1" applyBorder="1">
      <alignment vertical="center"/>
    </xf>
    <xf numFmtId="0" fontId="14" fillId="5" borderId="1" xfId="0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right" vertical="center"/>
    </xf>
    <xf numFmtId="177" fontId="21" fillId="5" borderId="1" xfId="0" applyNumberFormat="1" applyFont="1" applyFill="1" applyBorder="1" applyAlignment="1">
      <alignment horizontal="right" vertical="center" shrinkToFit="1"/>
    </xf>
    <xf numFmtId="0" fontId="22" fillId="5" borderId="11" xfId="0" applyFont="1" applyFill="1" applyBorder="1" applyAlignment="1">
      <alignment horizontal="center" vertical="center" shrinkToFit="1"/>
    </xf>
    <xf numFmtId="38" fontId="21" fillId="5" borderId="1" xfId="0" applyNumberFormat="1" applyFont="1" applyFill="1" applyBorder="1" applyAlignment="1">
      <alignment horizontal="right" vertical="center" shrinkToFit="1"/>
    </xf>
    <xf numFmtId="38" fontId="21" fillId="12" borderId="15" xfId="0" applyNumberFormat="1" applyFont="1" applyFill="1" applyBorder="1" applyAlignment="1">
      <alignment horizontal="right" vertical="center" shrinkToFit="1"/>
    </xf>
    <xf numFmtId="0" fontId="18" fillId="12" borderId="13" xfId="0" applyFont="1" applyFill="1" applyBorder="1" applyAlignment="1">
      <alignment horizontal="left" vertical="center" shrinkToFit="1"/>
    </xf>
    <xf numFmtId="0" fontId="18" fillId="5" borderId="1" xfId="0" applyFont="1" applyFill="1" applyBorder="1" applyAlignment="1">
      <alignment horizontal="right" vertical="center"/>
    </xf>
    <xf numFmtId="0" fontId="18" fillId="5" borderId="11" xfId="0" applyFont="1" applyFill="1" applyBorder="1" applyAlignment="1">
      <alignment horizontal="center" vertical="center" shrinkToFit="1"/>
    </xf>
    <xf numFmtId="0" fontId="14" fillId="0" borderId="2" xfId="0" applyFont="1" applyBorder="1" applyAlignment="1">
      <alignment horizontal="center" vertical="center"/>
    </xf>
    <xf numFmtId="177" fontId="14" fillId="0" borderId="1" xfId="0" applyNumberFormat="1" applyFont="1" applyBorder="1" applyAlignment="1">
      <alignment horizontal="right" vertical="center" shrinkToFit="1"/>
    </xf>
    <xf numFmtId="0" fontId="20" fillId="0" borderId="11" xfId="0" applyFont="1" applyBorder="1" applyAlignment="1">
      <alignment horizontal="center" vertical="center" wrapText="1" shrinkToFit="1"/>
    </xf>
    <xf numFmtId="0" fontId="18" fillId="0" borderId="11" xfId="0" applyFont="1" applyBorder="1" applyAlignment="1">
      <alignment horizontal="center" vertical="center" shrinkToFit="1"/>
    </xf>
    <xf numFmtId="0" fontId="14" fillId="6" borderId="2" xfId="0" applyFont="1" applyFill="1" applyBorder="1" applyAlignment="1">
      <alignment horizontal="center" vertical="center"/>
    </xf>
    <xf numFmtId="177" fontId="14" fillId="6" borderId="1" xfId="0" applyNumberFormat="1" applyFont="1" applyFill="1" applyBorder="1" applyAlignment="1">
      <alignment horizontal="right" vertical="center" shrinkToFit="1"/>
    </xf>
    <xf numFmtId="0" fontId="18" fillId="6" borderId="11" xfId="0" applyFont="1" applyFill="1" applyBorder="1" applyAlignment="1">
      <alignment horizontal="center" vertical="center" shrinkToFit="1"/>
    </xf>
    <xf numFmtId="0" fontId="14" fillId="6" borderId="4" xfId="0" applyFont="1" applyFill="1" applyBorder="1" applyAlignment="1">
      <alignment horizontal="center" vertical="center"/>
    </xf>
    <xf numFmtId="177" fontId="17" fillId="6" borderId="4" xfId="0" applyNumberFormat="1" applyFont="1" applyFill="1" applyBorder="1" applyAlignment="1">
      <alignment vertical="center" shrinkToFit="1"/>
    </xf>
    <xf numFmtId="0" fontId="17" fillId="6" borderId="10" xfId="0" applyFont="1" applyFill="1" applyBorder="1" applyAlignment="1">
      <alignment horizontal="center" vertical="center" shrinkToFit="1"/>
    </xf>
    <xf numFmtId="0" fontId="13" fillId="5" borderId="7" xfId="0" applyFont="1" applyFill="1" applyBorder="1" applyAlignment="1">
      <alignment vertical="center" shrinkToFit="1"/>
    </xf>
    <xf numFmtId="0" fontId="13" fillId="5" borderId="5" xfId="0" applyFont="1" applyFill="1" applyBorder="1" applyAlignment="1">
      <alignment vertical="center" shrinkToFit="1"/>
    </xf>
    <xf numFmtId="0" fontId="13" fillId="5" borderId="3" xfId="0" applyFont="1" applyFill="1" applyBorder="1" applyAlignment="1">
      <alignment vertical="center" shrinkToFit="1"/>
    </xf>
    <xf numFmtId="49" fontId="14" fillId="0" borderId="74" xfId="0" applyNumberFormat="1" applyFont="1" applyBorder="1">
      <alignment vertical="center"/>
    </xf>
    <xf numFmtId="49" fontId="14" fillId="0" borderId="75" xfId="0" applyNumberFormat="1" applyFont="1" applyBorder="1">
      <alignment vertical="center"/>
    </xf>
    <xf numFmtId="49" fontId="17" fillId="0" borderId="75" xfId="0" applyNumberFormat="1" applyFont="1" applyBorder="1">
      <alignment vertical="center"/>
    </xf>
    <xf numFmtId="0" fontId="29" fillId="13" borderId="0" xfId="6" quotePrefix="1" applyFont="1" applyFill="1" applyAlignment="1">
      <alignment vertical="center" shrinkToFit="1"/>
    </xf>
    <xf numFmtId="184" fontId="28" fillId="13" borderId="0" xfId="6" applyNumberFormat="1" applyFont="1" applyFill="1" applyAlignment="1">
      <alignment horizontal="center" vertical="center" shrinkToFit="1"/>
    </xf>
    <xf numFmtId="0" fontId="17" fillId="13" borderId="0" xfId="6" applyFont="1" applyFill="1">
      <alignment vertical="center"/>
    </xf>
    <xf numFmtId="177" fontId="17" fillId="13" borderId="0" xfId="6" applyNumberFormat="1" applyFont="1" applyFill="1" applyAlignment="1">
      <alignment vertical="center" shrinkToFit="1"/>
    </xf>
    <xf numFmtId="183" fontId="17" fillId="13" borderId="0" xfId="6" applyNumberFormat="1" applyFont="1" applyFill="1" applyAlignment="1">
      <alignment vertical="center" shrinkToFit="1"/>
    </xf>
    <xf numFmtId="183" fontId="17" fillId="13" borderId="5" xfId="6" applyNumberFormat="1" applyFont="1" applyFill="1" applyBorder="1" applyAlignment="1">
      <alignment vertical="center" shrinkToFit="1"/>
    </xf>
    <xf numFmtId="0" fontId="17" fillId="13" borderId="40" xfId="6" applyFont="1" applyFill="1" applyBorder="1">
      <alignment vertical="center"/>
    </xf>
    <xf numFmtId="0" fontId="17" fillId="13" borderId="41" xfId="6" applyFont="1" applyFill="1" applyBorder="1">
      <alignment vertical="center"/>
    </xf>
    <xf numFmtId="183" fontId="17" fillId="13" borderId="68" xfId="6" applyNumberFormat="1" applyFont="1" applyFill="1" applyBorder="1" applyAlignment="1">
      <alignment vertical="center" shrinkToFit="1"/>
    </xf>
    <xf numFmtId="183" fontId="17" fillId="13" borderId="40" xfId="6" applyNumberFormat="1" applyFont="1" applyFill="1" applyBorder="1" applyAlignment="1">
      <alignment vertical="center" shrinkToFit="1"/>
    </xf>
    <xf numFmtId="183" fontId="17" fillId="13" borderId="60" xfId="6" applyNumberFormat="1" applyFont="1" applyFill="1" applyBorder="1" applyAlignment="1">
      <alignment vertical="center" shrinkToFit="1"/>
    </xf>
    <xf numFmtId="0" fontId="17" fillId="13" borderId="64" xfId="6" applyFont="1" applyFill="1" applyBorder="1">
      <alignment vertical="center"/>
    </xf>
    <xf numFmtId="0" fontId="17" fillId="13" borderId="67" xfId="6" applyFont="1" applyFill="1" applyBorder="1">
      <alignment vertical="center"/>
    </xf>
    <xf numFmtId="183" fontId="17" fillId="13" borderId="63" xfId="6" applyNumberFormat="1" applyFont="1" applyFill="1" applyBorder="1" applyAlignment="1">
      <alignment vertical="center" shrinkToFit="1"/>
    </xf>
    <xf numFmtId="183" fontId="17" fillId="13" borderId="64" xfId="6" applyNumberFormat="1" applyFont="1" applyFill="1" applyBorder="1" applyAlignment="1">
      <alignment vertical="center" shrinkToFit="1"/>
    </xf>
    <xf numFmtId="183" fontId="17" fillId="13" borderId="78" xfId="6" applyNumberFormat="1" applyFont="1" applyFill="1" applyBorder="1" applyAlignment="1">
      <alignment vertical="center" shrinkToFit="1"/>
    </xf>
    <xf numFmtId="0" fontId="25" fillId="13" borderId="0" xfId="6" applyFont="1" applyFill="1">
      <alignment vertical="center"/>
    </xf>
    <xf numFmtId="0" fontId="25" fillId="13" borderId="5" xfId="6" applyFont="1" applyFill="1" applyBorder="1">
      <alignment vertical="center"/>
    </xf>
    <xf numFmtId="0" fontId="14" fillId="13" borderId="0" xfId="8" applyFont="1" applyFill="1" applyBorder="1" applyAlignment="1">
      <alignment vertical="center"/>
    </xf>
    <xf numFmtId="0" fontId="14" fillId="13" borderId="0" xfId="8" applyFont="1" applyFill="1" applyBorder="1" applyAlignment="1">
      <alignment horizontal="center" vertical="center"/>
    </xf>
    <xf numFmtId="0" fontId="14" fillId="13" borderId="5" xfId="8" applyFont="1" applyFill="1" applyBorder="1" applyAlignment="1">
      <alignment horizontal="center" vertical="center"/>
    </xf>
    <xf numFmtId="49" fontId="14" fillId="13" borderId="0" xfId="6" quotePrefix="1" applyNumberFormat="1" applyFont="1" applyFill="1">
      <alignment vertical="center"/>
    </xf>
    <xf numFmtId="182" fontId="18" fillId="13" borderId="0" xfId="6" applyNumberFormat="1" applyFont="1" applyFill="1" applyAlignment="1">
      <alignment horizontal="center" vertical="center"/>
    </xf>
    <xf numFmtId="0" fontId="18" fillId="13" borderId="0" xfId="6" applyFont="1" applyFill="1" applyAlignment="1">
      <alignment horizontal="center" vertical="center"/>
    </xf>
    <xf numFmtId="0" fontId="18" fillId="13" borderId="5" xfId="6" applyFont="1" applyFill="1" applyBorder="1" applyAlignment="1">
      <alignment horizontal="center" vertical="center"/>
    </xf>
    <xf numFmtId="49" fontId="17" fillId="13" borderId="0" xfId="6" quotePrefix="1" applyNumberFormat="1" applyFont="1" applyFill="1" applyAlignment="1">
      <alignment vertical="center" textRotation="255"/>
    </xf>
    <xf numFmtId="0" fontId="18" fillId="13" borderId="0" xfId="6" quotePrefix="1" applyFont="1" applyFill="1" applyAlignment="1">
      <alignment horizontal="center" vertical="center"/>
    </xf>
    <xf numFmtId="0" fontId="14" fillId="13" borderId="0" xfId="6" applyFont="1" applyFill="1">
      <alignment vertical="center"/>
    </xf>
    <xf numFmtId="0" fontId="14" fillId="13" borderId="0" xfId="6" applyFont="1" applyFill="1" applyAlignment="1">
      <alignment horizontal="center" vertical="center"/>
    </xf>
    <xf numFmtId="0" fontId="14" fillId="13" borderId="5" xfId="6" applyFont="1" applyFill="1" applyBorder="1" applyAlignment="1">
      <alignment horizontal="center" vertical="center"/>
    </xf>
    <xf numFmtId="0" fontId="18" fillId="13" borderId="0" xfId="6" applyFont="1" applyFill="1">
      <alignment vertical="center"/>
    </xf>
    <xf numFmtId="0" fontId="18" fillId="13" borderId="0" xfId="6" applyFont="1" applyFill="1" applyAlignment="1">
      <alignment horizontal="left" vertical="center"/>
    </xf>
    <xf numFmtId="180" fontId="18" fillId="13" borderId="5" xfId="6" applyNumberFormat="1" applyFont="1" applyFill="1" applyBorder="1" applyAlignment="1">
      <alignment horizontal="left" vertical="center"/>
    </xf>
    <xf numFmtId="0" fontId="19" fillId="13" borderId="0" xfId="6" applyFont="1" applyFill="1">
      <alignment vertical="center"/>
    </xf>
    <xf numFmtId="0" fontId="14" fillId="13" borderId="5" xfId="6" applyFont="1" applyFill="1" applyBorder="1">
      <alignment vertical="center"/>
    </xf>
    <xf numFmtId="0" fontId="13" fillId="13" borderId="0" xfId="6" applyFont="1" applyFill="1">
      <alignment vertical="center"/>
    </xf>
    <xf numFmtId="0" fontId="15" fillId="13" borderId="0" xfId="6" applyFont="1" applyFill="1" applyAlignment="1">
      <alignment vertical="center" wrapText="1"/>
    </xf>
    <xf numFmtId="0" fontId="15" fillId="13" borderId="5" xfId="6" applyFont="1" applyFill="1" applyBorder="1" applyAlignment="1">
      <alignment vertical="center" wrapText="1"/>
    </xf>
    <xf numFmtId="0" fontId="18" fillId="13" borderId="0" xfId="6" applyFont="1" applyFill="1" applyAlignment="1">
      <alignment vertical="center" wrapText="1"/>
    </xf>
    <xf numFmtId="0" fontId="18" fillId="13" borderId="5" xfId="6" applyFont="1" applyFill="1" applyBorder="1" applyAlignment="1">
      <alignment vertical="center" wrapText="1"/>
    </xf>
    <xf numFmtId="0" fontId="14" fillId="13" borderId="0" xfId="6" applyFont="1" applyFill="1" applyAlignment="1">
      <alignment vertical="center" shrinkToFit="1"/>
    </xf>
    <xf numFmtId="0" fontId="14" fillId="13" borderId="5" xfId="6" applyFont="1" applyFill="1" applyBorder="1" applyAlignment="1">
      <alignment vertical="center" shrinkToFit="1"/>
    </xf>
    <xf numFmtId="0" fontId="18" fillId="12" borderId="29" xfId="0" applyFont="1" applyFill="1" applyBorder="1" applyAlignment="1">
      <alignment horizontal="left" vertical="center"/>
    </xf>
    <xf numFmtId="0" fontId="18" fillId="12" borderId="19" xfId="0" applyFont="1" applyFill="1" applyBorder="1" applyAlignment="1">
      <alignment horizontal="left" vertical="center"/>
    </xf>
    <xf numFmtId="180" fontId="18" fillId="12" borderId="19" xfId="0" applyNumberFormat="1" applyFont="1" applyFill="1" applyBorder="1" applyAlignment="1">
      <alignment horizontal="left" vertical="center"/>
    </xf>
    <xf numFmtId="181" fontId="18" fillId="12" borderId="19" xfId="0" applyNumberFormat="1" applyFont="1" applyFill="1" applyBorder="1" applyAlignment="1">
      <alignment horizontal="left" vertical="center"/>
    </xf>
    <xf numFmtId="0" fontId="104" fillId="0" borderId="0" xfId="0" applyFont="1" applyFill="1" applyProtection="1">
      <alignment vertical="center"/>
    </xf>
    <xf numFmtId="0" fontId="106" fillId="0" borderId="0" xfId="0" applyFont="1" applyFill="1" applyProtection="1">
      <alignment vertical="center"/>
    </xf>
    <xf numFmtId="0" fontId="104" fillId="2" borderId="0" xfId="0" applyFont="1" applyFill="1" applyProtection="1">
      <alignment vertical="center"/>
    </xf>
    <xf numFmtId="0" fontId="106" fillId="2" borderId="0" xfId="0" applyFont="1" applyFill="1" applyProtection="1">
      <alignment vertical="center"/>
    </xf>
    <xf numFmtId="0" fontId="104" fillId="0" borderId="0" xfId="0" applyFont="1" applyFill="1" applyAlignment="1" applyProtection="1">
      <alignment horizontal="left" vertical="center"/>
    </xf>
    <xf numFmtId="0" fontId="104" fillId="0" borderId="0" xfId="0" applyFont="1" applyFill="1" applyAlignment="1" applyProtection="1">
      <alignment horizontal="left"/>
    </xf>
    <xf numFmtId="0" fontId="109" fillId="0" borderId="0" xfId="0" applyFont="1" applyFill="1" applyProtection="1">
      <alignment vertical="center"/>
    </xf>
    <xf numFmtId="0" fontId="110" fillId="0" borderId="0" xfId="0" applyFont="1" applyFill="1" applyProtection="1">
      <alignment vertical="center"/>
    </xf>
    <xf numFmtId="0" fontId="111" fillId="0" borderId="0" xfId="0" applyFont="1" applyFill="1" applyAlignment="1" applyProtection="1">
      <alignment vertical="center" shrinkToFit="1"/>
    </xf>
    <xf numFmtId="0" fontId="108" fillId="0" borderId="0" xfId="0" applyFont="1" applyFill="1" applyProtection="1">
      <alignment vertical="center"/>
    </xf>
    <xf numFmtId="0" fontId="107" fillId="0" borderId="0" xfId="0" applyFont="1" applyFill="1" applyProtection="1">
      <alignment vertical="center"/>
    </xf>
    <xf numFmtId="3" fontId="107" fillId="0" borderId="0" xfId="0" applyNumberFormat="1" applyFont="1" applyFill="1" applyProtection="1">
      <alignment vertical="center"/>
    </xf>
    <xf numFmtId="0" fontId="104" fillId="0" borderId="0" xfId="0" applyFont="1" applyFill="1" applyAlignment="1" applyProtection="1">
      <alignment vertical="center" wrapText="1"/>
    </xf>
    <xf numFmtId="0" fontId="105" fillId="0" borderId="0" xfId="0" applyFont="1" applyFill="1" applyAlignment="1" applyProtection="1">
      <alignment horizontal="center" vertical="center"/>
    </xf>
    <xf numFmtId="0" fontId="107" fillId="0" borderId="0" xfId="5" applyFont="1" applyAlignment="1">
      <alignment horizontal="center" vertical="center" shrinkToFit="1"/>
    </xf>
    <xf numFmtId="0" fontId="108" fillId="0" borderId="0" xfId="0" applyFont="1" applyFill="1" applyAlignment="1" applyProtection="1">
      <alignment horizontal="left" vertical="center" shrinkToFit="1"/>
    </xf>
    <xf numFmtId="0" fontId="104" fillId="0" borderId="0" xfId="0" applyFont="1" applyFill="1" applyAlignment="1" applyProtection="1">
      <alignment horizontal="left" vertical="center"/>
    </xf>
    <xf numFmtId="179" fontId="104" fillId="0" borderId="0" xfId="0" applyNumberFormat="1" applyFont="1" applyFill="1" applyAlignment="1" applyProtection="1">
      <alignment horizontal="left" vertical="center"/>
    </xf>
    <xf numFmtId="0" fontId="104" fillId="0" borderId="0" xfId="5" applyFont="1" applyAlignment="1">
      <alignment horizontal="left" vertical="center" wrapText="1" shrinkToFit="1"/>
    </xf>
    <xf numFmtId="0" fontId="104" fillId="0" borderId="0" xfId="5" applyFont="1" applyAlignment="1">
      <alignment horizontal="left" vertical="center" shrinkToFit="1"/>
    </xf>
    <xf numFmtId="0" fontId="104" fillId="0" borderId="0" xfId="0" applyFont="1" applyFill="1" applyAlignment="1" applyProtection="1">
      <alignment horizontal="left" vertical="center" wrapText="1" shrinkToFit="1"/>
    </xf>
    <xf numFmtId="0" fontId="104" fillId="0" borderId="0" xfId="0" applyFont="1" applyFill="1" applyAlignment="1" applyProtection="1">
      <alignment horizontal="left" vertical="center" shrinkToFit="1"/>
    </xf>
    <xf numFmtId="0" fontId="1" fillId="0" borderId="0" xfId="0" applyFont="1" applyFill="1" applyAlignment="1" applyProtection="1">
      <alignment horizontal="left"/>
    </xf>
    <xf numFmtId="0" fontId="1" fillId="0" borderId="0" xfId="0" applyFont="1" applyFill="1" applyAlignment="1" applyProtection="1">
      <alignment horizontal="left" wrapText="1"/>
    </xf>
    <xf numFmtId="0" fontId="5" fillId="0" borderId="0" xfId="0" applyFont="1" applyFill="1" applyAlignment="1" applyProtection="1">
      <alignment horizontal="left"/>
    </xf>
    <xf numFmtId="0" fontId="104" fillId="0" borderId="0" xfId="0" applyFont="1" applyFill="1" applyAlignment="1" applyProtection="1">
      <alignment horizontal="center" vertical="center"/>
    </xf>
    <xf numFmtId="0" fontId="108" fillId="0" borderId="0" xfId="0" applyFont="1" applyFill="1" applyAlignment="1" applyProtection="1">
      <alignment horizontal="left" vertical="center"/>
    </xf>
    <xf numFmtId="0" fontId="113" fillId="0" borderId="0" xfId="0" applyFont="1" applyFill="1" applyAlignment="1" applyProtection="1">
      <alignment vertical="center" shrinkToFit="1"/>
    </xf>
    <xf numFmtId="0" fontId="114" fillId="0" borderId="0" xfId="0" applyFont="1" applyFill="1" applyAlignment="1" applyProtection="1">
      <alignment vertical="center" shrinkToFit="1"/>
    </xf>
    <xf numFmtId="0" fontId="112" fillId="0" borderId="0" xfId="0" applyFont="1" applyFill="1" applyAlignment="1" applyProtection="1">
      <alignment horizontal="center" vertical="center"/>
    </xf>
    <xf numFmtId="0" fontId="104" fillId="0" borderId="0" xfId="0" applyFont="1" applyFill="1" applyAlignment="1" applyProtection="1">
      <alignment horizontal="left" vertical="center" wrapText="1"/>
    </xf>
    <xf numFmtId="0" fontId="104" fillId="0" borderId="0" xfId="0" applyFont="1" applyFill="1" applyAlignment="1" applyProtection="1">
      <alignment horizontal="center" vertical="center" wrapText="1"/>
    </xf>
    <xf numFmtId="0" fontId="29" fillId="6" borderId="0" xfId="0" applyFont="1" applyFill="1" applyAlignment="1">
      <alignment horizontal="center" vertical="center" shrinkToFit="1"/>
    </xf>
    <xf numFmtId="0" fontId="14" fillId="0" borderId="4" xfId="0" applyFont="1" applyBorder="1" applyAlignment="1">
      <alignment horizontal="right" vertical="center" shrinkToFit="1"/>
    </xf>
    <xf numFmtId="0" fontId="17" fillId="6" borderId="71" xfId="0" applyFont="1" applyFill="1" applyBorder="1" applyAlignment="1">
      <alignment horizontal="center" vertical="center"/>
    </xf>
    <xf numFmtId="0" fontId="17" fillId="6" borderId="53" xfId="0" applyFont="1" applyFill="1" applyBorder="1" applyAlignment="1">
      <alignment horizontal="center" vertical="center"/>
    </xf>
    <xf numFmtId="177" fontId="17" fillId="6" borderId="32" xfId="0" applyNumberFormat="1" applyFont="1" applyFill="1" applyBorder="1" applyAlignment="1">
      <alignment horizontal="left" vertical="center" shrinkToFit="1"/>
    </xf>
    <xf numFmtId="183" fontId="17" fillId="6" borderId="31" xfId="0" applyNumberFormat="1" applyFont="1" applyFill="1" applyBorder="1" applyAlignment="1">
      <alignment horizontal="left" vertical="center" shrinkToFit="1"/>
    </xf>
    <xf numFmtId="183" fontId="17" fillId="6" borderId="30" xfId="0" applyNumberFormat="1" applyFont="1" applyFill="1" applyBorder="1" applyAlignment="1">
      <alignment horizontal="left" vertical="center" shrinkToFit="1"/>
    </xf>
    <xf numFmtId="0" fontId="17" fillId="7" borderId="72" xfId="0" applyFont="1" applyFill="1" applyBorder="1" applyAlignment="1">
      <alignment horizontal="center" vertical="center"/>
    </xf>
    <xf numFmtId="0" fontId="17" fillId="7" borderId="23" xfId="0" applyFont="1" applyFill="1" applyBorder="1" applyAlignment="1">
      <alignment horizontal="center" vertical="center"/>
    </xf>
    <xf numFmtId="183" fontId="17" fillId="7" borderId="55" xfId="0" applyNumberFormat="1" applyFont="1" applyFill="1" applyBorder="1" applyAlignment="1">
      <alignment horizontal="left" vertical="center" shrinkToFit="1"/>
    </xf>
    <xf numFmtId="183" fontId="17" fillId="7" borderId="56" xfId="0" applyNumberFormat="1" applyFont="1" applyFill="1" applyBorder="1" applyAlignment="1">
      <alignment horizontal="left" vertical="center" shrinkToFit="1"/>
    </xf>
    <xf numFmtId="183" fontId="17" fillId="7" borderId="57" xfId="0" applyNumberFormat="1" applyFont="1" applyFill="1" applyBorder="1" applyAlignment="1">
      <alignment horizontal="left" vertical="center" shrinkToFit="1"/>
    </xf>
    <xf numFmtId="0" fontId="17" fillId="7" borderId="73" xfId="0" applyFont="1" applyFill="1" applyBorder="1" applyAlignment="1">
      <alignment horizontal="center" vertical="center"/>
    </xf>
    <xf numFmtId="0" fontId="17" fillId="7" borderId="49" xfId="0" applyFont="1" applyFill="1" applyBorder="1" applyAlignment="1">
      <alignment horizontal="center" vertical="center"/>
    </xf>
    <xf numFmtId="183" fontId="17" fillId="7" borderId="47" xfId="0" applyNumberFormat="1" applyFont="1" applyFill="1" applyBorder="1" applyAlignment="1">
      <alignment horizontal="left" vertical="center" shrinkToFit="1"/>
    </xf>
    <xf numFmtId="183" fontId="17" fillId="7" borderId="48" xfId="0" applyNumberFormat="1" applyFont="1" applyFill="1" applyBorder="1" applyAlignment="1">
      <alignment horizontal="left" vertical="center" shrinkToFit="1"/>
    </xf>
    <xf numFmtId="183" fontId="17" fillId="7" borderId="54" xfId="0" applyNumberFormat="1" applyFont="1" applyFill="1" applyBorder="1" applyAlignment="1">
      <alignment horizontal="left" vertical="center" shrinkToFit="1"/>
    </xf>
    <xf numFmtId="0" fontId="25" fillId="0" borderId="71" xfId="0" applyFont="1" applyBorder="1" applyAlignment="1">
      <alignment horizontal="center" vertical="center"/>
    </xf>
    <xf numFmtId="0" fontId="25" fillId="0" borderId="31" xfId="0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0" fontId="14" fillId="0" borderId="71" xfId="0" applyFont="1" applyBorder="1" applyAlignment="1">
      <alignment horizontal="center" vertical="center"/>
    </xf>
    <xf numFmtId="0" fontId="14" fillId="0" borderId="53" xfId="0" applyFont="1" applyBorder="1" applyAlignment="1">
      <alignment horizontal="center" vertical="center"/>
    </xf>
    <xf numFmtId="0" fontId="14" fillId="5" borderId="72" xfId="0" applyFont="1" applyFill="1" applyBorder="1" applyAlignment="1">
      <alignment horizontal="left" vertical="center"/>
    </xf>
    <xf numFmtId="0" fontId="14" fillId="5" borderId="23" xfId="0" applyFont="1" applyFill="1" applyBorder="1" applyAlignment="1">
      <alignment horizontal="left" vertical="center"/>
    </xf>
    <xf numFmtId="0" fontId="14" fillId="5" borderId="76" xfId="0" applyFont="1" applyFill="1" applyBorder="1" applyAlignment="1">
      <alignment horizontal="left" vertical="center"/>
    </xf>
    <xf numFmtId="0" fontId="14" fillId="5" borderId="2" xfId="0" applyFont="1" applyFill="1" applyBorder="1" applyAlignment="1">
      <alignment horizontal="left" vertical="center"/>
    </xf>
    <xf numFmtId="0" fontId="18" fillId="12" borderId="76" xfId="0" applyFont="1" applyFill="1" applyBorder="1" applyAlignment="1">
      <alignment horizontal="left" vertical="center"/>
    </xf>
    <xf numFmtId="0" fontId="18" fillId="12" borderId="2" xfId="0" applyFont="1" applyFill="1" applyBorder="1" applyAlignment="1">
      <alignment horizontal="left" vertical="center"/>
    </xf>
    <xf numFmtId="0" fontId="19" fillId="0" borderId="76" xfId="0" applyFont="1" applyBorder="1" applyAlignment="1">
      <alignment horizontal="left" vertical="center"/>
    </xf>
    <xf numFmtId="0" fontId="19" fillId="0" borderId="2" xfId="0" applyFont="1" applyBorder="1" applyAlignment="1">
      <alignment horizontal="left" vertical="center"/>
    </xf>
    <xf numFmtId="0" fontId="14" fillId="0" borderId="51" xfId="0" applyFont="1" applyBorder="1" applyAlignment="1">
      <alignment horizontal="center" vertical="center"/>
    </xf>
    <xf numFmtId="0" fontId="14" fillId="0" borderId="36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9" fillId="0" borderId="76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9" fillId="6" borderId="76" xfId="0" applyFont="1" applyFill="1" applyBorder="1" applyAlignment="1">
      <alignment horizontal="center" vertical="center"/>
    </xf>
    <xf numFmtId="0" fontId="19" fillId="6" borderId="2" xfId="0" applyFont="1" applyFill="1" applyBorder="1" applyAlignment="1">
      <alignment horizontal="center" vertical="center"/>
    </xf>
    <xf numFmtId="0" fontId="14" fillId="6" borderId="51" xfId="0" applyFont="1" applyFill="1" applyBorder="1" applyAlignment="1">
      <alignment horizontal="center" vertical="center"/>
    </xf>
    <xf numFmtId="0" fontId="14" fillId="6" borderId="36" xfId="0" applyFont="1" applyFill="1" applyBorder="1" applyAlignment="1">
      <alignment horizontal="center" vertical="center"/>
    </xf>
    <xf numFmtId="0" fontId="14" fillId="6" borderId="2" xfId="0" applyFont="1" applyFill="1" applyBorder="1" applyAlignment="1">
      <alignment horizontal="center" vertical="center"/>
    </xf>
    <xf numFmtId="0" fontId="17" fillId="6" borderId="73" xfId="0" applyFont="1" applyFill="1" applyBorder="1" applyAlignment="1">
      <alignment horizontal="center" vertical="center"/>
    </xf>
    <xf numFmtId="0" fontId="17" fillId="6" borderId="49" xfId="0" applyFont="1" applyFill="1" applyBorder="1" applyAlignment="1">
      <alignment horizontal="center" vertical="center"/>
    </xf>
    <xf numFmtId="0" fontId="14" fillId="6" borderId="47" xfId="0" applyFont="1" applyFill="1" applyBorder="1" applyAlignment="1">
      <alignment horizontal="center" vertical="center"/>
    </xf>
    <xf numFmtId="0" fontId="14" fillId="6" borderId="48" xfId="0" applyFont="1" applyFill="1" applyBorder="1" applyAlignment="1">
      <alignment horizontal="center" vertical="center"/>
    </xf>
    <xf numFmtId="0" fontId="14" fillId="6" borderId="49" xfId="0" applyFont="1" applyFill="1" applyBorder="1" applyAlignment="1">
      <alignment horizontal="center" vertical="center"/>
    </xf>
    <xf numFmtId="0" fontId="13" fillId="5" borderId="77" xfId="0" applyFont="1" applyFill="1" applyBorder="1" applyAlignment="1">
      <alignment horizontal="center" vertical="center"/>
    </xf>
    <xf numFmtId="0" fontId="13" fillId="5" borderId="8" xfId="0" applyFont="1" applyFill="1" applyBorder="1" applyAlignment="1">
      <alignment horizontal="center" vertical="center"/>
    </xf>
    <xf numFmtId="0" fontId="13" fillId="5" borderId="69" xfId="0" applyFont="1" applyFill="1" applyBorder="1" applyAlignment="1">
      <alignment horizontal="center" vertical="center"/>
    </xf>
    <xf numFmtId="0" fontId="13" fillId="5" borderId="0" xfId="0" applyFont="1" applyFill="1" applyAlignment="1">
      <alignment horizontal="center" vertical="center"/>
    </xf>
    <xf numFmtId="0" fontId="13" fillId="5" borderId="70" xfId="0" applyFont="1" applyFill="1" applyBorder="1" applyAlignment="1">
      <alignment horizontal="center" vertical="center"/>
    </xf>
    <xf numFmtId="0" fontId="13" fillId="5" borderId="4" xfId="0" applyFont="1" applyFill="1" applyBorder="1" applyAlignment="1">
      <alignment horizontal="center" vertical="center"/>
    </xf>
    <xf numFmtId="0" fontId="15" fillId="0" borderId="8" xfId="0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4" fillId="0" borderId="4" xfId="0" applyFont="1" applyBorder="1" applyAlignment="1">
      <alignment horizontal="center" vertical="center" shrinkToFit="1"/>
    </xf>
    <xf numFmtId="0" fontId="90" fillId="11" borderId="58" xfId="6" applyFont="1" applyFill="1" applyBorder="1" applyAlignment="1">
      <alignment horizontal="center" vertical="center" wrapText="1"/>
    </xf>
    <xf numFmtId="0" fontId="90" fillId="11" borderId="0" xfId="6" applyFont="1" applyFill="1" applyAlignment="1">
      <alignment horizontal="center" vertical="center" wrapText="1"/>
    </xf>
    <xf numFmtId="0" fontId="91" fillId="0" borderId="0" xfId="6" applyFont="1" applyAlignment="1">
      <alignment horizontal="center" vertical="center" shrinkToFit="1"/>
    </xf>
    <xf numFmtId="0" fontId="102" fillId="0" borderId="0" xfId="6" applyFont="1" applyAlignment="1">
      <alignment horizontal="center" vertical="center" wrapText="1"/>
    </xf>
    <xf numFmtId="0" fontId="81" fillId="11" borderId="58" xfId="6" applyFont="1" applyFill="1" applyBorder="1" applyAlignment="1">
      <alignment horizontal="center" vertical="center" wrapText="1"/>
    </xf>
    <xf numFmtId="0" fontId="81" fillId="11" borderId="0" xfId="6" applyFont="1" applyFill="1" applyAlignment="1">
      <alignment horizontal="center" vertical="center" wrapText="1"/>
    </xf>
    <xf numFmtId="14" fontId="102" fillId="0" borderId="0" xfId="6" applyNumberFormat="1" applyFont="1" applyAlignment="1">
      <alignment horizontal="center" vertical="center"/>
    </xf>
    <xf numFmtId="0" fontId="93" fillId="0" borderId="0" xfId="6" applyFont="1" applyAlignment="1">
      <alignment horizontal="left" vertical="center" wrapText="1"/>
    </xf>
    <xf numFmtId="0" fontId="2" fillId="0" borderId="0" xfId="6" applyFont="1" applyAlignment="1">
      <alignment horizontal="center" vertical="center" wrapText="1"/>
    </xf>
    <xf numFmtId="0" fontId="94" fillId="0" borderId="9" xfId="6" applyFont="1" applyBorder="1" applyAlignment="1">
      <alignment horizontal="center" vertical="center" wrapText="1"/>
    </xf>
    <xf numFmtId="0" fontId="94" fillId="0" borderId="8" xfId="6" applyFont="1" applyBorder="1" applyAlignment="1">
      <alignment horizontal="center" vertical="center" wrapText="1"/>
    </xf>
    <xf numFmtId="0" fontId="94" fillId="0" borderId="7" xfId="6" applyFont="1" applyBorder="1" applyAlignment="1">
      <alignment horizontal="center" vertical="center" wrapText="1"/>
    </xf>
    <xf numFmtId="0" fontId="95" fillId="0" borderId="59" xfId="6" applyFont="1" applyBorder="1" applyAlignment="1">
      <alignment horizontal="center" vertical="center" textRotation="255" wrapText="1"/>
    </xf>
    <xf numFmtId="0" fontId="95" fillId="0" borderId="22" xfId="6" applyFont="1" applyBorder="1" applyAlignment="1">
      <alignment horizontal="center" vertical="center" textRotation="255" wrapText="1"/>
    </xf>
    <xf numFmtId="0" fontId="95" fillId="0" borderId="12" xfId="6" applyFont="1" applyBorder="1" applyAlignment="1">
      <alignment horizontal="center" vertical="center" textRotation="255" wrapText="1"/>
    </xf>
    <xf numFmtId="0" fontId="95" fillId="0" borderId="1" xfId="6" applyFont="1" applyBorder="1" applyAlignment="1">
      <alignment horizontal="center" vertical="center" textRotation="255" wrapText="1"/>
    </xf>
    <xf numFmtId="0" fontId="74" fillId="0" borderId="22" xfId="6" applyFont="1" applyBorder="1" applyAlignment="1">
      <alignment horizontal="center" vertical="center" wrapText="1"/>
    </xf>
    <xf numFmtId="0" fontId="2" fillId="0" borderId="22" xfId="6" applyFont="1" applyBorder="1" applyAlignment="1">
      <alignment horizontal="left" vertical="center" wrapText="1"/>
    </xf>
    <xf numFmtId="0" fontId="2" fillId="0" borderId="21" xfId="6" applyFont="1" applyBorder="1" applyAlignment="1">
      <alignment horizontal="left" vertical="center" wrapText="1"/>
    </xf>
    <xf numFmtId="0" fontId="74" fillId="0" borderId="1" xfId="6" applyFont="1" applyBorder="1" applyAlignment="1">
      <alignment horizontal="center" vertical="center" wrapText="1"/>
    </xf>
    <xf numFmtId="0" fontId="2" fillId="0" borderId="0" xfId="6" applyFont="1" applyAlignment="1">
      <alignment horizontal="left" vertical="center" wrapText="1"/>
    </xf>
    <xf numFmtId="0" fontId="2" fillId="0" borderId="5" xfId="6" applyFont="1" applyBorder="1" applyAlignment="1">
      <alignment horizontal="left" vertical="center" wrapText="1"/>
    </xf>
    <xf numFmtId="0" fontId="2" fillId="0" borderId="40" xfId="6" applyFont="1" applyBorder="1" applyAlignment="1">
      <alignment horizontal="left" vertical="center" wrapText="1"/>
    </xf>
    <xf numFmtId="0" fontId="2" fillId="0" borderId="60" xfId="6" applyFont="1" applyBorder="1" applyAlignment="1">
      <alignment horizontal="left" vertical="center" wrapText="1"/>
    </xf>
    <xf numFmtId="0" fontId="95" fillId="0" borderId="62" xfId="6" applyFont="1" applyBorder="1" applyAlignment="1">
      <alignment horizontal="center" vertical="center" textRotation="255" wrapText="1"/>
    </xf>
    <xf numFmtId="0" fontId="95" fillId="0" borderId="44" xfId="6" applyFont="1" applyBorder="1" applyAlignment="1">
      <alignment horizontal="center" vertical="center" textRotation="255" wrapText="1"/>
    </xf>
    <xf numFmtId="0" fontId="95" fillId="0" borderId="28" xfId="6" applyFont="1" applyBorder="1" applyAlignment="1">
      <alignment horizontal="center" vertical="center" textRotation="255" wrapText="1"/>
    </xf>
    <xf numFmtId="0" fontId="95" fillId="0" borderId="27" xfId="6" applyFont="1" applyBorder="1" applyAlignment="1">
      <alignment horizontal="center" vertical="center" textRotation="255" wrapText="1"/>
    </xf>
    <xf numFmtId="0" fontId="2" fillId="0" borderId="51" xfId="6" applyFont="1" applyBorder="1" applyAlignment="1">
      <alignment horizontal="left" vertical="center" wrapText="1"/>
    </xf>
    <xf numFmtId="0" fontId="2" fillId="0" borderId="36" xfId="6" applyFont="1" applyBorder="1" applyAlignment="1">
      <alignment horizontal="left" vertical="center" wrapText="1"/>
    </xf>
    <xf numFmtId="0" fontId="2" fillId="0" borderId="61" xfId="6" applyFont="1" applyBorder="1" applyAlignment="1">
      <alignment horizontal="left" vertical="center" wrapText="1"/>
    </xf>
    <xf numFmtId="0" fontId="2" fillId="0" borderId="1" xfId="6" applyFont="1" applyBorder="1" applyAlignment="1">
      <alignment horizontal="left" vertical="center" wrapText="1"/>
    </xf>
    <xf numFmtId="0" fontId="2" fillId="0" borderId="11" xfId="6" applyFont="1" applyBorder="1" applyAlignment="1">
      <alignment horizontal="left" vertical="center" wrapText="1"/>
    </xf>
    <xf numFmtId="183" fontId="2" fillId="0" borderId="1" xfId="6" applyNumberFormat="1" applyFont="1" applyBorder="1" applyAlignment="1">
      <alignment horizontal="left" vertical="center" shrinkToFit="1"/>
    </xf>
    <xf numFmtId="183" fontId="2" fillId="0" borderId="11" xfId="6" applyNumberFormat="1" applyFont="1" applyBorder="1" applyAlignment="1">
      <alignment horizontal="left" vertical="center" shrinkToFit="1"/>
    </xf>
    <xf numFmtId="0" fontId="2" fillId="0" borderId="51" xfId="6" applyFont="1" applyBorder="1" applyAlignment="1">
      <alignment horizontal="center" vertical="center" wrapText="1"/>
    </xf>
    <xf numFmtId="0" fontId="2" fillId="0" borderId="36" xfId="6" applyFont="1" applyBorder="1" applyAlignment="1">
      <alignment horizontal="center" vertical="center" wrapText="1"/>
    </xf>
    <xf numFmtId="0" fontId="2" fillId="0" borderId="61" xfId="6" applyFont="1" applyBorder="1" applyAlignment="1">
      <alignment horizontal="center" vertical="center" wrapText="1"/>
    </xf>
    <xf numFmtId="0" fontId="74" fillId="0" borderId="51" xfId="6" applyFont="1" applyBorder="1" applyAlignment="1">
      <alignment horizontal="center" vertical="center" wrapText="1"/>
    </xf>
    <xf numFmtId="0" fontId="74" fillId="0" borderId="36" xfId="6" applyFont="1" applyBorder="1" applyAlignment="1">
      <alignment horizontal="center" vertical="center" wrapText="1"/>
    </xf>
    <xf numFmtId="0" fontId="74" fillId="0" borderId="2" xfId="6" applyFont="1" applyBorder="1" applyAlignment="1">
      <alignment horizontal="center" vertical="center" wrapText="1"/>
    </xf>
    <xf numFmtId="0" fontId="8" fillId="0" borderId="51" xfId="6" applyBorder="1" applyAlignment="1">
      <alignment horizontal="left" vertical="center" wrapText="1"/>
    </xf>
    <xf numFmtId="0" fontId="8" fillId="0" borderId="36" xfId="6" applyBorder="1" applyAlignment="1">
      <alignment horizontal="left" vertical="center" wrapText="1"/>
    </xf>
    <xf numFmtId="0" fontId="8" fillId="0" borderId="61" xfId="6" applyBorder="1" applyAlignment="1">
      <alignment horizontal="left" vertical="center" wrapText="1"/>
    </xf>
    <xf numFmtId="0" fontId="74" fillId="0" borderId="27" xfId="6" applyFont="1" applyBorder="1" applyAlignment="1">
      <alignment horizontal="center" vertical="center" wrapText="1"/>
    </xf>
    <xf numFmtId="0" fontId="2" fillId="0" borderId="27" xfId="6" applyFont="1" applyBorder="1" applyAlignment="1">
      <alignment horizontal="left" vertical="center" wrapText="1"/>
    </xf>
    <xf numFmtId="0" fontId="2" fillId="0" borderId="26" xfId="6" applyFont="1" applyBorder="1" applyAlignment="1">
      <alignment horizontal="left" vertical="center" wrapText="1"/>
    </xf>
    <xf numFmtId="0" fontId="81" fillId="0" borderId="6" xfId="6" applyFont="1" applyBorder="1" applyAlignment="1">
      <alignment horizontal="justify" vertical="center" wrapText="1"/>
    </xf>
    <xf numFmtId="0" fontId="81" fillId="0" borderId="0" xfId="6" applyFont="1" applyAlignment="1">
      <alignment horizontal="justify" vertical="center" wrapText="1"/>
    </xf>
    <xf numFmtId="0" fontId="2" fillId="0" borderId="6" xfId="6" applyFont="1" applyBorder="1" applyAlignment="1">
      <alignment horizontal="left" vertical="center" wrapText="1"/>
    </xf>
    <xf numFmtId="0" fontId="2" fillId="0" borderId="6" xfId="6" applyFont="1" applyBorder="1" applyAlignment="1">
      <alignment horizontal="center" vertical="center" shrinkToFit="1"/>
    </xf>
    <xf numFmtId="0" fontId="2" fillId="0" borderId="0" xfId="6" applyFont="1" applyAlignment="1">
      <alignment horizontal="center" vertical="center" shrinkToFit="1"/>
    </xf>
    <xf numFmtId="0" fontId="2" fillId="0" borderId="65" xfId="6" applyFont="1" applyBorder="1" applyAlignment="1">
      <alignment horizontal="center" vertical="center" wrapText="1"/>
    </xf>
    <xf numFmtId="0" fontId="2" fillId="0" borderId="40" xfId="6" applyFont="1" applyBorder="1" applyAlignment="1">
      <alignment horizontal="center" vertical="center" wrapText="1"/>
    </xf>
    <xf numFmtId="14" fontId="2" fillId="0" borderId="40" xfId="6" applyNumberFormat="1" applyFont="1" applyBorder="1" applyAlignment="1">
      <alignment horizontal="left" vertical="center" wrapText="1"/>
    </xf>
    <xf numFmtId="14" fontId="2" fillId="0" borderId="60" xfId="6" applyNumberFormat="1" applyFont="1" applyBorder="1" applyAlignment="1">
      <alignment horizontal="left" vertical="center" wrapText="1"/>
    </xf>
    <xf numFmtId="0" fontId="2" fillId="0" borderId="12" xfId="6" applyFont="1" applyBorder="1" applyAlignment="1">
      <alignment horizontal="center" vertical="center" wrapText="1"/>
    </xf>
    <xf numFmtId="0" fontId="2" fillId="0" borderId="1" xfId="6" applyFont="1" applyBorder="1" applyAlignment="1">
      <alignment horizontal="center" vertical="center" wrapText="1"/>
    </xf>
    <xf numFmtId="0" fontId="2" fillId="0" borderId="11" xfId="6" applyFont="1" applyBorder="1" applyAlignment="1">
      <alignment horizontal="center" vertical="center" wrapText="1"/>
    </xf>
    <xf numFmtId="0" fontId="2" fillId="0" borderId="66" xfId="6" applyFont="1" applyBorder="1" applyAlignment="1">
      <alignment horizontal="center" vertical="center" wrapText="1"/>
    </xf>
    <xf numFmtId="0" fontId="2" fillId="0" borderId="64" xfId="6" applyFont="1" applyBorder="1" applyAlignment="1">
      <alignment horizontal="center" vertical="center" wrapText="1"/>
    </xf>
    <xf numFmtId="0" fontId="2" fillId="0" borderId="67" xfId="6" applyFont="1" applyBorder="1" applyAlignment="1">
      <alignment horizontal="center" vertical="center" wrapText="1"/>
    </xf>
    <xf numFmtId="0" fontId="2" fillId="0" borderId="51" xfId="6" applyFont="1" applyBorder="1" applyAlignment="1">
      <alignment horizontal="center" vertical="center" shrinkToFit="1"/>
    </xf>
    <xf numFmtId="0" fontId="2" fillId="0" borderId="36" xfId="6" applyFont="1" applyBorder="1" applyAlignment="1">
      <alignment horizontal="center" vertical="center" shrinkToFit="1"/>
    </xf>
    <xf numFmtId="0" fontId="2" fillId="0" borderId="2" xfId="6" applyFont="1" applyBorder="1" applyAlignment="1">
      <alignment horizontal="center" vertical="center" shrinkToFit="1"/>
    </xf>
    <xf numFmtId="0" fontId="2" fillId="0" borderId="2" xfId="6" applyFont="1" applyBorder="1" applyAlignment="1">
      <alignment horizontal="center" vertical="center" wrapText="1"/>
    </xf>
    <xf numFmtId="0" fontId="2" fillId="0" borderId="52" xfId="6" applyFont="1" applyBorder="1" applyAlignment="1">
      <alignment horizontal="center" vertical="center" wrapText="1"/>
    </xf>
    <xf numFmtId="0" fontId="2" fillId="0" borderId="51" xfId="6" applyFont="1" applyBorder="1" applyAlignment="1">
      <alignment horizontal="left" vertical="center" wrapText="1" shrinkToFit="1"/>
    </xf>
    <xf numFmtId="0" fontId="2" fillId="0" borderId="36" xfId="6" applyFont="1" applyBorder="1" applyAlignment="1">
      <alignment horizontal="left" vertical="center" wrapText="1" shrinkToFit="1"/>
    </xf>
    <xf numFmtId="0" fontId="2" fillId="0" borderId="2" xfId="6" applyFont="1" applyBorder="1" applyAlignment="1">
      <alignment horizontal="left" vertical="center" wrapText="1" shrinkToFit="1"/>
    </xf>
    <xf numFmtId="0" fontId="2" fillId="0" borderId="50" xfId="6" applyFont="1" applyBorder="1" applyAlignment="1">
      <alignment horizontal="center" vertical="center" wrapText="1"/>
    </xf>
    <xf numFmtId="0" fontId="2" fillId="0" borderId="48" xfId="6" applyFont="1" applyBorder="1" applyAlignment="1">
      <alignment horizontal="center" vertical="center" wrapText="1"/>
    </xf>
    <xf numFmtId="0" fontId="2" fillId="0" borderId="47" xfId="6" applyFont="1" applyBorder="1" applyAlignment="1">
      <alignment horizontal="center" vertical="center" wrapText="1"/>
    </xf>
    <xf numFmtId="0" fontId="2" fillId="0" borderId="49" xfId="6" applyFont="1" applyBorder="1" applyAlignment="1">
      <alignment horizontal="center" vertical="center" wrapText="1"/>
    </xf>
    <xf numFmtId="0" fontId="98" fillId="0" borderId="0" xfId="6" applyFont="1" applyAlignment="1">
      <alignment horizontal="left" vertical="center"/>
    </xf>
    <xf numFmtId="0" fontId="99" fillId="0" borderId="0" xfId="6" applyFont="1" applyAlignment="1">
      <alignment horizontal="center" vertical="center"/>
    </xf>
    <xf numFmtId="0" fontId="8" fillId="0" borderId="0" xfId="6" applyAlignment="1">
      <alignment horizontal="left" vertical="center" wrapText="1" shrinkToFit="1"/>
    </xf>
    <xf numFmtId="0" fontId="8" fillId="0" borderId="0" xfId="6" applyAlignment="1">
      <alignment horizontal="left" vertical="center" wrapText="1"/>
    </xf>
    <xf numFmtId="0" fontId="74" fillId="0" borderId="0" xfId="6" applyFont="1" applyAlignment="1">
      <alignment horizontal="center" vertical="center" wrapText="1"/>
    </xf>
    <xf numFmtId="0" fontId="8" fillId="0" borderId="0" xfId="6" applyAlignment="1">
      <alignment horizontal="left" vertical="center" shrinkToFit="1"/>
    </xf>
    <xf numFmtId="0" fontId="96" fillId="0" borderId="0" xfId="6" applyFont="1" applyAlignment="1">
      <alignment horizontal="left" vertical="center"/>
    </xf>
    <xf numFmtId="0" fontId="2" fillId="0" borderId="0" xfId="6" applyFont="1" applyAlignment="1">
      <alignment horizontal="left" vertical="center"/>
    </xf>
    <xf numFmtId="0" fontId="8" fillId="0" borderId="0" xfId="6" applyAlignment="1">
      <alignment horizontal="left" vertical="center"/>
    </xf>
    <xf numFmtId="0" fontId="90" fillId="0" borderId="0" xfId="6" applyFont="1" applyBorder="1" applyAlignment="1">
      <alignment horizontal="center" vertical="center" wrapText="1"/>
    </xf>
  </cellXfs>
  <cellStyles count="3121">
    <cellStyle name=" " xfId="10" xr:uid="{00000000-0005-0000-0000-000031000000}"/>
    <cellStyle name=" _97연말" xfId="12" xr:uid="{00000000-0005-0000-0000-000032000000}"/>
    <cellStyle name=" _97연말1" xfId="13" xr:uid="{00000000-0005-0000-0000-000033000000}"/>
    <cellStyle name=" _Book1" xfId="14" xr:uid="{00000000-0005-0000-0000-000034000000}"/>
    <cellStyle name="_01토공" xfId="25" xr:uid="{00000000-0005-0000-0000-000095060000}"/>
    <cellStyle name="_01토공_00-설계서,원가계산,내역서" xfId="26" xr:uid="{00000000-0005-0000-0000-000096060000}"/>
    <cellStyle name="_01토공_라멘교 토공" xfId="27" xr:uid="{00000000-0005-0000-0000-000097060000}"/>
    <cellStyle name="_01토공_라멘교 토공_00-설계서,원가계산,내역서" xfId="28" xr:uid="{00000000-0005-0000-0000-000098060000}"/>
    <cellStyle name="_01토공_철거" xfId="29" xr:uid="{00000000-0005-0000-0000-000099060000}"/>
    <cellStyle name="_01토공_철거_00-설계서,원가계산,내역서" xfId="30" xr:uid="{00000000-0005-0000-0000-00009A060000}"/>
    <cellStyle name="_01토공_철거_라멘교 토공" xfId="31" xr:uid="{00000000-0005-0000-0000-00009B060000}"/>
    <cellStyle name="_01토공_철거_라멘교 토공_00-설계서,원가계산,내역서" xfId="32" xr:uid="{00000000-0005-0000-0000-00009C060000}"/>
    <cellStyle name="_갑지(0127)" xfId="38" xr:uid="{00000000-0005-0000-0000-0000A2060000}"/>
    <cellStyle name="_공사요율표-031008" xfId="39" xr:uid="{00000000-0005-0000-0000-0000A3060000}"/>
    <cellStyle name="_공양식(레인보우스케이프)" xfId="40" xr:uid="{00000000-0005-0000-0000-0000A4060000}"/>
    <cellStyle name="_관급-(수배전반)" xfId="41" xr:uid="{00000000-0005-0000-0000-0000A5060000}"/>
    <cellStyle name="_내역서" xfId="42" xr:uid="{00000000-0005-0000-0000-0000A6060000}"/>
    <cellStyle name="_능말폐기물내역(2단계-총괄)" xfId="43" xr:uid="{00000000-0005-0000-0000-0000A7060000}"/>
    <cellStyle name="_대구역사약전내역(자재부제출)" xfId="44" xr:uid="{00000000-0005-0000-0000-0000A8060000}"/>
    <cellStyle name="_대원공원설계서" xfId="45" xr:uid="{00000000-0005-0000-0000-0000A9060000}"/>
    <cellStyle name="_대원공원설계서_00-설계서,원가계산,내역서" xfId="46" xr:uid="{00000000-0005-0000-0000-0000AA060000}"/>
    <cellStyle name="_대원공원설계서_내역서-최종0223" xfId="47" xr:uid="{00000000-0005-0000-0000-0000AB060000}"/>
    <cellStyle name="_대원공원설계서_내역서-최종0223_00-설계서,원가계산,내역서" xfId="48" xr:uid="{00000000-0005-0000-0000-0000AC060000}"/>
    <cellStyle name="_대원공원설계서_내역서-최종0223_설계서-1" xfId="49" xr:uid="{00000000-0005-0000-0000-0000AD060000}"/>
    <cellStyle name="_대원공원설계서_내역서-최종0223_설계서-1_00-설계서,원가계산,내역서" xfId="50" xr:uid="{00000000-0005-0000-0000-0000AE060000}"/>
    <cellStyle name="_대원공원설계서_내역서-최종0223_진해자은수량산출서(단지내)" xfId="51" xr:uid="{00000000-0005-0000-0000-0000AF060000}"/>
    <cellStyle name="_대원공원설계서_내역서-최종0223_진해자은수량산출서(단지내)_00-설계서,원가계산,내역서" xfId="52" xr:uid="{00000000-0005-0000-0000-0000B0060000}"/>
    <cellStyle name="_대원공원설계서_내역서-최종0223_진해자은수량산출서(단지내)_기초산출표-56-128-최종" xfId="53" xr:uid="{00000000-0005-0000-0000-0000B1060000}"/>
    <cellStyle name="_대원공원설계서_내역서-최종0223_진해자은수량산출서(단지내)_기초산출표-56-128-최종_00-설계서,원가계산,내역서" xfId="54" xr:uid="{00000000-0005-0000-0000-0000B2060000}"/>
    <cellStyle name="_대원공원설계서_내역서-최종0223_진해자은수량산출서(단지내)_기초산출표-56-128-최종_설계서-1" xfId="55" xr:uid="{00000000-0005-0000-0000-0000B3060000}"/>
    <cellStyle name="_대원공원설계서_내역서-최종0223_진해자은수량산출서(단지내)_기초산출표-56-128-최종_설계서-1_00-설계서,원가계산,내역서" xfId="56" xr:uid="{00000000-0005-0000-0000-0000B4060000}"/>
    <cellStyle name="_대원공원설계서_내역서-최종0223_진해자은수량산출서(단지내)_설계서-1" xfId="57" xr:uid="{00000000-0005-0000-0000-0000B5060000}"/>
    <cellStyle name="_대원공원설계서_내역서-최종0223_진해자은수량산출서(단지내)_설계서-1_00-설계서,원가계산,내역서" xfId="58" xr:uid="{00000000-0005-0000-0000-0000B6060000}"/>
    <cellStyle name="_대원공원설계서_내역서-최종0223_진해자은수량산출서(단지내)_취합" xfId="59" xr:uid="{00000000-0005-0000-0000-0000B7060000}"/>
    <cellStyle name="_대원공원설계서_내역서-최종0223_진해자은수량산출서(단지내)_취합_00-설계서,원가계산,내역서" xfId="60" xr:uid="{00000000-0005-0000-0000-0000B8060000}"/>
    <cellStyle name="_대원공원설계서_내역서-최종0223_진해자은수량산출서(단지내)_취합_설계서-1" xfId="61" xr:uid="{00000000-0005-0000-0000-0000B9060000}"/>
    <cellStyle name="_대원공원설계서_내역서-최종0223_진해자은수량산출서(단지내)_취합_설계서-1_00-설계서,원가계산,내역서" xfId="62" xr:uid="{00000000-0005-0000-0000-0000BA060000}"/>
    <cellStyle name="_대원공원설계서_설계서-1" xfId="63" xr:uid="{00000000-0005-0000-0000-0000BB060000}"/>
    <cellStyle name="_대원공원설계서_설계서-1_00-설계서,원가계산,내역서" xfId="64" xr:uid="{00000000-0005-0000-0000-0000BC060000}"/>
    <cellStyle name="_대원공원설계서_율동자연공원내 화장실 보수 및 도색공사" xfId="65" xr:uid="{00000000-0005-0000-0000-0000BD060000}"/>
    <cellStyle name="_대원공원설계서_율동자연공원내 화장실 보수 및 도색공사_00-설계서,원가계산,내역서" xfId="66" xr:uid="{00000000-0005-0000-0000-0000BE060000}"/>
    <cellStyle name="_대원공원설계서_율동자연공원내 화장실 보수 및 도색공사_내역서-최종0223" xfId="67" xr:uid="{00000000-0005-0000-0000-0000BF060000}"/>
    <cellStyle name="_대원공원설계서_율동자연공원내 화장실 보수 및 도색공사_내역서-최종0223_00-설계서,원가계산,내역서" xfId="68" xr:uid="{00000000-0005-0000-0000-0000C0060000}"/>
    <cellStyle name="_대원공원설계서_율동자연공원내 화장실 보수 및 도색공사_내역서-최종0223_설계서-1" xfId="69" xr:uid="{00000000-0005-0000-0000-0000C1060000}"/>
    <cellStyle name="_대원공원설계서_율동자연공원내 화장실 보수 및 도색공사_내역서-최종0223_설계서-1_00-설계서,원가계산,내역서" xfId="70" xr:uid="{00000000-0005-0000-0000-0000C2060000}"/>
    <cellStyle name="_대원공원설계서_율동자연공원내 화장실 보수 및 도색공사_내역서-최종0223_진해자은수량산출서(단지내)" xfId="71" xr:uid="{00000000-0005-0000-0000-0000C3060000}"/>
    <cellStyle name="_대원공원설계서_율동자연공원내 화장실 보수 및 도색공사_내역서-최종0223_진해자은수량산출서(단지내)_00-설계서,원가계산,내역서" xfId="72" xr:uid="{00000000-0005-0000-0000-0000C4060000}"/>
    <cellStyle name="_대원공원설계서_율동자연공원내 화장실 보수 및 도색공사_내역서-최종0223_진해자은수량산출서(단지내)_기초산출표-56-128-최종" xfId="73" xr:uid="{00000000-0005-0000-0000-0000C5060000}"/>
    <cellStyle name="_대원공원설계서_율동자연공원내 화장실 보수 및 도색공사_내역서-최종0223_진해자은수량산출서(단지내)_기초산출표-56-128-최종_00-설계서,원가계산,내역서" xfId="74" xr:uid="{00000000-0005-0000-0000-0000C6060000}"/>
    <cellStyle name="_대원공원설계서_율동자연공원내 화장실 보수 및 도색공사_내역서-최종0223_진해자은수량산출서(단지내)_기초산출표-56-128-최종_설계서-1" xfId="75" xr:uid="{00000000-0005-0000-0000-0000C7060000}"/>
    <cellStyle name="_대원공원설계서_율동자연공원내 화장실 보수 및 도색공사_내역서-최종0223_진해자은수량산출서(단지내)_기초산출표-56-128-최종_설계서-1_00-설계서,원가계산,내역서" xfId="76" xr:uid="{00000000-0005-0000-0000-0000C8060000}"/>
    <cellStyle name="_대원공원설계서_율동자연공원내 화장실 보수 및 도색공사_내역서-최종0223_진해자은수량산출서(단지내)_설계서-1" xfId="77" xr:uid="{00000000-0005-0000-0000-0000C9060000}"/>
    <cellStyle name="_대원공원설계서_율동자연공원내 화장실 보수 및 도색공사_내역서-최종0223_진해자은수량산출서(단지내)_설계서-1_00-설계서,원가계산,내역서" xfId="78" xr:uid="{00000000-0005-0000-0000-0000CA060000}"/>
    <cellStyle name="_대원공원설계서_율동자연공원내 화장실 보수 및 도색공사_내역서-최종0223_진해자은수량산출서(단지내)_취합" xfId="79" xr:uid="{00000000-0005-0000-0000-0000CB060000}"/>
    <cellStyle name="_대원공원설계서_율동자연공원내 화장실 보수 및 도색공사_내역서-최종0223_진해자은수량산출서(단지내)_취합_00-설계서,원가계산,내역서" xfId="80" xr:uid="{00000000-0005-0000-0000-0000CC060000}"/>
    <cellStyle name="_대원공원설계서_율동자연공원내 화장실 보수 및 도색공사_내역서-최종0223_진해자은수량산출서(단지내)_취합_설계서-1" xfId="81" xr:uid="{00000000-0005-0000-0000-0000CD060000}"/>
    <cellStyle name="_대원공원설계서_율동자연공원내 화장실 보수 및 도색공사_내역서-최종0223_진해자은수량산출서(단지내)_취합_설계서-1_00-설계서,원가계산,내역서" xfId="82" xr:uid="{00000000-0005-0000-0000-0000CE060000}"/>
    <cellStyle name="_대원공원설계서_율동자연공원내 화장실 보수 및 도색공사_설계서-1" xfId="83" xr:uid="{00000000-0005-0000-0000-0000CF060000}"/>
    <cellStyle name="_대원공원설계서_율동자연공원내 화장실 보수 및 도색공사_설계서-1_00-설계서,원가계산,내역서" xfId="84" xr:uid="{00000000-0005-0000-0000-0000D0060000}"/>
    <cellStyle name="_대원공원설계서_율동자연공원내 화장실 보수 및 도색공사_진해자은수량산출서(단지내)" xfId="85" xr:uid="{00000000-0005-0000-0000-0000D1060000}"/>
    <cellStyle name="_대원공원설계서_율동자연공원내 화장실 보수 및 도색공사_진해자은수량산출서(단지내)_00-설계서,원가계산,내역서" xfId="86" xr:uid="{00000000-0005-0000-0000-0000D2060000}"/>
    <cellStyle name="_대원공원설계서_율동자연공원내 화장실 보수 및 도색공사_진해자은수량산출서(단지내)_기초산출표-56-128-최종" xfId="87" xr:uid="{00000000-0005-0000-0000-0000D3060000}"/>
    <cellStyle name="_대원공원설계서_율동자연공원내 화장실 보수 및 도색공사_진해자은수량산출서(단지내)_기초산출표-56-128-최종_00-설계서,원가계산,내역서" xfId="88" xr:uid="{00000000-0005-0000-0000-0000D4060000}"/>
    <cellStyle name="_대원공원설계서_율동자연공원내 화장실 보수 및 도색공사_진해자은수량산출서(단지내)_기초산출표-56-128-최종_설계서-1" xfId="89" xr:uid="{00000000-0005-0000-0000-0000D5060000}"/>
    <cellStyle name="_대원공원설계서_율동자연공원내 화장실 보수 및 도색공사_진해자은수량산출서(단지내)_기초산출표-56-128-최종_설계서-1_00-설계서,원가계산,내역서" xfId="90" xr:uid="{00000000-0005-0000-0000-0000D6060000}"/>
    <cellStyle name="_대원공원설계서_율동자연공원내 화장실 보수 및 도색공사_진해자은수량산출서(단지내)_설계서-1" xfId="91" xr:uid="{00000000-0005-0000-0000-0000D7060000}"/>
    <cellStyle name="_대원공원설계서_율동자연공원내 화장실 보수 및 도색공사_진해자은수량산출서(단지내)_설계서-1_00-설계서,원가계산,내역서" xfId="92" xr:uid="{00000000-0005-0000-0000-0000D8060000}"/>
    <cellStyle name="_대원공원설계서_율동자연공원내 화장실 보수 및 도색공사_진해자은수량산출서(단지내)_취합" xfId="93" xr:uid="{00000000-0005-0000-0000-0000D9060000}"/>
    <cellStyle name="_대원공원설계서_율동자연공원내 화장실 보수 및 도색공사_진해자은수량산출서(단지내)_취합_00-설계서,원가계산,내역서" xfId="94" xr:uid="{00000000-0005-0000-0000-0000DA060000}"/>
    <cellStyle name="_대원공원설계서_율동자연공원내 화장실 보수 및 도색공사_진해자은수량산출서(단지내)_취합_설계서-1" xfId="95" xr:uid="{00000000-0005-0000-0000-0000DB060000}"/>
    <cellStyle name="_대원공원설계서_율동자연공원내 화장실 보수 및 도색공사_진해자은수량산출서(단지내)_취합_설계서-1_00-설계서,원가계산,내역서" xfId="96" xr:uid="{00000000-0005-0000-0000-0000DC060000}"/>
    <cellStyle name="_대원공원설계서_율동자연공원내 휴게편의점 도색작업-할증-천정면적추가" xfId="97" xr:uid="{00000000-0005-0000-0000-0000DD060000}"/>
    <cellStyle name="_대원공원설계서_율동자연공원내 휴게편의점 도색작업-할증-천정면적추가_00-설계서,원가계산,내역서" xfId="98" xr:uid="{00000000-0005-0000-0000-0000DE060000}"/>
    <cellStyle name="_대원공원설계서_율동자연공원내 휴게편의점 도색작업-할증-천정면적추가_내역서-최종0223" xfId="99" xr:uid="{00000000-0005-0000-0000-0000DF060000}"/>
    <cellStyle name="_대원공원설계서_율동자연공원내 휴게편의점 도색작업-할증-천정면적추가_내역서-최종0223_00-설계서,원가계산,내역서" xfId="100" xr:uid="{00000000-0005-0000-0000-0000E0060000}"/>
    <cellStyle name="_대원공원설계서_율동자연공원내 휴게편의점 도색작업-할증-천정면적추가_내역서-최종0223_설계서-1" xfId="101" xr:uid="{00000000-0005-0000-0000-0000E1060000}"/>
    <cellStyle name="_대원공원설계서_율동자연공원내 휴게편의점 도색작업-할증-천정면적추가_내역서-최종0223_설계서-1_00-설계서,원가계산,내역서" xfId="102" xr:uid="{00000000-0005-0000-0000-0000E2060000}"/>
    <cellStyle name="_대원공원설계서_율동자연공원내 휴게편의점 도색작업-할증-천정면적추가_내역서-최종0223_진해자은수량산출서(단지내)" xfId="103" xr:uid="{00000000-0005-0000-0000-0000E3060000}"/>
    <cellStyle name="_대원공원설계서_율동자연공원내 휴게편의점 도색작업-할증-천정면적추가_내역서-최종0223_진해자은수량산출서(단지내)_00-설계서,원가계산,내역서" xfId="104" xr:uid="{00000000-0005-0000-0000-0000E4060000}"/>
    <cellStyle name="_대원공원설계서_율동자연공원내 휴게편의점 도색작업-할증-천정면적추가_내역서-최종0223_진해자은수량산출서(단지내)_기초산출표-56-128-최종" xfId="105" xr:uid="{00000000-0005-0000-0000-0000E5060000}"/>
    <cellStyle name="_대원공원설계서_율동자연공원내 휴게편의점 도색작업-할증-천정면적추가_내역서-최종0223_진해자은수량산출서(단지내)_기초산출표-56-128-최종_00-설계서,원가계산,내역서" xfId="106" xr:uid="{00000000-0005-0000-0000-0000E6060000}"/>
    <cellStyle name="_대원공원설계서_율동자연공원내 휴게편의점 도색작업-할증-천정면적추가_내역서-최종0223_진해자은수량산출서(단지내)_기초산출표-56-128-최종_설계서-1" xfId="107" xr:uid="{00000000-0005-0000-0000-0000E7060000}"/>
    <cellStyle name="_대원공원설계서_율동자연공원내 휴게편의점 도색작업-할증-천정면적추가_내역서-최종0223_진해자은수량산출서(단지내)_기초산출표-56-128-최종_설계서-1_00-설계서,원가계산,내역서" xfId="108" xr:uid="{00000000-0005-0000-0000-0000E8060000}"/>
    <cellStyle name="_대원공원설계서_율동자연공원내 휴게편의점 도색작업-할증-천정면적추가_내역서-최종0223_진해자은수량산출서(단지내)_설계서-1" xfId="109" xr:uid="{00000000-0005-0000-0000-0000E9060000}"/>
    <cellStyle name="_대원공원설계서_율동자연공원내 휴게편의점 도색작업-할증-천정면적추가_내역서-최종0223_진해자은수량산출서(단지내)_설계서-1_00-설계서,원가계산,내역서" xfId="110" xr:uid="{00000000-0005-0000-0000-0000EA060000}"/>
    <cellStyle name="_대원공원설계서_율동자연공원내 휴게편의점 도색작업-할증-천정면적추가_내역서-최종0223_진해자은수량산출서(단지내)_취합" xfId="111" xr:uid="{00000000-0005-0000-0000-0000EB060000}"/>
    <cellStyle name="_대원공원설계서_율동자연공원내 휴게편의점 도색작업-할증-천정면적추가_내역서-최종0223_진해자은수량산출서(단지내)_취합_00-설계서,원가계산,내역서" xfId="112" xr:uid="{00000000-0005-0000-0000-0000EC060000}"/>
    <cellStyle name="_대원공원설계서_율동자연공원내 휴게편의점 도색작업-할증-천정면적추가_내역서-최종0223_진해자은수량산출서(단지내)_취합_설계서-1" xfId="113" xr:uid="{00000000-0005-0000-0000-0000ED060000}"/>
    <cellStyle name="_대원공원설계서_율동자연공원내 휴게편의점 도색작업-할증-천정면적추가_내역서-최종0223_진해자은수량산출서(단지내)_취합_설계서-1_00-설계서,원가계산,내역서" xfId="114" xr:uid="{00000000-0005-0000-0000-0000EE060000}"/>
    <cellStyle name="_대원공원설계서_율동자연공원내 휴게편의점 도색작업-할증-천정면적추가_설계서-1" xfId="115" xr:uid="{00000000-0005-0000-0000-0000EF060000}"/>
    <cellStyle name="_대원공원설계서_율동자연공원내 휴게편의점 도색작업-할증-천정면적추가_설계서-1_00-설계서,원가계산,내역서" xfId="116" xr:uid="{00000000-0005-0000-0000-0000F0060000}"/>
    <cellStyle name="_대원공원설계서_율동자연공원내 휴게편의점 도색작업-할증-천정면적추가_진해자은수량산출서(단지내)" xfId="117" xr:uid="{00000000-0005-0000-0000-0000F1060000}"/>
    <cellStyle name="_대원공원설계서_율동자연공원내 휴게편의점 도색작업-할증-천정면적추가_진해자은수량산출서(단지내)_00-설계서,원가계산,내역서" xfId="118" xr:uid="{00000000-0005-0000-0000-0000F2060000}"/>
    <cellStyle name="_대원공원설계서_율동자연공원내 휴게편의점 도색작업-할증-천정면적추가_진해자은수량산출서(단지내)_기초산출표-56-128-최종" xfId="119" xr:uid="{00000000-0005-0000-0000-0000F3060000}"/>
    <cellStyle name="_대원공원설계서_율동자연공원내 휴게편의점 도색작업-할증-천정면적추가_진해자은수량산출서(단지내)_기초산출표-56-128-최종_00-설계서,원가계산,내역서" xfId="120" xr:uid="{00000000-0005-0000-0000-0000F4060000}"/>
    <cellStyle name="_대원공원설계서_율동자연공원내 휴게편의점 도색작업-할증-천정면적추가_진해자은수량산출서(단지내)_기초산출표-56-128-최종_설계서-1" xfId="121" xr:uid="{00000000-0005-0000-0000-0000F5060000}"/>
    <cellStyle name="_대원공원설계서_율동자연공원내 휴게편의점 도색작업-할증-천정면적추가_진해자은수량산출서(단지내)_기초산출표-56-128-최종_설계서-1_00-설계서,원가계산,내역서" xfId="122" xr:uid="{00000000-0005-0000-0000-0000F6060000}"/>
    <cellStyle name="_대원공원설계서_율동자연공원내 휴게편의점 도색작업-할증-천정면적추가_진해자은수량산출서(단지내)_설계서-1" xfId="123" xr:uid="{00000000-0005-0000-0000-0000F7060000}"/>
    <cellStyle name="_대원공원설계서_율동자연공원내 휴게편의점 도색작업-할증-천정면적추가_진해자은수량산출서(단지내)_설계서-1_00-설계서,원가계산,내역서" xfId="124" xr:uid="{00000000-0005-0000-0000-0000F8060000}"/>
    <cellStyle name="_대원공원설계서_율동자연공원내 휴게편의점 도색작업-할증-천정면적추가_진해자은수량산출서(단지내)_취합" xfId="125" xr:uid="{00000000-0005-0000-0000-0000F9060000}"/>
    <cellStyle name="_대원공원설계서_율동자연공원내 휴게편의점 도색작업-할증-천정면적추가_진해자은수량산출서(단지내)_취합_00-설계서,원가계산,내역서" xfId="126" xr:uid="{00000000-0005-0000-0000-0000FA060000}"/>
    <cellStyle name="_대원공원설계서_율동자연공원내 휴게편의점 도색작업-할증-천정면적추가_진해자은수량산출서(단지내)_취합_설계서-1" xfId="127" xr:uid="{00000000-0005-0000-0000-0000FB060000}"/>
    <cellStyle name="_대원공원설계서_율동자연공원내 휴게편의점 도색작업-할증-천정면적추가_진해자은수량산출서(단지내)_취합_설계서-1_00-설계서,원가계산,내역서" xfId="128" xr:uid="{00000000-0005-0000-0000-0000FC060000}"/>
    <cellStyle name="_대원공원설계서_진해자은수량산출서(단지내)" xfId="129" xr:uid="{00000000-0005-0000-0000-0000FD060000}"/>
    <cellStyle name="_대원공원설계서_진해자은수량산출서(단지내)_00-설계서,원가계산,내역서" xfId="130" xr:uid="{00000000-0005-0000-0000-0000FE060000}"/>
    <cellStyle name="_대원공원설계서_진해자은수량산출서(단지내)_기초산출표-56-128-최종" xfId="131" xr:uid="{00000000-0005-0000-0000-0000FF060000}"/>
    <cellStyle name="_대원공원설계서_진해자은수량산출서(단지내)_기초산출표-56-128-최종_00-설계서,원가계산,내역서" xfId="132" xr:uid="{00000000-0005-0000-0000-000000070000}"/>
    <cellStyle name="_대원공원설계서_진해자은수량산출서(단지내)_기초산출표-56-128-최종_설계서-1" xfId="133" xr:uid="{00000000-0005-0000-0000-000001070000}"/>
    <cellStyle name="_대원공원설계서_진해자은수량산출서(단지내)_기초산출표-56-128-최종_설계서-1_00-설계서,원가계산,내역서" xfId="134" xr:uid="{00000000-0005-0000-0000-000002070000}"/>
    <cellStyle name="_대원공원설계서_진해자은수량산출서(단지내)_설계서-1" xfId="135" xr:uid="{00000000-0005-0000-0000-000003070000}"/>
    <cellStyle name="_대원공원설계서_진해자은수량산출서(단지내)_설계서-1_00-설계서,원가계산,내역서" xfId="136" xr:uid="{00000000-0005-0000-0000-000004070000}"/>
    <cellStyle name="_대원공원설계서_진해자은수량산출서(단지내)_취합" xfId="137" xr:uid="{00000000-0005-0000-0000-000005070000}"/>
    <cellStyle name="_대원공원설계서_진해자은수량산출서(단지내)_취합_00-설계서,원가계산,내역서" xfId="138" xr:uid="{00000000-0005-0000-0000-000006070000}"/>
    <cellStyle name="_대원공원설계서_진해자은수량산출서(단지내)_취합_설계서-1" xfId="139" xr:uid="{00000000-0005-0000-0000-000007070000}"/>
    <cellStyle name="_대원공원설계서_진해자은수량산출서(단지내)_취합_설계서-1_00-설계서,원가계산,내역서" xfId="140" xr:uid="{00000000-0005-0000-0000-000008070000}"/>
    <cellStyle name="_동래점 토공사 가시설발주2-김대리님" xfId="141" xr:uid="{00000000-0005-0000-0000-000009070000}"/>
    <cellStyle name="_라멘교 토공" xfId="142" xr:uid="{00000000-0005-0000-0000-00000A070000}"/>
    <cellStyle name="_라멘교 토공_00-설계서,원가계산,내역서" xfId="143" xr:uid="{00000000-0005-0000-0000-00000B070000}"/>
    <cellStyle name="_롯데본점 신관지하1층" xfId="144" xr:uid="{00000000-0005-0000-0000-00000C070000}"/>
    <cellStyle name="_명품가약전" xfId="145" xr:uid="{00000000-0005-0000-0000-00000D070000}"/>
    <cellStyle name="_명품가조명제어" xfId="146" xr:uid="{00000000-0005-0000-0000-00000E070000}"/>
    <cellStyle name="_방동" xfId="147" xr:uid="{00000000-0005-0000-0000-00000F070000}"/>
    <cellStyle name="_방동_00-설계서,원가계산,내역서" xfId="148" xr:uid="{00000000-0005-0000-0000-000010070000}"/>
    <cellStyle name="_방동_03구조~1" xfId="149" xr:uid="{00000000-0005-0000-0000-000011070000}"/>
    <cellStyle name="_방동_03구조~1_00-설계서,원가계산,내역서" xfId="150" xr:uid="{00000000-0005-0000-0000-000012070000}"/>
    <cellStyle name="_방동_03구조~1_라멘교 토공" xfId="151" xr:uid="{00000000-0005-0000-0000-000013070000}"/>
    <cellStyle name="_방동_03구조~1_라멘교 토공_00-설계서,원가계산,내역서" xfId="152" xr:uid="{00000000-0005-0000-0000-000014070000}"/>
    <cellStyle name="_방동_03구조~1_포장" xfId="153" xr:uid="{00000000-0005-0000-0000-000015070000}"/>
    <cellStyle name="_방동_03구조~1_포장_00-설계서,원가계산,내역서" xfId="154" xr:uid="{00000000-0005-0000-0000-000016070000}"/>
    <cellStyle name="_방동_03구조~1_포장_라멘교 토공" xfId="155" xr:uid="{00000000-0005-0000-0000-000017070000}"/>
    <cellStyle name="_방동_03구조~1_포장_라멘교 토공_00-설계서,원가계산,내역서" xfId="156" xr:uid="{00000000-0005-0000-0000-000018070000}"/>
    <cellStyle name="_방동_03구조물공" xfId="157" xr:uid="{00000000-0005-0000-0000-000019070000}"/>
    <cellStyle name="_방동_03구조물공_00-설계서,원가계산,내역서" xfId="158" xr:uid="{00000000-0005-0000-0000-00001A070000}"/>
    <cellStyle name="_방동_03구조물공_라멘교 토공" xfId="159" xr:uid="{00000000-0005-0000-0000-00001B070000}"/>
    <cellStyle name="_방동_03구조물공_라멘교 토공_00-설계서,원가계산,내역서" xfId="160" xr:uid="{00000000-0005-0000-0000-00001C070000}"/>
    <cellStyle name="_방동_03구조물공_포장" xfId="161" xr:uid="{00000000-0005-0000-0000-00001D070000}"/>
    <cellStyle name="_방동_03구조물공_포장_00-설계서,원가계산,내역서" xfId="162" xr:uid="{00000000-0005-0000-0000-00001E070000}"/>
    <cellStyle name="_방동_03구조물공_포장_라멘교 토공" xfId="163" xr:uid="{00000000-0005-0000-0000-00001F070000}"/>
    <cellStyle name="_방동_03구조물공_포장_라멘교 토공_00-설계서,원가계산,내역서" xfId="164" xr:uid="{00000000-0005-0000-0000-000020070000}"/>
    <cellStyle name="_방동_내역서-최종0223" xfId="165" xr:uid="{00000000-0005-0000-0000-000021070000}"/>
    <cellStyle name="_방동_내역서-최종0223_00-설계서,원가계산,내역서" xfId="166" xr:uid="{00000000-0005-0000-0000-000022070000}"/>
    <cellStyle name="_방동_내역서-최종0223_설계서-1" xfId="167" xr:uid="{00000000-0005-0000-0000-000023070000}"/>
    <cellStyle name="_방동_내역서-최종0223_설계서-1_00-설계서,원가계산,내역서" xfId="168" xr:uid="{00000000-0005-0000-0000-000024070000}"/>
    <cellStyle name="_방동_내역서-최종0223_진해자은수량산출서(단지내)" xfId="169" xr:uid="{00000000-0005-0000-0000-000025070000}"/>
    <cellStyle name="_방동_내역서-최종0223_진해자은수량산출서(단지내)_00-설계서,원가계산,내역서" xfId="170" xr:uid="{00000000-0005-0000-0000-000026070000}"/>
    <cellStyle name="_방동_내역서-최종0223_진해자은수량산출서(단지내)_기초산출표-56-128-최종" xfId="171" xr:uid="{00000000-0005-0000-0000-000027070000}"/>
    <cellStyle name="_방동_내역서-최종0223_진해자은수량산출서(단지내)_기초산출표-56-128-최종_00-설계서,원가계산,내역서" xfId="172" xr:uid="{00000000-0005-0000-0000-000028070000}"/>
    <cellStyle name="_방동_내역서-최종0223_진해자은수량산출서(단지내)_기초산출표-56-128-최종_설계서-1" xfId="173" xr:uid="{00000000-0005-0000-0000-000029070000}"/>
    <cellStyle name="_방동_내역서-최종0223_진해자은수량산출서(단지내)_기초산출표-56-128-최종_설계서-1_00-설계서,원가계산,내역서" xfId="174" xr:uid="{00000000-0005-0000-0000-00002A070000}"/>
    <cellStyle name="_방동_내역서-최종0223_진해자은수량산출서(단지내)_설계서-1" xfId="175" xr:uid="{00000000-0005-0000-0000-00002B070000}"/>
    <cellStyle name="_방동_내역서-최종0223_진해자은수량산출서(단지내)_설계서-1_00-설계서,원가계산,내역서" xfId="176" xr:uid="{00000000-0005-0000-0000-00002C070000}"/>
    <cellStyle name="_방동_내역서-최종0223_진해자은수량산출서(단지내)_취합" xfId="177" xr:uid="{00000000-0005-0000-0000-00002D070000}"/>
    <cellStyle name="_방동_내역서-최종0223_진해자은수량산출서(단지내)_취합_00-설계서,원가계산,내역서" xfId="178" xr:uid="{00000000-0005-0000-0000-00002E070000}"/>
    <cellStyle name="_방동_내역서-최종0223_진해자은수량산출서(단지내)_취합_설계서-1" xfId="179" xr:uid="{00000000-0005-0000-0000-00002F070000}"/>
    <cellStyle name="_방동_내역서-최종0223_진해자은수량산출서(단지내)_취합_설계서-1_00-설계서,원가계산,내역서" xfId="180" xr:uid="{00000000-0005-0000-0000-000030070000}"/>
    <cellStyle name="_방동_동막리소교량" xfId="181" xr:uid="{00000000-0005-0000-0000-000031070000}"/>
    <cellStyle name="_방동_동막리소교량_00-설계서,원가계산,내역서" xfId="182" xr:uid="{00000000-0005-0000-0000-000032070000}"/>
    <cellStyle name="_방동_동막리소교량_라멘교 토공" xfId="183" xr:uid="{00000000-0005-0000-0000-000033070000}"/>
    <cellStyle name="_방동_동막리소교량_라멘교 토공_00-설계서,원가계산,내역서" xfId="184" xr:uid="{00000000-0005-0000-0000-000034070000}"/>
    <cellStyle name="_방동_동막리소교량_포장" xfId="185" xr:uid="{00000000-0005-0000-0000-000035070000}"/>
    <cellStyle name="_방동_동막리소교량_포장_00-설계서,원가계산,내역서" xfId="186" xr:uid="{00000000-0005-0000-0000-000036070000}"/>
    <cellStyle name="_방동_동막리소교량_포장_라멘교 토공" xfId="187" xr:uid="{00000000-0005-0000-0000-000037070000}"/>
    <cellStyle name="_방동_동막리소교량_포장_라멘교 토공_00-설계서,원가계산,내역서" xfId="188" xr:uid="{00000000-0005-0000-0000-000038070000}"/>
    <cellStyle name="_방동_라멘교 토공" xfId="189" xr:uid="{00000000-0005-0000-0000-000039070000}"/>
    <cellStyle name="_방동_라멘교 토공_00-설계서,원가계산,내역서" xfId="190" xr:uid="{00000000-0005-0000-0000-00003A070000}"/>
    <cellStyle name="_방동_마현12~1" xfId="191" xr:uid="{00000000-0005-0000-0000-00003B070000}"/>
    <cellStyle name="_방동_마현12~1_00-설계서,원가계산,내역서" xfId="192" xr:uid="{00000000-0005-0000-0000-00003C070000}"/>
    <cellStyle name="_방동_마현12~1_라멘교 토공" xfId="193" xr:uid="{00000000-0005-0000-0000-00003D070000}"/>
    <cellStyle name="_방동_마현12~1_라멘교 토공_00-설계서,원가계산,내역서" xfId="194" xr:uid="{00000000-0005-0000-0000-00003E070000}"/>
    <cellStyle name="_방동_마현12~1_포장" xfId="195" xr:uid="{00000000-0005-0000-0000-00003F070000}"/>
    <cellStyle name="_방동_마현12~1_포장_00-설계서,원가계산,내역서" xfId="196" xr:uid="{00000000-0005-0000-0000-000040070000}"/>
    <cellStyle name="_방동_마현12~1_포장_라멘교 토공" xfId="197" xr:uid="{00000000-0005-0000-0000-000041070000}"/>
    <cellStyle name="_방동_마현12~1_포장_라멘교 토공_00-설계서,원가계산,내역서" xfId="198" xr:uid="{00000000-0005-0000-0000-000042070000}"/>
    <cellStyle name="_방동_문혜3리" xfId="199" xr:uid="{00000000-0005-0000-0000-000043070000}"/>
    <cellStyle name="_방동_문혜3리_00-설계서,원가계산,내역서" xfId="200" xr:uid="{00000000-0005-0000-0000-000044070000}"/>
    <cellStyle name="_방동_문혜3리_라멘교 토공" xfId="201" xr:uid="{00000000-0005-0000-0000-000045070000}"/>
    <cellStyle name="_방동_문혜3리_라멘교 토공_00-설계서,원가계산,내역서" xfId="202" xr:uid="{00000000-0005-0000-0000-000046070000}"/>
    <cellStyle name="_방동_문혜3리_포장" xfId="203" xr:uid="{00000000-0005-0000-0000-000047070000}"/>
    <cellStyle name="_방동_문혜3리_포장_00-설계서,원가계산,내역서" xfId="204" xr:uid="{00000000-0005-0000-0000-000048070000}"/>
    <cellStyle name="_방동_문혜3리_포장_라멘교 토공" xfId="205" xr:uid="{00000000-0005-0000-0000-000049070000}"/>
    <cellStyle name="_방동_문혜3리_포장_라멘교 토공_00-설계서,원가계산,내역서" xfId="206" xr:uid="{00000000-0005-0000-0000-00004A070000}"/>
    <cellStyle name="_방동_방동" xfId="207" xr:uid="{00000000-0005-0000-0000-00004B070000}"/>
    <cellStyle name="_방동_방동_00-설계서,원가계산,내역서" xfId="208" xr:uid="{00000000-0005-0000-0000-00004C070000}"/>
    <cellStyle name="_방동_방동_내역서-최종0223" xfId="209" xr:uid="{00000000-0005-0000-0000-00004D070000}"/>
    <cellStyle name="_방동_방동_내역서-최종0223_00-설계서,원가계산,내역서" xfId="210" xr:uid="{00000000-0005-0000-0000-00004E070000}"/>
    <cellStyle name="_방동_방동_내역서-최종0223_설계서-1" xfId="211" xr:uid="{00000000-0005-0000-0000-00004F070000}"/>
    <cellStyle name="_방동_방동_내역서-최종0223_설계서-1_00-설계서,원가계산,내역서" xfId="212" xr:uid="{00000000-0005-0000-0000-000050070000}"/>
    <cellStyle name="_방동_방동_내역서-최종0223_진해자은수량산출서(단지내)" xfId="213" xr:uid="{00000000-0005-0000-0000-000051070000}"/>
    <cellStyle name="_방동_방동_내역서-최종0223_진해자은수량산출서(단지내)_00-설계서,원가계산,내역서" xfId="214" xr:uid="{00000000-0005-0000-0000-000052070000}"/>
    <cellStyle name="_방동_방동_내역서-최종0223_진해자은수량산출서(단지내)_기초산출표-56-128-최종" xfId="215" xr:uid="{00000000-0005-0000-0000-000053070000}"/>
    <cellStyle name="_방동_방동_내역서-최종0223_진해자은수량산출서(단지내)_기초산출표-56-128-최종_00-설계서,원가계산,내역서" xfId="216" xr:uid="{00000000-0005-0000-0000-000054070000}"/>
    <cellStyle name="_방동_방동_내역서-최종0223_진해자은수량산출서(단지내)_기초산출표-56-128-최종_설계서-1" xfId="217" xr:uid="{00000000-0005-0000-0000-000055070000}"/>
    <cellStyle name="_방동_방동_내역서-최종0223_진해자은수량산출서(단지내)_기초산출표-56-128-최종_설계서-1_00-설계서,원가계산,내역서" xfId="218" xr:uid="{00000000-0005-0000-0000-000056070000}"/>
    <cellStyle name="_방동_방동_내역서-최종0223_진해자은수량산출서(단지내)_설계서-1" xfId="219" xr:uid="{00000000-0005-0000-0000-000057070000}"/>
    <cellStyle name="_방동_방동_내역서-최종0223_진해자은수량산출서(단지내)_설계서-1_00-설계서,원가계산,내역서" xfId="220" xr:uid="{00000000-0005-0000-0000-000058070000}"/>
    <cellStyle name="_방동_방동_내역서-최종0223_진해자은수량산출서(단지내)_취합" xfId="221" xr:uid="{00000000-0005-0000-0000-000059070000}"/>
    <cellStyle name="_방동_방동_내역서-최종0223_진해자은수량산출서(단지내)_취합_00-설계서,원가계산,내역서" xfId="222" xr:uid="{00000000-0005-0000-0000-00005A070000}"/>
    <cellStyle name="_방동_방동_내역서-최종0223_진해자은수량산출서(단지내)_취합_설계서-1" xfId="223" xr:uid="{00000000-0005-0000-0000-00005B070000}"/>
    <cellStyle name="_방동_방동_내역서-최종0223_진해자은수량산출서(단지내)_취합_설계서-1_00-설계서,원가계산,내역서" xfId="224" xr:uid="{00000000-0005-0000-0000-00005C070000}"/>
    <cellStyle name="_방동_방동_라멘교 토공" xfId="225" xr:uid="{00000000-0005-0000-0000-00005D070000}"/>
    <cellStyle name="_방동_방동_라멘교 토공_00-설계서,원가계산,내역서" xfId="226" xr:uid="{00000000-0005-0000-0000-00005E070000}"/>
    <cellStyle name="_방동_방동_설계서-1" xfId="227" xr:uid="{00000000-0005-0000-0000-00005F070000}"/>
    <cellStyle name="_방동_방동_설계서-1_00-설계서,원가계산,내역서" xfId="228" xr:uid="{00000000-0005-0000-0000-000060070000}"/>
    <cellStyle name="_방동_방동_율동자연공원내 화장실 보수 및 도색공사" xfId="229" xr:uid="{00000000-0005-0000-0000-000061070000}"/>
    <cellStyle name="_방동_방동_율동자연공원내 화장실 보수 및 도색공사_00-설계서,원가계산,내역서" xfId="230" xr:uid="{00000000-0005-0000-0000-000062070000}"/>
    <cellStyle name="_방동_방동_율동자연공원내 화장실 보수 및 도색공사_내역서-최종0223" xfId="231" xr:uid="{00000000-0005-0000-0000-000063070000}"/>
    <cellStyle name="_방동_방동_율동자연공원내 화장실 보수 및 도색공사_내역서-최종0223_00-설계서,원가계산,내역서" xfId="232" xr:uid="{00000000-0005-0000-0000-000064070000}"/>
    <cellStyle name="_방동_방동_율동자연공원내 화장실 보수 및 도색공사_내역서-최종0223_설계서-1" xfId="233" xr:uid="{00000000-0005-0000-0000-000065070000}"/>
    <cellStyle name="_방동_방동_율동자연공원내 화장실 보수 및 도색공사_내역서-최종0223_설계서-1_00-설계서,원가계산,내역서" xfId="234" xr:uid="{00000000-0005-0000-0000-000066070000}"/>
    <cellStyle name="_방동_방동_율동자연공원내 화장실 보수 및 도색공사_내역서-최종0223_진해자은수량산출서(단지내)" xfId="235" xr:uid="{00000000-0005-0000-0000-000067070000}"/>
    <cellStyle name="_방동_방동_율동자연공원내 화장실 보수 및 도색공사_내역서-최종0223_진해자은수량산출서(단지내)_00-설계서,원가계산,내역서" xfId="236" xr:uid="{00000000-0005-0000-0000-000068070000}"/>
    <cellStyle name="_방동_방동_율동자연공원내 화장실 보수 및 도색공사_내역서-최종0223_진해자은수량산출서(단지내)_기초산출표-56-128-최종" xfId="237" xr:uid="{00000000-0005-0000-0000-000069070000}"/>
    <cellStyle name="_방동_방동_율동자연공원내 화장실 보수 및 도색공사_내역서-최종0223_진해자은수량산출서(단지내)_기초산출표-56-128-최종_00-설계서,원가계산,내역서" xfId="238" xr:uid="{00000000-0005-0000-0000-00006A070000}"/>
    <cellStyle name="_방동_방동_율동자연공원내 화장실 보수 및 도색공사_내역서-최종0223_진해자은수량산출서(단지내)_기초산출표-56-128-최종_설계서-1" xfId="239" xr:uid="{00000000-0005-0000-0000-00006B070000}"/>
    <cellStyle name="_방동_방동_율동자연공원내 화장실 보수 및 도색공사_내역서-최종0223_진해자은수량산출서(단지내)_기초산출표-56-128-최종_설계서-1_00-설계서,원가계산,내역서" xfId="240" xr:uid="{00000000-0005-0000-0000-00006C070000}"/>
    <cellStyle name="_방동_방동_율동자연공원내 화장실 보수 및 도색공사_내역서-최종0223_진해자은수량산출서(단지내)_설계서-1" xfId="241" xr:uid="{00000000-0005-0000-0000-00006D070000}"/>
    <cellStyle name="_방동_방동_율동자연공원내 화장실 보수 및 도색공사_내역서-최종0223_진해자은수량산출서(단지내)_설계서-1_00-설계서,원가계산,내역서" xfId="242" xr:uid="{00000000-0005-0000-0000-00006E070000}"/>
    <cellStyle name="_방동_방동_율동자연공원내 화장실 보수 및 도색공사_내역서-최종0223_진해자은수량산출서(단지내)_취합" xfId="243" xr:uid="{00000000-0005-0000-0000-00006F070000}"/>
    <cellStyle name="_방동_방동_율동자연공원내 화장실 보수 및 도색공사_내역서-최종0223_진해자은수량산출서(단지내)_취합_00-설계서,원가계산,내역서" xfId="244" xr:uid="{00000000-0005-0000-0000-000070070000}"/>
    <cellStyle name="_방동_방동_율동자연공원내 화장실 보수 및 도색공사_내역서-최종0223_진해자은수량산출서(단지내)_취합_설계서-1" xfId="245" xr:uid="{00000000-0005-0000-0000-000071070000}"/>
    <cellStyle name="_방동_방동_율동자연공원내 화장실 보수 및 도색공사_내역서-최종0223_진해자은수량산출서(단지내)_취합_설계서-1_00-설계서,원가계산,내역서" xfId="246" xr:uid="{00000000-0005-0000-0000-000072070000}"/>
    <cellStyle name="_방동_방동_율동자연공원내 화장실 보수 및 도색공사_설계서-1" xfId="247" xr:uid="{00000000-0005-0000-0000-000073070000}"/>
    <cellStyle name="_방동_방동_율동자연공원내 화장실 보수 및 도색공사_설계서-1_00-설계서,원가계산,내역서" xfId="248" xr:uid="{00000000-0005-0000-0000-000074070000}"/>
    <cellStyle name="_방동_방동_율동자연공원내 화장실 보수 및 도색공사_진해자은수량산출서(단지내)" xfId="249" xr:uid="{00000000-0005-0000-0000-000075070000}"/>
    <cellStyle name="_방동_방동_율동자연공원내 화장실 보수 및 도색공사_진해자은수량산출서(단지내)_00-설계서,원가계산,내역서" xfId="250" xr:uid="{00000000-0005-0000-0000-000076070000}"/>
    <cellStyle name="_방동_방동_율동자연공원내 화장실 보수 및 도색공사_진해자은수량산출서(단지내)_기초산출표-56-128-최종" xfId="251" xr:uid="{00000000-0005-0000-0000-000077070000}"/>
    <cellStyle name="_방동_방동_율동자연공원내 화장실 보수 및 도색공사_진해자은수량산출서(단지내)_기초산출표-56-128-최종_00-설계서,원가계산,내역서" xfId="252" xr:uid="{00000000-0005-0000-0000-000078070000}"/>
    <cellStyle name="_방동_방동_율동자연공원내 화장실 보수 및 도색공사_진해자은수량산출서(단지내)_기초산출표-56-128-최종_설계서-1" xfId="253" xr:uid="{00000000-0005-0000-0000-000079070000}"/>
    <cellStyle name="_방동_방동_율동자연공원내 화장실 보수 및 도색공사_진해자은수량산출서(단지내)_기초산출표-56-128-최종_설계서-1_00-설계서,원가계산,내역서" xfId="254" xr:uid="{00000000-0005-0000-0000-00007A070000}"/>
    <cellStyle name="_방동_방동_율동자연공원내 화장실 보수 및 도색공사_진해자은수량산출서(단지내)_설계서-1" xfId="255" xr:uid="{00000000-0005-0000-0000-00007B070000}"/>
    <cellStyle name="_방동_방동_율동자연공원내 화장실 보수 및 도색공사_진해자은수량산출서(단지내)_설계서-1_00-설계서,원가계산,내역서" xfId="256" xr:uid="{00000000-0005-0000-0000-00007C070000}"/>
    <cellStyle name="_방동_방동_율동자연공원내 화장실 보수 및 도색공사_진해자은수량산출서(단지내)_취합" xfId="257" xr:uid="{00000000-0005-0000-0000-00007D070000}"/>
    <cellStyle name="_방동_방동_율동자연공원내 화장실 보수 및 도색공사_진해자은수량산출서(단지내)_취합_00-설계서,원가계산,내역서" xfId="258" xr:uid="{00000000-0005-0000-0000-00007E070000}"/>
    <cellStyle name="_방동_방동_율동자연공원내 화장실 보수 및 도색공사_진해자은수량산출서(단지내)_취합_설계서-1" xfId="259" xr:uid="{00000000-0005-0000-0000-00007F070000}"/>
    <cellStyle name="_방동_방동_율동자연공원내 화장실 보수 및 도색공사_진해자은수량산출서(단지내)_취합_설계서-1_00-설계서,원가계산,내역서" xfId="260" xr:uid="{00000000-0005-0000-0000-000080070000}"/>
    <cellStyle name="_방동_방동_율동자연공원내 휴게편의점 도색작업-할증-천정면적추가" xfId="261" xr:uid="{00000000-0005-0000-0000-000081070000}"/>
    <cellStyle name="_방동_방동_율동자연공원내 휴게편의점 도색작업-할증-천정면적추가_00-설계서,원가계산,내역서" xfId="262" xr:uid="{00000000-0005-0000-0000-000082070000}"/>
    <cellStyle name="_방동_방동_율동자연공원내 휴게편의점 도색작업-할증-천정면적추가_내역서-최종0223" xfId="263" xr:uid="{00000000-0005-0000-0000-000083070000}"/>
    <cellStyle name="_방동_방동_율동자연공원내 휴게편의점 도색작업-할증-천정면적추가_내역서-최종0223_00-설계서,원가계산,내역서" xfId="264" xr:uid="{00000000-0005-0000-0000-000084070000}"/>
    <cellStyle name="_방동_방동_율동자연공원내 휴게편의점 도색작업-할증-천정면적추가_내역서-최종0223_설계서-1" xfId="265" xr:uid="{00000000-0005-0000-0000-000085070000}"/>
    <cellStyle name="_방동_방동_율동자연공원내 휴게편의점 도색작업-할증-천정면적추가_내역서-최종0223_설계서-1_00-설계서,원가계산,내역서" xfId="266" xr:uid="{00000000-0005-0000-0000-000086070000}"/>
    <cellStyle name="_방동_방동_율동자연공원내 휴게편의점 도색작업-할증-천정면적추가_내역서-최종0223_진해자은수량산출서(단지내)" xfId="267" xr:uid="{00000000-0005-0000-0000-000087070000}"/>
    <cellStyle name="_방동_방동_율동자연공원내 휴게편의점 도색작업-할증-천정면적추가_내역서-최종0223_진해자은수량산출서(단지내)_00-설계서,원가계산,내역서" xfId="268" xr:uid="{00000000-0005-0000-0000-000088070000}"/>
    <cellStyle name="_방동_방동_율동자연공원내 휴게편의점 도색작업-할증-천정면적추가_내역서-최종0223_진해자은수량산출서(단지내)_기초산출표-56-128-최종" xfId="269" xr:uid="{00000000-0005-0000-0000-000089070000}"/>
    <cellStyle name="_방동_방동_율동자연공원내 휴게편의점 도색작업-할증-천정면적추가_내역서-최종0223_진해자은수량산출서(단지내)_기초산출표-56-128-최종_00-설계서,원가계산,내역서" xfId="270" xr:uid="{00000000-0005-0000-0000-00008A070000}"/>
    <cellStyle name="_방동_방동_율동자연공원내 휴게편의점 도색작업-할증-천정면적추가_내역서-최종0223_진해자은수량산출서(단지내)_기초산출표-56-128-최종_설계서-1" xfId="271" xr:uid="{00000000-0005-0000-0000-00008B070000}"/>
    <cellStyle name="_방동_방동_율동자연공원내 휴게편의점 도색작업-할증-천정면적추가_내역서-최종0223_진해자은수량산출서(단지내)_기초산출표-56-128-최종_설계서-1_00-설계서,원가계산,내역서" xfId="272" xr:uid="{00000000-0005-0000-0000-00008C070000}"/>
    <cellStyle name="_방동_방동_율동자연공원내 휴게편의점 도색작업-할증-천정면적추가_내역서-최종0223_진해자은수량산출서(단지내)_설계서-1" xfId="273" xr:uid="{00000000-0005-0000-0000-00008D070000}"/>
    <cellStyle name="_방동_방동_율동자연공원내 휴게편의점 도색작업-할증-천정면적추가_내역서-최종0223_진해자은수량산출서(단지내)_설계서-1_00-설계서,원가계산,내역서" xfId="274" xr:uid="{00000000-0005-0000-0000-00008E070000}"/>
    <cellStyle name="_방동_방동_율동자연공원내 휴게편의점 도색작업-할증-천정면적추가_내역서-최종0223_진해자은수량산출서(단지내)_취합" xfId="275" xr:uid="{00000000-0005-0000-0000-00008F070000}"/>
    <cellStyle name="_방동_방동_율동자연공원내 휴게편의점 도색작업-할증-천정면적추가_내역서-최종0223_진해자은수량산출서(단지내)_취합_00-설계서,원가계산,내역서" xfId="276" xr:uid="{00000000-0005-0000-0000-000090070000}"/>
    <cellStyle name="_방동_방동_율동자연공원내 휴게편의점 도색작업-할증-천정면적추가_내역서-최종0223_진해자은수량산출서(단지내)_취합_설계서-1" xfId="277" xr:uid="{00000000-0005-0000-0000-000091070000}"/>
    <cellStyle name="_방동_방동_율동자연공원내 휴게편의점 도색작업-할증-천정면적추가_내역서-최종0223_진해자은수량산출서(단지내)_취합_설계서-1_00-설계서,원가계산,내역서" xfId="278" xr:uid="{00000000-0005-0000-0000-000092070000}"/>
    <cellStyle name="_방동_방동_율동자연공원내 휴게편의점 도색작업-할증-천정면적추가_설계서-1" xfId="279" xr:uid="{00000000-0005-0000-0000-000093070000}"/>
    <cellStyle name="_방동_방동_율동자연공원내 휴게편의점 도색작업-할증-천정면적추가_설계서-1_00-설계서,원가계산,내역서" xfId="280" xr:uid="{00000000-0005-0000-0000-000094070000}"/>
    <cellStyle name="_방동_방동_율동자연공원내 휴게편의점 도색작업-할증-천정면적추가_진해자은수량산출서(단지내)" xfId="281" xr:uid="{00000000-0005-0000-0000-000095070000}"/>
    <cellStyle name="_방동_방동_율동자연공원내 휴게편의점 도색작업-할증-천정면적추가_진해자은수량산출서(단지내)_00-설계서,원가계산,내역서" xfId="282" xr:uid="{00000000-0005-0000-0000-000096070000}"/>
    <cellStyle name="_방동_방동_율동자연공원내 휴게편의점 도색작업-할증-천정면적추가_진해자은수량산출서(단지내)_기초산출표-56-128-최종" xfId="283" xr:uid="{00000000-0005-0000-0000-000097070000}"/>
    <cellStyle name="_방동_방동_율동자연공원내 휴게편의점 도색작업-할증-천정면적추가_진해자은수량산출서(단지내)_기초산출표-56-128-최종_00-설계서,원가계산,내역서" xfId="284" xr:uid="{00000000-0005-0000-0000-000098070000}"/>
    <cellStyle name="_방동_방동_율동자연공원내 휴게편의점 도색작업-할증-천정면적추가_진해자은수량산출서(단지내)_기초산출표-56-128-최종_설계서-1" xfId="285" xr:uid="{00000000-0005-0000-0000-000099070000}"/>
    <cellStyle name="_방동_방동_율동자연공원내 휴게편의점 도색작업-할증-천정면적추가_진해자은수량산출서(단지내)_기초산출표-56-128-최종_설계서-1_00-설계서,원가계산,내역서" xfId="286" xr:uid="{00000000-0005-0000-0000-00009A070000}"/>
    <cellStyle name="_방동_방동_율동자연공원내 휴게편의점 도색작업-할증-천정면적추가_진해자은수량산출서(단지내)_설계서-1" xfId="287" xr:uid="{00000000-0005-0000-0000-00009B070000}"/>
    <cellStyle name="_방동_방동_율동자연공원내 휴게편의점 도색작업-할증-천정면적추가_진해자은수량산출서(단지내)_설계서-1_00-설계서,원가계산,내역서" xfId="288" xr:uid="{00000000-0005-0000-0000-00009C070000}"/>
    <cellStyle name="_방동_방동_율동자연공원내 휴게편의점 도색작업-할증-천정면적추가_진해자은수량산출서(단지내)_취합" xfId="289" xr:uid="{00000000-0005-0000-0000-00009D070000}"/>
    <cellStyle name="_방동_방동_율동자연공원내 휴게편의점 도색작업-할증-천정면적추가_진해자은수량산출서(단지내)_취합_00-설계서,원가계산,내역서" xfId="290" xr:uid="{00000000-0005-0000-0000-00009E070000}"/>
    <cellStyle name="_방동_방동_율동자연공원내 휴게편의점 도색작업-할증-천정면적추가_진해자은수량산출서(단지내)_취합_설계서-1" xfId="291" xr:uid="{00000000-0005-0000-0000-00009F070000}"/>
    <cellStyle name="_방동_방동_율동자연공원내 휴게편의점 도색작업-할증-천정면적추가_진해자은수량산출서(단지내)_취합_설계서-1_00-설계서,원가계산,내역서" xfId="292" xr:uid="{00000000-0005-0000-0000-0000A0070000}"/>
    <cellStyle name="_방동_방동_이문동구간중랑천변녹화사업(수량산출서, 071127)-최종" xfId="293" xr:uid="{00000000-0005-0000-0000-0000A1070000}"/>
    <cellStyle name="_방동_방동_이문동구간중랑천변녹화사업(수량산출서, 071127)-최종_00-설계서,원가계산,내역서" xfId="294" xr:uid="{00000000-0005-0000-0000-0000A2070000}"/>
    <cellStyle name="_방동_방동_진해자은수량산출서(단지내)" xfId="295" xr:uid="{00000000-0005-0000-0000-0000A3070000}"/>
    <cellStyle name="_방동_방동_진해자은수량산출서(단지내)_00-설계서,원가계산,내역서" xfId="296" xr:uid="{00000000-0005-0000-0000-0000A4070000}"/>
    <cellStyle name="_방동_방동_진해자은수량산출서(단지내)_기초산출표-56-128-최종" xfId="297" xr:uid="{00000000-0005-0000-0000-0000A5070000}"/>
    <cellStyle name="_방동_방동_진해자은수량산출서(단지내)_기초산출표-56-128-최종_00-설계서,원가계산,내역서" xfId="298" xr:uid="{00000000-0005-0000-0000-0000A6070000}"/>
    <cellStyle name="_방동_방동_진해자은수량산출서(단지내)_기초산출표-56-128-최종_설계서-1" xfId="299" xr:uid="{00000000-0005-0000-0000-0000A7070000}"/>
    <cellStyle name="_방동_방동_진해자은수량산출서(단지내)_기초산출표-56-128-최종_설계서-1_00-설계서,원가계산,내역서" xfId="300" xr:uid="{00000000-0005-0000-0000-0000A8070000}"/>
    <cellStyle name="_방동_방동_진해자은수량산출서(단지내)_설계서-1" xfId="301" xr:uid="{00000000-0005-0000-0000-0000A9070000}"/>
    <cellStyle name="_방동_방동_진해자은수량산출서(단지내)_설계서-1_00-설계서,원가계산,내역서" xfId="302" xr:uid="{00000000-0005-0000-0000-0000AA070000}"/>
    <cellStyle name="_방동_방동_진해자은수량산출서(단지내)_취합" xfId="303" xr:uid="{00000000-0005-0000-0000-0000AB070000}"/>
    <cellStyle name="_방동_방동_진해자은수량산출서(단지내)_취합_00-설계서,원가계산,내역서" xfId="304" xr:uid="{00000000-0005-0000-0000-0000AC070000}"/>
    <cellStyle name="_방동_방동_진해자은수량산출서(단지내)_취합_설계서-1" xfId="305" xr:uid="{00000000-0005-0000-0000-0000AD070000}"/>
    <cellStyle name="_방동_방동_진해자은수량산출서(단지내)_취합_설계서-1_00-설계서,원가계산,내역서" xfId="306" xr:uid="{00000000-0005-0000-0000-0000AE070000}"/>
    <cellStyle name="_방동_방동_포장" xfId="307" xr:uid="{00000000-0005-0000-0000-0000AF070000}"/>
    <cellStyle name="_방동_방동_포장_00-설계서,원가계산,내역서" xfId="308" xr:uid="{00000000-0005-0000-0000-0000B0070000}"/>
    <cellStyle name="_방동_방동_포장_라멘교 토공" xfId="309" xr:uid="{00000000-0005-0000-0000-0000B1070000}"/>
    <cellStyle name="_방동_방동_포장_라멘교 토공_00-설계서,원가계산,내역서" xfId="310" xr:uid="{00000000-0005-0000-0000-0000B2070000}"/>
    <cellStyle name="_방동_산양2리지구" xfId="311" xr:uid="{00000000-0005-0000-0000-0000B3070000}"/>
    <cellStyle name="_방동_산양2리지구_00-설계서,원가계산,내역서" xfId="312" xr:uid="{00000000-0005-0000-0000-0000B4070000}"/>
    <cellStyle name="_방동_산양2리지구_라멘교 토공" xfId="313" xr:uid="{00000000-0005-0000-0000-0000B5070000}"/>
    <cellStyle name="_방동_산양2리지구_라멘교 토공_00-설계서,원가계산,내역서" xfId="314" xr:uid="{00000000-0005-0000-0000-0000B6070000}"/>
    <cellStyle name="_방동_산양2리지구_포장" xfId="315" xr:uid="{00000000-0005-0000-0000-0000B7070000}"/>
    <cellStyle name="_방동_산양2리지구_포장_00-설계서,원가계산,내역서" xfId="316" xr:uid="{00000000-0005-0000-0000-0000B8070000}"/>
    <cellStyle name="_방동_산양2리지구_포장_라멘교 토공" xfId="317" xr:uid="{00000000-0005-0000-0000-0000B9070000}"/>
    <cellStyle name="_방동_산양2리지구_포장_라멘교 토공_00-설계서,원가계산,내역서" xfId="318" xr:uid="{00000000-0005-0000-0000-0000BA070000}"/>
    <cellStyle name="_방동_산양리지구" xfId="319" xr:uid="{00000000-0005-0000-0000-0000BB070000}"/>
    <cellStyle name="_방동_산양리지구_00-설계서,원가계산,내역서" xfId="320" xr:uid="{00000000-0005-0000-0000-0000BC070000}"/>
    <cellStyle name="_방동_산양리지구_내역서-최종0223" xfId="321" xr:uid="{00000000-0005-0000-0000-0000BD070000}"/>
    <cellStyle name="_방동_산양리지구_내역서-최종0223_00-설계서,원가계산,내역서" xfId="322" xr:uid="{00000000-0005-0000-0000-0000BE070000}"/>
    <cellStyle name="_방동_산양리지구_내역서-최종0223_설계서-1" xfId="323" xr:uid="{00000000-0005-0000-0000-0000BF070000}"/>
    <cellStyle name="_방동_산양리지구_내역서-최종0223_설계서-1_00-설계서,원가계산,내역서" xfId="324" xr:uid="{00000000-0005-0000-0000-0000C0070000}"/>
    <cellStyle name="_방동_산양리지구_내역서-최종0223_진해자은수량산출서(단지내)" xfId="325" xr:uid="{00000000-0005-0000-0000-0000C1070000}"/>
    <cellStyle name="_방동_산양리지구_내역서-최종0223_진해자은수량산출서(단지내)_00-설계서,원가계산,내역서" xfId="326" xr:uid="{00000000-0005-0000-0000-0000C2070000}"/>
    <cellStyle name="_방동_산양리지구_내역서-최종0223_진해자은수량산출서(단지내)_기초산출표-56-128-최종" xfId="327" xr:uid="{00000000-0005-0000-0000-0000C3070000}"/>
    <cellStyle name="_방동_산양리지구_내역서-최종0223_진해자은수량산출서(단지내)_기초산출표-56-128-최종_00-설계서,원가계산,내역서" xfId="328" xr:uid="{00000000-0005-0000-0000-0000C4070000}"/>
    <cellStyle name="_방동_산양리지구_내역서-최종0223_진해자은수량산출서(단지내)_기초산출표-56-128-최종_설계서-1" xfId="329" xr:uid="{00000000-0005-0000-0000-0000C5070000}"/>
    <cellStyle name="_방동_산양리지구_내역서-최종0223_진해자은수량산출서(단지내)_기초산출표-56-128-최종_설계서-1_00-설계서,원가계산,내역서" xfId="330" xr:uid="{00000000-0005-0000-0000-0000C6070000}"/>
    <cellStyle name="_방동_산양리지구_내역서-최종0223_진해자은수량산출서(단지내)_설계서-1" xfId="331" xr:uid="{00000000-0005-0000-0000-0000C7070000}"/>
    <cellStyle name="_방동_산양리지구_내역서-최종0223_진해자은수량산출서(단지내)_설계서-1_00-설계서,원가계산,내역서" xfId="332" xr:uid="{00000000-0005-0000-0000-0000C8070000}"/>
    <cellStyle name="_방동_산양리지구_내역서-최종0223_진해자은수량산출서(단지내)_취합" xfId="333" xr:uid="{00000000-0005-0000-0000-0000C9070000}"/>
    <cellStyle name="_방동_산양리지구_내역서-최종0223_진해자은수량산출서(단지내)_취합_00-설계서,원가계산,내역서" xfId="334" xr:uid="{00000000-0005-0000-0000-0000CA070000}"/>
    <cellStyle name="_방동_산양리지구_내역서-최종0223_진해자은수량산출서(단지내)_취합_설계서-1" xfId="335" xr:uid="{00000000-0005-0000-0000-0000CB070000}"/>
    <cellStyle name="_방동_산양리지구_내역서-최종0223_진해자은수량산출서(단지내)_취합_설계서-1_00-설계서,원가계산,내역서" xfId="336" xr:uid="{00000000-0005-0000-0000-0000CC070000}"/>
    <cellStyle name="_방동_산양리지구_라멘교 토공" xfId="337" xr:uid="{00000000-0005-0000-0000-0000CD070000}"/>
    <cellStyle name="_방동_산양리지구_라멘교 토공_00-설계서,원가계산,내역서" xfId="338" xr:uid="{00000000-0005-0000-0000-0000CE070000}"/>
    <cellStyle name="_방동_산양리지구_설계서-1" xfId="339" xr:uid="{00000000-0005-0000-0000-0000CF070000}"/>
    <cellStyle name="_방동_산양리지구_설계서-1_00-설계서,원가계산,내역서" xfId="340" xr:uid="{00000000-0005-0000-0000-0000D0070000}"/>
    <cellStyle name="_방동_산양리지구_율동자연공원내 화장실 보수 및 도색공사" xfId="341" xr:uid="{00000000-0005-0000-0000-0000D1070000}"/>
    <cellStyle name="_방동_산양리지구_율동자연공원내 화장실 보수 및 도색공사_00-설계서,원가계산,내역서" xfId="342" xr:uid="{00000000-0005-0000-0000-0000D2070000}"/>
    <cellStyle name="_방동_산양리지구_율동자연공원내 화장실 보수 및 도색공사_내역서-최종0223" xfId="343" xr:uid="{00000000-0005-0000-0000-0000D3070000}"/>
    <cellStyle name="_방동_산양리지구_율동자연공원내 화장실 보수 및 도색공사_내역서-최종0223_00-설계서,원가계산,내역서" xfId="344" xr:uid="{00000000-0005-0000-0000-0000D4070000}"/>
    <cellStyle name="_방동_산양리지구_율동자연공원내 화장실 보수 및 도색공사_내역서-최종0223_설계서-1" xfId="345" xr:uid="{00000000-0005-0000-0000-0000D5070000}"/>
    <cellStyle name="_방동_산양리지구_율동자연공원내 화장실 보수 및 도색공사_내역서-최종0223_설계서-1_00-설계서,원가계산,내역서" xfId="346" xr:uid="{00000000-0005-0000-0000-0000D6070000}"/>
    <cellStyle name="_방동_산양리지구_율동자연공원내 화장실 보수 및 도색공사_내역서-최종0223_진해자은수량산출서(단지내)" xfId="347" xr:uid="{00000000-0005-0000-0000-0000D7070000}"/>
    <cellStyle name="_방동_산양리지구_율동자연공원내 화장실 보수 및 도색공사_내역서-최종0223_진해자은수량산출서(단지내)_00-설계서,원가계산,내역서" xfId="348" xr:uid="{00000000-0005-0000-0000-0000D8070000}"/>
    <cellStyle name="_방동_산양리지구_율동자연공원내 화장실 보수 및 도색공사_내역서-최종0223_진해자은수량산출서(단지내)_기초산출표-56-128-최종" xfId="349" xr:uid="{00000000-0005-0000-0000-0000D9070000}"/>
    <cellStyle name="_방동_산양리지구_율동자연공원내 화장실 보수 및 도색공사_내역서-최종0223_진해자은수량산출서(단지내)_기초산출표-56-128-최종_00-설계서,원가계산,내역서" xfId="350" xr:uid="{00000000-0005-0000-0000-0000DA070000}"/>
    <cellStyle name="_방동_산양리지구_율동자연공원내 화장실 보수 및 도색공사_내역서-최종0223_진해자은수량산출서(단지내)_기초산출표-56-128-최종_설계서-1" xfId="351" xr:uid="{00000000-0005-0000-0000-0000DB070000}"/>
    <cellStyle name="_방동_산양리지구_율동자연공원내 화장실 보수 및 도색공사_내역서-최종0223_진해자은수량산출서(단지내)_기초산출표-56-128-최종_설계서-1_00-설계서,원가계산,내역서" xfId="352" xr:uid="{00000000-0005-0000-0000-0000DC070000}"/>
    <cellStyle name="_방동_산양리지구_율동자연공원내 화장실 보수 및 도색공사_내역서-최종0223_진해자은수량산출서(단지내)_설계서-1" xfId="353" xr:uid="{00000000-0005-0000-0000-0000DD070000}"/>
    <cellStyle name="_방동_산양리지구_율동자연공원내 화장실 보수 및 도색공사_내역서-최종0223_진해자은수량산출서(단지내)_설계서-1_00-설계서,원가계산,내역서" xfId="354" xr:uid="{00000000-0005-0000-0000-0000DE070000}"/>
    <cellStyle name="_방동_산양리지구_율동자연공원내 화장실 보수 및 도색공사_내역서-최종0223_진해자은수량산출서(단지내)_취합" xfId="355" xr:uid="{00000000-0005-0000-0000-0000DF070000}"/>
    <cellStyle name="_방동_산양리지구_율동자연공원내 화장실 보수 및 도색공사_내역서-최종0223_진해자은수량산출서(단지내)_취합_00-설계서,원가계산,내역서" xfId="356" xr:uid="{00000000-0005-0000-0000-0000E0070000}"/>
    <cellStyle name="_방동_산양리지구_율동자연공원내 화장실 보수 및 도색공사_내역서-최종0223_진해자은수량산출서(단지내)_취합_설계서-1" xfId="357" xr:uid="{00000000-0005-0000-0000-0000E1070000}"/>
    <cellStyle name="_방동_산양리지구_율동자연공원내 화장실 보수 및 도색공사_내역서-최종0223_진해자은수량산출서(단지내)_취합_설계서-1_00-설계서,원가계산,내역서" xfId="358" xr:uid="{00000000-0005-0000-0000-0000E2070000}"/>
    <cellStyle name="_방동_산양리지구_율동자연공원내 화장실 보수 및 도색공사_설계서-1" xfId="359" xr:uid="{00000000-0005-0000-0000-0000E3070000}"/>
    <cellStyle name="_방동_산양리지구_율동자연공원내 화장실 보수 및 도색공사_설계서-1_00-설계서,원가계산,내역서" xfId="360" xr:uid="{00000000-0005-0000-0000-0000E4070000}"/>
    <cellStyle name="_방동_산양리지구_율동자연공원내 화장실 보수 및 도색공사_진해자은수량산출서(단지내)" xfId="361" xr:uid="{00000000-0005-0000-0000-0000E5070000}"/>
    <cellStyle name="_방동_산양리지구_율동자연공원내 화장실 보수 및 도색공사_진해자은수량산출서(단지내)_00-설계서,원가계산,내역서" xfId="362" xr:uid="{00000000-0005-0000-0000-0000E6070000}"/>
    <cellStyle name="_방동_산양리지구_율동자연공원내 화장실 보수 및 도색공사_진해자은수량산출서(단지내)_기초산출표-56-128-최종" xfId="363" xr:uid="{00000000-0005-0000-0000-0000E7070000}"/>
    <cellStyle name="_방동_산양리지구_율동자연공원내 화장실 보수 및 도색공사_진해자은수량산출서(단지내)_기초산출표-56-128-최종_00-설계서,원가계산,내역서" xfId="364" xr:uid="{00000000-0005-0000-0000-0000E8070000}"/>
    <cellStyle name="_방동_산양리지구_율동자연공원내 화장실 보수 및 도색공사_진해자은수량산출서(단지내)_기초산출표-56-128-최종_설계서-1" xfId="365" xr:uid="{00000000-0005-0000-0000-0000E9070000}"/>
    <cellStyle name="_방동_산양리지구_율동자연공원내 화장실 보수 및 도색공사_진해자은수량산출서(단지내)_기초산출표-56-128-최종_설계서-1_00-설계서,원가계산,내역서" xfId="366" xr:uid="{00000000-0005-0000-0000-0000EA070000}"/>
    <cellStyle name="_방동_산양리지구_율동자연공원내 화장실 보수 및 도색공사_진해자은수량산출서(단지내)_설계서-1" xfId="367" xr:uid="{00000000-0005-0000-0000-0000EB070000}"/>
    <cellStyle name="_방동_산양리지구_율동자연공원내 화장실 보수 및 도색공사_진해자은수량산출서(단지내)_설계서-1_00-설계서,원가계산,내역서" xfId="368" xr:uid="{00000000-0005-0000-0000-0000EC070000}"/>
    <cellStyle name="_방동_산양리지구_율동자연공원내 화장실 보수 및 도색공사_진해자은수량산출서(단지내)_취합" xfId="369" xr:uid="{00000000-0005-0000-0000-0000ED070000}"/>
    <cellStyle name="_방동_산양리지구_율동자연공원내 화장실 보수 및 도색공사_진해자은수량산출서(단지내)_취합_00-설계서,원가계산,내역서" xfId="370" xr:uid="{00000000-0005-0000-0000-0000EE070000}"/>
    <cellStyle name="_방동_산양리지구_율동자연공원내 화장실 보수 및 도색공사_진해자은수량산출서(단지내)_취합_설계서-1" xfId="371" xr:uid="{00000000-0005-0000-0000-0000EF070000}"/>
    <cellStyle name="_방동_산양리지구_율동자연공원내 화장실 보수 및 도색공사_진해자은수량산출서(단지내)_취합_설계서-1_00-설계서,원가계산,내역서" xfId="372" xr:uid="{00000000-0005-0000-0000-0000F0070000}"/>
    <cellStyle name="_방동_산양리지구_율동자연공원내 휴게편의점 도색작업-할증-천정면적추가" xfId="373" xr:uid="{00000000-0005-0000-0000-0000F1070000}"/>
    <cellStyle name="_방동_산양리지구_율동자연공원내 휴게편의점 도색작업-할증-천정면적추가_00-설계서,원가계산,내역서" xfId="374" xr:uid="{00000000-0005-0000-0000-0000F2070000}"/>
    <cellStyle name="_방동_산양리지구_율동자연공원내 휴게편의점 도색작업-할증-천정면적추가_내역서-최종0223" xfId="375" xr:uid="{00000000-0005-0000-0000-0000F3070000}"/>
    <cellStyle name="_방동_산양리지구_율동자연공원내 휴게편의점 도색작업-할증-천정면적추가_내역서-최종0223_00-설계서,원가계산,내역서" xfId="376" xr:uid="{00000000-0005-0000-0000-0000F4070000}"/>
    <cellStyle name="_방동_산양리지구_율동자연공원내 휴게편의점 도색작업-할증-천정면적추가_내역서-최종0223_설계서-1" xfId="377" xr:uid="{00000000-0005-0000-0000-0000F5070000}"/>
    <cellStyle name="_방동_산양리지구_율동자연공원내 휴게편의점 도색작업-할증-천정면적추가_내역서-최종0223_설계서-1_00-설계서,원가계산,내역서" xfId="378" xr:uid="{00000000-0005-0000-0000-0000F6070000}"/>
    <cellStyle name="_방동_산양리지구_율동자연공원내 휴게편의점 도색작업-할증-천정면적추가_내역서-최종0223_진해자은수량산출서(단지내)" xfId="379" xr:uid="{00000000-0005-0000-0000-0000F7070000}"/>
    <cellStyle name="_방동_산양리지구_율동자연공원내 휴게편의점 도색작업-할증-천정면적추가_내역서-최종0223_진해자은수량산출서(단지내)_00-설계서,원가계산,내역서" xfId="380" xr:uid="{00000000-0005-0000-0000-0000F8070000}"/>
    <cellStyle name="_방동_산양리지구_율동자연공원내 휴게편의점 도색작업-할증-천정면적추가_내역서-최종0223_진해자은수량산출서(단지내)_기초산출표-56-128-최종" xfId="381" xr:uid="{00000000-0005-0000-0000-0000F9070000}"/>
    <cellStyle name="_방동_산양리지구_율동자연공원내 휴게편의점 도색작업-할증-천정면적추가_내역서-최종0223_진해자은수량산출서(단지내)_기초산출표-56-128-최종_00-설계서,원가계산,내역서" xfId="382" xr:uid="{00000000-0005-0000-0000-0000FA070000}"/>
    <cellStyle name="_방동_산양리지구_율동자연공원내 휴게편의점 도색작업-할증-천정면적추가_내역서-최종0223_진해자은수량산출서(단지내)_기초산출표-56-128-최종_설계서-1" xfId="383" xr:uid="{00000000-0005-0000-0000-0000FB070000}"/>
    <cellStyle name="_방동_산양리지구_율동자연공원내 휴게편의점 도색작업-할증-천정면적추가_내역서-최종0223_진해자은수량산출서(단지내)_기초산출표-56-128-최종_설계서-1_00-설계서,원가계산,내역서" xfId="384" xr:uid="{00000000-0005-0000-0000-0000FC070000}"/>
    <cellStyle name="_방동_산양리지구_율동자연공원내 휴게편의점 도색작업-할증-천정면적추가_내역서-최종0223_진해자은수량산출서(단지내)_설계서-1" xfId="385" xr:uid="{00000000-0005-0000-0000-0000FD070000}"/>
    <cellStyle name="_방동_산양리지구_율동자연공원내 휴게편의점 도색작업-할증-천정면적추가_내역서-최종0223_진해자은수량산출서(단지내)_설계서-1_00-설계서,원가계산,내역서" xfId="386" xr:uid="{00000000-0005-0000-0000-0000FE070000}"/>
    <cellStyle name="_방동_산양리지구_율동자연공원내 휴게편의점 도색작업-할증-천정면적추가_내역서-최종0223_진해자은수량산출서(단지내)_취합" xfId="387" xr:uid="{00000000-0005-0000-0000-0000FF070000}"/>
    <cellStyle name="_방동_산양리지구_율동자연공원내 휴게편의점 도색작업-할증-천정면적추가_내역서-최종0223_진해자은수량산출서(단지내)_취합_00-설계서,원가계산,내역서" xfId="388" xr:uid="{00000000-0005-0000-0000-000000080000}"/>
    <cellStyle name="_방동_산양리지구_율동자연공원내 휴게편의점 도색작업-할증-천정면적추가_내역서-최종0223_진해자은수량산출서(단지내)_취합_설계서-1" xfId="389" xr:uid="{00000000-0005-0000-0000-000001080000}"/>
    <cellStyle name="_방동_산양리지구_율동자연공원내 휴게편의점 도색작업-할증-천정면적추가_내역서-최종0223_진해자은수량산출서(단지내)_취합_설계서-1_00-설계서,원가계산,내역서" xfId="390" xr:uid="{00000000-0005-0000-0000-000002080000}"/>
    <cellStyle name="_방동_산양리지구_율동자연공원내 휴게편의점 도색작업-할증-천정면적추가_설계서-1" xfId="391" xr:uid="{00000000-0005-0000-0000-000003080000}"/>
    <cellStyle name="_방동_산양리지구_율동자연공원내 휴게편의점 도색작업-할증-천정면적추가_설계서-1_00-설계서,원가계산,내역서" xfId="392" xr:uid="{00000000-0005-0000-0000-000004080000}"/>
    <cellStyle name="_방동_산양리지구_율동자연공원내 휴게편의점 도색작업-할증-천정면적추가_진해자은수량산출서(단지내)" xfId="393" xr:uid="{00000000-0005-0000-0000-000005080000}"/>
    <cellStyle name="_방동_산양리지구_율동자연공원내 휴게편의점 도색작업-할증-천정면적추가_진해자은수량산출서(단지내)_00-설계서,원가계산,내역서" xfId="394" xr:uid="{00000000-0005-0000-0000-000006080000}"/>
    <cellStyle name="_방동_산양리지구_율동자연공원내 휴게편의점 도색작업-할증-천정면적추가_진해자은수량산출서(단지내)_기초산출표-56-128-최종" xfId="395" xr:uid="{00000000-0005-0000-0000-000007080000}"/>
    <cellStyle name="_방동_산양리지구_율동자연공원내 휴게편의점 도색작업-할증-천정면적추가_진해자은수량산출서(단지내)_기초산출표-56-128-최종_00-설계서,원가계산,내역서" xfId="396" xr:uid="{00000000-0005-0000-0000-000008080000}"/>
    <cellStyle name="_방동_산양리지구_율동자연공원내 휴게편의점 도색작업-할증-천정면적추가_진해자은수량산출서(단지내)_기초산출표-56-128-최종_설계서-1" xfId="397" xr:uid="{00000000-0005-0000-0000-000009080000}"/>
    <cellStyle name="_방동_산양리지구_율동자연공원내 휴게편의점 도색작업-할증-천정면적추가_진해자은수량산출서(단지내)_기초산출표-56-128-최종_설계서-1_00-설계서,원가계산,내역서" xfId="398" xr:uid="{00000000-0005-0000-0000-00000A080000}"/>
    <cellStyle name="_방동_산양리지구_율동자연공원내 휴게편의점 도색작업-할증-천정면적추가_진해자은수량산출서(단지내)_설계서-1" xfId="399" xr:uid="{00000000-0005-0000-0000-00000B080000}"/>
    <cellStyle name="_방동_산양리지구_율동자연공원내 휴게편의점 도색작업-할증-천정면적추가_진해자은수량산출서(단지내)_설계서-1_00-설계서,원가계산,내역서" xfId="400" xr:uid="{00000000-0005-0000-0000-00000C080000}"/>
    <cellStyle name="_방동_산양리지구_율동자연공원내 휴게편의점 도색작업-할증-천정면적추가_진해자은수량산출서(단지내)_취합" xfId="401" xr:uid="{00000000-0005-0000-0000-00000D080000}"/>
    <cellStyle name="_방동_산양리지구_율동자연공원내 휴게편의점 도색작업-할증-천정면적추가_진해자은수량산출서(단지내)_취합_00-설계서,원가계산,내역서" xfId="402" xr:uid="{00000000-0005-0000-0000-00000E080000}"/>
    <cellStyle name="_방동_산양리지구_율동자연공원내 휴게편의점 도색작업-할증-천정면적추가_진해자은수량산출서(단지내)_취합_설계서-1" xfId="403" xr:uid="{00000000-0005-0000-0000-00000F080000}"/>
    <cellStyle name="_방동_산양리지구_율동자연공원내 휴게편의점 도색작업-할증-천정면적추가_진해자은수량산출서(단지내)_취합_설계서-1_00-설계서,원가계산,내역서" xfId="404" xr:uid="{00000000-0005-0000-0000-000010080000}"/>
    <cellStyle name="_방동_산양리지구_이문동구간중랑천변녹화사업(수량산출서, 071127)-최종" xfId="405" xr:uid="{00000000-0005-0000-0000-000011080000}"/>
    <cellStyle name="_방동_산양리지구_이문동구간중랑천변녹화사업(수량산출서, 071127)-최종_00-설계서,원가계산,내역서" xfId="406" xr:uid="{00000000-0005-0000-0000-000012080000}"/>
    <cellStyle name="_방동_산양리지구_진해자은수량산출서(단지내)" xfId="407" xr:uid="{00000000-0005-0000-0000-000013080000}"/>
    <cellStyle name="_방동_산양리지구_진해자은수량산출서(단지내)_00-설계서,원가계산,내역서" xfId="408" xr:uid="{00000000-0005-0000-0000-000014080000}"/>
    <cellStyle name="_방동_산양리지구_진해자은수량산출서(단지내)_기초산출표-56-128-최종" xfId="409" xr:uid="{00000000-0005-0000-0000-000015080000}"/>
    <cellStyle name="_방동_산양리지구_진해자은수량산출서(단지내)_기초산출표-56-128-최종_00-설계서,원가계산,내역서" xfId="410" xr:uid="{00000000-0005-0000-0000-000016080000}"/>
    <cellStyle name="_방동_산양리지구_진해자은수량산출서(단지내)_기초산출표-56-128-최종_설계서-1" xfId="411" xr:uid="{00000000-0005-0000-0000-000017080000}"/>
    <cellStyle name="_방동_산양리지구_진해자은수량산출서(단지내)_기초산출표-56-128-최종_설계서-1_00-설계서,원가계산,내역서" xfId="412" xr:uid="{00000000-0005-0000-0000-000018080000}"/>
    <cellStyle name="_방동_산양리지구_진해자은수량산출서(단지내)_설계서-1" xfId="413" xr:uid="{00000000-0005-0000-0000-000019080000}"/>
    <cellStyle name="_방동_산양리지구_진해자은수량산출서(단지내)_설계서-1_00-설계서,원가계산,내역서" xfId="414" xr:uid="{00000000-0005-0000-0000-00001A080000}"/>
    <cellStyle name="_방동_산양리지구_진해자은수량산출서(단지내)_취합" xfId="415" xr:uid="{00000000-0005-0000-0000-00001B080000}"/>
    <cellStyle name="_방동_산양리지구_진해자은수량산출서(단지내)_취합_00-설계서,원가계산,내역서" xfId="416" xr:uid="{00000000-0005-0000-0000-00001C080000}"/>
    <cellStyle name="_방동_산양리지구_진해자은수량산출서(단지내)_취합_설계서-1" xfId="417" xr:uid="{00000000-0005-0000-0000-00001D080000}"/>
    <cellStyle name="_방동_산양리지구_진해자은수량산출서(단지내)_취합_설계서-1_00-설계서,원가계산,내역서" xfId="418" xr:uid="{00000000-0005-0000-0000-00001E080000}"/>
    <cellStyle name="_방동_산양리지구_포장" xfId="419" xr:uid="{00000000-0005-0000-0000-00001F080000}"/>
    <cellStyle name="_방동_산양리지구_포장_00-설계서,원가계산,내역서" xfId="420" xr:uid="{00000000-0005-0000-0000-000020080000}"/>
    <cellStyle name="_방동_산양리지구_포장_라멘교 토공" xfId="421" xr:uid="{00000000-0005-0000-0000-000021080000}"/>
    <cellStyle name="_방동_산양리지구_포장_라멘교 토공_00-설계서,원가계산,내역서" xfId="422" xr:uid="{00000000-0005-0000-0000-000022080000}"/>
    <cellStyle name="_방동_서상2리" xfId="423" xr:uid="{00000000-0005-0000-0000-000023080000}"/>
    <cellStyle name="_방동_서상2리_00-설계서,원가계산,내역서" xfId="424" xr:uid="{00000000-0005-0000-0000-000024080000}"/>
    <cellStyle name="_방동_서상2리_내역서-최종0223" xfId="425" xr:uid="{00000000-0005-0000-0000-000025080000}"/>
    <cellStyle name="_방동_서상2리_내역서-최종0223_00-설계서,원가계산,내역서" xfId="426" xr:uid="{00000000-0005-0000-0000-000026080000}"/>
    <cellStyle name="_방동_서상2리_내역서-최종0223_설계서-1" xfId="427" xr:uid="{00000000-0005-0000-0000-000027080000}"/>
    <cellStyle name="_방동_서상2리_내역서-최종0223_설계서-1_00-설계서,원가계산,내역서" xfId="428" xr:uid="{00000000-0005-0000-0000-000028080000}"/>
    <cellStyle name="_방동_서상2리_내역서-최종0223_진해자은수량산출서(단지내)" xfId="429" xr:uid="{00000000-0005-0000-0000-000029080000}"/>
    <cellStyle name="_방동_서상2리_내역서-최종0223_진해자은수량산출서(단지내)_00-설계서,원가계산,내역서" xfId="430" xr:uid="{00000000-0005-0000-0000-00002A080000}"/>
    <cellStyle name="_방동_서상2리_내역서-최종0223_진해자은수량산출서(단지내)_기초산출표-56-128-최종" xfId="431" xr:uid="{00000000-0005-0000-0000-00002B080000}"/>
    <cellStyle name="_방동_서상2리_내역서-최종0223_진해자은수량산출서(단지내)_기초산출표-56-128-최종_00-설계서,원가계산,내역서" xfId="432" xr:uid="{00000000-0005-0000-0000-00002C080000}"/>
    <cellStyle name="_방동_서상2리_내역서-최종0223_진해자은수량산출서(단지내)_기초산출표-56-128-최종_설계서-1" xfId="433" xr:uid="{00000000-0005-0000-0000-00002D080000}"/>
    <cellStyle name="_방동_서상2리_내역서-최종0223_진해자은수량산출서(단지내)_기초산출표-56-128-최종_설계서-1_00-설계서,원가계산,내역서" xfId="434" xr:uid="{00000000-0005-0000-0000-00002E080000}"/>
    <cellStyle name="_방동_서상2리_내역서-최종0223_진해자은수량산출서(단지내)_설계서-1" xfId="435" xr:uid="{00000000-0005-0000-0000-00002F080000}"/>
    <cellStyle name="_방동_서상2리_내역서-최종0223_진해자은수량산출서(단지내)_설계서-1_00-설계서,원가계산,내역서" xfId="436" xr:uid="{00000000-0005-0000-0000-000030080000}"/>
    <cellStyle name="_방동_서상2리_내역서-최종0223_진해자은수량산출서(단지내)_취합" xfId="437" xr:uid="{00000000-0005-0000-0000-000031080000}"/>
    <cellStyle name="_방동_서상2리_내역서-최종0223_진해자은수량산출서(단지내)_취합_00-설계서,원가계산,내역서" xfId="438" xr:uid="{00000000-0005-0000-0000-000032080000}"/>
    <cellStyle name="_방동_서상2리_내역서-최종0223_진해자은수량산출서(단지내)_취합_설계서-1" xfId="439" xr:uid="{00000000-0005-0000-0000-000033080000}"/>
    <cellStyle name="_방동_서상2리_내역서-최종0223_진해자은수량산출서(단지내)_취합_설계서-1_00-설계서,원가계산,내역서" xfId="440" xr:uid="{00000000-0005-0000-0000-000034080000}"/>
    <cellStyle name="_방동_서상2리_라멘교 토공" xfId="441" xr:uid="{00000000-0005-0000-0000-000035080000}"/>
    <cellStyle name="_방동_서상2리_라멘교 토공_00-설계서,원가계산,내역서" xfId="442" xr:uid="{00000000-0005-0000-0000-000036080000}"/>
    <cellStyle name="_방동_서상2리_설계서-1" xfId="443" xr:uid="{00000000-0005-0000-0000-000037080000}"/>
    <cellStyle name="_방동_서상2리_설계서-1_00-설계서,원가계산,내역서" xfId="444" xr:uid="{00000000-0005-0000-0000-000038080000}"/>
    <cellStyle name="_방동_서상2리_율동자연공원내 화장실 보수 및 도색공사" xfId="445" xr:uid="{00000000-0005-0000-0000-000039080000}"/>
    <cellStyle name="_방동_서상2리_율동자연공원내 화장실 보수 및 도색공사_00-설계서,원가계산,내역서" xfId="446" xr:uid="{00000000-0005-0000-0000-00003A080000}"/>
    <cellStyle name="_방동_서상2리_율동자연공원내 화장실 보수 및 도색공사_내역서-최종0223" xfId="447" xr:uid="{00000000-0005-0000-0000-00003B080000}"/>
    <cellStyle name="_방동_서상2리_율동자연공원내 화장실 보수 및 도색공사_내역서-최종0223_00-설계서,원가계산,내역서" xfId="448" xr:uid="{00000000-0005-0000-0000-00003C080000}"/>
    <cellStyle name="_방동_서상2리_율동자연공원내 화장실 보수 및 도색공사_내역서-최종0223_설계서-1" xfId="449" xr:uid="{00000000-0005-0000-0000-00003D080000}"/>
    <cellStyle name="_방동_서상2리_율동자연공원내 화장실 보수 및 도색공사_내역서-최종0223_설계서-1_00-설계서,원가계산,내역서" xfId="450" xr:uid="{00000000-0005-0000-0000-00003E080000}"/>
    <cellStyle name="_방동_서상2리_율동자연공원내 화장실 보수 및 도색공사_내역서-최종0223_진해자은수량산출서(단지내)" xfId="451" xr:uid="{00000000-0005-0000-0000-00003F080000}"/>
    <cellStyle name="_방동_서상2리_율동자연공원내 화장실 보수 및 도색공사_내역서-최종0223_진해자은수량산출서(단지내)_00-설계서,원가계산,내역서" xfId="452" xr:uid="{00000000-0005-0000-0000-000040080000}"/>
    <cellStyle name="_방동_서상2리_율동자연공원내 화장실 보수 및 도색공사_내역서-최종0223_진해자은수량산출서(단지내)_기초산출표-56-128-최종" xfId="453" xr:uid="{00000000-0005-0000-0000-000041080000}"/>
    <cellStyle name="_방동_서상2리_율동자연공원내 화장실 보수 및 도색공사_내역서-최종0223_진해자은수량산출서(단지내)_기초산출표-56-128-최종_00-설계서,원가계산,내역서" xfId="454" xr:uid="{00000000-0005-0000-0000-000042080000}"/>
    <cellStyle name="_방동_서상2리_율동자연공원내 화장실 보수 및 도색공사_내역서-최종0223_진해자은수량산출서(단지내)_기초산출표-56-128-최종_설계서-1" xfId="455" xr:uid="{00000000-0005-0000-0000-000043080000}"/>
    <cellStyle name="_방동_서상2리_율동자연공원내 화장실 보수 및 도색공사_내역서-최종0223_진해자은수량산출서(단지내)_기초산출표-56-128-최종_설계서-1_00-설계서,원가계산,내역서" xfId="456" xr:uid="{00000000-0005-0000-0000-000044080000}"/>
    <cellStyle name="_방동_서상2리_율동자연공원내 화장실 보수 및 도색공사_내역서-최종0223_진해자은수량산출서(단지내)_설계서-1" xfId="457" xr:uid="{00000000-0005-0000-0000-000045080000}"/>
    <cellStyle name="_방동_서상2리_율동자연공원내 화장실 보수 및 도색공사_내역서-최종0223_진해자은수량산출서(단지내)_설계서-1_00-설계서,원가계산,내역서" xfId="458" xr:uid="{00000000-0005-0000-0000-000046080000}"/>
    <cellStyle name="_방동_서상2리_율동자연공원내 화장실 보수 및 도색공사_내역서-최종0223_진해자은수량산출서(단지내)_취합" xfId="459" xr:uid="{00000000-0005-0000-0000-000047080000}"/>
    <cellStyle name="_방동_서상2리_율동자연공원내 화장실 보수 및 도색공사_내역서-최종0223_진해자은수량산출서(단지내)_취합_00-설계서,원가계산,내역서" xfId="460" xr:uid="{00000000-0005-0000-0000-000048080000}"/>
    <cellStyle name="_방동_서상2리_율동자연공원내 화장실 보수 및 도색공사_내역서-최종0223_진해자은수량산출서(단지내)_취합_설계서-1" xfId="461" xr:uid="{00000000-0005-0000-0000-000049080000}"/>
    <cellStyle name="_방동_서상2리_율동자연공원내 화장실 보수 및 도색공사_내역서-최종0223_진해자은수량산출서(단지내)_취합_설계서-1_00-설계서,원가계산,내역서" xfId="462" xr:uid="{00000000-0005-0000-0000-00004A080000}"/>
    <cellStyle name="_방동_서상2리_율동자연공원내 화장실 보수 및 도색공사_설계서-1" xfId="463" xr:uid="{00000000-0005-0000-0000-00004B080000}"/>
    <cellStyle name="_방동_서상2리_율동자연공원내 화장실 보수 및 도색공사_설계서-1_00-설계서,원가계산,내역서" xfId="464" xr:uid="{00000000-0005-0000-0000-00004C080000}"/>
    <cellStyle name="_방동_서상2리_율동자연공원내 화장실 보수 및 도색공사_진해자은수량산출서(단지내)" xfId="465" xr:uid="{00000000-0005-0000-0000-00004D080000}"/>
    <cellStyle name="_방동_서상2리_율동자연공원내 화장실 보수 및 도색공사_진해자은수량산출서(단지내)_00-설계서,원가계산,내역서" xfId="466" xr:uid="{00000000-0005-0000-0000-00004E080000}"/>
    <cellStyle name="_방동_서상2리_율동자연공원내 화장실 보수 및 도색공사_진해자은수량산출서(단지내)_기초산출표-56-128-최종" xfId="467" xr:uid="{00000000-0005-0000-0000-00004F080000}"/>
    <cellStyle name="_방동_서상2리_율동자연공원내 화장실 보수 및 도색공사_진해자은수량산출서(단지내)_기초산출표-56-128-최종_00-설계서,원가계산,내역서" xfId="468" xr:uid="{00000000-0005-0000-0000-000050080000}"/>
    <cellStyle name="_방동_서상2리_율동자연공원내 화장실 보수 및 도색공사_진해자은수량산출서(단지내)_기초산출표-56-128-최종_설계서-1" xfId="469" xr:uid="{00000000-0005-0000-0000-000051080000}"/>
    <cellStyle name="_방동_서상2리_율동자연공원내 화장실 보수 및 도색공사_진해자은수량산출서(단지내)_기초산출표-56-128-최종_설계서-1_00-설계서,원가계산,내역서" xfId="470" xr:uid="{00000000-0005-0000-0000-000052080000}"/>
    <cellStyle name="_방동_서상2리_율동자연공원내 화장실 보수 및 도색공사_진해자은수량산출서(단지내)_설계서-1" xfId="471" xr:uid="{00000000-0005-0000-0000-000053080000}"/>
    <cellStyle name="_방동_서상2리_율동자연공원내 화장실 보수 및 도색공사_진해자은수량산출서(단지내)_설계서-1_00-설계서,원가계산,내역서" xfId="472" xr:uid="{00000000-0005-0000-0000-000054080000}"/>
    <cellStyle name="_방동_서상2리_율동자연공원내 화장실 보수 및 도색공사_진해자은수량산출서(단지내)_취합" xfId="473" xr:uid="{00000000-0005-0000-0000-000055080000}"/>
    <cellStyle name="_방동_서상2리_율동자연공원내 화장실 보수 및 도색공사_진해자은수량산출서(단지내)_취합_00-설계서,원가계산,내역서" xfId="474" xr:uid="{00000000-0005-0000-0000-000056080000}"/>
    <cellStyle name="_방동_서상2리_율동자연공원내 화장실 보수 및 도색공사_진해자은수량산출서(단지내)_취합_설계서-1" xfId="475" xr:uid="{00000000-0005-0000-0000-000057080000}"/>
    <cellStyle name="_방동_서상2리_율동자연공원내 화장실 보수 및 도색공사_진해자은수량산출서(단지내)_취합_설계서-1_00-설계서,원가계산,내역서" xfId="476" xr:uid="{00000000-0005-0000-0000-000058080000}"/>
    <cellStyle name="_방동_서상2리_율동자연공원내 휴게편의점 도색작업-할증-천정면적추가" xfId="477" xr:uid="{00000000-0005-0000-0000-000059080000}"/>
    <cellStyle name="_방동_서상2리_율동자연공원내 휴게편의점 도색작업-할증-천정면적추가_00-설계서,원가계산,내역서" xfId="478" xr:uid="{00000000-0005-0000-0000-00005A080000}"/>
    <cellStyle name="_방동_서상2리_율동자연공원내 휴게편의점 도색작업-할증-천정면적추가_내역서-최종0223" xfId="479" xr:uid="{00000000-0005-0000-0000-00005B080000}"/>
    <cellStyle name="_방동_서상2리_율동자연공원내 휴게편의점 도색작업-할증-천정면적추가_내역서-최종0223_00-설계서,원가계산,내역서" xfId="480" xr:uid="{00000000-0005-0000-0000-00005C080000}"/>
    <cellStyle name="_방동_서상2리_율동자연공원내 휴게편의점 도색작업-할증-천정면적추가_내역서-최종0223_설계서-1" xfId="481" xr:uid="{00000000-0005-0000-0000-00005D080000}"/>
    <cellStyle name="_방동_서상2리_율동자연공원내 휴게편의점 도색작업-할증-천정면적추가_내역서-최종0223_설계서-1_00-설계서,원가계산,내역서" xfId="482" xr:uid="{00000000-0005-0000-0000-00005E080000}"/>
    <cellStyle name="_방동_서상2리_율동자연공원내 휴게편의점 도색작업-할증-천정면적추가_내역서-최종0223_진해자은수량산출서(단지내)" xfId="483" xr:uid="{00000000-0005-0000-0000-00005F080000}"/>
    <cellStyle name="_방동_서상2리_율동자연공원내 휴게편의점 도색작업-할증-천정면적추가_내역서-최종0223_진해자은수량산출서(단지내)_00-설계서,원가계산,내역서" xfId="484" xr:uid="{00000000-0005-0000-0000-000060080000}"/>
    <cellStyle name="_방동_서상2리_율동자연공원내 휴게편의점 도색작업-할증-천정면적추가_내역서-최종0223_진해자은수량산출서(단지내)_기초산출표-56-128-최종" xfId="485" xr:uid="{00000000-0005-0000-0000-000061080000}"/>
    <cellStyle name="_방동_서상2리_율동자연공원내 휴게편의점 도색작업-할증-천정면적추가_내역서-최종0223_진해자은수량산출서(단지내)_기초산출표-56-128-최종_00-설계서,원가계산,내역서" xfId="486" xr:uid="{00000000-0005-0000-0000-000062080000}"/>
    <cellStyle name="_방동_서상2리_율동자연공원내 휴게편의점 도색작업-할증-천정면적추가_내역서-최종0223_진해자은수량산출서(단지내)_기초산출표-56-128-최종_설계서-1" xfId="487" xr:uid="{00000000-0005-0000-0000-000063080000}"/>
    <cellStyle name="_방동_서상2리_율동자연공원내 휴게편의점 도색작업-할증-천정면적추가_내역서-최종0223_진해자은수량산출서(단지내)_기초산출표-56-128-최종_설계서-1_00-설계서,원가계산,내역서" xfId="488" xr:uid="{00000000-0005-0000-0000-000064080000}"/>
    <cellStyle name="_방동_서상2리_율동자연공원내 휴게편의점 도색작업-할증-천정면적추가_내역서-최종0223_진해자은수량산출서(단지내)_설계서-1" xfId="489" xr:uid="{00000000-0005-0000-0000-000065080000}"/>
    <cellStyle name="_방동_서상2리_율동자연공원내 휴게편의점 도색작업-할증-천정면적추가_내역서-최종0223_진해자은수량산출서(단지내)_설계서-1_00-설계서,원가계산,내역서" xfId="490" xr:uid="{00000000-0005-0000-0000-000066080000}"/>
    <cellStyle name="_방동_서상2리_율동자연공원내 휴게편의점 도색작업-할증-천정면적추가_내역서-최종0223_진해자은수량산출서(단지내)_취합" xfId="491" xr:uid="{00000000-0005-0000-0000-000067080000}"/>
    <cellStyle name="_방동_서상2리_율동자연공원내 휴게편의점 도색작업-할증-천정면적추가_내역서-최종0223_진해자은수량산출서(단지내)_취합_00-설계서,원가계산,내역서" xfId="492" xr:uid="{00000000-0005-0000-0000-000068080000}"/>
    <cellStyle name="_방동_서상2리_율동자연공원내 휴게편의점 도색작업-할증-천정면적추가_내역서-최종0223_진해자은수량산출서(단지내)_취합_설계서-1" xfId="493" xr:uid="{00000000-0005-0000-0000-000069080000}"/>
    <cellStyle name="_방동_서상2리_율동자연공원내 휴게편의점 도색작업-할증-천정면적추가_내역서-최종0223_진해자은수량산출서(단지내)_취합_설계서-1_00-설계서,원가계산,내역서" xfId="494" xr:uid="{00000000-0005-0000-0000-00006A080000}"/>
    <cellStyle name="_방동_서상2리_율동자연공원내 휴게편의점 도색작업-할증-천정면적추가_설계서-1" xfId="495" xr:uid="{00000000-0005-0000-0000-00006B080000}"/>
    <cellStyle name="_방동_서상2리_율동자연공원내 휴게편의점 도색작업-할증-천정면적추가_설계서-1_00-설계서,원가계산,내역서" xfId="496" xr:uid="{00000000-0005-0000-0000-00006C080000}"/>
    <cellStyle name="_방동_서상2리_율동자연공원내 휴게편의점 도색작업-할증-천정면적추가_진해자은수량산출서(단지내)" xfId="497" xr:uid="{00000000-0005-0000-0000-00006D080000}"/>
    <cellStyle name="_방동_서상2리_율동자연공원내 휴게편의점 도색작업-할증-천정면적추가_진해자은수량산출서(단지내)_00-설계서,원가계산,내역서" xfId="498" xr:uid="{00000000-0005-0000-0000-00006E080000}"/>
    <cellStyle name="_방동_서상2리_율동자연공원내 휴게편의점 도색작업-할증-천정면적추가_진해자은수량산출서(단지내)_기초산출표-56-128-최종" xfId="499" xr:uid="{00000000-0005-0000-0000-00006F080000}"/>
    <cellStyle name="_방동_서상2리_율동자연공원내 휴게편의점 도색작업-할증-천정면적추가_진해자은수량산출서(단지내)_기초산출표-56-128-최종_00-설계서,원가계산,내역서" xfId="500" xr:uid="{00000000-0005-0000-0000-000070080000}"/>
    <cellStyle name="_방동_서상2리_율동자연공원내 휴게편의점 도색작업-할증-천정면적추가_진해자은수량산출서(단지내)_기초산출표-56-128-최종_설계서-1" xfId="501" xr:uid="{00000000-0005-0000-0000-000071080000}"/>
    <cellStyle name="_방동_서상2리_율동자연공원내 휴게편의점 도색작업-할증-천정면적추가_진해자은수량산출서(단지내)_기초산출표-56-128-최종_설계서-1_00-설계서,원가계산,내역서" xfId="502" xr:uid="{00000000-0005-0000-0000-000072080000}"/>
    <cellStyle name="_방동_서상2리_율동자연공원내 휴게편의점 도색작업-할증-천정면적추가_진해자은수량산출서(단지내)_설계서-1" xfId="503" xr:uid="{00000000-0005-0000-0000-000073080000}"/>
    <cellStyle name="_방동_서상2리_율동자연공원내 휴게편의점 도색작업-할증-천정면적추가_진해자은수량산출서(단지내)_설계서-1_00-설계서,원가계산,내역서" xfId="504" xr:uid="{00000000-0005-0000-0000-000074080000}"/>
    <cellStyle name="_방동_서상2리_율동자연공원내 휴게편의점 도색작업-할증-천정면적추가_진해자은수량산출서(단지내)_취합" xfId="505" xr:uid="{00000000-0005-0000-0000-000075080000}"/>
    <cellStyle name="_방동_서상2리_율동자연공원내 휴게편의점 도색작업-할증-천정면적추가_진해자은수량산출서(단지내)_취합_00-설계서,원가계산,내역서" xfId="506" xr:uid="{00000000-0005-0000-0000-000076080000}"/>
    <cellStyle name="_방동_서상2리_율동자연공원내 휴게편의점 도색작업-할증-천정면적추가_진해자은수량산출서(단지내)_취합_설계서-1" xfId="507" xr:uid="{00000000-0005-0000-0000-000077080000}"/>
    <cellStyle name="_방동_서상2리_율동자연공원내 휴게편의점 도색작업-할증-천정면적추가_진해자은수량산출서(단지내)_취합_설계서-1_00-설계서,원가계산,내역서" xfId="508" xr:uid="{00000000-0005-0000-0000-000078080000}"/>
    <cellStyle name="_방동_서상2리_이문동구간중랑천변녹화사업(수량산출서, 071127)-최종" xfId="509" xr:uid="{00000000-0005-0000-0000-000079080000}"/>
    <cellStyle name="_방동_서상2리_이문동구간중랑천변녹화사업(수량산출서, 071127)-최종_00-설계서,원가계산,내역서" xfId="510" xr:uid="{00000000-0005-0000-0000-00007A080000}"/>
    <cellStyle name="_방동_서상2리_진해자은수량산출서(단지내)" xfId="511" xr:uid="{00000000-0005-0000-0000-00007B080000}"/>
    <cellStyle name="_방동_서상2리_진해자은수량산출서(단지내)_00-설계서,원가계산,내역서" xfId="512" xr:uid="{00000000-0005-0000-0000-00007C080000}"/>
    <cellStyle name="_방동_서상2리_진해자은수량산출서(단지내)_기초산출표-56-128-최종" xfId="513" xr:uid="{00000000-0005-0000-0000-00007D080000}"/>
    <cellStyle name="_방동_서상2리_진해자은수량산출서(단지내)_기초산출표-56-128-최종_00-설계서,원가계산,내역서" xfId="514" xr:uid="{00000000-0005-0000-0000-00007E080000}"/>
    <cellStyle name="_방동_서상2리_진해자은수량산출서(단지내)_기초산출표-56-128-최종_설계서-1" xfId="515" xr:uid="{00000000-0005-0000-0000-00007F080000}"/>
    <cellStyle name="_방동_서상2리_진해자은수량산출서(단지내)_기초산출표-56-128-최종_설계서-1_00-설계서,원가계산,내역서" xfId="516" xr:uid="{00000000-0005-0000-0000-000080080000}"/>
    <cellStyle name="_방동_서상2리_진해자은수량산출서(단지내)_설계서-1" xfId="517" xr:uid="{00000000-0005-0000-0000-000081080000}"/>
    <cellStyle name="_방동_서상2리_진해자은수량산출서(단지내)_설계서-1_00-설계서,원가계산,내역서" xfId="518" xr:uid="{00000000-0005-0000-0000-000082080000}"/>
    <cellStyle name="_방동_서상2리_진해자은수량산출서(단지내)_취합" xfId="519" xr:uid="{00000000-0005-0000-0000-000083080000}"/>
    <cellStyle name="_방동_서상2리_진해자은수량산출서(단지내)_취합_00-설계서,원가계산,내역서" xfId="520" xr:uid="{00000000-0005-0000-0000-000084080000}"/>
    <cellStyle name="_방동_서상2리_진해자은수량산출서(단지내)_취합_설계서-1" xfId="521" xr:uid="{00000000-0005-0000-0000-000085080000}"/>
    <cellStyle name="_방동_서상2리_진해자은수량산출서(단지내)_취합_설계서-1_00-설계서,원가계산,내역서" xfId="522" xr:uid="{00000000-0005-0000-0000-000086080000}"/>
    <cellStyle name="_방동_서상2리_포장" xfId="523" xr:uid="{00000000-0005-0000-0000-000087080000}"/>
    <cellStyle name="_방동_서상2리_포장_00-설계서,원가계산,내역서" xfId="524" xr:uid="{00000000-0005-0000-0000-000088080000}"/>
    <cellStyle name="_방동_서상2리_포장_라멘교 토공" xfId="525" xr:uid="{00000000-0005-0000-0000-000089080000}"/>
    <cellStyle name="_방동_서상2리_포장_라멘교 토공_00-설계서,원가계산,내역서" xfId="526" xr:uid="{00000000-0005-0000-0000-00008A080000}"/>
    <cellStyle name="_방동_설계서-1" xfId="527" xr:uid="{00000000-0005-0000-0000-00008B080000}"/>
    <cellStyle name="_방동_설계서-1_00-설계서,원가계산,내역서" xfId="528" xr:uid="{00000000-0005-0000-0000-00008C080000}"/>
    <cellStyle name="_방동_오항" xfId="529" xr:uid="{00000000-0005-0000-0000-00008D080000}"/>
    <cellStyle name="_방동_오항_00-설계서,원가계산,내역서" xfId="530" xr:uid="{00000000-0005-0000-0000-00008E080000}"/>
    <cellStyle name="_방동_오항_라멘교 토공" xfId="531" xr:uid="{00000000-0005-0000-0000-00008F080000}"/>
    <cellStyle name="_방동_오항_라멘교 토공_00-설계서,원가계산,내역서" xfId="532" xr:uid="{00000000-0005-0000-0000-000090080000}"/>
    <cellStyle name="_방동_오항_포장" xfId="533" xr:uid="{00000000-0005-0000-0000-000091080000}"/>
    <cellStyle name="_방동_오항_포장_00-설계서,원가계산,내역서" xfId="534" xr:uid="{00000000-0005-0000-0000-000092080000}"/>
    <cellStyle name="_방동_오항_포장_라멘교 토공" xfId="535" xr:uid="{00000000-0005-0000-0000-000093080000}"/>
    <cellStyle name="_방동_오항_포장_라멘교 토공_00-설계서,원가계산,내역서" xfId="536" xr:uid="{00000000-0005-0000-0000-000094080000}"/>
    <cellStyle name="_방동_원평" xfId="537" xr:uid="{00000000-0005-0000-0000-000095080000}"/>
    <cellStyle name="_방동_원평_00-설계서,원가계산,내역서" xfId="538" xr:uid="{00000000-0005-0000-0000-000096080000}"/>
    <cellStyle name="_방동_원평_내역서-최종0223" xfId="539" xr:uid="{00000000-0005-0000-0000-000097080000}"/>
    <cellStyle name="_방동_원평_내역서-최종0223_00-설계서,원가계산,내역서" xfId="540" xr:uid="{00000000-0005-0000-0000-000098080000}"/>
    <cellStyle name="_방동_원평_내역서-최종0223_설계서-1" xfId="541" xr:uid="{00000000-0005-0000-0000-000099080000}"/>
    <cellStyle name="_방동_원평_내역서-최종0223_설계서-1_00-설계서,원가계산,내역서" xfId="542" xr:uid="{00000000-0005-0000-0000-00009A080000}"/>
    <cellStyle name="_방동_원평_내역서-최종0223_진해자은수량산출서(단지내)" xfId="543" xr:uid="{00000000-0005-0000-0000-00009B080000}"/>
    <cellStyle name="_방동_원평_내역서-최종0223_진해자은수량산출서(단지내)_00-설계서,원가계산,내역서" xfId="544" xr:uid="{00000000-0005-0000-0000-00009C080000}"/>
    <cellStyle name="_방동_원평_내역서-최종0223_진해자은수량산출서(단지내)_기초산출표-56-128-최종" xfId="545" xr:uid="{00000000-0005-0000-0000-00009D080000}"/>
    <cellStyle name="_방동_원평_내역서-최종0223_진해자은수량산출서(단지내)_기초산출표-56-128-최종_00-설계서,원가계산,내역서" xfId="546" xr:uid="{00000000-0005-0000-0000-00009E080000}"/>
    <cellStyle name="_방동_원평_내역서-최종0223_진해자은수량산출서(단지내)_기초산출표-56-128-최종_설계서-1" xfId="547" xr:uid="{00000000-0005-0000-0000-00009F080000}"/>
    <cellStyle name="_방동_원평_내역서-최종0223_진해자은수량산출서(단지내)_기초산출표-56-128-최종_설계서-1_00-설계서,원가계산,내역서" xfId="548" xr:uid="{00000000-0005-0000-0000-0000A0080000}"/>
    <cellStyle name="_방동_원평_내역서-최종0223_진해자은수량산출서(단지내)_설계서-1" xfId="549" xr:uid="{00000000-0005-0000-0000-0000A1080000}"/>
    <cellStyle name="_방동_원평_내역서-최종0223_진해자은수량산출서(단지내)_설계서-1_00-설계서,원가계산,내역서" xfId="550" xr:uid="{00000000-0005-0000-0000-0000A2080000}"/>
    <cellStyle name="_방동_원평_내역서-최종0223_진해자은수량산출서(단지내)_취합" xfId="551" xr:uid="{00000000-0005-0000-0000-0000A3080000}"/>
    <cellStyle name="_방동_원평_내역서-최종0223_진해자은수량산출서(단지내)_취합_00-설계서,원가계산,내역서" xfId="552" xr:uid="{00000000-0005-0000-0000-0000A4080000}"/>
    <cellStyle name="_방동_원평_내역서-최종0223_진해자은수량산출서(단지내)_취합_설계서-1" xfId="553" xr:uid="{00000000-0005-0000-0000-0000A5080000}"/>
    <cellStyle name="_방동_원평_내역서-최종0223_진해자은수량산출서(단지내)_취합_설계서-1_00-설계서,원가계산,내역서" xfId="554" xr:uid="{00000000-0005-0000-0000-0000A6080000}"/>
    <cellStyle name="_방동_원평_라멘교 토공" xfId="555" xr:uid="{00000000-0005-0000-0000-0000A7080000}"/>
    <cellStyle name="_방동_원평_라멘교 토공_00-설계서,원가계산,내역서" xfId="556" xr:uid="{00000000-0005-0000-0000-0000A8080000}"/>
    <cellStyle name="_방동_원평_설계서-1" xfId="557" xr:uid="{00000000-0005-0000-0000-0000A9080000}"/>
    <cellStyle name="_방동_원평_설계서-1_00-설계서,원가계산,내역서" xfId="558" xr:uid="{00000000-0005-0000-0000-0000AA080000}"/>
    <cellStyle name="_방동_원평_율동자연공원내 화장실 보수 및 도색공사" xfId="559" xr:uid="{00000000-0005-0000-0000-0000AB080000}"/>
    <cellStyle name="_방동_원평_율동자연공원내 화장실 보수 및 도색공사_00-설계서,원가계산,내역서" xfId="560" xr:uid="{00000000-0005-0000-0000-0000AC080000}"/>
    <cellStyle name="_방동_원평_율동자연공원내 화장실 보수 및 도색공사_내역서-최종0223" xfId="561" xr:uid="{00000000-0005-0000-0000-0000AD080000}"/>
    <cellStyle name="_방동_원평_율동자연공원내 화장실 보수 및 도색공사_내역서-최종0223_00-설계서,원가계산,내역서" xfId="562" xr:uid="{00000000-0005-0000-0000-0000AE080000}"/>
    <cellStyle name="_방동_원평_율동자연공원내 화장실 보수 및 도색공사_내역서-최종0223_설계서-1" xfId="563" xr:uid="{00000000-0005-0000-0000-0000AF080000}"/>
    <cellStyle name="_방동_원평_율동자연공원내 화장실 보수 및 도색공사_내역서-최종0223_설계서-1_00-설계서,원가계산,내역서" xfId="564" xr:uid="{00000000-0005-0000-0000-0000B0080000}"/>
    <cellStyle name="_방동_원평_율동자연공원내 화장실 보수 및 도색공사_내역서-최종0223_진해자은수량산출서(단지내)" xfId="565" xr:uid="{00000000-0005-0000-0000-0000B1080000}"/>
    <cellStyle name="_방동_원평_율동자연공원내 화장실 보수 및 도색공사_내역서-최종0223_진해자은수량산출서(단지내)_00-설계서,원가계산,내역서" xfId="566" xr:uid="{00000000-0005-0000-0000-0000B2080000}"/>
    <cellStyle name="_방동_원평_율동자연공원내 화장실 보수 및 도색공사_내역서-최종0223_진해자은수량산출서(단지내)_기초산출표-56-128-최종" xfId="567" xr:uid="{00000000-0005-0000-0000-0000B3080000}"/>
    <cellStyle name="_방동_원평_율동자연공원내 화장실 보수 및 도색공사_내역서-최종0223_진해자은수량산출서(단지내)_기초산출표-56-128-최종_00-설계서,원가계산,내역서" xfId="568" xr:uid="{00000000-0005-0000-0000-0000B4080000}"/>
    <cellStyle name="_방동_원평_율동자연공원내 화장실 보수 및 도색공사_내역서-최종0223_진해자은수량산출서(단지내)_기초산출표-56-128-최종_설계서-1" xfId="569" xr:uid="{00000000-0005-0000-0000-0000B5080000}"/>
    <cellStyle name="_방동_원평_율동자연공원내 화장실 보수 및 도색공사_내역서-최종0223_진해자은수량산출서(단지내)_기초산출표-56-128-최종_설계서-1_00-설계서,원가계산,내역서" xfId="570" xr:uid="{00000000-0005-0000-0000-0000B6080000}"/>
    <cellStyle name="_방동_원평_율동자연공원내 화장실 보수 및 도색공사_내역서-최종0223_진해자은수량산출서(단지내)_설계서-1" xfId="571" xr:uid="{00000000-0005-0000-0000-0000B7080000}"/>
    <cellStyle name="_방동_원평_율동자연공원내 화장실 보수 및 도색공사_내역서-최종0223_진해자은수량산출서(단지내)_설계서-1_00-설계서,원가계산,내역서" xfId="572" xr:uid="{00000000-0005-0000-0000-0000B8080000}"/>
    <cellStyle name="_방동_원평_율동자연공원내 화장실 보수 및 도색공사_내역서-최종0223_진해자은수량산출서(단지내)_취합" xfId="573" xr:uid="{00000000-0005-0000-0000-0000B9080000}"/>
    <cellStyle name="_방동_원평_율동자연공원내 화장실 보수 및 도색공사_내역서-최종0223_진해자은수량산출서(단지내)_취합_00-설계서,원가계산,내역서" xfId="574" xr:uid="{00000000-0005-0000-0000-0000BA080000}"/>
    <cellStyle name="_방동_원평_율동자연공원내 화장실 보수 및 도색공사_내역서-최종0223_진해자은수량산출서(단지내)_취합_설계서-1" xfId="575" xr:uid="{00000000-0005-0000-0000-0000BB080000}"/>
    <cellStyle name="_방동_원평_율동자연공원내 화장실 보수 및 도색공사_내역서-최종0223_진해자은수량산출서(단지내)_취합_설계서-1_00-설계서,원가계산,내역서" xfId="576" xr:uid="{00000000-0005-0000-0000-0000BC080000}"/>
    <cellStyle name="_방동_원평_율동자연공원내 화장실 보수 및 도색공사_설계서-1" xfId="577" xr:uid="{00000000-0005-0000-0000-0000BD080000}"/>
    <cellStyle name="_방동_원평_율동자연공원내 화장실 보수 및 도색공사_설계서-1_00-설계서,원가계산,내역서" xfId="578" xr:uid="{00000000-0005-0000-0000-0000BE080000}"/>
    <cellStyle name="_방동_원평_율동자연공원내 화장실 보수 및 도색공사_진해자은수량산출서(단지내)" xfId="579" xr:uid="{00000000-0005-0000-0000-0000BF080000}"/>
    <cellStyle name="_방동_원평_율동자연공원내 화장실 보수 및 도색공사_진해자은수량산출서(단지내)_00-설계서,원가계산,내역서" xfId="580" xr:uid="{00000000-0005-0000-0000-0000C0080000}"/>
    <cellStyle name="_방동_원평_율동자연공원내 화장실 보수 및 도색공사_진해자은수량산출서(단지내)_기초산출표-56-128-최종" xfId="581" xr:uid="{00000000-0005-0000-0000-0000C1080000}"/>
    <cellStyle name="_방동_원평_율동자연공원내 화장실 보수 및 도색공사_진해자은수량산출서(단지내)_기초산출표-56-128-최종_00-설계서,원가계산,내역서" xfId="582" xr:uid="{00000000-0005-0000-0000-0000C2080000}"/>
    <cellStyle name="_방동_원평_율동자연공원내 화장실 보수 및 도색공사_진해자은수량산출서(단지내)_기초산출표-56-128-최종_설계서-1" xfId="583" xr:uid="{00000000-0005-0000-0000-0000C3080000}"/>
    <cellStyle name="_방동_원평_율동자연공원내 화장실 보수 및 도색공사_진해자은수량산출서(단지내)_기초산출표-56-128-최종_설계서-1_00-설계서,원가계산,내역서" xfId="584" xr:uid="{00000000-0005-0000-0000-0000C4080000}"/>
    <cellStyle name="_방동_원평_율동자연공원내 화장실 보수 및 도색공사_진해자은수량산출서(단지내)_설계서-1" xfId="585" xr:uid="{00000000-0005-0000-0000-0000C5080000}"/>
    <cellStyle name="_방동_원평_율동자연공원내 화장실 보수 및 도색공사_진해자은수량산출서(단지내)_설계서-1_00-설계서,원가계산,내역서" xfId="586" xr:uid="{00000000-0005-0000-0000-0000C6080000}"/>
    <cellStyle name="_방동_원평_율동자연공원내 화장실 보수 및 도색공사_진해자은수량산출서(단지내)_취합" xfId="587" xr:uid="{00000000-0005-0000-0000-0000C7080000}"/>
    <cellStyle name="_방동_원평_율동자연공원내 화장실 보수 및 도색공사_진해자은수량산출서(단지내)_취합_00-설계서,원가계산,내역서" xfId="588" xr:uid="{00000000-0005-0000-0000-0000C8080000}"/>
    <cellStyle name="_방동_원평_율동자연공원내 화장실 보수 및 도색공사_진해자은수량산출서(단지내)_취합_설계서-1" xfId="589" xr:uid="{00000000-0005-0000-0000-0000C9080000}"/>
    <cellStyle name="_방동_원평_율동자연공원내 화장실 보수 및 도색공사_진해자은수량산출서(단지내)_취합_설계서-1_00-설계서,원가계산,내역서" xfId="590" xr:uid="{00000000-0005-0000-0000-0000CA080000}"/>
    <cellStyle name="_방동_원평_율동자연공원내 휴게편의점 도색작업-할증-천정면적추가" xfId="591" xr:uid="{00000000-0005-0000-0000-0000CB080000}"/>
    <cellStyle name="_방동_원평_율동자연공원내 휴게편의점 도색작업-할증-천정면적추가_00-설계서,원가계산,내역서" xfId="592" xr:uid="{00000000-0005-0000-0000-0000CC080000}"/>
    <cellStyle name="_방동_원평_율동자연공원내 휴게편의점 도색작업-할증-천정면적추가_내역서-최종0223" xfId="593" xr:uid="{00000000-0005-0000-0000-0000CD080000}"/>
    <cellStyle name="_방동_원평_율동자연공원내 휴게편의점 도색작업-할증-천정면적추가_내역서-최종0223_00-설계서,원가계산,내역서" xfId="594" xr:uid="{00000000-0005-0000-0000-0000CE080000}"/>
    <cellStyle name="_방동_원평_율동자연공원내 휴게편의점 도색작업-할증-천정면적추가_내역서-최종0223_설계서-1" xfId="595" xr:uid="{00000000-0005-0000-0000-0000CF080000}"/>
    <cellStyle name="_방동_원평_율동자연공원내 휴게편의점 도색작업-할증-천정면적추가_내역서-최종0223_설계서-1_00-설계서,원가계산,내역서" xfId="596" xr:uid="{00000000-0005-0000-0000-0000D0080000}"/>
    <cellStyle name="_방동_원평_율동자연공원내 휴게편의점 도색작업-할증-천정면적추가_내역서-최종0223_진해자은수량산출서(단지내)" xfId="597" xr:uid="{00000000-0005-0000-0000-0000D1080000}"/>
    <cellStyle name="_방동_원평_율동자연공원내 휴게편의점 도색작업-할증-천정면적추가_내역서-최종0223_진해자은수량산출서(단지내)_00-설계서,원가계산,내역서" xfId="598" xr:uid="{00000000-0005-0000-0000-0000D2080000}"/>
    <cellStyle name="_방동_원평_율동자연공원내 휴게편의점 도색작업-할증-천정면적추가_내역서-최종0223_진해자은수량산출서(단지내)_기초산출표-56-128-최종" xfId="599" xr:uid="{00000000-0005-0000-0000-0000D3080000}"/>
    <cellStyle name="_방동_원평_율동자연공원내 휴게편의점 도색작업-할증-천정면적추가_내역서-최종0223_진해자은수량산출서(단지내)_기초산출표-56-128-최종_00-설계서,원가계산,내역서" xfId="600" xr:uid="{00000000-0005-0000-0000-0000D4080000}"/>
    <cellStyle name="_방동_원평_율동자연공원내 휴게편의점 도색작업-할증-천정면적추가_내역서-최종0223_진해자은수량산출서(단지내)_기초산출표-56-128-최종_설계서-1" xfId="601" xr:uid="{00000000-0005-0000-0000-0000D5080000}"/>
    <cellStyle name="_방동_원평_율동자연공원내 휴게편의점 도색작업-할증-천정면적추가_내역서-최종0223_진해자은수량산출서(단지내)_기초산출표-56-128-최종_설계서-1_00-설계서,원가계산,내역서" xfId="602" xr:uid="{00000000-0005-0000-0000-0000D6080000}"/>
    <cellStyle name="_방동_원평_율동자연공원내 휴게편의점 도색작업-할증-천정면적추가_내역서-최종0223_진해자은수량산출서(단지내)_설계서-1" xfId="603" xr:uid="{00000000-0005-0000-0000-0000D7080000}"/>
    <cellStyle name="_방동_원평_율동자연공원내 휴게편의점 도색작업-할증-천정면적추가_내역서-최종0223_진해자은수량산출서(단지내)_설계서-1_00-설계서,원가계산,내역서" xfId="604" xr:uid="{00000000-0005-0000-0000-0000D8080000}"/>
    <cellStyle name="_방동_원평_율동자연공원내 휴게편의점 도색작업-할증-천정면적추가_내역서-최종0223_진해자은수량산출서(단지내)_취합" xfId="605" xr:uid="{00000000-0005-0000-0000-0000D9080000}"/>
    <cellStyle name="_방동_원평_율동자연공원내 휴게편의점 도색작업-할증-천정면적추가_내역서-최종0223_진해자은수량산출서(단지내)_취합_00-설계서,원가계산,내역서" xfId="606" xr:uid="{00000000-0005-0000-0000-0000DA080000}"/>
    <cellStyle name="_방동_원평_율동자연공원내 휴게편의점 도색작업-할증-천정면적추가_내역서-최종0223_진해자은수량산출서(단지내)_취합_설계서-1" xfId="607" xr:uid="{00000000-0005-0000-0000-0000DB080000}"/>
    <cellStyle name="_방동_원평_율동자연공원내 휴게편의점 도색작업-할증-천정면적추가_내역서-최종0223_진해자은수량산출서(단지내)_취합_설계서-1_00-설계서,원가계산,내역서" xfId="608" xr:uid="{00000000-0005-0000-0000-0000DC080000}"/>
    <cellStyle name="_방동_원평_율동자연공원내 휴게편의점 도색작업-할증-천정면적추가_설계서-1" xfId="609" xr:uid="{00000000-0005-0000-0000-0000DD080000}"/>
    <cellStyle name="_방동_원평_율동자연공원내 휴게편의점 도색작업-할증-천정면적추가_설계서-1_00-설계서,원가계산,내역서" xfId="610" xr:uid="{00000000-0005-0000-0000-0000DE080000}"/>
    <cellStyle name="_방동_원평_율동자연공원내 휴게편의점 도색작업-할증-천정면적추가_진해자은수량산출서(단지내)" xfId="611" xr:uid="{00000000-0005-0000-0000-0000DF080000}"/>
    <cellStyle name="_방동_원평_율동자연공원내 휴게편의점 도색작업-할증-천정면적추가_진해자은수량산출서(단지내)_00-설계서,원가계산,내역서" xfId="612" xr:uid="{00000000-0005-0000-0000-0000E0080000}"/>
    <cellStyle name="_방동_원평_율동자연공원내 휴게편의점 도색작업-할증-천정면적추가_진해자은수량산출서(단지내)_기초산출표-56-128-최종" xfId="613" xr:uid="{00000000-0005-0000-0000-0000E1080000}"/>
    <cellStyle name="_방동_원평_율동자연공원내 휴게편의점 도색작업-할증-천정면적추가_진해자은수량산출서(단지내)_기초산출표-56-128-최종_00-설계서,원가계산,내역서" xfId="614" xr:uid="{00000000-0005-0000-0000-0000E2080000}"/>
    <cellStyle name="_방동_원평_율동자연공원내 휴게편의점 도색작업-할증-천정면적추가_진해자은수량산출서(단지내)_기초산출표-56-128-최종_설계서-1" xfId="615" xr:uid="{00000000-0005-0000-0000-0000E3080000}"/>
    <cellStyle name="_방동_원평_율동자연공원내 휴게편의점 도색작업-할증-천정면적추가_진해자은수량산출서(단지내)_기초산출표-56-128-최종_설계서-1_00-설계서,원가계산,내역서" xfId="616" xr:uid="{00000000-0005-0000-0000-0000E4080000}"/>
    <cellStyle name="_방동_원평_율동자연공원내 휴게편의점 도색작업-할증-천정면적추가_진해자은수량산출서(단지내)_설계서-1" xfId="617" xr:uid="{00000000-0005-0000-0000-0000E5080000}"/>
    <cellStyle name="_방동_원평_율동자연공원내 휴게편의점 도색작업-할증-천정면적추가_진해자은수량산출서(단지내)_설계서-1_00-설계서,원가계산,내역서" xfId="618" xr:uid="{00000000-0005-0000-0000-0000E6080000}"/>
    <cellStyle name="_방동_원평_율동자연공원내 휴게편의점 도색작업-할증-천정면적추가_진해자은수량산출서(단지내)_취합" xfId="619" xr:uid="{00000000-0005-0000-0000-0000E7080000}"/>
    <cellStyle name="_방동_원평_율동자연공원내 휴게편의점 도색작업-할증-천정면적추가_진해자은수량산출서(단지내)_취합_00-설계서,원가계산,내역서" xfId="620" xr:uid="{00000000-0005-0000-0000-0000E8080000}"/>
    <cellStyle name="_방동_원평_율동자연공원내 휴게편의점 도색작업-할증-천정면적추가_진해자은수량산출서(단지내)_취합_설계서-1" xfId="621" xr:uid="{00000000-0005-0000-0000-0000E9080000}"/>
    <cellStyle name="_방동_원평_율동자연공원내 휴게편의점 도색작업-할증-천정면적추가_진해자은수량산출서(단지내)_취합_설계서-1_00-설계서,원가계산,내역서" xfId="622" xr:uid="{00000000-0005-0000-0000-0000EA080000}"/>
    <cellStyle name="_방동_원평_이문동구간중랑천변녹화사업(수량산출서, 071127)-최종" xfId="623" xr:uid="{00000000-0005-0000-0000-0000EB080000}"/>
    <cellStyle name="_방동_원평_이문동구간중랑천변녹화사업(수량산출서, 071127)-최종_00-설계서,원가계산,내역서" xfId="624" xr:uid="{00000000-0005-0000-0000-0000EC080000}"/>
    <cellStyle name="_방동_원평_진해자은수량산출서(단지내)" xfId="625" xr:uid="{00000000-0005-0000-0000-0000ED080000}"/>
    <cellStyle name="_방동_원평_진해자은수량산출서(단지내)_00-설계서,원가계산,내역서" xfId="626" xr:uid="{00000000-0005-0000-0000-0000EE080000}"/>
    <cellStyle name="_방동_원평_진해자은수량산출서(단지내)_기초산출표-56-128-최종" xfId="627" xr:uid="{00000000-0005-0000-0000-0000EF080000}"/>
    <cellStyle name="_방동_원평_진해자은수량산출서(단지내)_기초산출표-56-128-최종_00-설계서,원가계산,내역서" xfId="628" xr:uid="{00000000-0005-0000-0000-0000F0080000}"/>
    <cellStyle name="_방동_원평_진해자은수량산출서(단지내)_기초산출표-56-128-최종_설계서-1" xfId="629" xr:uid="{00000000-0005-0000-0000-0000F1080000}"/>
    <cellStyle name="_방동_원평_진해자은수량산출서(단지내)_기초산출표-56-128-최종_설계서-1_00-설계서,원가계산,내역서" xfId="630" xr:uid="{00000000-0005-0000-0000-0000F2080000}"/>
    <cellStyle name="_방동_원평_진해자은수량산출서(단지내)_설계서-1" xfId="631" xr:uid="{00000000-0005-0000-0000-0000F3080000}"/>
    <cellStyle name="_방동_원평_진해자은수량산출서(단지내)_설계서-1_00-설계서,원가계산,내역서" xfId="632" xr:uid="{00000000-0005-0000-0000-0000F4080000}"/>
    <cellStyle name="_방동_원평_진해자은수량산출서(단지내)_취합" xfId="633" xr:uid="{00000000-0005-0000-0000-0000F5080000}"/>
    <cellStyle name="_방동_원평_진해자은수량산출서(단지내)_취합_00-설계서,원가계산,내역서" xfId="634" xr:uid="{00000000-0005-0000-0000-0000F6080000}"/>
    <cellStyle name="_방동_원평_진해자은수량산출서(단지내)_취합_설계서-1" xfId="635" xr:uid="{00000000-0005-0000-0000-0000F7080000}"/>
    <cellStyle name="_방동_원평_진해자은수량산출서(단지내)_취합_설계서-1_00-설계서,원가계산,내역서" xfId="636" xr:uid="{00000000-0005-0000-0000-0000F8080000}"/>
    <cellStyle name="_방동_원평_포장" xfId="637" xr:uid="{00000000-0005-0000-0000-0000F9080000}"/>
    <cellStyle name="_방동_원평_포장_00-설계서,원가계산,내역서" xfId="638" xr:uid="{00000000-0005-0000-0000-0000FA080000}"/>
    <cellStyle name="_방동_원평_포장_라멘교 토공" xfId="639" xr:uid="{00000000-0005-0000-0000-0000FB080000}"/>
    <cellStyle name="_방동_원평_포장_라멘교 토공_00-설계서,원가계산,내역서" xfId="640" xr:uid="{00000000-0005-0000-0000-0000FC080000}"/>
    <cellStyle name="_방동_율동자연공원내 화장실 보수 및 도색공사" xfId="641" xr:uid="{00000000-0005-0000-0000-0000FD080000}"/>
    <cellStyle name="_방동_율동자연공원내 화장실 보수 및 도색공사_00-설계서,원가계산,내역서" xfId="642" xr:uid="{00000000-0005-0000-0000-0000FE080000}"/>
    <cellStyle name="_방동_율동자연공원내 화장실 보수 및 도색공사_내역서-최종0223" xfId="643" xr:uid="{00000000-0005-0000-0000-0000FF080000}"/>
    <cellStyle name="_방동_율동자연공원내 화장실 보수 및 도색공사_내역서-최종0223_00-설계서,원가계산,내역서" xfId="644" xr:uid="{00000000-0005-0000-0000-000000090000}"/>
    <cellStyle name="_방동_율동자연공원내 화장실 보수 및 도색공사_내역서-최종0223_설계서-1" xfId="645" xr:uid="{00000000-0005-0000-0000-000001090000}"/>
    <cellStyle name="_방동_율동자연공원내 화장실 보수 및 도색공사_내역서-최종0223_설계서-1_00-설계서,원가계산,내역서" xfId="646" xr:uid="{00000000-0005-0000-0000-000002090000}"/>
    <cellStyle name="_방동_율동자연공원내 화장실 보수 및 도색공사_내역서-최종0223_진해자은수량산출서(단지내)" xfId="647" xr:uid="{00000000-0005-0000-0000-000003090000}"/>
    <cellStyle name="_방동_율동자연공원내 화장실 보수 및 도색공사_내역서-최종0223_진해자은수량산출서(단지내)_00-설계서,원가계산,내역서" xfId="648" xr:uid="{00000000-0005-0000-0000-000004090000}"/>
    <cellStyle name="_방동_율동자연공원내 화장실 보수 및 도색공사_내역서-최종0223_진해자은수량산출서(단지내)_기초산출표-56-128-최종" xfId="649" xr:uid="{00000000-0005-0000-0000-000005090000}"/>
    <cellStyle name="_방동_율동자연공원내 화장실 보수 및 도색공사_내역서-최종0223_진해자은수량산출서(단지내)_기초산출표-56-128-최종_00-설계서,원가계산,내역서" xfId="650" xr:uid="{00000000-0005-0000-0000-000006090000}"/>
    <cellStyle name="_방동_율동자연공원내 화장실 보수 및 도색공사_내역서-최종0223_진해자은수량산출서(단지내)_기초산출표-56-128-최종_설계서-1" xfId="651" xr:uid="{00000000-0005-0000-0000-000007090000}"/>
    <cellStyle name="_방동_율동자연공원내 화장실 보수 및 도색공사_내역서-최종0223_진해자은수량산출서(단지내)_기초산출표-56-128-최종_설계서-1_00-설계서,원가계산,내역서" xfId="652" xr:uid="{00000000-0005-0000-0000-000008090000}"/>
    <cellStyle name="_방동_율동자연공원내 화장실 보수 및 도색공사_내역서-최종0223_진해자은수량산출서(단지내)_설계서-1" xfId="653" xr:uid="{00000000-0005-0000-0000-000009090000}"/>
    <cellStyle name="_방동_율동자연공원내 화장실 보수 및 도색공사_내역서-최종0223_진해자은수량산출서(단지내)_설계서-1_00-설계서,원가계산,내역서" xfId="654" xr:uid="{00000000-0005-0000-0000-00000A090000}"/>
    <cellStyle name="_방동_율동자연공원내 화장실 보수 및 도색공사_내역서-최종0223_진해자은수량산출서(단지내)_취합" xfId="655" xr:uid="{00000000-0005-0000-0000-00000B090000}"/>
    <cellStyle name="_방동_율동자연공원내 화장실 보수 및 도색공사_내역서-최종0223_진해자은수량산출서(단지내)_취합_00-설계서,원가계산,내역서" xfId="656" xr:uid="{00000000-0005-0000-0000-00000C090000}"/>
    <cellStyle name="_방동_율동자연공원내 화장실 보수 및 도색공사_내역서-최종0223_진해자은수량산출서(단지내)_취합_설계서-1" xfId="657" xr:uid="{00000000-0005-0000-0000-00000D090000}"/>
    <cellStyle name="_방동_율동자연공원내 화장실 보수 및 도색공사_내역서-최종0223_진해자은수량산출서(단지내)_취합_설계서-1_00-설계서,원가계산,내역서" xfId="658" xr:uid="{00000000-0005-0000-0000-00000E090000}"/>
    <cellStyle name="_방동_율동자연공원내 화장실 보수 및 도색공사_설계서-1" xfId="659" xr:uid="{00000000-0005-0000-0000-00000F090000}"/>
    <cellStyle name="_방동_율동자연공원내 화장실 보수 및 도색공사_설계서-1_00-설계서,원가계산,내역서" xfId="660" xr:uid="{00000000-0005-0000-0000-000010090000}"/>
    <cellStyle name="_방동_율동자연공원내 화장실 보수 및 도색공사_진해자은수량산출서(단지내)" xfId="661" xr:uid="{00000000-0005-0000-0000-000011090000}"/>
    <cellStyle name="_방동_율동자연공원내 화장실 보수 및 도색공사_진해자은수량산출서(단지내)_00-설계서,원가계산,내역서" xfId="662" xr:uid="{00000000-0005-0000-0000-000012090000}"/>
    <cellStyle name="_방동_율동자연공원내 화장실 보수 및 도색공사_진해자은수량산출서(단지내)_기초산출표-56-128-최종" xfId="663" xr:uid="{00000000-0005-0000-0000-000013090000}"/>
    <cellStyle name="_방동_율동자연공원내 화장실 보수 및 도색공사_진해자은수량산출서(단지내)_기초산출표-56-128-최종_00-설계서,원가계산,내역서" xfId="664" xr:uid="{00000000-0005-0000-0000-000014090000}"/>
    <cellStyle name="_방동_율동자연공원내 화장실 보수 및 도색공사_진해자은수량산출서(단지내)_기초산출표-56-128-최종_설계서-1" xfId="665" xr:uid="{00000000-0005-0000-0000-000015090000}"/>
    <cellStyle name="_방동_율동자연공원내 화장실 보수 및 도색공사_진해자은수량산출서(단지내)_기초산출표-56-128-최종_설계서-1_00-설계서,원가계산,내역서" xfId="666" xr:uid="{00000000-0005-0000-0000-000016090000}"/>
    <cellStyle name="_방동_율동자연공원내 화장실 보수 및 도색공사_진해자은수량산출서(단지내)_설계서-1" xfId="667" xr:uid="{00000000-0005-0000-0000-000017090000}"/>
    <cellStyle name="_방동_율동자연공원내 화장실 보수 및 도색공사_진해자은수량산출서(단지내)_설계서-1_00-설계서,원가계산,내역서" xfId="668" xr:uid="{00000000-0005-0000-0000-000018090000}"/>
    <cellStyle name="_방동_율동자연공원내 화장실 보수 및 도색공사_진해자은수량산출서(단지내)_취합" xfId="669" xr:uid="{00000000-0005-0000-0000-000019090000}"/>
    <cellStyle name="_방동_율동자연공원내 화장실 보수 및 도색공사_진해자은수량산출서(단지내)_취합_00-설계서,원가계산,내역서" xfId="670" xr:uid="{00000000-0005-0000-0000-00001A090000}"/>
    <cellStyle name="_방동_율동자연공원내 화장실 보수 및 도색공사_진해자은수량산출서(단지내)_취합_설계서-1" xfId="671" xr:uid="{00000000-0005-0000-0000-00001B090000}"/>
    <cellStyle name="_방동_율동자연공원내 화장실 보수 및 도색공사_진해자은수량산출서(단지내)_취합_설계서-1_00-설계서,원가계산,내역서" xfId="672" xr:uid="{00000000-0005-0000-0000-00001C090000}"/>
    <cellStyle name="_방동_율동자연공원내 휴게편의점 도색작업-할증-천정면적추가" xfId="673" xr:uid="{00000000-0005-0000-0000-00001D090000}"/>
    <cellStyle name="_방동_율동자연공원내 휴게편의점 도색작업-할증-천정면적추가_00-설계서,원가계산,내역서" xfId="674" xr:uid="{00000000-0005-0000-0000-00001E090000}"/>
    <cellStyle name="_방동_율동자연공원내 휴게편의점 도색작업-할증-천정면적추가_내역서-최종0223" xfId="675" xr:uid="{00000000-0005-0000-0000-00001F090000}"/>
    <cellStyle name="_방동_율동자연공원내 휴게편의점 도색작업-할증-천정면적추가_내역서-최종0223_00-설계서,원가계산,내역서" xfId="676" xr:uid="{00000000-0005-0000-0000-000020090000}"/>
    <cellStyle name="_방동_율동자연공원내 휴게편의점 도색작업-할증-천정면적추가_내역서-최종0223_설계서-1" xfId="677" xr:uid="{00000000-0005-0000-0000-000021090000}"/>
    <cellStyle name="_방동_율동자연공원내 휴게편의점 도색작업-할증-천정면적추가_내역서-최종0223_설계서-1_00-설계서,원가계산,내역서" xfId="678" xr:uid="{00000000-0005-0000-0000-000022090000}"/>
    <cellStyle name="_방동_율동자연공원내 휴게편의점 도색작업-할증-천정면적추가_내역서-최종0223_진해자은수량산출서(단지내)" xfId="679" xr:uid="{00000000-0005-0000-0000-000023090000}"/>
    <cellStyle name="_방동_율동자연공원내 휴게편의점 도색작업-할증-천정면적추가_내역서-최종0223_진해자은수량산출서(단지내)_00-설계서,원가계산,내역서" xfId="680" xr:uid="{00000000-0005-0000-0000-000024090000}"/>
    <cellStyle name="_방동_율동자연공원내 휴게편의점 도색작업-할증-천정면적추가_내역서-최종0223_진해자은수량산출서(단지내)_기초산출표-56-128-최종" xfId="681" xr:uid="{00000000-0005-0000-0000-000025090000}"/>
    <cellStyle name="_방동_율동자연공원내 휴게편의점 도색작업-할증-천정면적추가_내역서-최종0223_진해자은수량산출서(단지내)_기초산출표-56-128-최종_00-설계서,원가계산,내역서" xfId="682" xr:uid="{00000000-0005-0000-0000-000026090000}"/>
    <cellStyle name="_방동_율동자연공원내 휴게편의점 도색작업-할증-천정면적추가_내역서-최종0223_진해자은수량산출서(단지내)_기초산출표-56-128-최종_설계서-1" xfId="683" xr:uid="{00000000-0005-0000-0000-000027090000}"/>
    <cellStyle name="_방동_율동자연공원내 휴게편의점 도색작업-할증-천정면적추가_내역서-최종0223_진해자은수량산출서(단지내)_기초산출표-56-128-최종_설계서-1_00-설계서,원가계산,내역서" xfId="684" xr:uid="{00000000-0005-0000-0000-000028090000}"/>
    <cellStyle name="_방동_율동자연공원내 휴게편의점 도색작업-할증-천정면적추가_내역서-최종0223_진해자은수량산출서(단지내)_설계서-1" xfId="685" xr:uid="{00000000-0005-0000-0000-000029090000}"/>
    <cellStyle name="_방동_율동자연공원내 휴게편의점 도색작업-할증-천정면적추가_내역서-최종0223_진해자은수량산출서(단지내)_설계서-1_00-설계서,원가계산,내역서" xfId="686" xr:uid="{00000000-0005-0000-0000-00002A090000}"/>
    <cellStyle name="_방동_율동자연공원내 휴게편의점 도색작업-할증-천정면적추가_내역서-최종0223_진해자은수량산출서(단지내)_취합" xfId="687" xr:uid="{00000000-0005-0000-0000-00002B090000}"/>
    <cellStyle name="_방동_율동자연공원내 휴게편의점 도색작업-할증-천정면적추가_내역서-최종0223_진해자은수량산출서(단지내)_취합_00-설계서,원가계산,내역서" xfId="688" xr:uid="{00000000-0005-0000-0000-00002C090000}"/>
    <cellStyle name="_방동_율동자연공원내 휴게편의점 도색작업-할증-천정면적추가_내역서-최종0223_진해자은수량산출서(단지내)_취합_설계서-1" xfId="689" xr:uid="{00000000-0005-0000-0000-00002D090000}"/>
    <cellStyle name="_방동_율동자연공원내 휴게편의점 도색작업-할증-천정면적추가_내역서-최종0223_진해자은수량산출서(단지내)_취합_설계서-1_00-설계서,원가계산,내역서" xfId="690" xr:uid="{00000000-0005-0000-0000-00002E090000}"/>
    <cellStyle name="_방동_율동자연공원내 휴게편의점 도색작업-할증-천정면적추가_설계서-1" xfId="691" xr:uid="{00000000-0005-0000-0000-00002F090000}"/>
    <cellStyle name="_방동_율동자연공원내 휴게편의점 도색작업-할증-천정면적추가_설계서-1_00-설계서,원가계산,내역서" xfId="692" xr:uid="{00000000-0005-0000-0000-000030090000}"/>
    <cellStyle name="_방동_율동자연공원내 휴게편의점 도색작업-할증-천정면적추가_진해자은수량산출서(단지내)" xfId="693" xr:uid="{00000000-0005-0000-0000-000031090000}"/>
    <cellStyle name="_방동_율동자연공원내 휴게편의점 도색작업-할증-천정면적추가_진해자은수량산출서(단지내)_00-설계서,원가계산,내역서" xfId="694" xr:uid="{00000000-0005-0000-0000-000032090000}"/>
    <cellStyle name="_방동_율동자연공원내 휴게편의점 도색작업-할증-천정면적추가_진해자은수량산출서(단지내)_기초산출표-56-128-최종" xfId="695" xr:uid="{00000000-0005-0000-0000-000033090000}"/>
    <cellStyle name="_방동_율동자연공원내 휴게편의점 도색작업-할증-천정면적추가_진해자은수량산출서(단지내)_기초산출표-56-128-최종_00-설계서,원가계산,내역서" xfId="696" xr:uid="{00000000-0005-0000-0000-000034090000}"/>
    <cellStyle name="_방동_율동자연공원내 휴게편의점 도색작업-할증-천정면적추가_진해자은수량산출서(단지내)_기초산출표-56-128-최종_설계서-1" xfId="697" xr:uid="{00000000-0005-0000-0000-000035090000}"/>
    <cellStyle name="_방동_율동자연공원내 휴게편의점 도색작업-할증-천정면적추가_진해자은수량산출서(단지내)_기초산출표-56-128-최종_설계서-1_00-설계서,원가계산,내역서" xfId="698" xr:uid="{00000000-0005-0000-0000-000036090000}"/>
    <cellStyle name="_방동_율동자연공원내 휴게편의점 도색작업-할증-천정면적추가_진해자은수량산출서(단지내)_설계서-1" xfId="699" xr:uid="{00000000-0005-0000-0000-000037090000}"/>
    <cellStyle name="_방동_율동자연공원내 휴게편의점 도색작업-할증-천정면적추가_진해자은수량산출서(단지내)_설계서-1_00-설계서,원가계산,내역서" xfId="700" xr:uid="{00000000-0005-0000-0000-000038090000}"/>
    <cellStyle name="_방동_율동자연공원내 휴게편의점 도색작업-할증-천정면적추가_진해자은수량산출서(단지내)_취합" xfId="701" xr:uid="{00000000-0005-0000-0000-000039090000}"/>
    <cellStyle name="_방동_율동자연공원내 휴게편의점 도색작업-할증-천정면적추가_진해자은수량산출서(단지내)_취합_00-설계서,원가계산,내역서" xfId="702" xr:uid="{00000000-0005-0000-0000-00003A090000}"/>
    <cellStyle name="_방동_율동자연공원내 휴게편의점 도색작업-할증-천정면적추가_진해자은수량산출서(단지내)_취합_설계서-1" xfId="703" xr:uid="{00000000-0005-0000-0000-00003B090000}"/>
    <cellStyle name="_방동_율동자연공원내 휴게편의점 도색작업-할증-천정면적추가_진해자은수량산출서(단지내)_취합_설계서-1_00-설계서,원가계산,내역서" xfId="704" xr:uid="{00000000-0005-0000-0000-00003C090000}"/>
    <cellStyle name="_방동_이문동구간중랑천변녹화사업(수량산출서, 071127)-최종" xfId="705" xr:uid="{00000000-0005-0000-0000-00003D090000}"/>
    <cellStyle name="_방동_이문동구간중랑천변녹화사업(수량산출서, 071127)-최종_00-설계서,원가계산,내역서" xfId="706" xr:uid="{00000000-0005-0000-0000-00003E090000}"/>
    <cellStyle name="_방동_진해자은수량산출서(단지내)" xfId="707" xr:uid="{00000000-0005-0000-0000-00003F090000}"/>
    <cellStyle name="_방동_진해자은수량산출서(단지내)_00-설계서,원가계산,내역서" xfId="708" xr:uid="{00000000-0005-0000-0000-000040090000}"/>
    <cellStyle name="_방동_진해자은수량산출서(단지내)_기초산출표-56-128-최종" xfId="709" xr:uid="{00000000-0005-0000-0000-000041090000}"/>
    <cellStyle name="_방동_진해자은수량산출서(단지내)_기초산출표-56-128-최종_00-설계서,원가계산,내역서" xfId="710" xr:uid="{00000000-0005-0000-0000-000042090000}"/>
    <cellStyle name="_방동_진해자은수량산출서(단지내)_기초산출표-56-128-최종_설계서-1" xfId="711" xr:uid="{00000000-0005-0000-0000-000043090000}"/>
    <cellStyle name="_방동_진해자은수량산출서(단지내)_기초산출표-56-128-최종_설계서-1_00-설계서,원가계산,내역서" xfId="712" xr:uid="{00000000-0005-0000-0000-000044090000}"/>
    <cellStyle name="_방동_진해자은수량산출서(단지내)_설계서-1" xfId="713" xr:uid="{00000000-0005-0000-0000-000045090000}"/>
    <cellStyle name="_방동_진해자은수량산출서(단지내)_설계서-1_00-설계서,원가계산,내역서" xfId="714" xr:uid="{00000000-0005-0000-0000-000046090000}"/>
    <cellStyle name="_방동_진해자은수량산출서(단지내)_취합" xfId="715" xr:uid="{00000000-0005-0000-0000-000047090000}"/>
    <cellStyle name="_방동_진해자은수량산출서(단지내)_취합_00-설계서,원가계산,내역서" xfId="716" xr:uid="{00000000-0005-0000-0000-000048090000}"/>
    <cellStyle name="_방동_진해자은수량산출서(단지내)_취합_설계서-1" xfId="717" xr:uid="{00000000-0005-0000-0000-000049090000}"/>
    <cellStyle name="_방동_진해자은수량산출서(단지내)_취합_설계서-1_00-설계서,원가계산,내역서" xfId="718" xr:uid="{00000000-0005-0000-0000-00004A090000}"/>
    <cellStyle name="_방동_추곡" xfId="719" xr:uid="{00000000-0005-0000-0000-00004B090000}"/>
    <cellStyle name="_방동_추곡_00-설계서,원가계산,내역서" xfId="720" xr:uid="{00000000-0005-0000-0000-00004C090000}"/>
    <cellStyle name="_방동_추곡_내역서-최종0223" xfId="721" xr:uid="{00000000-0005-0000-0000-00004D090000}"/>
    <cellStyle name="_방동_추곡_내역서-최종0223_00-설계서,원가계산,내역서" xfId="722" xr:uid="{00000000-0005-0000-0000-00004E090000}"/>
    <cellStyle name="_방동_추곡_내역서-최종0223_설계서-1" xfId="723" xr:uid="{00000000-0005-0000-0000-00004F090000}"/>
    <cellStyle name="_방동_추곡_내역서-최종0223_설계서-1_00-설계서,원가계산,내역서" xfId="724" xr:uid="{00000000-0005-0000-0000-000050090000}"/>
    <cellStyle name="_방동_추곡_내역서-최종0223_진해자은수량산출서(단지내)" xfId="725" xr:uid="{00000000-0005-0000-0000-000051090000}"/>
    <cellStyle name="_방동_추곡_내역서-최종0223_진해자은수량산출서(단지내)_00-설계서,원가계산,내역서" xfId="726" xr:uid="{00000000-0005-0000-0000-000052090000}"/>
    <cellStyle name="_방동_추곡_내역서-최종0223_진해자은수량산출서(단지내)_기초산출표-56-128-최종" xfId="727" xr:uid="{00000000-0005-0000-0000-000053090000}"/>
    <cellStyle name="_방동_추곡_내역서-최종0223_진해자은수량산출서(단지내)_기초산출표-56-128-최종_00-설계서,원가계산,내역서" xfId="728" xr:uid="{00000000-0005-0000-0000-000054090000}"/>
    <cellStyle name="_방동_추곡_내역서-최종0223_진해자은수량산출서(단지내)_기초산출표-56-128-최종_설계서-1" xfId="729" xr:uid="{00000000-0005-0000-0000-000055090000}"/>
    <cellStyle name="_방동_추곡_내역서-최종0223_진해자은수량산출서(단지내)_기초산출표-56-128-최종_설계서-1_00-설계서,원가계산,내역서" xfId="730" xr:uid="{00000000-0005-0000-0000-000056090000}"/>
    <cellStyle name="_방동_추곡_내역서-최종0223_진해자은수량산출서(단지내)_설계서-1" xfId="731" xr:uid="{00000000-0005-0000-0000-000057090000}"/>
    <cellStyle name="_방동_추곡_내역서-최종0223_진해자은수량산출서(단지내)_설계서-1_00-설계서,원가계산,내역서" xfId="732" xr:uid="{00000000-0005-0000-0000-000058090000}"/>
    <cellStyle name="_방동_추곡_내역서-최종0223_진해자은수량산출서(단지내)_취합" xfId="733" xr:uid="{00000000-0005-0000-0000-000059090000}"/>
    <cellStyle name="_방동_추곡_내역서-최종0223_진해자은수량산출서(단지내)_취합_00-설계서,원가계산,내역서" xfId="734" xr:uid="{00000000-0005-0000-0000-00005A090000}"/>
    <cellStyle name="_방동_추곡_내역서-최종0223_진해자은수량산출서(단지내)_취합_설계서-1" xfId="735" xr:uid="{00000000-0005-0000-0000-00005B090000}"/>
    <cellStyle name="_방동_추곡_내역서-최종0223_진해자은수량산출서(단지내)_취합_설계서-1_00-설계서,원가계산,내역서" xfId="736" xr:uid="{00000000-0005-0000-0000-00005C090000}"/>
    <cellStyle name="_방동_추곡_라멘교 토공" xfId="737" xr:uid="{00000000-0005-0000-0000-00005D090000}"/>
    <cellStyle name="_방동_추곡_라멘교 토공_00-설계서,원가계산,내역서" xfId="738" xr:uid="{00000000-0005-0000-0000-00005E090000}"/>
    <cellStyle name="_방동_추곡_설계서-1" xfId="739" xr:uid="{00000000-0005-0000-0000-00005F090000}"/>
    <cellStyle name="_방동_추곡_설계서-1_00-설계서,원가계산,내역서" xfId="740" xr:uid="{00000000-0005-0000-0000-000060090000}"/>
    <cellStyle name="_방동_추곡_율동자연공원내 화장실 보수 및 도색공사" xfId="741" xr:uid="{00000000-0005-0000-0000-000061090000}"/>
    <cellStyle name="_방동_추곡_율동자연공원내 화장실 보수 및 도색공사_00-설계서,원가계산,내역서" xfId="742" xr:uid="{00000000-0005-0000-0000-000062090000}"/>
    <cellStyle name="_방동_추곡_율동자연공원내 화장실 보수 및 도색공사_내역서-최종0223" xfId="743" xr:uid="{00000000-0005-0000-0000-000063090000}"/>
    <cellStyle name="_방동_추곡_율동자연공원내 화장실 보수 및 도색공사_내역서-최종0223_00-설계서,원가계산,내역서" xfId="744" xr:uid="{00000000-0005-0000-0000-000064090000}"/>
    <cellStyle name="_방동_추곡_율동자연공원내 화장실 보수 및 도색공사_내역서-최종0223_설계서-1" xfId="745" xr:uid="{00000000-0005-0000-0000-000065090000}"/>
    <cellStyle name="_방동_추곡_율동자연공원내 화장실 보수 및 도색공사_내역서-최종0223_설계서-1_00-설계서,원가계산,내역서" xfId="746" xr:uid="{00000000-0005-0000-0000-000066090000}"/>
    <cellStyle name="_방동_추곡_율동자연공원내 화장실 보수 및 도색공사_내역서-최종0223_진해자은수량산출서(단지내)" xfId="747" xr:uid="{00000000-0005-0000-0000-000067090000}"/>
    <cellStyle name="_방동_추곡_율동자연공원내 화장실 보수 및 도색공사_내역서-최종0223_진해자은수량산출서(단지내)_00-설계서,원가계산,내역서" xfId="748" xr:uid="{00000000-0005-0000-0000-000068090000}"/>
    <cellStyle name="_방동_추곡_율동자연공원내 화장실 보수 및 도색공사_내역서-최종0223_진해자은수량산출서(단지내)_기초산출표-56-128-최종" xfId="749" xr:uid="{00000000-0005-0000-0000-000069090000}"/>
    <cellStyle name="_방동_추곡_율동자연공원내 화장실 보수 및 도색공사_내역서-최종0223_진해자은수량산출서(단지내)_기초산출표-56-128-최종_00-설계서,원가계산,내역서" xfId="750" xr:uid="{00000000-0005-0000-0000-00006A090000}"/>
    <cellStyle name="_방동_추곡_율동자연공원내 화장실 보수 및 도색공사_내역서-최종0223_진해자은수량산출서(단지내)_기초산출표-56-128-최종_설계서-1" xfId="751" xr:uid="{00000000-0005-0000-0000-00006B090000}"/>
    <cellStyle name="_방동_추곡_율동자연공원내 화장실 보수 및 도색공사_내역서-최종0223_진해자은수량산출서(단지내)_기초산출표-56-128-최종_설계서-1_00-설계서,원가계산,내역서" xfId="752" xr:uid="{00000000-0005-0000-0000-00006C090000}"/>
    <cellStyle name="_방동_추곡_율동자연공원내 화장실 보수 및 도색공사_내역서-최종0223_진해자은수량산출서(단지내)_설계서-1" xfId="753" xr:uid="{00000000-0005-0000-0000-00006D090000}"/>
    <cellStyle name="_방동_추곡_율동자연공원내 화장실 보수 및 도색공사_내역서-최종0223_진해자은수량산출서(단지내)_설계서-1_00-설계서,원가계산,내역서" xfId="754" xr:uid="{00000000-0005-0000-0000-00006E090000}"/>
    <cellStyle name="_방동_추곡_율동자연공원내 화장실 보수 및 도색공사_내역서-최종0223_진해자은수량산출서(단지내)_취합" xfId="755" xr:uid="{00000000-0005-0000-0000-00006F090000}"/>
    <cellStyle name="_방동_추곡_율동자연공원내 화장실 보수 및 도색공사_내역서-최종0223_진해자은수량산출서(단지내)_취합_00-설계서,원가계산,내역서" xfId="756" xr:uid="{00000000-0005-0000-0000-000070090000}"/>
    <cellStyle name="_방동_추곡_율동자연공원내 화장실 보수 및 도색공사_내역서-최종0223_진해자은수량산출서(단지내)_취합_설계서-1" xfId="757" xr:uid="{00000000-0005-0000-0000-000071090000}"/>
    <cellStyle name="_방동_추곡_율동자연공원내 화장실 보수 및 도색공사_내역서-최종0223_진해자은수량산출서(단지내)_취합_설계서-1_00-설계서,원가계산,내역서" xfId="758" xr:uid="{00000000-0005-0000-0000-000072090000}"/>
    <cellStyle name="_방동_추곡_율동자연공원내 화장실 보수 및 도색공사_설계서-1" xfId="759" xr:uid="{00000000-0005-0000-0000-000073090000}"/>
    <cellStyle name="_방동_추곡_율동자연공원내 화장실 보수 및 도색공사_설계서-1_00-설계서,원가계산,내역서" xfId="760" xr:uid="{00000000-0005-0000-0000-000074090000}"/>
    <cellStyle name="_방동_추곡_율동자연공원내 화장실 보수 및 도색공사_진해자은수량산출서(단지내)" xfId="761" xr:uid="{00000000-0005-0000-0000-000075090000}"/>
    <cellStyle name="_방동_추곡_율동자연공원내 화장실 보수 및 도색공사_진해자은수량산출서(단지내)_00-설계서,원가계산,내역서" xfId="762" xr:uid="{00000000-0005-0000-0000-000076090000}"/>
    <cellStyle name="_방동_추곡_율동자연공원내 화장실 보수 및 도색공사_진해자은수량산출서(단지내)_기초산출표-56-128-최종" xfId="763" xr:uid="{00000000-0005-0000-0000-000077090000}"/>
    <cellStyle name="_방동_추곡_율동자연공원내 화장실 보수 및 도색공사_진해자은수량산출서(단지내)_기초산출표-56-128-최종_00-설계서,원가계산,내역서" xfId="764" xr:uid="{00000000-0005-0000-0000-000078090000}"/>
    <cellStyle name="_방동_추곡_율동자연공원내 화장실 보수 및 도색공사_진해자은수량산출서(단지내)_기초산출표-56-128-최종_설계서-1" xfId="765" xr:uid="{00000000-0005-0000-0000-000079090000}"/>
    <cellStyle name="_방동_추곡_율동자연공원내 화장실 보수 및 도색공사_진해자은수량산출서(단지내)_기초산출표-56-128-최종_설계서-1_00-설계서,원가계산,내역서" xfId="766" xr:uid="{00000000-0005-0000-0000-00007A090000}"/>
    <cellStyle name="_방동_추곡_율동자연공원내 화장실 보수 및 도색공사_진해자은수량산출서(단지내)_설계서-1" xfId="767" xr:uid="{00000000-0005-0000-0000-00007B090000}"/>
    <cellStyle name="_방동_추곡_율동자연공원내 화장실 보수 및 도색공사_진해자은수량산출서(단지내)_설계서-1_00-설계서,원가계산,내역서" xfId="768" xr:uid="{00000000-0005-0000-0000-00007C090000}"/>
    <cellStyle name="_방동_추곡_율동자연공원내 화장실 보수 및 도색공사_진해자은수량산출서(단지내)_취합" xfId="769" xr:uid="{00000000-0005-0000-0000-00007D090000}"/>
    <cellStyle name="_방동_추곡_율동자연공원내 화장실 보수 및 도색공사_진해자은수량산출서(단지내)_취합_00-설계서,원가계산,내역서" xfId="770" xr:uid="{00000000-0005-0000-0000-00007E090000}"/>
    <cellStyle name="_방동_추곡_율동자연공원내 화장실 보수 및 도색공사_진해자은수량산출서(단지내)_취합_설계서-1" xfId="771" xr:uid="{00000000-0005-0000-0000-00007F090000}"/>
    <cellStyle name="_방동_추곡_율동자연공원내 화장실 보수 및 도색공사_진해자은수량산출서(단지내)_취합_설계서-1_00-설계서,원가계산,내역서" xfId="772" xr:uid="{00000000-0005-0000-0000-000080090000}"/>
    <cellStyle name="_방동_추곡_율동자연공원내 휴게편의점 도색작업-할증-천정면적추가" xfId="773" xr:uid="{00000000-0005-0000-0000-000081090000}"/>
    <cellStyle name="_방동_추곡_율동자연공원내 휴게편의점 도색작업-할증-천정면적추가_00-설계서,원가계산,내역서" xfId="774" xr:uid="{00000000-0005-0000-0000-000082090000}"/>
    <cellStyle name="_방동_추곡_율동자연공원내 휴게편의점 도색작업-할증-천정면적추가_내역서-최종0223" xfId="775" xr:uid="{00000000-0005-0000-0000-000083090000}"/>
    <cellStyle name="_방동_추곡_율동자연공원내 휴게편의점 도색작업-할증-천정면적추가_내역서-최종0223_00-설계서,원가계산,내역서" xfId="776" xr:uid="{00000000-0005-0000-0000-000084090000}"/>
    <cellStyle name="_방동_추곡_율동자연공원내 휴게편의점 도색작업-할증-천정면적추가_내역서-최종0223_설계서-1" xfId="777" xr:uid="{00000000-0005-0000-0000-000085090000}"/>
    <cellStyle name="_방동_추곡_율동자연공원내 휴게편의점 도색작업-할증-천정면적추가_내역서-최종0223_설계서-1_00-설계서,원가계산,내역서" xfId="778" xr:uid="{00000000-0005-0000-0000-000086090000}"/>
    <cellStyle name="_방동_추곡_율동자연공원내 휴게편의점 도색작업-할증-천정면적추가_내역서-최종0223_진해자은수량산출서(단지내)" xfId="779" xr:uid="{00000000-0005-0000-0000-000087090000}"/>
    <cellStyle name="_방동_추곡_율동자연공원내 휴게편의점 도색작업-할증-천정면적추가_내역서-최종0223_진해자은수량산출서(단지내)_00-설계서,원가계산,내역서" xfId="780" xr:uid="{00000000-0005-0000-0000-000088090000}"/>
    <cellStyle name="_방동_추곡_율동자연공원내 휴게편의점 도색작업-할증-천정면적추가_내역서-최종0223_진해자은수량산출서(단지내)_기초산출표-56-128-최종" xfId="781" xr:uid="{00000000-0005-0000-0000-000089090000}"/>
    <cellStyle name="_방동_추곡_율동자연공원내 휴게편의점 도색작업-할증-천정면적추가_내역서-최종0223_진해자은수량산출서(단지내)_기초산출표-56-128-최종_00-설계서,원가계산,내역서" xfId="782" xr:uid="{00000000-0005-0000-0000-00008A090000}"/>
    <cellStyle name="_방동_추곡_율동자연공원내 휴게편의점 도색작업-할증-천정면적추가_내역서-최종0223_진해자은수량산출서(단지내)_기초산출표-56-128-최종_설계서-1" xfId="783" xr:uid="{00000000-0005-0000-0000-00008B090000}"/>
    <cellStyle name="_방동_추곡_율동자연공원내 휴게편의점 도색작업-할증-천정면적추가_내역서-최종0223_진해자은수량산출서(단지내)_기초산출표-56-128-최종_설계서-1_00-설계서,원가계산,내역서" xfId="784" xr:uid="{00000000-0005-0000-0000-00008C090000}"/>
    <cellStyle name="_방동_추곡_율동자연공원내 휴게편의점 도색작업-할증-천정면적추가_내역서-최종0223_진해자은수량산출서(단지내)_설계서-1" xfId="785" xr:uid="{00000000-0005-0000-0000-00008D090000}"/>
    <cellStyle name="_방동_추곡_율동자연공원내 휴게편의점 도색작업-할증-천정면적추가_내역서-최종0223_진해자은수량산출서(단지내)_설계서-1_00-설계서,원가계산,내역서" xfId="786" xr:uid="{00000000-0005-0000-0000-00008E090000}"/>
    <cellStyle name="_방동_추곡_율동자연공원내 휴게편의점 도색작업-할증-천정면적추가_내역서-최종0223_진해자은수량산출서(단지내)_취합" xfId="787" xr:uid="{00000000-0005-0000-0000-00008F090000}"/>
    <cellStyle name="_방동_추곡_율동자연공원내 휴게편의점 도색작업-할증-천정면적추가_내역서-최종0223_진해자은수량산출서(단지내)_취합_00-설계서,원가계산,내역서" xfId="788" xr:uid="{00000000-0005-0000-0000-000090090000}"/>
    <cellStyle name="_방동_추곡_율동자연공원내 휴게편의점 도색작업-할증-천정면적추가_내역서-최종0223_진해자은수량산출서(단지내)_취합_설계서-1" xfId="789" xr:uid="{00000000-0005-0000-0000-000091090000}"/>
    <cellStyle name="_방동_추곡_율동자연공원내 휴게편의점 도색작업-할증-천정면적추가_내역서-최종0223_진해자은수량산출서(단지내)_취합_설계서-1_00-설계서,원가계산,내역서" xfId="790" xr:uid="{00000000-0005-0000-0000-000092090000}"/>
    <cellStyle name="_방동_추곡_율동자연공원내 휴게편의점 도색작업-할증-천정면적추가_설계서-1" xfId="791" xr:uid="{00000000-0005-0000-0000-000093090000}"/>
    <cellStyle name="_방동_추곡_율동자연공원내 휴게편의점 도색작업-할증-천정면적추가_설계서-1_00-설계서,원가계산,내역서" xfId="792" xr:uid="{00000000-0005-0000-0000-000094090000}"/>
    <cellStyle name="_방동_추곡_율동자연공원내 휴게편의점 도색작업-할증-천정면적추가_진해자은수량산출서(단지내)" xfId="793" xr:uid="{00000000-0005-0000-0000-000095090000}"/>
    <cellStyle name="_방동_추곡_율동자연공원내 휴게편의점 도색작업-할증-천정면적추가_진해자은수량산출서(단지내)_00-설계서,원가계산,내역서" xfId="794" xr:uid="{00000000-0005-0000-0000-000096090000}"/>
    <cellStyle name="_방동_추곡_율동자연공원내 휴게편의점 도색작업-할증-천정면적추가_진해자은수량산출서(단지내)_기초산출표-56-128-최종" xfId="795" xr:uid="{00000000-0005-0000-0000-000097090000}"/>
    <cellStyle name="_방동_추곡_율동자연공원내 휴게편의점 도색작업-할증-천정면적추가_진해자은수량산출서(단지내)_기초산출표-56-128-최종_00-설계서,원가계산,내역서" xfId="796" xr:uid="{00000000-0005-0000-0000-000098090000}"/>
    <cellStyle name="_방동_추곡_율동자연공원내 휴게편의점 도색작업-할증-천정면적추가_진해자은수량산출서(단지내)_기초산출표-56-128-최종_설계서-1" xfId="797" xr:uid="{00000000-0005-0000-0000-000099090000}"/>
    <cellStyle name="_방동_추곡_율동자연공원내 휴게편의점 도색작업-할증-천정면적추가_진해자은수량산출서(단지내)_기초산출표-56-128-최종_설계서-1_00-설계서,원가계산,내역서" xfId="798" xr:uid="{00000000-0005-0000-0000-00009A090000}"/>
    <cellStyle name="_방동_추곡_율동자연공원내 휴게편의점 도색작업-할증-천정면적추가_진해자은수량산출서(단지내)_설계서-1" xfId="799" xr:uid="{00000000-0005-0000-0000-00009B090000}"/>
    <cellStyle name="_방동_추곡_율동자연공원내 휴게편의점 도색작업-할증-천정면적추가_진해자은수량산출서(단지내)_설계서-1_00-설계서,원가계산,내역서" xfId="800" xr:uid="{00000000-0005-0000-0000-00009C090000}"/>
    <cellStyle name="_방동_추곡_율동자연공원내 휴게편의점 도색작업-할증-천정면적추가_진해자은수량산출서(단지내)_취합" xfId="801" xr:uid="{00000000-0005-0000-0000-00009D090000}"/>
    <cellStyle name="_방동_추곡_율동자연공원내 휴게편의점 도색작업-할증-천정면적추가_진해자은수량산출서(단지내)_취합_00-설계서,원가계산,내역서" xfId="802" xr:uid="{00000000-0005-0000-0000-00009E090000}"/>
    <cellStyle name="_방동_추곡_율동자연공원내 휴게편의점 도색작업-할증-천정면적추가_진해자은수량산출서(단지내)_취합_설계서-1" xfId="803" xr:uid="{00000000-0005-0000-0000-00009F090000}"/>
    <cellStyle name="_방동_추곡_율동자연공원내 휴게편의점 도색작업-할증-천정면적추가_진해자은수량산출서(단지내)_취합_설계서-1_00-설계서,원가계산,내역서" xfId="804" xr:uid="{00000000-0005-0000-0000-0000A0090000}"/>
    <cellStyle name="_방동_추곡_이문동구간중랑천변녹화사업(수량산출서, 071127)-최종" xfId="805" xr:uid="{00000000-0005-0000-0000-0000A1090000}"/>
    <cellStyle name="_방동_추곡_이문동구간중랑천변녹화사업(수량산출서, 071127)-최종_00-설계서,원가계산,내역서" xfId="806" xr:uid="{00000000-0005-0000-0000-0000A2090000}"/>
    <cellStyle name="_방동_추곡_진해자은수량산출서(단지내)" xfId="807" xr:uid="{00000000-0005-0000-0000-0000A3090000}"/>
    <cellStyle name="_방동_추곡_진해자은수량산출서(단지내)_00-설계서,원가계산,내역서" xfId="808" xr:uid="{00000000-0005-0000-0000-0000A4090000}"/>
    <cellStyle name="_방동_추곡_진해자은수량산출서(단지내)_기초산출표-56-128-최종" xfId="809" xr:uid="{00000000-0005-0000-0000-0000A5090000}"/>
    <cellStyle name="_방동_추곡_진해자은수량산출서(단지내)_기초산출표-56-128-최종_00-설계서,원가계산,내역서" xfId="810" xr:uid="{00000000-0005-0000-0000-0000A6090000}"/>
    <cellStyle name="_방동_추곡_진해자은수량산출서(단지내)_기초산출표-56-128-최종_설계서-1" xfId="811" xr:uid="{00000000-0005-0000-0000-0000A7090000}"/>
    <cellStyle name="_방동_추곡_진해자은수량산출서(단지내)_기초산출표-56-128-최종_설계서-1_00-설계서,원가계산,내역서" xfId="812" xr:uid="{00000000-0005-0000-0000-0000A8090000}"/>
    <cellStyle name="_방동_추곡_진해자은수량산출서(단지내)_설계서-1" xfId="813" xr:uid="{00000000-0005-0000-0000-0000A9090000}"/>
    <cellStyle name="_방동_추곡_진해자은수량산출서(단지내)_설계서-1_00-설계서,원가계산,내역서" xfId="814" xr:uid="{00000000-0005-0000-0000-0000AA090000}"/>
    <cellStyle name="_방동_추곡_진해자은수량산출서(단지내)_취합" xfId="815" xr:uid="{00000000-0005-0000-0000-0000AB090000}"/>
    <cellStyle name="_방동_추곡_진해자은수량산출서(단지내)_취합_00-설계서,원가계산,내역서" xfId="816" xr:uid="{00000000-0005-0000-0000-0000AC090000}"/>
    <cellStyle name="_방동_추곡_진해자은수량산출서(단지내)_취합_설계서-1" xfId="817" xr:uid="{00000000-0005-0000-0000-0000AD090000}"/>
    <cellStyle name="_방동_추곡_진해자은수량산출서(단지내)_취합_설계서-1_00-설계서,원가계산,내역서" xfId="818" xr:uid="{00000000-0005-0000-0000-0000AE090000}"/>
    <cellStyle name="_방동_추곡_포장" xfId="819" xr:uid="{00000000-0005-0000-0000-0000AF090000}"/>
    <cellStyle name="_방동_추곡_포장_00-설계서,원가계산,내역서" xfId="820" xr:uid="{00000000-0005-0000-0000-0000B0090000}"/>
    <cellStyle name="_방동_추곡_포장_라멘교 토공" xfId="821" xr:uid="{00000000-0005-0000-0000-0000B1090000}"/>
    <cellStyle name="_방동_추곡_포장_라멘교 토공_00-설계서,원가계산,내역서" xfId="822" xr:uid="{00000000-0005-0000-0000-0000B2090000}"/>
    <cellStyle name="_방동_포장" xfId="823" xr:uid="{00000000-0005-0000-0000-0000B3090000}"/>
    <cellStyle name="_방동_포장_00-설계서,원가계산,내역서" xfId="824" xr:uid="{00000000-0005-0000-0000-0000B4090000}"/>
    <cellStyle name="_방동_포장_라멘교 토공" xfId="825" xr:uid="{00000000-0005-0000-0000-0000B5090000}"/>
    <cellStyle name="_방동_포장_라멘교 토공_00-설계서,원가계산,내역서" xfId="826" xr:uid="{00000000-0005-0000-0000-0000B6090000}"/>
    <cellStyle name="_백운초통신내역(최종)" xfId="827" xr:uid="{00000000-0005-0000-0000-0000B7090000}"/>
    <cellStyle name="_부대토목 예정공사비(2007.09.28)" xfId="828" xr:uid="{00000000-0005-0000-0000-0000B8090000}"/>
    <cellStyle name="_부평점정산내역" xfId="829" xr:uid="{00000000-0005-0000-0000-0000B9090000}"/>
    <cellStyle name="_분전반~1" xfId="830" xr:uid="{00000000-0005-0000-0000-0000BA090000}"/>
    <cellStyle name="_서천공주(견적서)" xfId="831" xr:uid="{00000000-0005-0000-0000-0000BB090000}"/>
    <cellStyle name="_서천공주(견적서)_2004견적내역서리스트" xfId="832" xr:uid="{00000000-0005-0000-0000-0000BC090000}"/>
    <cellStyle name="_석은희지압보도" xfId="833" xr:uid="{00000000-0005-0000-0000-0000BD090000}"/>
    <cellStyle name="_석은희지압보도_00-설계서,원가계산,내역서" xfId="834" xr:uid="{00000000-0005-0000-0000-0000BE090000}"/>
    <cellStyle name="_석은희지압보도_내역서-최종0223" xfId="835" xr:uid="{00000000-0005-0000-0000-0000BF090000}"/>
    <cellStyle name="_석은희지압보도_내역서-최종0223_00-설계서,원가계산,내역서" xfId="836" xr:uid="{00000000-0005-0000-0000-0000C0090000}"/>
    <cellStyle name="_석은희지압보도_내역서-최종0223_설계서-1" xfId="837" xr:uid="{00000000-0005-0000-0000-0000C1090000}"/>
    <cellStyle name="_석은희지압보도_내역서-최종0223_설계서-1_00-설계서,원가계산,내역서" xfId="838" xr:uid="{00000000-0005-0000-0000-0000C2090000}"/>
    <cellStyle name="_석은희지압보도_내역서-최종0223_진해자은수량산출서(단지내)" xfId="839" xr:uid="{00000000-0005-0000-0000-0000C3090000}"/>
    <cellStyle name="_석은희지압보도_내역서-최종0223_진해자은수량산출서(단지내)_00-설계서,원가계산,내역서" xfId="840" xr:uid="{00000000-0005-0000-0000-0000C4090000}"/>
    <cellStyle name="_석은희지압보도_내역서-최종0223_진해자은수량산출서(단지내)_기초산출표-56-128-최종" xfId="841" xr:uid="{00000000-0005-0000-0000-0000C5090000}"/>
    <cellStyle name="_석은희지압보도_내역서-최종0223_진해자은수량산출서(단지내)_기초산출표-56-128-최종_00-설계서,원가계산,내역서" xfId="842" xr:uid="{00000000-0005-0000-0000-0000C6090000}"/>
    <cellStyle name="_석은희지압보도_내역서-최종0223_진해자은수량산출서(단지내)_기초산출표-56-128-최종_설계서-1" xfId="843" xr:uid="{00000000-0005-0000-0000-0000C7090000}"/>
    <cellStyle name="_석은희지압보도_내역서-최종0223_진해자은수량산출서(단지내)_기초산출표-56-128-최종_설계서-1_00-설계서,원가계산,내역서" xfId="844" xr:uid="{00000000-0005-0000-0000-0000C8090000}"/>
    <cellStyle name="_석은희지압보도_내역서-최종0223_진해자은수량산출서(단지내)_설계서-1" xfId="845" xr:uid="{00000000-0005-0000-0000-0000C9090000}"/>
    <cellStyle name="_석은희지압보도_내역서-최종0223_진해자은수량산출서(단지내)_설계서-1_00-설계서,원가계산,내역서" xfId="846" xr:uid="{00000000-0005-0000-0000-0000CA090000}"/>
    <cellStyle name="_석은희지압보도_내역서-최종0223_진해자은수량산출서(단지내)_취합" xfId="847" xr:uid="{00000000-0005-0000-0000-0000CB090000}"/>
    <cellStyle name="_석은희지압보도_내역서-최종0223_진해자은수량산출서(단지내)_취합_00-설계서,원가계산,내역서" xfId="848" xr:uid="{00000000-0005-0000-0000-0000CC090000}"/>
    <cellStyle name="_석은희지압보도_내역서-최종0223_진해자은수량산출서(단지내)_취합_설계서-1" xfId="849" xr:uid="{00000000-0005-0000-0000-0000CD090000}"/>
    <cellStyle name="_석은희지압보도_내역서-최종0223_진해자은수량산출서(단지내)_취합_설계서-1_00-설계서,원가계산,내역서" xfId="850" xr:uid="{00000000-0005-0000-0000-0000CE090000}"/>
    <cellStyle name="_석은희지압보도_설계서-1" xfId="851" xr:uid="{00000000-0005-0000-0000-0000CF090000}"/>
    <cellStyle name="_석은희지압보도_설계서-1_00-설계서,원가계산,내역서" xfId="852" xr:uid="{00000000-0005-0000-0000-0000D0090000}"/>
    <cellStyle name="_석은희지압보도_진해자은수량산출서(단지내)" xfId="853" xr:uid="{00000000-0005-0000-0000-0000D1090000}"/>
    <cellStyle name="_석은희지압보도_진해자은수량산출서(단지내)_00-설계서,원가계산,내역서" xfId="854" xr:uid="{00000000-0005-0000-0000-0000D2090000}"/>
    <cellStyle name="_석은희지압보도_진해자은수량산출서(단지내)_기초산출표-56-128-최종" xfId="855" xr:uid="{00000000-0005-0000-0000-0000D3090000}"/>
    <cellStyle name="_석은희지압보도_진해자은수량산출서(단지내)_기초산출표-56-128-최종_00-설계서,원가계산,내역서" xfId="856" xr:uid="{00000000-0005-0000-0000-0000D4090000}"/>
    <cellStyle name="_석은희지압보도_진해자은수량산출서(단지내)_기초산출표-56-128-최종_설계서-1" xfId="857" xr:uid="{00000000-0005-0000-0000-0000D5090000}"/>
    <cellStyle name="_석은희지압보도_진해자은수량산출서(단지내)_기초산출표-56-128-최종_설계서-1_00-설계서,원가계산,내역서" xfId="858" xr:uid="{00000000-0005-0000-0000-0000D6090000}"/>
    <cellStyle name="_석은희지압보도_진해자은수량산출서(단지내)_설계서-1" xfId="859" xr:uid="{00000000-0005-0000-0000-0000D7090000}"/>
    <cellStyle name="_석은희지압보도_진해자은수량산출서(단지내)_설계서-1_00-설계서,원가계산,내역서" xfId="860" xr:uid="{00000000-0005-0000-0000-0000D8090000}"/>
    <cellStyle name="_석은희지압보도_진해자은수량산출서(단지내)_취합" xfId="861" xr:uid="{00000000-0005-0000-0000-0000D9090000}"/>
    <cellStyle name="_석은희지압보도_진해자은수량산출서(단지내)_취합_00-설계서,원가계산,내역서" xfId="862" xr:uid="{00000000-0005-0000-0000-0000DA090000}"/>
    <cellStyle name="_석은희지압보도_진해자은수량산출서(단지내)_취합_설계서-1" xfId="863" xr:uid="{00000000-0005-0000-0000-0000DB090000}"/>
    <cellStyle name="_석은희지압보도_진해자은수량산출서(단지내)_취합_설계서-1_00-설계서,원가계산,내역서" xfId="864" xr:uid="{00000000-0005-0000-0000-0000DC090000}"/>
    <cellStyle name="_설계변경" xfId="865" xr:uid="{00000000-0005-0000-0000-0000DD090000}"/>
    <cellStyle name="_실시계획인가 예정용역비" xfId="866" xr:uid="{00000000-0005-0000-0000-0000DE090000}"/>
    <cellStyle name="_실시설계 공내역서" xfId="867" xr:uid="{00000000-0005-0000-0000-0000DF090000}"/>
    <cellStyle name="_연안권내역서(토목부문내역서)" xfId="868" xr:uid="{00000000-0005-0000-0000-0000E0090000}"/>
    <cellStyle name="_연안권역특화거리조성을위한음악분수대설치" xfId="869" xr:uid="{00000000-0005-0000-0000-0000E1090000}"/>
    <cellStyle name="_연안권역특화거리조성을위한음악분수대설치_00-설계서,원가계산,내역서" xfId="870" xr:uid="{00000000-0005-0000-0000-0000E4090000}"/>
    <cellStyle name="_연안권역특화거리조성을위한음악분수대설치R6(제출EBS)-설비,전기,관리실" xfId="871" xr:uid="{00000000-0005-0000-0000-0000E2090000}"/>
    <cellStyle name="_연안권역특화거리조성을위한음악분수대설치R6(제출EBS)-설비,전기,관리실_00-설계서,원가계산,내역서" xfId="872" xr:uid="{00000000-0005-0000-0000-0000E3090000}"/>
    <cellStyle name="_영화관약전설비(수정)" xfId="873" xr:uid="{00000000-0005-0000-0000-0000E5090000}"/>
    <cellStyle name="_울산롯데호텔소방전기견적서" xfId="874" xr:uid="{00000000-0005-0000-0000-0000E6090000}"/>
    <cellStyle name="_울산백화점 발의내역(계약단가적용)" xfId="875" xr:uid="{00000000-0005-0000-0000-0000E7090000}"/>
    <cellStyle name="_울산점소방전기공사(발주)" xfId="876" xr:uid="{00000000-0005-0000-0000-0000E8090000}"/>
    <cellStyle name="_유성약전발의내역1" xfId="877" xr:uid="{00000000-0005-0000-0000-0000E9090000}"/>
    <cellStyle name="_응급ES" xfId="878" xr:uid="{00000000-0005-0000-0000-0000EA090000}"/>
    <cellStyle name="_응급RE" xfId="879" xr:uid="{00000000-0005-0000-0000-0000EB090000}"/>
    <cellStyle name="_일반전기1공구" xfId="880" xr:uid="{00000000-0005-0000-0000-0000EC090000}"/>
    <cellStyle name="_일반전기2공구" xfId="881" xr:uid="{00000000-0005-0000-0000-0000ED090000}"/>
    <cellStyle name="_일반전기정산" xfId="882" xr:uid="{00000000-0005-0000-0000-0000EE090000}"/>
    <cellStyle name="_전기" xfId="883" xr:uid="{00000000-0005-0000-0000-0000EF090000}"/>
    <cellStyle name="_전력간선" xfId="884" xr:uid="{00000000-0005-0000-0000-0000F0090000}"/>
    <cellStyle name="_정산세부내역(건설사정)" xfId="885" xr:uid="{00000000-0005-0000-0000-0000F1090000}"/>
    <cellStyle name="_준공-약전설비공사" xfId="886" xr:uid="{00000000-0005-0000-0000-0000F2090000}"/>
    <cellStyle name="_추곡" xfId="887" xr:uid="{00000000-0005-0000-0000-0000F3090000}"/>
    <cellStyle name="_추곡_00-설계서,원가계산,내역서" xfId="888" xr:uid="{00000000-0005-0000-0000-0000F4090000}"/>
    <cellStyle name="_추곡_내역서-최종0223" xfId="889" xr:uid="{00000000-0005-0000-0000-0000F5090000}"/>
    <cellStyle name="_추곡_내역서-최종0223_00-설계서,원가계산,내역서" xfId="890" xr:uid="{00000000-0005-0000-0000-0000F6090000}"/>
    <cellStyle name="_추곡_내역서-최종0223_설계서-1" xfId="891" xr:uid="{00000000-0005-0000-0000-0000F7090000}"/>
    <cellStyle name="_추곡_내역서-최종0223_설계서-1_00-설계서,원가계산,내역서" xfId="892" xr:uid="{00000000-0005-0000-0000-0000F8090000}"/>
    <cellStyle name="_추곡_내역서-최종0223_진해자은수량산출서(단지내)" xfId="893" xr:uid="{00000000-0005-0000-0000-0000F9090000}"/>
    <cellStyle name="_추곡_내역서-최종0223_진해자은수량산출서(단지내)_00-설계서,원가계산,내역서" xfId="894" xr:uid="{00000000-0005-0000-0000-0000FA090000}"/>
    <cellStyle name="_추곡_내역서-최종0223_진해자은수량산출서(단지내)_기초산출표-56-128-최종" xfId="895" xr:uid="{00000000-0005-0000-0000-0000FB090000}"/>
    <cellStyle name="_추곡_내역서-최종0223_진해자은수량산출서(단지내)_기초산출표-56-128-최종_00-설계서,원가계산,내역서" xfId="896" xr:uid="{00000000-0005-0000-0000-0000FC090000}"/>
    <cellStyle name="_추곡_내역서-최종0223_진해자은수량산출서(단지내)_기초산출표-56-128-최종_설계서-1" xfId="897" xr:uid="{00000000-0005-0000-0000-0000FD090000}"/>
    <cellStyle name="_추곡_내역서-최종0223_진해자은수량산출서(단지내)_기초산출표-56-128-최종_설계서-1_00-설계서,원가계산,내역서" xfId="898" xr:uid="{00000000-0005-0000-0000-0000FE090000}"/>
    <cellStyle name="_추곡_내역서-최종0223_진해자은수량산출서(단지내)_설계서-1" xfId="899" xr:uid="{00000000-0005-0000-0000-0000FF090000}"/>
    <cellStyle name="_추곡_내역서-최종0223_진해자은수량산출서(단지내)_설계서-1_00-설계서,원가계산,내역서" xfId="900" xr:uid="{00000000-0005-0000-0000-0000000A0000}"/>
    <cellStyle name="_추곡_내역서-최종0223_진해자은수량산출서(단지내)_취합" xfId="901" xr:uid="{00000000-0005-0000-0000-0000010A0000}"/>
    <cellStyle name="_추곡_내역서-최종0223_진해자은수량산출서(단지내)_취합_00-설계서,원가계산,내역서" xfId="902" xr:uid="{00000000-0005-0000-0000-0000020A0000}"/>
    <cellStyle name="_추곡_내역서-최종0223_진해자은수량산출서(단지내)_취합_설계서-1" xfId="903" xr:uid="{00000000-0005-0000-0000-0000030A0000}"/>
    <cellStyle name="_추곡_내역서-최종0223_진해자은수량산출서(단지내)_취합_설계서-1_00-설계서,원가계산,내역서" xfId="904" xr:uid="{00000000-0005-0000-0000-0000040A0000}"/>
    <cellStyle name="_추곡_라멘교 토공" xfId="905" xr:uid="{00000000-0005-0000-0000-0000050A0000}"/>
    <cellStyle name="_추곡_라멘교 토공_00-설계서,원가계산,내역서" xfId="906" xr:uid="{00000000-0005-0000-0000-0000060A0000}"/>
    <cellStyle name="_추곡_설계서-1" xfId="907" xr:uid="{00000000-0005-0000-0000-0000070A0000}"/>
    <cellStyle name="_추곡_설계서-1_00-설계서,원가계산,내역서" xfId="908" xr:uid="{00000000-0005-0000-0000-0000080A0000}"/>
    <cellStyle name="_추곡_율동자연공원내 화장실 보수 및 도색공사" xfId="909" xr:uid="{00000000-0005-0000-0000-0000090A0000}"/>
    <cellStyle name="_추곡_율동자연공원내 화장실 보수 및 도색공사_00-설계서,원가계산,내역서" xfId="910" xr:uid="{00000000-0005-0000-0000-00000A0A0000}"/>
    <cellStyle name="_추곡_율동자연공원내 화장실 보수 및 도색공사_내역서-최종0223" xfId="911" xr:uid="{00000000-0005-0000-0000-00000B0A0000}"/>
    <cellStyle name="_추곡_율동자연공원내 화장실 보수 및 도색공사_내역서-최종0223_00-설계서,원가계산,내역서" xfId="912" xr:uid="{00000000-0005-0000-0000-00000C0A0000}"/>
    <cellStyle name="_추곡_율동자연공원내 화장실 보수 및 도색공사_내역서-최종0223_설계서-1" xfId="913" xr:uid="{00000000-0005-0000-0000-00000D0A0000}"/>
    <cellStyle name="_추곡_율동자연공원내 화장실 보수 및 도색공사_내역서-최종0223_설계서-1_00-설계서,원가계산,내역서" xfId="914" xr:uid="{00000000-0005-0000-0000-00000E0A0000}"/>
    <cellStyle name="_추곡_율동자연공원내 화장실 보수 및 도색공사_내역서-최종0223_진해자은수량산출서(단지내)" xfId="915" xr:uid="{00000000-0005-0000-0000-00000F0A0000}"/>
    <cellStyle name="_추곡_율동자연공원내 화장실 보수 및 도색공사_내역서-최종0223_진해자은수량산출서(단지내)_00-설계서,원가계산,내역서" xfId="916" xr:uid="{00000000-0005-0000-0000-0000100A0000}"/>
    <cellStyle name="_추곡_율동자연공원내 화장실 보수 및 도색공사_내역서-최종0223_진해자은수량산출서(단지내)_기초산출표-56-128-최종" xfId="917" xr:uid="{00000000-0005-0000-0000-0000110A0000}"/>
    <cellStyle name="_추곡_율동자연공원내 화장실 보수 및 도색공사_내역서-최종0223_진해자은수량산출서(단지내)_기초산출표-56-128-최종_00-설계서,원가계산,내역서" xfId="918" xr:uid="{00000000-0005-0000-0000-0000120A0000}"/>
    <cellStyle name="_추곡_율동자연공원내 화장실 보수 및 도색공사_내역서-최종0223_진해자은수량산출서(단지내)_기초산출표-56-128-최종_설계서-1" xfId="919" xr:uid="{00000000-0005-0000-0000-0000130A0000}"/>
    <cellStyle name="_추곡_율동자연공원내 화장실 보수 및 도색공사_내역서-최종0223_진해자은수량산출서(단지내)_기초산출표-56-128-최종_설계서-1_00-설계서,원가계산,내역서" xfId="920" xr:uid="{00000000-0005-0000-0000-0000140A0000}"/>
    <cellStyle name="_추곡_율동자연공원내 화장실 보수 및 도색공사_내역서-최종0223_진해자은수량산출서(단지내)_설계서-1" xfId="921" xr:uid="{00000000-0005-0000-0000-0000150A0000}"/>
    <cellStyle name="_추곡_율동자연공원내 화장실 보수 및 도색공사_내역서-최종0223_진해자은수량산출서(단지내)_설계서-1_00-설계서,원가계산,내역서" xfId="922" xr:uid="{00000000-0005-0000-0000-0000160A0000}"/>
    <cellStyle name="_추곡_율동자연공원내 화장실 보수 및 도색공사_내역서-최종0223_진해자은수량산출서(단지내)_취합" xfId="923" xr:uid="{00000000-0005-0000-0000-0000170A0000}"/>
    <cellStyle name="_추곡_율동자연공원내 화장실 보수 및 도색공사_내역서-최종0223_진해자은수량산출서(단지내)_취합_00-설계서,원가계산,내역서" xfId="924" xr:uid="{00000000-0005-0000-0000-0000180A0000}"/>
    <cellStyle name="_추곡_율동자연공원내 화장실 보수 및 도색공사_내역서-최종0223_진해자은수량산출서(단지내)_취합_설계서-1" xfId="925" xr:uid="{00000000-0005-0000-0000-0000190A0000}"/>
    <cellStyle name="_추곡_율동자연공원내 화장실 보수 및 도색공사_내역서-최종0223_진해자은수량산출서(단지내)_취합_설계서-1_00-설계서,원가계산,내역서" xfId="926" xr:uid="{00000000-0005-0000-0000-00001A0A0000}"/>
    <cellStyle name="_추곡_율동자연공원내 화장실 보수 및 도색공사_설계서-1" xfId="927" xr:uid="{00000000-0005-0000-0000-00001B0A0000}"/>
    <cellStyle name="_추곡_율동자연공원내 화장실 보수 및 도색공사_설계서-1_00-설계서,원가계산,내역서" xfId="928" xr:uid="{00000000-0005-0000-0000-00001C0A0000}"/>
    <cellStyle name="_추곡_율동자연공원내 화장실 보수 및 도색공사_진해자은수량산출서(단지내)" xfId="929" xr:uid="{00000000-0005-0000-0000-00001D0A0000}"/>
    <cellStyle name="_추곡_율동자연공원내 화장실 보수 및 도색공사_진해자은수량산출서(단지내)_00-설계서,원가계산,내역서" xfId="930" xr:uid="{00000000-0005-0000-0000-00001E0A0000}"/>
    <cellStyle name="_추곡_율동자연공원내 화장실 보수 및 도색공사_진해자은수량산출서(단지내)_기초산출표-56-128-최종" xfId="931" xr:uid="{00000000-0005-0000-0000-00001F0A0000}"/>
    <cellStyle name="_추곡_율동자연공원내 화장실 보수 및 도색공사_진해자은수량산출서(단지내)_기초산출표-56-128-최종_00-설계서,원가계산,내역서" xfId="932" xr:uid="{00000000-0005-0000-0000-0000200A0000}"/>
    <cellStyle name="_추곡_율동자연공원내 화장실 보수 및 도색공사_진해자은수량산출서(단지내)_기초산출표-56-128-최종_설계서-1" xfId="933" xr:uid="{00000000-0005-0000-0000-0000210A0000}"/>
    <cellStyle name="_추곡_율동자연공원내 화장실 보수 및 도색공사_진해자은수량산출서(단지내)_기초산출표-56-128-최종_설계서-1_00-설계서,원가계산,내역서" xfId="934" xr:uid="{00000000-0005-0000-0000-0000220A0000}"/>
    <cellStyle name="_추곡_율동자연공원내 화장실 보수 및 도색공사_진해자은수량산출서(단지내)_설계서-1" xfId="935" xr:uid="{00000000-0005-0000-0000-0000230A0000}"/>
    <cellStyle name="_추곡_율동자연공원내 화장실 보수 및 도색공사_진해자은수량산출서(단지내)_설계서-1_00-설계서,원가계산,내역서" xfId="936" xr:uid="{00000000-0005-0000-0000-0000240A0000}"/>
    <cellStyle name="_추곡_율동자연공원내 화장실 보수 및 도색공사_진해자은수량산출서(단지내)_취합" xfId="937" xr:uid="{00000000-0005-0000-0000-0000250A0000}"/>
    <cellStyle name="_추곡_율동자연공원내 화장실 보수 및 도색공사_진해자은수량산출서(단지내)_취합_00-설계서,원가계산,내역서" xfId="938" xr:uid="{00000000-0005-0000-0000-0000260A0000}"/>
    <cellStyle name="_추곡_율동자연공원내 화장실 보수 및 도색공사_진해자은수량산출서(단지내)_취합_설계서-1" xfId="939" xr:uid="{00000000-0005-0000-0000-0000270A0000}"/>
    <cellStyle name="_추곡_율동자연공원내 화장실 보수 및 도색공사_진해자은수량산출서(단지내)_취합_설계서-1_00-설계서,원가계산,내역서" xfId="940" xr:uid="{00000000-0005-0000-0000-0000280A0000}"/>
    <cellStyle name="_추곡_율동자연공원내 휴게편의점 도색작업-할증-천정면적추가" xfId="941" xr:uid="{00000000-0005-0000-0000-0000290A0000}"/>
    <cellStyle name="_추곡_율동자연공원내 휴게편의점 도색작업-할증-천정면적추가_00-설계서,원가계산,내역서" xfId="942" xr:uid="{00000000-0005-0000-0000-00002A0A0000}"/>
    <cellStyle name="_추곡_율동자연공원내 휴게편의점 도색작업-할증-천정면적추가_내역서-최종0223" xfId="943" xr:uid="{00000000-0005-0000-0000-00002B0A0000}"/>
    <cellStyle name="_추곡_율동자연공원내 휴게편의점 도색작업-할증-천정면적추가_내역서-최종0223_00-설계서,원가계산,내역서" xfId="944" xr:uid="{00000000-0005-0000-0000-00002C0A0000}"/>
    <cellStyle name="_추곡_율동자연공원내 휴게편의점 도색작업-할증-천정면적추가_내역서-최종0223_설계서-1" xfId="945" xr:uid="{00000000-0005-0000-0000-00002D0A0000}"/>
    <cellStyle name="_추곡_율동자연공원내 휴게편의점 도색작업-할증-천정면적추가_내역서-최종0223_설계서-1_00-설계서,원가계산,내역서" xfId="946" xr:uid="{00000000-0005-0000-0000-00002E0A0000}"/>
    <cellStyle name="_추곡_율동자연공원내 휴게편의점 도색작업-할증-천정면적추가_내역서-최종0223_진해자은수량산출서(단지내)" xfId="947" xr:uid="{00000000-0005-0000-0000-00002F0A0000}"/>
    <cellStyle name="_추곡_율동자연공원내 휴게편의점 도색작업-할증-천정면적추가_내역서-최종0223_진해자은수량산출서(단지내)_00-설계서,원가계산,내역서" xfId="948" xr:uid="{00000000-0005-0000-0000-0000300A0000}"/>
    <cellStyle name="_추곡_율동자연공원내 휴게편의점 도색작업-할증-천정면적추가_내역서-최종0223_진해자은수량산출서(단지내)_기초산출표-56-128-최종" xfId="949" xr:uid="{00000000-0005-0000-0000-0000310A0000}"/>
    <cellStyle name="_추곡_율동자연공원내 휴게편의점 도색작업-할증-천정면적추가_내역서-최종0223_진해자은수량산출서(단지내)_기초산출표-56-128-최종_00-설계서,원가계산,내역서" xfId="950" xr:uid="{00000000-0005-0000-0000-0000320A0000}"/>
    <cellStyle name="_추곡_율동자연공원내 휴게편의점 도색작업-할증-천정면적추가_내역서-최종0223_진해자은수량산출서(단지내)_기초산출표-56-128-최종_설계서-1" xfId="951" xr:uid="{00000000-0005-0000-0000-0000330A0000}"/>
    <cellStyle name="_추곡_율동자연공원내 휴게편의점 도색작업-할증-천정면적추가_내역서-최종0223_진해자은수량산출서(단지내)_기초산출표-56-128-최종_설계서-1_00-설계서,원가계산,내역서" xfId="952" xr:uid="{00000000-0005-0000-0000-0000340A0000}"/>
    <cellStyle name="_추곡_율동자연공원내 휴게편의점 도색작업-할증-천정면적추가_내역서-최종0223_진해자은수량산출서(단지내)_설계서-1" xfId="953" xr:uid="{00000000-0005-0000-0000-0000350A0000}"/>
    <cellStyle name="_추곡_율동자연공원내 휴게편의점 도색작업-할증-천정면적추가_내역서-최종0223_진해자은수량산출서(단지내)_설계서-1_00-설계서,원가계산,내역서" xfId="954" xr:uid="{00000000-0005-0000-0000-0000360A0000}"/>
    <cellStyle name="_추곡_율동자연공원내 휴게편의점 도색작업-할증-천정면적추가_내역서-최종0223_진해자은수량산출서(단지내)_취합" xfId="955" xr:uid="{00000000-0005-0000-0000-0000370A0000}"/>
    <cellStyle name="_추곡_율동자연공원내 휴게편의점 도색작업-할증-천정면적추가_내역서-최종0223_진해자은수량산출서(단지내)_취합_00-설계서,원가계산,내역서" xfId="956" xr:uid="{00000000-0005-0000-0000-0000380A0000}"/>
    <cellStyle name="_추곡_율동자연공원내 휴게편의점 도색작업-할증-천정면적추가_내역서-최종0223_진해자은수량산출서(단지내)_취합_설계서-1" xfId="957" xr:uid="{00000000-0005-0000-0000-0000390A0000}"/>
    <cellStyle name="_추곡_율동자연공원내 휴게편의점 도색작업-할증-천정면적추가_내역서-최종0223_진해자은수량산출서(단지내)_취합_설계서-1_00-설계서,원가계산,내역서" xfId="958" xr:uid="{00000000-0005-0000-0000-00003A0A0000}"/>
    <cellStyle name="_추곡_율동자연공원내 휴게편의점 도색작업-할증-천정면적추가_설계서-1" xfId="959" xr:uid="{00000000-0005-0000-0000-00003B0A0000}"/>
    <cellStyle name="_추곡_율동자연공원내 휴게편의점 도색작업-할증-천정면적추가_설계서-1_00-설계서,원가계산,내역서" xfId="960" xr:uid="{00000000-0005-0000-0000-00003C0A0000}"/>
    <cellStyle name="_추곡_율동자연공원내 휴게편의점 도색작업-할증-천정면적추가_진해자은수량산출서(단지내)" xfId="961" xr:uid="{00000000-0005-0000-0000-00003D0A0000}"/>
    <cellStyle name="_추곡_율동자연공원내 휴게편의점 도색작업-할증-천정면적추가_진해자은수량산출서(단지내)_00-설계서,원가계산,내역서" xfId="962" xr:uid="{00000000-0005-0000-0000-00003E0A0000}"/>
    <cellStyle name="_추곡_율동자연공원내 휴게편의점 도색작업-할증-천정면적추가_진해자은수량산출서(단지내)_기초산출표-56-128-최종" xfId="963" xr:uid="{00000000-0005-0000-0000-00003F0A0000}"/>
    <cellStyle name="_추곡_율동자연공원내 휴게편의점 도색작업-할증-천정면적추가_진해자은수량산출서(단지내)_기초산출표-56-128-최종_00-설계서,원가계산,내역서" xfId="964" xr:uid="{00000000-0005-0000-0000-0000400A0000}"/>
    <cellStyle name="_추곡_율동자연공원내 휴게편의점 도색작업-할증-천정면적추가_진해자은수량산출서(단지내)_기초산출표-56-128-최종_설계서-1" xfId="965" xr:uid="{00000000-0005-0000-0000-0000410A0000}"/>
    <cellStyle name="_추곡_율동자연공원내 휴게편의점 도색작업-할증-천정면적추가_진해자은수량산출서(단지내)_기초산출표-56-128-최종_설계서-1_00-설계서,원가계산,내역서" xfId="966" xr:uid="{00000000-0005-0000-0000-0000420A0000}"/>
    <cellStyle name="_추곡_율동자연공원내 휴게편의점 도색작업-할증-천정면적추가_진해자은수량산출서(단지내)_설계서-1" xfId="967" xr:uid="{00000000-0005-0000-0000-0000430A0000}"/>
    <cellStyle name="_추곡_율동자연공원내 휴게편의점 도색작업-할증-천정면적추가_진해자은수량산출서(단지내)_설계서-1_00-설계서,원가계산,내역서" xfId="968" xr:uid="{00000000-0005-0000-0000-0000440A0000}"/>
    <cellStyle name="_추곡_율동자연공원내 휴게편의점 도색작업-할증-천정면적추가_진해자은수량산출서(단지내)_취합" xfId="969" xr:uid="{00000000-0005-0000-0000-0000450A0000}"/>
    <cellStyle name="_추곡_율동자연공원내 휴게편의점 도색작업-할증-천정면적추가_진해자은수량산출서(단지내)_취합_00-설계서,원가계산,내역서" xfId="970" xr:uid="{00000000-0005-0000-0000-0000460A0000}"/>
    <cellStyle name="_추곡_율동자연공원내 휴게편의점 도색작업-할증-천정면적추가_진해자은수량산출서(단지내)_취합_설계서-1" xfId="971" xr:uid="{00000000-0005-0000-0000-0000470A0000}"/>
    <cellStyle name="_추곡_율동자연공원내 휴게편의점 도색작업-할증-천정면적추가_진해자은수량산출서(단지내)_취합_설계서-1_00-설계서,원가계산,내역서" xfId="972" xr:uid="{00000000-0005-0000-0000-0000480A0000}"/>
    <cellStyle name="_추곡_이문동구간중랑천변녹화사업(수량산출서, 071127)-최종" xfId="973" xr:uid="{00000000-0005-0000-0000-0000490A0000}"/>
    <cellStyle name="_추곡_이문동구간중랑천변녹화사업(수량산출서, 071127)-최종_00-설계서,원가계산,내역서" xfId="974" xr:uid="{00000000-0005-0000-0000-00004A0A0000}"/>
    <cellStyle name="_추곡_진해자은수량산출서(단지내)" xfId="975" xr:uid="{00000000-0005-0000-0000-00004B0A0000}"/>
    <cellStyle name="_추곡_진해자은수량산출서(단지내)_00-설계서,원가계산,내역서" xfId="976" xr:uid="{00000000-0005-0000-0000-00004C0A0000}"/>
    <cellStyle name="_추곡_진해자은수량산출서(단지내)_기초산출표-56-128-최종" xfId="977" xr:uid="{00000000-0005-0000-0000-00004D0A0000}"/>
    <cellStyle name="_추곡_진해자은수량산출서(단지내)_기초산출표-56-128-최종_00-설계서,원가계산,내역서" xfId="978" xr:uid="{00000000-0005-0000-0000-00004E0A0000}"/>
    <cellStyle name="_추곡_진해자은수량산출서(단지내)_기초산출표-56-128-최종_설계서-1" xfId="979" xr:uid="{00000000-0005-0000-0000-00004F0A0000}"/>
    <cellStyle name="_추곡_진해자은수량산출서(단지내)_기초산출표-56-128-최종_설계서-1_00-설계서,원가계산,내역서" xfId="980" xr:uid="{00000000-0005-0000-0000-0000500A0000}"/>
    <cellStyle name="_추곡_진해자은수량산출서(단지내)_설계서-1" xfId="981" xr:uid="{00000000-0005-0000-0000-0000510A0000}"/>
    <cellStyle name="_추곡_진해자은수량산출서(단지내)_설계서-1_00-설계서,원가계산,내역서" xfId="982" xr:uid="{00000000-0005-0000-0000-0000520A0000}"/>
    <cellStyle name="_추곡_진해자은수량산출서(단지내)_취합" xfId="983" xr:uid="{00000000-0005-0000-0000-0000530A0000}"/>
    <cellStyle name="_추곡_진해자은수량산출서(단지내)_취합_00-설계서,원가계산,내역서" xfId="984" xr:uid="{00000000-0005-0000-0000-0000540A0000}"/>
    <cellStyle name="_추곡_진해자은수량산출서(단지내)_취합_설계서-1" xfId="985" xr:uid="{00000000-0005-0000-0000-0000550A0000}"/>
    <cellStyle name="_추곡_진해자은수량산출서(단지내)_취합_설계서-1_00-설계서,원가계산,내역서" xfId="986" xr:uid="{00000000-0005-0000-0000-0000560A0000}"/>
    <cellStyle name="_추곡_추곡" xfId="987" xr:uid="{00000000-0005-0000-0000-0000570A0000}"/>
    <cellStyle name="_추곡_추곡_00-설계서,원가계산,내역서" xfId="988" xr:uid="{00000000-0005-0000-0000-0000580A0000}"/>
    <cellStyle name="_추곡_추곡_내역서-최종0223" xfId="989" xr:uid="{00000000-0005-0000-0000-0000590A0000}"/>
    <cellStyle name="_추곡_추곡_내역서-최종0223_00-설계서,원가계산,내역서" xfId="990" xr:uid="{00000000-0005-0000-0000-00005A0A0000}"/>
    <cellStyle name="_추곡_추곡_내역서-최종0223_설계서-1" xfId="991" xr:uid="{00000000-0005-0000-0000-00005B0A0000}"/>
    <cellStyle name="_추곡_추곡_내역서-최종0223_설계서-1_00-설계서,원가계산,내역서" xfId="992" xr:uid="{00000000-0005-0000-0000-00005C0A0000}"/>
    <cellStyle name="_추곡_추곡_내역서-최종0223_진해자은수량산출서(단지내)" xfId="993" xr:uid="{00000000-0005-0000-0000-00005D0A0000}"/>
    <cellStyle name="_추곡_추곡_내역서-최종0223_진해자은수량산출서(단지내)_00-설계서,원가계산,내역서" xfId="994" xr:uid="{00000000-0005-0000-0000-00005E0A0000}"/>
    <cellStyle name="_추곡_추곡_내역서-최종0223_진해자은수량산출서(단지내)_기초산출표-56-128-최종" xfId="995" xr:uid="{00000000-0005-0000-0000-00005F0A0000}"/>
    <cellStyle name="_추곡_추곡_내역서-최종0223_진해자은수량산출서(단지내)_기초산출표-56-128-최종_00-설계서,원가계산,내역서" xfId="996" xr:uid="{00000000-0005-0000-0000-0000600A0000}"/>
    <cellStyle name="_추곡_추곡_내역서-최종0223_진해자은수량산출서(단지내)_기초산출표-56-128-최종_설계서-1" xfId="997" xr:uid="{00000000-0005-0000-0000-0000610A0000}"/>
    <cellStyle name="_추곡_추곡_내역서-최종0223_진해자은수량산출서(단지내)_기초산출표-56-128-최종_설계서-1_00-설계서,원가계산,내역서" xfId="998" xr:uid="{00000000-0005-0000-0000-0000620A0000}"/>
    <cellStyle name="_추곡_추곡_내역서-최종0223_진해자은수량산출서(단지내)_설계서-1" xfId="999" xr:uid="{00000000-0005-0000-0000-0000630A0000}"/>
    <cellStyle name="_추곡_추곡_내역서-최종0223_진해자은수량산출서(단지내)_설계서-1_00-설계서,원가계산,내역서" xfId="1000" xr:uid="{00000000-0005-0000-0000-0000640A0000}"/>
    <cellStyle name="_추곡_추곡_내역서-최종0223_진해자은수량산출서(단지내)_취합" xfId="1001" xr:uid="{00000000-0005-0000-0000-0000650A0000}"/>
    <cellStyle name="_추곡_추곡_내역서-최종0223_진해자은수량산출서(단지내)_취합_00-설계서,원가계산,내역서" xfId="1002" xr:uid="{00000000-0005-0000-0000-0000660A0000}"/>
    <cellStyle name="_추곡_추곡_내역서-최종0223_진해자은수량산출서(단지내)_취합_설계서-1" xfId="1003" xr:uid="{00000000-0005-0000-0000-0000670A0000}"/>
    <cellStyle name="_추곡_추곡_내역서-최종0223_진해자은수량산출서(단지내)_취합_설계서-1_00-설계서,원가계산,내역서" xfId="1004" xr:uid="{00000000-0005-0000-0000-0000680A0000}"/>
    <cellStyle name="_추곡_추곡_라멘교 토공" xfId="1005" xr:uid="{00000000-0005-0000-0000-0000690A0000}"/>
    <cellStyle name="_추곡_추곡_라멘교 토공_00-설계서,원가계산,내역서" xfId="1006" xr:uid="{00000000-0005-0000-0000-00006A0A0000}"/>
    <cellStyle name="_추곡_추곡_설계서-1" xfId="1007" xr:uid="{00000000-0005-0000-0000-00006B0A0000}"/>
    <cellStyle name="_추곡_추곡_설계서-1_00-설계서,원가계산,내역서" xfId="1008" xr:uid="{00000000-0005-0000-0000-00006C0A0000}"/>
    <cellStyle name="_추곡_추곡_율동자연공원내 화장실 보수 및 도색공사" xfId="1009" xr:uid="{00000000-0005-0000-0000-00006D0A0000}"/>
    <cellStyle name="_추곡_추곡_율동자연공원내 화장실 보수 및 도색공사_00-설계서,원가계산,내역서" xfId="1010" xr:uid="{00000000-0005-0000-0000-00006E0A0000}"/>
    <cellStyle name="_추곡_추곡_율동자연공원내 화장실 보수 및 도색공사_내역서-최종0223" xfId="1011" xr:uid="{00000000-0005-0000-0000-00006F0A0000}"/>
    <cellStyle name="_추곡_추곡_율동자연공원내 화장실 보수 및 도색공사_내역서-최종0223_00-설계서,원가계산,내역서" xfId="1012" xr:uid="{00000000-0005-0000-0000-0000700A0000}"/>
    <cellStyle name="_추곡_추곡_율동자연공원내 화장실 보수 및 도색공사_내역서-최종0223_설계서-1" xfId="1013" xr:uid="{00000000-0005-0000-0000-0000710A0000}"/>
    <cellStyle name="_추곡_추곡_율동자연공원내 화장실 보수 및 도색공사_내역서-최종0223_설계서-1_00-설계서,원가계산,내역서" xfId="1014" xr:uid="{00000000-0005-0000-0000-0000720A0000}"/>
    <cellStyle name="_추곡_추곡_율동자연공원내 화장실 보수 및 도색공사_내역서-최종0223_진해자은수량산출서(단지내)" xfId="1015" xr:uid="{00000000-0005-0000-0000-0000730A0000}"/>
    <cellStyle name="_추곡_추곡_율동자연공원내 화장실 보수 및 도색공사_내역서-최종0223_진해자은수량산출서(단지내)_00-설계서,원가계산,내역서" xfId="1016" xr:uid="{00000000-0005-0000-0000-0000740A0000}"/>
    <cellStyle name="_추곡_추곡_율동자연공원내 화장실 보수 및 도색공사_내역서-최종0223_진해자은수량산출서(단지내)_기초산출표-56-128-최종" xfId="1017" xr:uid="{00000000-0005-0000-0000-0000750A0000}"/>
    <cellStyle name="_추곡_추곡_율동자연공원내 화장실 보수 및 도색공사_내역서-최종0223_진해자은수량산출서(단지내)_기초산출표-56-128-최종_00-설계서,원가계산,내역서" xfId="1018" xr:uid="{00000000-0005-0000-0000-0000760A0000}"/>
    <cellStyle name="_추곡_추곡_율동자연공원내 화장실 보수 및 도색공사_내역서-최종0223_진해자은수량산출서(단지내)_기초산출표-56-128-최종_설계서-1" xfId="1019" xr:uid="{00000000-0005-0000-0000-0000770A0000}"/>
    <cellStyle name="_추곡_추곡_율동자연공원내 화장실 보수 및 도색공사_내역서-최종0223_진해자은수량산출서(단지내)_기초산출표-56-128-최종_설계서-1_00-설계서,원가계산,내역서" xfId="1020" xr:uid="{00000000-0005-0000-0000-0000780A0000}"/>
    <cellStyle name="_추곡_추곡_율동자연공원내 화장실 보수 및 도색공사_내역서-최종0223_진해자은수량산출서(단지내)_설계서-1" xfId="1021" xr:uid="{00000000-0005-0000-0000-0000790A0000}"/>
    <cellStyle name="_추곡_추곡_율동자연공원내 화장실 보수 및 도색공사_내역서-최종0223_진해자은수량산출서(단지내)_설계서-1_00-설계서,원가계산,내역서" xfId="1022" xr:uid="{00000000-0005-0000-0000-00007A0A0000}"/>
    <cellStyle name="_추곡_추곡_율동자연공원내 화장실 보수 및 도색공사_내역서-최종0223_진해자은수량산출서(단지내)_취합" xfId="1023" xr:uid="{00000000-0005-0000-0000-00007B0A0000}"/>
    <cellStyle name="_추곡_추곡_율동자연공원내 화장실 보수 및 도색공사_내역서-최종0223_진해자은수량산출서(단지내)_취합_00-설계서,원가계산,내역서" xfId="1024" xr:uid="{00000000-0005-0000-0000-00007C0A0000}"/>
    <cellStyle name="_추곡_추곡_율동자연공원내 화장실 보수 및 도색공사_내역서-최종0223_진해자은수량산출서(단지내)_취합_설계서-1" xfId="1025" xr:uid="{00000000-0005-0000-0000-00007D0A0000}"/>
    <cellStyle name="_추곡_추곡_율동자연공원내 화장실 보수 및 도색공사_내역서-최종0223_진해자은수량산출서(단지내)_취합_설계서-1_00-설계서,원가계산,내역서" xfId="1026" xr:uid="{00000000-0005-0000-0000-00007E0A0000}"/>
    <cellStyle name="_추곡_추곡_율동자연공원내 화장실 보수 및 도색공사_설계서-1" xfId="1027" xr:uid="{00000000-0005-0000-0000-00007F0A0000}"/>
    <cellStyle name="_추곡_추곡_율동자연공원내 화장실 보수 및 도색공사_설계서-1_00-설계서,원가계산,내역서" xfId="1028" xr:uid="{00000000-0005-0000-0000-0000800A0000}"/>
    <cellStyle name="_추곡_추곡_율동자연공원내 화장실 보수 및 도색공사_진해자은수량산출서(단지내)" xfId="1029" xr:uid="{00000000-0005-0000-0000-0000810A0000}"/>
    <cellStyle name="_추곡_추곡_율동자연공원내 화장실 보수 및 도색공사_진해자은수량산출서(단지내)_00-설계서,원가계산,내역서" xfId="1030" xr:uid="{00000000-0005-0000-0000-0000820A0000}"/>
    <cellStyle name="_추곡_추곡_율동자연공원내 화장실 보수 및 도색공사_진해자은수량산출서(단지내)_기초산출표-56-128-최종" xfId="1031" xr:uid="{00000000-0005-0000-0000-0000830A0000}"/>
    <cellStyle name="_추곡_추곡_율동자연공원내 화장실 보수 및 도색공사_진해자은수량산출서(단지내)_기초산출표-56-128-최종_00-설계서,원가계산,내역서" xfId="1032" xr:uid="{00000000-0005-0000-0000-0000840A0000}"/>
    <cellStyle name="_추곡_추곡_율동자연공원내 화장실 보수 및 도색공사_진해자은수량산출서(단지내)_기초산출표-56-128-최종_설계서-1" xfId="1033" xr:uid="{00000000-0005-0000-0000-0000850A0000}"/>
    <cellStyle name="_추곡_추곡_율동자연공원내 화장실 보수 및 도색공사_진해자은수량산출서(단지내)_기초산출표-56-128-최종_설계서-1_00-설계서,원가계산,내역서" xfId="1034" xr:uid="{00000000-0005-0000-0000-0000860A0000}"/>
    <cellStyle name="_추곡_추곡_율동자연공원내 화장실 보수 및 도색공사_진해자은수량산출서(단지내)_설계서-1" xfId="1035" xr:uid="{00000000-0005-0000-0000-0000870A0000}"/>
    <cellStyle name="_추곡_추곡_율동자연공원내 화장실 보수 및 도색공사_진해자은수량산출서(단지내)_설계서-1_00-설계서,원가계산,내역서" xfId="1036" xr:uid="{00000000-0005-0000-0000-0000880A0000}"/>
    <cellStyle name="_추곡_추곡_율동자연공원내 화장실 보수 및 도색공사_진해자은수량산출서(단지내)_취합" xfId="1037" xr:uid="{00000000-0005-0000-0000-0000890A0000}"/>
    <cellStyle name="_추곡_추곡_율동자연공원내 화장실 보수 및 도색공사_진해자은수량산출서(단지내)_취합_00-설계서,원가계산,내역서" xfId="1038" xr:uid="{00000000-0005-0000-0000-00008A0A0000}"/>
    <cellStyle name="_추곡_추곡_율동자연공원내 화장실 보수 및 도색공사_진해자은수량산출서(단지내)_취합_설계서-1" xfId="1039" xr:uid="{00000000-0005-0000-0000-00008B0A0000}"/>
    <cellStyle name="_추곡_추곡_율동자연공원내 화장실 보수 및 도색공사_진해자은수량산출서(단지내)_취합_설계서-1_00-설계서,원가계산,내역서" xfId="1040" xr:uid="{00000000-0005-0000-0000-00008C0A0000}"/>
    <cellStyle name="_추곡_추곡_율동자연공원내 휴게편의점 도색작업-할증-천정면적추가" xfId="1041" xr:uid="{00000000-0005-0000-0000-00008D0A0000}"/>
    <cellStyle name="_추곡_추곡_율동자연공원내 휴게편의점 도색작업-할증-천정면적추가_00-설계서,원가계산,내역서" xfId="1042" xr:uid="{00000000-0005-0000-0000-00008E0A0000}"/>
    <cellStyle name="_추곡_추곡_율동자연공원내 휴게편의점 도색작업-할증-천정면적추가_내역서-최종0223" xfId="1043" xr:uid="{00000000-0005-0000-0000-00008F0A0000}"/>
    <cellStyle name="_추곡_추곡_율동자연공원내 휴게편의점 도색작업-할증-천정면적추가_내역서-최종0223_00-설계서,원가계산,내역서" xfId="1044" xr:uid="{00000000-0005-0000-0000-0000900A0000}"/>
    <cellStyle name="_추곡_추곡_율동자연공원내 휴게편의점 도색작업-할증-천정면적추가_내역서-최종0223_설계서-1" xfId="1045" xr:uid="{00000000-0005-0000-0000-0000910A0000}"/>
    <cellStyle name="_추곡_추곡_율동자연공원내 휴게편의점 도색작업-할증-천정면적추가_내역서-최종0223_설계서-1_00-설계서,원가계산,내역서" xfId="1046" xr:uid="{00000000-0005-0000-0000-0000920A0000}"/>
    <cellStyle name="_추곡_추곡_율동자연공원내 휴게편의점 도색작업-할증-천정면적추가_내역서-최종0223_진해자은수량산출서(단지내)" xfId="1047" xr:uid="{00000000-0005-0000-0000-0000930A0000}"/>
    <cellStyle name="_추곡_추곡_율동자연공원내 휴게편의점 도색작업-할증-천정면적추가_내역서-최종0223_진해자은수량산출서(단지내)_00-설계서,원가계산,내역서" xfId="1048" xr:uid="{00000000-0005-0000-0000-0000940A0000}"/>
    <cellStyle name="_추곡_추곡_율동자연공원내 휴게편의점 도색작업-할증-천정면적추가_내역서-최종0223_진해자은수량산출서(단지내)_기초산출표-56-128-최종" xfId="1049" xr:uid="{00000000-0005-0000-0000-0000950A0000}"/>
    <cellStyle name="_추곡_추곡_율동자연공원내 휴게편의점 도색작업-할증-천정면적추가_내역서-최종0223_진해자은수량산출서(단지내)_기초산출표-56-128-최종_00-설계서,원가계산,내역서" xfId="1050" xr:uid="{00000000-0005-0000-0000-0000960A0000}"/>
    <cellStyle name="_추곡_추곡_율동자연공원내 휴게편의점 도색작업-할증-천정면적추가_내역서-최종0223_진해자은수량산출서(단지내)_기초산출표-56-128-최종_설계서-1" xfId="1051" xr:uid="{00000000-0005-0000-0000-0000970A0000}"/>
    <cellStyle name="_추곡_추곡_율동자연공원내 휴게편의점 도색작업-할증-천정면적추가_내역서-최종0223_진해자은수량산출서(단지내)_기초산출표-56-128-최종_설계서-1_00-설계서,원가계산,내역서" xfId="1052" xr:uid="{00000000-0005-0000-0000-0000980A0000}"/>
    <cellStyle name="_추곡_추곡_율동자연공원내 휴게편의점 도색작업-할증-천정면적추가_내역서-최종0223_진해자은수량산출서(단지내)_설계서-1" xfId="1053" xr:uid="{00000000-0005-0000-0000-0000990A0000}"/>
    <cellStyle name="_추곡_추곡_율동자연공원내 휴게편의점 도색작업-할증-천정면적추가_내역서-최종0223_진해자은수량산출서(단지내)_설계서-1_00-설계서,원가계산,내역서" xfId="1054" xr:uid="{00000000-0005-0000-0000-00009A0A0000}"/>
    <cellStyle name="_추곡_추곡_율동자연공원내 휴게편의점 도색작업-할증-천정면적추가_내역서-최종0223_진해자은수량산출서(단지내)_취합" xfId="1055" xr:uid="{00000000-0005-0000-0000-00009B0A0000}"/>
    <cellStyle name="_추곡_추곡_율동자연공원내 휴게편의점 도색작업-할증-천정면적추가_내역서-최종0223_진해자은수량산출서(단지내)_취합_00-설계서,원가계산,내역서" xfId="1056" xr:uid="{00000000-0005-0000-0000-00009C0A0000}"/>
    <cellStyle name="_추곡_추곡_율동자연공원내 휴게편의점 도색작업-할증-천정면적추가_내역서-최종0223_진해자은수량산출서(단지내)_취합_설계서-1" xfId="1057" xr:uid="{00000000-0005-0000-0000-00009D0A0000}"/>
    <cellStyle name="_추곡_추곡_율동자연공원내 휴게편의점 도색작업-할증-천정면적추가_내역서-최종0223_진해자은수량산출서(단지내)_취합_설계서-1_00-설계서,원가계산,내역서" xfId="1058" xr:uid="{00000000-0005-0000-0000-00009E0A0000}"/>
    <cellStyle name="_추곡_추곡_율동자연공원내 휴게편의점 도색작업-할증-천정면적추가_설계서-1" xfId="1059" xr:uid="{00000000-0005-0000-0000-00009F0A0000}"/>
    <cellStyle name="_추곡_추곡_율동자연공원내 휴게편의점 도색작업-할증-천정면적추가_설계서-1_00-설계서,원가계산,내역서" xfId="1060" xr:uid="{00000000-0005-0000-0000-0000A00A0000}"/>
    <cellStyle name="_추곡_추곡_율동자연공원내 휴게편의점 도색작업-할증-천정면적추가_진해자은수량산출서(단지내)" xfId="1061" xr:uid="{00000000-0005-0000-0000-0000A10A0000}"/>
    <cellStyle name="_추곡_추곡_율동자연공원내 휴게편의점 도색작업-할증-천정면적추가_진해자은수량산출서(단지내)_00-설계서,원가계산,내역서" xfId="1062" xr:uid="{00000000-0005-0000-0000-0000A20A0000}"/>
    <cellStyle name="_추곡_추곡_율동자연공원내 휴게편의점 도색작업-할증-천정면적추가_진해자은수량산출서(단지내)_기초산출표-56-128-최종" xfId="1063" xr:uid="{00000000-0005-0000-0000-0000A30A0000}"/>
    <cellStyle name="_추곡_추곡_율동자연공원내 휴게편의점 도색작업-할증-천정면적추가_진해자은수량산출서(단지내)_기초산출표-56-128-최종_00-설계서,원가계산,내역서" xfId="1064" xr:uid="{00000000-0005-0000-0000-0000A40A0000}"/>
    <cellStyle name="_추곡_추곡_율동자연공원내 휴게편의점 도색작업-할증-천정면적추가_진해자은수량산출서(단지내)_기초산출표-56-128-최종_설계서-1" xfId="1065" xr:uid="{00000000-0005-0000-0000-0000A50A0000}"/>
    <cellStyle name="_추곡_추곡_율동자연공원내 휴게편의점 도색작업-할증-천정면적추가_진해자은수량산출서(단지내)_기초산출표-56-128-최종_설계서-1_00-설계서,원가계산,내역서" xfId="1066" xr:uid="{00000000-0005-0000-0000-0000A60A0000}"/>
    <cellStyle name="_추곡_추곡_율동자연공원내 휴게편의점 도색작업-할증-천정면적추가_진해자은수량산출서(단지내)_설계서-1" xfId="1067" xr:uid="{00000000-0005-0000-0000-0000A70A0000}"/>
    <cellStyle name="_추곡_추곡_율동자연공원내 휴게편의점 도색작업-할증-천정면적추가_진해자은수량산출서(단지내)_설계서-1_00-설계서,원가계산,내역서" xfId="1068" xr:uid="{00000000-0005-0000-0000-0000A80A0000}"/>
    <cellStyle name="_추곡_추곡_율동자연공원내 휴게편의점 도색작업-할증-천정면적추가_진해자은수량산출서(단지내)_취합" xfId="1069" xr:uid="{00000000-0005-0000-0000-0000A90A0000}"/>
    <cellStyle name="_추곡_추곡_율동자연공원내 휴게편의점 도색작업-할증-천정면적추가_진해자은수량산출서(단지내)_취합_00-설계서,원가계산,내역서" xfId="1070" xr:uid="{00000000-0005-0000-0000-0000AA0A0000}"/>
    <cellStyle name="_추곡_추곡_율동자연공원내 휴게편의점 도색작업-할증-천정면적추가_진해자은수량산출서(단지내)_취합_설계서-1" xfId="1071" xr:uid="{00000000-0005-0000-0000-0000AB0A0000}"/>
    <cellStyle name="_추곡_추곡_율동자연공원내 휴게편의점 도색작업-할증-천정면적추가_진해자은수량산출서(단지내)_취합_설계서-1_00-설계서,원가계산,내역서" xfId="1072" xr:uid="{00000000-0005-0000-0000-0000AC0A0000}"/>
    <cellStyle name="_추곡_추곡_이문동구간중랑천변녹화사업(수량산출서, 071127)-최종" xfId="1073" xr:uid="{00000000-0005-0000-0000-0000AD0A0000}"/>
    <cellStyle name="_추곡_추곡_이문동구간중랑천변녹화사업(수량산출서, 071127)-최종_00-설계서,원가계산,내역서" xfId="1074" xr:uid="{00000000-0005-0000-0000-0000AE0A0000}"/>
    <cellStyle name="_추곡_추곡_진해자은수량산출서(단지내)" xfId="1075" xr:uid="{00000000-0005-0000-0000-0000AF0A0000}"/>
    <cellStyle name="_추곡_추곡_진해자은수량산출서(단지내)_00-설계서,원가계산,내역서" xfId="1076" xr:uid="{00000000-0005-0000-0000-0000B00A0000}"/>
    <cellStyle name="_추곡_추곡_진해자은수량산출서(단지내)_기초산출표-56-128-최종" xfId="1077" xr:uid="{00000000-0005-0000-0000-0000B10A0000}"/>
    <cellStyle name="_추곡_추곡_진해자은수량산출서(단지내)_기초산출표-56-128-최종_00-설계서,원가계산,내역서" xfId="1078" xr:uid="{00000000-0005-0000-0000-0000B20A0000}"/>
    <cellStyle name="_추곡_추곡_진해자은수량산출서(단지내)_기초산출표-56-128-최종_설계서-1" xfId="1079" xr:uid="{00000000-0005-0000-0000-0000B30A0000}"/>
    <cellStyle name="_추곡_추곡_진해자은수량산출서(단지내)_기초산출표-56-128-최종_설계서-1_00-설계서,원가계산,내역서" xfId="1080" xr:uid="{00000000-0005-0000-0000-0000B40A0000}"/>
    <cellStyle name="_추곡_추곡_진해자은수량산출서(단지내)_설계서-1" xfId="1081" xr:uid="{00000000-0005-0000-0000-0000B50A0000}"/>
    <cellStyle name="_추곡_추곡_진해자은수량산출서(단지내)_설계서-1_00-설계서,원가계산,내역서" xfId="1082" xr:uid="{00000000-0005-0000-0000-0000B60A0000}"/>
    <cellStyle name="_추곡_추곡_진해자은수량산출서(단지내)_취합" xfId="1083" xr:uid="{00000000-0005-0000-0000-0000B70A0000}"/>
    <cellStyle name="_추곡_추곡_진해자은수량산출서(단지내)_취합_00-설계서,원가계산,내역서" xfId="1084" xr:uid="{00000000-0005-0000-0000-0000B80A0000}"/>
    <cellStyle name="_추곡_추곡_진해자은수량산출서(단지내)_취합_설계서-1" xfId="1085" xr:uid="{00000000-0005-0000-0000-0000B90A0000}"/>
    <cellStyle name="_추곡_추곡_진해자은수량산출서(단지내)_취합_설계서-1_00-설계서,원가계산,내역서" xfId="1086" xr:uid="{00000000-0005-0000-0000-0000BA0A0000}"/>
    <cellStyle name="_추곡_추곡_포장" xfId="1087" xr:uid="{00000000-0005-0000-0000-0000BB0A0000}"/>
    <cellStyle name="_추곡_추곡_포장_00-설계서,원가계산,내역서" xfId="1088" xr:uid="{00000000-0005-0000-0000-0000BC0A0000}"/>
    <cellStyle name="_추곡_추곡_포장_라멘교 토공" xfId="1089" xr:uid="{00000000-0005-0000-0000-0000BD0A0000}"/>
    <cellStyle name="_추곡_추곡_포장_라멘교 토공_00-설계서,원가계산,내역서" xfId="1090" xr:uid="{00000000-0005-0000-0000-0000BE0A0000}"/>
    <cellStyle name="_추곡_포장" xfId="1091" xr:uid="{00000000-0005-0000-0000-0000BF0A0000}"/>
    <cellStyle name="_추곡_포장_00-설계서,원가계산,내역서" xfId="1092" xr:uid="{00000000-0005-0000-0000-0000C00A0000}"/>
    <cellStyle name="_추곡_포장_라멘교 토공" xfId="1093" xr:uid="{00000000-0005-0000-0000-0000C10A0000}"/>
    <cellStyle name="_추곡_포장_라멘교 토공_00-설계서,원가계산,내역서" xfId="1094" xr:uid="{00000000-0005-0000-0000-0000C20A0000}"/>
    <cellStyle name="_포장" xfId="1095" xr:uid="{00000000-0005-0000-0000-0000C30A0000}"/>
    <cellStyle name="_포장_00-설계서,원가계산,내역서" xfId="1096" xr:uid="{00000000-0005-0000-0000-0000C40A0000}"/>
    <cellStyle name="_포장_라멘교 토공" xfId="1097" xr:uid="{00000000-0005-0000-0000-0000C50A0000}"/>
    <cellStyle name="_포장_라멘교 토공_00-설계서,원가계산,내역서" xfId="1098" xr:uid="{00000000-0005-0000-0000-0000C60A0000}"/>
    <cellStyle name="_호수SS내역서040920" xfId="1099" xr:uid="{00000000-0005-0000-0000-0000C70A0000}"/>
    <cellStyle name="_호텔약전전기공사(1공구)-발의" xfId="1100" xr:uid="{00000000-0005-0000-0000-0000C80A0000}"/>
    <cellStyle name="_홍보관수량참고(특성화설계서)" xfId="1101" xr:uid="{00000000-0005-0000-0000-0000C90A0000}"/>
    <cellStyle name="_Book1" xfId="33" xr:uid="{00000000-0005-0000-0000-00009D060000}"/>
    <cellStyle name="_CM공문양식(품의,협조,대외공문)" xfId="34" xr:uid="{00000000-0005-0000-0000-00009E060000}"/>
    <cellStyle name="_CM양식(대외공문,협조전,품의서)" xfId="35" xr:uid="{00000000-0005-0000-0000-00009F060000}"/>
    <cellStyle name="_FCST (2)" xfId="36" xr:uid="{00000000-0005-0000-0000-0000A0060000}"/>
    <cellStyle name="_RE" xfId="37" xr:uid="{00000000-0005-0000-0000-0000A1060000}"/>
    <cellStyle name="??&amp;O?&amp;H?_x0008__x000f__x0007_?_x0007__x0001__x0001_" xfId="21" xr:uid="{00000000-0005-0000-0000-00003D060000}"/>
    <cellStyle name="??&amp;O?&amp;H?_x0008_??_x0007__x0001__x0001_" xfId="22" xr:uid="{00000000-0005-0000-0000-00003C060000}"/>
    <cellStyle name="?曹%U?&amp;H?_x0008_?s_x000a__x0007__x0001__x0001_" xfId="24" xr:uid="{00000000-0005-0000-0000-00003F060000}"/>
    <cellStyle name="?W?_laroux" xfId="23" xr:uid="{00000000-0005-0000-0000-00003E060000}"/>
    <cellStyle name="' '" xfId="11" xr:uid="{00000000-0005-0000-0000-000037000000}"/>
    <cellStyle name="’E‰Y [0.00]_laroux" xfId="1102" xr:uid="{00000000-0005-0000-0000-0000ED0A0000}"/>
    <cellStyle name="’E‰Y_laroux" xfId="1103" xr:uid="{00000000-0005-0000-0000-0000EE0A0000}"/>
    <cellStyle name="&quot;" xfId="15" xr:uid="{00000000-0005-0000-0000-000035000000}"/>
    <cellStyle name="(##.00)" xfId="17" xr:uid="{00000000-0005-0000-0000-000038000000}"/>
    <cellStyle name="(△콤마)" xfId="18" xr:uid="{00000000-0005-0000-0000-000039000000}"/>
    <cellStyle name="(백분율)" xfId="19" xr:uid="{00000000-0005-0000-0000-00003A000000}"/>
    <cellStyle name="(콤마)" xfId="20" xr:uid="{00000000-0005-0000-0000-00003B000000}"/>
    <cellStyle name="#,##0" xfId="16" xr:uid="{00000000-0005-0000-0000-000036000000}"/>
    <cellStyle name="+,-,0" xfId="1105" xr:uid="{00000000-0005-0000-0000-00003C000000}"/>
    <cellStyle name="△ []" xfId="1106" xr:uid="{00000000-0005-0000-0000-0000F00A0000}"/>
    <cellStyle name="△ [0]" xfId="1107" xr:uid="{00000000-0005-0000-0000-0000EF0A0000}"/>
    <cellStyle name="△백분율" xfId="1108" xr:uid="{00000000-0005-0000-0000-0000F10A0000}"/>
    <cellStyle name="△콤마" xfId="1109" xr:uid="{00000000-0005-0000-0000-0000F20A0000}"/>
    <cellStyle name="¤@?e_TEST-1 " xfId="1104" xr:uid="{00000000-0005-0000-0000-0000DE0A0000}"/>
    <cellStyle name="0" xfId="1113" xr:uid="{00000000-0005-0000-0000-00003D000000}"/>
    <cellStyle name="0.0" xfId="1114" xr:uid="{00000000-0005-0000-0000-00003E000000}"/>
    <cellStyle name="0.00" xfId="1115" xr:uid="{00000000-0005-0000-0000-00003F000000}"/>
    <cellStyle name="00" xfId="1116" xr:uid="{00000000-0005-0000-0000-000040000000}"/>
    <cellStyle name="1" xfId="1117" xr:uid="{00000000-0005-0000-0000-000041000000}"/>
    <cellStyle name="1_00-수량산출서" xfId="1118" xr:uid="{00000000-0005-0000-0000-000044000000}"/>
    <cellStyle name="1_00-예산서양식100" xfId="1119" xr:uid="{00000000-0005-0000-0000-000045000000}"/>
    <cellStyle name="1_01-내역서(071118)" xfId="1120" xr:uid="{00000000-0005-0000-0000-000046000000}"/>
    <cellStyle name="1_22수량산출서(총괄)" xfId="1122" xr:uid="{00000000-0005-0000-0000-000048000000}"/>
    <cellStyle name="1_22bl3lot수량산출" xfId="1121" xr:uid="{00000000-0005-0000-0000-000047000000}"/>
    <cellStyle name="1_강남폐기물내역" xfId="2487" xr:uid="{00000000-0005-0000-0000-00009D050000}"/>
    <cellStyle name="1_공양식(레인보우스케이프)" xfId="2488" xr:uid="{00000000-0005-0000-0000-00009E050000}"/>
    <cellStyle name="1_단가조사표" xfId="2489" xr:uid="{00000000-0005-0000-0000-00009F050000}"/>
    <cellStyle name="1_단가조사표_1011소각" xfId="2490" xr:uid="{00000000-0005-0000-0000-0000A0050000}"/>
    <cellStyle name="1_단가조사표_1113교~1" xfId="2491" xr:uid="{00000000-0005-0000-0000-0000A1050000}"/>
    <cellStyle name="1_단가조사표_121내역" xfId="2492" xr:uid="{00000000-0005-0000-0000-0000A2050000}"/>
    <cellStyle name="1_단가조사표_객토량" xfId="2493" xr:uid="{00000000-0005-0000-0000-0000A3050000}"/>
    <cellStyle name="1_단가조사표_교통센~1" xfId="2494" xr:uid="{00000000-0005-0000-0000-0000A4050000}"/>
    <cellStyle name="1_단가조사표_교통센터412" xfId="2495" xr:uid="{00000000-0005-0000-0000-0000A5050000}"/>
    <cellStyle name="1_단가조사표_교통수" xfId="2496" xr:uid="{00000000-0005-0000-0000-0000A6050000}"/>
    <cellStyle name="1_단가조사표_교통수량산출서" xfId="2497" xr:uid="{00000000-0005-0000-0000-0000A7050000}"/>
    <cellStyle name="1_단가조사표_구조물대가 (2)" xfId="2498" xr:uid="{00000000-0005-0000-0000-0000A8050000}"/>
    <cellStyle name="1_단가조사표_내역서 (2)" xfId="2499" xr:uid="{00000000-0005-0000-0000-0000A9050000}"/>
    <cellStyle name="1_단가조사표_대전관저지구" xfId="2500" xr:uid="{00000000-0005-0000-0000-0000AA050000}"/>
    <cellStyle name="1_단가조사표_동측지~1" xfId="2501" xr:uid="{00000000-0005-0000-0000-0000AB050000}"/>
    <cellStyle name="1_단가조사표_동측지원422" xfId="2502" xr:uid="{00000000-0005-0000-0000-0000AC050000}"/>
    <cellStyle name="1_단가조사표_동측지원512" xfId="2503" xr:uid="{00000000-0005-0000-0000-0000AD050000}"/>
    <cellStyle name="1_단가조사표_동측지원524" xfId="2504" xr:uid="{00000000-0005-0000-0000-0000AE050000}"/>
    <cellStyle name="1_단가조사표_부대422" xfId="2505" xr:uid="{00000000-0005-0000-0000-0000AF050000}"/>
    <cellStyle name="1_단가조사표_부대시설" xfId="2506" xr:uid="{00000000-0005-0000-0000-0000B0050000}"/>
    <cellStyle name="1_단가조사표_소각수~1" xfId="2507" xr:uid="{00000000-0005-0000-0000-0000B1050000}"/>
    <cellStyle name="1_단가조사표_소각수내역서" xfId="2508" xr:uid="{00000000-0005-0000-0000-0000B2050000}"/>
    <cellStyle name="1_단가조사표_소각수목2" xfId="2509" xr:uid="{00000000-0005-0000-0000-0000B3050000}"/>
    <cellStyle name="1_단가조사표_수량산출서 (2)" xfId="2510" xr:uid="{00000000-0005-0000-0000-0000B4050000}"/>
    <cellStyle name="1_단가조사표_엑스포~1" xfId="2511" xr:uid="{00000000-0005-0000-0000-0000B5050000}"/>
    <cellStyle name="1_단가조사표_엑스포한빛1" xfId="2512" xr:uid="{00000000-0005-0000-0000-0000B6050000}"/>
    <cellStyle name="1_단가조사표_여객터미널331" xfId="2513" xr:uid="{00000000-0005-0000-0000-0000B7050000}"/>
    <cellStyle name="1_단가조사표_여객터미널513" xfId="2514" xr:uid="{00000000-0005-0000-0000-0000B8050000}"/>
    <cellStyle name="1_단가조사표_여객터미널629" xfId="2515" xr:uid="{00000000-0005-0000-0000-0000B9050000}"/>
    <cellStyle name="1_단가조사표_외곽도로616" xfId="2516" xr:uid="{00000000-0005-0000-0000-0000BA050000}"/>
    <cellStyle name="1_단가조사표_원가계~1" xfId="2517" xr:uid="{00000000-0005-0000-0000-0000BB050000}"/>
    <cellStyle name="1_단가조사표_유기질" xfId="2518" xr:uid="{00000000-0005-0000-0000-0000BC050000}"/>
    <cellStyle name="1_단가조사표_자재조서 (2)" xfId="2519" xr:uid="{00000000-0005-0000-0000-0000BD050000}"/>
    <cellStyle name="1_단가조사표_총괄내역" xfId="2520" xr:uid="{00000000-0005-0000-0000-0000BE050000}"/>
    <cellStyle name="1_단가조사표_총괄내역 (2)" xfId="2521" xr:uid="{00000000-0005-0000-0000-0000BF050000}"/>
    <cellStyle name="1_단가조사표_터미널도로403" xfId="2522" xr:uid="{00000000-0005-0000-0000-0000C0050000}"/>
    <cellStyle name="1_단가조사표_터미널도로429" xfId="2523" xr:uid="{00000000-0005-0000-0000-0000C1050000}"/>
    <cellStyle name="1_단가조사표_포장일위" xfId="2524" xr:uid="{00000000-0005-0000-0000-0000C2050000}"/>
    <cellStyle name="1_목동내역" xfId="2525" xr:uid="{00000000-0005-0000-0000-0000C3050000}"/>
    <cellStyle name="1_시민계략공사" xfId="2526" xr:uid="{00000000-0005-0000-0000-0000C4050000}"/>
    <cellStyle name="1_시민계략공사 2" xfId="2527" xr:uid="{00000000-0005-0000-0000-0000C5050000}"/>
    <cellStyle name="1_시민계략공사 3" xfId="2528" xr:uid="{00000000-0005-0000-0000-0000C6050000}"/>
    <cellStyle name="1_시민계략공사_2002년도각종계산서너릿제터널등7개소" xfId="2529" xr:uid="{00000000-0005-0000-0000-0000C7050000}"/>
    <cellStyle name="1_시민계략공사_2003년 각종계산서(읽기전용)" xfId="2530" xr:uid="{00000000-0005-0000-0000-0000C8050000}"/>
    <cellStyle name="1_시민계략공사_2003년 각종계산서(읽기전용)_00-설계서,원가계산,내역서" xfId="2531" xr:uid="{00000000-0005-0000-0000-0000C9050000}"/>
    <cellStyle name="1_시민계략공사_2003년 각종계산서(읽기전용)_내역서(전기)" xfId="2532" xr:uid="{00000000-0005-0000-0000-0000CA050000}"/>
    <cellStyle name="1_시민계략공사_2003년 각종계산서(읽기전용)_내역서(전기)_00-설계서,원가계산,내역서" xfId="2533" xr:uid="{00000000-0005-0000-0000-0000CB050000}"/>
    <cellStyle name="1_시민계략공사_각종계산서" xfId="2537" xr:uid="{00000000-0005-0000-0000-0000CF050000}"/>
    <cellStyle name="1_시민계략공사_각종계산서_00-설계서,원가계산,내역서" xfId="2538" xr:uid="{00000000-0005-0000-0000-0000D0050000}"/>
    <cellStyle name="1_시민계략공사_계산서및내역서5월9일변경" xfId="2539" xr:uid="{00000000-0005-0000-0000-0000D1050000}"/>
    <cellStyle name="1_시민계략공사_관급-(수배전반)" xfId="2540" xr:uid="{00000000-0005-0000-0000-0000D2050000}"/>
    <cellStyle name="1_시민계략공사_관급-(수배전반) 2" xfId="2541" xr:uid="{00000000-0005-0000-0000-0000D3050000}"/>
    <cellStyle name="1_시민계략공사_관급-(수배전반) 3" xfId="2542" xr:uid="{00000000-0005-0000-0000-0000D4050000}"/>
    <cellStyle name="1_시민계략공사_관급-등기구" xfId="2543" xr:uid="{00000000-0005-0000-0000-0000D5050000}"/>
    <cellStyle name="1_시민계략공사_관급-등기구 2" xfId="2544" xr:uid="{00000000-0005-0000-0000-0000D6050000}"/>
    <cellStyle name="1_시민계략공사_관급-등기구 3" xfId="2545" xr:uid="{00000000-0005-0000-0000-0000D7050000}"/>
    <cellStyle name="1_시민계략공사_관급-태양광등기구" xfId="2546" xr:uid="{00000000-0005-0000-0000-0000D8050000}"/>
    <cellStyle name="1_시민계략공사_관급-태양광등기구 2" xfId="2547" xr:uid="{00000000-0005-0000-0000-0000D9050000}"/>
    <cellStyle name="1_시민계략공사_관급-태양광등기구 3" xfId="2548" xr:uid="{00000000-0005-0000-0000-0000DA050000}"/>
    <cellStyle name="1_시민계략공사_광양중동중학교실증축공사(전기)-4월10일한번더" xfId="2549" xr:uid="{00000000-0005-0000-0000-0000DB050000}"/>
    <cellStyle name="1_시민계략공사_광양중동중학교실증축공사(전기)-4월10일한번더 2" xfId="2550" xr:uid="{00000000-0005-0000-0000-0000DC050000}"/>
    <cellStyle name="1_시민계략공사_광양중동중학교실증축공사(전기)-4월10일한번더 3" xfId="2551" xr:uid="{00000000-0005-0000-0000-0000DD050000}"/>
    <cellStyle name="1_시민계략공사_무안연꽃방죽(4월9일)한번더" xfId="2552" xr:uid="{00000000-0005-0000-0000-0000DE050000}"/>
    <cellStyle name="1_시민계략공사_무안연꽃방죽(4월9일)한번더 2" xfId="2553" xr:uid="{00000000-0005-0000-0000-0000DF050000}"/>
    <cellStyle name="1_시민계략공사_무안연꽃방죽(4월9일)한번더 3" xfId="2554" xr:uid="{00000000-0005-0000-0000-0000E0050000}"/>
    <cellStyle name="1_시민계략공사_백운초 신축 전기공사-납품-" xfId="2555" xr:uid="{00000000-0005-0000-0000-0000E1050000}"/>
    <cellStyle name="1_시민계략공사_백운초 신축 전기공사-납품- 2" xfId="2556" xr:uid="{00000000-0005-0000-0000-0000E2050000}"/>
    <cellStyle name="1_시민계략공사_백운초 신축 전기공사-납품- 3" xfId="2557" xr:uid="{00000000-0005-0000-0000-0000E3050000}"/>
    <cellStyle name="1_시민계략공사_보일약국~순국비간 도로개설 가로등설치공사" xfId="2558" xr:uid="{00000000-0005-0000-0000-0000E4050000}"/>
    <cellStyle name="1_시민계략공사_보일약국~순국비간 도로개설 가로등설치공사 2" xfId="2559" xr:uid="{00000000-0005-0000-0000-0000E5050000}"/>
    <cellStyle name="1_시민계략공사_보일약국~순국비간 도로개설 가로등설치공사 3" xfId="2560" xr:uid="{00000000-0005-0000-0000-0000E6050000}"/>
    <cellStyle name="1_시민계략공사_복지관 부하계산서" xfId="2561" xr:uid="{00000000-0005-0000-0000-0000E7050000}"/>
    <cellStyle name="1_시민계략공사_복지관 부하계산서_00-설계서,원가계산,내역서" xfId="2562" xr:uid="{00000000-0005-0000-0000-0000E8050000}"/>
    <cellStyle name="1_시민계략공사_복지관 부하계산서_내역서(전기)" xfId="2563" xr:uid="{00000000-0005-0000-0000-0000E9050000}"/>
    <cellStyle name="1_시민계략공사_복지관 부하계산서_내역서(전기)_00-설계서,원가계산,내역서" xfId="2564" xr:uid="{00000000-0005-0000-0000-0000EA050000}"/>
    <cellStyle name="1_시민계략공사_봉산면보건지소신축공사(전기)11월30일변경" xfId="2565" xr:uid="{00000000-0005-0000-0000-0000EB050000}"/>
    <cellStyle name="1_시민계략공사_봉산면보건지소신축공사(전기)11월30일변경 2" xfId="2566" xr:uid="{00000000-0005-0000-0000-0000EC050000}"/>
    <cellStyle name="1_시민계략공사_봉산면보건지소신축공사(전기)11월30일변경 3" xfId="2567" xr:uid="{00000000-0005-0000-0000-0000ED050000}"/>
    <cellStyle name="1_시민계략공사_북문로(팔마로)가로등설치공사(변경)3월11일" xfId="2568" xr:uid="{00000000-0005-0000-0000-0000EE050000}"/>
    <cellStyle name="1_시민계략공사_북문로(팔마로)가로등설치공사(변경)3월11일 2" xfId="2569" xr:uid="{00000000-0005-0000-0000-0000EF050000}"/>
    <cellStyle name="1_시민계략공사_북문로(팔마로)가로등설치공사(변경)3월11일 3" xfId="2570" xr:uid="{00000000-0005-0000-0000-0000F0050000}"/>
    <cellStyle name="1_시민계략공사_북문로(팔마로)가로등설치공사NO34번까지시행분" xfId="2571" xr:uid="{00000000-0005-0000-0000-0000F1050000}"/>
    <cellStyle name="1_시민계략공사_북문로(팔마로)가로등설치공사NO34번까지시행분 2" xfId="2572" xr:uid="{00000000-0005-0000-0000-0000F2050000}"/>
    <cellStyle name="1_시민계략공사_북문로(팔마로)가로등설치공사NO34번까지시행분 3" xfId="2573" xr:uid="{00000000-0005-0000-0000-0000F3050000}"/>
    <cellStyle name="1_시민계략공사_북문로(팔마로)교통신호등설치공사NO34번까지" xfId="2574" xr:uid="{00000000-0005-0000-0000-0000F4050000}"/>
    <cellStyle name="1_시민계략공사_북문로(팔마로)교통신호등설치공사NO34번까지 2" xfId="2575" xr:uid="{00000000-0005-0000-0000-0000F5050000}"/>
    <cellStyle name="1_시민계략공사_북문로(팔마로)교통신호등설치공사NO34번까지 3" xfId="2576" xr:uid="{00000000-0005-0000-0000-0000F6050000}"/>
    <cellStyle name="1_시민계략공사_북문팔마로확포장공사가로등" xfId="2577" xr:uid="{00000000-0005-0000-0000-0000F7050000}"/>
    <cellStyle name="1_시민계략공사_북문팔마로확포장공사가로등 2" xfId="2578" xr:uid="{00000000-0005-0000-0000-0000F8050000}"/>
    <cellStyle name="1_시민계략공사_북문팔마로확포장공사가로등 3" xfId="2579" xr:uid="{00000000-0005-0000-0000-0000F9050000}"/>
    <cellStyle name="1_시민계략공사_비상부하,발전기용량 계산서" xfId="2580" xr:uid="{00000000-0005-0000-0000-0000FA050000}"/>
    <cellStyle name="1_시민계략공사_비상부하,발전기용량 계산서_00-설계서,원가계산,내역서" xfId="2581" xr:uid="{00000000-0005-0000-0000-0000FB050000}"/>
    <cellStyle name="1_시민계략공사_비상부하,발전기용량 계산서_내역서(전기)" xfId="2582" xr:uid="{00000000-0005-0000-0000-0000FC050000}"/>
    <cellStyle name="1_시민계략공사_비상부하,발전기용량 계산서_내역서(전기)_00-설계서,원가계산,내역서" xfId="2583" xr:uid="{00000000-0005-0000-0000-0000FD050000}"/>
    <cellStyle name="1_시민계략공사_여수오동도분수(사급)R2" xfId="2584" xr:uid="{00000000-0005-0000-0000-0000FE050000}"/>
    <cellStyle name="1_시민계략공사_여수오동도분수(사급)R2 2" xfId="2585" xr:uid="{00000000-0005-0000-0000-0000FF050000}"/>
    <cellStyle name="1_시민계략공사_여수오동도분수(사급)R2 3" xfId="2586" xr:uid="{00000000-0005-0000-0000-000000060000}"/>
    <cellStyle name="1_시민계략공사_오동도음악분수수전설비공사(1차전기)" xfId="2587" xr:uid="{00000000-0005-0000-0000-000001060000}"/>
    <cellStyle name="1_시민계략공사_율촌중학교심야전기" xfId="2588" xr:uid="{00000000-0005-0000-0000-000002060000}"/>
    <cellStyle name="1_시민계략공사_율촌중학교심야전기 2" xfId="2589" xr:uid="{00000000-0005-0000-0000-000003060000}"/>
    <cellStyle name="1_시민계략공사_율촌중학교심야전기 3" xfId="2590" xr:uid="{00000000-0005-0000-0000-000004060000}"/>
    <cellStyle name="1_시민계략공사_전기-한남" xfId="2591" xr:uid="{00000000-0005-0000-0000-000005060000}"/>
    <cellStyle name="1_시민계략공사_조도계산서" xfId="2592" xr:uid="{00000000-0005-0000-0000-000006060000}"/>
    <cellStyle name="1_시민계략공사_조도계산서_00-설계서,원가계산,내역서" xfId="2593" xr:uid="{00000000-0005-0000-0000-000007060000}"/>
    <cellStyle name="1_시민계략공사_조도계산서_내역서(전기)" xfId="2594" xr:uid="{00000000-0005-0000-0000-000008060000}"/>
    <cellStyle name="1_시민계략공사_조도계산서_내역서(전기)_00-설계서,원가계산,내역서" xfId="2595" xr:uid="{00000000-0005-0000-0000-000009060000}"/>
    <cellStyle name="1_시민계략공사_Book2" xfId="2534" xr:uid="{00000000-0005-0000-0000-0000CC050000}"/>
    <cellStyle name="1_시민계략공사_Book2 2" xfId="2535" xr:uid="{00000000-0005-0000-0000-0000CD050000}"/>
    <cellStyle name="1_시민계략공사_Book2 3" xfId="2536" xr:uid="{00000000-0005-0000-0000-0000CE050000}"/>
    <cellStyle name="1_연안권역특화거리조성을위한음악분수대설치R6(제출EBS)-설비,전기,관리실" xfId="2596" xr:uid="{00000000-0005-0000-0000-00000A060000}"/>
    <cellStyle name="1_이문동(철거수량산출서)-1" xfId="2597" xr:uid="{00000000-0005-0000-0000-00000B060000}"/>
    <cellStyle name="1_이문동구간중랑천변녹화사업(수량산출서, 071127)-최종" xfId="2598" xr:uid="{00000000-0005-0000-0000-00000C060000}"/>
    <cellStyle name="1_일위대가공식2004" xfId="2599" xr:uid="{00000000-0005-0000-0000-00000D060000}"/>
    <cellStyle name="1_일위대가공식2005" xfId="2600" xr:uid="{00000000-0005-0000-0000-00000E060000}"/>
    <cellStyle name="1_폐기물" xfId="2601" xr:uid="{00000000-0005-0000-0000-00000F060000}"/>
    <cellStyle name="1_폐기물집계" xfId="2602" xr:uid="{00000000-0005-0000-0000-000010060000}"/>
    <cellStyle name="1_현충묘지-수량산출서" xfId="2603" xr:uid="{00000000-0005-0000-0000-000011060000}"/>
    <cellStyle name="1_laroux" xfId="1123" xr:uid="{00000000-0005-0000-0000-000049000000}"/>
    <cellStyle name="1_laroux_ATC-YOON1" xfId="1124" xr:uid="{00000000-0005-0000-0000-00004A000000}"/>
    <cellStyle name="1_total" xfId="1125" xr:uid="{00000000-0005-0000-0000-00004B000000}"/>
    <cellStyle name="1_total_00-설계서,원가계산,내역서" xfId="1126" xr:uid="{00000000-0005-0000-0000-00004C000000}"/>
    <cellStyle name="1_total_00-수량산출서" xfId="1127" xr:uid="{00000000-0005-0000-0000-00004D000000}"/>
    <cellStyle name="1_total_00-수량산출서_00-설계서,원가계산,내역서" xfId="1128" xr:uid="{00000000-0005-0000-0000-00004E000000}"/>
    <cellStyle name="1_total_01-내역서(071118)" xfId="1129" xr:uid="{00000000-0005-0000-0000-00004F000000}"/>
    <cellStyle name="1_total_01-내역서(071118)_00-설계서,원가계산,내역서" xfId="1130" xr:uid="{00000000-0005-0000-0000-000050000000}"/>
    <cellStyle name="1_total_구로리총괄내역" xfId="1131" xr:uid="{00000000-0005-0000-0000-000051000000}"/>
    <cellStyle name="1_total_구로리총괄내역_00-설계서,원가계산,내역서" xfId="1132" xr:uid="{00000000-0005-0000-0000-000052000000}"/>
    <cellStyle name="1_total_구로리총괄내역_구로리설계예산서1029" xfId="1133" xr:uid="{00000000-0005-0000-0000-000053000000}"/>
    <cellStyle name="1_total_구로리총괄내역_구로리설계예산서1029_00-설계서,원가계산,내역서" xfId="1134" xr:uid="{00000000-0005-0000-0000-000054000000}"/>
    <cellStyle name="1_total_구로리총괄내역_구로리설계예산서1029_설계서-1" xfId="1135" xr:uid="{00000000-0005-0000-0000-000055000000}"/>
    <cellStyle name="1_total_구로리총괄내역_구로리설계예산서1029_설계서-1_00-설계서,원가계산,내역서" xfId="1136" xr:uid="{00000000-0005-0000-0000-000056000000}"/>
    <cellStyle name="1_total_구로리총괄내역_구로리설계예산서1029_진해자은수량산출서(단지내)" xfId="1137" xr:uid="{00000000-0005-0000-0000-000057000000}"/>
    <cellStyle name="1_total_구로리총괄내역_구로리설계예산서1029_진해자은수량산출서(단지내)_00-설계서,원가계산,내역서" xfId="1138" xr:uid="{00000000-0005-0000-0000-000058000000}"/>
    <cellStyle name="1_total_구로리총괄내역_구로리설계예산서1029_진해자은수량산출서(단지내)_기초산출표-56-128-최종" xfId="1139" xr:uid="{00000000-0005-0000-0000-000059000000}"/>
    <cellStyle name="1_total_구로리총괄내역_구로리설계예산서1029_진해자은수량산출서(단지내)_기초산출표-56-128-최종_00-설계서,원가계산,내역서" xfId="1140" xr:uid="{00000000-0005-0000-0000-00005A000000}"/>
    <cellStyle name="1_total_구로리총괄내역_구로리설계예산서1029_진해자은수량산출서(단지내)_기초산출표-56-128-최종_설계서-1" xfId="1141" xr:uid="{00000000-0005-0000-0000-00005B000000}"/>
    <cellStyle name="1_total_구로리총괄내역_구로리설계예산서1029_진해자은수량산출서(단지내)_기초산출표-56-128-최종_설계서-1_00-설계서,원가계산,내역서" xfId="1142" xr:uid="{00000000-0005-0000-0000-00005C000000}"/>
    <cellStyle name="1_total_구로리총괄내역_구로리설계예산서1029_진해자은수량산출서(단지내)_설계서-1" xfId="1143" xr:uid="{00000000-0005-0000-0000-00005D000000}"/>
    <cellStyle name="1_total_구로리총괄내역_구로리설계예산서1029_진해자은수량산출서(단지내)_설계서-1_00-설계서,원가계산,내역서" xfId="1144" xr:uid="{00000000-0005-0000-0000-00005E000000}"/>
    <cellStyle name="1_total_구로리총괄내역_구로리설계예산서1029_진해자은수량산출서(단지내)_취합" xfId="1145" xr:uid="{00000000-0005-0000-0000-00005F000000}"/>
    <cellStyle name="1_total_구로리총괄내역_구로리설계예산서1029_진해자은수량산출서(단지내)_취합_00-설계서,원가계산,내역서" xfId="1146" xr:uid="{00000000-0005-0000-0000-000060000000}"/>
    <cellStyle name="1_total_구로리총괄내역_구로리설계예산서1029_진해자은수량산출서(단지내)_취합_설계서-1" xfId="1147" xr:uid="{00000000-0005-0000-0000-000061000000}"/>
    <cellStyle name="1_total_구로리총괄내역_구로리설계예산서1029_진해자은수량산출서(단지내)_취합_설계서-1_00-설계서,원가계산,내역서" xfId="1148" xr:uid="{00000000-0005-0000-0000-000062000000}"/>
    <cellStyle name="1_total_구로리총괄내역_구로리설계예산서1118준공" xfId="1149" xr:uid="{00000000-0005-0000-0000-000063000000}"/>
    <cellStyle name="1_total_구로리총괄내역_구로리설계예산서1118준공_00-설계서,원가계산,내역서" xfId="1150" xr:uid="{00000000-0005-0000-0000-000064000000}"/>
    <cellStyle name="1_total_구로리총괄내역_구로리설계예산서1118준공_설계서-1" xfId="1151" xr:uid="{00000000-0005-0000-0000-000065000000}"/>
    <cellStyle name="1_total_구로리총괄내역_구로리설계예산서1118준공_설계서-1_00-설계서,원가계산,내역서" xfId="1152" xr:uid="{00000000-0005-0000-0000-000066000000}"/>
    <cellStyle name="1_total_구로리총괄내역_구로리설계예산서1118준공_진해자은수량산출서(단지내)" xfId="1153" xr:uid="{00000000-0005-0000-0000-000067000000}"/>
    <cellStyle name="1_total_구로리총괄내역_구로리설계예산서1118준공_진해자은수량산출서(단지내)_00-설계서,원가계산,내역서" xfId="1154" xr:uid="{00000000-0005-0000-0000-000068000000}"/>
    <cellStyle name="1_total_구로리총괄내역_구로리설계예산서1118준공_진해자은수량산출서(단지내)_기초산출표-56-128-최종" xfId="1155" xr:uid="{00000000-0005-0000-0000-000069000000}"/>
    <cellStyle name="1_total_구로리총괄내역_구로리설계예산서1118준공_진해자은수량산출서(단지내)_기초산출표-56-128-최종_00-설계서,원가계산,내역서" xfId="1156" xr:uid="{00000000-0005-0000-0000-00006A000000}"/>
    <cellStyle name="1_total_구로리총괄내역_구로리설계예산서1118준공_진해자은수량산출서(단지내)_기초산출표-56-128-최종_설계서-1" xfId="1157" xr:uid="{00000000-0005-0000-0000-00006B000000}"/>
    <cellStyle name="1_total_구로리총괄내역_구로리설계예산서1118준공_진해자은수량산출서(단지내)_기초산출표-56-128-최종_설계서-1_00-설계서,원가계산,내역서" xfId="1158" xr:uid="{00000000-0005-0000-0000-00006C000000}"/>
    <cellStyle name="1_total_구로리총괄내역_구로리설계예산서1118준공_진해자은수량산출서(단지내)_설계서-1" xfId="1159" xr:uid="{00000000-0005-0000-0000-00006D000000}"/>
    <cellStyle name="1_total_구로리총괄내역_구로리설계예산서1118준공_진해자은수량산출서(단지내)_설계서-1_00-설계서,원가계산,내역서" xfId="1160" xr:uid="{00000000-0005-0000-0000-00006E000000}"/>
    <cellStyle name="1_total_구로리총괄내역_구로리설계예산서1118준공_진해자은수량산출서(단지내)_취합" xfId="1161" xr:uid="{00000000-0005-0000-0000-00006F000000}"/>
    <cellStyle name="1_total_구로리총괄내역_구로리설계예산서1118준공_진해자은수량산출서(단지내)_취합_00-설계서,원가계산,내역서" xfId="1162" xr:uid="{00000000-0005-0000-0000-000070000000}"/>
    <cellStyle name="1_total_구로리총괄내역_구로리설계예산서1118준공_진해자은수량산출서(단지내)_취합_설계서-1" xfId="1163" xr:uid="{00000000-0005-0000-0000-000071000000}"/>
    <cellStyle name="1_total_구로리총괄내역_구로리설계예산서1118준공_진해자은수량산출서(단지내)_취합_설계서-1_00-설계서,원가계산,내역서" xfId="1164" xr:uid="{00000000-0005-0000-0000-000072000000}"/>
    <cellStyle name="1_total_구로리총괄내역_구로리설계예산서조경" xfId="1165" xr:uid="{00000000-0005-0000-0000-000073000000}"/>
    <cellStyle name="1_total_구로리총괄내역_구로리설계예산서조경_00-설계서,원가계산,내역서" xfId="1166" xr:uid="{00000000-0005-0000-0000-000074000000}"/>
    <cellStyle name="1_total_구로리총괄내역_구로리설계예산서조경_설계서-1" xfId="1167" xr:uid="{00000000-0005-0000-0000-000075000000}"/>
    <cellStyle name="1_total_구로리총괄내역_구로리설계예산서조경_설계서-1_00-설계서,원가계산,내역서" xfId="1168" xr:uid="{00000000-0005-0000-0000-000076000000}"/>
    <cellStyle name="1_total_구로리총괄내역_구로리설계예산서조경_진해자은수량산출서(단지내)" xfId="1169" xr:uid="{00000000-0005-0000-0000-000077000000}"/>
    <cellStyle name="1_total_구로리총괄내역_구로리설계예산서조경_진해자은수량산출서(단지내)_00-설계서,원가계산,내역서" xfId="1170" xr:uid="{00000000-0005-0000-0000-000078000000}"/>
    <cellStyle name="1_total_구로리총괄내역_구로리설계예산서조경_진해자은수량산출서(단지내)_기초산출표-56-128-최종" xfId="1171" xr:uid="{00000000-0005-0000-0000-000079000000}"/>
    <cellStyle name="1_total_구로리총괄내역_구로리설계예산서조경_진해자은수량산출서(단지내)_기초산출표-56-128-최종_00-설계서,원가계산,내역서" xfId="1172" xr:uid="{00000000-0005-0000-0000-00007A000000}"/>
    <cellStyle name="1_total_구로리총괄내역_구로리설계예산서조경_진해자은수량산출서(단지내)_기초산출표-56-128-최종_설계서-1" xfId="1173" xr:uid="{00000000-0005-0000-0000-00007B000000}"/>
    <cellStyle name="1_total_구로리총괄내역_구로리설계예산서조경_진해자은수량산출서(단지내)_기초산출표-56-128-최종_설계서-1_00-설계서,원가계산,내역서" xfId="1174" xr:uid="{00000000-0005-0000-0000-00007C000000}"/>
    <cellStyle name="1_total_구로리총괄내역_구로리설계예산서조경_진해자은수량산출서(단지내)_설계서-1" xfId="1175" xr:uid="{00000000-0005-0000-0000-00007D000000}"/>
    <cellStyle name="1_total_구로리총괄내역_구로리설계예산서조경_진해자은수량산출서(단지내)_설계서-1_00-설계서,원가계산,내역서" xfId="1176" xr:uid="{00000000-0005-0000-0000-00007E000000}"/>
    <cellStyle name="1_total_구로리총괄내역_구로리설계예산서조경_진해자은수량산출서(단지내)_취합" xfId="1177" xr:uid="{00000000-0005-0000-0000-00007F000000}"/>
    <cellStyle name="1_total_구로리총괄내역_구로리설계예산서조경_진해자은수량산출서(단지내)_취합_00-설계서,원가계산,내역서" xfId="1178" xr:uid="{00000000-0005-0000-0000-000080000000}"/>
    <cellStyle name="1_total_구로리총괄내역_구로리설계예산서조경_진해자은수량산출서(단지내)_취합_설계서-1" xfId="1179" xr:uid="{00000000-0005-0000-0000-000081000000}"/>
    <cellStyle name="1_total_구로리총괄내역_구로리설계예산서조경_진해자은수량산출서(단지내)_취합_설계서-1_00-설계서,원가계산,내역서" xfId="1180" xr:uid="{00000000-0005-0000-0000-000082000000}"/>
    <cellStyle name="1_total_구로리총괄내역_구로리어린이공원예산서(조경)1125" xfId="1181" xr:uid="{00000000-0005-0000-0000-000083000000}"/>
    <cellStyle name="1_total_구로리총괄내역_구로리어린이공원예산서(조경)1125_00-설계서,원가계산,내역서" xfId="1182" xr:uid="{00000000-0005-0000-0000-000084000000}"/>
    <cellStyle name="1_total_구로리총괄내역_구로리어린이공원예산서(조경)1125_설계서-1" xfId="1183" xr:uid="{00000000-0005-0000-0000-000085000000}"/>
    <cellStyle name="1_total_구로리총괄내역_구로리어린이공원예산서(조경)1125_설계서-1_00-설계서,원가계산,내역서" xfId="1184" xr:uid="{00000000-0005-0000-0000-000086000000}"/>
    <cellStyle name="1_total_구로리총괄내역_구로리어린이공원예산서(조경)1125_진해자은수량산출서(단지내)" xfId="1185" xr:uid="{00000000-0005-0000-0000-000087000000}"/>
    <cellStyle name="1_total_구로리총괄내역_구로리어린이공원예산서(조경)1125_진해자은수량산출서(단지내)_00-설계서,원가계산,내역서" xfId="1186" xr:uid="{00000000-0005-0000-0000-000088000000}"/>
    <cellStyle name="1_total_구로리총괄내역_구로리어린이공원예산서(조경)1125_진해자은수량산출서(단지내)_기초산출표-56-128-최종" xfId="1187" xr:uid="{00000000-0005-0000-0000-000089000000}"/>
    <cellStyle name="1_total_구로리총괄내역_구로리어린이공원예산서(조경)1125_진해자은수량산출서(단지내)_기초산출표-56-128-최종_00-설계서,원가계산,내역서" xfId="1188" xr:uid="{00000000-0005-0000-0000-00008A000000}"/>
    <cellStyle name="1_total_구로리총괄내역_구로리어린이공원예산서(조경)1125_진해자은수량산출서(단지내)_기초산출표-56-128-최종_설계서-1" xfId="1189" xr:uid="{00000000-0005-0000-0000-00008B000000}"/>
    <cellStyle name="1_total_구로리총괄내역_구로리어린이공원예산서(조경)1125_진해자은수량산출서(단지내)_기초산출표-56-128-최종_설계서-1_00-설계서,원가계산,내역서" xfId="1190" xr:uid="{00000000-0005-0000-0000-00008C000000}"/>
    <cellStyle name="1_total_구로리총괄내역_구로리어린이공원예산서(조경)1125_진해자은수량산출서(단지내)_설계서-1" xfId="1191" xr:uid="{00000000-0005-0000-0000-00008D000000}"/>
    <cellStyle name="1_total_구로리총괄내역_구로리어린이공원예산서(조경)1125_진해자은수량산출서(단지내)_설계서-1_00-설계서,원가계산,내역서" xfId="1192" xr:uid="{00000000-0005-0000-0000-00008E000000}"/>
    <cellStyle name="1_total_구로리총괄내역_구로리어린이공원예산서(조경)1125_진해자은수량산출서(단지내)_취합" xfId="1193" xr:uid="{00000000-0005-0000-0000-00008F000000}"/>
    <cellStyle name="1_total_구로리총괄내역_구로리어린이공원예산서(조경)1125_진해자은수량산출서(단지내)_취합_00-설계서,원가계산,내역서" xfId="1194" xr:uid="{00000000-0005-0000-0000-000090000000}"/>
    <cellStyle name="1_total_구로리총괄내역_구로리어린이공원예산서(조경)1125_진해자은수량산출서(단지내)_취합_설계서-1" xfId="1195" xr:uid="{00000000-0005-0000-0000-000091000000}"/>
    <cellStyle name="1_total_구로리총괄내역_구로리어린이공원예산서(조경)1125_진해자은수량산출서(단지내)_취합_설계서-1_00-설계서,원가계산,내역서" xfId="1196" xr:uid="{00000000-0005-0000-0000-000092000000}"/>
    <cellStyle name="1_total_구로리총괄내역_내역서" xfId="1197" xr:uid="{00000000-0005-0000-0000-000093000000}"/>
    <cellStyle name="1_total_구로리총괄내역_내역서_00-설계서,원가계산,내역서" xfId="1198" xr:uid="{00000000-0005-0000-0000-000094000000}"/>
    <cellStyle name="1_total_구로리총괄내역_내역서_설계서-1" xfId="1199" xr:uid="{00000000-0005-0000-0000-000095000000}"/>
    <cellStyle name="1_total_구로리총괄내역_내역서_설계서-1_00-설계서,원가계산,내역서" xfId="1200" xr:uid="{00000000-0005-0000-0000-000096000000}"/>
    <cellStyle name="1_total_구로리총괄내역_내역서_진해자은수량산출서(단지내)" xfId="1201" xr:uid="{00000000-0005-0000-0000-000097000000}"/>
    <cellStyle name="1_total_구로리총괄내역_내역서_진해자은수량산출서(단지내)_00-설계서,원가계산,내역서" xfId="1202" xr:uid="{00000000-0005-0000-0000-000098000000}"/>
    <cellStyle name="1_total_구로리총괄내역_내역서_진해자은수량산출서(단지내)_기초산출표-56-128-최종" xfId="1203" xr:uid="{00000000-0005-0000-0000-000099000000}"/>
    <cellStyle name="1_total_구로리총괄내역_내역서_진해자은수량산출서(단지내)_기초산출표-56-128-최종_00-설계서,원가계산,내역서" xfId="1204" xr:uid="{00000000-0005-0000-0000-00009A000000}"/>
    <cellStyle name="1_total_구로리총괄내역_내역서_진해자은수량산출서(단지내)_기초산출표-56-128-최종_설계서-1" xfId="1205" xr:uid="{00000000-0005-0000-0000-00009B000000}"/>
    <cellStyle name="1_total_구로리총괄내역_내역서_진해자은수량산출서(단지내)_기초산출표-56-128-최종_설계서-1_00-설계서,원가계산,내역서" xfId="1206" xr:uid="{00000000-0005-0000-0000-00009C000000}"/>
    <cellStyle name="1_total_구로리총괄내역_내역서_진해자은수량산출서(단지내)_설계서-1" xfId="1207" xr:uid="{00000000-0005-0000-0000-00009D000000}"/>
    <cellStyle name="1_total_구로리총괄내역_내역서_진해자은수량산출서(단지내)_설계서-1_00-설계서,원가계산,내역서" xfId="1208" xr:uid="{00000000-0005-0000-0000-00009E000000}"/>
    <cellStyle name="1_total_구로리총괄내역_내역서_진해자은수량산출서(단지내)_취합" xfId="1209" xr:uid="{00000000-0005-0000-0000-00009F000000}"/>
    <cellStyle name="1_total_구로리총괄내역_내역서_진해자은수량산출서(단지내)_취합_00-설계서,원가계산,내역서" xfId="1210" xr:uid="{00000000-0005-0000-0000-0000A0000000}"/>
    <cellStyle name="1_total_구로리총괄내역_내역서_진해자은수량산출서(단지내)_취합_설계서-1" xfId="1211" xr:uid="{00000000-0005-0000-0000-0000A1000000}"/>
    <cellStyle name="1_total_구로리총괄내역_내역서_진해자은수량산출서(단지내)_취합_설계서-1_00-설계서,원가계산,내역서" xfId="1212" xr:uid="{00000000-0005-0000-0000-0000A2000000}"/>
    <cellStyle name="1_total_구로리총괄내역_노임단가표" xfId="1213" xr:uid="{00000000-0005-0000-0000-0000A3000000}"/>
    <cellStyle name="1_total_구로리총괄내역_노임단가표_00-설계서,원가계산,내역서" xfId="1214" xr:uid="{00000000-0005-0000-0000-0000A4000000}"/>
    <cellStyle name="1_total_구로리총괄내역_노임단가표_설계서-1" xfId="1215" xr:uid="{00000000-0005-0000-0000-0000A5000000}"/>
    <cellStyle name="1_total_구로리총괄내역_노임단가표_설계서-1_00-설계서,원가계산,내역서" xfId="1216" xr:uid="{00000000-0005-0000-0000-0000A6000000}"/>
    <cellStyle name="1_total_구로리총괄내역_노임단가표_진해자은수량산출서(단지내)" xfId="1217" xr:uid="{00000000-0005-0000-0000-0000A7000000}"/>
    <cellStyle name="1_total_구로리총괄내역_노임단가표_진해자은수량산출서(단지내)_00-설계서,원가계산,내역서" xfId="1218" xr:uid="{00000000-0005-0000-0000-0000A8000000}"/>
    <cellStyle name="1_total_구로리총괄내역_노임단가표_진해자은수량산출서(단지내)_기초산출표-56-128-최종" xfId="1219" xr:uid="{00000000-0005-0000-0000-0000A9000000}"/>
    <cellStyle name="1_total_구로리총괄내역_노임단가표_진해자은수량산출서(단지내)_기초산출표-56-128-최종_00-설계서,원가계산,내역서" xfId="1220" xr:uid="{00000000-0005-0000-0000-0000AA000000}"/>
    <cellStyle name="1_total_구로리총괄내역_노임단가표_진해자은수량산출서(단지내)_기초산출표-56-128-최종_설계서-1" xfId="1221" xr:uid="{00000000-0005-0000-0000-0000AB000000}"/>
    <cellStyle name="1_total_구로리총괄내역_노임단가표_진해자은수량산출서(단지내)_기초산출표-56-128-최종_설계서-1_00-설계서,원가계산,내역서" xfId="1222" xr:uid="{00000000-0005-0000-0000-0000AC000000}"/>
    <cellStyle name="1_total_구로리총괄내역_노임단가표_진해자은수량산출서(단지내)_설계서-1" xfId="1223" xr:uid="{00000000-0005-0000-0000-0000AD000000}"/>
    <cellStyle name="1_total_구로리총괄내역_노임단가표_진해자은수량산출서(단지내)_설계서-1_00-설계서,원가계산,내역서" xfId="1224" xr:uid="{00000000-0005-0000-0000-0000AE000000}"/>
    <cellStyle name="1_total_구로리총괄내역_노임단가표_진해자은수량산출서(단지내)_취합" xfId="1225" xr:uid="{00000000-0005-0000-0000-0000AF000000}"/>
    <cellStyle name="1_total_구로리총괄내역_노임단가표_진해자은수량산출서(단지내)_취합_00-설계서,원가계산,내역서" xfId="1226" xr:uid="{00000000-0005-0000-0000-0000B0000000}"/>
    <cellStyle name="1_total_구로리총괄내역_노임단가표_진해자은수량산출서(단지내)_취합_설계서-1" xfId="1227" xr:uid="{00000000-0005-0000-0000-0000B1000000}"/>
    <cellStyle name="1_total_구로리총괄내역_노임단가표_진해자은수량산출서(단지내)_취합_설계서-1_00-설계서,원가계산,내역서" xfId="1228" xr:uid="{00000000-0005-0000-0000-0000B2000000}"/>
    <cellStyle name="1_total_구로리총괄내역_설계서-1" xfId="1229" xr:uid="{00000000-0005-0000-0000-0000B3000000}"/>
    <cellStyle name="1_total_구로리총괄내역_설계서-1_00-설계서,원가계산,내역서" xfId="1230" xr:uid="{00000000-0005-0000-0000-0000B4000000}"/>
    <cellStyle name="1_total_구로리총괄내역_수도권매립지" xfId="1231" xr:uid="{00000000-0005-0000-0000-0000B5000000}"/>
    <cellStyle name="1_total_구로리총괄내역_수도권매립지_00-설계서,원가계산,내역서" xfId="1232" xr:uid="{00000000-0005-0000-0000-0000C6000000}"/>
    <cellStyle name="1_total_구로리총괄내역_수도권매립지_설계서-1" xfId="1233" xr:uid="{00000000-0005-0000-0000-0000C7000000}"/>
    <cellStyle name="1_total_구로리총괄내역_수도권매립지_설계서-1_00-설계서,원가계산,내역서" xfId="1234" xr:uid="{00000000-0005-0000-0000-0000C8000000}"/>
    <cellStyle name="1_total_구로리총괄내역_수도권매립지_진해자은수량산출서(단지내)" xfId="1235" xr:uid="{00000000-0005-0000-0000-0000C9000000}"/>
    <cellStyle name="1_total_구로리총괄내역_수도권매립지_진해자은수량산출서(단지내)_00-설계서,원가계산,내역서" xfId="1236" xr:uid="{00000000-0005-0000-0000-0000CA000000}"/>
    <cellStyle name="1_total_구로리총괄내역_수도권매립지_진해자은수량산출서(단지내)_기초산출표-56-128-최종" xfId="1237" xr:uid="{00000000-0005-0000-0000-0000CB000000}"/>
    <cellStyle name="1_total_구로리총괄내역_수도권매립지_진해자은수량산출서(단지내)_기초산출표-56-128-최종_00-설계서,원가계산,내역서" xfId="1238" xr:uid="{00000000-0005-0000-0000-0000CC000000}"/>
    <cellStyle name="1_total_구로리총괄내역_수도권매립지_진해자은수량산출서(단지내)_기초산출표-56-128-최종_설계서-1" xfId="1239" xr:uid="{00000000-0005-0000-0000-0000CD000000}"/>
    <cellStyle name="1_total_구로리총괄내역_수도권매립지_진해자은수량산출서(단지내)_기초산출표-56-128-최종_설계서-1_00-설계서,원가계산,내역서" xfId="1240" xr:uid="{00000000-0005-0000-0000-0000CE000000}"/>
    <cellStyle name="1_total_구로리총괄내역_수도권매립지_진해자은수량산출서(단지내)_설계서-1" xfId="1241" xr:uid="{00000000-0005-0000-0000-0000CF000000}"/>
    <cellStyle name="1_total_구로리총괄내역_수도권매립지_진해자은수량산출서(단지내)_설계서-1_00-설계서,원가계산,내역서" xfId="1242" xr:uid="{00000000-0005-0000-0000-0000D0000000}"/>
    <cellStyle name="1_total_구로리총괄내역_수도권매립지_진해자은수량산출서(단지내)_취합" xfId="1243" xr:uid="{00000000-0005-0000-0000-0000D1000000}"/>
    <cellStyle name="1_total_구로리총괄내역_수도권매립지_진해자은수량산출서(단지내)_취합_00-설계서,원가계산,내역서" xfId="1244" xr:uid="{00000000-0005-0000-0000-0000D2000000}"/>
    <cellStyle name="1_total_구로리총괄내역_수도권매립지_진해자은수량산출서(단지내)_취합_설계서-1" xfId="1245" xr:uid="{00000000-0005-0000-0000-0000D3000000}"/>
    <cellStyle name="1_total_구로리총괄내역_수도권매립지_진해자은수량산출서(단지내)_취합_설계서-1_00-설계서,원가계산,내역서" xfId="1246" xr:uid="{00000000-0005-0000-0000-0000D4000000}"/>
    <cellStyle name="1_total_구로리총괄내역_수도권매립지1004(발주용)" xfId="1247" xr:uid="{00000000-0005-0000-0000-0000B6000000}"/>
    <cellStyle name="1_total_구로리총괄내역_수도권매립지1004(발주용)_00-설계서,원가계산,내역서" xfId="1248" xr:uid="{00000000-0005-0000-0000-0000B7000000}"/>
    <cellStyle name="1_total_구로리총괄내역_수도권매립지1004(발주용)_설계서-1" xfId="1249" xr:uid="{00000000-0005-0000-0000-0000B8000000}"/>
    <cellStyle name="1_total_구로리총괄내역_수도권매립지1004(발주용)_설계서-1_00-설계서,원가계산,내역서" xfId="1250" xr:uid="{00000000-0005-0000-0000-0000B9000000}"/>
    <cellStyle name="1_total_구로리총괄내역_수도권매립지1004(발주용)_진해자은수량산출서(단지내)" xfId="1251" xr:uid="{00000000-0005-0000-0000-0000BA000000}"/>
    <cellStyle name="1_total_구로리총괄내역_수도권매립지1004(발주용)_진해자은수량산출서(단지내)_00-설계서,원가계산,내역서" xfId="1252" xr:uid="{00000000-0005-0000-0000-0000BB000000}"/>
    <cellStyle name="1_total_구로리총괄내역_수도권매립지1004(발주용)_진해자은수량산출서(단지내)_기초산출표-56-128-최종" xfId="1253" xr:uid="{00000000-0005-0000-0000-0000BC000000}"/>
    <cellStyle name="1_total_구로리총괄내역_수도권매립지1004(발주용)_진해자은수량산출서(단지내)_기초산출표-56-128-최종_00-설계서,원가계산,내역서" xfId="1254" xr:uid="{00000000-0005-0000-0000-0000BD000000}"/>
    <cellStyle name="1_total_구로리총괄내역_수도권매립지1004(발주용)_진해자은수량산출서(단지내)_기초산출표-56-128-최종_설계서-1" xfId="1255" xr:uid="{00000000-0005-0000-0000-0000BE000000}"/>
    <cellStyle name="1_total_구로리총괄내역_수도권매립지1004(발주용)_진해자은수량산출서(단지내)_기초산출표-56-128-최종_설계서-1_00-설계서,원가계산,내역서" xfId="1256" xr:uid="{00000000-0005-0000-0000-0000BF000000}"/>
    <cellStyle name="1_total_구로리총괄내역_수도권매립지1004(발주용)_진해자은수량산출서(단지내)_설계서-1" xfId="1257" xr:uid="{00000000-0005-0000-0000-0000C0000000}"/>
    <cellStyle name="1_total_구로리총괄내역_수도권매립지1004(발주용)_진해자은수량산출서(단지내)_설계서-1_00-설계서,원가계산,내역서" xfId="1258" xr:uid="{00000000-0005-0000-0000-0000C1000000}"/>
    <cellStyle name="1_total_구로리총괄내역_수도권매립지1004(발주용)_진해자은수량산출서(단지내)_취합" xfId="1259" xr:uid="{00000000-0005-0000-0000-0000C2000000}"/>
    <cellStyle name="1_total_구로리총괄내역_수도권매립지1004(발주용)_진해자은수량산출서(단지내)_취합_00-설계서,원가계산,내역서" xfId="1260" xr:uid="{00000000-0005-0000-0000-0000C3000000}"/>
    <cellStyle name="1_total_구로리총괄내역_수도권매립지1004(발주용)_진해자은수량산출서(단지내)_취합_설계서-1" xfId="1261" xr:uid="{00000000-0005-0000-0000-0000C4000000}"/>
    <cellStyle name="1_total_구로리총괄내역_수도권매립지1004(발주용)_진해자은수량산출서(단지내)_취합_설계서-1_00-설계서,원가계산,내역서" xfId="1262" xr:uid="{00000000-0005-0000-0000-0000C5000000}"/>
    <cellStyle name="1_total_구로리총괄내역_일신건영설계예산서(0211)" xfId="1263" xr:uid="{00000000-0005-0000-0000-0000D5000000}"/>
    <cellStyle name="1_total_구로리총괄내역_일신건영설계예산서(0211)_00-설계서,원가계산,내역서" xfId="1264" xr:uid="{00000000-0005-0000-0000-0000D6000000}"/>
    <cellStyle name="1_total_구로리총괄내역_일신건영설계예산서(0211)_설계서-1" xfId="1265" xr:uid="{00000000-0005-0000-0000-0000D7000000}"/>
    <cellStyle name="1_total_구로리총괄내역_일신건영설계예산서(0211)_설계서-1_00-설계서,원가계산,내역서" xfId="1266" xr:uid="{00000000-0005-0000-0000-0000D8000000}"/>
    <cellStyle name="1_total_구로리총괄내역_일신건영설계예산서(0211)_진해자은수량산출서(단지내)" xfId="1267" xr:uid="{00000000-0005-0000-0000-0000D9000000}"/>
    <cellStyle name="1_total_구로리총괄내역_일신건영설계예산서(0211)_진해자은수량산출서(단지내)_00-설계서,원가계산,내역서" xfId="1268" xr:uid="{00000000-0005-0000-0000-0000DA000000}"/>
    <cellStyle name="1_total_구로리총괄내역_일신건영설계예산서(0211)_진해자은수량산출서(단지내)_기초산출표-56-128-최종" xfId="1269" xr:uid="{00000000-0005-0000-0000-0000DB000000}"/>
    <cellStyle name="1_total_구로리총괄내역_일신건영설계예산서(0211)_진해자은수량산출서(단지내)_기초산출표-56-128-최종_00-설계서,원가계산,내역서" xfId="1270" xr:uid="{00000000-0005-0000-0000-0000DC000000}"/>
    <cellStyle name="1_total_구로리총괄내역_일신건영설계예산서(0211)_진해자은수량산출서(단지내)_기초산출표-56-128-최종_설계서-1" xfId="1271" xr:uid="{00000000-0005-0000-0000-0000DD000000}"/>
    <cellStyle name="1_total_구로리총괄내역_일신건영설계예산서(0211)_진해자은수량산출서(단지내)_기초산출표-56-128-최종_설계서-1_00-설계서,원가계산,내역서" xfId="1272" xr:uid="{00000000-0005-0000-0000-0000DE000000}"/>
    <cellStyle name="1_total_구로리총괄내역_일신건영설계예산서(0211)_진해자은수량산출서(단지내)_설계서-1" xfId="1273" xr:uid="{00000000-0005-0000-0000-0000DF000000}"/>
    <cellStyle name="1_total_구로리총괄내역_일신건영설계예산서(0211)_진해자은수량산출서(단지내)_설계서-1_00-설계서,원가계산,내역서" xfId="1274" xr:uid="{00000000-0005-0000-0000-0000E0000000}"/>
    <cellStyle name="1_total_구로리총괄내역_일신건영설계예산서(0211)_진해자은수량산출서(단지내)_취합" xfId="1275" xr:uid="{00000000-0005-0000-0000-0000E1000000}"/>
    <cellStyle name="1_total_구로리총괄내역_일신건영설계예산서(0211)_진해자은수량산출서(단지내)_취합_00-설계서,원가계산,내역서" xfId="1276" xr:uid="{00000000-0005-0000-0000-0000E2000000}"/>
    <cellStyle name="1_total_구로리총괄내역_일신건영설계예산서(0211)_진해자은수량산출서(단지내)_취합_설계서-1" xfId="1277" xr:uid="{00000000-0005-0000-0000-0000E3000000}"/>
    <cellStyle name="1_total_구로리총괄내역_일신건영설계예산서(0211)_진해자은수량산출서(단지내)_취합_설계서-1_00-설계서,원가계산,내역서" xfId="1278" xr:uid="{00000000-0005-0000-0000-0000E4000000}"/>
    <cellStyle name="1_total_구로리총괄내역_일위대가" xfId="1279" xr:uid="{00000000-0005-0000-0000-0000E5000000}"/>
    <cellStyle name="1_total_구로리총괄내역_일위대가_00-설계서,원가계산,내역서" xfId="1280" xr:uid="{00000000-0005-0000-0000-0000E6000000}"/>
    <cellStyle name="1_total_구로리총괄내역_일위대가_설계서-1" xfId="1281" xr:uid="{00000000-0005-0000-0000-0000E7000000}"/>
    <cellStyle name="1_total_구로리총괄내역_일위대가_설계서-1_00-설계서,원가계산,내역서" xfId="1282" xr:uid="{00000000-0005-0000-0000-0000E8000000}"/>
    <cellStyle name="1_total_구로리총괄내역_일위대가_진해자은수량산출서(단지내)" xfId="1283" xr:uid="{00000000-0005-0000-0000-0000E9000000}"/>
    <cellStyle name="1_total_구로리총괄내역_일위대가_진해자은수량산출서(단지내)_00-설계서,원가계산,내역서" xfId="1284" xr:uid="{00000000-0005-0000-0000-0000EA000000}"/>
    <cellStyle name="1_total_구로리총괄내역_일위대가_진해자은수량산출서(단지내)_기초산출표-56-128-최종" xfId="1285" xr:uid="{00000000-0005-0000-0000-0000EB000000}"/>
    <cellStyle name="1_total_구로리총괄내역_일위대가_진해자은수량산출서(단지내)_기초산출표-56-128-최종_00-설계서,원가계산,내역서" xfId="1286" xr:uid="{00000000-0005-0000-0000-0000EC000000}"/>
    <cellStyle name="1_total_구로리총괄내역_일위대가_진해자은수량산출서(단지내)_기초산출표-56-128-최종_설계서-1" xfId="1287" xr:uid="{00000000-0005-0000-0000-0000ED000000}"/>
    <cellStyle name="1_total_구로리총괄내역_일위대가_진해자은수량산출서(단지내)_기초산출표-56-128-최종_설계서-1_00-설계서,원가계산,내역서" xfId="1288" xr:uid="{00000000-0005-0000-0000-0000EE000000}"/>
    <cellStyle name="1_total_구로리총괄내역_일위대가_진해자은수량산출서(단지내)_설계서-1" xfId="1289" xr:uid="{00000000-0005-0000-0000-0000EF000000}"/>
    <cellStyle name="1_total_구로리총괄내역_일위대가_진해자은수량산출서(단지내)_설계서-1_00-설계서,원가계산,내역서" xfId="1290" xr:uid="{00000000-0005-0000-0000-0000F0000000}"/>
    <cellStyle name="1_total_구로리총괄내역_일위대가_진해자은수량산출서(단지내)_취합" xfId="1291" xr:uid="{00000000-0005-0000-0000-0000F1000000}"/>
    <cellStyle name="1_total_구로리총괄내역_일위대가_진해자은수량산출서(단지내)_취합_00-설계서,원가계산,내역서" xfId="1292" xr:uid="{00000000-0005-0000-0000-0000F2000000}"/>
    <cellStyle name="1_total_구로리총괄내역_일위대가_진해자은수량산출서(단지내)_취합_설계서-1" xfId="1293" xr:uid="{00000000-0005-0000-0000-0000F3000000}"/>
    <cellStyle name="1_total_구로리총괄내역_일위대가_진해자은수량산출서(단지내)_취합_설계서-1_00-설계서,원가계산,내역서" xfId="1294" xr:uid="{00000000-0005-0000-0000-0000F4000000}"/>
    <cellStyle name="1_total_구로리총괄내역_자재단가표" xfId="1295" xr:uid="{00000000-0005-0000-0000-0000F5000000}"/>
    <cellStyle name="1_total_구로리총괄내역_자재단가표_00-설계서,원가계산,내역서" xfId="1296" xr:uid="{00000000-0005-0000-0000-0000F6000000}"/>
    <cellStyle name="1_total_구로리총괄내역_자재단가표_설계서-1" xfId="1297" xr:uid="{00000000-0005-0000-0000-0000F7000000}"/>
    <cellStyle name="1_total_구로리총괄내역_자재단가표_설계서-1_00-설계서,원가계산,내역서" xfId="1298" xr:uid="{00000000-0005-0000-0000-0000F8000000}"/>
    <cellStyle name="1_total_구로리총괄내역_자재단가표_진해자은수량산출서(단지내)" xfId="1299" xr:uid="{00000000-0005-0000-0000-0000F9000000}"/>
    <cellStyle name="1_total_구로리총괄내역_자재단가표_진해자은수량산출서(단지내)_00-설계서,원가계산,내역서" xfId="1300" xr:uid="{00000000-0005-0000-0000-0000FA000000}"/>
    <cellStyle name="1_total_구로리총괄내역_자재단가표_진해자은수량산출서(단지내)_기초산출표-56-128-최종" xfId="1301" xr:uid="{00000000-0005-0000-0000-0000FB000000}"/>
    <cellStyle name="1_total_구로리총괄내역_자재단가표_진해자은수량산출서(단지내)_기초산출표-56-128-최종_00-설계서,원가계산,내역서" xfId="1302" xr:uid="{00000000-0005-0000-0000-0000FC000000}"/>
    <cellStyle name="1_total_구로리총괄내역_자재단가표_진해자은수량산출서(단지내)_기초산출표-56-128-최종_설계서-1" xfId="1303" xr:uid="{00000000-0005-0000-0000-0000FD000000}"/>
    <cellStyle name="1_total_구로리총괄내역_자재단가표_진해자은수량산출서(단지내)_기초산출표-56-128-최종_설계서-1_00-설계서,원가계산,내역서" xfId="1304" xr:uid="{00000000-0005-0000-0000-0000FE000000}"/>
    <cellStyle name="1_total_구로리총괄내역_자재단가표_진해자은수량산출서(단지내)_설계서-1" xfId="1305" xr:uid="{00000000-0005-0000-0000-0000FF000000}"/>
    <cellStyle name="1_total_구로리총괄내역_자재단가표_진해자은수량산출서(단지내)_설계서-1_00-설계서,원가계산,내역서" xfId="1306" xr:uid="{00000000-0005-0000-0000-000000010000}"/>
    <cellStyle name="1_total_구로리총괄내역_자재단가표_진해자은수량산출서(단지내)_취합" xfId="1307" xr:uid="{00000000-0005-0000-0000-000001010000}"/>
    <cellStyle name="1_total_구로리총괄내역_자재단가표_진해자은수량산출서(단지내)_취합_00-설계서,원가계산,내역서" xfId="1308" xr:uid="{00000000-0005-0000-0000-000002010000}"/>
    <cellStyle name="1_total_구로리총괄내역_자재단가표_진해자은수량산출서(단지내)_취합_설계서-1" xfId="1309" xr:uid="{00000000-0005-0000-0000-000003010000}"/>
    <cellStyle name="1_total_구로리총괄내역_자재단가표_진해자은수량산출서(단지내)_취합_설계서-1_00-설계서,원가계산,내역서" xfId="1310" xr:uid="{00000000-0005-0000-0000-000004010000}"/>
    <cellStyle name="1_total_구로리총괄내역_장안초등학교내역0814" xfId="1311" xr:uid="{00000000-0005-0000-0000-000005010000}"/>
    <cellStyle name="1_total_구로리총괄내역_장안초등학교내역0814_00-설계서,원가계산,내역서" xfId="1312" xr:uid="{00000000-0005-0000-0000-000006010000}"/>
    <cellStyle name="1_total_구로리총괄내역_장안초등학교내역0814_설계서-1" xfId="1313" xr:uid="{00000000-0005-0000-0000-000007010000}"/>
    <cellStyle name="1_total_구로리총괄내역_장안초등학교내역0814_설계서-1_00-설계서,원가계산,내역서" xfId="1314" xr:uid="{00000000-0005-0000-0000-000008010000}"/>
    <cellStyle name="1_total_구로리총괄내역_장안초등학교내역0814_진해자은수량산출서(단지내)" xfId="1315" xr:uid="{00000000-0005-0000-0000-000009010000}"/>
    <cellStyle name="1_total_구로리총괄내역_장안초등학교내역0814_진해자은수량산출서(단지내)_00-설계서,원가계산,내역서" xfId="1316" xr:uid="{00000000-0005-0000-0000-00000A010000}"/>
    <cellStyle name="1_total_구로리총괄내역_장안초등학교내역0814_진해자은수량산출서(단지내)_기초산출표-56-128-최종" xfId="1317" xr:uid="{00000000-0005-0000-0000-00000B010000}"/>
    <cellStyle name="1_total_구로리총괄내역_장안초등학교내역0814_진해자은수량산출서(단지내)_기초산출표-56-128-최종_00-설계서,원가계산,내역서" xfId="1318" xr:uid="{00000000-0005-0000-0000-00000C010000}"/>
    <cellStyle name="1_total_구로리총괄내역_장안초등학교내역0814_진해자은수량산출서(단지내)_기초산출표-56-128-최종_설계서-1" xfId="1319" xr:uid="{00000000-0005-0000-0000-00000D010000}"/>
    <cellStyle name="1_total_구로리총괄내역_장안초등학교내역0814_진해자은수량산출서(단지내)_기초산출표-56-128-최종_설계서-1_00-설계서,원가계산,내역서" xfId="1320" xr:uid="{00000000-0005-0000-0000-00000E010000}"/>
    <cellStyle name="1_total_구로리총괄내역_장안초등학교내역0814_진해자은수량산출서(단지내)_설계서-1" xfId="1321" xr:uid="{00000000-0005-0000-0000-00000F010000}"/>
    <cellStyle name="1_total_구로리총괄내역_장안초등학교내역0814_진해자은수량산출서(단지내)_설계서-1_00-설계서,원가계산,내역서" xfId="1322" xr:uid="{00000000-0005-0000-0000-000010010000}"/>
    <cellStyle name="1_total_구로리총괄내역_장안초등학교내역0814_진해자은수량산출서(단지내)_취합" xfId="1323" xr:uid="{00000000-0005-0000-0000-000011010000}"/>
    <cellStyle name="1_total_구로리총괄내역_장안초등학교내역0814_진해자은수량산출서(단지내)_취합_00-설계서,원가계산,내역서" xfId="1324" xr:uid="{00000000-0005-0000-0000-000012010000}"/>
    <cellStyle name="1_total_구로리총괄내역_장안초등학교내역0814_진해자은수량산출서(단지내)_취합_설계서-1" xfId="1325" xr:uid="{00000000-0005-0000-0000-000013010000}"/>
    <cellStyle name="1_total_구로리총괄내역_장안초등학교내역0814_진해자은수량산출서(단지내)_취합_설계서-1_00-설계서,원가계산,내역서" xfId="1326" xr:uid="{00000000-0005-0000-0000-000014010000}"/>
    <cellStyle name="1_total_구로리총괄내역_진해자은수량산출서(단지내)" xfId="1327" xr:uid="{00000000-0005-0000-0000-000015010000}"/>
    <cellStyle name="1_total_구로리총괄내역_진해자은수량산출서(단지내)_00-설계서,원가계산,내역서" xfId="1328" xr:uid="{00000000-0005-0000-0000-000016010000}"/>
    <cellStyle name="1_total_구로리총괄내역_진해자은수량산출서(단지내)_기초산출표-56-128-최종" xfId="1329" xr:uid="{00000000-0005-0000-0000-000017010000}"/>
    <cellStyle name="1_total_구로리총괄내역_진해자은수량산출서(단지내)_기초산출표-56-128-최종_00-설계서,원가계산,내역서" xfId="1330" xr:uid="{00000000-0005-0000-0000-000018010000}"/>
    <cellStyle name="1_total_구로리총괄내역_진해자은수량산출서(단지내)_기초산출표-56-128-최종_설계서-1" xfId="1331" xr:uid="{00000000-0005-0000-0000-000019010000}"/>
    <cellStyle name="1_total_구로리총괄내역_진해자은수량산출서(단지내)_기초산출표-56-128-최종_설계서-1_00-설계서,원가계산,내역서" xfId="1332" xr:uid="{00000000-0005-0000-0000-00001A010000}"/>
    <cellStyle name="1_total_구로리총괄내역_진해자은수량산출서(단지내)_설계서-1" xfId="1333" xr:uid="{00000000-0005-0000-0000-00001B010000}"/>
    <cellStyle name="1_total_구로리총괄내역_진해자은수량산출서(단지내)_설계서-1_00-설계서,원가계산,내역서" xfId="1334" xr:uid="{00000000-0005-0000-0000-00001C010000}"/>
    <cellStyle name="1_total_구로리총괄내역_진해자은수량산출서(단지내)_취합" xfId="1335" xr:uid="{00000000-0005-0000-0000-00001D010000}"/>
    <cellStyle name="1_total_구로리총괄내역_진해자은수량산출서(단지내)_취합_00-설계서,원가계산,내역서" xfId="1336" xr:uid="{00000000-0005-0000-0000-00001E010000}"/>
    <cellStyle name="1_total_구로리총괄내역_진해자은수량산출서(단지내)_취합_설계서-1" xfId="1337" xr:uid="{00000000-0005-0000-0000-00001F010000}"/>
    <cellStyle name="1_total_구로리총괄내역_진해자은수량산출서(단지내)_취합_설계서-1_00-설계서,원가계산,내역서" xfId="1338" xr:uid="{00000000-0005-0000-0000-000020010000}"/>
    <cellStyle name="1_total_목동내역" xfId="1339" xr:uid="{00000000-0005-0000-0000-000021010000}"/>
    <cellStyle name="1_total_목동내역_00-설계서,원가계산,내역서" xfId="1340" xr:uid="{00000000-0005-0000-0000-000022010000}"/>
    <cellStyle name="1_total_목동내역_폐기물집계" xfId="1341" xr:uid="{00000000-0005-0000-0000-000023010000}"/>
    <cellStyle name="1_total_목동내역_폐기물집계_00-설계서,원가계산,내역서" xfId="1342" xr:uid="{00000000-0005-0000-0000-000024010000}"/>
    <cellStyle name="1_total_설계서-1" xfId="1343" xr:uid="{00000000-0005-0000-0000-000025010000}"/>
    <cellStyle name="1_total_설계서-1_00-설계서,원가계산,내역서" xfId="1344" xr:uid="{00000000-0005-0000-0000-000026010000}"/>
    <cellStyle name="1_total_이문동구간중랑천변녹화사업(수량산출서, 071127)-최종" xfId="1345" xr:uid="{00000000-0005-0000-0000-000027010000}"/>
    <cellStyle name="1_total_이문동구간중랑천변녹화사업(수량산출서, 071127)-최종_00-설계서,원가계산,내역서" xfId="1346" xr:uid="{00000000-0005-0000-0000-000028010000}"/>
    <cellStyle name="1_total_진해자은수량산출서(단지내)" xfId="1347" xr:uid="{00000000-0005-0000-0000-000029010000}"/>
    <cellStyle name="1_total_진해자은수량산출서(단지내)_00-설계서,원가계산,내역서" xfId="1348" xr:uid="{00000000-0005-0000-0000-00002A010000}"/>
    <cellStyle name="1_total_진해자은수량산출서(단지내)_기초산출표-56-128-최종" xfId="1349" xr:uid="{00000000-0005-0000-0000-00002B010000}"/>
    <cellStyle name="1_total_진해자은수량산출서(단지내)_기초산출표-56-128-최종_00-설계서,원가계산,내역서" xfId="1350" xr:uid="{00000000-0005-0000-0000-00002C010000}"/>
    <cellStyle name="1_total_진해자은수량산출서(단지내)_기초산출표-56-128-최종_설계서-1" xfId="1351" xr:uid="{00000000-0005-0000-0000-00002D010000}"/>
    <cellStyle name="1_total_진해자은수량산출서(단지내)_기초산출표-56-128-최종_설계서-1_00-설계서,원가계산,내역서" xfId="1352" xr:uid="{00000000-0005-0000-0000-00002E010000}"/>
    <cellStyle name="1_total_진해자은수량산출서(단지내)_설계서-1" xfId="1353" xr:uid="{00000000-0005-0000-0000-00002F010000}"/>
    <cellStyle name="1_total_진해자은수량산출서(단지내)_설계서-1_00-설계서,원가계산,내역서" xfId="1354" xr:uid="{00000000-0005-0000-0000-000030010000}"/>
    <cellStyle name="1_total_진해자은수량산출서(단지내)_취합" xfId="1355" xr:uid="{00000000-0005-0000-0000-000031010000}"/>
    <cellStyle name="1_total_진해자은수량산출서(단지내)_취합_00-설계서,원가계산,내역서" xfId="1356" xr:uid="{00000000-0005-0000-0000-000032010000}"/>
    <cellStyle name="1_total_진해자은수량산출서(단지내)_취합_설계서-1" xfId="1357" xr:uid="{00000000-0005-0000-0000-000033010000}"/>
    <cellStyle name="1_total_진해자은수량산출서(단지내)_취합_설계서-1_00-설계서,원가계산,내역서" xfId="1358" xr:uid="{00000000-0005-0000-0000-000034010000}"/>
    <cellStyle name="1_total_총괄내역0518" xfId="1359" xr:uid="{00000000-0005-0000-0000-000035010000}"/>
    <cellStyle name="1_total_총괄내역0518_00-설계서,원가계산,내역서" xfId="1360" xr:uid="{00000000-0005-0000-0000-000036010000}"/>
    <cellStyle name="1_total_총괄내역0518_구로리설계예산서1029" xfId="1361" xr:uid="{00000000-0005-0000-0000-000037010000}"/>
    <cellStyle name="1_total_총괄내역0518_구로리설계예산서1029_00-설계서,원가계산,내역서" xfId="1362" xr:uid="{00000000-0005-0000-0000-000038010000}"/>
    <cellStyle name="1_total_총괄내역0518_구로리설계예산서1029_설계서-1" xfId="1363" xr:uid="{00000000-0005-0000-0000-000039010000}"/>
    <cellStyle name="1_total_총괄내역0518_구로리설계예산서1029_설계서-1_00-설계서,원가계산,내역서" xfId="1364" xr:uid="{00000000-0005-0000-0000-00003A010000}"/>
    <cellStyle name="1_total_총괄내역0518_구로리설계예산서1029_진해자은수량산출서(단지내)" xfId="1365" xr:uid="{00000000-0005-0000-0000-00003B010000}"/>
    <cellStyle name="1_total_총괄내역0518_구로리설계예산서1029_진해자은수량산출서(단지내)_00-설계서,원가계산,내역서" xfId="1366" xr:uid="{00000000-0005-0000-0000-00003C010000}"/>
    <cellStyle name="1_total_총괄내역0518_구로리설계예산서1029_진해자은수량산출서(단지내)_기초산출표-56-128-최종" xfId="1367" xr:uid="{00000000-0005-0000-0000-00003D010000}"/>
    <cellStyle name="1_total_총괄내역0518_구로리설계예산서1029_진해자은수량산출서(단지내)_기초산출표-56-128-최종_00-설계서,원가계산,내역서" xfId="1368" xr:uid="{00000000-0005-0000-0000-00003E010000}"/>
    <cellStyle name="1_total_총괄내역0518_구로리설계예산서1029_진해자은수량산출서(단지내)_기초산출표-56-128-최종_설계서-1" xfId="1369" xr:uid="{00000000-0005-0000-0000-00003F010000}"/>
    <cellStyle name="1_total_총괄내역0518_구로리설계예산서1029_진해자은수량산출서(단지내)_기초산출표-56-128-최종_설계서-1_00-설계서,원가계산,내역서" xfId="1370" xr:uid="{00000000-0005-0000-0000-000040010000}"/>
    <cellStyle name="1_total_총괄내역0518_구로리설계예산서1029_진해자은수량산출서(단지내)_설계서-1" xfId="1371" xr:uid="{00000000-0005-0000-0000-000041010000}"/>
    <cellStyle name="1_total_총괄내역0518_구로리설계예산서1029_진해자은수량산출서(단지내)_설계서-1_00-설계서,원가계산,내역서" xfId="1372" xr:uid="{00000000-0005-0000-0000-000042010000}"/>
    <cellStyle name="1_total_총괄내역0518_구로리설계예산서1029_진해자은수량산출서(단지내)_취합" xfId="1373" xr:uid="{00000000-0005-0000-0000-000043010000}"/>
    <cellStyle name="1_total_총괄내역0518_구로리설계예산서1029_진해자은수량산출서(단지내)_취합_00-설계서,원가계산,내역서" xfId="1374" xr:uid="{00000000-0005-0000-0000-000044010000}"/>
    <cellStyle name="1_total_총괄내역0518_구로리설계예산서1029_진해자은수량산출서(단지내)_취합_설계서-1" xfId="1375" xr:uid="{00000000-0005-0000-0000-000045010000}"/>
    <cellStyle name="1_total_총괄내역0518_구로리설계예산서1029_진해자은수량산출서(단지내)_취합_설계서-1_00-설계서,원가계산,내역서" xfId="1376" xr:uid="{00000000-0005-0000-0000-000046010000}"/>
    <cellStyle name="1_total_총괄내역0518_구로리설계예산서1118준공" xfId="1377" xr:uid="{00000000-0005-0000-0000-000047010000}"/>
    <cellStyle name="1_total_총괄내역0518_구로리설계예산서1118준공_00-설계서,원가계산,내역서" xfId="1378" xr:uid="{00000000-0005-0000-0000-000048010000}"/>
    <cellStyle name="1_total_총괄내역0518_구로리설계예산서1118준공_설계서-1" xfId="1379" xr:uid="{00000000-0005-0000-0000-000049010000}"/>
    <cellStyle name="1_total_총괄내역0518_구로리설계예산서1118준공_설계서-1_00-설계서,원가계산,내역서" xfId="1380" xr:uid="{00000000-0005-0000-0000-00004A010000}"/>
    <cellStyle name="1_total_총괄내역0518_구로리설계예산서1118준공_진해자은수량산출서(단지내)" xfId="1381" xr:uid="{00000000-0005-0000-0000-00004B010000}"/>
    <cellStyle name="1_total_총괄내역0518_구로리설계예산서1118준공_진해자은수량산출서(단지내)_00-설계서,원가계산,내역서" xfId="1382" xr:uid="{00000000-0005-0000-0000-00004C010000}"/>
    <cellStyle name="1_total_총괄내역0518_구로리설계예산서1118준공_진해자은수량산출서(단지내)_기초산출표-56-128-최종" xfId="1383" xr:uid="{00000000-0005-0000-0000-00004D010000}"/>
    <cellStyle name="1_total_총괄내역0518_구로리설계예산서1118준공_진해자은수량산출서(단지내)_기초산출표-56-128-최종_00-설계서,원가계산,내역서" xfId="1384" xr:uid="{00000000-0005-0000-0000-00004E010000}"/>
    <cellStyle name="1_total_총괄내역0518_구로리설계예산서1118준공_진해자은수량산출서(단지내)_기초산출표-56-128-최종_설계서-1" xfId="1385" xr:uid="{00000000-0005-0000-0000-00004F010000}"/>
    <cellStyle name="1_total_총괄내역0518_구로리설계예산서1118준공_진해자은수량산출서(단지내)_기초산출표-56-128-최종_설계서-1_00-설계서,원가계산,내역서" xfId="1386" xr:uid="{00000000-0005-0000-0000-000050010000}"/>
    <cellStyle name="1_total_총괄내역0518_구로리설계예산서1118준공_진해자은수량산출서(단지내)_설계서-1" xfId="1387" xr:uid="{00000000-0005-0000-0000-000051010000}"/>
    <cellStyle name="1_total_총괄내역0518_구로리설계예산서1118준공_진해자은수량산출서(단지내)_설계서-1_00-설계서,원가계산,내역서" xfId="1388" xr:uid="{00000000-0005-0000-0000-000052010000}"/>
    <cellStyle name="1_total_총괄내역0518_구로리설계예산서1118준공_진해자은수량산출서(단지내)_취합" xfId="1389" xr:uid="{00000000-0005-0000-0000-000053010000}"/>
    <cellStyle name="1_total_총괄내역0518_구로리설계예산서1118준공_진해자은수량산출서(단지내)_취합_00-설계서,원가계산,내역서" xfId="1390" xr:uid="{00000000-0005-0000-0000-000054010000}"/>
    <cellStyle name="1_total_총괄내역0518_구로리설계예산서1118준공_진해자은수량산출서(단지내)_취합_설계서-1" xfId="1391" xr:uid="{00000000-0005-0000-0000-000055010000}"/>
    <cellStyle name="1_total_총괄내역0518_구로리설계예산서1118준공_진해자은수량산출서(단지내)_취합_설계서-1_00-설계서,원가계산,내역서" xfId="1392" xr:uid="{00000000-0005-0000-0000-000056010000}"/>
    <cellStyle name="1_total_총괄내역0518_구로리설계예산서조경" xfId="1393" xr:uid="{00000000-0005-0000-0000-000057010000}"/>
    <cellStyle name="1_total_총괄내역0518_구로리설계예산서조경_00-설계서,원가계산,내역서" xfId="1394" xr:uid="{00000000-0005-0000-0000-000058010000}"/>
    <cellStyle name="1_total_총괄내역0518_구로리설계예산서조경_설계서-1" xfId="1395" xr:uid="{00000000-0005-0000-0000-000059010000}"/>
    <cellStyle name="1_total_총괄내역0518_구로리설계예산서조경_설계서-1_00-설계서,원가계산,내역서" xfId="1396" xr:uid="{00000000-0005-0000-0000-00005A010000}"/>
    <cellStyle name="1_total_총괄내역0518_구로리설계예산서조경_진해자은수량산출서(단지내)" xfId="1397" xr:uid="{00000000-0005-0000-0000-00005B010000}"/>
    <cellStyle name="1_total_총괄내역0518_구로리설계예산서조경_진해자은수량산출서(단지내)_00-설계서,원가계산,내역서" xfId="1398" xr:uid="{00000000-0005-0000-0000-00005C010000}"/>
    <cellStyle name="1_total_총괄내역0518_구로리설계예산서조경_진해자은수량산출서(단지내)_기초산출표-56-128-최종" xfId="1399" xr:uid="{00000000-0005-0000-0000-00005D010000}"/>
    <cellStyle name="1_total_총괄내역0518_구로리설계예산서조경_진해자은수량산출서(단지내)_기초산출표-56-128-최종_00-설계서,원가계산,내역서" xfId="1400" xr:uid="{00000000-0005-0000-0000-00005E010000}"/>
    <cellStyle name="1_total_총괄내역0518_구로리설계예산서조경_진해자은수량산출서(단지내)_기초산출표-56-128-최종_설계서-1" xfId="1401" xr:uid="{00000000-0005-0000-0000-00005F010000}"/>
    <cellStyle name="1_total_총괄내역0518_구로리설계예산서조경_진해자은수량산출서(단지내)_기초산출표-56-128-최종_설계서-1_00-설계서,원가계산,내역서" xfId="1402" xr:uid="{00000000-0005-0000-0000-000060010000}"/>
    <cellStyle name="1_total_총괄내역0518_구로리설계예산서조경_진해자은수량산출서(단지내)_설계서-1" xfId="1403" xr:uid="{00000000-0005-0000-0000-000061010000}"/>
    <cellStyle name="1_total_총괄내역0518_구로리설계예산서조경_진해자은수량산출서(단지내)_설계서-1_00-설계서,원가계산,내역서" xfId="1404" xr:uid="{00000000-0005-0000-0000-000062010000}"/>
    <cellStyle name="1_total_총괄내역0518_구로리설계예산서조경_진해자은수량산출서(단지내)_취합" xfId="1405" xr:uid="{00000000-0005-0000-0000-000063010000}"/>
    <cellStyle name="1_total_총괄내역0518_구로리설계예산서조경_진해자은수량산출서(단지내)_취합_00-설계서,원가계산,내역서" xfId="1406" xr:uid="{00000000-0005-0000-0000-000064010000}"/>
    <cellStyle name="1_total_총괄내역0518_구로리설계예산서조경_진해자은수량산출서(단지내)_취합_설계서-1" xfId="1407" xr:uid="{00000000-0005-0000-0000-000065010000}"/>
    <cellStyle name="1_total_총괄내역0518_구로리설계예산서조경_진해자은수량산출서(단지내)_취합_설계서-1_00-설계서,원가계산,내역서" xfId="1408" xr:uid="{00000000-0005-0000-0000-000066010000}"/>
    <cellStyle name="1_total_총괄내역0518_구로리어린이공원예산서(조경)1125" xfId="1409" xr:uid="{00000000-0005-0000-0000-000067010000}"/>
    <cellStyle name="1_total_총괄내역0518_구로리어린이공원예산서(조경)1125_00-설계서,원가계산,내역서" xfId="1410" xr:uid="{00000000-0005-0000-0000-000068010000}"/>
    <cellStyle name="1_total_총괄내역0518_구로리어린이공원예산서(조경)1125_설계서-1" xfId="1411" xr:uid="{00000000-0005-0000-0000-000069010000}"/>
    <cellStyle name="1_total_총괄내역0518_구로리어린이공원예산서(조경)1125_설계서-1_00-설계서,원가계산,내역서" xfId="1412" xr:uid="{00000000-0005-0000-0000-00006A010000}"/>
    <cellStyle name="1_total_총괄내역0518_구로리어린이공원예산서(조경)1125_진해자은수량산출서(단지내)" xfId="1413" xr:uid="{00000000-0005-0000-0000-00006B010000}"/>
    <cellStyle name="1_total_총괄내역0518_구로리어린이공원예산서(조경)1125_진해자은수량산출서(단지내)_00-설계서,원가계산,내역서" xfId="1414" xr:uid="{00000000-0005-0000-0000-00006C010000}"/>
    <cellStyle name="1_total_총괄내역0518_구로리어린이공원예산서(조경)1125_진해자은수량산출서(단지내)_기초산출표-56-128-최종" xfId="1415" xr:uid="{00000000-0005-0000-0000-00006D010000}"/>
    <cellStyle name="1_total_총괄내역0518_구로리어린이공원예산서(조경)1125_진해자은수량산출서(단지내)_기초산출표-56-128-최종_00-설계서,원가계산,내역서" xfId="1416" xr:uid="{00000000-0005-0000-0000-00006E010000}"/>
    <cellStyle name="1_total_총괄내역0518_구로리어린이공원예산서(조경)1125_진해자은수량산출서(단지내)_기초산출표-56-128-최종_설계서-1" xfId="1417" xr:uid="{00000000-0005-0000-0000-00006F010000}"/>
    <cellStyle name="1_total_총괄내역0518_구로리어린이공원예산서(조경)1125_진해자은수량산출서(단지내)_기초산출표-56-128-최종_설계서-1_00-설계서,원가계산,내역서" xfId="1418" xr:uid="{00000000-0005-0000-0000-000070010000}"/>
    <cellStyle name="1_total_총괄내역0518_구로리어린이공원예산서(조경)1125_진해자은수량산출서(단지내)_설계서-1" xfId="1419" xr:uid="{00000000-0005-0000-0000-000071010000}"/>
    <cellStyle name="1_total_총괄내역0518_구로리어린이공원예산서(조경)1125_진해자은수량산출서(단지내)_설계서-1_00-설계서,원가계산,내역서" xfId="1420" xr:uid="{00000000-0005-0000-0000-000072010000}"/>
    <cellStyle name="1_total_총괄내역0518_구로리어린이공원예산서(조경)1125_진해자은수량산출서(단지내)_취합" xfId="1421" xr:uid="{00000000-0005-0000-0000-000073010000}"/>
    <cellStyle name="1_total_총괄내역0518_구로리어린이공원예산서(조경)1125_진해자은수량산출서(단지내)_취합_00-설계서,원가계산,내역서" xfId="1422" xr:uid="{00000000-0005-0000-0000-000074010000}"/>
    <cellStyle name="1_total_총괄내역0518_구로리어린이공원예산서(조경)1125_진해자은수량산출서(단지내)_취합_설계서-1" xfId="1423" xr:uid="{00000000-0005-0000-0000-000075010000}"/>
    <cellStyle name="1_total_총괄내역0518_구로리어린이공원예산서(조경)1125_진해자은수량산출서(단지내)_취합_설계서-1_00-설계서,원가계산,내역서" xfId="1424" xr:uid="{00000000-0005-0000-0000-000076010000}"/>
    <cellStyle name="1_total_총괄내역0518_내역서" xfId="1425" xr:uid="{00000000-0005-0000-0000-000077010000}"/>
    <cellStyle name="1_total_총괄내역0518_내역서_00-설계서,원가계산,내역서" xfId="1426" xr:uid="{00000000-0005-0000-0000-000078010000}"/>
    <cellStyle name="1_total_총괄내역0518_내역서_설계서-1" xfId="1427" xr:uid="{00000000-0005-0000-0000-000079010000}"/>
    <cellStyle name="1_total_총괄내역0518_내역서_설계서-1_00-설계서,원가계산,내역서" xfId="1428" xr:uid="{00000000-0005-0000-0000-00007A010000}"/>
    <cellStyle name="1_total_총괄내역0518_내역서_진해자은수량산출서(단지내)" xfId="1429" xr:uid="{00000000-0005-0000-0000-00007B010000}"/>
    <cellStyle name="1_total_총괄내역0518_내역서_진해자은수량산출서(단지내)_00-설계서,원가계산,내역서" xfId="1430" xr:uid="{00000000-0005-0000-0000-00007C010000}"/>
    <cellStyle name="1_total_총괄내역0518_내역서_진해자은수량산출서(단지내)_기초산출표-56-128-최종" xfId="1431" xr:uid="{00000000-0005-0000-0000-00007D010000}"/>
    <cellStyle name="1_total_총괄내역0518_내역서_진해자은수량산출서(단지내)_기초산출표-56-128-최종_00-설계서,원가계산,내역서" xfId="1432" xr:uid="{00000000-0005-0000-0000-00007E010000}"/>
    <cellStyle name="1_total_총괄내역0518_내역서_진해자은수량산출서(단지내)_기초산출표-56-128-최종_설계서-1" xfId="1433" xr:uid="{00000000-0005-0000-0000-00007F010000}"/>
    <cellStyle name="1_total_총괄내역0518_내역서_진해자은수량산출서(단지내)_기초산출표-56-128-최종_설계서-1_00-설계서,원가계산,내역서" xfId="1434" xr:uid="{00000000-0005-0000-0000-000080010000}"/>
    <cellStyle name="1_total_총괄내역0518_내역서_진해자은수량산출서(단지내)_설계서-1" xfId="1435" xr:uid="{00000000-0005-0000-0000-000081010000}"/>
    <cellStyle name="1_total_총괄내역0518_내역서_진해자은수량산출서(단지내)_설계서-1_00-설계서,원가계산,내역서" xfId="1436" xr:uid="{00000000-0005-0000-0000-000082010000}"/>
    <cellStyle name="1_total_총괄내역0518_내역서_진해자은수량산출서(단지내)_취합" xfId="1437" xr:uid="{00000000-0005-0000-0000-000083010000}"/>
    <cellStyle name="1_total_총괄내역0518_내역서_진해자은수량산출서(단지내)_취합_00-설계서,원가계산,내역서" xfId="1438" xr:uid="{00000000-0005-0000-0000-000084010000}"/>
    <cellStyle name="1_total_총괄내역0518_내역서_진해자은수량산출서(단지내)_취합_설계서-1" xfId="1439" xr:uid="{00000000-0005-0000-0000-000085010000}"/>
    <cellStyle name="1_total_총괄내역0518_내역서_진해자은수량산출서(단지내)_취합_설계서-1_00-설계서,원가계산,내역서" xfId="1440" xr:uid="{00000000-0005-0000-0000-000086010000}"/>
    <cellStyle name="1_total_총괄내역0518_노임단가표" xfId="1441" xr:uid="{00000000-0005-0000-0000-000087010000}"/>
    <cellStyle name="1_total_총괄내역0518_노임단가표_00-설계서,원가계산,내역서" xfId="1442" xr:uid="{00000000-0005-0000-0000-000088010000}"/>
    <cellStyle name="1_total_총괄내역0518_노임단가표_설계서-1" xfId="1443" xr:uid="{00000000-0005-0000-0000-000089010000}"/>
    <cellStyle name="1_total_총괄내역0518_노임단가표_설계서-1_00-설계서,원가계산,내역서" xfId="1444" xr:uid="{00000000-0005-0000-0000-00008A010000}"/>
    <cellStyle name="1_total_총괄내역0518_노임단가표_진해자은수량산출서(단지내)" xfId="1445" xr:uid="{00000000-0005-0000-0000-00008B010000}"/>
    <cellStyle name="1_total_총괄내역0518_노임단가표_진해자은수량산출서(단지내)_00-설계서,원가계산,내역서" xfId="1446" xr:uid="{00000000-0005-0000-0000-00008C010000}"/>
    <cellStyle name="1_total_총괄내역0518_노임단가표_진해자은수량산출서(단지내)_기초산출표-56-128-최종" xfId="1447" xr:uid="{00000000-0005-0000-0000-00008D010000}"/>
    <cellStyle name="1_total_총괄내역0518_노임단가표_진해자은수량산출서(단지내)_기초산출표-56-128-최종_00-설계서,원가계산,내역서" xfId="1448" xr:uid="{00000000-0005-0000-0000-00008E010000}"/>
    <cellStyle name="1_total_총괄내역0518_노임단가표_진해자은수량산출서(단지내)_기초산출표-56-128-최종_설계서-1" xfId="1449" xr:uid="{00000000-0005-0000-0000-00008F010000}"/>
    <cellStyle name="1_total_총괄내역0518_노임단가표_진해자은수량산출서(단지내)_기초산출표-56-128-최종_설계서-1_00-설계서,원가계산,내역서" xfId="1450" xr:uid="{00000000-0005-0000-0000-000090010000}"/>
    <cellStyle name="1_total_총괄내역0518_노임단가표_진해자은수량산출서(단지내)_설계서-1" xfId="1451" xr:uid="{00000000-0005-0000-0000-000091010000}"/>
    <cellStyle name="1_total_총괄내역0518_노임단가표_진해자은수량산출서(단지내)_설계서-1_00-설계서,원가계산,내역서" xfId="1452" xr:uid="{00000000-0005-0000-0000-000092010000}"/>
    <cellStyle name="1_total_총괄내역0518_노임단가표_진해자은수량산출서(단지내)_취합" xfId="1453" xr:uid="{00000000-0005-0000-0000-000093010000}"/>
    <cellStyle name="1_total_총괄내역0518_노임단가표_진해자은수량산출서(단지내)_취합_00-설계서,원가계산,내역서" xfId="1454" xr:uid="{00000000-0005-0000-0000-000094010000}"/>
    <cellStyle name="1_total_총괄내역0518_노임단가표_진해자은수량산출서(단지내)_취합_설계서-1" xfId="1455" xr:uid="{00000000-0005-0000-0000-000095010000}"/>
    <cellStyle name="1_total_총괄내역0518_노임단가표_진해자은수량산출서(단지내)_취합_설계서-1_00-설계서,원가계산,내역서" xfId="1456" xr:uid="{00000000-0005-0000-0000-000096010000}"/>
    <cellStyle name="1_total_총괄내역0518_설계서-1" xfId="1457" xr:uid="{00000000-0005-0000-0000-000097010000}"/>
    <cellStyle name="1_total_총괄내역0518_설계서-1_00-설계서,원가계산,내역서" xfId="1458" xr:uid="{00000000-0005-0000-0000-000098010000}"/>
    <cellStyle name="1_total_총괄내역0518_수도권매립지" xfId="1459" xr:uid="{00000000-0005-0000-0000-000099010000}"/>
    <cellStyle name="1_total_총괄내역0518_수도권매립지_00-설계서,원가계산,내역서" xfId="1460" xr:uid="{00000000-0005-0000-0000-0000AA010000}"/>
    <cellStyle name="1_total_총괄내역0518_수도권매립지_설계서-1" xfId="1461" xr:uid="{00000000-0005-0000-0000-0000AB010000}"/>
    <cellStyle name="1_total_총괄내역0518_수도권매립지_설계서-1_00-설계서,원가계산,내역서" xfId="1462" xr:uid="{00000000-0005-0000-0000-0000AC010000}"/>
    <cellStyle name="1_total_총괄내역0518_수도권매립지_진해자은수량산출서(단지내)" xfId="1463" xr:uid="{00000000-0005-0000-0000-0000AD010000}"/>
    <cellStyle name="1_total_총괄내역0518_수도권매립지_진해자은수량산출서(단지내)_00-설계서,원가계산,내역서" xfId="1464" xr:uid="{00000000-0005-0000-0000-0000AE010000}"/>
    <cellStyle name="1_total_총괄내역0518_수도권매립지_진해자은수량산출서(단지내)_기초산출표-56-128-최종" xfId="1465" xr:uid="{00000000-0005-0000-0000-0000AF010000}"/>
    <cellStyle name="1_total_총괄내역0518_수도권매립지_진해자은수량산출서(단지내)_기초산출표-56-128-최종_00-설계서,원가계산,내역서" xfId="1466" xr:uid="{00000000-0005-0000-0000-0000B0010000}"/>
    <cellStyle name="1_total_총괄내역0518_수도권매립지_진해자은수량산출서(단지내)_기초산출표-56-128-최종_설계서-1" xfId="1467" xr:uid="{00000000-0005-0000-0000-0000B1010000}"/>
    <cellStyle name="1_total_총괄내역0518_수도권매립지_진해자은수량산출서(단지내)_기초산출표-56-128-최종_설계서-1_00-설계서,원가계산,내역서" xfId="1468" xr:uid="{00000000-0005-0000-0000-0000B2010000}"/>
    <cellStyle name="1_total_총괄내역0518_수도권매립지_진해자은수량산출서(단지내)_설계서-1" xfId="1469" xr:uid="{00000000-0005-0000-0000-0000B3010000}"/>
    <cellStyle name="1_total_총괄내역0518_수도권매립지_진해자은수량산출서(단지내)_설계서-1_00-설계서,원가계산,내역서" xfId="1470" xr:uid="{00000000-0005-0000-0000-0000B4010000}"/>
    <cellStyle name="1_total_총괄내역0518_수도권매립지_진해자은수량산출서(단지내)_취합" xfId="1471" xr:uid="{00000000-0005-0000-0000-0000B5010000}"/>
    <cellStyle name="1_total_총괄내역0518_수도권매립지_진해자은수량산출서(단지내)_취합_00-설계서,원가계산,내역서" xfId="1472" xr:uid="{00000000-0005-0000-0000-0000B6010000}"/>
    <cellStyle name="1_total_총괄내역0518_수도권매립지_진해자은수량산출서(단지내)_취합_설계서-1" xfId="1473" xr:uid="{00000000-0005-0000-0000-0000B7010000}"/>
    <cellStyle name="1_total_총괄내역0518_수도권매립지_진해자은수량산출서(단지내)_취합_설계서-1_00-설계서,원가계산,내역서" xfId="1474" xr:uid="{00000000-0005-0000-0000-0000B8010000}"/>
    <cellStyle name="1_total_총괄내역0518_수도권매립지1004(발주용)" xfId="1475" xr:uid="{00000000-0005-0000-0000-00009A010000}"/>
    <cellStyle name="1_total_총괄내역0518_수도권매립지1004(발주용)_00-설계서,원가계산,내역서" xfId="1476" xr:uid="{00000000-0005-0000-0000-00009B010000}"/>
    <cellStyle name="1_total_총괄내역0518_수도권매립지1004(발주용)_설계서-1" xfId="1477" xr:uid="{00000000-0005-0000-0000-00009C010000}"/>
    <cellStyle name="1_total_총괄내역0518_수도권매립지1004(발주용)_설계서-1_00-설계서,원가계산,내역서" xfId="1478" xr:uid="{00000000-0005-0000-0000-00009D010000}"/>
    <cellStyle name="1_total_총괄내역0518_수도권매립지1004(발주용)_진해자은수량산출서(단지내)" xfId="1479" xr:uid="{00000000-0005-0000-0000-00009E010000}"/>
    <cellStyle name="1_total_총괄내역0518_수도권매립지1004(발주용)_진해자은수량산출서(단지내)_00-설계서,원가계산,내역서" xfId="1480" xr:uid="{00000000-0005-0000-0000-00009F010000}"/>
    <cellStyle name="1_total_총괄내역0518_수도권매립지1004(발주용)_진해자은수량산출서(단지내)_기초산출표-56-128-최종" xfId="1481" xr:uid="{00000000-0005-0000-0000-0000A0010000}"/>
    <cellStyle name="1_total_총괄내역0518_수도권매립지1004(발주용)_진해자은수량산출서(단지내)_기초산출표-56-128-최종_00-설계서,원가계산,내역서" xfId="1482" xr:uid="{00000000-0005-0000-0000-0000A1010000}"/>
    <cellStyle name="1_total_총괄내역0518_수도권매립지1004(발주용)_진해자은수량산출서(단지내)_기초산출표-56-128-최종_설계서-1" xfId="1483" xr:uid="{00000000-0005-0000-0000-0000A2010000}"/>
    <cellStyle name="1_total_총괄내역0518_수도권매립지1004(발주용)_진해자은수량산출서(단지내)_기초산출표-56-128-최종_설계서-1_00-설계서,원가계산,내역서" xfId="1484" xr:uid="{00000000-0005-0000-0000-0000A3010000}"/>
    <cellStyle name="1_total_총괄내역0518_수도권매립지1004(발주용)_진해자은수량산출서(단지내)_설계서-1" xfId="1485" xr:uid="{00000000-0005-0000-0000-0000A4010000}"/>
    <cellStyle name="1_total_총괄내역0518_수도권매립지1004(발주용)_진해자은수량산출서(단지내)_설계서-1_00-설계서,원가계산,내역서" xfId="1486" xr:uid="{00000000-0005-0000-0000-0000A5010000}"/>
    <cellStyle name="1_total_총괄내역0518_수도권매립지1004(발주용)_진해자은수량산출서(단지내)_취합" xfId="1487" xr:uid="{00000000-0005-0000-0000-0000A6010000}"/>
    <cellStyle name="1_total_총괄내역0518_수도권매립지1004(발주용)_진해자은수량산출서(단지내)_취합_00-설계서,원가계산,내역서" xfId="1488" xr:uid="{00000000-0005-0000-0000-0000A7010000}"/>
    <cellStyle name="1_total_총괄내역0518_수도권매립지1004(발주용)_진해자은수량산출서(단지내)_취합_설계서-1" xfId="1489" xr:uid="{00000000-0005-0000-0000-0000A8010000}"/>
    <cellStyle name="1_total_총괄내역0518_수도권매립지1004(발주용)_진해자은수량산출서(단지내)_취합_설계서-1_00-설계서,원가계산,내역서" xfId="1490" xr:uid="{00000000-0005-0000-0000-0000A9010000}"/>
    <cellStyle name="1_total_총괄내역0518_일신건영설계예산서(0211)" xfId="1491" xr:uid="{00000000-0005-0000-0000-0000B9010000}"/>
    <cellStyle name="1_total_총괄내역0518_일신건영설계예산서(0211)_00-설계서,원가계산,내역서" xfId="1492" xr:uid="{00000000-0005-0000-0000-0000BA010000}"/>
    <cellStyle name="1_total_총괄내역0518_일신건영설계예산서(0211)_설계서-1" xfId="1493" xr:uid="{00000000-0005-0000-0000-0000BB010000}"/>
    <cellStyle name="1_total_총괄내역0518_일신건영설계예산서(0211)_설계서-1_00-설계서,원가계산,내역서" xfId="1494" xr:uid="{00000000-0005-0000-0000-0000BC010000}"/>
    <cellStyle name="1_total_총괄내역0518_일신건영설계예산서(0211)_진해자은수량산출서(단지내)" xfId="1495" xr:uid="{00000000-0005-0000-0000-0000BD010000}"/>
    <cellStyle name="1_total_총괄내역0518_일신건영설계예산서(0211)_진해자은수량산출서(단지내)_00-설계서,원가계산,내역서" xfId="1496" xr:uid="{00000000-0005-0000-0000-0000BE010000}"/>
    <cellStyle name="1_total_총괄내역0518_일신건영설계예산서(0211)_진해자은수량산출서(단지내)_기초산출표-56-128-최종" xfId="1497" xr:uid="{00000000-0005-0000-0000-0000BF010000}"/>
    <cellStyle name="1_total_총괄내역0518_일신건영설계예산서(0211)_진해자은수량산출서(단지내)_기초산출표-56-128-최종_00-설계서,원가계산,내역서" xfId="1498" xr:uid="{00000000-0005-0000-0000-0000C0010000}"/>
    <cellStyle name="1_total_총괄내역0518_일신건영설계예산서(0211)_진해자은수량산출서(단지내)_기초산출표-56-128-최종_설계서-1" xfId="1499" xr:uid="{00000000-0005-0000-0000-0000C1010000}"/>
    <cellStyle name="1_total_총괄내역0518_일신건영설계예산서(0211)_진해자은수량산출서(단지내)_기초산출표-56-128-최종_설계서-1_00-설계서,원가계산,내역서" xfId="1500" xr:uid="{00000000-0005-0000-0000-0000C2010000}"/>
    <cellStyle name="1_total_총괄내역0518_일신건영설계예산서(0211)_진해자은수량산출서(단지내)_설계서-1" xfId="1501" xr:uid="{00000000-0005-0000-0000-0000C3010000}"/>
    <cellStyle name="1_total_총괄내역0518_일신건영설계예산서(0211)_진해자은수량산출서(단지내)_설계서-1_00-설계서,원가계산,내역서" xfId="1502" xr:uid="{00000000-0005-0000-0000-0000C4010000}"/>
    <cellStyle name="1_total_총괄내역0518_일신건영설계예산서(0211)_진해자은수량산출서(단지내)_취합" xfId="1503" xr:uid="{00000000-0005-0000-0000-0000C5010000}"/>
    <cellStyle name="1_total_총괄내역0518_일신건영설계예산서(0211)_진해자은수량산출서(단지내)_취합_00-설계서,원가계산,내역서" xfId="1504" xr:uid="{00000000-0005-0000-0000-0000C6010000}"/>
    <cellStyle name="1_total_총괄내역0518_일신건영설계예산서(0211)_진해자은수량산출서(단지내)_취합_설계서-1" xfId="1505" xr:uid="{00000000-0005-0000-0000-0000C7010000}"/>
    <cellStyle name="1_total_총괄내역0518_일신건영설계예산서(0211)_진해자은수량산출서(단지내)_취합_설계서-1_00-설계서,원가계산,내역서" xfId="1506" xr:uid="{00000000-0005-0000-0000-0000C8010000}"/>
    <cellStyle name="1_total_총괄내역0518_일위대가" xfId="1507" xr:uid="{00000000-0005-0000-0000-0000C9010000}"/>
    <cellStyle name="1_total_총괄내역0518_일위대가_00-설계서,원가계산,내역서" xfId="1508" xr:uid="{00000000-0005-0000-0000-0000CA010000}"/>
    <cellStyle name="1_total_총괄내역0518_일위대가_설계서-1" xfId="1509" xr:uid="{00000000-0005-0000-0000-0000CB010000}"/>
    <cellStyle name="1_total_총괄내역0518_일위대가_설계서-1_00-설계서,원가계산,내역서" xfId="1510" xr:uid="{00000000-0005-0000-0000-0000CC010000}"/>
    <cellStyle name="1_total_총괄내역0518_일위대가_진해자은수량산출서(단지내)" xfId="1511" xr:uid="{00000000-0005-0000-0000-0000CD010000}"/>
    <cellStyle name="1_total_총괄내역0518_일위대가_진해자은수량산출서(단지내)_00-설계서,원가계산,내역서" xfId="1512" xr:uid="{00000000-0005-0000-0000-0000CE010000}"/>
    <cellStyle name="1_total_총괄내역0518_일위대가_진해자은수량산출서(단지내)_기초산출표-56-128-최종" xfId="1513" xr:uid="{00000000-0005-0000-0000-0000CF010000}"/>
    <cellStyle name="1_total_총괄내역0518_일위대가_진해자은수량산출서(단지내)_기초산출표-56-128-최종_00-설계서,원가계산,내역서" xfId="1514" xr:uid="{00000000-0005-0000-0000-0000D0010000}"/>
    <cellStyle name="1_total_총괄내역0518_일위대가_진해자은수량산출서(단지내)_기초산출표-56-128-최종_설계서-1" xfId="1515" xr:uid="{00000000-0005-0000-0000-0000D1010000}"/>
    <cellStyle name="1_total_총괄내역0518_일위대가_진해자은수량산출서(단지내)_기초산출표-56-128-최종_설계서-1_00-설계서,원가계산,내역서" xfId="1516" xr:uid="{00000000-0005-0000-0000-0000D2010000}"/>
    <cellStyle name="1_total_총괄내역0518_일위대가_진해자은수량산출서(단지내)_설계서-1" xfId="1517" xr:uid="{00000000-0005-0000-0000-0000D3010000}"/>
    <cellStyle name="1_total_총괄내역0518_일위대가_진해자은수량산출서(단지내)_설계서-1_00-설계서,원가계산,내역서" xfId="1518" xr:uid="{00000000-0005-0000-0000-0000D4010000}"/>
    <cellStyle name="1_total_총괄내역0518_일위대가_진해자은수량산출서(단지내)_취합" xfId="1519" xr:uid="{00000000-0005-0000-0000-0000D5010000}"/>
    <cellStyle name="1_total_총괄내역0518_일위대가_진해자은수량산출서(단지내)_취합_00-설계서,원가계산,내역서" xfId="1520" xr:uid="{00000000-0005-0000-0000-0000D6010000}"/>
    <cellStyle name="1_total_총괄내역0518_일위대가_진해자은수량산출서(단지내)_취합_설계서-1" xfId="1521" xr:uid="{00000000-0005-0000-0000-0000D7010000}"/>
    <cellStyle name="1_total_총괄내역0518_일위대가_진해자은수량산출서(단지내)_취합_설계서-1_00-설계서,원가계산,내역서" xfId="1522" xr:uid="{00000000-0005-0000-0000-0000D8010000}"/>
    <cellStyle name="1_total_총괄내역0518_자재단가표" xfId="1523" xr:uid="{00000000-0005-0000-0000-0000D9010000}"/>
    <cellStyle name="1_total_총괄내역0518_자재단가표_00-설계서,원가계산,내역서" xfId="1524" xr:uid="{00000000-0005-0000-0000-0000DA010000}"/>
    <cellStyle name="1_total_총괄내역0518_자재단가표_설계서-1" xfId="1525" xr:uid="{00000000-0005-0000-0000-0000DB010000}"/>
    <cellStyle name="1_total_총괄내역0518_자재단가표_설계서-1_00-설계서,원가계산,내역서" xfId="1526" xr:uid="{00000000-0005-0000-0000-0000DC010000}"/>
    <cellStyle name="1_total_총괄내역0518_자재단가표_진해자은수량산출서(단지내)" xfId="1527" xr:uid="{00000000-0005-0000-0000-0000DD010000}"/>
    <cellStyle name="1_total_총괄내역0518_자재단가표_진해자은수량산출서(단지내)_00-설계서,원가계산,내역서" xfId="1528" xr:uid="{00000000-0005-0000-0000-0000DE010000}"/>
    <cellStyle name="1_total_총괄내역0518_자재단가표_진해자은수량산출서(단지내)_기초산출표-56-128-최종" xfId="1529" xr:uid="{00000000-0005-0000-0000-0000DF010000}"/>
    <cellStyle name="1_total_총괄내역0518_자재단가표_진해자은수량산출서(단지내)_기초산출표-56-128-최종_00-설계서,원가계산,내역서" xfId="1530" xr:uid="{00000000-0005-0000-0000-0000E0010000}"/>
    <cellStyle name="1_total_총괄내역0518_자재단가표_진해자은수량산출서(단지내)_기초산출표-56-128-최종_설계서-1" xfId="1531" xr:uid="{00000000-0005-0000-0000-0000E1010000}"/>
    <cellStyle name="1_total_총괄내역0518_자재단가표_진해자은수량산출서(단지내)_기초산출표-56-128-최종_설계서-1_00-설계서,원가계산,내역서" xfId="1532" xr:uid="{00000000-0005-0000-0000-0000E2010000}"/>
    <cellStyle name="1_total_총괄내역0518_자재단가표_진해자은수량산출서(단지내)_설계서-1" xfId="1533" xr:uid="{00000000-0005-0000-0000-0000E3010000}"/>
    <cellStyle name="1_total_총괄내역0518_자재단가표_진해자은수량산출서(단지내)_설계서-1_00-설계서,원가계산,내역서" xfId="1534" xr:uid="{00000000-0005-0000-0000-0000E4010000}"/>
    <cellStyle name="1_total_총괄내역0518_자재단가표_진해자은수량산출서(단지내)_취합" xfId="1535" xr:uid="{00000000-0005-0000-0000-0000E5010000}"/>
    <cellStyle name="1_total_총괄내역0518_자재단가표_진해자은수량산출서(단지내)_취합_00-설계서,원가계산,내역서" xfId="1536" xr:uid="{00000000-0005-0000-0000-0000E6010000}"/>
    <cellStyle name="1_total_총괄내역0518_자재단가표_진해자은수량산출서(단지내)_취합_설계서-1" xfId="1537" xr:uid="{00000000-0005-0000-0000-0000E7010000}"/>
    <cellStyle name="1_total_총괄내역0518_자재단가표_진해자은수량산출서(단지내)_취합_설계서-1_00-설계서,원가계산,내역서" xfId="1538" xr:uid="{00000000-0005-0000-0000-0000E8010000}"/>
    <cellStyle name="1_total_총괄내역0518_장안초등학교내역0814" xfId="1539" xr:uid="{00000000-0005-0000-0000-0000E9010000}"/>
    <cellStyle name="1_total_총괄내역0518_장안초등학교내역0814_00-설계서,원가계산,내역서" xfId="1540" xr:uid="{00000000-0005-0000-0000-0000EA010000}"/>
    <cellStyle name="1_total_총괄내역0518_장안초등학교내역0814_설계서-1" xfId="1541" xr:uid="{00000000-0005-0000-0000-0000EB010000}"/>
    <cellStyle name="1_total_총괄내역0518_장안초등학교내역0814_설계서-1_00-설계서,원가계산,내역서" xfId="1542" xr:uid="{00000000-0005-0000-0000-0000EC010000}"/>
    <cellStyle name="1_total_총괄내역0518_장안초등학교내역0814_진해자은수량산출서(단지내)" xfId="1543" xr:uid="{00000000-0005-0000-0000-0000ED010000}"/>
    <cellStyle name="1_total_총괄내역0518_장안초등학교내역0814_진해자은수량산출서(단지내)_00-설계서,원가계산,내역서" xfId="1544" xr:uid="{00000000-0005-0000-0000-0000EE010000}"/>
    <cellStyle name="1_total_총괄내역0518_장안초등학교내역0814_진해자은수량산출서(단지내)_기초산출표-56-128-최종" xfId="1545" xr:uid="{00000000-0005-0000-0000-0000EF010000}"/>
    <cellStyle name="1_total_총괄내역0518_장안초등학교내역0814_진해자은수량산출서(단지내)_기초산출표-56-128-최종_00-설계서,원가계산,내역서" xfId="1546" xr:uid="{00000000-0005-0000-0000-0000F0010000}"/>
    <cellStyle name="1_total_총괄내역0518_장안초등학교내역0814_진해자은수량산출서(단지내)_기초산출표-56-128-최종_설계서-1" xfId="1547" xr:uid="{00000000-0005-0000-0000-0000F1010000}"/>
    <cellStyle name="1_total_총괄내역0518_장안초등학교내역0814_진해자은수량산출서(단지내)_기초산출표-56-128-최종_설계서-1_00-설계서,원가계산,내역서" xfId="1548" xr:uid="{00000000-0005-0000-0000-0000F2010000}"/>
    <cellStyle name="1_total_총괄내역0518_장안초등학교내역0814_진해자은수량산출서(단지내)_설계서-1" xfId="1549" xr:uid="{00000000-0005-0000-0000-0000F3010000}"/>
    <cellStyle name="1_total_총괄내역0518_장안초등학교내역0814_진해자은수량산출서(단지내)_설계서-1_00-설계서,원가계산,내역서" xfId="1550" xr:uid="{00000000-0005-0000-0000-0000F4010000}"/>
    <cellStyle name="1_total_총괄내역0518_장안초등학교내역0814_진해자은수량산출서(단지내)_취합" xfId="1551" xr:uid="{00000000-0005-0000-0000-0000F5010000}"/>
    <cellStyle name="1_total_총괄내역0518_장안초등학교내역0814_진해자은수량산출서(단지내)_취합_00-설계서,원가계산,내역서" xfId="1552" xr:uid="{00000000-0005-0000-0000-0000F6010000}"/>
    <cellStyle name="1_total_총괄내역0518_장안초등학교내역0814_진해자은수량산출서(단지내)_취합_설계서-1" xfId="1553" xr:uid="{00000000-0005-0000-0000-0000F7010000}"/>
    <cellStyle name="1_total_총괄내역0518_장안초등학교내역0814_진해자은수량산출서(단지내)_취합_설계서-1_00-설계서,원가계산,내역서" xfId="1554" xr:uid="{00000000-0005-0000-0000-0000F8010000}"/>
    <cellStyle name="1_total_총괄내역0518_진해자은수량산출서(단지내)" xfId="1555" xr:uid="{00000000-0005-0000-0000-0000F9010000}"/>
    <cellStyle name="1_total_총괄내역0518_진해자은수량산출서(단지내)_00-설계서,원가계산,내역서" xfId="1556" xr:uid="{00000000-0005-0000-0000-0000FA010000}"/>
    <cellStyle name="1_total_총괄내역0518_진해자은수량산출서(단지내)_기초산출표-56-128-최종" xfId="1557" xr:uid="{00000000-0005-0000-0000-0000FB010000}"/>
    <cellStyle name="1_total_총괄내역0518_진해자은수량산출서(단지내)_기초산출표-56-128-최종_00-설계서,원가계산,내역서" xfId="1558" xr:uid="{00000000-0005-0000-0000-0000FC010000}"/>
    <cellStyle name="1_total_총괄내역0518_진해자은수량산출서(단지내)_기초산출표-56-128-최종_설계서-1" xfId="1559" xr:uid="{00000000-0005-0000-0000-0000FD010000}"/>
    <cellStyle name="1_total_총괄내역0518_진해자은수량산출서(단지내)_기초산출표-56-128-최종_설계서-1_00-설계서,원가계산,내역서" xfId="1560" xr:uid="{00000000-0005-0000-0000-0000FE010000}"/>
    <cellStyle name="1_total_총괄내역0518_진해자은수량산출서(단지내)_설계서-1" xfId="1561" xr:uid="{00000000-0005-0000-0000-0000FF010000}"/>
    <cellStyle name="1_total_총괄내역0518_진해자은수량산출서(단지내)_설계서-1_00-설계서,원가계산,내역서" xfId="1562" xr:uid="{00000000-0005-0000-0000-000000020000}"/>
    <cellStyle name="1_total_총괄내역0518_진해자은수량산출서(단지내)_취합" xfId="1563" xr:uid="{00000000-0005-0000-0000-000001020000}"/>
    <cellStyle name="1_total_총괄내역0518_진해자은수량산출서(단지내)_취합_00-설계서,원가계산,내역서" xfId="1564" xr:uid="{00000000-0005-0000-0000-000002020000}"/>
    <cellStyle name="1_total_총괄내역0518_진해자은수량산출서(단지내)_취합_설계서-1" xfId="1565" xr:uid="{00000000-0005-0000-0000-000003020000}"/>
    <cellStyle name="1_total_총괄내역0518_진해자은수량산출서(단지내)_취합_설계서-1_00-설계서,원가계산,내역서" xfId="1566" xr:uid="{00000000-0005-0000-0000-000004020000}"/>
    <cellStyle name="1_total_현충묘지-예산서(조경)" xfId="1567" xr:uid="{00000000-0005-0000-0000-000005020000}"/>
    <cellStyle name="1_total_현충묘지-예산서(조경)_00-설계서,원가계산,내역서" xfId="1568" xr:uid="{00000000-0005-0000-0000-000006020000}"/>
    <cellStyle name="1_total_현충묘지-예산서(조경)_목동내역" xfId="1569" xr:uid="{00000000-0005-0000-0000-000007020000}"/>
    <cellStyle name="1_total_현충묘지-예산서(조경)_목동내역_00-설계서,원가계산,내역서" xfId="1570" xr:uid="{00000000-0005-0000-0000-000008020000}"/>
    <cellStyle name="1_total_현충묘지-예산서(조경)_목동내역_폐기물집계" xfId="1571" xr:uid="{00000000-0005-0000-0000-000009020000}"/>
    <cellStyle name="1_total_현충묘지-예산서(조경)_목동내역_폐기물집계_00-설계서,원가계산,내역서" xfId="1572" xr:uid="{00000000-0005-0000-0000-00000A020000}"/>
    <cellStyle name="1_total_현충묘지-예산서(조경)_예산서-엑셀변환양식100" xfId="1573" xr:uid="{00000000-0005-0000-0000-00000B020000}"/>
    <cellStyle name="1_total_현충묘지-예산서(조경)_예산서-엑셀변환양식100_00-설계서,원가계산,내역서" xfId="1574" xr:uid="{00000000-0005-0000-0000-00000C020000}"/>
    <cellStyle name="1_total_현충묘지-예산서(조경)_예산서-엑셀변환양식100_목동내역" xfId="1575" xr:uid="{00000000-0005-0000-0000-00000D020000}"/>
    <cellStyle name="1_total_현충묘지-예산서(조경)_예산서-엑셀변환양식100_목동내역_00-설계서,원가계산,내역서" xfId="1576" xr:uid="{00000000-0005-0000-0000-00000E020000}"/>
    <cellStyle name="1_total_현충묘지-예산서(조경)_예산서-엑셀변환양식100_목동내역_폐기물집계" xfId="1577" xr:uid="{00000000-0005-0000-0000-00000F020000}"/>
    <cellStyle name="1_total_현충묘지-예산서(조경)_예산서-엑셀변환양식100_목동내역_폐기물집계_00-설계서,원가계산,내역서" xfId="1578" xr:uid="{00000000-0005-0000-0000-000010020000}"/>
    <cellStyle name="1_tree" xfId="1579" xr:uid="{00000000-0005-0000-0000-000011020000}"/>
    <cellStyle name="1_tree_00-설계서,원가계산,내역서" xfId="1580" xr:uid="{00000000-0005-0000-0000-000012020000}"/>
    <cellStyle name="1_tree_00-수량산출서" xfId="1581" xr:uid="{00000000-0005-0000-0000-000013020000}"/>
    <cellStyle name="1_tree_00-수량산출서_00-설계서,원가계산,내역서" xfId="1582" xr:uid="{00000000-0005-0000-0000-000014020000}"/>
    <cellStyle name="1_tree_01-내역서(071118)" xfId="1583" xr:uid="{00000000-0005-0000-0000-000015020000}"/>
    <cellStyle name="1_tree_01-내역서(071118)_00-설계서,원가계산,내역서" xfId="1584" xr:uid="{00000000-0005-0000-0000-000016020000}"/>
    <cellStyle name="1_tree_구로리총괄내역" xfId="1585" xr:uid="{00000000-0005-0000-0000-000017020000}"/>
    <cellStyle name="1_tree_구로리총괄내역_00-설계서,원가계산,내역서" xfId="1586" xr:uid="{00000000-0005-0000-0000-000018020000}"/>
    <cellStyle name="1_tree_구로리총괄내역_구로리설계예산서1029" xfId="1587" xr:uid="{00000000-0005-0000-0000-000019020000}"/>
    <cellStyle name="1_tree_구로리총괄내역_구로리설계예산서1029_00-설계서,원가계산,내역서" xfId="1588" xr:uid="{00000000-0005-0000-0000-00001A020000}"/>
    <cellStyle name="1_tree_구로리총괄내역_구로리설계예산서1029_설계서-1" xfId="1589" xr:uid="{00000000-0005-0000-0000-00001B020000}"/>
    <cellStyle name="1_tree_구로리총괄내역_구로리설계예산서1029_설계서-1_00-설계서,원가계산,내역서" xfId="1590" xr:uid="{00000000-0005-0000-0000-00001C020000}"/>
    <cellStyle name="1_tree_구로리총괄내역_구로리설계예산서1029_진해자은수량산출서(단지내)" xfId="1591" xr:uid="{00000000-0005-0000-0000-00001D020000}"/>
    <cellStyle name="1_tree_구로리총괄내역_구로리설계예산서1029_진해자은수량산출서(단지내)_00-설계서,원가계산,내역서" xfId="1592" xr:uid="{00000000-0005-0000-0000-00001E020000}"/>
    <cellStyle name="1_tree_구로리총괄내역_구로리설계예산서1029_진해자은수량산출서(단지내)_기초산출표-56-128-최종" xfId="1593" xr:uid="{00000000-0005-0000-0000-00001F020000}"/>
    <cellStyle name="1_tree_구로리총괄내역_구로리설계예산서1029_진해자은수량산출서(단지내)_기초산출표-56-128-최종_00-설계서,원가계산,내역서" xfId="1594" xr:uid="{00000000-0005-0000-0000-000020020000}"/>
    <cellStyle name="1_tree_구로리총괄내역_구로리설계예산서1029_진해자은수량산출서(단지내)_기초산출표-56-128-최종_설계서-1" xfId="1595" xr:uid="{00000000-0005-0000-0000-000021020000}"/>
    <cellStyle name="1_tree_구로리총괄내역_구로리설계예산서1029_진해자은수량산출서(단지내)_기초산출표-56-128-최종_설계서-1_00-설계서,원가계산,내역서" xfId="1596" xr:uid="{00000000-0005-0000-0000-000022020000}"/>
    <cellStyle name="1_tree_구로리총괄내역_구로리설계예산서1029_진해자은수량산출서(단지내)_설계서-1" xfId="1597" xr:uid="{00000000-0005-0000-0000-000023020000}"/>
    <cellStyle name="1_tree_구로리총괄내역_구로리설계예산서1029_진해자은수량산출서(단지내)_설계서-1_00-설계서,원가계산,내역서" xfId="1598" xr:uid="{00000000-0005-0000-0000-000024020000}"/>
    <cellStyle name="1_tree_구로리총괄내역_구로리설계예산서1029_진해자은수량산출서(단지내)_취합" xfId="1599" xr:uid="{00000000-0005-0000-0000-000025020000}"/>
    <cellStyle name="1_tree_구로리총괄내역_구로리설계예산서1029_진해자은수량산출서(단지내)_취합_00-설계서,원가계산,내역서" xfId="1600" xr:uid="{00000000-0005-0000-0000-000026020000}"/>
    <cellStyle name="1_tree_구로리총괄내역_구로리설계예산서1029_진해자은수량산출서(단지내)_취합_설계서-1" xfId="1601" xr:uid="{00000000-0005-0000-0000-000027020000}"/>
    <cellStyle name="1_tree_구로리총괄내역_구로리설계예산서1029_진해자은수량산출서(단지내)_취합_설계서-1_00-설계서,원가계산,내역서" xfId="1602" xr:uid="{00000000-0005-0000-0000-000028020000}"/>
    <cellStyle name="1_tree_구로리총괄내역_구로리설계예산서1118준공" xfId="1603" xr:uid="{00000000-0005-0000-0000-000029020000}"/>
    <cellStyle name="1_tree_구로리총괄내역_구로리설계예산서1118준공_00-설계서,원가계산,내역서" xfId="1604" xr:uid="{00000000-0005-0000-0000-00002A020000}"/>
    <cellStyle name="1_tree_구로리총괄내역_구로리설계예산서1118준공_설계서-1" xfId="1605" xr:uid="{00000000-0005-0000-0000-00002B020000}"/>
    <cellStyle name="1_tree_구로리총괄내역_구로리설계예산서1118준공_설계서-1_00-설계서,원가계산,내역서" xfId="1606" xr:uid="{00000000-0005-0000-0000-00002C020000}"/>
    <cellStyle name="1_tree_구로리총괄내역_구로리설계예산서1118준공_진해자은수량산출서(단지내)" xfId="1607" xr:uid="{00000000-0005-0000-0000-00002D020000}"/>
    <cellStyle name="1_tree_구로리총괄내역_구로리설계예산서1118준공_진해자은수량산출서(단지내)_00-설계서,원가계산,내역서" xfId="1608" xr:uid="{00000000-0005-0000-0000-00002E020000}"/>
    <cellStyle name="1_tree_구로리총괄내역_구로리설계예산서1118준공_진해자은수량산출서(단지내)_기초산출표-56-128-최종" xfId="1609" xr:uid="{00000000-0005-0000-0000-00002F020000}"/>
    <cellStyle name="1_tree_구로리총괄내역_구로리설계예산서1118준공_진해자은수량산출서(단지내)_기초산출표-56-128-최종_00-설계서,원가계산,내역서" xfId="1610" xr:uid="{00000000-0005-0000-0000-000030020000}"/>
    <cellStyle name="1_tree_구로리총괄내역_구로리설계예산서1118준공_진해자은수량산출서(단지내)_기초산출표-56-128-최종_설계서-1" xfId="1611" xr:uid="{00000000-0005-0000-0000-000031020000}"/>
    <cellStyle name="1_tree_구로리총괄내역_구로리설계예산서1118준공_진해자은수량산출서(단지내)_기초산출표-56-128-최종_설계서-1_00-설계서,원가계산,내역서" xfId="1612" xr:uid="{00000000-0005-0000-0000-000032020000}"/>
    <cellStyle name="1_tree_구로리총괄내역_구로리설계예산서1118준공_진해자은수량산출서(단지내)_설계서-1" xfId="1613" xr:uid="{00000000-0005-0000-0000-000033020000}"/>
    <cellStyle name="1_tree_구로리총괄내역_구로리설계예산서1118준공_진해자은수량산출서(단지내)_설계서-1_00-설계서,원가계산,내역서" xfId="1614" xr:uid="{00000000-0005-0000-0000-000034020000}"/>
    <cellStyle name="1_tree_구로리총괄내역_구로리설계예산서1118준공_진해자은수량산출서(단지내)_취합" xfId="1615" xr:uid="{00000000-0005-0000-0000-000035020000}"/>
    <cellStyle name="1_tree_구로리총괄내역_구로리설계예산서1118준공_진해자은수량산출서(단지내)_취합_00-설계서,원가계산,내역서" xfId="1616" xr:uid="{00000000-0005-0000-0000-000036020000}"/>
    <cellStyle name="1_tree_구로리총괄내역_구로리설계예산서1118준공_진해자은수량산출서(단지내)_취합_설계서-1" xfId="1617" xr:uid="{00000000-0005-0000-0000-000037020000}"/>
    <cellStyle name="1_tree_구로리총괄내역_구로리설계예산서1118준공_진해자은수량산출서(단지내)_취합_설계서-1_00-설계서,원가계산,내역서" xfId="1618" xr:uid="{00000000-0005-0000-0000-000038020000}"/>
    <cellStyle name="1_tree_구로리총괄내역_구로리설계예산서조경" xfId="1619" xr:uid="{00000000-0005-0000-0000-000039020000}"/>
    <cellStyle name="1_tree_구로리총괄내역_구로리설계예산서조경_00-설계서,원가계산,내역서" xfId="1620" xr:uid="{00000000-0005-0000-0000-00003A020000}"/>
    <cellStyle name="1_tree_구로리총괄내역_구로리설계예산서조경_설계서-1" xfId="1621" xr:uid="{00000000-0005-0000-0000-00003B020000}"/>
    <cellStyle name="1_tree_구로리총괄내역_구로리설계예산서조경_설계서-1_00-설계서,원가계산,내역서" xfId="1622" xr:uid="{00000000-0005-0000-0000-00003C020000}"/>
    <cellStyle name="1_tree_구로리총괄내역_구로리설계예산서조경_진해자은수량산출서(단지내)" xfId="1623" xr:uid="{00000000-0005-0000-0000-00003D020000}"/>
    <cellStyle name="1_tree_구로리총괄내역_구로리설계예산서조경_진해자은수량산출서(단지내)_00-설계서,원가계산,내역서" xfId="1624" xr:uid="{00000000-0005-0000-0000-00003E020000}"/>
    <cellStyle name="1_tree_구로리총괄내역_구로리설계예산서조경_진해자은수량산출서(단지내)_기초산출표-56-128-최종" xfId="1625" xr:uid="{00000000-0005-0000-0000-00003F020000}"/>
    <cellStyle name="1_tree_구로리총괄내역_구로리설계예산서조경_진해자은수량산출서(단지내)_기초산출표-56-128-최종_00-설계서,원가계산,내역서" xfId="1626" xr:uid="{00000000-0005-0000-0000-000040020000}"/>
    <cellStyle name="1_tree_구로리총괄내역_구로리설계예산서조경_진해자은수량산출서(단지내)_기초산출표-56-128-최종_설계서-1" xfId="1627" xr:uid="{00000000-0005-0000-0000-000041020000}"/>
    <cellStyle name="1_tree_구로리총괄내역_구로리설계예산서조경_진해자은수량산출서(단지내)_기초산출표-56-128-최종_설계서-1_00-설계서,원가계산,내역서" xfId="1628" xr:uid="{00000000-0005-0000-0000-000042020000}"/>
    <cellStyle name="1_tree_구로리총괄내역_구로리설계예산서조경_진해자은수량산출서(단지내)_설계서-1" xfId="1629" xr:uid="{00000000-0005-0000-0000-000043020000}"/>
    <cellStyle name="1_tree_구로리총괄내역_구로리설계예산서조경_진해자은수량산출서(단지내)_설계서-1_00-설계서,원가계산,내역서" xfId="1630" xr:uid="{00000000-0005-0000-0000-000044020000}"/>
    <cellStyle name="1_tree_구로리총괄내역_구로리설계예산서조경_진해자은수량산출서(단지내)_취합" xfId="1631" xr:uid="{00000000-0005-0000-0000-000045020000}"/>
    <cellStyle name="1_tree_구로리총괄내역_구로리설계예산서조경_진해자은수량산출서(단지내)_취합_00-설계서,원가계산,내역서" xfId="1632" xr:uid="{00000000-0005-0000-0000-000046020000}"/>
    <cellStyle name="1_tree_구로리총괄내역_구로리설계예산서조경_진해자은수량산출서(단지내)_취합_설계서-1" xfId="1633" xr:uid="{00000000-0005-0000-0000-000047020000}"/>
    <cellStyle name="1_tree_구로리총괄내역_구로리설계예산서조경_진해자은수량산출서(단지내)_취합_설계서-1_00-설계서,원가계산,내역서" xfId="1634" xr:uid="{00000000-0005-0000-0000-000048020000}"/>
    <cellStyle name="1_tree_구로리총괄내역_구로리어린이공원예산서(조경)1125" xfId="1635" xr:uid="{00000000-0005-0000-0000-000049020000}"/>
    <cellStyle name="1_tree_구로리총괄내역_구로리어린이공원예산서(조경)1125_00-설계서,원가계산,내역서" xfId="1636" xr:uid="{00000000-0005-0000-0000-00004A020000}"/>
    <cellStyle name="1_tree_구로리총괄내역_구로리어린이공원예산서(조경)1125_설계서-1" xfId="1637" xr:uid="{00000000-0005-0000-0000-00004B020000}"/>
    <cellStyle name="1_tree_구로리총괄내역_구로리어린이공원예산서(조경)1125_설계서-1_00-설계서,원가계산,내역서" xfId="1638" xr:uid="{00000000-0005-0000-0000-00004C020000}"/>
    <cellStyle name="1_tree_구로리총괄내역_구로리어린이공원예산서(조경)1125_진해자은수량산출서(단지내)" xfId="1639" xr:uid="{00000000-0005-0000-0000-00004D020000}"/>
    <cellStyle name="1_tree_구로리총괄내역_구로리어린이공원예산서(조경)1125_진해자은수량산출서(단지내)_00-설계서,원가계산,내역서" xfId="1640" xr:uid="{00000000-0005-0000-0000-00004E020000}"/>
    <cellStyle name="1_tree_구로리총괄내역_구로리어린이공원예산서(조경)1125_진해자은수량산출서(단지내)_기초산출표-56-128-최종" xfId="1641" xr:uid="{00000000-0005-0000-0000-00004F020000}"/>
    <cellStyle name="1_tree_구로리총괄내역_구로리어린이공원예산서(조경)1125_진해자은수량산출서(단지내)_기초산출표-56-128-최종_00-설계서,원가계산,내역서" xfId="1642" xr:uid="{00000000-0005-0000-0000-000050020000}"/>
    <cellStyle name="1_tree_구로리총괄내역_구로리어린이공원예산서(조경)1125_진해자은수량산출서(단지내)_기초산출표-56-128-최종_설계서-1" xfId="1643" xr:uid="{00000000-0005-0000-0000-000051020000}"/>
    <cellStyle name="1_tree_구로리총괄내역_구로리어린이공원예산서(조경)1125_진해자은수량산출서(단지내)_기초산출표-56-128-최종_설계서-1_00-설계서,원가계산,내역서" xfId="1644" xr:uid="{00000000-0005-0000-0000-000052020000}"/>
    <cellStyle name="1_tree_구로리총괄내역_구로리어린이공원예산서(조경)1125_진해자은수량산출서(단지내)_설계서-1" xfId="1645" xr:uid="{00000000-0005-0000-0000-000053020000}"/>
    <cellStyle name="1_tree_구로리총괄내역_구로리어린이공원예산서(조경)1125_진해자은수량산출서(단지내)_설계서-1_00-설계서,원가계산,내역서" xfId="1646" xr:uid="{00000000-0005-0000-0000-000054020000}"/>
    <cellStyle name="1_tree_구로리총괄내역_구로리어린이공원예산서(조경)1125_진해자은수량산출서(단지내)_취합" xfId="1647" xr:uid="{00000000-0005-0000-0000-000055020000}"/>
    <cellStyle name="1_tree_구로리총괄내역_구로리어린이공원예산서(조경)1125_진해자은수량산출서(단지내)_취합_00-설계서,원가계산,내역서" xfId="1648" xr:uid="{00000000-0005-0000-0000-000056020000}"/>
    <cellStyle name="1_tree_구로리총괄내역_구로리어린이공원예산서(조경)1125_진해자은수량산출서(단지내)_취합_설계서-1" xfId="1649" xr:uid="{00000000-0005-0000-0000-000057020000}"/>
    <cellStyle name="1_tree_구로리총괄내역_구로리어린이공원예산서(조경)1125_진해자은수량산출서(단지내)_취합_설계서-1_00-설계서,원가계산,내역서" xfId="1650" xr:uid="{00000000-0005-0000-0000-000058020000}"/>
    <cellStyle name="1_tree_구로리총괄내역_내역서" xfId="1651" xr:uid="{00000000-0005-0000-0000-000059020000}"/>
    <cellStyle name="1_tree_구로리총괄내역_내역서_00-설계서,원가계산,내역서" xfId="1652" xr:uid="{00000000-0005-0000-0000-00005A020000}"/>
    <cellStyle name="1_tree_구로리총괄내역_내역서_설계서-1" xfId="1653" xr:uid="{00000000-0005-0000-0000-00005B020000}"/>
    <cellStyle name="1_tree_구로리총괄내역_내역서_설계서-1_00-설계서,원가계산,내역서" xfId="1654" xr:uid="{00000000-0005-0000-0000-00005C020000}"/>
    <cellStyle name="1_tree_구로리총괄내역_내역서_진해자은수량산출서(단지내)" xfId="1655" xr:uid="{00000000-0005-0000-0000-00005D020000}"/>
    <cellStyle name="1_tree_구로리총괄내역_내역서_진해자은수량산출서(단지내)_00-설계서,원가계산,내역서" xfId="1656" xr:uid="{00000000-0005-0000-0000-00005E020000}"/>
    <cellStyle name="1_tree_구로리총괄내역_내역서_진해자은수량산출서(단지내)_기초산출표-56-128-최종" xfId="1657" xr:uid="{00000000-0005-0000-0000-00005F020000}"/>
    <cellStyle name="1_tree_구로리총괄내역_내역서_진해자은수량산출서(단지내)_기초산출표-56-128-최종_00-설계서,원가계산,내역서" xfId="1658" xr:uid="{00000000-0005-0000-0000-000060020000}"/>
    <cellStyle name="1_tree_구로리총괄내역_내역서_진해자은수량산출서(단지내)_기초산출표-56-128-최종_설계서-1" xfId="1659" xr:uid="{00000000-0005-0000-0000-000061020000}"/>
    <cellStyle name="1_tree_구로리총괄내역_내역서_진해자은수량산출서(단지내)_기초산출표-56-128-최종_설계서-1_00-설계서,원가계산,내역서" xfId="1660" xr:uid="{00000000-0005-0000-0000-000062020000}"/>
    <cellStyle name="1_tree_구로리총괄내역_내역서_진해자은수량산출서(단지내)_설계서-1" xfId="1661" xr:uid="{00000000-0005-0000-0000-000063020000}"/>
    <cellStyle name="1_tree_구로리총괄내역_내역서_진해자은수량산출서(단지내)_설계서-1_00-설계서,원가계산,내역서" xfId="1662" xr:uid="{00000000-0005-0000-0000-000064020000}"/>
    <cellStyle name="1_tree_구로리총괄내역_내역서_진해자은수량산출서(단지내)_취합" xfId="1663" xr:uid="{00000000-0005-0000-0000-000065020000}"/>
    <cellStyle name="1_tree_구로리총괄내역_내역서_진해자은수량산출서(단지내)_취합_00-설계서,원가계산,내역서" xfId="1664" xr:uid="{00000000-0005-0000-0000-000066020000}"/>
    <cellStyle name="1_tree_구로리총괄내역_내역서_진해자은수량산출서(단지내)_취합_설계서-1" xfId="1665" xr:uid="{00000000-0005-0000-0000-000067020000}"/>
    <cellStyle name="1_tree_구로리총괄내역_내역서_진해자은수량산출서(단지내)_취합_설계서-1_00-설계서,원가계산,내역서" xfId="1666" xr:uid="{00000000-0005-0000-0000-000068020000}"/>
    <cellStyle name="1_tree_구로리총괄내역_노임단가표" xfId="1667" xr:uid="{00000000-0005-0000-0000-000069020000}"/>
    <cellStyle name="1_tree_구로리총괄내역_노임단가표_00-설계서,원가계산,내역서" xfId="1668" xr:uid="{00000000-0005-0000-0000-00006A020000}"/>
    <cellStyle name="1_tree_구로리총괄내역_노임단가표_설계서-1" xfId="1669" xr:uid="{00000000-0005-0000-0000-00006B020000}"/>
    <cellStyle name="1_tree_구로리총괄내역_노임단가표_설계서-1_00-설계서,원가계산,내역서" xfId="1670" xr:uid="{00000000-0005-0000-0000-00006C020000}"/>
    <cellStyle name="1_tree_구로리총괄내역_노임단가표_진해자은수량산출서(단지내)" xfId="1671" xr:uid="{00000000-0005-0000-0000-00006D020000}"/>
    <cellStyle name="1_tree_구로리총괄내역_노임단가표_진해자은수량산출서(단지내)_00-설계서,원가계산,내역서" xfId="1672" xr:uid="{00000000-0005-0000-0000-00006E020000}"/>
    <cellStyle name="1_tree_구로리총괄내역_노임단가표_진해자은수량산출서(단지내)_기초산출표-56-128-최종" xfId="1673" xr:uid="{00000000-0005-0000-0000-00006F020000}"/>
    <cellStyle name="1_tree_구로리총괄내역_노임단가표_진해자은수량산출서(단지내)_기초산출표-56-128-최종_00-설계서,원가계산,내역서" xfId="1674" xr:uid="{00000000-0005-0000-0000-000070020000}"/>
    <cellStyle name="1_tree_구로리총괄내역_노임단가표_진해자은수량산출서(단지내)_기초산출표-56-128-최종_설계서-1" xfId="1675" xr:uid="{00000000-0005-0000-0000-000071020000}"/>
    <cellStyle name="1_tree_구로리총괄내역_노임단가표_진해자은수량산출서(단지내)_기초산출표-56-128-최종_설계서-1_00-설계서,원가계산,내역서" xfId="1676" xr:uid="{00000000-0005-0000-0000-000072020000}"/>
    <cellStyle name="1_tree_구로리총괄내역_노임단가표_진해자은수량산출서(단지내)_설계서-1" xfId="1677" xr:uid="{00000000-0005-0000-0000-000073020000}"/>
    <cellStyle name="1_tree_구로리총괄내역_노임단가표_진해자은수량산출서(단지내)_설계서-1_00-설계서,원가계산,내역서" xfId="1678" xr:uid="{00000000-0005-0000-0000-000074020000}"/>
    <cellStyle name="1_tree_구로리총괄내역_노임단가표_진해자은수량산출서(단지내)_취합" xfId="1679" xr:uid="{00000000-0005-0000-0000-000075020000}"/>
    <cellStyle name="1_tree_구로리총괄내역_노임단가표_진해자은수량산출서(단지내)_취합_00-설계서,원가계산,내역서" xfId="1680" xr:uid="{00000000-0005-0000-0000-000076020000}"/>
    <cellStyle name="1_tree_구로리총괄내역_노임단가표_진해자은수량산출서(단지내)_취합_설계서-1" xfId="1681" xr:uid="{00000000-0005-0000-0000-000077020000}"/>
    <cellStyle name="1_tree_구로리총괄내역_노임단가표_진해자은수량산출서(단지내)_취합_설계서-1_00-설계서,원가계산,내역서" xfId="1682" xr:uid="{00000000-0005-0000-0000-000078020000}"/>
    <cellStyle name="1_tree_구로리총괄내역_설계서-1" xfId="1683" xr:uid="{00000000-0005-0000-0000-000079020000}"/>
    <cellStyle name="1_tree_구로리총괄내역_설계서-1_00-설계서,원가계산,내역서" xfId="1684" xr:uid="{00000000-0005-0000-0000-00007A020000}"/>
    <cellStyle name="1_tree_구로리총괄내역_수도권매립지" xfId="1685" xr:uid="{00000000-0005-0000-0000-00007B020000}"/>
    <cellStyle name="1_tree_구로리총괄내역_수도권매립지_00-설계서,원가계산,내역서" xfId="1686" xr:uid="{00000000-0005-0000-0000-00008C020000}"/>
    <cellStyle name="1_tree_구로리총괄내역_수도권매립지_설계서-1" xfId="1687" xr:uid="{00000000-0005-0000-0000-00008D020000}"/>
    <cellStyle name="1_tree_구로리총괄내역_수도권매립지_설계서-1_00-설계서,원가계산,내역서" xfId="1688" xr:uid="{00000000-0005-0000-0000-00008E020000}"/>
    <cellStyle name="1_tree_구로리총괄내역_수도권매립지_진해자은수량산출서(단지내)" xfId="1689" xr:uid="{00000000-0005-0000-0000-00008F020000}"/>
    <cellStyle name="1_tree_구로리총괄내역_수도권매립지_진해자은수량산출서(단지내)_00-설계서,원가계산,내역서" xfId="1690" xr:uid="{00000000-0005-0000-0000-000090020000}"/>
    <cellStyle name="1_tree_구로리총괄내역_수도권매립지_진해자은수량산출서(단지내)_기초산출표-56-128-최종" xfId="1691" xr:uid="{00000000-0005-0000-0000-000091020000}"/>
    <cellStyle name="1_tree_구로리총괄내역_수도권매립지_진해자은수량산출서(단지내)_기초산출표-56-128-최종_00-설계서,원가계산,내역서" xfId="1692" xr:uid="{00000000-0005-0000-0000-000092020000}"/>
    <cellStyle name="1_tree_구로리총괄내역_수도권매립지_진해자은수량산출서(단지내)_기초산출표-56-128-최종_설계서-1" xfId="1693" xr:uid="{00000000-0005-0000-0000-000093020000}"/>
    <cellStyle name="1_tree_구로리총괄내역_수도권매립지_진해자은수량산출서(단지내)_기초산출표-56-128-최종_설계서-1_00-설계서,원가계산,내역서" xfId="1694" xr:uid="{00000000-0005-0000-0000-000094020000}"/>
    <cellStyle name="1_tree_구로리총괄내역_수도권매립지_진해자은수량산출서(단지내)_설계서-1" xfId="1695" xr:uid="{00000000-0005-0000-0000-000095020000}"/>
    <cellStyle name="1_tree_구로리총괄내역_수도권매립지_진해자은수량산출서(단지내)_설계서-1_00-설계서,원가계산,내역서" xfId="1696" xr:uid="{00000000-0005-0000-0000-000096020000}"/>
    <cellStyle name="1_tree_구로리총괄내역_수도권매립지_진해자은수량산출서(단지내)_취합" xfId="1697" xr:uid="{00000000-0005-0000-0000-000097020000}"/>
    <cellStyle name="1_tree_구로리총괄내역_수도권매립지_진해자은수량산출서(단지내)_취합_00-설계서,원가계산,내역서" xfId="1698" xr:uid="{00000000-0005-0000-0000-000098020000}"/>
    <cellStyle name="1_tree_구로리총괄내역_수도권매립지_진해자은수량산출서(단지내)_취합_설계서-1" xfId="1699" xr:uid="{00000000-0005-0000-0000-000099020000}"/>
    <cellStyle name="1_tree_구로리총괄내역_수도권매립지_진해자은수량산출서(단지내)_취합_설계서-1_00-설계서,원가계산,내역서" xfId="1700" xr:uid="{00000000-0005-0000-0000-00009A020000}"/>
    <cellStyle name="1_tree_구로리총괄내역_수도권매립지1004(발주용)" xfId="1701" xr:uid="{00000000-0005-0000-0000-00007C020000}"/>
    <cellStyle name="1_tree_구로리총괄내역_수도권매립지1004(발주용)_00-설계서,원가계산,내역서" xfId="1702" xr:uid="{00000000-0005-0000-0000-00007D020000}"/>
    <cellStyle name="1_tree_구로리총괄내역_수도권매립지1004(발주용)_설계서-1" xfId="1703" xr:uid="{00000000-0005-0000-0000-00007E020000}"/>
    <cellStyle name="1_tree_구로리총괄내역_수도권매립지1004(발주용)_설계서-1_00-설계서,원가계산,내역서" xfId="1704" xr:uid="{00000000-0005-0000-0000-00007F020000}"/>
    <cellStyle name="1_tree_구로리총괄내역_수도권매립지1004(발주용)_진해자은수량산출서(단지내)" xfId="1705" xr:uid="{00000000-0005-0000-0000-000080020000}"/>
    <cellStyle name="1_tree_구로리총괄내역_수도권매립지1004(발주용)_진해자은수량산출서(단지내)_00-설계서,원가계산,내역서" xfId="1706" xr:uid="{00000000-0005-0000-0000-000081020000}"/>
    <cellStyle name="1_tree_구로리총괄내역_수도권매립지1004(발주용)_진해자은수량산출서(단지내)_기초산출표-56-128-최종" xfId="1707" xr:uid="{00000000-0005-0000-0000-000082020000}"/>
    <cellStyle name="1_tree_구로리총괄내역_수도권매립지1004(발주용)_진해자은수량산출서(단지내)_기초산출표-56-128-최종_00-설계서,원가계산,내역서" xfId="1708" xr:uid="{00000000-0005-0000-0000-000083020000}"/>
    <cellStyle name="1_tree_구로리총괄내역_수도권매립지1004(발주용)_진해자은수량산출서(단지내)_기초산출표-56-128-최종_설계서-1" xfId="1709" xr:uid="{00000000-0005-0000-0000-000084020000}"/>
    <cellStyle name="1_tree_구로리총괄내역_수도권매립지1004(발주용)_진해자은수량산출서(단지내)_기초산출표-56-128-최종_설계서-1_00-설계서,원가계산,내역서" xfId="1710" xr:uid="{00000000-0005-0000-0000-000085020000}"/>
    <cellStyle name="1_tree_구로리총괄내역_수도권매립지1004(발주용)_진해자은수량산출서(단지내)_설계서-1" xfId="1711" xr:uid="{00000000-0005-0000-0000-000086020000}"/>
    <cellStyle name="1_tree_구로리총괄내역_수도권매립지1004(발주용)_진해자은수량산출서(단지내)_설계서-1_00-설계서,원가계산,내역서" xfId="1712" xr:uid="{00000000-0005-0000-0000-000087020000}"/>
    <cellStyle name="1_tree_구로리총괄내역_수도권매립지1004(발주용)_진해자은수량산출서(단지내)_취합" xfId="1713" xr:uid="{00000000-0005-0000-0000-000088020000}"/>
    <cellStyle name="1_tree_구로리총괄내역_수도권매립지1004(발주용)_진해자은수량산출서(단지내)_취합_00-설계서,원가계산,내역서" xfId="1714" xr:uid="{00000000-0005-0000-0000-000089020000}"/>
    <cellStyle name="1_tree_구로리총괄내역_수도권매립지1004(발주용)_진해자은수량산출서(단지내)_취합_설계서-1" xfId="1715" xr:uid="{00000000-0005-0000-0000-00008A020000}"/>
    <cellStyle name="1_tree_구로리총괄내역_수도권매립지1004(발주용)_진해자은수량산출서(단지내)_취합_설계서-1_00-설계서,원가계산,내역서" xfId="1716" xr:uid="{00000000-0005-0000-0000-00008B020000}"/>
    <cellStyle name="1_tree_구로리총괄내역_일신건영설계예산서(0211)" xfId="1717" xr:uid="{00000000-0005-0000-0000-00009B020000}"/>
    <cellStyle name="1_tree_구로리총괄내역_일신건영설계예산서(0211)_00-설계서,원가계산,내역서" xfId="1718" xr:uid="{00000000-0005-0000-0000-00009C020000}"/>
    <cellStyle name="1_tree_구로리총괄내역_일신건영설계예산서(0211)_설계서-1" xfId="1719" xr:uid="{00000000-0005-0000-0000-00009D020000}"/>
    <cellStyle name="1_tree_구로리총괄내역_일신건영설계예산서(0211)_설계서-1_00-설계서,원가계산,내역서" xfId="1720" xr:uid="{00000000-0005-0000-0000-00009E020000}"/>
    <cellStyle name="1_tree_구로리총괄내역_일신건영설계예산서(0211)_진해자은수량산출서(단지내)" xfId="1721" xr:uid="{00000000-0005-0000-0000-00009F020000}"/>
    <cellStyle name="1_tree_구로리총괄내역_일신건영설계예산서(0211)_진해자은수량산출서(단지내)_00-설계서,원가계산,내역서" xfId="1722" xr:uid="{00000000-0005-0000-0000-0000A0020000}"/>
    <cellStyle name="1_tree_구로리총괄내역_일신건영설계예산서(0211)_진해자은수량산출서(단지내)_기초산출표-56-128-최종" xfId="1723" xr:uid="{00000000-0005-0000-0000-0000A1020000}"/>
    <cellStyle name="1_tree_구로리총괄내역_일신건영설계예산서(0211)_진해자은수량산출서(단지내)_기초산출표-56-128-최종_00-설계서,원가계산,내역서" xfId="1724" xr:uid="{00000000-0005-0000-0000-0000A2020000}"/>
    <cellStyle name="1_tree_구로리총괄내역_일신건영설계예산서(0211)_진해자은수량산출서(단지내)_기초산출표-56-128-최종_설계서-1" xfId="1725" xr:uid="{00000000-0005-0000-0000-0000A3020000}"/>
    <cellStyle name="1_tree_구로리총괄내역_일신건영설계예산서(0211)_진해자은수량산출서(단지내)_기초산출표-56-128-최종_설계서-1_00-설계서,원가계산,내역서" xfId="1726" xr:uid="{00000000-0005-0000-0000-0000A4020000}"/>
    <cellStyle name="1_tree_구로리총괄내역_일신건영설계예산서(0211)_진해자은수량산출서(단지내)_설계서-1" xfId="1727" xr:uid="{00000000-0005-0000-0000-0000A5020000}"/>
    <cellStyle name="1_tree_구로리총괄내역_일신건영설계예산서(0211)_진해자은수량산출서(단지내)_설계서-1_00-설계서,원가계산,내역서" xfId="1728" xr:uid="{00000000-0005-0000-0000-0000A6020000}"/>
    <cellStyle name="1_tree_구로리총괄내역_일신건영설계예산서(0211)_진해자은수량산출서(단지내)_취합" xfId="1729" xr:uid="{00000000-0005-0000-0000-0000A7020000}"/>
    <cellStyle name="1_tree_구로리총괄내역_일신건영설계예산서(0211)_진해자은수량산출서(단지내)_취합_00-설계서,원가계산,내역서" xfId="1730" xr:uid="{00000000-0005-0000-0000-0000A8020000}"/>
    <cellStyle name="1_tree_구로리총괄내역_일신건영설계예산서(0211)_진해자은수량산출서(단지내)_취합_설계서-1" xfId="1731" xr:uid="{00000000-0005-0000-0000-0000A9020000}"/>
    <cellStyle name="1_tree_구로리총괄내역_일신건영설계예산서(0211)_진해자은수량산출서(단지내)_취합_설계서-1_00-설계서,원가계산,내역서" xfId="1732" xr:uid="{00000000-0005-0000-0000-0000AA020000}"/>
    <cellStyle name="1_tree_구로리총괄내역_일위대가" xfId="1733" xr:uid="{00000000-0005-0000-0000-0000AB020000}"/>
    <cellStyle name="1_tree_구로리총괄내역_일위대가_00-설계서,원가계산,내역서" xfId="1734" xr:uid="{00000000-0005-0000-0000-0000AC020000}"/>
    <cellStyle name="1_tree_구로리총괄내역_일위대가_설계서-1" xfId="1735" xr:uid="{00000000-0005-0000-0000-0000AD020000}"/>
    <cellStyle name="1_tree_구로리총괄내역_일위대가_설계서-1_00-설계서,원가계산,내역서" xfId="1736" xr:uid="{00000000-0005-0000-0000-0000AE020000}"/>
    <cellStyle name="1_tree_구로리총괄내역_일위대가_진해자은수량산출서(단지내)" xfId="1737" xr:uid="{00000000-0005-0000-0000-0000AF020000}"/>
    <cellStyle name="1_tree_구로리총괄내역_일위대가_진해자은수량산출서(단지내)_00-설계서,원가계산,내역서" xfId="1738" xr:uid="{00000000-0005-0000-0000-0000B0020000}"/>
    <cellStyle name="1_tree_구로리총괄내역_일위대가_진해자은수량산출서(단지내)_기초산출표-56-128-최종" xfId="1739" xr:uid="{00000000-0005-0000-0000-0000B1020000}"/>
    <cellStyle name="1_tree_구로리총괄내역_일위대가_진해자은수량산출서(단지내)_기초산출표-56-128-최종_00-설계서,원가계산,내역서" xfId="1740" xr:uid="{00000000-0005-0000-0000-0000B2020000}"/>
    <cellStyle name="1_tree_구로리총괄내역_일위대가_진해자은수량산출서(단지내)_기초산출표-56-128-최종_설계서-1" xfId="1741" xr:uid="{00000000-0005-0000-0000-0000B3020000}"/>
    <cellStyle name="1_tree_구로리총괄내역_일위대가_진해자은수량산출서(단지내)_기초산출표-56-128-최종_설계서-1_00-설계서,원가계산,내역서" xfId="1742" xr:uid="{00000000-0005-0000-0000-0000B4020000}"/>
    <cellStyle name="1_tree_구로리총괄내역_일위대가_진해자은수량산출서(단지내)_설계서-1" xfId="1743" xr:uid="{00000000-0005-0000-0000-0000B5020000}"/>
    <cellStyle name="1_tree_구로리총괄내역_일위대가_진해자은수량산출서(단지내)_설계서-1_00-설계서,원가계산,내역서" xfId="1744" xr:uid="{00000000-0005-0000-0000-0000B6020000}"/>
    <cellStyle name="1_tree_구로리총괄내역_일위대가_진해자은수량산출서(단지내)_취합" xfId="1745" xr:uid="{00000000-0005-0000-0000-0000B7020000}"/>
    <cellStyle name="1_tree_구로리총괄내역_일위대가_진해자은수량산출서(단지내)_취합_00-설계서,원가계산,내역서" xfId="1746" xr:uid="{00000000-0005-0000-0000-0000B8020000}"/>
    <cellStyle name="1_tree_구로리총괄내역_일위대가_진해자은수량산출서(단지내)_취합_설계서-1" xfId="1747" xr:uid="{00000000-0005-0000-0000-0000B9020000}"/>
    <cellStyle name="1_tree_구로리총괄내역_일위대가_진해자은수량산출서(단지내)_취합_설계서-1_00-설계서,원가계산,내역서" xfId="1748" xr:uid="{00000000-0005-0000-0000-0000BA020000}"/>
    <cellStyle name="1_tree_구로리총괄내역_자재단가표" xfId="1749" xr:uid="{00000000-0005-0000-0000-0000BB020000}"/>
    <cellStyle name="1_tree_구로리총괄내역_자재단가표_00-설계서,원가계산,내역서" xfId="1750" xr:uid="{00000000-0005-0000-0000-0000BC020000}"/>
    <cellStyle name="1_tree_구로리총괄내역_자재단가표_설계서-1" xfId="1751" xr:uid="{00000000-0005-0000-0000-0000BD020000}"/>
    <cellStyle name="1_tree_구로리총괄내역_자재단가표_설계서-1_00-설계서,원가계산,내역서" xfId="1752" xr:uid="{00000000-0005-0000-0000-0000BE020000}"/>
    <cellStyle name="1_tree_구로리총괄내역_자재단가표_진해자은수량산출서(단지내)" xfId="1753" xr:uid="{00000000-0005-0000-0000-0000BF020000}"/>
    <cellStyle name="1_tree_구로리총괄내역_자재단가표_진해자은수량산출서(단지내)_00-설계서,원가계산,내역서" xfId="1754" xr:uid="{00000000-0005-0000-0000-0000C0020000}"/>
    <cellStyle name="1_tree_구로리총괄내역_자재단가표_진해자은수량산출서(단지내)_기초산출표-56-128-최종" xfId="1755" xr:uid="{00000000-0005-0000-0000-0000C1020000}"/>
    <cellStyle name="1_tree_구로리총괄내역_자재단가표_진해자은수량산출서(단지내)_기초산출표-56-128-최종_00-설계서,원가계산,내역서" xfId="1756" xr:uid="{00000000-0005-0000-0000-0000C2020000}"/>
    <cellStyle name="1_tree_구로리총괄내역_자재단가표_진해자은수량산출서(단지내)_기초산출표-56-128-최종_설계서-1" xfId="1757" xr:uid="{00000000-0005-0000-0000-0000C3020000}"/>
    <cellStyle name="1_tree_구로리총괄내역_자재단가표_진해자은수량산출서(단지내)_기초산출표-56-128-최종_설계서-1_00-설계서,원가계산,내역서" xfId="1758" xr:uid="{00000000-0005-0000-0000-0000C4020000}"/>
    <cellStyle name="1_tree_구로리총괄내역_자재단가표_진해자은수량산출서(단지내)_설계서-1" xfId="1759" xr:uid="{00000000-0005-0000-0000-0000C5020000}"/>
    <cellStyle name="1_tree_구로리총괄내역_자재단가표_진해자은수량산출서(단지내)_설계서-1_00-설계서,원가계산,내역서" xfId="1760" xr:uid="{00000000-0005-0000-0000-0000C6020000}"/>
    <cellStyle name="1_tree_구로리총괄내역_자재단가표_진해자은수량산출서(단지내)_취합" xfId="1761" xr:uid="{00000000-0005-0000-0000-0000C7020000}"/>
    <cellStyle name="1_tree_구로리총괄내역_자재단가표_진해자은수량산출서(단지내)_취합_00-설계서,원가계산,내역서" xfId="1762" xr:uid="{00000000-0005-0000-0000-0000C8020000}"/>
    <cellStyle name="1_tree_구로리총괄내역_자재단가표_진해자은수량산출서(단지내)_취합_설계서-1" xfId="1763" xr:uid="{00000000-0005-0000-0000-0000C9020000}"/>
    <cellStyle name="1_tree_구로리총괄내역_자재단가표_진해자은수량산출서(단지내)_취합_설계서-1_00-설계서,원가계산,내역서" xfId="1764" xr:uid="{00000000-0005-0000-0000-0000CA020000}"/>
    <cellStyle name="1_tree_구로리총괄내역_장안초등학교내역0814" xfId="1765" xr:uid="{00000000-0005-0000-0000-0000CB020000}"/>
    <cellStyle name="1_tree_구로리총괄내역_장안초등학교내역0814_00-설계서,원가계산,내역서" xfId="1766" xr:uid="{00000000-0005-0000-0000-0000CC020000}"/>
    <cellStyle name="1_tree_구로리총괄내역_장안초등학교내역0814_설계서-1" xfId="1767" xr:uid="{00000000-0005-0000-0000-0000CD020000}"/>
    <cellStyle name="1_tree_구로리총괄내역_장안초등학교내역0814_설계서-1_00-설계서,원가계산,내역서" xfId="1768" xr:uid="{00000000-0005-0000-0000-0000CE020000}"/>
    <cellStyle name="1_tree_구로리총괄내역_장안초등학교내역0814_진해자은수량산출서(단지내)" xfId="1769" xr:uid="{00000000-0005-0000-0000-0000CF020000}"/>
    <cellStyle name="1_tree_구로리총괄내역_장안초등학교내역0814_진해자은수량산출서(단지내)_00-설계서,원가계산,내역서" xfId="1770" xr:uid="{00000000-0005-0000-0000-0000D0020000}"/>
    <cellStyle name="1_tree_구로리총괄내역_장안초등학교내역0814_진해자은수량산출서(단지내)_기초산출표-56-128-최종" xfId="1771" xr:uid="{00000000-0005-0000-0000-0000D1020000}"/>
    <cellStyle name="1_tree_구로리총괄내역_장안초등학교내역0814_진해자은수량산출서(단지내)_기초산출표-56-128-최종_00-설계서,원가계산,내역서" xfId="1772" xr:uid="{00000000-0005-0000-0000-0000D2020000}"/>
    <cellStyle name="1_tree_구로리총괄내역_장안초등학교내역0814_진해자은수량산출서(단지내)_기초산출표-56-128-최종_설계서-1" xfId="1773" xr:uid="{00000000-0005-0000-0000-0000D3020000}"/>
    <cellStyle name="1_tree_구로리총괄내역_장안초등학교내역0814_진해자은수량산출서(단지내)_기초산출표-56-128-최종_설계서-1_00-설계서,원가계산,내역서" xfId="1774" xr:uid="{00000000-0005-0000-0000-0000D4020000}"/>
    <cellStyle name="1_tree_구로리총괄내역_장안초등학교내역0814_진해자은수량산출서(단지내)_설계서-1" xfId="1775" xr:uid="{00000000-0005-0000-0000-0000D5020000}"/>
    <cellStyle name="1_tree_구로리총괄내역_장안초등학교내역0814_진해자은수량산출서(단지내)_설계서-1_00-설계서,원가계산,내역서" xfId="1776" xr:uid="{00000000-0005-0000-0000-0000D6020000}"/>
    <cellStyle name="1_tree_구로리총괄내역_장안초등학교내역0814_진해자은수량산출서(단지내)_취합" xfId="1777" xr:uid="{00000000-0005-0000-0000-0000D7020000}"/>
    <cellStyle name="1_tree_구로리총괄내역_장안초등학교내역0814_진해자은수량산출서(단지내)_취합_00-설계서,원가계산,내역서" xfId="1778" xr:uid="{00000000-0005-0000-0000-0000D8020000}"/>
    <cellStyle name="1_tree_구로리총괄내역_장안초등학교내역0814_진해자은수량산출서(단지내)_취합_설계서-1" xfId="1779" xr:uid="{00000000-0005-0000-0000-0000D9020000}"/>
    <cellStyle name="1_tree_구로리총괄내역_장안초등학교내역0814_진해자은수량산출서(단지내)_취합_설계서-1_00-설계서,원가계산,내역서" xfId="1780" xr:uid="{00000000-0005-0000-0000-0000DA020000}"/>
    <cellStyle name="1_tree_구로리총괄내역_진해자은수량산출서(단지내)" xfId="1781" xr:uid="{00000000-0005-0000-0000-0000DB020000}"/>
    <cellStyle name="1_tree_구로리총괄내역_진해자은수량산출서(단지내)_00-설계서,원가계산,내역서" xfId="1782" xr:uid="{00000000-0005-0000-0000-0000DC020000}"/>
    <cellStyle name="1_tree_구로리총괄내역_진해자은수량산출서(단지내)_기초산출표-56-128-최종" xfId="1783" xr:uid="{00000000-0005-0000-0000-0000DD020000}"/>
    <cellStyle name="1_tree_구로리총괄내역_진해자은수량산출서(단지내)_기초산출표-56-128-최종_00-설계서,원가계산,내역서" xfId="1784" xr:uid="{00000000-0005-0000-0000-0000DE020000}"/>
    <cellStyle name="1_tree_구로리총괄내역_진해자은수량산출서(단지내)_기초산출표-56-128-최종_설계서-1" xfId="1785" xr:uid="{00000000-0005-0000-0000-0000DF020000}"/>
    <cellStyle name="1_tree_구로리총괄내역_진해자은수량산출서(단지내)_기초산출표-56-128-최종_설계서-1_00-설계서,원가계산,내역서" xfId="1786" xr:uid="{00000000-0005-0000-0000-0000E0020000}"/>
    <cellStyle name="1_tree_구로리총괄내역_진해자은수량산출서(단지내)_설계서-1" xfId="1787" xr:uid="{00000000-0005-0000-0000-0000E1020000}"/>
    <cellStyle name="1_tree_구로리총괄내역_진해자은수량산출서(단지내)_설계서-1_00-설계서,원가계산,내역서" xfId="1788" xr:uid="{00000000-0005-0000-0000-0000E2020000}"/>
    <cellStyle name="1_tree_구로리총괄내역_진해자은수량산출서(단지내)_취합" xfId="1789" xr:uid="{00000000-0005-0000-0000-0000E3020000}"/>
    <cellStyle name="1_tree_구로리총괄내역_진해자은수량산출서(단지내)_취합_00-설계서,원가계산,내역서" xfId="1790" xr:uid="{00000000-0005-0000-0000-0000E4020000}"/>
    <cellStyle name="1_tree_구로리총괄내역_진해자은수량산출서(단지내)_취합_설계서-1" xfId="1791" xr:uid="{00000000-0005-0000-0000-0000E5020000}"/>
    <cellStyle name="1_tree_구로리총괄내역_진해자은수량산출서(단지내)_취합_설계서-1_00-설계서,원가계산,내역서" xfId="1792" xr:uid="{00000000-0005-0000-0000-0000E6020000}"/>
    <cellStyle name="1_tree_목동내역" xfId="1793" xr:uid="{00000000-0005-0000-0000-0000E7020000}"/>
    <cellStyle name="1_tree_목동내역_00-설계서,원가계산,내역서" xfId="1794" xr:uid="{00000000-0005-0000-0000-0000E8020000}"/>
    <cellStyle name="1_tree_목동내역_폐기물집계" xfId="1795" xr:uid="{00000000-0005-0000-0000-0000E9020000}"/>
    <cellStyle name="1_tree_목동내역_폐기물집계_00-설계서,원가계산,내역서" xfId="1796" xr:uid="{00000000-0005-0000-0000-0000EA020000}"/>
    <cellStyle name="1_tree_설계서-1" xfId="1797" xr:uid="{00000000-0005-0000-0000-0000EB020000}"/>
    <cellStyle name="1_tree_설계서-1_00-설계서,원가계산,내역서" xfId="1798" xr:uid="{00000000-0005-0000-0000-0000EC020000}"/>
    <cellStyle name="1_tree_수량산출" xfId="1799" xr:uid="{00000000-0005-0000-0000-0000ED020000}"/>
    <cellStyle name="1_tree_수량산출_00-설계서,원가계산,내역서" xfId="1800" xr:uid="{00000000-0005-0000-0000-0000EE020000}"/>
    <cellStyle name="1_tree_수량산출_00-수량산출서" xfId="1801" xr:uid="{00000000-0005-0000-0000-0000EF020000}"/>
    <cellStyle name="1_tree_수량산출_00-수량산출서_00-설계서,원가계산,내역서" xfId="1802" xr:uid="{00000000-0005-0000-0000-0000F0020000}"/>
    <cellStyle name="1_tree_수량산출_01-내역서(071118)" xfId="1803" xr:uid="{00000000-0005-0000-0000-0000F1020000}"/>
    <cellStyle name="1_tree_수량산출_01-내역서(071118)_00-설계서,원가계산,내역서" xfId="1804" xr:uid="{00000000-0005-0000-0000-0000F2020000}"/>
    <cellStyle name="1_tree_수량산출_구로리총괄내역" xfId="1805" xr:uid="{00000000-0005-0000-0000-0000F3020000}"/>
    <cellStyle name="1_tree_수량산출_구로리총괄내역_00-설계서,원가계산,내역서" xfId="1806" xr:uid="{00000000-0005-0000-0000-0000F4020000}"/>
    <cellStyle name="1_tree_수량산출_구로리총괄내역_구로리설계예산서1029" xfId="1807" xr:uid="{00000000-0005-0000-0000-0000F5020000}"/>
    <cellStyle name="1_tree_수량산출_구로리총괄내역_구로리설계예산서1029_00-설계서,원가계산,내역서" xfId="1808" xr:uid="{00000000-0005-0000-0000-0000F6020000}"/>
    <cellStyle name="1_tree_수량산출_구로리총괄내역_구로리설계예산서1029_설계서-1" xfId="1809" xr:uid="{00000000-0005-0000-0000-0000F7020000}"/>
    <cellStyle name="1_tree_수량산출_구로리총괄내역_구로리설계예산서1029_설계서-1_00-설계서,원가계산,내역서" xfId="1810" xr:uid="{00000000-0005-0000-0000-0000F8020000}"/>
    <cellStyle name="1_tree_수량산출_구로리총괄내역_구로리설계예산서1029_진해자은수량산출서(단지내)" xfId="1811" xr:uid="{00000000-0005-0000-0000-0000F9020000}"/>
    <cellStyle name="1_tree_수량산출_구로리총괄내역_구로리설계예산서1029_진해자은수량산출서(단지내)_00-설계서,원가계산,내역서" xfId="1812" xr:uid="{00000000-0005-0000-0000-0000FA020000}"/>
    <cellStyle name="1_tree_수량산출_구로리총괄내역_구로리설계예산서1029_진해자은수량산출서(단지내)_기초산출표-56-128-최종" xfId="1813" xr:uid="{00000000-0005-0000-0000-0000FB020000}"/>
    <cellStyle name="1_tree_수량산출_구로리총괄내역_구로리설계예산서1029_진해자은수량산출서(단지내)_기초산출표-56-128-최종_00-설계서,원가계산,내역서" xfId="1814" xr:uid="{00000000-0005-0000-0000-0000FC020000}"/>
    <cellStyle name="1_tree_수량산출_구로리총괄내역_구로리설계예산서1029_진해자은수량산출서(단지내)_기초산출표-56-128-최종_설계서-1" xfId="1815" xr:uid="{00000000-0005-0000-0000-0000FD020000}"/>
    <cellStyle name="1_tree_수량산출_구로리총괄내역_구로리설계예산서1029_진해자은수량산출서(단지내)_기초산출표-56-128-최종_설계서-1_00-설계서,원가계산,내역서" xfId="1816" xr:uid="{00000000-0005-0000-0000-0000FE020000}"/>
    <cellStyle name="1_tree_수량산출_구로리총괄내역_구로리설계예산서1029_진해자은수량산출서(단지내)_설계서-1" xfId="1817" xr:uid="{00000000-0005-0000-0000-0000FF020000}"/>
    <cellStyle name="1_tree_수량산출_구로리총괄내역_구로리설계예산서1029_진해자은수량산출서(단지내)_설계서-1_00-설계서,원가계산,내역서" xfId="1818" xr:uid="{00000000-0005-0000-0000-000000030000}"/>
    <cellStyle name="1_tree_수량산출_구로리총괄내역_구로리설계예산서1029_진해자은수량산출서(단지내)_취합" xfId="1819" xr:uid="{00000000-0005-0000-0000-000001030000}"/>
    <cellStyle name="1_tree_수량산출_구로리총괄내역_구로리설계예산서1029_진해자은수량산출서(단지내)_취합_00-설계서,원가계산,내역서" xfId="1820" xr:uid="{00000000-0005-0000-0000-000002030000}"/>
    <cellStyle name="1_tree_수량산출_구로리총괄내역_구로리설계예산서1029_진해자은수량산출서(단지내)_취합_설계서-1" xfId="1821" xr:uid="{00000000-0005-0000-0000-000003030000}"/>
    <cellStyle name="1_tree_수량산출_구로리총괄내역_구로리설계예산서1029_진해자은수량산출서(단지내)_취합_설계서-1_00-설계서,원가계산,내역서" xfId="1822" xr:uid="{00000000-0005-0000-0000-000004030000}"/>
    <cellStyle name="1_tree_수량산출_구로리총괄내역_구로리설계예산서1118준공" xfId="1823" xr:uid="{00000000-0005-0000-0000-000005030000}"/>
    <cellStyle name="1_tree_수량산출_구로리총괄내역_구로리설계예산서1118준공_00-설계서,원가계산,내역서" xfId="1824" xr:uid="{00000000-0005-0000-0000-000006030000}"/>
    <cellStyle name="1_tree_수량산출_구로리총괄내역_구로리설계예산서1118준공_설계서-1" xfId="1825" xr:uid="{00000000-0005-0000-0000-000007030000}"/>
    <cellStyle name="1_tree_수량산출_구로리총괄내역_구로리설계예산서1118준공_설계서-1_00-설계서,원가계산,내역서" xfId="1826" xr:uid="{00000000-0005-0000-0000-000008030000}"/>
    <cellStyle name="1_tree_수량산출_구로리총괄내역_구로리설계예산서1118준공_진해자은수량산출서(단지내)" xfId="1827" xr:uid="{00000000-0005-0000-0000-000009030000}"/>
    <cellStyle name="1_tree_수량산출_구로리총괄내역_구로리설계예산서1118준공_진해자은수량산출서(단지내)_00-설계서,원가계산,내역서" xfId="1828" xr:uid="{00000000-0005-0000-0000-00000A030000}"/>
    <cellStyle name="1_tree_수량산출_구로리총괄내역_구로리설계예산서1118준공_진해자은수량산출서(단지내)_기초산출표-56-128-최종" xfId="1829" xr:uid="{00000000-0005-0000-0000-00000B030000}"/>
    <cellStyle name="1_tree_수량산출_구로리총괄내역_구로리설계예산서1118준공_진해자은수량산출서(단지내)_기초산출표-56-128-최종_00-설계서,원가계산,내역서" xfId="1830" xr:uid="{00000000-0005-0000-0000-00000C030000}"/>
    <cellStyle name="1_tree_수량산출_구로리총괄내역_구로리설계예산서1118준공_진해자은수량산출서(단지내)_기초산출표-56-128-최종_설계서-1" xfId="1831" xr:uid="{00000000-0005-0000-0000-00000D030000}"/>
    <cellStyle name="1_tree_수량산출_구로리총괄내역_구로리설계예산서1118준공_진해자은수량산출서(단지내)_기초산출표-56-128-최종_설계서-1_00-설계서,원가계산,내역서" xfId="1832" xr:uid="{00000000-0005-0000-0000-00000E030000}"/>
    <cellStyle name="1_tree_수량산출_구로리총괄내역_구로리설계예산서1118준공_진해자은수량산출서(단지내)_설계서-1" xfId="1833" xr:uid="{00000000-0005-0000-0000-00000F030000}"/>
    <cellStyle name="1_tree_수량산출_구로리총괄내역_구로리설계예산서1118준공_진해자은수량산출서(단지내)_설계서-1_00-설계서,원가계산,내역서" xfId="1834" xr:uid="{00000000-0005-0000-0000-000010030000}"/>
    <cellStyle name="1_tree_수량산출_구로리총괄내역_구로리설계예산서1118준공_진해자은수량산출서(단지내)_취합" xfId="1835" xr:uid="{00000000-0005-0000-0000-000011030000}"/>
    <cellStyle name="1_tree_수량산출_구로리총괄내역_구로리설계예산서1118준공_진해자은수량산출서(단지내)_취합_00-설계서,원가계산,내역서" xfId="1836" xr:uid="{00000000-0005-0000-0000-000012030000}"/>
    <cellStyle name="1_tree_수량산출_구로리총괄내역_구로리설계예산서1118준공_진해자은수량산출서(단지내)_취합_설계서-1" xfId="1837" xr:uid="{00000000-0005-0000-0000-000013030000}"/>
    <cellStyle name="1_tree_수량산출_구로리총괄내역_구로리설계예산서1118준공_진해자은수량산출서(단지내)_취합_설계서-1_00-설계서,원가계산,내역서" xfId="1838" xr:uid="{00000000-0005-0000-0000-000014030000}"/>
    <cellStyle name="1_tree_수량산출_구로리총괄내역_구로리설계예산서조경" xfId="1839" xr:uid="{00000000-0005-0000-0000-000015030000}"/>
    <cellStyle name="1_tree_수량산출_구로리총괄내역_구로리설계예산서조경_00-설계서,원가계산,내역서" xfId="1840" xr:uid="{00000000-0005-0000-0000-000016030000}"/>
    <cellStyle name="1_tree_수량산출_구로리총괄내역_구로리설계예산서조경_설계서-1" xfId="1841" xr:uid="{00000000-0005-0000-0000-000017030000}"/>
    <cellStyle name="1_tree_수량산출_구로리총괄내역_구로리설계예산서조경_설계서-1_00-설계서,원가계산,내역서" xfId="1842" xr:uid="{00000000-0005-0000-0000-000018030000}"/>
    <cellStyle name="1_tree_수량산출_구로리총괄내역_구로리설계예산서조경_진해자은수량산출서(단지내)" xfId="1843" xr:uid="{00000000-0005-0000-0000-000019030000}"/>
    <cellStyle name="1_tree_수량산출_구로리총괄내역_구로리설계예산서조경_진해자은수량산출서(단지내)_00-설계서,원가계산,내역서" xfId="1844" xr:uid="{00000000-0005-0000-0000-00001A030000}"/>
    <cellStyle name="1_tree_수량산출_구로리총괄내역_구로리설계예산서조경_진해자은수량산출서(단지내)_기초산출표-56-128-최종" xfId="1845" xr:uid="{00000000-0005-0000-0000-00001B030000}"/>
    <cellStyle name="1_tree_수량산출_구로리총괄내역_구로리설계예산서조경_진해자은수량산출서(단지내)_기초산출표-56-128-최종_00-설계서,원가계산,내역서" xfId="1846" xr:uid="{00000000-0005-0000-0000-00001C030000}"/>
    <cellStyle name="1_tree_수량산출_구로리총괄내역_구로리설계예산서조경_진해자은수량산출서(단지내)_기초산출표-56-128-최종_설계서-1" xfId="1847" xr:uid="{00000000-0005-0000-0000-00001D030000}"/>
    <cellStyle name="1_tree_수량산출_구로리총괄내역_구로리설계예산서조경_진해자은수량산출서(단지내)_기초산출표-56-128-최종_설계서-1_00-설계서,원가계산,내역서" xfId="1848" xr:uid="{00000000-0005-0000-0000-00001E030000}"/>
    <cellStyle name="1_tree_수량산출_구로리총괄내역_구로리설계예산서조경_진해자은수량산출서(단지내)_설계서-1" xfId="1849" xr:uid="{00000000-0005-0000-0000-00001F030000}"/>
    <cellStyle name="1_tree_수량산출_구로리총괄내역_구로리설계예산서조경_진해자은수량산출서(단지내)_설계서-1_00-설계서,원가계산,내역서" xfId="1850" xr:uid="{00000000-0005-0000-0000-000020030000}"/>
    <cellStyle name="1_tree_수량산출_구로리총괄내역_구로리설계예산서조경_진해자은수량산출서(단지내)_취합" xfId="1851" xr:uid="{00000000-0005-0000-0000-000021030000}"/>
    <cellStyle name="1_tree_수량산출_구로리총괄내역_구로리설계예산서조경_진해자은수량산출서(단지내)_취합_00-설계서,원가계산,내역서" xfId="1852" xr:uid="{00000000-0005-0000-0000-000022030000}"/>
    <cellStyle name="1_tree_수량산출_구로리총괄내역_구로리설계예산서조경_진해자은수량산출서(단지내)_취합_설계서-1" xfId="1853" xr:uid="{00000000-0005-0000-0000-000023030000}"/>
    <cellStyle name="1_tree_수량산출_구로리총괄내역_구로리설계예산서조경_진해자은수량산출서(단지내)_취합_설계서-1_00-설계서,원가계산,내역서" xfId="1854" xr:uid="{00000000-0005-0000-0000-000024030000}"/>
    <cellStyle name="1_tree_수량산출_구로리총괄내역_구로리어린이공원예산서(조경)1125" xfId="1855" xr:uid="{00000000-0005-0000-0000-000025030000}"/>
    <cellStyle name="1_tree_수량산출_구로리총괄내역_구로리어린이공원예산서(조경)1125_00-설계서,원가계산,내역서" xfId="1856" xr:uid="{00000000-0005-0000-0000-000026030000}"/>
    <cellStyle name="1_tree_수량산출_구로리총괄내역_구로리어린이공원예산서(조경)1125_설계서-1" xfId="1857" xr:uid="{00000000-0005-0000-0000-000027030000}"/>
    <cellStyle name="1_tree_수량산출_구로리총괄내역_구로리어린이공원예산서(조경)1125_설계서-1_00-설계서,원가계산,내역서" xfId="1858" xr:uid="{00000000-0005-0000-0000-000028030000}"/>
    <cellStyle name="1_tree_수량산출_구로리총괄내역_구로리어린이공원예산서(조경)1125_진해자은수량산출서(단지내)" xfId="1859" xr:uid="{00000000-0005-0000-0000-000029030000}"/>
    <cellStyle name="1_tree_수량산출_구로리총괄내역_구로리어린이공원예산서(조경)1125_진해자은수량산출서(단지내)_00-설계서,원가계산,내역서" xfId="1860" xr:uid="{00000000-0005-0000-0000-00002A030000}"/>
    <cellStyle name="1_tree_수량산출_구로리총괄내역_구로리어린이공원예산서(조경)1125_진해자은수량산출서(단지내)_기초산출표-56-128-최종" xfId="1861" xr:uid="{00000000-0005-0000-0000-00002B030000}"/>
    <cellStyle name="1_tree_수량산출_구로리총괄내역_구로리어린이공원예산서(조경)1125_진해자은수량산출서(단지내)_기초산출표-56-128-최종_00-설계서,원가계산,내역서" xfId="1862" xr:uid="{00000000-0005-0000-0000-00002C030000}"/>
    <cellStyle name="1_tree_수량산출_구로리총괄내역_구로리어린이공원예산서(조경)1125_진해자은수량산출서(단지내)_기초산출표-56-128-최종_설계서-1" xfId="1863" xr:uid="{00000000-0005-0000-0000-00002D030000}"/>
    <cellStyle name="1_tree_수량산출_구로리총괄내역_구로리어린이공원예산서(조경)1125_진해자은수량산출서(단지내)_기초산출표-56-128-최종_설계서-1_00-설계서,원가계산,내역서" xfId="1864" xr:uid="{00000000-0005-0000-0000-00002E030000}"/>
    <cellStyle name="1_tree_수량산출_구로리총괄내역_구로리어린이공원예산서(조경)1125_진해자은수량산출서(단지내)_설계서-1" xfId="1865" xr:uid="{00000000-0005-0000-0000-00002F030000}"/>
    <cellStyle name="1_tree_수량산출_구로리총괄내역_구로리어린이공원예산서(조경)1125_진해자은수량산출서(단지내)_설계서-1_00-설계서,원가계산,내역서" xfId="1866" xr:uid="{00000000-0005-0000-0000-000030030000}"/>
    <cellStyle name="1_tree_수량산출_구로리총괄내역_구로리어린이공원예산서(조경)1125_진해자은수량산출서(단지내)_취합" xfId="1867" xr:uid="{00000000-0005-0000-0000-000031030000}"/>
    <cellStyle name="1_tree_수량산출_구로리총괄내역_구로리어린이공원예산서(조경)1125_진해자은수량산출서(단지내)_취합_00-설계서,원가계산,내역서" xfId="1868" xr:uid="{00000000-0005-0000-0000-000032030000}"/>
    <cellStyle name="1_tree_수량산출_구로리총괄내역_구로리어린이공원예산서(조경)1125_진해자은수량산출서(단지내)_취합_설계서-1" xfId="1869" xr:uid="{00000000-0005-0000-0000-000033030000}"/>
    <cellStyle name="1_tree_수량산출_구로리총괄내역_구로리어린이공원예산서(조경)1125_진해자은수량산출서(단지내)_취합_설계서-1_00-설계서,원가계산,내역서" xfId="1870" xr:uid="{00000000-0005-0000-0000-000034030000}"/>
    <cellStyle name="1_tree_수량산출_구로리총괄내역_내역서" xfId="1871" xr:uid="{00000000-0005-0000-0000-000035030000}"/>
    <cellStyle name="1_tree_수량산출_구로리총괄내역_내역서_00-설계서,원가계산,내역서" xfId="1872" xr:uid="{00000000-0005-0000-0000-000036030000}"/>
    <cellStyle name="1_tree_수량산출_구로리총괄내역_내역서_설계서-1" xfId="1873" xr:uid="{00000000-0005-0000-0000-000037030000}"/>
    <cellStyle name="1_tree_수량산출_구로리총괄내역_내역서_설계서-1_00-설계서,원가계산,내역서" xfId="1874" xr:uid="{00000000-0005-0000-0000-000038030000}"/>
    <cellStyle name="1_tree_수량산출_구로리총괄내역_내역서_진해자은수량산출서(단지내)" xfId="1875" xr:uid="{00000000-0005-0000-0000-000039030000}"/>
    <cellStyle name="1_tree_수량산출_구로리총괄내역_내역서_진해자은수량산출서(단지내)_00-설계서,원가계산,내역서" xfId="1876" xr:uid="{00000000-0005-0000-0000-00003A030000}"/>
    <cellStyle name="1_tree_수량산출_구로리총괄내역_내역서_진해자은수량산출서(단지내)_기초산출표-56-128-최종" xfId="1877" xr:uid="{00000000-0005-0000-0000-00003B030000}"/>
    <cellStyle name="1_tree_수량산출_구로리총괄내역_내역서_진해자은수량산출서(단지내)_기초산출표-56-128-최종_00-설계서,원가계산,내역서" xfId="1878" xr:uid="{00000000-0005-0000-0000-00003C030000}"/>
    <cellStyle name="1_tree_수량산출_구로리총괄내역_내역서_진해자은수량산출서(단지내)_기초산출표-56-128-최종_설계서-1" xfId="1879" xr:uid="{00000000-0005-0000-0000-00003D030000}"/>
    <cellStyle name="1_tree_수량산출_구로리총괄내역_내역서_진해자은수량산출서(단지내)_기초산출표-56-128-최종_설계서-1_00-설계서,원가계산,내역서" xfId="1880" xr:uid="{00000000-0005-0000-0000-00003E030000}"/>
    <cellStyle name="1_tree_수량산출_구로리총괄내역_내역서_진해자은수량산출서(단지내)_설계서-1" xfId="1881" xr:uid="{00000000-0005-0000-0000-00003F030000}"/>
    <cellStyle name="1_tree_수량산출_구로리총괄내역_내역서_진해자은수량산출서(단지내)_설계서-1_00-설계서,원가계산,내역서" xfId="1882" xr:uid="{00000000-0005-0000-0000-000040030000}"/>
    <cellStyle name="1_tree_수량산출_구로리총괄내역_내역서_진해자은수량산출서(단지내)_취합" xfId="1883" xr:uid="{00000000-0005-0000-0000-000041030000}"/>
    <cellStyle name="1_tree_수량산출_구로리총괄내역_내역서_진해자은수량산출서(단지내)_취합_00-설계서,원가계산,내역서" xfId="1884" xr:uid="{00000000-0005-0000-0000-000042030000}"/>
    <cellStyle name="1_tree_수량산출_구로리총괄내역_내역서_진해자은수량산출서(단지내)_취합_설계서-1" xfId="1885" xr:uid="{00000000-0005-0000-0000-000043030000}"/>
    <cellStyle name="1_tree_수량산출_구로리총괄내역_내역서_진해자은수량산출서(단지내)_취합_설계서-1_00-설계서,원가계산,내역서" xfId="1886" xr:uid="{00000000-0005-0000-0000-000044030000}"/>
    <cellStyle name="1_tree_수량산출_구로리총괄내역_노임단가표" xfId="1887" xr:uid="{00000000-0005-0000-0000-000045030000}"/>
    <cellStyle name="1_tree_수량산출_구로리총괄내역_노임단가표_00-설계서,원가계산,내역서" xfId="1888" xr:uid="{00000000-0005-0000-0000-000046030000}"/>
    <cellStyle name="1_tree_수량산출_구로리총괄내역_노임단가표_설계서-1" xfId="1889" xr:uid="{00000000-0005-0000-0000-000047030000}"/>
    <cellStyle name="1_tree_수량산출_구로리총괄내역_노임단가표_설계서-1_00-설계서,원가계산,내역서" xfId="1890" xr:uid="{00000000-0005-0000-0000-000048030000}"/>
    <cellStyle name="1_tree_수량산출_구로리총괄내역_노임단가표_진해자은수량산출서(단지내)" xfId="1891" xr:uid="{00000000-0005-0000-0000-000049030000}"/>
    <cellStyle name="1_tree_수량산출_구로리총괄내역_노임단가표_진해자은수량산출서(단지내)_00-설계서,원가계산,내역서" xfId="1892" xr:uid="{00000000-0005-0000-0000-00004A030000}"/>
    <cellStyle name="1_tree_수량산출_구로리총괄내역_노임단가표_진해자은수량산출서(단지내)_기초산출표-56-128-최종" xfId="1893" xr:uid="{00000000-0005-0000-0000-00004B030000}"/>
    <cellStyle name="1_tree_수량산출_구로리총괄내역_노임단가표_진해자은수량산출서(단지내)_기초산출표-56-128-최종_00-설계서,원가계산,내역서" xfId="1894" xr:uid="{00000000-0005-0000-0000-00004C030000}"/>
    <cellStyle name="1_tree_수량산출_구로리총괄내역_노임단가표_진해자은수량산출서(단지내)_기초산출표-56-128-최종_설계서-1" xfId="1895" xr:uid="{00000000-0005-0000-0000-00004D030000}"/>
    <cellStyle name="1_tree_수량산출_구로리총괄내역_노임단가표_진해자은수량산출서(단지내)_기초산출표-56-128-최종_설계서-1_00-설계서,원가계산,내역서" xfId="1896" xr:uid="{00000000-0005-0000-0000-00004E030000}"/>
    <cellStyle name="1_tree_수량산출_구로리총괄내역_노임단가표_진해자은수량산출서(단지내)_설계서-1" xfId="1897" xr:uid="{00000000-0005-0000-0000-00004F030000}"/>
    <cellStyle name="1_tree_수량산출_구로리총괄내역_노임단가표_진해자은수량산출서(단지내)_설계서-1_00-설계서,원가계산,내역서" xfId="1898" xr:uid="{00000000-0005-0000-0000-000050030000}"/>
    <cellStyle name="1_tree_수량산출_구로리총괄내역_노임단가표_진해자은수량산출서(단지내)_취합" xfId="1899" xr:uid="{00000000-0005-0000-0000-000051030000}"/>
    <cellStyle name="1_tree_수량산출_구로리총괄내역_노임단가표_진해자은수량산출서(단지내)_취합_00-설계서,원가계산,내역서" xfId="1900" xr:uid="{00000000-0005-0000-0000-000052030000}"/>
    <cellStyle name="1_tree_수량산출_구로리총괄내역_노임단가표_진해자은수량산출서(단지내)_취합_설계서-1" xfId="1901" xr:uid="{00000000-0005-0000-0000-000053030000}"/>
    <cellStyle name="1_tree_수량산출_구로리총괄내역_노임단가표_진해자은수량산출서(단지내)_취합_설계서-1_00-설계서,원가계산,내역서" xfId="1902" xr:uid="{00000000-0005-0000-0000-000054030000}"/>
    <cellStyle name="1_tree_수량산출_구로리총괄내역_설계서-1" xfId="1903" xr:uid="{00000000-0005-0000-0000-000055030000}"/>
    <cellStyle name="1_tree_수량산출_구로리총괄내역_설계서-1_00-설계서,원가계산,내역서" xfId="1904" xr:uid="{00000000-0005-0000-0000-000056030000}"/>
    <cellStyle name="1_tree_수량산출_구로리총괄내역_수도권매립지" xfId="1905" xr:uid="{00000000-0005-0000-0000-000057030000}"/>
    <cellStyle name="1_tree_수량산출_구로리총괄내역_수도권매립지_00-설계서,원가계산,내역서" xfId="1906" xr:uid="{00000000-0005-0000-0000-000068030000}"/>
    <cellStyle name="1_tree_수량산출_구로리총괄내역_수도권매립지_설계서-1" xfId="1907" xr:uid="{00000000-0005-0000-0000-000069030000}"/>
    <cellStyle name="1_tree_수량산출_구로리총괄내역_수도권매립지_설계서-1_00-설계서,원가계산,내역서" xfId="1908" xr:uid="{00000000-0005-0000-0000-00006A030000}"/>
    <cellStyle name="1_tree_수량산출_구로리총괄내역_수도권매립지_진해자은수량산출서(단지내)" xfId="1909" xr:uid="{00000000-0005-0000-0000-00006B030000}"/>
    <cellStyle name="1_tree_수량산출_구로리총괄내역_수도권매립지_진해자은수량산출서(단지내)_00-설계서,원가계산,내역서" xfId="1910" xr:uid="{00000000-0005-0000-0000-00006C030000}"/>
    <cellStyle name="1_tree_수량산출_구로리총괄내역_수도권매립지_진해자은수량산출서(단지내)_기초산출표-56-128-최종" xfId="1911" xr:uid="{00000000-0005-0000-0000-00006D030000}"/>
    <cellStyle name="1_tree_수량산출_구로리총괄내역_수도권매립지_진해자은수량산출서(단지내)_기초산출표-56-128-최종_00-설계서,원가계산,내역서" xfId="1912" xr:uid="{00000000-0005-0000-0000-00006E030000}"/>
    <cellStyle name="1_tree_수량산출_구로리총괄내역_수도권매립지_진해자은수량산출서(단지내)_기초산출표-56-128-최종_설계서-1" xfId="1913" xr:uid="{00000000-0005-0000-0000-00006F030000}"/>
    <cellStyle name="1_tree_수량산출_구로리총괄내역_수도권매립지_진해자은수량산출서(단지내)_기초산출표-56-128-최종_설계서-1_00-설계서,원가계산,내역서" xfId="1914" xr:uid="{00000000-0005-0000-0000-000070030000}"/>
    <cellStyle name="1_tree_수량산출_구로리총괄내역_수도권매립지_진해자은수량산출서(단지내)_설계서-1" xfId="1915" xr:uid="{00000000-0005-0000-0000-000071030000}"/>
    <cellStyle name="1_tree_수량산출_구로리총괄내역_수도권매립지_진해자은수량산출서(단지내)_설계서-1_00-설계서,원가계산,내역서" xfId="1916" xr:uid="{00000000-0005-0000-0000-000072030000}"/>
    <cellStyle name="1_tree_수량산출_구로리총괄내역_수도권매립지_진해자은수량산출서(단지내)_취합" xfId="1917" xr:uid="{00000000-0005-0000-0000-000073030000}"/>
    <cellStyle name="1_tree_수량산출_구로리총괄내역_수도권매립지_진해자은수량산출서(단지내)_취합_00-설계서,원가계산,내역서" xfId="1918" xr:uid="{00000000-0005-0000-0000-000074030000}"/>
    <cellStyle name="1_tree_수량산출_구로리총괄내역_수도권매립지_진해자은수량산출서(단지내)_취합_설계서-1" xfId="1919" xr:uid="{00000000-0005-0000-0000-000075030000}"/>
    <cellStyle name="1_tree_수량산출_구로리총괄내역_수도권매립지_진해자은수량산출서(단지내)_취합_설계서-1_00-설계서,원가계산,내역서" xfId="1920" xr:uid="{00000000-0005-0000-0000-000076030000}"/>
    <cellStyle name="1_tree_수량산출_구로리총괄내역_수도권매립지1004(발주용)" xfId="1921" xr:uid="{00000000-0005-0000-0000-000058030000}"/>
    <cellStyle name="1_tree_수량산출_구로리총괄내역_수도권매립지1004(발주용)_00-설계서,원가계산,내역서" xfId="1922" xr:uid="{00000000-0005-0000-0000-000059030000}"/>
    <cellStyle name="1_tree_수량산출_구로리총괄내역_수도권매립지1004(발주용)_설계서-1" xfId="1923" xr:uid="{00000000-0005-0000-0000-00005A030000}"/>
    <cellStyle name="1_tree_수량산출_구로리총괄내역_수도권매립지1004(발주용)_설계서-1_00-설계서,원가계산,내역서" xfId="1924" xr:uid="{00000000-0005-0000-0000-00005B030000}"/>
    <cellStyle name="1_tree_수량산출_구로리총괄내역_수도권매립지1004(발주용)_진해자은수량산출서(단지내)" xfId="1925" xr:uid="{00000000-0005-0000-0000-00005C030000}"/>
    <cellStyle name="1_tree_수량산출_구로리총괄내역_수도권매립지1004(발주용)_진해자은수량산출서(단지내)_00-설계서,원가계산,내역서" xfId="1926" xr:uid="{00000000-0005-0000-0000-00005D030000}"/>
    <cellStyle name="1_tree_수량산출_구로리총괄내역_수도권매립지1004(발주용)_진해자은수량산출서(단지내)_기초산출표-56-128-최종" xfId="1927" xr:uid="{00000000-0005-0000-0000-00005E030000}"/>
    <cellStyle name="1_tree_수량산출_구로리총괄내역_수도권매립지1004(발주용)_진해자은수량산출서(단지내)_기초산출표-56-128-최종_00-설계서,원가계산,내역서" xfId="1928" xr:uid="{00000000-0005-0000-0000-00005F030000}"/>
    <cellStyle name="1_tree_수량산출_구로리총괄내역_수도권매립지1004(발주용)_진해자은수량산출서(단지내)_기초산출표-56-128-최종_설계서-1" xfId="1929" xr:uid="{00000000-0005-0000-0000-000060030000}"/>
    <cellStyle name="1_tree_수량산출_구로리총괄내역_수도권매립지1004(발주용)_진해자은수량산출서(단지내)_기초산출표-56-128-최종_설계서-1_00-설계서,원가계산,내역서" xfId="1930" xr:uid="{00000000-0005-0000-0000-000061030000}"/>
    <cellStyle name="1_tree_수량산출_구로리총괄내역_수도권매립지1004(발주용)_진해자은수량산출서(단지내)_설계서-1" xfId="1931" xr:uid="{00000000-0005-0000-0000-000062030000}"/>
    <cellStyle name="1_tree_수량산출_구로리총괄내역_수도권매립지1004(발주용)_진해자은수량산출서(단지내)_설계서-1_00-설계서,원가계산,내역서" xfId="1932" xr:uid="{00000000-0005-0000-0000-000063030000}"/>
    <cellStyle name="1_tree_수량산출_구로리총괄내역_수도권매립지1004(발주용)_진해자은수량산출서(단지내)_취합" xfId="1933" xr:uid="{00000000-0005-0000-0000-000064030000}"/>
    <cellStyle name="1_tree_수량산출_구로리총괄내역_수도권매립지1004(발주용)_진해자은수량산출서(단지내)_취합_00-설계서,원가계산,내역서" xfId="1934" xr:uid="{00000000-0005-0000-0000-000065030000}"/>
    <cellStyle name="1_tree_수량산출_구로리총괄내역_수도권매립지1004(발주용)_진해자은수량산출서(단지내)_취합_설계서-1" xfId="1935" xr:uid="{00000000-0005-0000-0000-000066030000}"/>
    <cellStyle name="1_tree_수량산출_구로리총괄내역_수도권매립지1004(발주용)_진해자은수량산출서(단지내)_취합_설계서-1_00-설계서,원가계산,내역서" xfId="1936" xr:uid="{00000000-0005-0000-0000-000067030000}"/>
    <cellStyle name="1_tree_수량산출_구로리총괄내역_일신건영설계예산서(0211)" xfId="1937" xr:uid="{00000000-0005-0000-0000-000077030000}"/>
    <cellStyle name="1_tree_수량산출_구로리총괄내역_일신건영설계예산서(0211)_00-설계서,원가계산,내역서" xfId="1938" xr:uid="{00000000-0005-0000-0000-000078030000}"/>
    <cellStyle name="1_tree_수량산출_구로리총괄내역_일신건영설계예산서(0211)_설계서-1" xfId="1939" xr:uid="{00000000-0005-0000-0000-000079030000}"/>
    <cellStyle name="1_tree_수량산출_구로리총괄내역_일신건영설계예산서(0211)_설계서-1_00-설계서,원가계산,내역서" xfId="1940" xr:uid="{00000000-0005-0000-0000-00007A030000}"/>
    <cellStyle name="1_tree_수량산출_구로리총괄내역_일신건영설계예산서(0211)_진해자은수량산출서(단지내)" xfId="1941" xr:uid="{00000000-0005-0000-0000-00007B030000}"/>
    <cellStyle name="1_tree_수량산출_구로리총괄내역_일신건영설계예산서(0211)_진해자은수량산출서(단지내)_00-설계서,원가계산,내역서" xfId="1942" xr:uid="{00000000-0005-0000-0000-00007C030000}"/>
    <cellStyle name="1_tree_수량산출_구로리총괄내역_일신건영설계예산서(0211)_진해자은수량산출서(단지내)_기초산출표-56-128-최종" xfId="1943" xr:uid="{00000000-0005-0000-0000-00007D030000}"/>
    <cellStyle name="1_tree_수량산출_구로리총괄내역_일신건영설계예산서(0211)_진해자은수량산출서(단지내)_기초산출표-56-128-최종_00-설계서,원가계산,내역서" xfId="1944" xr:uid="{00000000-0005-0000-0000-00007E030000}"/>
    <cellStyle name="1_tree_수량산출_구로리총괄내역_일신건영설계예산서(0211)_진해자은수량산출서(단지내)_기초산출표-56-128-최종_설계서-1" xfId="1945" xr:uid="{00000000-0005-0000-0000-00007F030000}"/>
    <cellStyle name="1_tree_수량산출_구로리총괄내역_일신건영설계예산서(0211)_진해자은수량산출서(단지내)_기초산출표-56-128-최종_설계서-1_00-설계서,원가계산,내역서" xfId="1946" xr:uid="{00000000-0005-0000-0000-000080030000}"/>
    <cellStyle name="1_tree_수량산출_구로리총괄내역_일신건영설계예산서(0211)_진해자은수량산출서(단지내)_설계서-1" xfId="1947" xr:uid="{00000000-0005-0000-0000-000081030000}"/>
    <cellStyle name="1_tree_수량산출_구로리총괄내역_일신건영설계예산서(0211)_진해자은수량산출서(단지내)_설계서-1_00-설계서,원가계산,내역서" xfId="1948" xr:uid="{00000000-0005-0000-0000-000082030000}"/>
    <cellStyle name="1_tree_수량산출_구로리총괄내역_일신건영설계예산서(0211)_진해자은수량산출서(단지내)_취합" xfId="1949" xr:uid="{00000000-0005-0000-0000-000083030000}"/>
    <cellStyle name="1_tree_수량산출_구로리총괄내역_일신건영설계예산서(0211)_진해자은수량산출서(단지내)_취합_00-설계서,원가계산,내역서" xfId="1950" xr:uid="{00000000-0005-0000-0000-000084030000}"/>
    <cellStyle name="1_tree_수량산출_구로리총괄내역_일신건영설계예산서(0211)_진해자은수량산출서(단지내)_취합_설계서-1" xfId="1951" xr:uid="{00000000-0005-0000-0000-000085030000}"/>
    <cellStyle name="1_tree_수량산출_구로리총괄내역_일신건영설계예산서(0211)_진해자은수량산출서(단지내)_취합_설계서-1_00-설계서,원가계산,내역서" xfId="1952" xr:uid="{00000000-0005-0000-0000-000086030000}"/>
    <cellStyle name="1_tree_수량산출_구로리총괄내역_일위대가" xfId="1953" xr:uid="{00000000-0005-0000-0000-000087030000}"/>
    <cellStyle name="1_tree_수량산출_구로리총괄내역_일위대가_00-설계서,원가계산,내역서" xfId="1954" xr:uid="{00000000-0005-0000-0000-000088030000}"/>
    <cellStyle name="1_tree_수량산출_구로리총괄내역_일위대가_설계서-1" xfId="1955" xr:uid="{00000000-0005-0000-0000-000089030000}"/>
    <cellStyle name="1_tree_수량산출_구로리총괄내역_일위대가_설계서-1_00-설계서,원가계산,내역서" xfId="1956" xr:uid="{00000000-0005-0000-0000-00008A030000}"/>
    <cellStyle name="1_tree_수량산출_구로리총괄내역_일위대가_진해자은수량산출서(단지내)" xfId="1957" xr:uid="{00000000-0005-0000-0000-00008B030000}"/>
    <cellStyle name="1_tree_수량산출_구로리총괄내역_일위대가_진해자은수량산출서(단지내)_00-설계서,원가계산,내역서" xfId="1958" xr:uid="{00000000-0005-0000-0000-00008C030000}"/>
    <cellStyle name="1_tree_수량산출_구로리총괄내역_일위대가_진해자은수량산출서(단지내)_기초산출표-56-128-최종" xfId="1959" xr:uid="{00000000-0005-0000-0000-00008D030000}"/>
    <cellStyle name="1_tree_수량산출_구로리총괄내역_일위대가_진해자은수량산출서(단지내)_기초산출표-56-128-최종_00-설계서,원가계산,내역서" xfId="1960" xr:uid="{00000000-0005-0000-0000-00008E030000}"/>
    <cellStyle name="1_tree_수량산출_구로리총괄내역_일위대가_진해자은수량산출서(단지내)_기초산출표-56-128-최종_설계서-1" xfId="1961" xr:uid="{00000000-0005-0000-0000-00008F030000}"/>
    <cellStyle name="1_tree_수량산출_구로리총괄내역_일위대가_진해자은수량산출서(단지내)_기초산출표-56-128-최종_설계서-1_00-설계서,원가계산,내역서" xfId="1962" xr:uid="{00000000-0005-0000-0000-000090030000}"/>
    <cellStyle name="1_tree_수량산출_구로리총괄내역_일위대가_진해자은수량산출서(단지내)_설계서-1" xfId="1963" xr:uid="{00000000-0005-0000-0000-000091030000}"/>
    <cellStyle name="1_tree_수량산출_구로리총괄내역_일위대가_진해자은수량산출서(단지내)_설계서-1_00-설계서,원가계산,내역서" xfId="1964" xr:uid="{00000000-0005-0000-0000-000092030000}"/>
    <cellStyle name="1_tree_수량산출_구로리총괄내역_일위대가_진해자은수량산출서(단지내)_취합" xfId="1965" xr:uid="{00000000-0005-0000-0000-000093030000}"/>
    <cellStyle name="1_tree_수량산출_구로리총괄내역_일위대가_진해자은수량산출서(단지내)_취합_00-설계서,원가계산,내역서" xfId="1966" xr:uid="{00000000-0005-0000-0000-000094030000}"/>
    <cellStyle name="1_tree_수량산출_구로리총괄내역_일위대가_진해자은수량산출서(단지내)_취합_설계서-1" xfId="1967" xr:uid="{00000000-0005-0000-0000-000095030000}"/>
    <cellStyle name="1_tree_수량산출_구로리총괄내역_일위대가_진해자은수량산출서(단지내)_취합_설계서-1_00-설계서,원가계산,내역서" xfId="1968" xr:uid="{00000000-0005-0000-0000-000096030000}"/>
    <cellStyle name="1_tree_수량산출_구로리총괄내역_자재단가표" xfId="1969" xr:uid="{00000000-0005-0000-0000-000097030000}"/>
    <cellStyle name="1_tree_수량산출_구로리총괄내역_자재단가표_00-설계서,원가계산,내역서" xfId="1970" xr:uid="{00000000-0005-0000-0000-000098030000}"/>
    <cellStyle name="1_tree_수량산출_구로리총괄내역_자재단가표_설계서-1" xfId="1971" xr:uid="{00000000-0005-0000-0000-000099030000}"/>
    <cellStyle name="1_tree_수량산출_구로리총괄내역_자재단가표_설계서-1_00-설계서,원가계산,내역서" xfId="1972" xr:uid="{00000000-0005-0000-0000-00009A030000}"/>
    <cellStyle name="1_tree_수량산출_구로리총괄내역_자재단가표_진해자은수량산출서(단지내)" xfId="1973" xr:uid="{00000000-0005-0000-0000-00009B030000}"/>
    <cellStyle name="1_tree_수량산출_구로리총괄내역_자재단가표_진해자은수량산출서(단지내)_00-설계서,원가계산,내역서" xfId="1974" xr:uid="{00000000-0005-0000-0000-00009C030000}"/>
    <cellStyle name="1_tree_수량산출_구로리총괄내역_자재단가표_진해자은수량산출서(단지내)_기초산출표-56-128-최종" xfId="1975" xr:uid="{00000000-0005-0000-0000-00009D030000}"/>
    <cellStyle name="1_tree_수량산출_구로리총괄내역_자재단가표_진해자은수량산출서(단지내)_기초산출표-56-128-최종_00-설계서,원가계산,내역서" xfId="1976" xr:uid="{00000000-0005-0000-0000-00009E030000}"/>
    <cellStyle name="1_tree_수량산출_구로리총괄내역_자재단가표_진해자은수량산출서(단지내)_기초산출표-56-128-최종_설계서-1" xfId="1977" xr:uid="{00000000-0005-0000-0000-00009F030000}"/>
    <cellStyle name="1_tree_수량산출_구로리총괄내역_자재단가표_진해자은수량산출서(단지내)_기초산출표-56-128-최종_설계서-1_00-설계서,원가계산,내역서" xfId="1978" xr:uid="{00000000-0005-0000-0000-0000A0030000}"/>
    <cellStyle name="1_tree_수량산출_구로리총괄내역_자재단가표_진해자은수량산출서(단지내)_설계서-1" xfId="1979" xr:uid="{00000000-0005-0000-0000-0000A1030000}"/>
    <cellStyle name="1_tree_수량산출_구로리총괄내역_자재단가표_진해자은수량산출서(단지내)_설계서-1_00-설계서,원가계산,내역서" xfId="1980" xr:uid="{00000000-0005-0000-0000-0000A2030000}"/>
    <cellStyle name="1_tree_수량산출_구로리총괄내역_자재단가표_진해자은수량산출서(단지내)_취합" xfId="1981" xr:uid="{00000000-0005-0000-0000-0000A3030000}"/>
    <cellStyle name="1_tree_수량산출_구로리총괄내역_자재단가표_진해자은수량산출서(단지내)_취합_00-설계서,원가계산,내역서" xfId="1982" xr:uid="{00000000-0005-0000-0000-0000A4030000}"/>
    <cellStyle name="1_tree_수량산출_구로리총괄내역_자재단가표_진해자은수량산출서(단지내)_취합_설계서-1" xfId="1983" xr:uid="{00000000-0005-0000-0000-0000A5030000}"/>
    <cellStyle name="1_tree_수량산출_구로리총괄내역_자재단가표_진해자은수량산출서(단지내)_취합_설계서-1_00-설계서,원가계산,내역서" xfId="1984" xr:uid="{00000000-0005-0000-0000-0000A6030000}"/>
    <cellStyle name="1_tree_수량산출_구로리총괄내역_장안초등학교내역0814" xfId="1985" xr:uid="{00000000-0005-0000-0000-0000A7030000}"/>
    <cellStyle name="1_tree_수량산출_구로리총괄내역_장안초등학교내역0814_00-설계서,원가계산,내역서" xfId="1986" xr:uid="{00000000-0005-0000-0000-0000A8030000}"/>
    <cellStyle name="1_tree_수량산출_구로리총괄내역_장안초등학교내역0814_설계서-1" xfId="1987" xr:uid="{00000000-0005-0000-0000-0000A9030000}"/>
    <cellStyle name="1_tree_수량산출_구로리총괄내역_장안초등학교내역0814_설계서-1_00-설계서,원가계산,내역서" xfId="1988" xr:uid="{00000000-0005-0000-0000-0000AA030000}"/>
    <cellStyle name="1_tree_수량산출_구로리총괄내역_장안초등학교내역0814_진해자은수량산출서(단지내)" xfId="1989" xr:uid="{00000000-0005-0000-0000-0000AB030000}"/>
    <cellStyle name="1_tree_수량산출_구로리총괄내역_장안초등학교내역0814_진해자은수량산출서(단지내)_00-설계서,원가계산,내역서" xfId="1990" xr:uid="{00000000-0005-0000-0000-0000AC030000}"/>
    <cellStyle name="1_tree_수량산출_구로리총괄내역_장안초등학교내역0814_진해자은수량산출서(단지내)_기초산출표-56-128-최종" xfId="1991" xr:uid="{00000000-0005-0000-0000-0000AD030000}"/>
    <cellStyle name="1_tree_수량산출_구로리총괄내역_장안초등학교내역0814_진해자은수량산출서(단지내)_기초산출표-56-128-최종_00-설계서,원가계산,내역서" xfId="1992" xr:uid="{00000000-0005-0000-0000-0000AE030000}"/>
    <cellStyle name="1_tree_수량산출_구로리총괄내역_장안초등학교내역0814_진해자은수량산출서(단지내)_기초산출표-56-128-최종_설계서-1" xfId="1993" xr:uid="{00000000-0005-0000-0000-0000AF030000}"/>
    <cellStyle name="1_tree_수량산출_구로리총괄내역_장안초등학교내역0814_진해자은수량산출서(단지내)_기초산출표-56-128-최종_설계서-1_00-설계서,원가계산,내역서" xfId="1994" xr:uid="{00000000-0005-0000-0000-0000B0030000}"/>
    <cellStyle name="1_tree_수량산출_구로리총괄내역_장안초등학교내역0814_진해자은수량산출서(단지내)_설계서-1" xfId="1995" xr:uid="{00000000-0005-0000-0000-0000B1030000}"/>
    <cellStyle name="1_tree_수량산출_구로리총괄내역_장안초등학교내역0814_진해자은수량산출서(단지내)_설계서-1_00-설계서,원가계산,내역서" xfId="1996" xr:uid="{00000000-0005-0000-0000-0000B2030000}"/>
    <cellStyle name="1_tree_수량산출_구로리총괄내역_장안초등학교내역0814_진해자은수량산출서(단지내)_취합" xfId="1997" xr:uid="{00000000-0005-0000-0000-0000B3030000}"/>
    <cellStyle name="1_tree_수량산출_구로리총괄내역_장안초등학교내역0814_진해자은수량산출서(단지내)_취합_00-설계서,원가계산,내역서" xfId="1998" xr:uid="{00000000-0005-0000-0000-0000B4030000}"/>
    <cellStyle name="1_tree_수량산출_구로리총괄내역_장안초등학교내역0814_진해자은수량산출서(단지내)_취합_설계서-1" xfId="1999" xr:uid="{00000000-0005-0000-0000-0000B5030000}"/>
    <cellStyle name="1_tree_수량산출_구로리총괄내역_장안초등학교내역0814_진해자은수량산출서(단지내)_취합_설계서-1_00-설계서,원가계산,내역서" xfId="2000" xr:uid="{00000000-0005-0000-0000-0000B6030000}"/>
    <cellStyle name="1_tree_수량산출_구로리총괄내역_진해자은수량산출서(단지내)" xfId="2001" xr:uid="{00000000-0005-0000-0000-0000B7030000}"/>
    <cellStyle name="1_tree_수량산출_구로리총괄내역_진해자은수량산출서(단지내)_00-설계서,원가계산,내역서" xfId="2002" xr:uid="{00000000-0005-0000-0000-0000B8030000}"/>
    <cellStyle name="1_tree_수량산출_구로리총괄내역_진해자은수량산출서(단지내)_기초산출표-56-128-최종" xfId="2003" xr:uid="{00000000-0005-0000-0000-0000B9030000}"/>
    <cellStyle name="1_tree_수량산출_구로리총괄내역_진해자은수량산출서(단지내)_기초산출표-56-128-최종_00-설계서,원가계산,내역서" xfId="2004" xr:uid="{00000000-0005-0000-0000-0000BA030000}"/>
    <cellStyle name="1_tree_수량산출_구로리총괄내역_진해자은수량산출서(단지내)_기초산출표-56-128-최종_설계서-1" xfId="2005" xr:uid="{00000000-0005-0000-0000-0000BB030000}"/>
    <cellStyle name="1_tree_수량산출_구로리총괄내역_진해자은수량산출서(단지내)_기초산출표-56-128-최종_설계서-1_00-설계서,원가계산,내역서" xfId="2006" xr:uid="{00000000-0005-0000-0000-0000BC030000}"/>
    <cellStyle name="1_tree_수량산출_구로리총괄내역_진해자은수량산출서(단지내)_설계서-1" xfId="2007" xr:uid="{00000000-0005-0000-0000-0000BD030000}"/>
    <cellStyle name="1_tree_수량산출_구로리총괄내역_진해자은수량산출서(단지내)_설계서-1_00-설계서,원가계산,내역서" xfId="2008" xr:uid="{00000000-0005-0000-0000-0000BE030000}"/>
    <cellStyle name="1_tree_수량산출_구로리총괄내역_진해자은수량산출서(단지내)_취합" xfId="2009" xr:uid="{00000000-0005-0000-0000-0000BF030000}"/>
    <cellStyle name="1_tree_수량산출_구로리총괄내역_진해자은수량산출서(단지내)_취합_00-설계서,원가계산,내역서" xfId="2010" xr:uid="{00000000-0005-0000-0000-0000C0030000}"/>
    <cellStyle name="1_tree_수량산출_구로리총괄내역_진해자은수량산출서(단지내)_취합_설계서-1" xfId="2011" xr:uid="{00000000-0005-0000-0000-0000C1030000}"/>
    <cellStyle name="1_tree_수량산출_구로리총괄내역_진해자은수량산출서(단지내)_취합_설계서-1_00-설계서,원가계산,내역서" xfId="2012" xr:uid="{00000000-0005-0000-0000-0000C2030000}"/>
    <cellStyle name="1_tree_수량산출_목동내역" xfId="2013" xr:uid="{00000000-0005-0000-0000-0000C3030000}"/>
    <cellStyle name="1_tree_수량산출_목동내역_00-설계서,원가계산,내역서" xfId="2014" xr:uid="{00000000-0005-0000-0000-0000C4030000}"/>
    <cellStyle name="1_tree_수량산출_목동내역_폐기물집계" xfId="2015" xr:uid="{00000000-0005-0000-0000-0000C5030000}"/>
    <cellStyle name="1_tree_수량산출_목동내역_폐기물집계_00-설계서,원가계산,내역서" xfId="2016" xr:uid="{00000000-0005-0000-0000-0000C6030000}"/>
    <cellStyle name="1_tree_수량산출_설계서-1" xfId="2017" xr:uid="{00000000-0005-0000-0000-0000C7030000}"/>
    <cellStyle name="1_tree_수량산출_설계서-1_00-설계서,원가계산,내역서" xfId="2018" xr:uid="{00000000-0005-0000-0000-0000C8030000}"/>
    <cellStyle name="1_tree_수량산출_이문동구간중랑천변녹화사업(수량산출서, 071127)-최종" xfId="2019" xr:uid="{00000000-0005-0000-0000-0000C9030000}"/>
    <cellStyle name="1_tree_수량산출_이문동구간중랑천변녹화사업(수량산출서, 071127)-최종_00-설계서,원가계산,내역서" xfId="2020" xr:uid="{00000000-0005-0000-0000-0000CA030000}"/>
    <cellStyle name="1_tree_수량산출_진해자은수량산출서(단지내)" xfId="2021" xr:uid="{00000000-0005-0000-0000-0000CB030000}"/>
    <cellStyle name="1_tree_수량산출_진해자은수량산출서(단지내)_00-설계서,원가계산,내역서" xfId="2022" xr:uid="{00000000-0005-0000-0000-0000CC030000}"/>
    <cellStyle name="1_tree_수량산출_진해자은수량산출서(단지내)_기초산출표-56-128-최종" xfId="2023" xr:uid="{00000000-0005-0000-0000-0000CD030000}"/>
    <cellStyle name="1_tree_수량산출_진해자은수량산출서(단지내)_기초산출표-56-128-최종_00-설계서,원가계산,내역서" xfId="2024" xr:uid="{00000000-0005-0000-0000-0000CE030000}"/>
    <cellStyle name="1_tree_수량산출_진해자은수량산출서(단지내)_기초산출표-56-128-최종_설계서-1" xfId="2025" xr:uid="{00000000-0005-0000-0000-0000CF030000}"/>
    <cellStyle name="1_tree_수량산출_진해자은수량산출서(단지내)_기초산출표-56-128-최종_설계서-1_00-설계서,원가계산,내역서" xfId="2026" xr:uid="{00000000-0005-0000-0000-0000D0030000}"/>
    <cellStyle name="1_tree_수량산출_진해자은수량산출서(단지내)_설계서-1" xfId="2027" xr:uid="{00000000-0005-0000-0000-0000D1030000}"/>
    <cellStyle name="1_tree_수량산출_진해자은수량산출서(단지내)_설계서-1_00-설계서,원가계산,내역서" xfId="2028" xr:uid="{00000000-0005-0000-0000-0000D2030000}"/>
    <cellStyle name="1_tree_수량산출_진해자은수량산출서(단지내)_취합" xfId="2029" xr:uid="{00000000-0005-0000-0000-0000D3030000}"/>
    <cellStyle name="1_tree_수량산출_진해자은수량산출서(단지내)_취합_00-설계서,원가계산,내역서" xfId="2030" xr:uid="{00000000-0005-0000-0000-0000D4030000}"/>
    <cellStyle name="1_tree_수량산출_진해자은수량산출서(단지내)_취합_설계서-1" xfId="2031" xr:uid="{00000000-0005-0000-0000-0000D5030000}"/>
    <cellStyle name="1_tree_수량산출_진해자은수량산출서(단지내)_취합_설계서-1_00-설계서,원가계산,내역서" xfId="2032" xr:uid="{00000000-0005-0000-0000-0000D6030000}"/>
    <cellStyle name="1_tree_수량산출_총괄내역0518" xfId="2033" xr:uid="{00000000-0005-0000-0000-0000D7030000}"/>
    <cellStyle name="1_tree_수량산출_총괄내역0518_00-설계서,원가계산,내역서" xfId="2034" xr:uid="{00000000-0005-0000-0000-0000D8030000}"/>
    <cellStyle name="1_tree_수량산출_총괄내역0518_구로리설계예산서1029" xfId="2035" xr:uid="{00000000-0005-0000-0000-0000D9030000}"/>
    <cellStyle name="1_tree_수량산출_총괄내역0518_구로리설계예산서1029_00-설계서,원가계산,내역서" xfId="2036" xr:uid="{00000000-0005-0000-0000-0000DA030000}"/>
    <cellStyle name="1_tree_수량산출_총괄내역0518_구로리설계예산서1029_설계서-1" xfId="2037" xr:uid="{00000000-0005-0000-0000-0000DB030000}"/>
    <cellStyle name="1_tree_수량산출_총괄내역0518_구로리설계예산서1029_설계서-1_00-설계서,원가계산,내역서" xfId="2038" xr:uid="{00000000-0005-0000-0000-0000DC030000}"/>
    <cellStyle name="1_tree_수량산출_총괄내역0518_구로리설계예산서1029_진해자은수량산출서(단지내)" xfId="2039" xr:uid="{00000000-0005-0000-0000-0000DD030000}"/>
    <cellStyle name="1_tree_수량산출_총괄내역0518_구로리설계예산서1029_진해자은수량산출서(단지내)_00-설계서,원가계산,내역서" xfId="2040" xr:uid="{00000000-0005-0000-0000-0000DE030000}"/>
    <cellStyle name="1_tree_수량산출_총괄내역0518_구로리설계예산서1029_진해자은수량산출서(단지내)_기초산출표-56-128-최종" xfId="2041" xr:uid="{00000000-0005-0000-0000-0000DF030000}"/>
    <cellStyle name="1_tree_수량산출_총괄내역0518_구로리설계예산서1029_진해자은수량산출서(단지내)_기초산출표-56-128-최종_00-설계서,원가계산,내역서" xfId="2042" xr:uid="{00000000-0005-0000-0000-0000E0030000}"/>
    <cellStyle name="1_tree_수량산출_총괄내역0518_구로리설계예산서1029_진해자은수량산출서(단지내)_기초산출표-56-128-최종_설계서-1" xfId="2043" xr:uid="{00000000-0005-0000-0000-0000E1030000}"/>
    <cellStyle name="1_tree_수량산출_총괄내역0518_구로리설계예산서1029_진해자은수량산출서(단지내)_기초산출표-56-128-최종_설계서-1_00-설계서,원가계산,내역서" xfId="2044" xr:uid="{00000000-0005-0000-0000-0000E2030000}"/>
    <cellStyle name="1_tree_수량산출_총괄내역0518_구로리설계예산서1029_진해자은수량산출서(단지내)_설계서-1" xfId="2045" xr:uid="{00000000-0005-0000-0000-0000E3030000}"/>
    <cellStyle name="1_tree_수량산출_총괄내역0518_구로리설계예산서1029_진해자은수량산출서(단지내)_설계서-1_00-설계서,원가계산,내역서" xfId="2046" xr:uid="{00000000-0005-0000-0000-0000E4030000}"/>
    <cellStyle name="1_tree_수량산출_총괄내역0518_구로리설계예산서1029_진해자은수량산출서(단지내)_취합" xfId="2047" xr:uid="{00000000-0005-0000-0000-0000E5030000}"/>
    <cellStyle name="1_tree_수량산출_총괄내역0518_구로리설계예산서1029_진해자은수량산출서(단지내)_취합_00-설계서,원가계산,내역서" xfId="2048" xr:uid="{00000000-0005-0000-0000-0000E6030000}"/>
    <cellStyle name="1_tree_수량산출_총괄내역0518_구로리설계예산서1029_진해자은수량산출서(단지내)_취합_설계서-1" xfId="2049" xr:uid="{00000000-0005-0000-0000-0000E7030000}"/>
    <cellStyle name="1_tree_수량산출_총괄내역0518_구로리설계예산서1029_진해자은수량산출서(단지내)_취합_설계서-1_00-설계서,원가계산,내역서" xfId="2050" xr:uid="{00000000-0005-0000-0000-0000E8030000}"/>
    <cellStyle name="1_tree_수량산출_총괄내역0518_구로리설계예산서1118준공" xfId="2051" xr:uid="{00000000-0005-0000-0000-0000E9030000}"/>
    <cellStyle name="1_tree_수량산출_총괄내역0518_구로리설계예산서1118준공_00-설계서,원가계산,내역서" xfId="2052" xr:uid="{00000000-0005-0000-0000-0000EA030000}"/>
    <cellStyle name="1_tree_수량산출_총괄내역0518_구로리설계예산서1118준공_설계서-1" xfId="2053" xr:uid="{00000000-0005-0000-0000-0000EB030000}"/>
    <cellStyle name="1_tree_수량산출_총괄내역0518_구로리설계예산서1118준공_설계서-1_00-설계서,원가계산,내역서" xfId="2054" xr:uid="{00000000-0005-0000-0000-0000EC030000}"/>
    <cellStyle name="1_tree_수량산출_총괄내역0518_구로리설계예산서1118준공_진해자은수량산출서(단지내)" xfId="2055" xr:uid="{00000000-0005-0000-0000-0000ED030000}"/>
    <cellStyle name="1_tree_수량산출_총괄내역0518_구로리설계예산서1118준공_진해자은수량산출서(단지내)_00-설계서,원가계산,내역서" xfId="2056" xr:uid="{00000000-0005-0000-0000-0000EE030000}"/>
    <cellStyle name="1_tree_수량산출_총괄내역0518_구로리설계예산서1118준공_진해자은수량산출서(단지내)_기초산출표-56-128-최종" xfId="2057" xr:uid="{00000000-0005-0000-0000-0000EF030000}"/>
    <cellStyle name="1_tree_수량산출_총괄내역0518_구로리설계예산서1118준공_진해자은수량산출서(단지내)_기초산출표-56-128-최종_00-설계서,원가계산,내역서" xfId="2058" xr:uid="{00000000-0005-0000-0000-0000F0030000}"/>
    <cellStyle name="1_tree_수량산출_총괄내역0518_구로리설계예산서1118준공_진해자은수량산출서(단지내)_기초산출표-56-128-최종_설계서-1" xfId="2059" xr:uid="{00000000-0005-0000-0000-0000F1030000}"/>
    <cellStyle name="1_tree_수량산출_총괄내역0518_구로리설계예산서1118준공_진해자은수량산출서(단지내)_기초산출표-56-128-최종_설계서-1_00-설계서,원가계산,내역서" xfId="2060" xr:uid="{00000000-0005-0000-0000-0000F2030000}"/>
    <cellStyle name="1_tree_수량산출_총괄내역0518_구로리설계예산서1118준공_진해자은수량산출서(단지내)_설계서-1" xfId="2061" xr:uid="{00000000-0005-0000-0000-0000F3030000}"/>
    <cellStyle name="1_tree_수량산출_총괄내역0518_구로리설계예산서1118준공_진해자은수량산출서(단지내)_설계서-1_00-설계서,원가계산,내역서" xfId="2062" xr:uid="{00000000-0005-0000-0000-0000F4030000}"/>
    <cellStyle name="1_tree_수량산출_총괄내역0518_구로리설계예산서1118준공_진해자은수량산출서(단지내)_취합" xfId="2063" xr:uid="{00000000-0005-0000-0000-0000F5030000}"/>
    <cellStyle name="1_tree_수량산출_총괄내역0518_구로리설계예산서1118준공_진해자은수량산출서(단지내)_취합_00-설계서,원가계산,내역서" xfId="2064" xr:uid="{00000000-0005-0000-0000-0000F6030000}"/>
    <cellStyle name="1_tree_수량산출_총괄내역0518_구로리설계예산서1118준공_진해자은수량산출서(단지내)_취합_설계서-1" xfId="2065" xr:uid="{00000000-0005-0000-0000-0000F7030000}"/>
    <cellStyle name="1_tree_수량산출_총괄내역0518_구로리설계예산서1118준공_진해자은수량산출서(단지내)_취합_설계서-1_00-설계서,원가계산,내역서" xfId="2066" xr:uid="{00000000-0005-0000-0000-0000F8030000}"/>
    <cellStyle name="1_tree_수량산출_총괄내역0518_구로리설계예산서조경" xfId="2067" xr:uid="{00000000-0005-0000-0000-0000F9030000}"/>
    <cellStyle name="1_tree_수량산출_총괄내역0518_구로리설계예산서조경_00-설계서,원가계산,내역서" xfId="2068" xr:uid="{00000000-0005-0000-0000-0000FA030000}"/>
    <cellStyle name="1_tree_수량산출_총괄내역0518_구로리설계예산서조경_설계서-1" xfId="2069" xr:uid="{00000000-0005-0000-0000-0000FB030000}"/>
    <cellStyle name="1_tree_수량산출_총괄내역0518_구로리설계예산서조경_설계서-1_00-설계서,원가계산,내역서" xfId="2070" xr:uid="{00000000-0005-0000-0000-0000FC030000}"/>
    <cellStyle name="1_tree_수량산출_총괄내역0518_구로리설계예산서조경_진해자은수량산출서(단지내)" xfId="2071" xr:uid="{00000000-0005-0000-0000-0000FD030000}"/>
    <cellStyle name="1_tree_수량산출_총괄내역0518_구로리설계예산서조경_진해자은수량산출서(단지내)_00-설계서,원가계산,내역서" xfId="2072" xr:uid="{00000000-0005-0000-0000-0000FE030000}"/>
    <cellStyle name="1_tree_수량산출_총괄내역0518_구로리설계예산서조경_진해자은수량산출서(단지내)_기초산출표-56-128-최종" xfId="2073" xr:uid="{00000000-0005-0000-0000-0000FF030000}"/>
    <cellStyle name="1_tree_수량산출_총괄내역0518_구로리설계예산서조경_진해자은수량산출서(단지내)_기초산출표-56-128-최종_00-설계서,원가계산,내역서" xfId="2074" xr:uid="{00000000-0005-0000-0000-000000040000}"/>
    <cellStyle name="1_tree_수량산출_총괄내역0518_구로리설계예산서조경_진해자은수량산출서(단지내)_기초산출표-56-128-최종_설계서-1" xfId="2075" xr:uid="{00000000-0005-0000-0000-000001040000}"/>
    <cellStyle name="1_tree_수량산출_총괄내역0518_구로리설계예산서조경_진해자은수량산출서(단지내)_기초산출표-56-128-최종_설계서-1_00-설계서,원가계산,내역서" xfId="2076" xr:uid="{00000000-0005-0000-0000-000002040000}"/>
    <cellStyle name="1_tree_수량산출_총괄내역0518_구로리설계예산서조경_진해자은수량산출서(단지내)_설계서-1" xfId="2077" xr:uid="{00000000-0005-0000-0000-000003040000}"/>
    <cellStyle name="1_tree_수량산출_총괄내역0518_구로리설계예산서조경_진해자은수량산출서(단지내)_설계서-1_00-설계서,원가계산,내역서" xfId="2078" xr:uid="{00000000-0005-0000-0000-000004040000}"/>
    <cellStyle name="1_tree_수량산출_총괄내역0518_구로리설계예산서조경_진해자은수량산출서(단지내)_취합" xfId="2079" xr:uid="{00000000-0005-0000-0000-000005040000}"/>
    <cellStyle name="1_tree_수량산출_총괄내역0518_구로리설계예산서조경_진해자은수량산출서(단지내)_취합_00-설계서,원가계산,내역서" xfId="2080" xr:uid="{00000000-0005-0000-0000-000006040000}"/>
    <cellStyle name="1_tree_수량산출_총괄내역0518_구로리설계예산서조경_진해자은수량산출서(단지내)_취합_설계서-1" xfId="2081" xr:uid="{00000000-0005-0000-0000-000007040000}"/>
    <cellStyle name="1_tree_수량산출_총괄내역0518_구로리설계예산서조경_진해자은수량산출서(단지내)_취합_설계서-1_00-설계서,원가계산,내역서" xfId="2082" xr:uid="{00000000-0005-0000-0000-000008040000}"/>
    <cellStyle name="1_tree_수량산출_총괄내역0518_구로리어린이공원예산서(조경)1125" xfId="2083" xr:uid="{00000000-0005-0000-0000-000009040000}"/>
    <cellStyle name="1_tree_수량산출_총괄내역0518_구로리어린이공원예산서(조경)1125_00-설계서,원가계산,내역서" xfId="2084" xr:uid="{00000000-0005-0000-0000-00000A040000}"/>
    <cellStyle name="1_tree_수량산출_총괄내역0518_구로리어린이공원예산서(조경)1125_설계서-1" xfId="2085" xr:uid="{00000000-0005-0000-0000-00000B040000}"/>
    <cellStyle name="1_tree_수량산출_총괄내역0518_구로리어린이공원예산서(조경)1125_설계서-1_00-설계서,원가계산,내역서" xfId="2086" xr:uid="{00000000-0005-0000-0000-00000C040000}"/>
    <cellStyle name="1_tree_수량산출_총괄내역0518_구로리어린이공원예산서(조경)1125_진해자은수량산출서(단지내)" xfId="2087" xr:uid="{00000000-0005-0000-0000-00000D040000}"/>
    <cellStyle name="1_tree_수량산출_총괄내역0518_구로리어린이공원예산서(조경)1125_진해자은수량산출서(단지내)_00-설계서,원가계산,내역서" xfId="2088" xr:uid="{00000000-0005-0000-0000-00000E040000}"/>
    <cellStyle name="1_tree_수량산출_총괄내역0518_구로리어린이공원예산서(조경)1125_진해자은수량산출서(단지내)_기초산출표-56-128-최종" xfId="2089" xr:uid="{00000000-0005-0000-0000-00000F040000}"/>
    <cellStyle name="1_tree_수량산출_총괄내역0518_구로리어린이공원예산서(조경)1125_진해자은수량산출서(단지내)_기초산출표-56-128-최종_00-설계서,원가계산,내역서" xfId="2090" xr:uid="{00000000-0005-0000-0000-000010040000}"/>
    <cellStyle name="1_tree_수량산출_총괄내역0518_구로리어린이공원예산서(조경)1125_진해자은수량산출서(단지내)_기초산출표-56-128-최종_설계서-1" xfId="2091" xr:uid="{00000000-0005-0000-0000-000011040000}"/>
    <cellStyle name="1_tree_수량산출_총괄내역0518_구로리어린이공원예산서(조경)1125_진해자은수량산출서(단지내)_기초산출표-56-128-최종_설계서-1_00-설계서,원가계산,내역서" xfId="2092" xr:uid="{00000000-0005-0000-0000-000012040000}"/>
    <cellStyle name="1_tree_수량산출_총괄내역0518_구로리어린이공원예산서(조경)1125_진해자은수량산출서(단지내)_설계서-1" xfId="2093" xr:uid="{00000000-0005-0000-0000-000013040000}"/>
    <cellStyle name="1_tree_수량산출_총괄내역0518_구로리어린이공원예산서(조경)1125_진해자은수량산출서(단지내)_설계서-1_00-설계서,원가계산,내역서" xfId="2094" xr:uid="{00000000-0005-0000-0000-000014040000}"/>
    <cellStyle name="1_tree_수량산출_총괄내역0518_구로리어린이공원예산서(조경)1125_진해자은수량산출서(단지내)_취합" xfId="2095" xr:uid="{00000000-0005-0000-0000-000015040000}"/>
    <cellStyle name="1_tree_수량산출_총괄내역0518_구로리어린이공원예산서(조경)1125_진해자은수량산출서(단지내)_취합_00-설계서,원가계산,내역서" xfId="2096" xr:uid="{00000000-0005-0000-0000-000016040000}"/>
    <cellStyle name="1_tree_수량산출_총괄내역0518_구로리어린이공원예산서(조경)1125_진해자은수량산출서(단지내)_취합_설계서-1" xfId="2097" xr:uid="{00000000-0005-0000-0000-000017040000}"/>
    <cellStyle name="1_tree_수량산출_총괄내역0518_구로리어린이공원예산서(조경)1125_진해자은수량산출서(단지내)_취합_설계서-1_00-설계서,원가계산,내역서" xfId="2098" xr:uid="{00000000-0005-0000-0000-000018040000}"/>
    <cellStyle name="1_tree_수량산출_총괄내역0518_내역서" xfId="2099" xr:uid="{00000000-0005-0000-0000-000019040000}"/>
    <cellStyle name="1_tree_수량산출_총괄내역0518_내역서_00-설계서,원가계산,내역서" xfId="2100" xr:uid="{00000000-0005-0000-0000-00001A040000}"/>
    <cellStyle name="1_tree_수량산출_총괄내역0518_내역서_설계서-1" xfId="2101" xr:uid="{00000000-0005-0000-0000-00001B040000}"/>
    <cellStyle name="1_tree_수량산출_총괄내역0518_내역서_설계서-1_00-설계서,원가계산,내역서" xfId="2102" xr:uid="{00000000-0005-0000-0000-00001C040000}"/>
    <cellStyle name="1_tree_수량산출_총괄내역0518_내역서_진해자은수량산출서(단지내)" xfId="2103" xr:uid="{00000000-0005-0000-0000-00001D040000}"/>
    <cellStyle name="1_tree_수량산출_총괄내역0518_내역서_진해자은수량산출서(단지내)_00-설계서,원가계산,내역서" xfId="2104" xr:uid="{00000000-0005-0000-0000-00001E040000}"/>
    <cellStyle name="1_tree_수량산출_총괄내역0518_내역서_진해자은수량산출서(단지내)_기초산출표-56-128-최종" xfId="2105" xr:uid="{00000000-0005-0000-0000-00001F040000}"/>
    <cellStyle name="1_tree_수량산출_총괄내역0518_내역서_진해자은수량산출서(단지내)_기초산출표-56-128-최종_00-설계서,원가계산,내역서" xfId="2106" xr:uid="{00000000-0005-0000-0000-000020040000}"/>
    <cellStyle name="1_tree_수량산출_총괄내역0518_내역서_진해자은수량산출서(단지내)_기초산출표-56-128-최종_설계서-1" xfId="2107" xr:uid="{00000000-0005-0000-0000-000021040000}"/>
    <cellStyle name="1_tree_수량산출_총괄내역0518_내역서_진해자은수량산출서(단지내)_기초산출표-56-128-최종_설계서-1_00-설계서,원가계산,내역서" xfId="2108" xr:uid="{00000000-0005-0000-0000-000022040000}"/>
    <cellStyle name="1_tree_수량산출_총괄내역0518_내역서_진해자은수량산출서(단지내)_설계서-1" xfId="2109" xr:uid="{00000000-0005-0000-0000-000023040000}"/>
    <cellStyle name="1_tree_수량산출_총괄내역0518_내역서_진해자은수량산출서(단지내)_설계서-1_00-설계서,원가계산,내역서" xfId="2110" xr:uid="{00000000-0005-0000-0000-000024040000}"/>
    <cellStyle name="1_tree_수량산출_총괄내역0518_내역서_진해자은수량산출서(단지내)_취합" xfId="2111" xr:uid="{00000000-0005-0000-0000-000025040000}"/>
    <cellStyle name="1_tree_수량산출_총괄내역0518_내역서_진해자은수량산출서(단지내)_취합_00-설계서,원가계산,내역서" xfId="2112" xr:uid="{00000000-0005-0000-0000-000026040000}"/>
    <cellStyle name="1_tree_수량산출_총괄내역0518_내역서_진해자은수량산출서(단지내)_취합_설계서-1" xfId="2113" xr:uid="{00000000-0005-0000-0000-000027040000}"/>
    <cellStyle name="1_tree_수량산출_총괄내역0518_내역서_진해자은수량산출서(단지내)_취합_설계서-1_00-설계서,원가계산,내역서" xfId="2114" xr:uid="{00000000-0005-0000-0000-000028040000}"/>
    <cellStyle name="1_tree_수량산출_총괄내역0518_노임단가표" xfId="2115" xr:uid="{00000000-0005-0000-0000-000029040000}"/>
    <cellStyle name="1_tree_수량산출_총괄내역0518_노임단가표_00-설계서,원가계산,내역서" xfId="2116" xr:uid="{00000000-0005-0000-0000-00002A040000}"/>
    <cellStyle name="1_tree_수량산출_총괄내역0518_노임단가표_설계서-1" xfId="2117" xr:uid="{00000000-0005-0000-0000-00002B040000}"/>
    <cellStyle name="1_tree_수량산출_총괄내역0518_노임단가표_설계서-1_00-설계서,원가계산,내역서" xfId="2118" xr:uid="{00000000-0005-0000-0000-00002C040000}"/>
    <cellStyle name="1_tree_수량산출_총괄내역0518_노임단가표_진해자은수량산출서(단지내)" xfId="2119" xr:uid="{00000000-0005-0000-0000-00002D040000}"/>
    <cellStyle name="1_tree_수량산출_총괄내역0518_노임단가표_진해자은수량산출서(단지내)_00-설계서,원가계산,내역서" xfId="2120" xr:uid="{00000000-0005-0000-0000-00002E040000}"/>
    <cellStyle name="1_tree_수량산출_총괄내역0518_노임단가표_진해자은수량산출서(단지내)_기초산출표-56-128-최종" xfId="2121" xr:uid="{00000000-0005-0000-0000-00002F040000}"/>
    <cellStyle name="1_tree_수량산출_총괄내역0518_노임단가표_진해자은수량산출서(단지내)_기초산출표-56-128-최종_00-설계서,원가계산,내역서" xfId="2122" xr:uid="{00000000-0005-0000-0000-000030040000}"/>
    <cellStyle name="1_tree_수량산출_총괄내역0518_노임단가표_진해자은수량산출서(단지내)_기초산출표-56-128-최종_설계서-1" xfId="2123" xr:uid="{00000000-0005-0000-0000-000031040000}"/>
    <cellStyle name="1_tree_수량산출_총괄내역0518_노임단가표_진해자은수량산출서(단지내)_기초산출표-56-128-최종_설계서-1_00-설계서,원가계산,내역서" xfId="2124" xr:uid="{00000000-0005-0000-0000-000032040000}"/>
    <cellStyle name="1_tree_수량산출_총괄내역0518_노임단가표_진해자은수량산출서(단지내)_설계서-1" xfId="2125" xr:uid="{00000000-0005-0000-0000-000033040000}"/>
    <cellStyle name="1_tree_수량산출_총괄내역0518_노임단가표_진해자은수량산출서(단지내)_설계서-1_00-설계서,원가계산,내역서" xfId="2126" xr:uid="{00000000-0005-0000-0000-000034040000}"/>
    <cellStyle name="1_tree_수량산출_총괄내역0518_노임단가표_진해자은수량산출서(단지내)_취합" xfId="2127" xr:uid="{00000000-0005-0000-0000-000035040000}"/>
    <cellStyle name="1_tree_수량산출_총괄내역0518_노임단가표_진해자은수량산출서(단지내)_취합_00-설계서,원가계산,내역서" xfId="2128" xr:uid="{00000000-0005-0000-0000-000036040000}"/>
    <cellStyle name="1_tree_수량산출_총괄내역0518_노임단가표_진해자은수량산출서(단지내)_취합_설계서-1" xfId="2129" xr:uid="{00000000-0005-0000-0000-000037040000}"/>
    <cellStyle name="1_tree_수량산출_총괄내역0518_노임단가표_진해자은수량산출서(단지내)_취합_설계서-1_00-설계서,원가계산,내역서" xfId="2130" xr:uid="{00000000-0005-0000-0000-000038040000}"/>
    <cellStyle name="1_tree_수량산출_총괄내역0518_설계서-1" xfId="2131" xr:uid="{00000000-0005-0000-0000-000039040000}"/>
    <cellStyle name="1_tree_수량산출_총괄내역0518_설계서-1_00-설계서,원가계산,내역서" xfId="2132" xr:uid="{00000000-0005-0000-0000-00003A040000}"/>
    <cellStyle name="1_tree_수량산출_총괄내역0518_수도권매립지" xfId="2133" xr:uid="{00000000-0005-0000-0000-00003B040000}"/>
    <cellStyle name="1_tree_수량산출_총괄내역0518_수도권매립지_00-설계서,원가계산,내역서" xfId="2134" xr:uid="{00000000-0005-0000-0000-00004C040000}"/>
    <cellStyle name="1_tree_수량산출_총괄내역0518_수도권매립지_설계서-1" xfId="2135" xr:uid="{00000000-0005-0000-0000-00004D040000}"/>
    <cellStyle name="1_tree_수량산출_총괄내역0518_수도권매립지_설계서-1_00-설계서,원가계산,내역서" xfId="2136" xr:uid="{00000000-0005-0000-0000-00004E040000}"/>
    <cellStyle name="1_tree_수량산출_총괄내역0518_수도권매립지_진해자은수량산출서(단지내)" xfId="2137" xr:uid="{00000000-0005-0000-0000-00004F040000}"/>
    <cellStyle name="1_tree_수량산출_총괄내역0518_수도권매립지_진해자은수량산출서(단지내)_00-설계서,원가계산,내역서" xfId="2138" xr:uid="{00000000-0005-0000-0000-000050040000}"/>
    <cellStyle name="1_tree_수량산출_총괄내역0518_수도권매립지_진해자은수량산출서(단지내)_기초산출표-56-128-최종" xfId="2139" xr:uid="{00000000-0005-0000-0000-000051040000}"/>
    <cellStyle name="1_tree_수량산출_총괄내역0518_수도권매립지_진해자은수량산출서(단지내)_기초산출표-56-128-최종_00-설계서,원가계산,내역서" xfId="2140" xr:uid="{00000000-0005-0000-0000-000052040000}"/>
    <cellStyle name="1_tree_수량산출_총괄내역0518_수도권매립지_진해자은수량산출서(단지내)_기초산출표-56-128-최종_설계서-1" xfId="2141" xr:uid="{00000000-0005-0000-0000-000053040000}"/>
    <cellStyle name="1_tree_수량산출_총괄내역0518_수도권매립지_진해자은수량산출서(단지내)_기초산출표-56-128-최종_설계서-1_00-설계서,원가계산,내역서" xfId="2142" xr:uid="{00000000-0005-0000-0000-000054040000}"/>
    <cellStyle name="1_tree_수량산출_총괄내역0518_수도권매립지_진해자은수량산출서(단지내)_설계서-1" xfId="2143" xr:uid="{00000000-0005-0000-0000-000055040000}"/>
    <cellStyle name="1_tree_수량산출_총괄내역0518_수도권매립지_진해자은수량산출서(단지내)_설계서-1_00-설계서,원가계산,내역서" xfId="2144" xr:uid="{00000000-0005-0000-0000-000056040000}"/>
    <cellStyle name="1_tree_수량산출_총괄내역0518_수도권매립지_진해자은수량산출서(단지내)_취합" xfId="2145" xr:uid="{00000000-0005-0000-0000-000057040000}"/>
    <cellStyle name="1_tree_수량산출_총괄내역0518_수도권매립지_진해자은수량산출서(단지내)_취합_00-설계서,원가계산,내역서" xfId="2146" xr:uid="{00000000-0005-0000-0000-000058040000}"/>
    <cellStyle name="1_tree_수량산출_총괄내역0518_수도권매립지_진해자은수량산출서(단지내)_취합_설계서-1" xfId="2147" xr:uid="{00000000-0005-0000-0000-000059040000}"/>
    <cellStyle name="1_tree_수량산출_총괄내역0518_수도권매립지_진해자은수량산출서(단지내)_취합_설계서-1_00-설계서,원가계산,내역서" xfId="2148" xr:uid="{00000000-0005-0000-0000-00005A040000}"/>
    <cellStyle name="1_tree_수량산출_총괄내역0518_수도권매립지1004(발주용)" xfId="2149" xr:uid="{00000000-0005-0000-0000-00003C040000}"/>
    <cellStyle name="1_tree_수량산출_총괄내역0518_수도권매립지1004(발주용)_00-설계서,원가계산,내역서" xfId="2150" xr:uid="{00000000-0005-0000-0000-00003D040000}"/>
    <cellStyle name="1_tree_수량산출_총괄내역0518_수도권매립지1004(발주용)_설계서-1" xfId="2151" xr:uid="{00000000-0005-0000-0000-00003E040000}"/>
    <cellStyle name="1_tree_수량산출_총괄내역0518_수도권매립지1004(발주용)_설계서-1_00-설계서,원가계산,내역서" xfId="2152" xr:uid="{00000000-0005-0000-0000-00003F040000}"/>
    <cellStyle name="1_tree_수량산출_총괄내역0518_수도권매립지1004(발주용)_진해자은수량산출서(단지내)" xfId="2153" xr:uid="{00000000-0005-0000-0000-000040040000}"/>
    <cellStyle name="1_tree_수량산출_총괄내역0518_수도권매립지1004(발주용)_진해자은수량산출서(단지내)_00-설계서,원가계산,내역서" xfId="2154" xr:uid="{00000000-0005-0000-0000-000041040000}"/>
    <cellStyle name="1_tree_수량산출_총괄내역0518_수도권매립지1004(발주용)_진해자은수량산출서(단지내)_기초산출표-56-128-최종" xfId="2155" xr:uid="{00000000-0005-0000-0000-000042040000}"/>
    <cellStyle name="1_tree_수량산출_총괄내역0518_수도권매립지1004(발주용)_진해자은수량산출서(단지내)_기초산출표-56-128-최종_00-설계서,원가계산,내역서" xfId="2156" xr:uid="{00000000-0005-0000-0000-000043040000}"/>
    <cellStyle name="1_tree_수량산출_총괄내역0518_수도권매립지1004(발주용)_진해자은수량산출서(단지내)_기초산출표-56-128-최종_설계서-1" xfId="2157" xr:uid="{00000000-0005-0000-0000-000044040000}"/>
    <cellStyle name="1_tree_수량산출_총괄내역0518_수도권매립지1004(발주용)_진해자은수량산출서(단지내)_기초산출표-56-128-최종_설계서-1_00-설계서,원가계산,내역서" xfId="2158" xr:uid="{00000000-0005-0000-0000-000045040000}"/>
    <cellStyle name="1_tree_수량산출_총괄내역0518_수도권매립지1004(발주용)_진해자은수량산출서(단지내)_설계서-1" xfId="2159" xr:uid="{00000000-0005-0000-0000-000046040000}"/>
    <cellStyle name="1_tree_수량산출_총괄내역0518_수도권매립지1004(발주용)_진해자은수량산출서(단지내)_설계서-1_00-설계서,원가계산,내역서" xfId="2160" xr:uid="{00000000-0005-0000-0000-000047040000}"/>
    <cellStyle name="1_tree_수량산출_총괄내역0518_수도권매립지1004(발주용)_진해자은수량산출서(단지내)_취합" xfId="2161" xr:uid="{00000000-0005-0000-0000-000048040000}"/>
    <cellStyle name="1_tree_수량산출_총괄내역0518_수도권매립지1004(발주용)_진해자은수량산출서(단지내)_취합_00-설계서,원가계산,내역서" xfId="2162" xr:uid="{00000000-0005-0000-0000-000049040000}"/>
    <cellStyle name="1_tree_수량산출_총괄내역0518_수도권매립지1004(발주용)_진해자은수량산출서(단지내)_취합_설계서-1" xfId="2163" xr:uid="{00000000-0005-0000-0000-00004A040000}"/>
    <cellStyle name="1_tree_수량산출_총괄내역0518_수도권매립지1004(발주용)_진해자은수량산출서(단지내)_취합_설계서-1_00-설계서,원가계산,내역서" xfId="2164" xr:uid="{00000000-0005-0000-0000-00004B040000}"/>
    <cellStyle name="1_tree_수량산출_총괄내역0518_일신건영설계예산서(0211)" xfId="2165" xr:uid="{00000000-0005-0000-0000-00005B040000}"/>
    <cellStyle name="1_tree_수량산출_총괄내역0518_일신건영설계예산서(0211)_00-설계서,원가계산,내역서" xfId="2166" xr:uid="{00000000-0005-0000-0000-00005C040000}"/>
    <cellStyle name="1_tree_수량산출_총괄내역0518_일신건영설계예산서(0211)_설계서-1" xfId="2167" xr:uid="{00000000-0005-0000-0000-00005D040000}"/>
    <cellStyle name="1_tree_수량산출_총괄내역0518_일신건영설계예산서(0211)_설계서-1_00-설계서,원가계산,내역서" xfId="2168" xr:uid="{00000000-0005-0000-0000-00005E040000}"/>
    <cellStyle name="1_tree_수량산출_총괄내역0518_일신건영설계예산서(0211)_진해자은수량산출서(단지내)" xfId="2169" xr:uid="{00000000-0005-0000-0000-00005F040000}"/>
    <cellStyle name="1_tree_수량산출_총괄내역0518_일신건영설계예산서(0211)_진해자은수량산출서(단지내)_00-설계서,원가계산,내역서" xfId="2170" xr:uid="{00000000-0005-0000-0000-000060040000}"/>
    <cellStyle name="1_tree_수량산출_총괄내역0518_일신건영설계예산서(0211)_진해자은수량산출서(단지내)_기초산출표-56-128-최종" xfId="2171" xr:uid="{00000000-0005-0000-0000-000061040000}"/>
    <cellStyle name="1_tree_수량산출_총괄내역0518_일신건영설계예산서(0211)_진해자은수량산출서(단지내)_기초산출표-56-128-최종_00-설계서,원가계산,내역서" xfId="2172" xr:uid="{00000000-0005-0000-0000-000062040000}"/>
    <cellStyle name="1_tree_수량산출_총괄내역0518_일신건영설계예산서(0211)_진해자은수량산출서(단지내)_기초산출표-56-128-최종_설계서-1" xfId="2173" xr:uid="{00000000-0005-0000-0000-000063040000}"/>
    <cellStyle name="1_tree_수량산출_총괄내역0518_일신건영설계예산서(0211)_진해자은수량산출서(단지내)_기초산출표-56-128-최종_설계서-1_00-설계서,원가계산,내역서" xfId="2174" xr:uid="{00000000-0005-0000-0000-000064040000}"/>
    <cellStyle name="1_tree_수량산출_총괄내역0518_일신건영설계예산서(0211)_진해자은수량산출서(단지내)_설계서-1" xfId="2175" xr:uid="{00000000-0005-0000-0000-000065040000}"/>
    <cellStyle name="1_tree_수량산출_총괄내역0518_일신건영설계예산서(0211)_진해자은수량산출서(단지내)_설계서-1_00-설계서,원가계산,내역서" xfId="2176" xr:uid="{00000000-0005-0000-0000-000066040000}"/>
    <cellStyle name="1_tree_수량산출_총괄내역0518_일신건영설계예산서(0211)_진해자은수량산출서(단지내)_취합" xfId="2177" xr:uid="{00000000-0005-0000-0000-000067040000}"/>
    <cellStyle name="1_tree_수량산출_총괄내역0518_일신건영설계예산서(0211)_진해자은수량산출서(단지내)_취합_00-설계서,원가계산,내역서" xfId="2178" xr:uid="{00000000-0005-0000-0000-000068040000}"/>
    <cellStyle name="1_tree_수량산출_총괄내역0518_일신건영설계예산서(0211)_진해자은수량산출서(단지내)_취합_설계서-1" xfId="2179" xr:uid="{00000000-0005-0000-0000-000069040000}"/>
    <cellStyle name="1_tree_수량산출_총괄내역0518_일신건영설계예산서(0211)_진해자은수량산출서(단지내)_취합_설계서-1_00-설계서,원가계산,내역서" xfId="2180" xr:uid="{00000000-0005-0000-0000-00006A040000}"/>
    <cellStyle name="1_tree_수량산출_총괄내역0518_일위대가" xfId="2181" xr:uid="{00000000-0005-0000-0000-00006B040000}"/>
    <cellStyle name="1_tree_수량산출_총괄내역0518_일위대가_00-설계서,원가계산,내역서" xfId="2182" xr:uid="{00000000-0005-0000-0000-00006C040000}"/>
    <cellStyle name="1_tree_수량산출_총괄내역0518_일위대가_설계서-1" xfId="2183" xr:uid="{00000000-0005-0000-0000-00006D040000}"/>
    <cellStyle name="1_tree_수량산출_총괄내역0518_일위대가_설계서-1_00-설계서,원가계산,내역서" xfId="2184" xr:uid="{00000000-0005-0000-0000-00006E040000}"/>
    <cellStyle name="1_tree_수량산출_총괄내역0518_일위대가_진해자은수량산출서(단지내)" xfId="2185" xr:uid="{00000000-0005-0000-0000-00006F040000}"/>
    <cellStyle name="1_tree_수량산출_총괄내역0518_일위대가_진해자은수량산출서(단지내)_00-설계서,원가계산,내역서" xfId="2186" xr:uid="{00000000-0005-0000-0000-000070040000}"/>
    <cellStyle name="1_tree_수량산출_총괄내역0518_일위대가_진해자은수량산출서(단지내)_기초산출표-56-128-최종" xfId="2187" xr:uid="{00000000-0005-0000-0000-000071040000}"/>
    <cellStyle name="1_tree_수량산출_총괄내역0518_일위대가_진해자은수량산출서(단지내)_기초산출표-56-128-최종_00-설계서,원가계산,내역서" xfId="2188" xr:uid="{00000000-0005-0000-0000-000072040000}"/>
    <cellStyle name="1_tree_수량산출_총괄내역0518_일위대가_진해자은수량산출서(단지내)_기초산출표-56-128-최종_설계서-1" xfId="2189" xr:uid="{00000000-0005-0000-0000-000073040000}"/>
    <cellStyle name="1_tree_수량산출_총괄내역0518_일위대가_진해자은수량산출서(단지내)_기초산출표-56-128-최종_설계서-1_00-설계서,원가계산,내역서" xfId="2190" xr:uid="{00000000-0005-0000-0000-000074040000}"/>
    <cellStyle name="1_tree_수량산출_총괄내역0518_일위대가_진해자은수량산출서(단지내)_설계서-1" xfId="2191" xr:uid="{00000000-0005-0000-0000-000075040000}"/>
    <cellStyle name="1_tree_수량산출_총괄내역0518_일위대가_진해자은수량산출서(단지내)_설계서-1_00-설계서,원가계산,내역서" xfId="2192" xr:uid="{00000000-0005-0000-0000-000076040000}"/>
    <cellStyle name="1_tree_수량산출_총괄내역0518_일위대가_진해자은수량산출서(단지내)_취합" xfId="2193" xr:uid="{00000000-0005-0000-0000-000077040000}"/>
    <cellStyle name="1_tree_수량산출_총괄내역0518_일위대가_진해자은수량산출서(단지내)_취합_00-설계서,원가계산,내역서" xfId="2194" xr:uid="{00000000-0005-0000-0000-000078040000}"/>
    <cellStyle name="1_tree_수량산출_총괄내역0518_일위대가_진해자은수량산출서(단지내)_취합_설계서-1" xfId="2195" xr:uid="{00000000-0005-0000-0000-000079040000}"/>
    <cellStyle name="1_tree_수량산출_총괄내역0518_일위대가_진해자은수량산출서(단지내)_취합_설계서-1_00-설계서,원가계산,내역서" xfId="2196" xr:uid="{00000000-0005-0000-0000-00007A040000}"/>
    <cellStyle name="1_tree_수량산출_총괄내역0518_자재단가표" xfId="2197" xr:uid="{00000000-0005-0000-0000-00007B040000}"/>
    <cellStyle name="1_tree_수량산출_총괄내역0518_자재단가표_00-설계서,원가계산,내역서" xfId="2198" xr:uid="{00000000-0005-0000-0000-00007C040000}"/>
    <cellStyle name="1_tree_수량산출_총괄내역0518_자재단가표_설계서-1" xfId="2199" xr:uid="{00000000-0005-0000-0000-00007D040000}"/>
    <cellStyle name="1_tree_수량산출_총괄내역0518_자재단가표_설계서-1_00-설계서,원가계산,내역서" xfId="2200" xr:uid="{00000000-0005-0000-0000-00007E040000}"/>
    <cellStyle name="1_tree_수량산출_총괄내역0518_자재단가표_진해자은수량산출서(단지내)" xfId="2201" xr:uid="{00000000-0005-0000-0000-00007F040000}"/>
    <cellStyle name="1_tree_수량산출_총괄내역0518_자재단가표_진해자은수량산출서(단지내)_00-설계서,원가계산,내역서" xfId="2202" xr:uid="{00000000-0005-0000-0000-000080040000}"/>
    <cellStyle name="1_tree_수량산출_총괄내역0518_자재단가표_진해자은수량산출서(단지내)_기초산출표-56-128-최종" xfId="2203" xr:uid="{00000000-0005-0000-0000-000081040000}"/>
    <cellStyle name="1_tree_수량산출_총괄내역0518_자재단가표_진해자은수량산출서(단지내)_기초산출표-56-128-최종_00-설계서,원가계산,내역서" xfId="2204" xr:uid="{00000000-0005-0000-0000-000082040000}"/>
    <cellStyle name="1_tree_수량산출_총괄내역0518_자재단가표_진해자은수량산출서(단지내)_기초산출표-56-128-최종_설계서-1" xfId="2205" xr:uid="{00000000-0005-0000-0000-000083040000}"/>
    <cellStyle name="1_tree_수량산출_총괄내역0518_자재단가표_진해자은수량산출서(단지내)_기초산출표-56-128-최종_설계서-1_00-설계서,원가계산,내역서" xfId="2206" xr:uid="{00000000-0005-0000-0000-000084040000}"/>
    <cellStyle name="1_tree_수량산출_총괄내역0518_자재단가표_진해자은수량산출서(단지내)_설계서-1" xfId="2207" xr:uid="{00000000-0005-0000-0000-000085040000}"/>
    <cellStyle name="1_tree_수량산출_총괄내역0518_자재단가표_진해자은수량산출서(단지내)_설계서-1_00-설계서,원가계산,내역서" xfId="2208" xr:uid="{00000000-0005-0000-0000-000086040000}"/>
    <cellStyle name="1_tree_수량산출_총괄내역0518_자재단가표_진해자은수량산출서(단지내)_취합" xfId="2209" xr:uid="{00000000-0005-0000-0000-000087040000}"/>
    <cellStyle name="1_tree_수량산출_총괄내역0518_자재단가표_진해자은수량산출서(단지내)_취합_00-설계서,원가계산,내역서" xfId="2210" xr:uid="{00000000-0005-0000-0000-000088040000}"/>
    <cellStyle name="1_tree_수량산출_총괄내역0518_자재단가표_진해자은수량산출서(단지내)_취합_설계서-1" xfId="2211" xr:uid="{00000000-0005-0000-0000-000089040000}"/>
    <cellStyle name="1_tree_수량산출_총괄내역0518_자재단가표_진해자은수량산출서(단지내)_취합_설계서-1_00-설계서,원가계산,내역서" xfId="2212" xr:uid="{00000000-0005-0000-0000-00008A040000}"/>
    <cellStyle name="1_tree_수량산출_총괄내역0518_장안초등학교내역0814" xfId="2213" xr:uid="{00000000-0005-0000-0000-00008B040000}"/>
    <cellStyle name="1_tree_수량산출_총괄내역0518_장안초등학교내역0814_00-설계서,원가계산,내역서" xfId="2214" xr:uid="{00000000-0005-0000-0000-00008C040000}"/>
    <cellStyle name="1_tree_수량산출_총괄내역0518_장안초등학교내역0814_설계서-1" xfId="2215" xr:uid="{00000000-0005-0000-0000-00008D040000}"/>
    <cellStyle name="1_tree_수량산출_총괄내역0518_장안초등학교내역0814_설계서-1_00-설계서,원가계산,내역서" xfId="2216" xr:uid="{00000000-0005-0000-0000-00008E040000}"/>
    <cellStyle name="1_tree_수량산출_총괄내역0518_장안초등학교내역0814_진해자은수량산출서(단지내)" xfId="2217" xr:uid="{00000000-0005-0000-0000-00008F040000}"/>
    <cellStyle name="1_tree_수량산출_총괄내역0518_장안초등학교내역0814_진해자은수량산출서(단지내)_00-설계서,원가계산,내역서" xfId="2218" xr:uid="{00000000-0005-0000-0000-000090040000}"/>
    <cellStyle name="1_tree_수량산출_총괄내역0518_장안초등학교내역0814_진해자은수량산출서(단지내)_기초산출표-56-128-최종" xfId="2219" xr:uid="{00000000-0005-0000-0000-000091040000}"/>
    <cellStyle name="1_tree_수량산출_총괄내역0518_장안초등학교내역0814_진해자은수량산출서(단지내)_기초산출표-56-128-최종_00-설계서,원가계산,내역서" xfId="2220" xr:uid="{00000000-0005-0000-0000-000092040000}"/>
    <cellStyle name="1_tree_수량산출_총괄내역0518_장안초등학교내역0814_진해자은수량산출서(단지내)_기초산출표-56-128-최종_설계서-1" xfId="2221" xr:uid="{00000000-0005-0000-0000-000093040000}"/>
    <cellStyle name="1_tree_수량산출_총괄내역0518_장안초등학교내역0814_진해자은수량산출서(단지내)_기초산출표-56-128-최종_설계서-1_00-설계서,원가계산,내역서" xfId="2222" xr:uid="{00000000-0005-0000-0000-000094040000}"/>
    <cellStyle name="1_tree_수량산출_총괄내역0518_장안초등학교내역0814_진해자은수량산출서(단지내)_설계서-1" xfId="2223" xr:uid="{00000000-0005-0000-0000-000095040000}"/>
    <cellStyle name="1_tree_수량산출_총괄내역0518_장안초등학교내역0814_진해자은수량산출서(단지내)_설계서-1_00-설계서,원가계산,내역서" xfId="2224" xr:uid="{00000000-0005-0000-0000-000096040000}"/>
    <cellStyle name="1_tree_수량산출_총괄내역0518_장안초등학교내역0814_진해자은수량산출서(단지내)_취합" xfId="2225" xr:uid="{00000000-0005-0000-0000-000097040000}"/>
    <cellStyle name="1_tree_수량산출_총괄내역0518_장안초등학교내역0814_진해자은수량산출서(단지내)_취합_00-설계서,원가계산,내역서" xfId="2226" xr:uid="{00000000-0005-0000-0000-000098040000}"/>
    <cellStyle name="1_tree_수량산출_총괄내역0518_장안초등학교내역0814_진해자은수량산출서(단지내)_취합_설계서-1" xfId="2227" xr:uid="{00000000-0005-0000-0000-000099040000}"/>
    <cellStyle name="1_tree_수량산출_총괄내역0518_장안초등학교내역0814_진해자은수량산출서(단지내)_취합_설계서-1_00-설계서,원가계산,내역서" xfId="2228" xr:uid="{00000000-0005-0000-0000-00009A040000}"/>
    <cellStyle name="1_tree_수량산출_총괄내역0518_진해자은수량산출서(단지내)" xfId="2229" xr:uid="{00000000-0005-0000-0000-00009B040000}"/>
    <cellStyle name="1_tree_수량산출_총괄내역0518_진해자은수량산출서(단지내)_00-설계서,원가계산,내역서" xfId="2230" xr:uid="{00000000-0005-0000-0000-00009C040000}"/>
    <cellStyle name="1_tree_수량산출_총괄내역0518_진해자은수량산출서(단지내)_기초산출표-56-128-최종" xfId="2231" xr:uid="{00000000-0005-0000-0000-00009D040000}"/>
    <cellStyle name="1_tree_수량산출_총괄내역0518_진해자은수량산출서(단지내)_기초산출표-56-128-최종_00-설계서,원가계산,내역서" xfId="2232" xr:uid="{00000000-0005-0000-0000-00009E040000}"/>
    <cellStyle name="1_tree_수량산출_총괄내역0518_진해자은수량산출서(단지내)_기초산출표-56-128-최종_설계서-1" xfId="2233" xr:uid="{00000000-0005-0000-0000-00009F040000}"/>
    <cellStyle name="1_tree_수량산출_총괄내역0518_진해자은수량산출서(단지내)_기초산출표-56-128-최종_설계서-1_00-설계서,원가계산,내역서" xfId="2234" xr:uid="{00000000-0005-0000-0000-0000A0040000}"/>
    <cellStyle name="1_tree_수량산출_총괄내역0518_진해자은수량산출서(단지내)_설계서-1" xfId="2235" xr:uid="{00000000-0005-0000-0000-0000A1040000}"/>
    <cellStyle name="1_tree_수량산출_총괄내역0518_진해자은수량산출서(단지내)_설계서-1_00-설계서,원가계산,내역서" xfId="2236" xr:uid="{00000000-0005-0000-0000-0000A2040000}"/>
    <cellStyle name="1_tree_수량산출_총괄내역0518_진해자은수량산출서(단지내)_취합" xfId="2237" xr:uid="{00000000-0005-0000-0000-0000A3040000}"/>
    <cellStyle name="1_tree_수량산출_총괄내역0518_진해자은수량산출서(단지내)_취합_00-설계서,원가계산,내역서" xfId="2238" xr:uid="{00000000-0005-0000-0000-0000A4040000}"/>
    <cellStyle name="1_tree_수량산출_총괄내역0518_진해자은수량산출서(단지내)_취합_설계서-1" xfId="2239" xr:uid="{00000000-0005-0000-0000-0000A5040000}"/>
    <cellStyle name="1_tree_수량산출_총괄내역0518_진해자은수량산출서(단지내)_취합_설계서-1_00-설계서,원가계산,내역서" xfId="2240" xr:uid="{00000000-0005-0000-0000-0000A6040000}"/>
    <cellStyle name="1_tree_수량산출_현충묘지-예산서(조경)" xfId="2241" xr:uid="{00000000-0005-0000-0000-0000A7040000}"/>
    <cellStyle name="1_tree_수량산출_현충묘지-예산서(조경)_00-설계서,원가계산,내역서" xfId="2242" xr:uid="{00000000-0005-0000-0000-0000A8040000}"/>
    <cellStyle name="1_tree_수량산출_현충묘지-예산서(조경)_목동내역" xfId="2243" xr:uid="{00000000-0005-0000-0000-0000A9040000}"/>
    <cellStyle name="1_tree_수량산출_현충묘지-예산서(조경)_목동내역_00-설계서,원가계산,내역서" xfId="2244" xr:uid="{00000000-0005-0000-0000-0000AA040000}"/>
    <cellStyle name="1_tree_수량산출_현충묘지-예산서(조경)_목동내역_폐기물집계" xfId="2245" xr:uid="{00000000-0005-0000-0000-0000AB040000}"/>
    <cellStyle name="1_tree_수량산출_현충묘지-예산서(조경)_목동내역_폐기물집계_00-설계서,원가계산,내역서" xfId="2246" xr:uid="{00000000-0005-0000-0000-0000AC040000}"/>
    <cellStyle name="1_tree_수량산출_현충묘지-예산서(조경)_예산서-엑셀변환양식100" xfId="2247" xr:uid="{00000000-0005-0000-0000-0000AD040000}"/>
    <cellStyle name="1_tree_수량산출_현충묘지-예산서(조경)_예산서-엑셀변환양식100_00-설계서,원가계산,내역서" xfId="2248" xr:uid="{00000000-0005-0000-0000-0000AE040000}"/>
    <cellStyle name="1_tree_수량산출_현충묘지-예산서(조경)_예산서-엑셀변환양식100_목동내역" xfId="2249" xr:uid="{00000000-0005-0000-0000-0000AF040000}"/>
    <cellStyle name="1_tree_수량산출_현충묘지-예산서(조경)_예산서-엑셀변환양식100_목동내역_00-설계서,원가계산,내역서" xfId="2250" xr:uid="{00000000-0005-0000-0000-0000B0040000}"/>
    <cellStyle name="1_tree_수량산출_현충묘지-예산서(조경)_예산서-엑셀변환양식100_목동내역_폐기물집계" xfId="2251" xr:uid="{00000000-0005-0000-0000-0000B1040000}"/>
    <cellStyle name="1_tree_수량산출_현충묘지-예산서(조경)_예산서-엑셀변환양식100_목동내역_폐기물집계_00-설계서,원가계산,내역서" xfId="2252" xr:uid="{00000000-0005-0000-0000-0000B2040000}"/>
    <cellStyle name="1_tree_이문동구간중랑천변녹화사업(수량산출서, 071127)-최종" xfId="2253" xr:uid="{00000000-0005-0000-0000-0000B3040000}"/>
    <cellStyle name="1_tree_이문동구간중랑천변녹화사업(수량산출서, 071127)-최종_00-설계서,원가계산,내역서" xfId="2254" xr:uid="{00000000-0005-0000-0000-0000B4040000}"/>
    <cellStyle name="1_tree_진해자은수량산출서(단지내)" xfId="2255" xr:uid="{00000000-0005-0000-0000-0000B5040000}"/>
    <cellStyle name="1_tree_진해자은수량산출서(단지내)_00-설계서,원가계산,내역서" xfId="2256" xr:uid="{00000000-0005-0000-0000-0000B6040000}"/>
    <cellStyle name="1_tree_진해자은수량산출서(단지내)_기초산출표-56-128-최종" xfId="2257" xr:uid="{00000000-0005-0000-0000-0000B7040000}"/>
    <cellStyle name="1_tree_진해자은수량산출서(단지내)_기초산출표-56-128-최종_00-설계서,원가계산,내역서" xfId="2258" xr:uid="{00000000-0005-0000-0000-0000B8040000}"/>
    <cellStyle name="1_tree_진해자은수량산출서(단지내)_기초산출표-56-128-최종_설계서-1" xfId="2259" xr:uid="{00000000-0005-0000-0000-0000B9040000}"/>
    <cellStyle name="1_tree_진해자은수량산출서(단지내)_기초산출표-56-128-최종_설계서-1_00-설계서,원가계산,내역서" xfId="2260" xr:uid="{00000000-0005-0000-0000-0000BA040000}"/>
    <cellStyle name="1_tree_진해자은수량산출서(단지내)_설계서-1" xfId="2261" xr:uid="{00000000-0005-0000-0000-0000BB040000}"/>
    <cellStyle name="1_tree_진해자은수량산출서(단지내)_설계서-1_00-설계서,원가계산,내역서" xfId="2262" xr:uid="{00000000-0005-0000-0000-0000BC040000}"/>
    <cellStyle name="1_tree_진해자은수량산출서(단지내)_취합" xfId="2263" xr:uid="{00000000-0005-0000-0000-0000BD040000}"/>
    <cellStyle name="1_tree_진해자은수량산출서(단지내)_취합_00-설계서,원가계산,내역서" xfId="2264" xr:uid="{00000000-0005-0000-0000-0000BE040000}"/>
    <cellStyle name="1_tree_진해자은수량산출서(단지내)_취합_설계서-1" xfId="2265" xr:uid="{00000000-0005-0000-0000-0000BF040000}"/>
    <cellStyle name="1_tree_진해자은수량산출서(단지내)_취합_설계서-1_00-설계서,원가계산,내역서" xfId="2266" xr:uid="{00000000-0005-0000-0000-0000C0040000}"/>
    <cellStyle name="1_tree_총괄내역0518" xfId="2267" xr:uid="{00000000-0005-0000-0000-0000C1040000}"/>
    <cellStyle name="1_tree_총괄내역0518_00-설계서,원가계산,내역서" xfId="2268" xr:uid="{00000000-0005-0000-0000-0000C2040000}"/>
    <cellStyle name="1_tree_총괄내역0518_구로리설계예산서1029" xfId="2269" xr:uid="{00000000-0005-0000-0000-0000C3040000}"/>
    <cellStyle name="1_tree_총괄내역0518_구로리설계예산서1029_00-설계서,원가계산,내역서" xfId="2270" xr:uid="{00000000-0005-0000-0000-0000C4040000}"/>
    <cellStyle name="1_tree_총괄내역0518_구로리설계예산서1029_설계서-1" xfId="2271" xr:uid="{00000000-0005-0000-0000-0000C5040000}"/>
    <cellStyle name="1_tree_총괄내역0518_구로리설계예산서1029_설계서-1_00-설계서,원가계산,내역서" xfId="2272" xr:uid="{00000000-0005-0000-0000-0000C6040000}"/>
    <cellStyle name="1_tree_총괄내역0518_구로리설계예산서1029_진해자은수량산출서(단지내)" xfId="2273" xr:uid="{00000000-0005-0000-0000-0000C7040000}"/>
    <cellStyle name="1_tree_총괄내역0518_구로리설계예산서1029_진해자은수량산출서(단지내)_00-설계서,원가계산,내역서" xfId="2274" xr:uid="{00000000-0005-0000-0000-0000C8040000}"/>
    <cellStyle name="1_tree_총괄내역0518_구로리설계예산서1029_진해자은수량산출서(단지내)_기초산출표-56-128-최종" xfId="2275" xr:uid="{00000000-0005-0000-0000-0000C9040000}"/>
    <cellStyle name="1_tree_총괄내역0518_구로리설계예산서1029_진해자은수량산출서(단지내)_기초산출표-56-128-최종_00-설계서,원가계산,내역서" xfId="2276" xr:uid="{00000000-0005-0000-0000-0000CA040000}"/>
    <cellStyle name="1_tree_총괄내역0518_구로리설계예산서1029_진해자은수량산출서(단지내)_기초산출표-56-128-최종_설계서-1" xfId="2277" xr:uid="{00000000-0005-0000-0000-0000CB040000}"/>
    <cellStyle name="1_tree_총괄내역0518_구로리설계예산서1029_진해자은수량산출서(단지내)_기초산출표-56-128-최종_설계서-1_00-설계서,원가계산,내역서" xfId="2278" xr:uid="{00000000-0005-0000-0000-0000CC040000}"/>
    <cellStyle name="1_tree_총괄내역0518_구로리설계예산서1029_진해자은수량산출서(단지내)_설계서-1" xfId="2279" xr:uid="{00000000-0005-0000-0000-0000CD040000}"/>
    <cellStyle name="1_tree_총괄내역0518_구로리설계예산서1029_진해자은수량산출서(단지내)_설계서-1_00-설계서,원가계산,내역서" xfId="2280" xr:uid="{00000000-0005-0000-0000-0000CE040000}"/>
    <cellStyle name="1_tree_총괄내역0518_구로리설계예산서1029_진해자은수량산출서(단지내)_취합" xfId="2281" xr:uid="{00000000-0005-0000-0000-0000CF040000}"/>
    <cellStyle name="1_tree_총괄내역0518_구로리설계예산서1029_진해자은수량산출서(단지내)_취합_00-설계서,원가계산,내역서" xfId="2282" xr:uid="{00000000-0005-0000-0000-0000D0040000}"/>
    <cellStyle name="1_tree_총괄내역0518_구로리설계예산서1029_진해자은수량산출서(단지내)_취합_설계서-1" xfId="2283" xr:uid="{00000000-0005-0000-0000-0000D1040000}"/>
    <cellStyle name="1_tree_총괄내역0518_구로리설계예산서1029_진해자은수량산출서(단지내)_취합_설계서-1_00-설계서,원가계산,내역서" xfId="2284" xr:uid="{00000000-0005-0000-0000-0000D2040000}"/>
    <cellStyle name="1_tree_총괄내역0518_구로리설계예산서1118준공" xfId="2285" xr:uid="{00000000-0005-0000-0000-0000D3040000}"/>
    <cellStyle name="1_tree_총괄내역0518_구로리설계예산서1118준공_00-설계서,원가계산,내역서" xfId="2286" xr:uid="{00000000-0005-0000-0000-0000D4040000}"/>
    <cellStyle name="1_tree_총괄내역0518_구로리설계예산서1118준공_설계서-1" xfId="2287" xr:uid="{00000000-0005-0000-0000-0000D5040000}"/>
    <cellStyle name="1_tree_총괄내역0518_구로리설계예산서1118준공_설계서-1_00-설계서,원가계산,내역서" xfId="2288" xr:uid="{00000000-0005-0000-0000-0000D6040000}"/>
    <cellStyle name="1_tree_총괄내역0518_구로리설계예산서1118준공_진해자은수량산출서(단지내)" xfId="2289" xr:uid="{00000000-0005-0000-0000-0000D7040000}"/>
    <cellStyle name="1_tree_총괄내역0518_구로리설계예산서1118준공_진해자은수량산출서(단지내)_00-설계서,원가계산,내역서" xfId="2290" xr:uid="{00000000-0005-0000-0000-0000D8040000}"/>
    <cellStyle name="1_tree_총괄내역0518_구로리설계예산서1118준공_진해자은수량산출서(단지내)_기초산출표-56-128-최종" xfId="2291" xr:uid="{00000000-0005-0000-0000-0000D9040000}"/>
    <cellStyle name="1_tree_총괄내역0518_구로리설계예산서1118준공_진해자은수량산출서(단지내)_기초산출표-56-128-최종_00-설계서,원가계산,내역서" xfId="2292" xr:uid="{00000000-0005-0000-0000-0000DA040000}"/>
    <cellStyle name="1_tree_총괄내역0518_구로리설계예산서1118준공_진해자은수량산출서(단지내)_기초산출표-56-128-최종_설계서-1" xfId="2293" xr:uid="{00000000-0005-0000-0000-0000DB040000}"/>
    <cellStyle name="1_tree_총괄내역0518_구로리설계예산서1118준공_진해자은수량산출서(단지내)_기초산출표-56-128-최종_설계서-1_00-설계서,원가계산,내역서" xfId="2294" xr:uid="{00000000-0005-0000-0000-0000DC040000}"/>
    <cellStyle name="1_tree_총괄내역0518_구로리설계예산서1118준공_진해자은수량산출서(단지내)_설계서-1" xfId="2295" xr:uid="{00000000-0005-0000-0000-0000DD040000}"/>
    <cellStyle name="1_tree_총괄내역0518_구로리설계예산서1118준공_진해자은수량산출서(단지내)_설계서-1_00-설계서,원가계산,내역서" xfId="2296" xr:uid="{00000000-0005-0000-0000-0000DE040000}"/>
    <cellStyle name="1_tree_총괄내역0518_구로리설계예산서1118준공_진해자은수량산출서(단지내)_취합" xfId="2297" xr:uid="{00000000-0005-0000-0000-0000DF040000}"/>
    <cellStyle name="1_tree_총괄내역0518_구로리설계예산서1118준공_진해자은수량산출서(단지내)_취합_00-설계서,원가계산,내역서" xfId="2298" xr:uid="{00000000-0005-0000-0000-0000E0040000}"/>
    <cellStyle name="1_tree_총괄내역0518_구로리설계예산서1118준공_진해자은수량산출서(단지내)_취합_설계서-1" xfId="2299" xr:uid="{00000000-0005-0000-0000-0000E1040000}"/>
    <cellStyle name="1_tree_총괄내역0518_구로리설계예산서1118준공_진해자은수량산출서(단지내)_취합_설계서-1_00-설계서,원가계산,내역서" xfId="2300" xr:uid="{00000000-0005-0000-0000-0000E2040000}"/>
    <cellStyle name="1_tree_총괄내역0518_구로리설계예산서조경" xfId="2301" xr:uid="{00000000-0005-0000-0000-0000E3040000}"/>
    <cellStyle name="1_tree_총괄내역0518_구로리설계예산서조경_00-설계서,원가계산,내역서" xfId="2302" xr:uid="{00000000-0005-0000-0000-0000E4040000}"/>
    <cellStyle name="1_tree_총괄내역0518_구로리설계예산서조경_설계서-1" xfId="2303" xr:uid="{00000000-0005-0000-0000-0000E5040000}"/>
    <cellStyle name="1_tree_총괄내역0518_구로리설계예산서조경_설계서-1_00-설계서,원가계산,내역서" xfId="2304" xr:uid="{00000000-0005-0000-0000-0000E6040000}"/>
    <cellStyle name="1_tree_총괄내역0518_구로리설계예산서조경_진해자은수량산출서(단지내)" xfId="2305" xr:uid="{00000000-0005-0000-0000-0000E7040000}"/>
    <cellStyle name="1_tree_총괄내역0518_구로리설계예산서조경_진해자은수량산출서(단지내)_00-설계서,원가계산,내역서" xfId="2306" xr:uid="{00000000-0005-0000-0000-0000E8040000}"/>
    <cellStyle name="1_tree_총괄내역0518_구로리설계예산서조경_진해자은수량산출서(단지내)_기초산출표-56-128-최종" xfId="2307" xr:uid="{00000000-0005-0000-0000-0000E9040000}"/>
    <cellStyle name="1_tree_총괄내역0518_구로리설계예산서조경_진해자은수량산출서(단지내)_기초산출표-56-128-최종_00-설계서,원가계산,내역서" xfId="2308" xr:uid="{00000000-0005-0000-0000-0000EA040000}"/>
    <cellStyle name="1_tree_총괄내역0518_구로리설계예산서조경_진해자은수량산출서(단지내)_기초산출표-56-128-최종_설계서-1" xfId="2309" xr:uid="{00000000-0005-0000-0000-0000EB040000}"/>
    <cellStyle name="1_tree_총괄내역0518_구로리설계예산서조경_진해자은수량산출서(단지내)_기초산출표-56-128-최종_설계서-1_00-설계서,원가계산,내역서" xfId="2310" xr:uid="{00000000-0005-0000-0000-0000EC040000}"/>
    <cellStyle name="1_tree_총괄내역0518_구로리설계예산서조경_진해자은수량산출서(단지내)_설계서-1" xfId="2311" xr:uid="{00000000-0005-0000-0000-0000ED040000}"/>
    <cellStyle name="1_tree_총괄내역0518_구로리설계예산서조경_진해자은수량산출서(단지내)_설계서-1_00-설계서,원가계산,내역서" xfId="2312" xr:uid="{00000000-0005-0000-0000-0000EE040000}"/>
    <cellStyle name="1_tree_총괄내역0518_구로리설계예산서조경_진해자은수량산출서(단지내)_취합" xfId="2313" xr:uid="{00000000-0005-0000-0000-0000EF040000}"/>
    <cellStyle name="1_tree_총괄내역0518_구로리설계예산서조경_진해자은수량산출서(단지내)_취합_00-설계서,원가계산,내역서" xfId="2314" xr:uid="{00000000-0005-0000-0000-0000F0040000}"/>
    <cellStyle name="1_tree_총괄내역0518_구로리설계예산서조경_진해자은수량산출서(단지내)_취합_설계서-1" xfId="2315" xr:uid="{00000000-0005-0000-0000-0000F1040000}"/>
    <cellStyle name="1_tree_총괄내역0518_구로리설계예산서조경_진해자은수량산출서(단지내)_취합_설계서-1_00-설계서,원가계산,내역서" xfId="2316" xr:uid="{00000000-0005-0000-0000-0000F2040000}"/>
    <cellStyle name="1_tree_총괄내역0518_구로리어린이공원예산서(조경)1125" xfId="2317" xr:uid="{00000000-0005-0000-0000-0000F3040000}"/>
    <cellStyle name="1_tree_총괄내역0518_구로리어린이공원예산서(조경)1125_00-설계서,원가계산,내역서" xfId="2318" xr:uid="{00000000-0005-0000-0000-0000F4040000}"/>
    <cellStyle name="1_tree_총괄내역0518_구로리어린이공원예산서(조경)1125_설계서-1" xfId="2319" xr:uid="{00000000-0005-0000-0000-0000F5040000}"/>
    <cellStyle name="1_tree_총괄내역0518_구로리어린이공원예산서(조경)1125_설계서-1_00-설계서,원가계산,내역서" xfId="2320" xr:uid="{00000000-0005-0000-0000-0000F6040000}"/>
    <cellStyle name="1_tree_총괄내역0518_구로리어린이공원예산서(조경)1125_진해자은수량산출서(단지내)" xfId="2321" xr:uid="{00000000-0005-0000-0000-0000F7040000}"/>
    <cellStyle name="1_tree_총괄내역0518_구로리어린이공원예산서(조경)1125_진해자은수량산출서(단지내)_00-설계서,원가계산,내역서" xfId="2322" xr:uid="{00000000-0005-0000-0000-0000F8040000}"/>
    <cellStyle name="1_tree_총괄내역0518_구로리어린이공원예산서(조경)1125_진해자은수량산출서(단지내)_기초산출표-56-128-최종" xfId="2323" xr:uid="{00000000-0005-0000-0000-0000F9040000}"/>
    <cellStyle name="1_tree_총괄내역0518_구로리어린이공원예산서(조경)1125_진해자은수량산출서(단지내)_기초산출표-56-128-최종_00-설계서,원가계산,내역서" xfId="2324" xr:uid="{00000000-0005-0000-0000-0000FA040000}"/>
    <cellStyle name="1_tree_총괄내역0518_구로리어린이공원예산서(조경)1125_진해자은수량산출서(단지내)_기초산출표-56-128-최종_설계서-1" xfId="2325" xr:uid="{00000000-0005-0000-0000-0000FB040000}"/>
    <cellStyle name="1_tree_총괄내역0518_구로리어린이공원예산서(조경)1125_진해자은수량산출서(단지내)_기초산출표-56-128-최종_설계서-1_00-설계서,원가계산,내역서" xfId="2326" xr:uid="{00000000-0005-0000-0000-0000FC040000}"/>
    <cellStyle name="1_tree_총괄내역0518_구로리어린이공원예산서(조경)1125_진해자은수량산출서(단지내)_설계서-1" xfId="2327" xr:uid="{00000000-0005-0000-0000-0000FD040000}"/>
    <cellStyle name="1_tree_총괄내역0518_구로리어린이공원예산서(조경)1125_진해자은수량산출서(단지내)_설계서-1_00-설계서,원가계산,내역서" xfId="2328" xr:uid="{00000000-0005-0000-0000-0000FE040000}"/>
    <cellStyle name="1_tree_총괄내역0518_구로리어린이공원예산서(조경)1125_진해자은수량산출서(단지내)_취합" xfId="2329" xr:uid="{00000000-0005-0000-0000-0000FF040000}"/>
    <cellStyle name="1_tree_총괄내역0518_구로리어린이공원예산서(조경)1125_진해자은수량산출서(단지내)_취합_00-설계서,원가계산,내역서" xfId="2330" xr:uid="{00000000-0005-0000-0000-000000050000}"/>
    <cellStyle name="1_tree_총괄내역0518_구로리어린이공원예산서(조경)1125_진해자은수량산출서(단지내)_취합_설계서-1" xfId="2331" xr:uid="{00000000-0005-0000-0000-000001050000}"/>
    <cellStyle name="1_tree_총괄내역0518_구로리어린이공원예산서(조경)1125_진해자은수량산출서(단지내)_취합_설계서-1_00-설계서,원가계산,내역서" xfId="2332" xr:uid="{00000000-0005-0000-0000-000002050000}"/>
    <cellStyle name="1_tree_총괄내역0518_내역서" xfId="2333" xr:uid="{00000000-0005-0000-0000-000003050000}"/>
    <cellStyle name="1_tree_총괄내역0518_내역서_00-설계서,원가계산,내역서" xfId="2334" xr:uid="{00000000-0005-0000-0000-000004050000}"/>
    <cellStyle name="1_tree_총괄내역0518_내역서_설계서-1" xfId="2335" xr:uid="{00000000-0005-0000-0000-000005050000}"/>
    <cellStyle name="1_tree_총괄내역0518_내역서_설계서-1_00-설계서,원가계산,내역서" xfId="2336" xr:uid="{00000000-0005-0000-0000-000006050000}"/>
    <cellStyle name="1_tree_총괄내역0518_내역서_진해자은수량산출서(단지내)" xfId="2337" xr:uid="{00000000-0005-0000-0000-000007050000}"/>
    <cellStyle name="1_tree_총괄내역0518_내역서_진해자은수량산출서(단지내)_00-설계서,원가계산,내역서" xfId="2338" xr:uid="{00000000-0005-0000-0000-000008050000}"/>
    <cellStyle name="1_tree_총괄내역0518_내역서_진해자은수량산출서(단지내)_기초산출표-56-128-최종" xfId="2339" xr:uid="{00000000-0005-0000-0000-000009050000}"/>
    <cellStyle name="1_tree_총괄내역0518_내역서_진해자은수량산출서(단지내)_기초산출표-56-128-최종_00-설계서,원가계산,내역서" xfId="2340" xr:uid="{00000000-0005-0000-0000-00000A050000}"/>
    <cellStyle name="1_tree_총괄내역0518_내역서_진해자은수량산출서(단지내)_기초산출표-56-128-최종_설계서-1" xfId="2341" xr:uid="{00000000-0005-0000-0000-00000B050000}"/>
    <cellStyle name="1_tree_총괄내역0518_내역서_진해자은수량산출서(단지내)_기초산출표-56-128-최종_설계서-1_00-설계서,원가계산,내역서" xfId="2342" xr:uid="{00000000-0005-0000-0000-00000C050000}"/>
    <cellStyle name="1_tree_총괄내역0518_내역서_진해자은수량산출서(단지내)_설계서-1" xfId="2343" xr:uid="{00000000-0005-0000-0000-00000D050000}"/>
    <cellStyle name="1_tree_총괄내역0518_내역서_진해자은수량산출서(단지내)_설계서-1_00-설계서,원가계산,내역서" xfId="2344" xr:uid="{00000000-0005-0000-0000-00000E050000}"/>
    <cellStyle name="1_tree_총괄내역0518_내역서_진해자은수량산출서(단지내)_취합" xfId="2345" xr:uid="{00000000-0005-0000-0000-00000F050000}"/>
    <cellStyle name="1_tree_총괄내역0518_내역서_진해자은수량산출서(단지내)_취합_00-설계서,원가계산,내역서" xfId="2346" xr:uid="{00000000-0005-0000-0000-000010050000}"/>
    <cellStyle name="1_tree_총괄내역0518_내역서_진해자은수량산출서(단지내)_취합_설계서-1" xfId="2347" xr:uid="{00000000-0005-0000-0000-000011050000}"/>
    <cellStyle name="1_tree_총괄내역0518_내역서_진해자은수량산출서(단지내)_취합_설계서-1_00-설계서,원가계산,내역서" xfId="2348" xr:uid="{00000000-0005-0000-0000-000012050000}"/>
    <cellStyle name="1_tree_총괄내역0518_노임단가표" xfId="2349" xr:uid="{00000000-0005-0000-0000-000013050000}"/>
    <cellStyle name="1_tree_총괄내역0518_노임단가표_00-설계서,원가계산,내역서" xfId="2350" xr:uid="{00000000-0005-0000-0000-000014050000}"/>
    <cellStyle name="1_tree_총괄내역0518_노임단가표_설계서-1" xfId="2351" xr:uid="{00000000-0005-0000-0000-000015050000}"/>
    <cellStyle name="1_tree_총괄내역0518_노임단가표_설계서-1_00-설계서,원가계산,내역서" xfId="2352" xr:uid="{00000000-0005-0000-0000-000016050000}"/>
    <cellStyle name="1_tree_총괄내역0518_노임단가표_진해자은수량산출서(단지내)" xfId="2353" xr:uid="{00000000-0005-0000-0000-000017050000}"/>
    <cellStyle name="1_tree_총괄내역0518_노임단가표_진해자은수량산출서(단지내)_00-설계서,원가계산,내역서" xfId="2354" xr:uid="{00000000-0005-0000-0000-000018050000}"/>
    <cellStyle name="1_tree_총괄내역0518_노임단가표_진해자은수량산출서(단지내)_기초산출표-56-128-최종" xfId="2355" xr:uid="{00000000-0005-0000-0000-000019050000}"/>
    <cellStyle name="1_tree_총괄내역0518_노임단가표_진해자은수량산출서(단지내)_기초산출표-56-128-최종_00-설계서,원가계산,내역서" xfId="2356" xr:uid="{00000000-0005-0000-0000-00001A050000}"/>
    <cellStyle name="1_tree_총괄내역0518_노임단가표_진해자은수량산출서(단지내)_기초산출표-56-128-최종_설계서-1" xfId="2357" xr:uid="{00000000-0005-0000-0000-00001B050000}"/>
    <cellStyle name="1_tree_총괄내역0518_노임단가표_진해자은수량산출서(단지내)_기초산출표-56-128-최종_설계서-1_00-설계서,원가계산,내역서" xfId="2358" xr:uid="{00000000-0005-0000-0000-00001C050000}"/>
    <cellStyle name="1_tree_총괄내역0518_노임단가표_진해자은수량산출서(단지내)_설계서-1" xfId="2359" xr:uid="{00000000-0005-0000-0000-00001D050000}"/>
    <cellStyle name="1_tree_총괄내역0518_노임단가표_진해자은수량산출서(단지내)_설계서-1_00-설계서,원가계산,내역서" xfId="2360" xr:uid="{00000000-0005-0000-0000-00001E050000}"/>
    <cellStyle name="1_tree_총괄내역0518_노임단가표_진해자은수량산출서(단지내)_취합" xfId="2361" xr:uid="{00000000-0005-0000-0000-00001F050000}"/>
    <cellStyle name="1_tree_총괄내역0518_노임단가표_진해자은수량산출서(단지내)_취합_00-설계서,원가계산,내역서" xfId="2362" xr:uid="{00000000-0005-0000-0000-000020050000}"/>
    <cellStyle name="1_tree_총괄내역0518_노임단가표_진해자은수량산출서(단지내)_취합_설계서-1" xfId="2363" xr:uid="{00000000-0005-0000-0000-000021050000}"/>
    <cellStyle name="1_tree_총괄내역0518_노임단가표_진해자은수량산출서(단지내)_취합_설계서-1_00-설계서,원가계산,내역서" xfId="2364" xr:uid="{00000000-0005-0000-0000-000022050000}"/>
    <cellStyle name="1_tree_총괄내역0518_설계서-1" xfId="2365" xr:uid="{00000000-0005-0000-0000-000023050000}"/>
    <cellStyle name="1_tree_총괄내역0518_설계서-1_00-설계서,원가계산,내역서" xfId="2366" xr:uid="{00000000-0005-0000-0000-000024050000}"/>
    <cellStyle name="1_tree_총괄내역0518_수도권매립지" xfId="2367" xr:uid="{00000000-0005-0000-0000-000025050000}"/>
    <cellStyle name="1_tree_총괄내역0518_수도권매립지_00-설계서,원가계산,내역서" xfId="2368" xr:uid="{00000000-0005-0000-0000-000036050000}"/>
    <cellStyle name="1_tree_총괄내역0518_수도권매립지_설계서-1" xfId="2369" xr:uid="{00000000-0005-0000-0000-000037050000}"/>
    <cellStyle name="1_tree_총괄내역0518_수도권매립지_설계서-1_00-설계서,원가계산,내역서" xfId="2370" xr:uid="{00000000-0005-0000-0000-000038050000}"/>
    <cellStyle name="1_tree_총괄내역0518_수도권매립지_진해자은수량산출서(단지내)" xfId="2371" xr:uid="{00000000-0005-0000-0000-000039050000}"/>
    <cellStyle name="1_tree_총괄내역0518_수도권매립지_진해자은수량산출서(단지내)_00-설계서,원가계산,내역서" xfId="2372" xr:uid="{00000000-0005-0000-0000-00003A050000}"/>
    <cellStyle name="1_tree_총괄내역0518_수도권매립지_진해자은수량산출서(단지내)_기초산출표-56-128-최종" xfId="2373" xr:uid="{00000000-0005-0000-0000-00003B050000}"/>
    <cellStyle name="1_tree_총괄내역0518_수도권매립지_진해자은수량산출서(단지내)_기초산출표-56-128-최종_00-설계서,원가계산,내역서" xfId="2374" xr:uid="{00000000-0005-0000-0000-00003C050000}"/>
    <cellStyle name="1_tree_총괄내역0518_수도권매립지_진해자은수량산출서(단지내)_기초산출표-56-128-최종_설계서-1" xfId="2375" xr:uid="{00000000-0005-0000-0000-00003D050000}"/>
    <cellStyle name="1_tree_총괄내역0518_수도권매립지_진해자은수량산출서(단지내)_기초산출표-56-128-최종_설계서-1_00-설계서,원가계산,내역서" xfId="2376" xr:uid="{00000000-0005-0000-0000-00003E050000}"/>
    <cellStyle name="1_tree_총괄내역0518_수도권매립지_진해자은수량산출서(단지내)_설계서-1" xfId="2377" xr:uid="{00000000-0005-0000-0000-00003F050000}"/>
    <cellStyle name="1_tree_총괄내역0518_수도권매립지_진해자은수량산출서(단지내)_설계서-1_00-설계서,원가계산,내역서" xfId="2378" xr:uid="{00000000-0005-0000-0000-000040050000}"/>
    <cellStyle name="1_tree_총괄내역0518_수도권매립지_진해자은수량산출서(단지내)_취합" xfId="2379" xr:uid="{00000000-0005-0000-0000-000041050000}"/>
    <cellStyle name="1_tree_총괄내역0518_수도권매립지_진해자은수량산출서(단지내)_취합_00-설계서,원가계산,내역서" xfId="2380" xr:uid="{00000000-0005-0000-0000-000042050000}"/>
    <cellStyle name="1_tree_총괄내역0518_수도권매립지_진해자은수량산출서(단지내)_취합_설계서-1" xfId="2381" xr:uid="{00000000-0005-0000-0000-000043050000}"/>
    <cellStyle name="1_tree_총괄내역0518_수도권매립지_진해자은수량산출서(단지내)_취합_설계서-1_00-설계서,원가계산,내역서" xfId="2382" xr:uid="{00000000-0005-0000-0000-000044050000}"/>
    <cellStyle name="1_tree_총괄내역0518_수도권매립지1004(발주용)" xfId="2383" xr:uid="{00000000-0005-0000-0000-000026050000}"/>
    <cellStyle name="1_tree_총괄내역0518_수도권매립지1004(발주용)_00-설계서,원가계산,내역서" xfId="2384" xr:uid="{00000000-0005-0000-0000-000027050000}"/>
    <cellStyle name="1_tree_총괄내역0518_수도권매립지1004(발주용)_설계서-1" xfId="2385" xr:uid="{00000000-0005-0000-0000-000028050000}"/>
    <cellStyle name="1_tree_총괄내역0518_수도권매립지1004(발주용)_설계서-1_00-설계서,원가계산,내역서" xfId="2386" xr:uid="{00000000-0005-0000-0000-000029050000}"/>
    <cellStyle name="1_tree_총괄내역0518_수도권매립지1004(발주용)_진해자은수량산출서(단지내)" xfId="2387" xr:uid="{00000000-0005-0000-0000-00002A050000}"/>
    <cellStyle name="1_tree_총괄내역0518_수도권매립지1004(발주용)_진해자은수량산출서(단지내)_00-설계서,원가계산,내역서" xfId="2388" xr:uid="{00000000-0005-0000-0000-00002B050000}"/>
    <cellStyle name="1_tree_총괄내역0518_수도권매립지1004(발주용)_진해자은수량산출서(단지내)_기초산출표-56-128-최종" xfId="2389" xr:uid="{00000000-0005-0000-0000-00002C050000}"/>
    <cellStyle name="1_tree_총괄내역0518_수도권매립지1004(발주용)_진해자은수량산출서(단지내)_기초산출표-56-128-최종_00-설계서,원가계산,내역서" xfId="2390" xr:uid="{00000000-0005-0000-0000-00002D050000}"/>
    <cellStyle name="1_tree_총괄내역0518_수도권매립지1004(발주용)_진해자은수량산출서(단지내)_기초산출표-56-128-최종_설계서-1" xfId="2391" xr:uid="{00000000-0005-0000-0000-00002E050000}"/>
    <cellStyle name="1_tree_총괄내역0518_수도권매립지1004(발주용)_진해자은수량산출서(단지내)_기초산출표-56-128-최종_설계서-1_00-설계서,원가계산,내역서" xfId="2392" xr:uid="{00000000-0005-0000-0000-00002F050000}"/>
    <cellStyle name="1_tree_총괄내역0518_수도권매립지1004(발주용)_진해자은수량산출서(단지내)_설계서-1" xfId="2393" xr:uid="{00000000-0005-0000-0000-000030050000}"/>
    <cellStyle name="1_tree_총괄내역0518_수도권매립지1004(발주용)_진해자은수량산출서(단지내)_설계서-1_00-설계서,원가계산,내역서" xfId="2394" xr:uid="{00000000-0005-0000-0000-000031050000}"/>
    <cellStyle name="1_tree_총괄내역0518_수도권매립지1004(발주용)_진해자은수량산출서(단지내)_취합" xfId="2395" xr:uid="{00000000-0005-0000-0000-000032050000}"/>
    <cellStyle name="1_tree_총괄내역0518_수도권매립지1004(발주용)_진해자은수량산출서(단지내)_취합_00-설계서,원가계산,내역서" xfId="2396" xr:uid="{00000000-0005-0000-0000-000033050000}"/>
    <cellStyle name="1_tree_총괄내역0518_수도권매립지1004(발주용)_진해자은수량산출서(단지내)_취합_설계서-1" xfId="2397" xr:uid="{00000000-0005-0000-0000-000034050000}"/>
    <cellStyle name="1_tree_총괄내역0518_수도권매립지1004(발주용)_진해자은수량산출서(단지내)_취합_설계서-1_00-설계서,원가계산,내역서" xfId="2398" xr:uid="{00000000-0005-0000-0000-000035050000}"/>
    <cellStyle name="1_tree_총괄내역0518_일신건영설계예산서(0211)" xfId="2399" xr:uid="{00000000-0005-0000-0000-000045050000}"/>
    <cellStyle name="1_tree_총괄내역0518_일신건영설계예산서(0211)_00-설계서,원가계산,내역서" xfId="2400" xr:uid="{00000000-0005-0000-0000-000046050000}"/>
    <cellStyle name="1_tree_총괄내역0518_일신건영설계예산서(0211)_설계서-1" xfId="2401" xr:uid="{00000000-0005-0000-0000-000047050000}"/>
    <cellStyle name="1_tree_총괄내역0518_일신건영설계예산서(0211)_설계서-1_00-설계서,원가계산,내역서" xfId="2402" xr:uid="{00000000-0005-0000-0000-000048050000}"/>
    <cellStyle name="1_tree_총괄내역0518_일신건영설계예산서(0211)_진해자은수량산출서(단지내)" xfId="2403" xr:uid="{00000000-0005-0000-0000-000049050000}"/>
    <cellStyle name="1_tree_총괄내역0518_일신건영설계예산서(0211)_진해자은수량산출서(단지내)_00-설계서,원가계산,내역서" xfId="2404" xr:uid="{00000000-0005-0000-0000-00004A050000}"/>
    <cellStyle name="1_tree_총괄내역0518_일신건영설계예산서(0211)_진해자은수량산출서(단지내)_기초산출표-56-128-최종" xfId="2405" xr:uid="{00000000-0005-0000-0000-00004B050000}"/>
    <cellStyle name="1_tree_총괄내역0518_일신건영설계예산서(0211)_진해자은수량산출서(단지내)_기초산출표-56-128-최종_00-설계서,원가계산,내역서" xfId="2406" xr:uid="{00000000-0005-0000-0000-00004C050000}"/>
    <cellStyle name="1_tree_총괄내역0518_일신건영설계예산서(0211)_진해자은수량산출서(단지내)_기초산출표-56-128-최종_설계서-1" xfId="2407" xr:uid="{00000000-0005-0000-0000-00004D050000}"/>
    <cellStyle name="1_tree_총괄내역0518_일신건영설계예산서(0211)_진해자은수량산출서(단지내)_기초산출표-56-128-최종_설계서-1_00-설계서,원가계산,내역서" xfId="2408" xr:uid="{00000000-0005-0000-0000-00004E050000}"/>
    <cellStyle name="1_tree_총괄내역0518_일신건영설계예산서(0211)_진해자은수량산출서(단지내)_설계서-1" xfId="2409" xr:uid="{00000000-0005-0000-0000-00004F050000}"/>
    <cellStyle name="1_tree_총괄내역0518_일신건영설계예산서(0211)_진해자은수량산출서(단지내)_설계서-1_00-설계서,원가계산,내역서" xfId="2410" xr:uid="{00000000-0005-0000-0000-000050050000}"/>
    <cellStyle name="1_tree_총괄내역0518_일신건영설계예산서(0211)_진해자은수량산출서(단지내)_취합" xfId="2411" xr:uid="{00000000-0005-0000-0000-000051050000}"/>
    <cellStyle name="1_tree_총괄내역0518_일신건영설계예산서(0211)_진해자은수량산출서(단지내)_취합_00-설계서,원가계산,내역서" xfId="2412" xr:uid="{00000000-0005-0000-0000-000052050000}"/>
    <cellStyle name="1_tree_총괄내역0518_일신건영설계예산서(0211)_진해자은수량산출서(단지내)_취합_설계서-1" xfId="2413" xr:uid="{00000000-0005-0000-0000-000053050000}"/>
    <cellStyle name="1_tree_총괄내역0518_일신건영설계예산서(0211)_진해자은수량산출서(단지내)_취합_설계서-1_00-설계서,원가계산,내역서" xfId="2414" xr:uid="{00000000-0005-0000-0000-000054050000}"/>
    <cellStyle name="1_tree_총괄내역0518_일위대가" xfId="2415" xr:uid="{00000000-0005-0000-0000-000055050000}"/>
    <cellStyle name="1_tree_총괄내역0518_일위대가_00-설계서,원가계산,내역서" xfId="2416" xr:uid="{00000000-0005-0000-0000-000056050000}"/>
    <cellStyle name="1_tree_총괄내역0518_일위대가_설계서-1" xfId="2417" xr:uid="{00000000-0005-0000-0000-000057050000}"/>
    <cellStyle name="1_tree_총괄내역0518_일위대가_설계서-1_00-설계서,원가계산,내역서" xfId="2418" xr:uid="{00000000-0005-0000-0000-000058050000}"/>
    <cellStyle name="1_tree_총괄내역0518_일위대가_진해자은수량산출서(단지내)" xfId="2419" xr:uid="{00000000-0005-0000-0000-000059050000}"/>
    <cellStyle name="1_tree_총괄내역0518_일위대가_진해자은수량산출서(단지내)_00-설계서,원가계산,내역서" xfId="2420" xr:uid="{00000000-0005-0000-0000-00005A050000}"/>
    <cellStyle name="1_tree_총괄내역0518_일위대가_진해자은수량산출서(단지내)_기초산출표-56-128-최종" xfId="2421" xr:uid="{00000000-0005-0000-0000-00005B050000}"/>
    <cellStyle name="1_tree_총괄내역0518_일위대가_진해자은수량산출서(단지내)_기초산출표-56-128-최종_00-설계서,원가계산,내역서" xfId="2422" xr:uid="{00000000-0005-0000-0000-00005C050000}"/>
    <cellStyle name="1_tree_총괄내역0518_일위대가_진해자은수량산출서(단지내)_기초산출표-56-128-최종_설계서-1" xfId="2423" xr:uid="{00000000-0005-0000-0000-00005D050000}"/>
    <cellStyle name="1_tree_총괄내역0518_일위대가_진해자은수량산출서(단지내)_기초산출표-56-128-최종_설계서-1_00-설계서,원가계산,내역서" xfId="2424" xr:uid="{00000000-0005-0000-0000-00005E050000}"/>
    <cellStyle name="1_tree_총괄내역0518_일위대가_진해자은수량산출서(단지내)_설계서-1" xfId="2425" xr:uid="{00000000-0005-0000-0000-00005F050000}"/>
    <cellStyle name="1_tree_총괄내역0518_일위대가_진해자은수량산출서(단지내)_설계서-1_00-설계서,원가계산,내역서" xfId="2426" xr:uid="{00000000-0005-0000-0000-000060050000}"/>
    <cellStyle name="1_tree_총괄내역0518_일위대가_진해자은수량산출서(단지내)_취합" xfId="2427" xr:uid="{00000000-0005-0000-0000-000061050000}"/>
    <cellStyle name="1_tree_총괄내역0518_일위대가_진해자은수량산출서(단지내)_취합_00-설계서,원가계산,내역서" xfId="2428" xr:uid="{00000000-0005-0000-0000-000062050000}"/>
    <cellStyle name="1_tree_총괄내역0518_일위대가_진해자은수량산출서(단지내)_취합_설계서-1" xfId="2429" xr:uid="{00000000-0005-0000-0000-000063050000}"/>
    <cellStyle name="1_tree_총괄내역0518_일위대가_진해자은수량산출서(단지내)_취합_설계서-1_00-설계서,원가계산,내역서" xfId="2430" xr:uid="{00000000-0005-0000-0000-000064050000}"/>
    <cellStyle name="1_tree_총괄내역0518_자재단가표" xfId="2431" xr:uid="{00000000-0005-0000-0000-000065050000}"/>
    <cellStyle name="1_tree_총괄내역0518_자재단가표_00-설계서,원가계산,내역서" xfId="2432" xr:uid="{00000000-0005-0000-0000-000066050000}"/>
    <cellStyle name="1_tree_총괄내역0518_자재단가표_설계서-1" xfId="2433" xr:uid="{00000000-0005-0000-0000-000067050000}"/>
    <cellStyle name="1_tree_총괄내역0518_자재단가표_설계서-1_00-설계서,원가계산,내역서" xfId="2434" xr:uid="{00000000-0005-0000-0000-000068050000}"/>
    <cellStyle name="1_tree_총괄내역0518_자재단가표_진해자은수량산출서(단지내)" xfId="2435" xr:uid="{00000000-0005-0000-0000-000069050000}"/>
    <cellStyle name="1_tree_총괄내역0518_자재단가표_진해자은수량산출서(단지내)_00-설계서,원가계산,내역서" xfId="2436" xr:uid="{00000000-0005-0000-0000-00006A050000}"/>
    <cellStyle name="1_tree_총괄내역0518_자재단가표_진해자은수량산출서(단지내)_기초산출표-56-128-최종" xfId="2437" xr:uid="{00000000-0005-0000-0000-00006B050000}"/>
    <cellStyle name="1_tree_총괄내역0518_자재단가표_진해자은수량산출서(단지내)_기초산출표-56-128-최종_00-설계서,원가계산,내역서" xfId="2438" xr:uid="{00000000-0005-0000-0000-00006C050000}"/>
    <cellStyle name="1_tree_총괄내역0518_자재단가표_진해자은수량산출서(단지내)_기초산출표-56-128-최종_설계서-1" xfId="2439" xr:uid="{00000000-0005-0000-0000-00006D050000}"/>
    <cellStyle name="1_tree_총괄내역0518_자재단가표_진해자은수량산출서(단지내)_기초산출표-56-128-최종_설계서-1_00-설계서,원가계산,내역서" xfId="2440" xr:uid="{00000000-0005-0000-0000-00006E050000}"/>
    <cellStyle name="1_tree_총괄내역0518_자재단가표_진해자은수량산출서(단지내)_설계서-1" xfId="2441" xr:uid="{00000000-0005-0000-0000-00006F050000}"/>
    <cellStyle name="1_tree_총괄내역0518_자재단가표_진해자은수량산출서(단지내)_설계서-1_00-설계서,원가계산,내역서" xfId="2442" xr:uid="{00000000-0005-0000-0000-000070050000}"/>
    <cellStyle name="1_tree_총괄내역0518_자재단가표_진해자은수량산출서(단지내)_취합" xfId="2443" xr:uid="{00000000-0005-0000-0000-000071050000}"/>
    <cellStyle name="1_tree_총괄내역0518_자재단가표_진해자은수량산출서(단지내)_취합_00-설계서,원가계산,내역서" xfId="2444" xr:uid="{00000000-0005-0000-0000-000072050000}"/>
    <cellStyle name="1_tree_총괄내역0518_자재단가표_진해자은수량산출서(단지내)_취합_설계서-1" xfId="2445" xr:uid="{00000000-0005-0000-0000-000073050000}"/>
    <cellStyle name="1_tree_총괄내역0518_자재단가표_진해자은수량산출서(단지내)_취합_설계서-1_00-설계서,원가계산,내역서" xfId="2446" xr:uid="{00000000-0005-0000-0000-000074050000}"/>
    <cellStyle name="1_tree_총괄내역0518_장안초등학교내역0814" xfId="2447" xr:uid="{00000000-0005-0000-0000-000075050000}"/>
    <cellStyle name="1_tree_총괄내역0518_장안초등학교내역0814_00-설계서,원가계산,내역서" xfId="2448" xr:uid="{00000000-0005-0000-0000-000076050000}"/>
    <cellStyle name="1_tree_총괄내역0518_장안초등학교내역0814_설계서-1" xfId="2449" xr:uid="{00000000-0005-0000-0000-000077050000}"/>
    <cellStyle name="1_tree_총괄내역0518_장안초등학교내역0814_설계서-1_00-설계서,원가계산,내역서" xfId="2450" xr:uid="{00000000-0005-0000-0000-000078050000}"/>
    <cellStyle name="1_tree_총괄내역0518_장안초등학교내역0814_진해자은수량산출서(단지내)" xfId="2451" xr:uid="{00000000-0005-0000-0000-000079050000}"/>
    <cellStyle name="1_tree_총괄내역0518_장안초등학교내역0814_진해자은수량산출서(단지내)_00-설계서,원가계산,내역서" xfId="2452" xr:uid="{00000000-0005-0000-0000-00007A050000}"/>
    <cellStyle name="1_tree_총괄내역0518_장안초등학교내역0814_진해자은수량산출서(단지내)_기초산출표-56-128-최종" xfId="2453" xr:uid="{00000000-0005-0000-0000-00007B050000}"/>
    <cellStyle name="1_tree_총괄내역0518_장안초등학교내역0814_진해자은수량산출서(단지내)_기초산출표-56-128-최종_00-설계서,원가계산,내역서" xfId="2454" xr:uid="{00000000-0005-0000-0000-00007C050000}"/>
    <cellStyle name="1_tree_총괄내역0518_장안초등학교내역0814_진해자은수량산출서(단지내)_기초산출표-56-128-최종_설계서-1" xfId="2455" xr:uid="{00000000-0005-0000-0000-00007D050000}"/>
    <cellStyle name="1_tree_총괄내역0518_장안초등학교내역0814_진해자은수량산출서(단지내)_기초산출표-56-128-최종_설계서-1_00-설계서,원가계산,내역서" xfId="2456" xr:uid="{00000000-0005-0000-0000-00007E050000}"/>
    <cellStyle name="1_tree_총괄내역0518_장안초등학교내역0814_진해자은수량산출서(단지내)_설계서-1" xfId="2457" xr:uid="{00000000-0005-0000-0000-00007F050000}"/>
    <cellStyle name="1_tree_총괄내역0518_장안초등학교내역0814_진해자은수량산출서(단지내)_설계서-1_00-설계서,원가계산,내역서" xfId="2458" xr:uid="{00000000-0005-0000-0000-000080050000}"/>
    <cellStyle name="1_tree_총괄내역0518_장안초등학교내역0814_진해자은수량산출서(단지내)_취합" xfId="2459" xr:uid="{00000000-0005-0000-0000-000081050000}"/>
    <cellStyle name="1_tree_총괄내역0518_장안초등학교내역0814_진해자은수량산출서(단지내)_취합_00-설계서,원가계산,내역서" xfId="2460" xr:uid="{00000000-0005-0000-0000-000082050000}"/>
    <cellStyle name="1_tree_총괄내역0518_장안초등학교내역0814_진해자은수량산출서(단지내)_취합_설계서-1" xfId="2461" xr:uid="{00000000-0005-0000-0000-000083050000}"/>
    <cellStyle name="1_tree_총괄내역0518_장안초등학교내역0814_진해자은수량산출서(단지내)_취합_설계서-1_00-설계서,원가계산,내역서" xfId="2462" xr:uid="{00000000-0005-0000-0000-000084050000}"/>
    <cellStyle name="1_tree_총괄내역0518_진해자은수량산출서(단지내)" xfId="2463" xr:uid="{00000000-0005-0000-0000-000085050000}"/>
    <cellStyle name="1_tree_총괄내역0518_진해자은수량산출서(단지내)_00-설계서,원가계산,내역서" xfId="2464" xr:uid="{00000000-0005-0000-0000-000086050000}"/>
    <cellStyle name="1_tree_총괄내역0518_진해자은수량산출서(단지내)_기초산출표-56-128-최종" xfId="2465" xr:uid="{00000000-0005-0000-0000-000087050000}"/>
    <cellStyle name="1_tree_총괄내역0518_진해자은수량산출서(단지내)_기초산출표-56-128-최종_00-설계서,원가계산,내역서" xfId="2466" xr:uid="{00000000-0005-0000-0000-000088050000}"/>
    <cellStyle name="1_tree_총괄내역0518_진해자은수량산출서(단지내)_기초산출표-56-128-최종_설계서-1" xfId="2467" xr:uid="{00000000-0005-0000-0000-000089050000}"/>
    <cellStyle name="1_tree_총괄내역0518_진해자은수량산출서(단지내)_기초산출표-56-128-최종_설계서-1_00-설계서,원가계산,내역서" xfId="2468" xr:uid="{00000000-0005-0000-0000-00008A050000}"/>
    <cellStyle name="1_tree_총괄내역0518_진해자은수량산출서(단지내)_설계서-1" xfId="2469" xr:uid="{00000000-0005-0000-0000-00008B050000}"/>
    <cellStyle name="1_tree_총괄내역0518_진해자은수량산출서(단지내)_설계서-1_00-설계서,원가계산,내역서" xfId="2470" xr:uid="{00000000-0005-0000-0000-00008C050000}"/>
    <cellStyle name="1_tree_총괄내역0518_진해자은수량산출서(단지내)_취합" xfId="2471" xr:uid="{00000000-0005-0000-0000-00008D050000}"/>
    <cellStyle name="1_tree_총괄내역0518_진해자은수량산출서(단지내)_취합_00-설계서,원가계산,내역서" xfId="2472" xr:uid="{00000000-0005-0000-0000-00008E050000}"/>
    <cellStyle name="1_tree_총괄내역0518_진해자은수량산출서(단지내)_취합_설계서-1" xfId="2473" xr:uid="{00000000-0005-0000-0000-00008F050000}"/>
    <cellStyle name="1_tree_총괄내역0518_진해자은수량산출서(단지내)_취합_설계서-1_00-설계서,원가계산,내역서" xfId="2474" xr:uid="{00000000-0005-0000-0000-000090050000}"/>
    <cellStyle name="1_tree_현충묘지-예산서(조경)" xfId="2475" xr:uid="{00000000-0005-0000-0000-000091050000}"/>
    <cellStyle name="1_tree_현충묘지-예산서(조경)_00-설계서,원가계산,내역서" xfId="2476" xr:uid="{00000000-0005-0000-0000-000092050000}"/>
    <cellStyle name="1_tree_현충묘지-예산서(조경)_목동내역" xfId="2477" xr:uid="{00000000-0005-0000-0000-000093050000}"/>
    <cellStyle name="1_tree_현충묘지-예산서(조경)_목동내역_00-설계서,원가계산,내역서" xfId="2478" xr:uid="{00000000-0005-0000-0000-000094050000}"/>
    <cellStyle name="1_tree_현충묘지-예산서(조경)_목동내역_폐기물집계" xfId="2479" xr:uid="{00000000-0005-0000-0000-000095050000}"/>
    <cellStyle name="1_tree_현충묘지-예산서(조경)_목동내역_폐기물집계_00-설계서,원가계산,내역서" xfId="2480" xr:uid="{00000000-0005-0000-0000-000096050000}"/>
    <cellStyle name="1_tree_현충묘지-예산서(조경)_예산서-엑셀변환양식100" xfId="2481" xr:uid="{00000000-0005-0000-0000-000097050000}"/>
    <cellStyle name="1_tree_현충묘지-예산서(조경)_예산서-엑셀변환양식100_00-설계서,원가계산,내역서" xfId="2482" xr:uid="{00000000-0005-0000-0000-000098050000}"/>
    <cellStyle name="1_tree_현충묘지-예산서(조경)_예산서-엑셀변환양식100_목동내역" xfId="2483" xr:uid="{00000000-0005-0000-0000-000099050000}"/>
    <cellStyle name="1_tree_현충묘지-예산서(조경)_예산서-엑셀변환양식100_목동내역_00-설계서,원가계산,내역서" xfId="2484" xr:uid="{00000000-0005-0000-0000-00009A050000}"/>
    <cellStyle name="1_tree_현충묘지-예산서(조경)_예산서-엑셀변환양식100_목동내역_폐기물집계" xfId="2485" xr:uid="{00000000-0005-0000-0000-00009B050000}"/>
    <cellStyle name="1_tree_현충묘지-예산서(조경)_예산서-엑셀변환양식100_목동내역_폐기물집계_00-설계서,원가계산,내역서" xfId="2486" xr:uid="{00000000-0005-0000-0000-00009C050000}"/>
    <cellStyle name="11" xfId="2604" xr:uid="{00000000-0005-0000-0000-000042000000}"/>
    <cellStyle name="111" xfId="2605" xr:uid="{00000000-0005-0000-0000-000043000000}"/>
    <cellStyle name="2" xfId="2606" xr:uid="{00000000-0005-0000-0000-000012060000}"/>
    <cellStyle name="2_단가조사표" xfId="2610" xr:uid="{00000000-0005-0000-0000-000017060000}"/>
    <cellStyle name="2_단가조사표_1011소각" xfId="2611" xr:uid="{00000000-0005-0000-0000-000018060000}"/>
    <cellStyle name="2_단가조사표_1113교~1" xfId="2612" xr:uid="{00000000-0005-0000-0000-000019060000}"/>
    <cellStyle name="2_단가조사표_121내역" xfId="2613" xr:uid="{00000000-0005-0000-0000-00001A060000}"/>
    <cellStyle name="2_단가조사표_객토량" xfId="2614" xr:uid="{00000000-0005-0000-0000-00001B060000}"/>
    <cellStyle name="2_단가조사표_교통센~1" xfId="2615" xr:uid="{00000000-0005-0000-0000-00001C060000}"/>
    <cellStyle name="2_단가조사표_교통센터412" xfId="2616" xr:uid="{00000000-0005-0000-0000-00001D060000}"/>
    <cellStyle name="2_단가조사표_교통수" xfId="2617" xr:uid="{00000000-0005-0000-0000-00001E060000}"/>
    <cellStyle name="2_단가조사표_교통수량산출서" xfId="2618" xr:uid="{00000000-0005-0000-0000-00001F060000}"/>
    <cellStyle name="2_단가조사표_구조물대가 (2)" xfId="2619" xr:uid="{00000000-0005-0000-0000-000020060000}"/>
    <cellStyle name="2_단가조사표_내역서 (2)" xfId="2620" xr:uid="{00000000-0005-0000-0000-000021060000}"/>
    <cellStyle name="2_단가조사표_대전관저지구" xfId="2621" xr:uid="{00000000-0005-0000-0000-000022060000}"/>
    <cellStyle name="2_단가조사표_동측지~1" xfId="2622" xr:uid="{00000000-0005-0000-0000-000023060000}"/>
    <cellStyle name="2_단가조사표_동측지원422" xfId="2623" xr:uid="{00000000-0005-0000-0000-000024060000}"/>
    <cellStyle name="2_단가조사표_동측지원512" xfId="2624" xr:uid="{00000000-0005-0000-0000-000025060000}"/>
    <cellStyle name="2_단가조사표_동측지원524" xfId="2625" xr:uid="{00000000-0005-0000-0000-000026060000}"/>
    <cellStyle name="2_단가조사표_부대422" xfId="2626" xr:uid="{00000000-0005-0000-0000-000027060000}"/>
    <cellStyle name="2_단가조사표_부대시설" xfId="2627" xr:uid="{00000000-0005-0000-0000-000028060000}"/>
    <cellStyle name="2_단가조사표_소각수~1" xfId="2628" xr:uid="{00000000-0005-0000-0000-000029060000}"/>
    <cellStyle name="2_단가조사표_소각수내역서" xfId="2629" xr:uid="{00000000-0005-0000-0000-00002A060000}"/>
    <cellStyle name="2_단가조사표_소각수목2" xfId="2630" xr:uid="{00000000-0005-0000-0000-00002B060000}"/>
    <cellStyle name="2_단가조사표_수량산출서 (2)" xfId="2631" xr:uid="{00000000-0005-0000-0000-00002C060000}"/>
    <cellStyle name="2_단가조사표_엑스포~1" xfId="2632" xr:uid="{00000000-0005-0000-0000-00002D060000}"/>
    <cellStyle name="2_단가조사표_엑스포한빛1" xfId="2633" xr:uid="{00000000-0005-0000-0000-00002E060000}"/>
    <cellStyle name="2_단가조사표_여객터미널331" xfId="2634" xr:uid="{00000000-0005-0000-0000-00002F060000}"/>
    <cellStyle name="2_단가조사표_여객터미널513" xfId="2635" xr:uid="{00000000-0005-0000-0000-000030060000}"/>
    <cellStyle name="2_단가조사표_여객터미널629" xfId="2636" xr:uid="{00000000-0005-0000-0000-000031060000}"/>
    <cellStyle name="2_단가조사표_외곽도로616" xfId="2637" xr:uid="{00000000-0005-0000-0000-000032060000}"/>
    <cellStyle name="2_단가조사표_원가계~1" xfId="2638" xr:uid="{00000000-0005-0000-0000-000033060000}"/>
    <cellStyle name="2_단가조사표_유기질" xfId="2639" xr:uid="{00000000-0005-0000-0000-000034060000}"/>
    <cellStyle name="2_단가조사표_자재조서 (2)" xfId="2640" xr:uid="{00000000-0005-0000-0000-000035060000}"/>
    <cellStyle name="2_단가조사표_총괄내역" xfId="2641" xr:uid="{00000000-0005-0000-0000-000036060000}"/>
    <cellStyle name="2_단가조사표_총괄내역 (2)" xfId="2642" xr:uid="{00000000-0005-0000-0000-000037060000}"/>
    <cellStyle name="2_단가조사표_터미널도로403" xfId="2643" xr:uid="{00000000-0005-0000-0000-000038060000}"/>
    <cellStyle name="2_단가조사표_터미널도로429" xfId="2644" xr:uid="{00000000-0005-0000-0000-000039060000}"/>
    <cellStyle name="2_단가조사표_포장일위" xfId="2645" xr:uid="{00000000-0005-0000-0000-00003A060000}"/>
    <cellStyle name="2_laroux" xfId="2608" xr:uid="{00000000-0005-0000-0000-000015060000}"/>
    <cellStyle name="2_laroux_ATC-YOON1" xfId="2609" xr:uid="{00000000-0005-0000-0000-000016060000}"/>
    <cellStyle name="2)" xfId="2607" xr:uid="{00000000-0005-0000-0000-000013060000}"/>
    <cellStyle name="20% - 강조색1 2" xfId="8" xr:uid="{00000000-0005-0000-0000-000014060000}"/>
    <cellStyle name="2자리" xfId="2646" xr:uid="{00000000-0005-0000-0000-00003B060000}"/>
    <cellStyle name="가운데" xfId="2760" xr:uid="{00000000-0005-0000-0000-0000F40A0000}"/>
    <cellStyle name="고정소숫점" xfId="2761" xr:uid="{00000000-0005-0000-0000-0000F50A0000}"/>
    <cellStyle name="고정출력1" xfId="2762" xr:uid="{00000000-0005-0000-0000-0000F60A0000}"/>
    <cellStyle name="고정출력2" xfId="2763" xr:uid="{00000000-0005-0000-0000-0000F70A0000}"/>
    <cellStyle name="공사원가계산서(조경)" xfId="2764" xr:uid="{00000000-0005-0000-0000-0000F80A0000}"/>
    <cellStyle name="공종" xfId="2765" xr:uid="{00000000-0005-0000-0000-0000F90A0000}"/>
    <cellStyle name="괘선" xfId="2766" xr:uid="{00000000-0005-0000-0000-0000FA0A0000}"/>
    <cellStyle name="괘선1" xfId="2767" xr:uid="{00000000-0005-0000-0000-0000FB0A0000}"/>
    <cellStyle name="기계" xfId="2768" xr:uid="{00000000-0005-0000-0000-0000FC0A0000}"/>
    <cellStyle name="기본숫자" xfId="2769" xr:uid="{00000000-0005-0000-0000-0000FD0A0000}"/>
    <cellStyle name="날짜" xfId="2770" xr:uid="{00000000-0005-0000-0000-0000FE0A0000}"/>
    <cellStyle name="내역서" xfId="2771" xr:uid="{00000000-0005-0000-0000-0000FF0A0000}"/>
    <cellStyle name="네모제목" xfId="2772" xr:uid="{00000000-0005-0000-0000-0000000B0000}"/>
    <cellStyle name="달러" xfId="2773" xr:uid="{00000000-0005-0000-0000-0000010B0000}"/>
    <cellStyle name="뒤에 오는 하이퍼링크" xfId="2774" xr:uid="{00000000-0005-0000-0000-0000020B0000}"/>
    <cellStyle name="똿뗦먛귟 [0.00]_laroux" xfId="2775" xr:uid="{00000000-0005-0000-0000-0000030B0000}"/>
    <cellStyle name="똿뗦먛귟_laroux" xfId="2776" xr:uid="{00000000-0005-0000-0000-0000040B0000}"/>
    <cellStyle name="마이너스키" xfId="2777" xr:uid="{00000000-0005-0000-0000-0000050B0000}"/>
    <cellStyle name="믅됞 [0.00]_laroux" xfId="2778" xr:uid="{00000000-0005-0000-0000-0000060B0000}"/>
    <cellStyle name="믅됞_laroux" xfId="2779" xr:uid="{00000000-0005-0000-0000-0000070B0000}"/>
    <cellStyle name="배분" xfId="2780" xr:uid="{00000000-0005-0000-0000-0000080B0000}"/>
    <cellStyle name="백" xfId="2781" xr:uid="{00000000-0005-0000-0000-0000090B0000}"/>
    <cellStyle name="백_22수량산출서(총괄)" xfId="2783" xr:uid="{00000000-0005-0000-0000-00000B0B0000}"/>
    <cellStyle name="백_22bl3lot수량산출" xfId="2782" xr:uid="{00000000-0005-0000-0000-00000A0B0000}"/>
    <cellStyle name="백분율 [△1]" xfId="2784" xr:uid="{00000000-0005-0000-0000-00000E0B0000}"/>
    <cellStyle name="백분율 [△2]" xfId="2785" xr:uid="{00000000-0005-0000-0000-00000F0B0000}"/>
    <cellStyle name="백분율 [0]" xfId="2786" xr:uid="{00000000-0005-0000-0000-00000C0B0000}"/>
    <cellStyle name="백분율 [2]" xfId="2787" xr:uid="{00000000-0005-0000-0000-00000D0B0000}"/>
    <cellStyle name="백분율［△1］" xfId="2788" xr:uid="{00000000-0005-0000-0000-0000100B0000}"/>
    <cellStyle name="백분율［△2］" xfId="2789" xr:uid="{00000000-0005-0000-0000-0000110B0000}"/>
    <cellStyle name="병합 후 가운데 맞춤" xfId="2790" xr:uid="{00000000-0005-0000-0000-0000120B0000}"/>
    <cellStyle name="병합 후 가운데 정열" xfId="2791" xr:uid="{00000000-0005-0000-0000-0000130B0000}"/>
    <cellStyle name="분수" xfId="2792" xr:uid="{00000000-0005-0000-0000-0000140B0000}"/>
    <cellStyle name="뷭?" xfId="2793" xr:uid="{00000000-0005-0000-0000-0000150B0000}"/>
    <cellStyle name="빨간색" xfId="2794" xr:uid="{00000000-0005-0000-0000-0000160B0000}"/>
    <cellStyle name="선택영역의 가운데로" xfId="2795" xr:uid="{00000000-0005-0000-0000-0000170B0000}"/>
    <cellStyle name="설계서" xfId="2796" xr:uid="{00000000-0005-0000-0000-0000180B0000}"/>
    <cellStyle name="수량1" xfId="2797" xr:uid="{00000000-0005-0000-0000-0000190B0000}"/>
    <cellStyle name="수목명" xfId="2798" xr:uid="{00000000-0005-0000-0000-00001A0B0000}"/>
    <cellStyle name="숫자(R)" xfId="2799" xr:uid="{00000000-0005-0000-0000-00001B0B0000}"/>
    <cellStyle name="쉼표 [0] 2" xfId="7" xr:uid="{00000000-0005-0000-0000-00001C0B0000}"/>
    <cellStyle name="쉼표 [0] 2 2" xfId="2800" xr:uid="{00000000-0005-0000-0000-00001D0B0000}"/>
    <cellStyle name="쉼표 [0] 2 3" xfId="2801" xr:uid="{00000000-0005-0000-0000-00001E0B0000}"/>
    <cellStyle name="쉼표 [0] 3" xfId="2802" xr:uid="{00000000-0005-0000-0000-00001F0B0000}"/>
    <cellStyle name="쉼표 [0] 3 2" xfId="2803" xr:uid="{00000000-0005-0000-0000-0000200B0000}"/>
    <cellStyle name="쉼표 [0] 3 3" xfId="2804" xr:uid="{00000000-0005-0000-0000-0000210B0000}"/>
    <cellStyle name="쉼표 [0] 4" xfId="2805" xr:uid="{00000000-0005-0000-0000-0000220B0000}"/>
    <cellStyle name="쉼표 [0] 5" xfId="4" xr:uid="{00000000-0005-0000-0000-0000230B0000}"/>
    <cellStyle name="스타일 1" xfId="2806" xr:uid="{00000000-0005-0000-0000-0000240B0000}"/>
    <cellStyle name="스타일 1 2" xfId="2807" xr:uid="{00000000-0005-0000-0000-0000250B0000}"/>
    <cellStyle name="스타일 10" xfId="2808" xr:uid="{00000000-0005-0000-0000-0000260B0000}"/>
    <cellStyle name="스타일 100" xfId="2809" xr:uid="{00000000-0005-0000-0000-0000270B0000}"/>
    <cellStyle name="스타일 101" xfId="2810" xr:uid="{00000000-0005-0000-0000-0000280B0000}"/>
    <cellStyle name="스타일 102" xfId="2811" xr:uid="{00000000-0005-0000-0000-0000290B0000}"/>
    <cellStyle name="스타일 103" xfId="2812" xr:uid="{00000000-0005-0000-0000-00002A0B0000}"/>
    <cellStyle name="스타일 104" xfId="2813" xr:uid="{00000000-0005-0000-0000-00002B0B0000}"/>
    <cellStyle name="스타일 105" xfId="2814" xr:uid="{00000000-0005-0000-0000-00002C0B0000}"/>
    <cellStyle name="스타일 106" xfId="2815" xr:uid="{00000000-0005-0000-0000-00002D0B0000}"/>
    <cellStyle name="스타일 107" xfId="2816" xr:uid="{00000000-0005-0000-0000-00002E0B0000}"/>
    <cellStyle name="스타일 108" xfId="2817" xr:uid="{00000000-0005-0000-0000-00002F0B0000}"/>
    <cellStyle name="스타일 109" xfId="2818" xr:uid="{00000000-0005-0000-0000-0000300B0000}"/>
    <cellStyle name="스타일 11" xfId="2819" xr:uid="{00000000-0005-0000-0000-0000310B0000}"/>
    <cellStyle name="스타일 110" xfId="2820" xr:uid="{00000000-0005-0000-0000-0000320B0000}"/>
    <cellStyle name="스타일 111" xfId="2821" xr:uid="{00000000-0005-0000-0000-0000330B0000}"/>
    <cellStyle name="스타일 112" xfId="2822" xr:uid="{00000000-0005-0000-0000-0000340B0000}"/>
    <cellStyle name="스타일 113" xfId="2823" xr:uid="{00000000-0005-0000-0000-0000350B0000}"/>
    <cellStyle name="스타일 114" xfId="2824" xr:uid="{00000000-0005-0000-0000-0000360B0000}"/>
    <cellStyle name="스타일 115" xfId="2825" xr:uid="{00000000-0005-0000-0000-0000370B0000}"/>
    <cellStyle name="스타일 116" xfId="2826" xr:uid="{00000000-0005-0000-0000-0000380B0000}"/>
    <cellStyle name="스타일 117" xfId="2827" xr:uid="{00000000-0005-0000-0000-0000390B0000}"/>
    <cellStyle name="스타일 118" xfId="2828" xr:uid="{00000000-0005-0000-0000-00003A0B0000}"/>
    <cellStyle name="스타일 119" xfId="2829" xr:uid="{00000000-0005-0000-0000-00003B0B0000}"/>
    <cellStyle name="스타일 12" xfId="2830" xr:uid="{00000000-0005-0000-0000-00003C0B0000}"/>
    <cellStyle name="스타일 120" xfId="2831" xr:uid="{00000000-0005-0000-0000-00003D0B0000}"/>
    <cellStyle name="스타일 121" xfId="2832" xr:uid="{00000000-0005-0000-0000-00003E0B0000}"/>
    <cellStyle name="스타일 122" xfId="2833" xr:uid="{00000000-0005-0000-0000-00003F0B0000}"/>
    <cellStyle name="스타일 123" xfId="2834" xr:uid="{00000000-0005-0000-0000-0000400B0000}"/>
    <cellStyle name="스타일 124" xfId="2835" xr:uid="{00000000-0005-0000-0000-0000410B0000}"/>
    <cellStyle name="스타일 125" xfId="2836" xr:uid="{00000000-0005-0000-0000-0000420B0000}"/>
    <cellStyle name="스타일 126" xfId="2837" xr:uid="{00000000-0005-0000-0000-0000430B0000}"/>
    <cellStyle name="스타일 127" xfId="2838" xr:uid="{00000000-0005-0000-0000-0000440B0000}"/>
    <cellStyle name="스타일 128" xfId="2839" xr:uid="{00000000-0005-0000-0000-0000450B0000}"/>
    <cellStyle name="스타일 129" xfId="2840" xr:uid="{00000000-0005-0000-0000-0000460B0000}"/>
    <cellStyle name="스타일 13" xfId="2841" xr:uid="{00000000-0005-0000-0000-0000470B0000}"/>
    <cellStyle name="스타일 130" xfId="2842" xr:uid="{00000000-0005-0000-0000-0000480B0000}"/>
    <cellStyle name="스타일 131" xfId="2843" xr:uid="{00000000-0005-0000-0000-0000490B0000}"/>
    <cellStyle name="스타일 132" xfId="2844" xr:uid="{00000000-0005-0000-0000-00004A0B0000}"/>
    <cellStyle name="스타일 133" xfId="2845" xr:uid="{00000000-0005-0000-0000-00004B0B0000}"/>
    <cellStyle name="스타일 134" xfId="2846" xr:uid="{00000000-0005-0000-0000-00004C0B0000}"/>
    <cellStyle name="스타일 135" xfId="2847" xr:uid="{00000000-0005-0000-0000-00004D0B0000}"/>
    <cellStyle name="스타일 136" xfId="2848" xr:uid="{00000000-0005-0000-0000-00004E0B0000}"/>
    <cellStyle name="스타일 137" xfId="2849" xr:uid="{00000000-0005-0000-0000-00004F0B0000}"/>
    <cellStyle name="스타일 138" xfId="2850" xr:uid="{00000000-0005-0000-0000-0000500B0000}"/>
    <cellStyle name="스타일 139" xfId="2851" xr:uid="{00000000-0005-0000-0000-0000510B0000}"/>
    <cellStyle name="스타일 14" xfId="2852" xr:uid="{00000000-0005-0000-0000-0000520B0000}"/>
    <cellStyle name="스타일 140" xfId="2853" xr:uid="{00000000-0005-0000-0000-0000530B0000}"/>
    <cellStyle name="스타일 141" xfId="2854" xr:uid="{00000000-0005-0000-0000-0000540B0000}"/>
    <cellStyle name="스타일 142" xfId="2855" xr:uid="{00000000-0005-0000-0000-0000550B0000}"/>
    <cellStyle name="스타일 143" xfId="2856" xr:uid="{00000000-0005-0000-0000-0000560B0000}"/>
    <cellStyle name="스타일 144" xfId="2857" xr:uid="{00000000-0005-0000-0000-0000570B0000}"/>
    <cellStyle name="스타일 145" xfId="2858" xr:uid="{00000000-0005-0000-0000-0000580B0000}"/>
    <cellStyle name="스타일 146" xfId="2859" xr:uid="{00000000-0005-0000-0000-0000590B0000}"/>
    <cellStyle name="스타일 147" xfId="2860" xr:uid="{00000000-0005-0000-0000-00005A0B0000}"/>
    <cellStyle name="스타일 148" xfId="2861" xr:uid="{00000000-0005-0000-0000-00005B0B0000}"/>
    <cellStyle name="스타일 149" xfId="2862" xr:uid="{00000000-0005-0000-0000-00005C0B0000}"/>
    <cellStyle name="스타일 15" xfId="2863" xr:uid="{00000000-0005-0000-0000-00005D0B0000}"/>
    <cellStyle name="스타일 150" xfId="2864" xr:uid="{00000000-0005-0000-0000-00005E0B0000}"/>
    <cellStyle name="스타일 151" xfId="2865" xr:uid="{00000000-0005-0000-0000-00005F0B0000}"/>
    <cellStyle name="스타일 152" xfId="2866" xr:uid="{00000000-0005-0000-0000-0000600B0000}"/>
    <cellStyle name="스타일 153" xfId="2867" xr:uid="{00000000-0005-0000-0000-0000610B0000}"/>
    <cellStyle name="스타일 154" xfId="2868" xr:uid="{00000000-0005-0000-0000-0000620B0000}"/>
    <cellStyle name="스타일 155" xfId="2869" xr:uid="{00000000-0005-0000-0000-0000630B0000}"/>
    <cellStyle name="스타일 156" xfId="2870" xr:uid="{00000000-0005-0000-0000-0000640B0000}"/>
    <cellStyle name="스타일 157" xfId="2871" xr:uid="{00000000-0005-0000-0000-0000650B0000}"/>
    <cellStyle name="스타일 158" xfId="2872" xr:uid="{00000000-0005-0000-0000-0000660B0000}"/>
    <cellStyle name="스타일 159" xfId="2873" xr:uid="{00000000-0005-0000-0000-0000670B0000}"/>
    <cellStyle name="스타일 16" xfId="2874" xr:uid="{00000000-0005-0000-0000-0000680B0000}"/>
    <cellStyle name="스타일 160" xfId="2875" xr:uid="{00000000-0005-0000-0000-0000690B0000}"/>
    <cellStyle name="스타일 161" xfId="2876" xr:uid="{00000000-0005-0000-0000-00006A0B0000}"/>
    <cellStyle name="스타일 162" xfId="2877" xr:uid="{00000000-0005-0000-0000-00006B0B0000}"/>
    <cellStyle name="스타일 163" xfId="2878" xr:uid="{00000000-0005-0000-0000-00006C0B0000}"/>
    <cellStyle name="스타일 164" xfId="2879" xr:uid="{00000000-0005-0000-0000-00006D0B0000}"/>
    <cellStyle name="스타일 165" xfId="2880" xr:uid="{00000000-0005-0000-0000-00006E0B0000}"/>
    <cellStyle name="스타일 166" xfId="2881" xr:uid="{00000000-0005-0000-0000-00006F0B0000}"/>
    <cellStyle name="스타일 167" xfId="2882" xr:uid="{00000000-0005-0000-0000-0000700B0000}"/>
    <cellStyle name="스타일 168" xfId="2883" xr:uid="{00000000-0005-0000-0000-0000710B0000}"/>
    <cellStyle name="스타일 169" xfId="2884" xr:uid="{00000000-0005-0000-0000-0000720B0000}"/>
    <cellStyle name="스타일 17" xfId="2885" xr:uid="{00000000-0005-0000-0000-0000730B0000}"/>
    <cellStyle name="스타일 170" xfId="2886" xr:uid="{00000000-0005-0000-0000-0000740B0000}"/>
    <cellStyle name="스타일 171" xfId="2887" xr:uid="{00000000-0005-0000-0000-0000750B0000}"/>
    <cellStyle name="스타일 172" xfId="2888" xr:uid="{00000000-0005-0000-0000-0000760B0000}"/>
    <cellStyle name="스타일 173" xfId="2889" xr:uid="{00000000-0005-0000-0000-0000770B0000}"/>
    <cellStyle name="스타일 174" xfId="2890" xr:uid="{00000000-0005-0000-0000-0000780B0000}"/>
    <cellStyle name="스타일 175" xfId="2891" xr:uid="{00000000-0005-0000-0000-0000790B0000}"/>
    <cellStyle name="스타일 176" xfId="2892" xr:uid="{00000000-0005-0000-0000-00007A0B0000}"/>
    <cellStyle name="스타일 177" xfId="2893" xr:uid="{00000000-0005-0000-0000-00007B0B0000}"/>
    <cellStyle name="스타일 178" xfId="2894" xr:uid="{00000000-0005-0000-0000-00007C0B0000}"/>
    <cellStyle name="스타일 179" xfId="2895" xr:uid="{00000000-0005-0000-0000-00007D0B0000}"/>
    <cellStyle name="스타일 18" xfId="2896" xr:uid="{00000000-0005-0000-0000-00007E0B0000}"/>
    <cellStyle name="스타일 180" xfId="2897" xr:uid="{00000000-0005-0000-0000-00007F0B0000}"/>
    <cellStyle name="스타일 181" xfId="2898" xr:uid="{00000000-0005-0000-0000-0000800B0000}"/>
    <cellStyle name="스타일 182" xfId="2899" xr:uid="{00000000-0005-0000-0000-0000810B0000}"/>
    <cellStyle name="스타일 183" xfId="2900" xr:uid="{00000000-0005-0000-0000-0000820B0000}"/>
    <cellStyle name="스타일 184" xfId="2901" xr:uid="{00000000-0005-0000-0000-0000830B0000}"/>
    <cellStyle name="스타일 185" xfId="2902" xr:uid="{00000000-0005-0000-0000-0000840B0000}"/>
    <cellStyle name="스타일 186" xfId="2903" xr:uid="{00000000-0005-0000-0000-0000850B0000}"/>
    <cellStyle name="스타일 187" xfId="2904" xr:uid="{00000000-0005-0000-0000-0000860B0000}"/>
    <cellStyle name="스타일 188" xfId="2905" xr:uid="{00000000-0005-0000-0000-0000870B0000}"/>
    <cellStyle name="스타일 189" xfId="2906" xr:uid="{00000000-0005-0000-0000-0000880B0000}"/>
    <cellStyle name="스타일 19" xfId="2907" xr:uid="{00000000-0005-0000-0000-0000890B0000}"/>
    <cellStyle name="스타일 190" xfId="2908" xr:uid="{00000000-0005-0000-0000-00008A0B0000}"/>
    <cellStyle name="스타일 191" xfId="2909" xr:uid="{00000000-0005-0000-0000-00008B0B0000}"/>
    <cellStyle name="스타일 192" xfId="2910" xr:uid="{00000000-0005-0000-0000-00008C0B0000}"/>
    <cellStyle name="스타일 193" xfId="2911" xr:uid="{00000000-0005-0000-0000-00008D0B0000}"/>
    <cellStyle name="스타일 194" xfId="2912" xr:uid="{00000000-0005-0000-0000-00008E0B0000}"/>
    <cellStyle name="스타일 195" xfId="2913" xr:uid="{00000000-0005-0000-0000-00008F0B0000}"/>
    <cellStyle name="스타일 196" xfId="2914" xr:uid="{00000000-0005-0000-0000-0000900B0000}"/>
    <cellStyle name="스타일 197" xfId="2915" xr:uid="{00000000-0005-0000-0000-0000910B0000}"/>
    <cellStyle name="스타일 198" xfId="2916" xr:uid="{00000000-0005-0000-0000-0000920B0000}"/>
    <cellStyle name="스타일 199" xfId="2917" xr:uid="{00000000-0005-0000-0000-0000930B0000}"/>
    <cellStyle name="스타일 2" xfId="2918" xr:uid="{00000000-0005-0000-0000-0000940B0000}"/>
    <cellStyle name="스타일 20" xfId="2919" xr:uid="{00000000-0005-0000-0000-0000950B0000}"/>
    <cellStyle name="스타일 200" xfId="2920" xr:uid="{00000000-0005-0000-0000-0000960B0000}"/>
    <cellStyle name="스타일 201" xfId="2921" xr:uid="{00000000-0005-0000-0000-0000970B0000}"/>
    <cellStyle name="스타일 202" xfId="2922" xr:uid="{00000000-0005-0000-0000-0000980B0000}"/>
    <cellStyle name="스타일 203" xfId="2923" xr:uid="{00000000-0005-0000-0000-0000990B0000}"/>
    <cellStyle name="스타일 204" xfId="2924" xr:uid="{00000000-0005-0000-0000-00009A0B0000}"/>
    <cellStyle name="스타일 205" xfId="2925" xr:uid="{00000000-0005-0000-0000-00009B0B0000}"/>
    <cellStyle name="스타일 206" xfId="2926" xr:uid="{00000000-0005-0000-0000-00009C0B0000}"/>
    <cellStyle name="스타일 207" xfId="2927" xr:uid="{00000000-0005-0000-0000-00009D0B0000}"/>
    <cellStyle name="스타일 208" xfId="2928" xr:uid="{00000000-0005-0000-0000-00009E0B0000}"/>
    <cellStyle name="스타일 209" xfId="2929" xr:uid="{00000000-0005-0000-0000-00009F0B0000}"/>
    <cellStyle name="스타일 21" xfId="2930" xr:uid="{00000000-0005-0000-0000-0000A00B0000}"/>
    <cellStyle name="스타일 210" xfId="2931" xr:uid="{00000000-0005-0000-0000-0000A10B0000}"/>
    <cellStyle name="스타일 211" xfId="2932" xr:uid="{00000000-0005-0000-0000-0000A20B0000}"/>
    <cellStyle name="스타일 212" xfId="2933" xr:uid="{00000000-0005-0000-0000-0000A30B0000}"/>
    <cellStyle name="스타일 213" xfId="2934" xr:uid="{00000000-0005-0000-0000-0000A40B0000}"/>
    <cellStyle name="스타일 214" xfId="2935" xr:uid="{00000000-0005-0000-0000-0000A50B0000}"/>
    <cellStyle name="스타일 215" xfId="2936" xr:uid="{00000000-0005-0000-0000-0000A60B0000}"/>
    <cellStyle name="스타일 216" xfId="2937" xr:uid="{00000000-0005-0000-0000-0000A70B0000}"/>
    <cellStyle name="스타일 217" xfId="2938" xr:uid="{00000000-0005-0000-0000-0000A80B0000}"/>
    <cellStyle name="스타일 218" xfId="2939" xr:uid="{00000000-0005-0000-0000-0000A90B0000}"/>
    <cellStyle name="스타일 219" xfId="2940" xr:uid="{00000000-0005-0000-0000-0000AA0B0000}"/>
    <cellStyle name="스타일 22" xfId="2941" xr:uid="{00000000-0005-0000-0000-0000AB0B0000}"/>
    <cellStyle name="스타일 220" xfId="2942" xr:uid="{00000000-0005-0000-0000-0000AC0B0000}"/>
    <cellStyle name="스타일 221" xfId="2943" xr:uid="{00000000-0005-0000-0000-0000AD0B0000}"/>
    <cellStyle name="스타일 222" xfId="2944" xr:uid="{00000000-0005-0000-0000-0000AE0B0000}"/>
    <cellStyle name="스타일 223" xfId="2945" xr:uid="{00000000-0005-0000-0000-0000AF0B0000}"/>
    <cellStyle name="스타일 224" xfId="2946" xr:uid="{00000000-0005-0000-0000-0000B00B0000}"/>
    <cellStyle name="스타일 225" xfId="2947" xr:uid="{00000000-0005-0000-0000-0000B10B0000}"/>
    <cellStyle name="스타일 226" xfId="2948" xr:uid="{00000000-0005-0000-0000-0000B20B0000}"/>
    <cellStyle name="스타일 227" xfId="2949" xr:uid="{00000000-0005-0000-0000-0000B30B0000}"/>
    <cellStyle name="스타일 228" xfId="2950" xr:uid="{00000000-0005-0000-0000-0000B40B0000}"/>
    <cellStyle name="스타일 229" xfId="2951" xr:uid="{00000000-0005-0000-0000-0000B50B0000}"/>
    <cellStyle name="스타일 23" xfId="2952" xr:uid="{00000000-0005-0000-0000-0000B60B0000}"/>
    <cellStyle name="스타일 230" xfId="2953" xr:uid="{00000000-0005-0000-0000-0000B70B0000}"/>
    <cellStyle name="스타일 231" xfId="2954" xr:uid="{00000000-0005-0000-0000-0000B80B0000}"/>
    <cellStyle name="스타일 232" xfId="2955" xr:uid="{00000000-0005-0000-0000-0000B90B0000}"/>
    <cellStyle name="스타일 233" xfId="2956" xr:uid="{00000000-0005-0000-0000-0000BA0B0000}"/>
    <cellStyle name="스타일 234" xfId="2957" xr:uid="{00000000-0005-0000-0000-0000BB0B0000}"/>
    <cellStyle name="스타일 235" xfId="2958" xr:uid="{00000000-0005-0000-0000-0000BC0B0000}"/>
    <cellStyle name="스타일 236" xfId="2959" xr:uid="{00000000-0005-0000-0000-0000BD0B0000}"/>
    <cellStyle name="스타일 237" xfId="2960" xr:uid="{00000000-0005-0000-0000-0000BE0B0000}"/>
    <cellStyle name="스타일 238" xfId="2961" xr:uid="{00000000-0005-0000-0000-0000BF0B0000}"/>
    <cellStyle name="스타일 239" xfId="2962" xr:uid="{00000000-0005-0000-0000-0000C00B0000}"/>
    <cellStyle name="스타일 24" xfId="2963" xr:uid="{00000000-0005-0000-0000-0000C10B0000}"/>
    <cellStyle name="스타일 240" xfId="2964" xr:uid="{00000000-0005-0000-0000-0000C20B0000}"/>
    <cellStyle name="스타일 241" xfId="2965" xr:uid="{00000000-0005-0000-0000-0000C30B0000}"/>
    <cellStyle name="스타일 242" xfId="2966" xr:uid="{00000000-0005-0000-0000-0000C40B0000}"/>
    <cellStyle name="스타일 243" xfId="2967" xr:uid="{00000000-0005-0000-0000-0000C50B0000}"/>
    <cellStyle name="스타일 244" xfId="2968" xr:uid="{00000000-0005-0000-0000-0000C60B0000}"/>
    <cellStyle name="스타일 245" xfId="2969" xr:uid="{00000000-0005-0000-0000-0000C70B0000}"/>
    <cellStyle name="스타일 246" xfId="2970" xr:uid="{00000000-0005-0000-0000-0000C80B0000}"/>
    <cellStyle name="스타일 247" xfId="2971" xr:uid="{00000000-0005-0000-0000-0000C90B0000}"/>
    <cellStyle name="스타일 248" xfId="2972" xr:uid="{00000000-0005-0000-0000-0000CA0B0000}"/>
    <cellStyle name="스타일 249" xfId="2973" xr:uid="{00000000-0005-0000-0000-0000CB0B0000}"/>
    <cellStyle name="스타일 25" xfId="2974" xr:uid="{00000000-0005-0000-0000-0000CC0B0000}"/>
    <cellStyle name="스타일 250" xfId="2975" xr:uid="{00000000-0005-0000-0000-0000CD0B0000}"/>
    <cellStyle name="스타일 251" xfId="2976" xr:uid="{00000000-0005-0000-0000-0000CE0B0000}"/>
    <cellStyle name="스타일 252" xfId="2977" xr:uid="{00000000-0005-0000-0000-0000CF0B0000}"/>
    <cellStyle name="스타일 253" xfId="2978" xr:uid="{00000000-0005-0000-0000-0000D00B0000}"/>
    <cellStyle name="스타일 254" xfId="2979" xr:uid="{00000000-0005-0000-0000-0000D10B0000}"/>
    <cellStyle name="스타일 255" xfId="2980" xr:uid="{00000000-0005-0000-0000-0000D20B0000}"/>
    <cellStyle name="스타일 26" xfId="2981" xr:uid="{00000000-0005-0000-0000-0000D30B0000}"/>
    <cellStyle name="스타일 27" xfId="2982" xr:uid="{00000000-0005-0000-0000-0000D40B0000}"/>
    <cellStyle name="스타일 28" xfId="2983" xr:uid="{00000000-0005-0000-0000-0000D50B0000}"/>
    <cellStyle name="스타일 29" xfId="2984" xr:uid="{00000000-0005-0000-0000-0000D60B0000}"/>
    <cellStyle name="스타일 3" xfId="2985" xr:uid="{00000000-0005-0000-0000-0000D70B0000}"/>
    <cellStyle name="스타일 30" xfId="2986" xr:uid="{00000000-0005-0000-0000-0000D80B0000}"/>
    <cellStyle name="스타일 31" xfId="2987" xr:uid="{00000000-0005-0000-0000-0000D90B0000}"/>
    <cellStyle name="스타일 32" xfId="2988" xr:uid="{00000000-0005-0000-0000-0000DA0B0000}"/>
    <cellStyle name="스타일 33" xfId="2989" xr:uid="{00000000-0005-0000-0000-0000DB0B0000}"/>
    <cellStyle name="스타일 34" xfId="2990" xr:uid="{00000000-0005-0000-0000-0000DC0B0000}"/>
    <cellStyle name="스타일 35" xfId="2991" xr:uid="{00000000-0005-0000-0000-0000DD0B0000}"/>
    <cellStyle name="스타일 36" xfId="2992" xr:uid="{00000000-0005-0000-0000-0000DE0B0000}"/>
    <cellStyle name="스타일 37" xfId="2993" xr:uid="{00000000-0005-0000-0000-0000DF0B0000}"/>
    <cellStyle name="스타일 38" xfId="2994" xr:uid="{00000000-0005-0000-0000-0000E00B0000}"/>
    <cellStyle name="스타일 39" xfId="2995" xr:uid="{00000000-0005-0000-0000-0000E10B0000}"/>
    <cellStyle name="스타일 4" xfId="2996" xr:uid="{00000000-0005-0000-0000-0000E20B0000}"/>
    <cellStyle name="스타일 40" xfId="2997" xr:uid="{00000000-0005-0000-0000-0000E30B0000}"/>
    <cellStyle name="스타일 41" xfId="2998" xr:uid="{00000000-0005-0000-0000-0000E40B0000}"/>
    <cellStyle name="스타일 42" xfId="2999" xr:uid="{00000000-0005-0000-0000-0000E50B0000}"/>
    <cellStyle name="스타일 43" xfId="3000" xr:uid="{00000000-0005-0000-0000-0000E60B0000}"/>
    <cellStyle name="스타일 44" xfId="3001" xr:uid="{00000000-0005-0000-0000-0000E70B0000}"/>
    <cellStyle name="스타일 45" xfId="3002" xr:uid="{00000000-0005-0000-0000-0000E80B0000}"/>
    <cellStyle name="스타일 46" xfId="3003" xr:uid="{00000000-0005-0000-0000-0000E90B0000}"/>
    <cellStyle name="스타일 47" xfId="3004" xr:uid="{00000000-0005-0000-0000-0000EA0B0000}"/>
    <cellStyle name="스타일 48" xfId="3005" xr:uid="{00000000-0005-0000-0000-0000EB0B0000}"/>
    <cellStyle name="스타일 49" xfId="3006" xr:uid="{00000000-0005-0000-0000-0000EC0B0000}"/>
    <cellStyle name="스타일 5" xfId="3007" xr:uid="{00000000-0005-0000-0000-0000ED0B0000}"/>
    <cellStyle name="스타일 50" xfId="3008" xr:uid="{00000000-0005-0000-0000-0000EE0B0000}"/>
    <cellStyle name="스타일 51" xfId="3009" xr:uid="{00000000-0005-0000-0000-0000EF0B0000}"/>
    <cellStyle name="스타일 52" xfId="3010" xr:uid="{00000000-0005-0000-0000-0000F00B0000}"/>
    <cellStyle name="스타일 53" xfId="3011" xr:uid="{00000000-0005-0000-0000-0000F10B0000}"/>
    <cellStyle name="스타일 54" xfId="3012" xr:uid="{00000000-0005-0000-0000-0000F20B0000}"/>
    <cellStyle name="스타일 55" xfId="3013" xr:uid="{00000000-0005-0000-0000-0000F30B0000}"/>
    <cellStyle name="스타일 56" xfId="3014" xr:uid="{00000000-0005-0000-0000-0000F40B0000}"/>
    <cellStyle name="스타일 57" xfId="3015" xr:uid="{00000000-0005-0000-0000-0000F50B0000}"/>
    <cellStyle name="스타일 58" xfId="3016" xr:uid="{00000000-0005-0000-0000-0000F60B0000}"/>
    <cellStyle name="스타일 59" xfId="3017" xr:uid="{00000000-0005-0000-0000-0000F70B0000}"/>
    <cellStyle name="스타일 6" xfId="3018" xr:uid="{00000000-0005-0000-0000-0000F80B0000}"/>
    <cellStyle name="스타일 60" xfId="3019" xr:uid="{00000000-0005-0000-0000-0000F90B0000}"/>
    <cellStyle name="스타일 61" xfId="3020" xr:uid="{00000000-0005-0000-0000-0000FA0B0000}"/>
    <cellStyle name="스타일 62" xfId="3021" xr:uid="{00000000-0005-0000-0000-0000FB0B0000}"/>
    <cellStyle name="스타일 63" xfId="3022" xr:uid="{00000000-0005-0000-0000-0000FC0B0000}"/>
    <cellStyle name="스타일 64" xfId="3023" xr:uid="{00000000-0005-0000-0000-0000FD0B0000}"/>
    <cellStyle name="스타일 65" xfId="3024" xr:uid="{00000000-0005-0000-0000-0000FE0B0000}"/>
    <cellStyle name="스타일 66" xfId="3025" xr:uid="{00000000-0005-0000-0000-0000FF0B0000}"/>
    <cellStyle name="스타일 67" xfId="3026" xr:uid="{00000000-0005-0000-0000-0000000C0000}"/>
    <cellStyle name="스타일 68" xfId="3027" xr:uid="{00000000-0005-0000-0000-0000010C0000}"/>
    <cellStyle name="스타일 69" xfId="3028" xr:uid="{00000000-0005-0000-0000-0000020C0000}"/>
    <cellStyle name="스타일 7" xfId="3029" xr:uid="{00000000-0005-0000-0000-0000030C0000}"/>
    <cellStyle name="스타일 70" xfId="3030" xr:uid="{00000000-0005-0000-0000-0000040C0000}"/>
    <cellStyle name="스타일 71" xfId="3031" xr:uid="{00000000-0005-0000-0000-0000050C0000}"/>
    <cellStyle name="스타일 72" xfId="3032" xr:uid="{00000000-0005-0000-0000-0000060C0000}"/>
    <cellStyle name="스타일 73" xfId="3033" xr:uid="{00000000-0005-0000-0000-0000070C0000}"/>
    <cellStyle name="스타일 74" xfId="3034" xr:uid="{00000000-0005-0000-0000-0000080C0000}"/>
    <cellStyle name="스타일 75" xfId="3035" xr:uid="{00000000-0005-0000-0000-0000090C0000}"/>
    <cellStyle name="스타일 76" xfId="3036" xr:uid="{00000000-0005-0000-0000-00000A0C0000}"/>
    <cellStyle name="스타일 77" xfId="3037" xr:uid="{00000000-0005-0000-0000-00000B0C0000}"/>
    <cellStyle name="스타일 78" xfId="3038" xr:uid="{00000000-0005-0000-0000-00000C0C0000}"/>
    <cellStyle name="스타일 79" xfId="3039" xr:uid="{00000000-0005-0000-0000-00000D0C0000}"/>
    <cellStyle name="스타일 8" xfId="3040" xr:uid="{00000000-0005-0000-0000-00000E0C0000}"/>
    <cellStyle name="스타일 80" xfId="3041" xr:uid="{00000000-0005-0000-0000-00000F0C0000}"/>
    <cellStyle name="스타일 81" xfId="3042" xr:uid="{00000000-0005-0000-0000-0000100C0000}"/>
    <cellStyle name="스타일 82" xfId="3043" xr:uid="{00000000-0005-0000-0000-0000110C0000}"/>
    <cellStyle name="스타일 83" xfId="3044" xr:uid="{00000000-0005-0000-0000-0000120C0000}"/>
    <cellStyle name="스타일 84" xfId="3045" xr:uid="{00000000-0005-0000-0000-0000130C0000}"/>
    <cellStyle name="스타일 85" xfId="3046" xr:uid="{00000000-0005-0000-0000-0000140C0000}"/>
    <cellStyle name="스타일 86" xfId="3047" xr:uid="{00000000-0005-0000-0000-0000150C0000}"/>
    <cellStyle name="스타일 87" xfId="3048" xr:uid="{00000000-0005-0000-0000-0000160C0000}"/>
    <cellStyle name="스타일 88" xfId="3049" xr:uid="{00000000-0005-0000-0000-0000170C0000}"/>
    <cellStyle name="스타일 89" xfId="3050" xr:uid="{00000000-0005-0000-0000-0000180C0000}"/>
    <cellStyle name="스타일 9" xfId="3051" xr:uid="{00000000-0005-0000-0000-0000190C0000}"/>
    <cellStyle name="스타일 90" xfId="3052" xr:uid="{00000000-0005-0000-0000-00001A0C0000}"/>
    <cellStyle name="스타일 91" xfId="3053" xr:uid="{00000000-0005-0000-0000-00001B0C0000}"/>
    <cellStyle name="스타일 92" xfId="3054" xr:uid="{00000000-0005-0000-0000-00001C0C0000}"/>
    <cellStyle name="스타일 93" xfId="3055" xr:uid="{00000000-0005-0000-0000-00001D0C0000}"/>
    <cellStyle name="스타일 94" xfId="3056" xr:uid="{00000000-0005-0000-0000-00001E0C0000}"/>
    <cellStyle name="스타일 95" xfId="3057" xr:uid="{00000000-0005-0000-0000-00001F0C0000}"/>
    <cellStyle name="스타일 96" xfId="3058" xr:uid="{00000000-0005-0000-0000-0000200C0000}"/>
    <cellStyle name="스타일 97" xfId="3059" xr:uid="{00000000-0005-0000-0000-0000210C0000}"/>
    <cellStyle name="스타일 98" xfId="3060" xr:uid="{00000000-0005-0000-0000-0000220C0000}"/>
    <cellStyle name="스타일 99" xfId="3061" xr:uid="{00000000-0005-0000-0000-0000230C0000}"/>
    <cellStyle name="안건회계법인" xfId="3062" xr:uid="{00000000-0005-0000-0000-0000240C0000}"/>
    <cellStyle name="열어 본 하이퍼링크" xfId="3120" builtinId="9" hidden="1"/>
    <cellStyle name="왼쪽2" xfId="3063" xr:uid="{00000000-0005-0000-0000-0000250C0000}"/>
    <cellStyle name="원" xfId="3064" xr:uid="{00000000-0005-0000-0000-0000260C0000}"/>
    <cellStyle name="유1" xfId="3065" xr:uid="{00000000-0005-0000-0000-0000270C0000}"/>
    <cellStyle name="유영" xfId="3066" xr:uid="{00000000-0005-0000-0000-0000280C0000}"/>
    <cellStyle name="자리수" xfId="3067" xr:uid="{00000000-0005-0000-0000-0000290C0000}"/>
    <cellStyle name="자리수 - 유형1" xfId="3068" xr:uid="{00000000-0005-0000-0000-00002A0C0000}"/>
    <cellStyle name="자리수_~MGaE" xfId="3069" xr:uid="{00000000-0005-0000-0000-00002C0C0000}"/>
    <cellStyle name="자리수0" xfId="3070" xr:uid="{00000000-0005-0000-0000-00002B0C0000}"/>
    <cellStyle name="정기수 - 유형1" xfId="3071" xr:uid="{00000000-0005-0000-0000-00002D0C0000}"/>
    <cellStyle name="제목 1(左)" xfId="3072" xr:uid="{00000000-0005-0000-0000-00002F0C0000}"/>
    <cellStyle name="제목 1(中)" xfId="3073" xr:uid="{00000000-0005-0000-0000-00002E0C0000}"/>
    <cellStyle name="제목[1 줄]" xfId="3074" xr:uid="{00000000-0005-0000-0000-0000320C0000}"/>
    <cellStyle name="제목[2줄 아래]" xfId="3075" xr:uid="{00000000-0005-0000-0000-0000330C0000}"/>
    <cellStyle name="제목[2줄 위]" xfId="3076" xr:uid="{00000000-0005-0000-0000-0000340C0000}"/>
    <cellStyle name="제목1" xfId="3077" xr:uid="{00000000-0005-0000-0000-0000300C0000}"/>
    <cellStyle name="제목2" xfId="3078" xr:uid="{00000000-0005-0000-0000-0000310C0000}"/>
    <cellStyle name="좋음 2" xfId="3079" xr:uid="{00000000-0005-0000-0000-0000350C0000}"/>
    <cellStyle name="지정되지 않음" xfId="3080" xr:uid="{00000000-0005-0000-0000-0000360C0000}"/>
    <cellStyle name="콤" xfId="3081" xr:uid="{00000000-0005-0000-0000-0000370C0000}"/>
    <cellStyle name="콤마 [" xfId="3082" xr:uid="{00000000-0005-0000-0000-0000390C0000}"/>
    <cellStyle name="콤마 []" xfId="3084" xr:uid="{00000000-0005-0000-0000-00003E0C0000}"/>
    <cellStyle name="콤마 [#]" xfId="3083" xr:uid="{00000000-0005-0000-0000-00003A0C0000}"/>
    <cellStyle name="콤마 [0]" xfId="3085" xr:uid="{00000000-0005-0000-0000-00003B0C0000}"/>
    <cellStyle name="콤마 [1]" xfId="3086" xr:uid="{00000000-0005-0000-0000-00003C0C0000}"/>
    <cellStyle name="콤마 [2]" xfId="3087" xr:uid="{00000000-0005-0000-0000-00003D0C0000}"/>
    <cellStyle name="콤마 [금액]" xfId="3088" xr:uid="{00000000-0005-0000-0000-00003F0C0000}"/>
    <cellStyle name="콤마 [소수]" xfId="3089" xr:uid="{00000000-0005-0000-0000-0000400C0000}"/>
    <cellStyle name="콤마 [수량]" xfId="3090" xr:uid="{00000000-0005-0000-0000-0000410C0000}"/>
    <cellStyle name="콤마 1" xfId="3091" xr:uid="{00000000-0005-0000-0000-0000380C0000}"/>
    <cellStyle name="콤마_  종  합  " xfId="3097" xr:uid="{00000000-0005-0000-0000-0000470C0000}"/>
    <cellStyle name="콤마[ ]" xfId="3092" xr:uid="{00000000-0005-0000-0000-0000420C0000}"/>
    <cellStyle name="콤마[,]" xfId="3094" xr:uid="{00000000-0005-0000-0000-0000440C0000}"/>
    <cellStyle name="콤마[.]" xfId="3095" xr:uid="{00000000-0005-0000-0000-0000450C0000}"/>
    <cellStyle name="콤마[*]" xfId="3093" xr:uid="{00000000-0005-0000-0000-0000430C0000}"/>
    <cellStyle name="콤마[0]" xfId="3096" xr:uid="{00000000-0005-0000-0000-0000460C0000}"/>
    <cellStyle name="통" xfId="3098" xr:uid="{00000000-0005-0000-0000-0000480C0000}"/>
    <cellStyle name="통화 [" xfId="3099" xr:uid="{00000000-0005-0000-0000-0000490C0000}"/>
    <cellStyle name="통화 [0㉝〸" xfId="3100" xr:uid="{00000000-0005-0000-0000-00004A0C0000}"/>
    <cellStyle name="퍼센트" xfId="3101" xr:uid="{00000000-0005-0000-0000-00004B0C0000}"/>
    <cellStyle name="표" xfId="3102" xr:uid="{00000000-0005-0000-0000-00004C0C0000}"/>
    <cellStyle name="표(가는선,가운데,중앙)" xfId="3103" xr:uid="{00000000-0005-0000-0000-00004D0C0000}"/>
    <cellStyle name="표(가는선,왼쪽,중앙)" xfId="3104" xr:uid="{00000000-0005-0000-0000-00004E0C0000}"/>
    <cellStyle name="표(세로쓰기)" xfId="3105" xr:uid="{00000000-0005-0000-0000-00004F0C0000}"/>
    <cellStyle name="표머릿글(上)" xfId="3106" xr:uid="{00000000-0005-0000-0000-0000500C0000}"/>
    <cellStyle name="표머릿글(中)" xfId="3107" xr:uid="{00000000-0005-0000-0000-0000520C0000}"/>
    <cellStyle name="표머릿글(下)" xfId="3108" xr:uid="{00000000-0005-0000-0000-0000510C0000}"/>
    <cellStyle name="표준" xfId="0" builtinId="0"/>
    <cellStyle name="표준 2" xfId="6" xr:uid="{00000000-0005-0000-0000-0000530C0000}"/>
    <cellStyle name="표준 2 2" xfId="3109" xr:uid="{00000000-0005-0000-0000-0000540C0000}"/>
    <cellStyle name="표준 3" xfId="3110" xr:uid="{00000000-0005-0000-0000-0000550C0000}"/>
    <cellStyle name="표준 4" xfId="9" xr:uid="{00000000-0005-0000-0000-0000560C0000}"/>
    <cellStyle name="표준 5" xfId="3111" xr:uid="{00000000-0005-0000-0000-0000570C0000}"/>
    <cellStyle name="표준 6" xfId="5" xr:uid="{00000000-0005-0000-0000-0000580C0000}"/>
    <cellStyle name="標準_Akia(F）-8" xfId="3112" xr:uid="{00000000-0005-0000-0000-0000F30A0000}"/>
    <cellStyle name="표준℘Sheet8 (3)" xfId="3115" xr:uid="{00000000-0005-0000-0000-00005B0C0000}"/>
    <cellStyle name="표준1" xfId="3113" xr:uid="{00000000-0005-0000-0000-0000590C0000}"/>
    <cellStyle name="표준2" xfId="3114" xr:uid="{00000000-0005-0000-0000-00005A0C0000}"/>
    <cellStyle name="하이퍼링크" xfId="3119" builtinId="8" hidden="1"/>
    <cellStyle name="합산" xfId="3116" xr:uid="{00000000-0005-0000-0000-00005C0C0000}"/>
    <cellStyle name="화폐기호" xfId="3117" xr:uid="{00000000-0005-0000-0000-00005D0C0000}"/>
    <cellStyle name="화폐기호0" xfId="3118" xr:uid="{00000000-0005-0000-0000-00005E0C0000}"/>
    <cellStyle name="A¨­￠￢￠O [0]_AO¨uRCN¡¾U " xfId="2647" xr:uid="{00000000-0005-0000-0000-000049060000}"/>
    <cellStyle name="A¨­￠￢￠O_AO¨uRCN¡¾U " xfId="2648" xr:uid="{00000000-0005-0000-0000-00004A060000}"/>
    <cellStyle name="AeE­ [0]_ 2ÆAAþº° " xfId="2649" xr:uid="{00000000-0005-0000-0000-000043060000}"/>
    <cellStyle name="ÅëÈ­ [0]_¸ðÇü¸·" xfId="2650" xr:uid="{00000000-0005-0000-0000-0000E30A0000}"/>
    <cellStyle name="AeE­ [0]_95³aAN°y¼o·R " xfId="2651" xr:uid="{00000000-0005-0000-0000-000044060000}"/>
    <cellStyle name="ÅëÈ­ [0]_Á¤»ê¼­°©Áö" xfId="2652" xr:uid="{00000000-0005-0000-0000-0000E40A0000}"/>
    <cellStyle name="AeE­ [0]_A¾CO½A¼³ " xfId="2653" xr:uid="{00000000-0005-0000-0000-000045060000}"/>
    <cellStyle name="AeE­_ 2ÆAAþº° " xfId="2654" xr:uid="{00000000-0005-0000-0000-000046060000}"/>
    <cellStyle name="ÅëÈ­_¸ðÇü¸·" xfId="2655" xr:uid="{00000000-0005-0000-0000-0000E50A0000}"/>
    <cellStyle name="AeE­_95³aAN°y¼o·R " xfId="2656" xr:uid="{00000000-0005-0000-0000-000047060000}"/>
    <cellStyle name="ÅëÈ­_Á¤»ê¼­°©Áö" xfId="2657" xr:uid="{00000000-0005-0000-0000-0000E60A0000}"/>
    <cellStyle name="AeE­_A¾CO½A¼³ " xfId="2658" xr:uid="{00000000-0005-0000-0000-000048060000}"/>
    <cellStyle name="AeE¡ⓒ [0]_AO¨uRCN¡¾U " xfId="2659" xr:uid="{00000000-0005-0000-0000-000041060000}"/>
    <cellStyle name="AeE¡ⓒ_AO¨uRCN¡¾U " xfId="2660" xr:uid="{00000000-0005-0000-0000-000042060000}"/>
    <cellStyle name="ALIGNMENT" xfId="2661" xr:uid="{00000000-0005-0000-0000-000040060000}"/>
    <cellStyle name="args.style" xfId="2662" xr:uid="{00000000-0005-0000-0000-0000CA0A0000}"/>
    <cellStyle name="AÞ¸¶ [0]_ 2ÆAAþº° " xfId="2663" xr:uid="{00000000-0005-0000-0000-00004B060000}"/>
    <cellStyle name="ÄÞ¸¶ [0]_¸ðÇü¸·" xfId="2664" xr:uid="{00000000-0005-0000-0000-0000DF0A0000}"/>
    <cellStyle name="AÞ¸¶ [0]_95³aAN°y¼o·R " xfId="2665" xr:uid="{00000000-0005-0000-0000-00004C060000}"/>
    <cellStyle name="ÄÞ¸¶ [0]_Á¤»ê¼­°©Áö" xfId="2666" xr:uid="{00000000-0005-0000-0000-0000E00A0000}"/>
    <cellStyle name="AÞ¸¶ [0]_A¾CO½A¼³ " xfId="2667" xr:uid="{00000000-0005-0000-0000-00004D060000}"/>
    <cellStyle name="AÞ¸¶_ 2ÆAAþº° " xfId="2668" xr:uid="{00000000-0005-0000-0000-00004E060000}"/>
    <cellStyle name="ÄÞ¸¶_¸ðÇü¸·" xfId="2669" xr:uid="{00000000-0005-0000-0000-0000E10A0000}"/>
    <cellStyle name="AÞ¸¶_95³aAN°y¼o·R " xfId="2670" xr:uid="{00000000-0005-0000-0000-00004F060000}"/>
    <cellStyle name="ÄÞ¸¶_Á¤»ê¼­°©Áö" xfId="2671" xr:uid="{00000000-0005-0000-0000-0000E20A0000}"/>
    <cellStyle name="AÞ¸¶_A¾CO½A¼³ " xfId="2672" xr:uid="{00000000-0005-0000-0000-000050060000}"/>
    <cellStyle name="C¡IA¨ª_¡ic¨u¡A¨￢I¨￢¡Æ AN¡Æe " xfId="2673" xr:uid="{00000000-0005-0000-0000-00005D060000}"/>
    <cellStyle name="C￥AØ_ °u¸R½CCa1" xfId="2674" xr:uid="{00000000-0005-0000-0000-00005E060000}"/>
    <cellStyle name="Ç¥ÁØ_»óºÎ¼ö·®Áý°è " xfId="2675" xr:uid="{00000000-0005-0000-0000-0000E80A0000}"/>
    <cellStyle name="C￥AØ_°­´c (2)" xfId="2676" xr:uid="{00000000-0005-0000-0000-000060060000}"/>
    <cellStyle name="Ç¥ÁØ_°­´ç (2)" xfId="2677" xr:uid="{00000000-0005-0000-0000-0000E70A0000}"/>
    <cellStyle name="C￥AØ_¼³°e¿e¿ª" xfId="2678" xr:uid="{00000000-0005-0000-0000-000061060000}"/>
    <cellStyle name="Ç¥ÁØ_¼öÀÍ¼º " xfId="2679" xr:uid="{00000000-0005-0000-0000-0000E90A0000}"/>
    <cellStyle name="C￥AØ_95³aAN°y¼o·R " xfId="2680" xr:uid="{00000000-0005-0000-0000-00005F060000}"/>
    <cellStyle name="Calc Currency (0)" xfId="2681" xr:uid="{00000000-0005-0000-0000-000053060000}"/>
    <cellStyle name="category" xfId="2682" xr:uid="{00000000-0005-0000-0000-0000CB0A0000}"/>
    <cellStyle name="CIAIÆU¸μAⓒ" xfId="2683" xr:uid="{00000000-0005-0000-0000-000051060000}"/>
    <cellStyle name="Comma [0] 2" xfId="2" xr:uid="{00000000-0005-0000-0000-000054060000}"/>
    <cellStyle name="comma zerodec" xfId="2684" xr:uid="{00000000-0005-0000-0000-0000CC0A0000}"/>
    <cellStyle name="Comma0" xfId="2685" xr:uid="{00000000-0005-0000-0000-000055060000}"/>
    <cellStyle name="Copied" xfId="2686" xr:uid="{00000000-0005-0000-0000-000056060000}"/>
    <cellStyle name="COST1" xfId="2687" xr:uid="{00000000-0005-0000-0000-000052060000}"/>
    <cellStyle name="Curre~cy [0]_MATERAL2" xfId="2688" xr:uid="{00000000-0005-0000-0000-00005C060000}"/>
    <cellStyle name="Curren?_x0012_퐀_x0017_?" xfId="2689" xr:uid="{00000000-0005-0000-0000-000057060000}"/>
    <cellStyle name="Currency [0] 2" xfId="3" xr:uid="{00000000-0005-0000-0000-000058060000}"/>
    <cellStyle name="Currency [0]͢laroux_1" xfId="2690" xr:uid="{00000000-0005-0000-0000-000059060000}"/>
    <cellStyle name="currency-$" xfId="2691" xr:uid="{00000000-0005-0000-0000-0000CD0A0000}"/>
    <cellStyle name="Currency0" xfId="2692" xr:uid="{00000000-0005-0000-0000-00005A060000}"/>
    <cellStyle name="Currency1" xfId="2693" xr:uid="{00000000-0005-0000-0000-00005B060000}"/>
    <cellStyle name="Date" xfId="2694" xr:uid="{00000000-0005-0000-0000-000062060000}"/>
    <cellStyle name="Dezimal [0]_laroux" xfId="2695" xr:uid="{00000000-0005-0000-0000-000063060000}"/>
    <cellStyle name="Dezimal_laroux" xfId="2696" xr:uid="{00000000-0005-0000-0000-000064060000}"/>
    <cellStyle name="Dollar (zero dec)" xfId="2697" xr:uid="{00000000-0005-0000-0000-000065060000}"/>
    <cellStyle name="EA" xfId="2698" xr:uid="{00000000-0005-0000-0000-000066060000}"/>
    <cellStyle name="Entered" xfId="2699" xr:uid="{00000000-0005-0000-0000-000067060000}"/>
    <cellStyle name="ÊÝ [0.00]_Region Orders (2)" xfId="1110" xr:uid="{00000000-0005-0000-0000-0000DB0A0000}"/>
    <cellStyle name="ÊÝ_Region Orders (2)" xfId="1111" xr:uid="{00000000-0005-0000-0000-0000DC0A0000}"/>
    <cellStyle name="F2" xfId="2700" xr:uid="{00000000-0005-0000-0000-000068060000}"/>
    <cellStyle name="F3" xfId="2701" xr:uid="{00000000-0005-0000-0000-000069060000}"/>
    <cellStyle name="F4" xfId="2702" xr:uid="{00000000-0005-0000-0000-00006A060000}"/>
    <cellStyle name="F5" xfId="2703" xr:uid="{00000000-0005-0000-0000-00006B060000}"/>
    <cellStyle name="F6" xfId="2704" xr:uid="{00000000-0005-0000-0000-00006C060000}"/>
    <cellStyle name="F7" xfId="2705" xr:uid="{00000000-0005-0000-0000-00006D060000}"/>
    <cellStyle name="F8" xfId="2706" xr:uid="{00000000-0005-0000-0000-00006E060000}"/>
    <cellStyle name="Fixed" xfId="2707" xr:uid="{00000000-0005-0000-0000-00006F060000}"/>
    <cellStyle name="Grey" xfId="2708" xr:uid="{00000000-0005-0000-0000-000070060000}"/>
    <cellStyle name="H1" xfId="2709" xr:uid="{00000000-0005-0000-0000-000071060000}"/>
    <cellStyle name="H2" xfId="2710" xr:uid="{00000000-0005-0000-0000-000072060000}"/>
    <cellStyle name="HEADER" xfId="2711" xr:uid="{00000000-0005-0000-0000-000073060000}"/>
    <cellStyle name="Header1" xfId="2712" xr:uid="{00000000-0005-0000-0000-000074060000}"/>
    <cellStyle name="Header2" xfId="2713" xr:uid="{00000000-0005-0000-0000-000075060000}"/>
    <cellStyle name="Heading 1" xfId="2714" xr:uid="{00000000-0005-0000-0000-000076060000}"/>
    <cellStyle name="Heading 2" xfId="2715" xr:uid="{00000000-0005-0000-0000-000077060000}"/>
    <cellStyle name="Heading1" xfId="2716" xr:uid="{00000000-0005-0000-0000-000078060000}"/>
    <cellStyle name="Heading2" xfId="2717" xr:uid="{00000000-0005-0000-0000-000079060000}"/>
    <cellStyle name="Input [yellow]" xfId="2718" xr:uid="{00000000-0005-0000-0000-00007B060000}"/>
    <cellStyle name="Input Cells" xfId="2719" xr:uid="{00000000-0005-0000-0000-00007A060000}"/>
    <cellStyle name="kg" xfId="2720" xr:uid="{00000000-0005-0000-0000-0000CE0A0000}"/>
    <cellStyle name="Linked Cells" xfId="2721" xr:uid="{00000000-0005-0000-0000-00007C060000}"/>
    <cellStyle name="M" xfId="2722" xr:uid="{00000000-0005-0000-0000-00007D060000}"/>
    <cellStyle name="M2" xfId="2723" xr:uid="{00000000-0005-0000-0000-00007E060000}"/>
    <cellStyle name="M3" xfId="2724" xr:uid="{00000000-0005-0000-0000-00007F060000}"/>
    <cellStyle name="Milliers [0]_Arabian Spec" xfId="2725" xr:uid="{00000000-0005-0000-0000-000080060000}"/>
    <cellStyle name="Milliers_Arabian Spec" xfId="2726" xr:uid="{00000000-0005-0000-0000-000081060000}"/>
    <cellStyle name="mma_CASH &amp; DSO" xfId="2727" xr:uid="{00000000-0005-0000-0000-0000CF0A0000}"/>
    <cellStyle name="Model" xfId="2728" xr:uid="{00000000-0005-0000-0000-000082060000}"/>
    <cellStyle name="Mon?aire [0]_Arabian Spec" xfId="2729" xr:uid="{00000000-0005-0000-0000-000083060000}"/>
    <cellStyle name="Mon?aire_Arabian Spec" xfId="2730" xr:uid="{00000000-0005-0000-0000-000084060000}"/>
    <cellStyle name="Monétaire [0]_CTC" xfId="2731" xr:uid="{00000000-0005-0000-0000-000085060000}"/>
    <cellStyle name="Monétaire_CTC" xfId="2732" xr:uid="{00000000-0005-0000-0000-000086060000}"/>
    <cellStyle name="no dec" xfId="2733" xr:uid="{00000000-0005-0000-0000-0000D00A0000}"/>
    <cellStyle name="Normal - 유형1" xfId="2735" xr:uid="{00000000-0005-0000-0000-000088060000}"/>
    <cellStyle name="Normal - Style1" xfId="2734" xr:uid="{00000000-0005-0000-0000-000087060000}"/>
    <cellStyle name="Normal 2" xfId="1" xr:uid="{00000000-0005-0000-0000-000089060000}"/>
    <cellStyle name="Œ…?æ맖?e [0.00]_laroux" xfId="2736" xr:uid="{00000000-0005-0000-0000-0000EA0A0000}"/>
    <cellStyle name="Œ…?æ맖?e_laroux" xfId="2737" xr:uid="{00000000-0005-0000-0000-0000EB0A0000}"/>
    <cellStyle name="oft Excel]_x000d__x000a_Comment=The open=/f lines load custom functions into the Paste Function list._x000d__x000a_Maximized=3_x000d__x000a_AutoFormat=" xfId="2738" xr:uid="{00000000-0005-0000-0000-0000D10A0000}"/>
    <cellStyle name="oh" xfId="2739" xr:uid="{00000000-0005-0000-0000-0000D20A0000}"/>
    <cellStyle name="per.style" xfId="2740" xr:uid="{00000000-0005-0000-0000-0000D30A0000}"/>
    <cellStyle name="Percent [2]" xfId="2741" xr:uid="{00000000-0005-0000-0000-00008B060000}"/>
    <cellStyle name="pricing" xfId="2742" xr:uid="{00000000-0005-0000-0000-0000D40A0000}"/>
    <cellStyle name="PSChar" xfId="2743" xr:uid="{00000000-0005-0000-0000-00008A060000}"/>
    <cellStyle name="RevList" xfId="2744" xr:uid="{00000000-0005-0000-0000-00008C060000}"/>
    <cellStyle name="s]_x000d__x000a_run=c:\Hedgehog\app31.exe_x000d__x000a_spooler=yes_x000d__x000a_load=_x000d__x000a_run=_x000d__x000a_Beep=yes_x000d__x000a_NullPort=None_x000d__x000a_BorderWidth=3_x000d__x000a_CursorBlinkRate=530_x000d__x000a_D" xfId="2745" xr:uid="{00000000-0005-0000-0000-0000D50A0000}"/>
    <cellStyle name="sh" xfId="2746" xr:uid="{00000000-0005-0000-0000-0000D60A0000}"/>
    <cellStyle name="ssh" xfId="2747" xr:uid="{00000000-0005-0000-0000-0000D70A0000}"/>
    <cellStyle name="STANDARD" xfId="2748" xr:uid="{00000000-0005-0000-0000-00008D060000}"/>
    <cellStyle name="STD" xfId="2749" xr:uid="{00000000-0005-0000-0000-00008E060000}"/>
    <cellStyle name="subhead" xfId="2750" xr:uid="{00000000-0005-0000-0000-0000D80A0000}"/>
    <cellStyle name="Subtotal" xfId="2751" xr:uid="{00000000-0005-0000-0000-00008F060000}"/>
    <cellStyle name="Title" xfId="2752" xr:uid="{00000000-0005-0000-0000-000090060000}"/>
    <cellStyle name="title [1]" xfId="2753" xr:uid="{00000000-0005-0000-0000-0000D90A0000}"/>
    <cellStyle name="title [2]" xfId="2754" xr:uid="{00000000-0005-0000-0000-0000DA0A0000}"/>
    <cellStyle name="Total" xfId="2755" xr:uid="{00000000-0005-0000-0000-000091060000}"/>
    <cellStyle name="UM" xfId="2756" xr:uid="{00000000-0005-0000-0000-000092060000}"/>
    <cellStyle name="W_Pacific Region P&amp;L" xfId="1112" xr:uid="{00000000-0005-0000-0000-0000DD0A0000}"/>
    <cellStyle name="W?rung [0]_laroux" xfId="2757" xr:uid="{00000000-0005-0000-0000-000093060000}"/>
    <cellStyle name="W?rung_laroux" xfId="2758" xr:uid="{00000000-0005-0000-0000-000094060000}"/>
    <cellStyle name="μU¿¡ ¿A´A CIAIÆU¸μAⓒ" xfId="2759" xr:uid="{00000000-0005-0000-0000-0000EC0A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28</xdr:col>
      <xdr:colOff>98425</xdr:colOff>
      <xdr:row>43</xdr:row>
      <xdr:rowOff>95250</xdr:rowOff>
    </xdr:from>
    <xdr:to>
      <xdr:col>32</xdr:col>
      <xdr:colOff>40005</xdr:colOff>
      <xdr:row>45</xdr:row>
      <xdr:rowOff>156845</xdr:rowOff>
    </xdr:to>
    <xdr:pic>
      <xdr:nvPicPr>
        <xdr:cNvPr id="1049" name="Picture 1" descr="xl/media/image1.png">
          <a:extLst>
            <a:ext uri="{FF2B5EF4-FFF2-40B4-BE49-F238E27FC236}">
              <a16:creationId xmlns:a16="http://schemas.microsoft.com/office/drawing/2014/main" id="{9A6823AF-FF02-07BB-0B77-D4BC317FEC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517255" y="9177020"/>
          <a:ext cx="817880" cy="766445"/>
        </a:xfrm>
        <a:prstGeom prst="rect">
          <a:avLst/>
        </a:prstGeom>
        <a:noFill/>
        <a:ln cap="flat" cmpd="sng">
          <a:noFill/>
          <a:prstDash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26</xdr:row>
      <xdr:rowOff>0</xdr:rowOff>
    </xdr:from>
    <xdr:to>
      <xdr:col>0</xdr:col>
      <xdr:colOff>0</xdr:colOff>
      <xdr:row>26</xdr:row>
      <xdr:rowOff>0</xdr:rowOff>
    </xdr:to>
    <xdr:grpSp>
      <xdr:nvGrpSpPr>
        <xdr:cNvPr id="2" name="Group 36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0" y="7298267"/>
          <a:ext cx="0" cy="0"/>
          <a:chOff x="0" y="7298267"/>
          <a:chExt cx="0" cy="0"/>
        </a:xfrm>
      </xdr:grpSpPr>
      <xdr:sp macro="" textlink="">
        <xdr:nvSpPr>
          <xdr:cNvPr id="3" name="Text Box 37">
            <a:extLst>
              <a:ext uri="{FF2B5EF4-FFF2-40B4-BE49-F238E27FC236}">
                <a16:creationId xmlns:a16="http://schemas.microsoft.com/office/drawing/2014/main" id="{00000000-0008-0000-0100-000003000000}"/>
              </a:ext>
            </a:extLst>
          </xdr:cNvPr>
          <xdr:cNvSpPr txBox="1">
            <a:spLocks/>
          </xdr:cNvSpPr>
        </xdr:nvSpPr>
        <xdr:spPr>
          <a:xfrm>
            <a:off x="0" y="7259320"/>
            <a:ext cx="0" cy="0"/>
          </a:xfrm>
          <a:prstGeom prst="rect">
            <a:avLst/>
          </a:prstGeom>
          <a:noFill/>
          <a:ln w="9525" cap="flat" cmpd="sng">
            <a:noFill/>
            <a:prstDash/>
            <a:miter lim="800000"/>
            <a:headEnd type="none" w="med" len="med"/>
            <a:tailEnd type="none" w="med" len="med"/>
          </a:ln>
        </xdr:spPr>
        <xdr:txBody>
          <a:bodyPr vertOverflow="clip" horzOverflow="overflow" wrap="square" lIns="36830" tIns="27305" rIns="0" bIns="0" anchor="t">
            <a:noAutofit/>
          </a:bodyPr>
          <a:lstStyle/>
          <a:p>
            <a:pPr algn="l"/>
            <a:r>
              <a:rPr lang="ko-KR" altLang="en-US" sz="1600" kern="1200">
                <a:solidFill>
                  <a:srgbClr val="000000"/>
                </a:solidFill>
                <a:latin typeface="돋움"/>
                <a:ea typeface="돋움"/>
              </a:rPr>
              <a:t>㈜세진구조안전기술사사무소</a:t>
            </a:r>
          </a:p>
        </xdr:txBody>
      </xdr:sp>
      <xdr:sp macro="" textlink="">
        <xdr:nvSpPr>
          <xdr:cNvPr id="4" name="Text Box 38">
            <a:extLst>
              <a:ext uri="{FF2B5EF4-FFF2-40B4-BE49-F238E27FC236}">
                <a16:creationId xmlns:a16="http://schemas.microsoft.com/office/drawing/2014/main" id="{00000000-0008-0000-0100-000004000000}"/>
              </a:ext>
            </a:extLst>
          </xdr:cNvPr>
          <xdr:cNvSpPr txBox="1">
            <a:spLocks/>
          </xdr:cNvSpPr>
        </xdr:nvSpPr>
        <xdr:spPr>
          <a:xfrm>
            <a:off x="0" y="7259320"/>
            <a:ext cx="0" cy="0"/>
          </a:xfrm>
          <a:prstGeom prst="rect">
            <a:avLst/>
          </a:prstGeom>
          <a:noFill/>
          <a:ln w="9525" cap="flat" cmpd="sng">
            <a:noFill/>
            <a:prstDash/>
            <a:miter lim="800000"/>
            <a:headEnd type="none" w="med" len="med"/>
            <a:tailEnd type="none" w="med" len="med"/>
          </a:ln>
        </xdr:spPr>
        <xdr:txBody>
          <a:bodyPr vertOverflow="clip" horzOverflow="overflow" wrap="square" lIns="27305" tIns="18415" rIns="0" bIns="0" anchor="t">
            <a:noAutofit/>
          </a:bodyPr>
          <a:lstStyle/>
          <a:p>
            <a:pPr algn="l"/>
            <a:r>
              <a:rPr lang="ko-KR" altLang="en-US" sz="1000" kern="1200">
                <a:solidFill>
                  <a:srgbClr val="000000"/>
                </a:solidFill>
                <a:latin typeface="돋움"/>
                <a:ea typeface="돋움"/>
              </a:rPr>
              <a:t> 대   표     이   사</a:t>
            </a:r>
          </a:p>
        </xdr:txBody>
      </xdr:sp>
      <xdr:sp macro="" textlink="">
        <xdr:nvSpPr>
          <xdr:cNvPr id="5" name="Text Box 39">
            <a:extLst>
              <a:ext uri="{FF2B5EF4-FFF2-40B4-BE49-F238E27FC236}">
                <a16:creationId xmlns:a16="http://schemas.microsoft.com/office/drawing/2014/main" id="{00000000-0008-0000-0100-000005000000}"/>
              </a:ext>
            </a:extLst>
          </xdr:cNvPr>
          <xdr:cNvSpPr txBox="1">
            <a:spLocks/>
          </xdr:cNvSpPr>
        </xdr:nvSpPr>
        <xdr:spPr>
          <a:xfrm>
            <a:off x="0" y="7259320"/>
            <a:ext cx="0" cy="0"/>
          </a:xfrm>
          <a:prstGeom prst="rect">
            <a:avLst/>
          </a:prstGeom>
          <a:noFill/>
          <a:ln w="9525" cap="flat" cmpd="sng">
            <a:noFill/>
            <a:prstDash/>
            <a:miter lim="800000"/>
            <a:headEnd type="none" w="med" len="med"/>
            <a:tailEnd type="none" w="med" len="med"/>
          </a:ln>
        </xdr:spPr>
        <xdr:txBody>
          <a:bodyPr vertOverflow="clip" horzOverflow="overflow" wrap="square" lIns="27305" tIns="18415" rIns="0" bIns="0" anchor="t">
            <a:noAutofit/>
          </a:bodyPr>
          <a:lstStyle/>
          <a:p>
            <a:pPr algn="l"/>
            <a:r>
              <a:rPr lang="ko-KR" altLang="en-US" sz="1000" kern="1200">
                <a:solidFill>
                  <a:srgbClr val="000000"/>
                </a:solidFill>
                <a:latin typeface="돋움"/>
                <a:ea typeface="돋움"/>
              </a:rPr>
              <a:t> 구  조  기  술  사  </a:t>
            </a:r>
          </a:p>
          <a:p>
            <a:pPr algn="l"/>
            <a:r>
              <a:rPr lang="ko-KR" altLang="en-US" sz="1100" kern="1200">
                <a:solidFill>
                  <a:srgbClr val="000000"/>
                </a:solidFill>
                <a:latin typeface="돋움"/>
                <a:ea typeface="돋움"/>
              </a:rPr>
              <a:t>사</a:t>
            </a:r>
          </a:p>
        </xdr:txBody>
      </xdr:sp>
      <xdr:sp macro="" textlink="">
        <xdr:nvSpPr>
          <xdr:cNvPr id="6" name="Text Box 40">
            <a:extLst>
              <a:ext uri="{FF2B5EF4-FFF2-40B4-BE49-F238E27FC236}">
                <a16:creationId xmlns:a16="http://schemas.microsoft.com/office/drawing/2014/main" id="{00000000-0008-0000-0100-000006000000}"/>
              </a:ext>
            </a:extLst>
          </xdr:cNvPr>
          <xdr:cNvSpPr txBox="1">
            <a:spLocks/>
          </xdr:cNvSpPr>
        </xdr:nvSpPr>
        <xdr:spPr>
          <a:xfrm>
            <a:off x="0" y="7259320"/>
            <a:ext cx="0" cy="0"/>
          </a:xfrm>
          <a:prstGeom prst="rect">
            <a:avLst/>
          </a:prstGeom>
          <a:noFill/>
          <a:ln w="9525" cap="flat" cmpd="sng">
            <a:noFill/>
            <a:prstDash/>
            <a:miter lim="800000"/>
            <a:headEnd type="none" w="med" len="med"/>
            <a:tailEnd type="none" w="med" len="med"/>
          </a:ln>
        </xdr:spPr>
        <xdr:txBody>
          <a:bodyPr vertOverflow="clip" horzOverflow="overflow" wrap="square" lIns="36830" tIns="27305" rIns="0" bIns="0" anchor="t">
            <a:noAutofit/>
          </a:bodyPr>
          <a:lstStyle/>
          <a:p>
            <a:pPr algn="l"/>
            <a:r>
              <a:rPr lang="ko-KR" altLang="en-US" sz="1600" kern="1200">
                <a:solidFill>
                  <a:srgbClr val="000000"/>
                </a:solidFill>
                <a:latin typeface="돋움"/>
                <a:ea typeface="돋움"/>
              </a:rPr>
              <a:t>김      형      균</a:t>
            </a:r>
          </a:p>
        </xdr:txBody>
      </xdr:sp>
    </xdr:grpSp>
    <xdr:clientData/>
  </xdr:twoCellAnchor>
  <xdr:twoCellAnchor editAs="oneCell">
    <xdr:from>
      <xdr:col>11</xdr:col>
      <xdr:colOff>387350</xdr:colOff>
      <xdr:row>28</xdr:row>
      <xdr:rowOff>47625</xdr:rowOff>
    </xdr:from>
    <xdr:to>
      <xdr:col>12</xdr:col>
      <xdr:colOff>438785</xdr:colOff>
      <xdr:row>30</xdr:row>
      <xdr:rowOff>41910</xdr:rowOff>
    </xdr:to>
    <xdr:pic>
      <xdr:nvPicPr>
        <xdr:cNvPr id="9" name="그림 9" descr="xl/media/image2.png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606030" y="7893685"/>
          <a:ext cx="794385" cy="581025"/>
        </a:xfrm>
        <a:prstGeom prst="rect">
          <a:avLst/>
        </a:prstGeom>
        <a:noFill/>
        <a:ln cap="flat" cmpd="sng">
          <a:noFill/>
          <a:prstDash/>
        </a:ln>
      </xdr:spPr>
    </xdr:pic>
    <xdr:clientData/>
  </xdr:twoCellAnchor>
  <xdr:twoCellAnchor>
    <xdr:from>
      <xdr:col>6</xdr:col>
      <xdr:colOff>241300</xdr:colOff>
      <xdr:row>27</xdr:row>
      <xdr:rowOff>0</xdr:rowOff>
    </xdr:from>
    <xdr:to>
      <xdr:col>7</xdr:col>
      <xdr:colOff>508000</xdr:colOff>
      <xdr:row>30</xdr:row>
      <xdr:rowOff>101600</xdr:rowOff>
    </xdr:to>
    <xdr:pic>
      <xdr:nvPicPr>
        <xdr:cNvPr id="10" name="_x224090752 10" descr="xl/media/image3.png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92904" y="7552690"/>
          <a:ext cx="1190626" cy="981710"/>
        </a:xfrm>
        <a:prstGeom prst="rect">
          <a:avLst/>
        </a:prstGeom>
        <a:noFill/>
        <a:ln cap="flat" cmpd="sng">
          <a:noFill/>
          <a:prstDash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25400</xdr:colOff>
      <xdr:row>22</xdr:row>
      <xdr:rowOff>38100</xdr:rowOff>
    </xdr:from>
    <xdr:to>
      <xdr:col>8</xdr:col>
      <xdr:colOff>0</xdr:colOff>
      <xdr:row>25</xdr:row>
      <xdr:rowOff>0</xdr:rowOff>
    </xdr:to>
    <xdr:pic>
      <xdr:nvPicPr>
        <xdr:cNvPr id="2" name="_x206956912" descr="EMB000038d80e12">
          <a:extLst>
            <a:ext uri="{FF2B5EF4-FFF2-40B4-BE49-F238E27FC236}">
              <a16:creationId xmlns:a16="http://schemas.microsoft.com/office/drawing/2014/main" id="{97834D2C-E033-8F4A-80AC-4FA3E9B353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19580" y="8121650"/>
          <a:ext cx="1308100" cy="1247775"/>
        </a:xfrm>
        <a:prstGeom prst="rect">
          <a:avLst/>
        </a:prstGeom>
        <a:noFill/>
        <a:ln cap="flat" cmpd="sng">
          <a:noFill/>
          <a:prstDash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Dropbox/6.&#44060;&#51064;&#54260;&#45908;/1.&#49436;&#51025;&#50896;/&#44204;&#51201;&#49436;/(&#51452;)&#50640;&#51060;&#50532;&#48708;%20-%20&#54952;&#49457;&#45684;&#49436;&#50872;5&#52264;&#50500;&#54028;&#53944;%20-%20&#44048;&#47532;%20&#44204;&#51201;&#49436;.xlsx" TargetMode="External"/><Relationship Id="rId1" Type="http://schemas.openxmlformats.org/officeDocument/2006/relationships/externalLinkPath" Target="/Dropbox/6.&#44060;&#51064;&#54260;&#45908;/1.&#49436;&#51025;&#50896;/&#44204;&#51201;&#49436;/(&#51452;)&#50640;&#51060;&#50532;&#48708;%20-%20&#54952;&#49457;&#45684;&#49436;&#50872;5&#52264;&#50500;&#54028;&#53944;%20-%20&#44048;&#47532;%20&#44204;&#51201;&#4943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견적서(조정D)"/>
      <sheetName val="견적서(D)"/>
      <sheetName val="숫자읽기"/>
      <sheetName val="산출내역(감리)"/>
      <sheetName val="계약서1"/>
      <sheetName val="갑지"/>
    </sheetNames>
    <sheetDataSet>
      <sheetData sheetId="0"/>
      <sheetData sheetId="1"/>
      <sheetData sheetId="2">
        <row r="3">
          <cell r="U3">
            <v>0</v>
          </cell>
        </row>
        <row r="4">
          <cell r="U4">
            <v>1</v>
          </cell>
          <cell r="V4" t="str">
            <v>壹</v>
          </cell>
        </row>
        <row r="5">
          <cell r="U5">
            <v>2</v>
          </cell>
          <cell r="V5" t="str">
            <v>貳</v>
          </cell>
        </row>
        <row r="6">
          <cell r="U6">
            <v>3</v>
          </cell>
          <cell r="V6" t="str">
            <v>參</v>
          </cell>
        </row>
        <row r="7">
          <cell r="U7">
            <v>4</v>
          </cell>
          <cell r="V7" t="str">
            <v>四</v>
          </cell>
        </row>
        <row r="8">
          <cell r="U8">
            <v>5</v>
          </cell>
          <cell r="V8" t="str">
            <v>五</v>
          </cell>
        </row>
        <row r="9">
          <cell r="U9">
            <v>6</v>
          </cell>
          <cell r="V9" t="str">
            <v>六</v>
          </cell>
        </row>
        <row r="10">
          <cell r="U10">
            <v>7</v>
          </cell>
          <cell r="V10" t="str">
            <v>七</v>
          </cell>
        </row>
        <row r="11">
          <cell r="U11">
            <v>8</v>
          </cell>
          <cell r="V11" t="str">
            <v>八</v>
          </cell>
        </row>
        <row r="12">
          <cell r="U12">
            <v>9</v>
          </cell>
          <cell r="V12" t="str">
            <v>九</v>
          </cell>
        </row>
      </sheetData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F1:BI117"/>
  <sheetViews>
    <sheetView view="pageBreakPreview" topLeftCell="F6" zoomScale="150" zoomScaleNormal="100" zoomScaleSheetLayoutView="150" workbookViewId="0">
      <selection activeCell="R28" sqref="R28:AG28"/>
    </sheetView>
  </sheetViews>
  <sheetFormatPr baseColWidth="10" defaultColWidth="8.83203125" defaultRowHeight="14"/>
  <cols>
    <col min="7" max="8" width="3.33203125" customWidth="1"/>
    <col min="9" max="9" width="3.33203125" style="14" customWidth="1"/>
    <col min="10" max="15" width="3.33203125" style="7" customWidth="1"/>
    <col min="16" max="34" width="3.33203125" customWidth="1"/>
    <col min="35" max="35" width="3" customWidth="1"/>
    <col min="36" max="262" width="8.83203125" customWidth="1"/>
  </cols>
  <sheetData>
    <row r="1" spans="7:40" s="2" customFormat="1" ht="42" customHeight="1">
      <c r="G1" s="154" t="s">
        <v>0</v>
      </c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  <c r="W1" s="154"/>
      <c r="X1" s="154"/>
      <c r="Y1" s="154"/>
      <c r="Z1" s="154"/>
      <c r="AA1" s="154"/>
      <c r="AB1" s="154"/>
      <c r="AC1" s="154"/>
      <c r="AD1" s="154"/>
      <c r="AE1" s="154"/>
      <c r="AF1" s="154"/>
      <c r="AG1" s="154"/>
      <c r="AH1" s="154"/>
      <c r="AI1" s="1"/>
    </row>
    <row r="2" spans="7:40" s="2" customFormat="1" ht="12" customHeight="1">
      <c r="G2" s="141"/>
      <c r="H2" s="141"/>
      <c r="I2" s="141"/>
      <c r="J2" s="141"/>
      <c r="K2" s="141"/>
      <c r="L2" s="141"/>
      <c r="M2" s="141"/>
      <c r="N2" s="141"/>
      <c r="O2" s="141"/>
      <c r="P2" s="141"/>
      <c r="Q2" s="141"/>
      <c r="R2" s="141"/>
      <c r="S2" s="141"/>
      <c r="T2" s="141"/>
      <c r="U2" s="141"/>
      <c r="V2" s="141"/>
      <c r="W2" s="141"/>
      <c r="X2" s="141"/>
      <c r="Y2" s="141"/>
      <c r="Z2" s="141"/>
      <c r="AA2" s="141"/>
      <c r="AB2" s="141"/>
      <c r="AC2" s="141"/>
      <c r="AD2" s="141"/>
      <c r="AE2" s="142"/>
      <c r="AF2" s="142"/>
      <c r="AG2" s="142"/>
      <c r="AH2" s="142"/>
      <c r="AI2" s="1"/>
    </row>
    <row r="3" spans="7:40" s="2" customFormat="1" ht="18" customHeight="1">
      <c r="G3" s="155" t="s">
        <v>113</v>
      </c>
      <c r="H3" s="155"/>
      <c r="I3" s="155"/>
      <c r="J3" s="155"/>
      <c r="K3" s="155"/>
      <c r="L3" s="155"/>
      <c r="M3" s="155"/>
      <c r="N3" s="155"/>
      <c r="O3" s="155"/>
      <c r="P3" s="155"/>
      <c r="Q3" s="155"/>
      <c r="R3" s="155"/>
      <c r="S3" s="155"/>
      <c r="T3" s="155"/>
      <c r="U3" s="155"/>
      <c r="V3" s="155"/>
      <c r="W3" s="155"/>
      <c r="X3" s="155"/>
      <c r="Y3" s="155"/>
      <c r="Z3" s="155"/>
      <c r="AA3" s="155"/>
      <c r="AB3" s="155"/>
      <c r="AC3" s="155"/>
      <c r="AD3" s="155"/>
      <c r="AE3" s="155"/>
      <c r="AF3" s="155"/>
      <c r="AG3" s="155"/>
      <c r="AH3" s="155"/>
      <c r="AI3" s="1"/>
    </row>
    <row r="4" spans="7:40" s="2" customFormat="1" ht="7.5" customHeight="1">
      <c r="G4" s="143"/>
      <c r="H4" s="143"/>
      <c r="I4" s="143"/>
      <c r="J4" s="143"/>
      <c r="K4" s="143"/>
      <c r="L4" s="143"/>
      <c r="M4" s="143"/>
      <c r="N4" s="143"/>
      <c r="O4" s="143"/>
      <c r="P4" s="143"/>
      <c r="Q4" s="143"/>
      <c r="R4" s="143"/>
      <c r="S4" s="143"/>
      <c r="T4" s="143"/>
      <c r="U4" s="143"/>
      <c r="V4" s="143"/>
      <c r="W4" s="143"/>
      <c r="X4" s="143"/>
      <c r="Y4" s="143"/>
      <c r="Z4" s="143"/>
      <c r="AA4" s="143"/>
      <c r="AB4" s="143"/>
      <c r="AC4" s="143"/>
      <c r="AD4" s="143"/>
      <c r="AE4" s="144"/>
      <c r="AF4" s="144"/>
      <c r="AG4" s="144"/>
      <c r="AH4" s="144"/>
      <c r="AI4" s="1"/>
    </row>
    <row r="5" spans="7:40" s="2" customFormat="1" ht="15" customHeight="1">
      <c r="G5" s="141"/>
      <c r="H5" s="141"/>
      <c r="I5" s="141"/>
      <c r="J5" s="141"/>
      <c r="K5" s="141"/>
      <c r="L5" s="141"/>
      <c r="M5" s="141"/>
      <c r="N5" s="141"/>
      <c r="O5" s="141"/>
      <c r="P5" s="141"/>
      <c r="Q5" s="141"/>
      <c r="R5" s="141"/>
      <c r="S5" s="141"/>
      <c r="T5" s="141"/>
      <c r="U5" s="141"/>
      <c r="V5" s="141"/>
      <c r="W5" s="141"/>
      <c r="X5" s="141"/>
      <c r="Y5" s="141"/>
      <c r="Z5" s="141"/>
      <c r="AA5" s="141"/>
      <c r="AB5" s="141"/>
      <c r="AC5" s="141"/>
      <c r="AD5" s="141"/>
      <c r="AE5" s="142"/>
      <c r="AF5" s="142"/>
      <c r="AG5" s="142"/>
      <c r="AH5" s="142"/>
      <c r="AI5" s="1"/>
    </row>
    <row r="6" spans="7:40" s="2" customFormat="1" ht="23.25" customHeight="1">
      <c r="G6" s="156" t="s">
        <v>1</v>
      </c>
      <c r="H6" s="156"/>
      <c r="I6" s="156"/>
      <c r="J6" s="156"/>
      <c r="K6" s="157" t="s">
        <v>9</v>
      </c>
      <c r="L6" s="157"/>
      <c r="M6" s="157"/>
      <c r="N6" s="157"/>
      <c r="O6" s="157"/>
      <c r="P6" s="157"/>
      <c r="Q6" s="157"/>
      <c r="R6" s="157"/>
      <c r="S6" s="157"/>
      <c r="T6" s="157"/>
      <c r="U6" s="157"/>
      <c r="V6" s="157"/>
      <c r="W6" s="141"/>
      <c r="X6" s="141"/>
      <c r="Y6" s="141"/>
      <c r="Z6" s="141"/>
      <c r="AA6" s="141"/>
      <c r="AB6" s="141"/>
      <c r="AC6" s="141"/>
      <c r="AD6" s="141"/>
      <c r="AE6" s="141"/>
      <c r="AF6" s="141"/>
      <c r="AG6" s="141"/>
      <c r="AH6" s="141"/>
      <c r="AI6" s="1"/>
    </row>
    <row r="7" spans="7:40" s="2" customFormat="1" ht="23.25" customHeight="1">
      <c r="G7" s="156" t="s">
        <v>2</v>
      </c>
      <c r="H7" s="156"/>
      <c r="I7" s="156"/>
      <c r="J7" s="156"/>
      <c r="K7" s="158" t="s">
        <v>8</v>
      </c>
      <c r="L7" s="158"/>
      <c r="M7" s="158"/>
      <c r="N7" s="158"/>
      <c r="O7" s="158"/>
      <c r="P7" s="158"/>
      <c r="Q7" s="158"/>
      <c r="R7" s="158"/>
      <c r="S7" s="158"/>
      <c r="T7" s="158"/>
      <c r="U7" s="158"/>
      <c r="V7" s="158"/>
      <c r="W7" s="141"/>
      <c r="X7" s="141"/>
      <c r="Y7" s="141"/>
      <c r="Z7" s="141"/>
      <c r="AA7" s="141"/>
      <c r="AB7" s="141"/>
      <c r="AC7" s="141"/>
      <c r="AD7" s="141"/>
      <c r="AE7" s="141"/>
      <c r="AF7" s="141"/>
      <c r="AG7" s="141"/>
      <c r="AH7" s="141"/>
      <c r="AI7" s="1"/>
    </row>
    <row r="8" spans="7:40" s="2" customFormat="1" ht="23.25" customHeight="1">
      <c r="G8" s="156" t="s">
        <v>3</v>
      </c>
      <c r="H8" s="156"/>
      <c r="I8" s="156"/>
      <c r="J8" s="156"/>
      <c r="K8" s="157" t="s">
        <v>79</v>
      </c>
      <c r="L8" s="157"/>
      <c r="M8" s="157"/>
      <c r="N8" s="157"/>
      <c r="O8" s="157"/>
      <c r="P8" s="157"/>
      <c r="Q8" s="157"/>
      <c r="R8" s="157"/>
      <c r="S8" s="157"/>
      <c r="T8" s="157"/>
      <c r="U8" s="157"/>
      <c r="V8" s="157"/>
      <c r="W8" s="157"/>
      <c r="X8" s="157"/>
      <c r="Y8" s="157"/>
      <c r="Z8" s="157"/>
      <c r="AA8" s="157"/>
      <c r="AB8" s="157"/>
      <c r="AC8" s="157"/>
      <c r="AD8" s="157"/>
      <c r="AE8" s="157"/>
      <c r="AF8" s="157"/>
      <c r="AG8" s="157"/>
      <c r="AH8" s="157"/>
      <c r="AI8" s="1"/>
    </row>
    <row r="9" spans="7:40" s="2" customFormat="1" ht="23.25" customHeight="1">
      <c r="G9" s="156" t="s">
        <v>4</v>
      </c>
      <c r="H9" s="156"/>
      <c r="I9" s="156"/>
      <c r="J9" s="156"/>
      <c r="K9" s="141" t="s">
        <v>5</v>
      </c>
      <c r="L9" s="141"/>
      <c r="M9" s="141"/>
      <c r="N9" s="141"/>
      <c r="O9" s="141"/>
      <c r="P9" s="141"/>
      <c r="Q9" s="141"/>
      <c r="R9" s="141"/>
      <c r="S9" s="141"/>
      <c r="T9" s="141"/>
      <c r="U9" s="141"/>
      <c r="V9" s="141"/>
      <c r="W9" s="141"/>
      <c r="X9" s="141"/>
      <c r="Y9" s="141"/>
      <c r="Z9" s="141"/>
      <c r="AA9" s="141"/>
      <c r="AB9" s="141"/>
      <c r="AC9" s="141"/>
      <c r="AD9" s="141"/>
      <c r="AE9" s="141"/>
      <c r="AF9" s="141"/>
      <c r="AG9" s="141"/>
      <c r="AH9" s="141"/>
      <c r="AI9" s="1"/>
    </row>
    <row r="10" spans="7:40" s="2" customFormat="1" ht="23.25" customHeight="1">
      <c r="G10" s="156" t="s">
        <v>6</v>
      </c>
      <c r="H10" s="156"/>
      <c r="I10" s="156"/>
      <c r="J10" s="156"/>
      <c r="K10" s="157" t="s">
        <v>79</v>
      </c>
      <c r="L10" s="157"/>
      <c r="M10" s="157"/>
      <c r="N10" s="157"/>
      <c r="O10" s="157"/>
      <c r="P10" s="157"/>
      <c r="Q10" s="157"/>
      <c r="R10" s="157"/>
      <c r="S10" s="157"/>
      <c r="T10" s="157"/>
      <c r="U10" s="157"/>
      <c r="V10" s="157"/>
      <c r="W10" s="157"/>
      <c r="X10" s="157"/>
      <c r="Y10" s="157"/>
      <c r="Z10" s="157"/>
      <c r="AA10" s="157"/>
      <c r="AB10" s="157"/>
      <c r="AC10" s="157"/>
      <c r="AD10" s="157"/>
      <c r="AE10" s="157"/>
      <c r="AF10" s="157"/>
      <c r="AG10" s="157"/>
      <c r="AH10" s="157"/>
      <c r="AI10" s="1"/>
    </row>
    <row r="11" spans="7:40" s="2" customFormat="1" ht="7.5" customHeight="1">
      <c r="G11" s="143"/>
      <c r="H11" s="143"/>
      <c r="I11" s="143"/>
      <c r="J11" s="143"/>
      <c r="K11" s="143"/>
      <c r="L11" s="143"/>
      <c r="M11" s="143"/>
      <c r="N11" s="143"/>
      <c r="O11" s="143"/>
      <c r="P11" s="143"/>
      <c r="Q11" s="143"/>
      <c r="R11" s="143"/>
      <c r="S11" s="143"/>
      <c r="T11" s="143"/>
      <c r="U11" s="143"/>
      <c r="V11" s="143"/>
      <c r="W11" s="143"/>
      <c r="X11" s="143"/>
      <c r="Y11" s="143"/>
      <c r="Z11" s="143"/>
      <c r="AA11" s="143"/>
      <c r="AB11" s="143"/>
      <c r="AC11" s="143"/>
      <c r="AD11" s="143"/>
      <c r="AE11" s="144"/>
      <c r="AF11" s="144"/>
      <c r="AG11" s="144"/>
      <c r="AH11" s="144"/>
      <c r="AI11" s="1"/>
    </row>
    <row r="12" spans="7:40" s="2" customFormat="1" ht="13.5" customHeight="1">
      <c r="G12" s="141"/>
      <c r="H12" s="141"/>
      <c r="I12" s="141"/>
      <c r="J12" s="141"/>
      <c r="K12" s="141"/>
      <c r="L12" s="141"/>
      <c r="M12" s="141"/>
      <c r="N12" s="141"/>
      <c r="O12" s="141"/>
      <c r="P12" s="141"/>
      <c r="Q12" s="141"/>
      <c r="R12" s="141"/>
      <c r="S12" s="141"/>
      <c r="T12" s="141"/>
      <c r="U12" s="141"/>
      <c r="V12" s="141"/>
      <c r="W12" s="141"/>
      <c r="X12" s="141"/>
      <c r="Y12" s="141"/>
      <c r="Z12" s="141"/>
      <c r="AA12" s="141"/>
      <c r="AB12" s="141"/>
      <c r="AC12" s="141"/>
      <c r="AD12" s="141"/>
      <c r="AE12" s="142"/>
      <c r="AF12" s="142"/>
      <c r="AG12" s="142"/>
      <c r="AH12" s="142"/>
      <c r="AI12" s="1"/>
    </row>
    <row r="13" spans="7:40" s="2" customFormat="1" ht="19.5" customHeight="1">
      <c r="G13" s="157" t="s">
        <v>170</v>
      </c>
      <c r="H13" s="157"/>
      <c r="I13" s="157"/>
      <c r="J13" s="157"/>
      <c r="K13" s="157"/>
      <c r="L13" s="157"/>
      <c r="M13" s="157"/>
      <c r="N13" s="157"/>
      <c r="O13" s="157"/>
      <c r="P13" s="157"/>
      <c r="Q13" s="157"/>
      <c r="R13" s="157"/>
      <c r="S13" s="157"/>
      <c r="T13" s="157"/>
      <c r="U13" s="157"/>
      <c r="V13" s="157"/>
      <c r="W13" s="157"/>
      <c r="X13" s="157"/>
      <c r="Y13" s="157"/>
      <c r="Z13" s="157"/>
      <c r="AA13" s="157"/>
      <c r="AB13" s="157"/>
      <c r="AC13" s="157"/>
      <c r="AD13" s="157"/>
      <c r="AE13" s="157"/>
      <c r="AF13" s="157"/>
      <c r="AG13" s="157"/>
      <c r="AH13" s="157"/>
      <c r="AI13" s="1"/>
    </row>
    <row r="14" spans="7:40" s="2" customFormat="1" ht="16" customHeight="1">
      <c r="G14" s="141"/>
      <c r="H14" s="141"/>
      <c r="I14" s="141"/>
      <c r="J14" s="141"/>
      <c r="K14" s="141"/>
      <c r="L14" s="141"/>
      <c r="M14" s="141"/>
      <c r="N14" s="141"/>
      <c r="O14" s="141"/>
      <c r="P14" s="141"/>
      <c r="Q14" s="141"/>
      <c r="R14" s="141"/>
      <c r="S14" s="141"/>
      <c r="T14" s="141"/>
      <c r="U14" s="141"/>
      <c r="V14" s="141"/>
      <c r="W14" s="141"/>
      <c r="X14" s="141"/>
      <c r="Y14" s="141"/>
      <c r="Z14" s="141"/>
      <c r="AA14" s="141"/>
      <c r="AB14" s="141"/>
      <c r="AC14" s="141"/>
      <c r="AD14" s="141"/>
      <c r="AE14" s="141"/>
      <c r="AF14" s="141"/>
      <c r="AG14" s="141"/>
      <c r="AH14" s="141"/>
      <c r="AI14" s="1"/>
    </row>
    <row r="15" spans="7:40" s="46" customFormat="1" ht="16" customHeight="1">
      <c r="G15" s="159" t="s">
        <v>171</v>
      </c>
      <c r="H15" s="159"/>
      <c r="I15" s="159"/>
      <c r="J15" s="159"/>
      <c r="K15" s="159"/>
      <c r="L15" s="159"/>
      <c r="M15" s="159"/>
      <c r="N15" s="159"/>
      <c r="O15" s="159"/>
      <c r="P15" s="159"/>
      <c r="Q15" s="159"/>
      <c r="R15" s="159"/>
      <c r="S15" s="159"/>
      <c r="T15" s="159"/>
      <c r="U15" s="159"/>
      <c r="V15" s="159"/>
      <c r="W15" s="159"/>
      <c r="X15" s="159"/>
      <c r="Y15" s="159"/>
      <c r="Z15" s="159"/>
      <c r="AA15" s="159"/>
      <c r="AB15" s="159"/>
      <c r="AC15" s="159"/>
      <c r="AD15" s="159"/>
      <c r="AE15" s="159"/>
      <c r="AF15" s="159"/>
      <c r="AG15" s="159"/>
      <c r="AH15" s="159"/>
      <c r="AI15" s="48"/>
      <c r="AJ15" s="48"/>
      <c r="AK15" s="48"/>
      <c r="AL15" s="48"/>
      <c r="AM15" s="48"/>
      <c r="AN15" s="51"/>
    </row>
    <row r="16" spans="7:40" s="47" customFormat="1" ht="16" customHeight="1">
      <c r="G16" s="160" t="s">
        <v>172</v>
      </c>
      <c r="H16" s="160"/>
      <c r="I16" s="160"/>
      <c r="J16" s="160"/>
      <c r="K16" s="160"/>
      <c r="L16" s="160"/>
      <c r="M16" s="160"/>
      <c r="N16" s="160"/>
      <c r="O16" s="160"/>
      <c r="P16" s="160"/>
      <c r="Q16" s="160"/>
      <c r="R16" s="160"/>
      <c r="S16" s="160"/>
      <c r="T16" s="160"/>
      <c r="U16" s="160"/>
      <c r="V16" s="160"/>
      <c r="W16" s="160"/>
      <c r="X16" s="160"/>
      <c r="Y16" s="160"/>
      <c r="Z16" s="160"/>
      <c r="AA16" s="160"/>
      <c r="AB16" s="160"/>
      <c r="AC16" s="160"/>
      <c r="AD16" s="160"/>
      <c r="AE16" s="160"/>
      <c r="AF16" s="160"/>
      <c r="AG16" s="160"/>
      <c r="AH16" s="160"/>
      <c r="AI16" s="49"/>
      <c r="AJ16" s="49"/>
      <c r="AK16" s="49"/>
      <c r="AL16" s="49"/>
      <c r="AM16" s="49"/>
      <c r="AN16" s="51"/>
    </row>
    <row r="17" spans="6:61" s="47" customFormat="1" ht="16" customHeight="1">
      <c r="G17" s="160" t="s">
        <v>173</v>
      </c>
      <c r="H17" s="160"/>
      <c r="I17" s="160"/>
      <c r="J17" s="160"/>
      <c r="K17" s="160"/>
      <c r="L17" s="160"/>
      <c r="M17" s="160"/>
      <c r="N17" s="160"/>
      <c r="O17" s="160"/>
      <c r="P17" s="160"/>
      <c r="Q17" s="160"/>
      <c r="R17" s="160"/>
      <c r="S17" s="160"/>
      <c r="T17" s="160"/>
      <c r="U17" s="160"/>
      <c r="V17" s="160"/>
      <c r="W17" s="160"/>
      <c r="X17" s="160"/>
      <c r="Y17" s="160"/>
      <c r="Z17" s="160"/>
      <c r="AA17" s="160"/>
      <c r="AB17" s="160"/>
      <c r="AC17" s="160"/>
      <c r="AD17" s="160"/>
      <c r="AE17" s="160"/>
      <c r="AF17" s="160"/>
      <c r="AG17" s="160"/>
      <c r="AH17" s="160"/>
      <c r="AI17" s="50"/>
      <c r="AJ17" s="50"/>
      <c r="AK17" s="50"/>
      <c r="AL17" s="50"/>
      <c r="AM17" s="50"/>
      <c r="AN17" s="51"/>
    </row>
    <row r="18" spans="6:61" s="47" customFormat="1" ht="16" customHeight="1">
      <c r="G18" s="160" t="s">
        <v>174</v>
      </c>
      <c r="H18" s="160"/>
      <c r="I18" s="160"/>
      <c r="J18" s="160"/>
      <c r="K18" s="160"/>
      <c r="L18" s="160"/>
      <c r="M18" s="160"/>
      <c r="N18" s="160"/>
      <c r="O18" s="160"/>
      <c r="P18" s="160"/>
      <c r="Q18" s="160"/>
      <c r="R18" s="160"/>
      <c r="S18" s="160"/>
      <c r="T18" s="160"/>
      <c r="U18" s="160"/>
      <c r="V18" s="160"/>
      <c r="W18" s="160"/>
      <c r="X18" s="160"/>
      <c r="Y18" s="160"/>
      <c r="Z18" s="160"/>
      <c r="AA18" s="160"/>
      <c r="AB18" s="160"/>
      <c r="AC18" s="160"/>
      <c r="AD18" s="160"/>
      <c r="AE18" s="160"/>
      <c r="AF18" s="160"/>
      <c r="AG18" s="160"/>
      <c r="AH18" s="160"/>
      <c r="AI18" s="50"/>
      <c r="AJ18" s="50"/>
      <c r="AK18" s="50"/>
      <c r="AL18" s="50"/>
      <c r="AM18" s="50"/>
      <c r="AN18" s="51"/>
    </row>
    <row r="19" spans="6:61" s="2" customFormat="1" ht="16" customHeight="1">
      <c r="G19" s="141"/>
      <c r="H19" s="141"/>
      <c r="I19" s="141"/>
      <c r="J19" s="141"/>
      <c r="K19" s="141"/>
      <c r="L19" s="141"/>
      <c r="M19" s="141"/>
      <c r="N19" s="141"/>
      <c r="O19" s="141"/>
      <c r="P19" s="141"/>
      <c r="Q19" s="141"/>
      <c r="R19" s="141"/>
      <c r="S19" s="141"/>
      <c r="T19" s="141"/>
      <c r="U19" s="141"/>
      <c r="V19" s="141"/>
      <c r="W19" s="141"/>
      <c r="X19" s="141"/>
      <c r="Y19" s="141"/>
      <c r="Z19" s="141"/>
      <c r="AA19" s="141"/>
      <c r="AB19" s="141"/>
      <c r="AC19" s="141"/>
      <c r="AD19" s="141"/>
      <c r="AE19" s="141"/>
      <c r="AF19" s="141"/>
      <c r="AG19" s="141"/>
      <c r="AH19" s="141"/>
      <c r="AI19" s="1"/>
    </row>
    <row r="20" spans="6:61" s="12" customFormat="1" ht="16" customHeight="1">
      <c r="G20" s="161" t="s">
        <v>175</v>
      </c>
      <c r="H20" s="161"/>
      <c r="I20" s="161"/>
      <c r="J20" s="161"/>
      <c r="K20" s="161"/>
      <c r="L20" s="161"/>
      <c r="M20" s="161"/>
      <c r="N20" s="161"/>
      <c r="O20" s="161"/>
      <c r="P20" s="161"/>
      <c r="Q20" s="161"/>
      <c r="R20" s="161"/>
      <c r="S20" s="161"/>
      <c r="T20" s="161"/>
      <c r="U20" s="161"/>
      <c r="V20" s="161"/>
      <c r="W20" s="161"/>
      <c r="X20" s="161"/>
      <c r="Y20" s="161"/>
      <c r="Z20" s="161"/>
      <c r="AA20" s="161"/>
      <c r="AB20" s="161"/>
      <c r="AC20" s="161"/>
      <c r="AD20" s="161"/>
      <c r="AE20" s="161"/>
      <c r="AF20" s="161"/>
      <c r="AG20" s="161"/>
      <c r="AH20" s="161"/>
      <c r="AI20" s="13"/>
    </row>
    <row r="21" spans="6:61" s="12" customFormat="1" ht="16" customHeight="1">
      <c r="G21" s="162" t="s">
        <v>143</v>
      </c>
      <c r="H21" s="162"/>
      <c r="I21" s="162"/>
      <c r="J21" s="162"/>
      <c r="K21" s="162"/>
      <c r="L21" s="162"/>
      <c r="M21" s="162"/>
      <c r="N21" s="162"/>
      <c r="O21" s="162"/>
      <c r="P21" s="162"/>
      <c r="Q21" s="162"/>
      <c r="R21" s="162"/>
      <c r="S21" s="162"/>
      <c r="T21" s="162"/>
      <c r="U21" s="162"/>
      <c r="V21" s="162"/>
      <c r="W21" s="162"/>
      <c r="X21" s="162"/>
      <c r="Y21" s="162"/>
      <c r="Z21" s="162"/>
      <c r="AA21" s="162"/>
      <c r="AB21" s="162"/>
      <c r="AC21" s="162"/>
      <c r="AD21" s="162"/>
      <c r="AE21" s="162"/>
      <c r="AF21" s="162"/>
      <c r="AG21" s="162"/>
      <c r="AH21" s="162"/>
      <c r="AI21" s="13"/>
    </row>
    <row r="22" spans="6:61" s="12" customFormat="1" ht="16" customHeight="1">
      <c r="G22" s="162" t="s">
        <v>144</v>
      </c>
      <c r="H22" s="162"/>
      <c r="I22" s="162"/>
      <c r="J22" s="162"/>
      <c r="K22" s="162"/>
      <c r="L22" s="162"/>
      <c r="M22" s="162"/>
      <c r="N22" s="162"/>
      <c r="O22" s="162"/>
      <c r="P22" s="162"/>
      <c r="Q22" s="162"/>
      <c r="R22" s="162"/>
      <c r="S22" s="162"/>
      <c r="T22" s="162"/>
      <c r="U22" s="162"/>
      <c r="V22" s="162"/>
      <c r="W22" s="162"/>
      <c r="X22" s="162"/>
      <c r="Y22" s="162"/>
      <c r="Z22" s="162"/>
      <c r="AA22" s="162"/>
      <c r="AB22" s="162"/>
      <c r="AC22" s="162"/>
      <c r="AD22" s="162"/>
      <c r="AE22" s="162"/>
      <c r="AF22" s="162"/>
      <c r="AG22" s="162"/>
      <c r="AH22" s="162"/>
      <c r="AI22" s="13"/>
    </row>
    <row r="23" spans="6:61" s="2" customFormat="1" ht="16" customHeight="1">
      <c r="G23" s="141"/>
      <c r="H23" s="141"/>
      <c r="I23" s="141"/>
      <c r="J23" s="141"/>
      <c r="K23" s="141"/>
      <c r="L23" s="141"/>
      <c r="M23" s="141"/>
      <c r="N23" s="141"/>
      <c r="O23" s="141"/>
      <c r="P23" s="141"/>
      <c r="Q23" s="141"/>
      <c r="R23" s="141"/>
      <c r="S23" s="141"/>
      <c r="T23" s="141"/>
      <c r="U23" s="141"/>
      <c r="V23" s="141"/>
      <c r="W23" s="141"/>
      <c r="X23" s="141"/>
      <c r="Y23" s="141"/>
      <c r="Z23" s="141"/>
      <c r="AA23" s="141"/>
      <c r="AB23" s="141"/>
      <c r="AC23" s="141"/>
      <c r="AD23" s="141"/>
      <c r="AE23" s="141"/>
      <c r="AF23" s="141"/>
      <c r="AG23" s="141"/>
      <c r="AH23" s="141"/>
      <c r="AI23" s="1"/>
      <c r="AN23" s="163"/>
      <c r="AO23" s="163"/>
      <c r="AP23" s="163"/>
      <c r="AQ23" s="163"/>
      <c r="AR23" s="163"/>
      <c r="AS23" s="163"/>
      <c r="AT23" s="163"/>
      <c r="AU23" s="163"/>
      <c r="AV23" s="163"/>
      <c r="AW23" s="163"/>
      <c r="AX23" s="163"/>
      <c r="AY23" s="163"/>
      <c r="AZ23" s="163"/>
      <c r="BA23" s="163"/>
      <c r="BB23" s="163"/>
      <c r="BC23" s="163"/>
      <c r="BD23" s="163"/>
      <c r="BE23" s="163"/>
      <c r="BF23" s="163"/>
      <c r="BG23" s="163"/>
      <c r="BH23" s="163"/>
      <c r="BI23" s="163"/>
    </row>
    <row r="24" spans="6:61" s="2" customFormat="1" ht="19.5" customHeight="1">
      <c r="F24" s="10" t="s">
        <v>10</v>
      </c>
      <c r="G24" s="157" t="s">
        <v>176</v>
      </c>
      <c r="H24" s="157"/>
      <c r="I24" s="157"/>
      <c r="J24" s="157"/>
      <c r="K24" s="157"/>
      <c r="L24" s="157"/>
      <c r="M24" s="157"/>
      <c r="N24" s="157"/>
      <c r="O24" s="157"/>
      <c r="P24" s="157"/>
      <c r="Q24" s="157"/>
      <c r="R24" s="157"/>
      <c r="S24" s="157"/>
      <c r="T24" s="157"/>
      <c r="U24" s="157"/>
      <c r="V24" s="157"/>
      <c r="W24" s="157"/>
      <c r="X24" s="157"/>
      <c r="Y24" s="157"/>
      <c r="Z24" s="157"/>
      <c r="AA24" s="157"/>
      <c r="AB24" s="157"/>
      <c r="AC24" s="157"/>
      <c r="AD24" s="157"/>
      <c r="AE24" s="157"/>
      <c r="AF24" s="157"/>
      <c r="AG24" s="157"/>
      <c r="AH24" s="157"/>
      <c r="AM24" s="164"/>
      <c r="AN24" s="164"/>
      <c r="AO24" s="164"/>
      <c r="AP24" s="164"/>
      <c r="AQ24" s="164"/>
      <c r="AR24" s="164"/>
      <c r="AS24" s="164"/>
      <c r="AT24" s="164"/>
      <c r="AU24" s="164"/>
      <c r="AV24" s="164"/>
      <c r="AW24" s="164"/>
      <c r="AX24" s="164"/>
      <c r="AY24" s="164"/>
      <c r="AZ24" s="164"/>
      <c r="BA24" s="164"/>
      <c r="BB24" s="164"/>
      <c r="BC24" s="164"/>
      <c r="BD24" s="164"/>
      <c r="BE24" s="164"/>
      <c r="BF24" s="164"/>
      <c r="BG24" s="164"/>
      <c r="BH24" s="164"/>
    </row>
    <row r="25" spans="6:61" s="8" customFormat="1" ht="16" customHeight="1">
      <c r="F25" s="9"/>
      <c r="G25" s="141"/>
      <c r="H25" s="141"/>
      <c r="I25" s="141"/>
      <c r="J25" s="141"/>
      <c r="K25" s="162" t="s">
        <v>150</v>
      </c>
      <c r="L25" s="162"/>
      <c r="M25" s="162"/>
      <c r="N25" s="162"/>
      <c r="O25" s="162"/>
      <c r="P25" s="162"/>
      <c r="Q25" s="162"/>
      <c r="R25" s="157" t="str">
        <f>K10</f>
        <v>마곡엠밸리4단지아파트</v>
      </c>
      <c r="S25" s="157"/>
      <c r="T25" s="157"/>
      <c r="U25" s="157"/>
      <c r="V25" s="157"/>
      <c r="W25" s="157"/>
      <c r="X25" s="157"/>
      <c r="Y25" s="157"/>
      <c r="Z25" s="157"/>
      <c r="AA25" s="157"/>
      <c r="AB25" s="157"/>
      <c r="AC25" s="157"/>
      <c r="AD25" s="157"/>
      <c r="AE25" s="157"/>
      <c r="AF25" s="157"/>
      <c r="AG25" s="157"/>
      <c r="AH25" s="141"/>
      <c r="AM25" s="165"/>
      <c r="AN25" s="165"/>
      <c r="AO25" s="165"/>
      <c r="AP25" s="165"/>
      <c r="AQ25" s="165"/>
      <c r="AR25" s="165"/>
      <c r="AS25" s="165"/>
      <c r="AT25" s="165"/>
      <c r="AU25" s="165"/>
      <c r="AV25" s="165"/>
      <c r="AW25" s="165"/>
      <c r="AX25" s="165"/>
      <c r="AY25" s="165"/>
      <c r="AZ25" s="165"/>
      <c r="BA25" s="165"/>
      <c r="BB25" s="165"/>
      <c r="BC25" s="165"/>
      <c r="BD25" s="165"/>
      <c r="BE25" s="165"/>
      <c r="BF25" s="165"/>
      <c r="BG25" s="165"/>
      <c r="BH25" s="165"/>
    </row>
    <row r="26" spans="6:61" s="8" customFormat="1" ht="16" customHeight="1">
      <c r="F26" s="9"/>
      <c r="G26" s="141"/>
      <c r="H26" s="141"/>
      <c r="I26" s="141"/>
      <c r="J26" s="141"/>
      <c r="K26" s="162" t="s">
        <v>149</v>
      </c>
      <c r="L26" s="162"/>
      <c r="M26" s="162"/>
      <c r="N26" s="162"/>
      <c r="O26" s="162"/>
      <c r="P26" s="162"/>
      <c r="Q26" s="162"/>
      <c r="R26" s="157" t="s">
        <v>11</v>
      </c>
      <c r="S26" s="157"/>
      <c r="T26" s="157"/>
      <c r="U26" s="157"/>
      <c r="V26" s="157"/>
      <c r="W26" s="157"/>
      <c r="X26" s="157"/>
      <c r="Y26" s="157"/>
      <c r="Z26" s="157"/>
      <c r="AA26" s="157"/>
      <c r="AB26" s="157"/>
      <c r="AC26" s="157"/>
      <c r="AD26" s="157"/>
      <c r="AE26" s="157"/>
      <c r="AF26" s="157"/>
      <c r="AG26" s="157"/>
      <c r="AH26" s="141"/>
    </row>
    <row r="27" spans="6:61" s="8" customFormat="1" ht="16" customHeight="1">
      <c r="F27" s="9"/>
      <c r="G27" s="141"/>
      <c r="H27" s="141"/>
      <c r="I27" s="141"/>
      <c r="J27" s="141"/>
      <c r="K27" s="162" t="s">
        <v>148</v>
      </c>
      <c r="L27" s="162"/>
      <c r="M27" s="162"/>
      <c r="N27" s="162"/>
      <c r="O27" s="162"/>
      <c r="P27" s="162"/>
      <c r="Q27" s="162"/>
      <c r="R27" s="157" t="s">
        <v>112</v>
      </c>
      <c r="S27" s="157"/>
      <c r="T27" s="157"/>
      <c r="U27" s="157"/>
      <c r="V27" s="157"/>
      <c r="W27" s="157"/>
      <c r="X27" s="157"/>
      <c r="Y27" s="157"/>
      <c r="Z27" s="157"/>
      <c r="AA27" s="157"/>
      <c r="AB27" s="157"/>
      <c r="AC27" s="157"/>
      <c r="AD27" s="157"/>
      <c r="AE27" s="157"/>
      <c r="AF27" s="157"/>
      <c r="AG27" s="157"/>
      <c r="AH27" s="141"/>
    </row>
    <row r="28" spans="6:61" s="8" customFormat="1" ht="16" customHeight="1">
      <c r="F28" s="9"/>
      <c r="G28" s="141"/>
      <c r="H28" s="141"/>
      <c r="I28" s="141"/>
      <c r="J28" s="141"/>
      <c r="K28" s="162" t="s">
        <v>147</v>
      </c>
      <c r="L28" s="162"/>
      <c r="M28" s="162"/>
      <c r="N28" s="162"/>
      <c r="O28" s="162"/>
      <c r="P28" s="162"/>
      <c r="Q28" s="162"/>
      <c r="R28" s="157" t="s">
        <v>12</v>
      </c>
      <c r="S28" s="157"/>
      <c r="T28" s="157"/>
      <c r="U28" s="157"/>
      <c r="V28" s="157"/>
      <c r="W28" s="157"/>
      <c r="X28" s="157"/>
      <c r="Y28" s="157"/>
      <c r="Z28" s="157"/>
      <c r="AA28" s="157"/>
      <c r="AB28" s="157"/>
      <c r="AC28" s="157"/>
      <c r="AD28" s="157"/>
      <c r="AE28" s="157"/>
      <c r="AF28" s="157"/>
      <c r="AG28" s="157"/>
      <c r="AH28" s="141"/>
    </row>
    <row r="29" spans="6:61" s="8" customFormat="1" ht="16" customHeight="1">
      <c r="F29" s="9"/>
      <c r="G29" s="141"/>
      <c r="H29" s="141"/>
      <c r="I29" s="141"/>
      <c r="J29" s="141"/>
      <c r="K29" s="162" t="s">
        <v>146</v>
      </c>
      <c r="L29" s="162"/>
      <c r="M29" s="162"/>
      <c r="N29" s="162"/>
      <c r="O29" s="162"/>
      <c r="P29" s="162"/>
      <c r="Q29" s="162"/>
      <c r="R29" s="166" t="s">
        <v>13</v>
      </c>
      <c r="S29" s="166"/>
      <c r="T29" s="166"/>
      <c r="U29" s="166"/>
      <c r="V29" s="166"/>
      <c r="W29" s="166"/>
      <c r="X29" s="166"/>
      <c r="Y29" s="166" t="s">
        <v>14</v>
      </c>
      <c r="Z29" s="166"/>
      <c r="AA29" s="166" t="s">
        <v>13</v>
      </c>
      <c r="AB29" s="166"/>
      <c r="AC29" s="166"/>
      <c r="AD29" s="166"/>
      <c r="AE29" s="166"/>
      <c r="AF29" s="166"/>
      <c r="AG29" s="166"/>
      <c r="AH29" s="153"/>
    </row>
    <row r="30" spans="6:61" s="2" customFormat="1" ht="5" customHeight="1">
      <c r="F30" s="10"/>
      <c r="G30" s="141"/>
      <c r="H30" s="141"/>
      <c r="I30" s="141"/>
      <c r="J30" s="141"/>
      <c r="K30" s="141"/>
      <c r="L30" s="141"/>
      <c r="M30" s="141"/>
      <c r="N30" s="141"/>
      <c r="O30" s="141"/>
      <c r="P30" s="141"/>
      <c r="Q30" s="141"/>
      <c r="R30" s="141"/>
      <c r="S30" s="141"/>
      <c r="T30" s="141"/>
      <c r="U30" s="141"/>
      <c r="V30" s="141"/>
      <c r="W30" s="141"/>
      <c r="X30" s="141"/>
      <c r="Y30" s="141"/>
      <c r="Z30" s="141"/>
      <c r="AA30" s="141"/>
      <c r="AB30" s="141"/>
      <c r="AC30" s="141"/>
      <c r="AD30" s="141"/>
      <c r="AE30" s="141"/>
      <c r="AF30" s="141"/>
      <c r="AG30" s="141"/>
      <c r="AH30" s="141"/>
    </row>
    <row r="31" spans="6:61" s="2" customFormat="1" ht="19.5" customHeight="1">
      <c r="F31" s="10" t="s">
        <v>16</v>
      </c>
      <c r="G31" s="166" t="s">
        <v>179</v>
      </c>
      <c r="H31" s="166"/>
      <c r="I31" s="166"/>
      <c r="J31" s="166"/>
      <c r="K31" s="166"/>
      <c r="L31" s="166"/>
      <c r="M31" s="166"/>
      <c r="N31" s="166"/>
      <c r="O31" s="166"/>
      <c r="P31" s="166"/>
      <c r="Q31" s="166"/>
      <c r="R31" s="141"/>
      <c r="S31" s="145"/>
      <c r="T31" s="145"/>
      <c r="U31" s="145"/>
      <c r="V31" s="146"/>
      <c r="W31" s="146"/>
      <c r="X31" s="146"/>
      <c r="Y31" s="146"/>
      <c r="Z31" s="146"/>
      <c r="AA31" s="146"/>
      <c r="AB31" s="146"/>
      <c r="AC31" s="146"/>
      <c r="AD31" s="146"/>
      <c r="AE31" s="146"/>
      <c r="AF31" s="146"/>
      <c r="AG31" s="146"/>
      <c r="AH31" s="141"/>
    </row>
    <row r="32" spans="6:61" s="8" customFormat="1" ht="16.5" customHeight="1">
      <c r="F32" s="9"/>
      <c r="G32" s="141"/>
      <c r="H32" s="141"/>
      <c r="I32" s="141"/>
      <c r="J32" s="146"/>
      <c r="K32" s="171" t="s">
        <v>111</v>
      </c>
      <c r="L32" s="171"/>
      <c r="M32" s="171"/>
      <c r="N32" s="171"/>
      <c r="O32" s="171"/>
      <c r="P32" s="171"/>
      <c r="Q32" s="171"/>
      <c r="R32" s="171"/>
      <c r="S32" s="171"/>
      <c r="T32" s="171"/>
      <c r="U32" s="171"/>
      <c r="V32" s="171"/>
      <c r="W32" s="171"/>
      <c r="X32" s="171"/>
      <c r="Y32" s="171"/>
      <c r="Z32" s="171"/>
      <c r="AA32" s="171"/>
      <c r="AB32" s="171"/>
      <c r="AC32" s="171"/>
      <c r="AD32" s="171"/>
      <c r="AE32" s="171"/>
      <c r="AF32" s="171"/>
      <c r="AG32" s="171"/>
      <c r="AH32" s="171"/>
    </row>
    <row r="33" spans="6:37" s="8" customFormat="1" ht="16.5" customHeight="1">
      <c r="F33" s="9"/>
      <c r="G33" s="141"/>
      <c r="H33" s="141"/>
      <c r="I33" s="141"/>
      <c r="J33" s="146"/>
      <c r="K33" s="171" t="s">
        <v>162</v>
      </c>
      <c r="L33" s="171"/>
      <c r="M33" s="171"/>
      <c r="N33" s="171"/>
      <c r="O33" s="171"/>
      <c r="P33" s="171"/>
      <c r="Q33" s="171"/>
      <c r="R33" s="171"/>
      <c r="S33" s="171"/>
      <c r="T33" s="171"/>
      <c r="U33" s="171"/>
      <c r="V33" s="171"/>
      <c r="W33" s="171"/>
      <c r="X33" s="171"/>
      <c r="Y33" s="171"/>
      <c r="Z33" s="171"/>
      <c r="AA33" s="171"/>
      <c r="AB33" s="171"/>
      <c r="AC33" s="171"/>
      <c r="AD33" s="171"/>
      <c r="AE33" s="171"/>
      <c r="AF33" s="171"/>
      <c r="AG33" s="171"/>
      <c r="AH33" s="171"/>
    </row>
    <row r="34" spans="6:37" s="2" customFormat="1" ht="5" customHeight="1">
      <c r="F34" s="10"/>
      <c r="G34" s="141"/>
      <c r="H34" s="141"/>
      <c r="I34" s="141"/>
      <c r="J34" s="141"/>
      <c r="K34" s="141"/>
      <c r="L34" s="141"/>
      <c r="M34" s="141"/>
      <c r="N34" s="141"/>
      <c r="O34" s="141"/>
      <c r="P34" s="141"/>
      <c r="Q34" s="141"/>
      <c r="R34" s="141"/>
      <c r="S34" s="141"/>
      <c r="T34" s="141"/>
      <c r="U34" s="141"/>
      <c r="V34" s="141"/>
      <c r="W34" s="141"/>
      <c r="X34" s="141"/>
      <c r="Y34" s="141"/>
      <c r="Z34" s="141"/>
      <c r="AA34" s="141"/>
      <c r="AB34" s="141"/>
      <c r="AC34" s="141"/>
      <c r="AD34" s="141"/>
      <c r="AE34" s="141"/>
      <c r="AF34" s="141"/>
      <c r="AG34" s="141"/>
      <c r="AH34" s="141"/>
    </row>
    <row r="35" spans="6:37" s="8" customFormat="1" ht="19.5" customHeight="1">
      <c r="F35" s="10" t="s">
        <v>15</v>
      </c>
      <c r="G35" s="157" t="s">
        <v>177</v>
      </c>
      <c r="H35" s="157"/>
      <c r="I35" s="157"/>
      <c r="J35" s="157"/>
      <c r="K35" s="157"/>
      <c r="L35" s="157"/>
      <c r="M35" s="157"/>
      <c r="N35" s="157"/>
      <c r="O35" s="157"/>
      <c r="P35" s="157"/>
      <c r="Q35" s="157"/>
      <c r="R35" s="156" t="str">
        <f>대가산출!I3</f>
        <v>일금육십만원정 (₩600,000) - VAT별도</v>
      </c>
      <c r="S35" s="156"/>
      <c r="T35" s="156"/>
      <c r="U35" s="156"/>
      <c r="V35" s="156"/>
      <c r="W35" s="156"/>
      <c r="X35" s="156"/>
      <c r="Y35" s="156"/>
      <c r="Z35" s="156"/>
      <c r="AA35" s="156"/>
      <c r="AB35" s="156"/>
      <c r="AC35" s="156"/>
      <c r="AD35" s="156"/>
      <c r="AE35" s="156"/>
      <c r="AF35" s="156"/>
      <c r="AG35" s="172"/>
      <c r="AH35" s="172"/>
    </row>
    <row r="36" spans="6:37" s="2" customFormat="1" ht="5" customHeight="1">
      <c r="F36" s="10"/>
      <c r="G36" s="141"/>
      <c r="H36" s="141"/>
      <c r="I36" s="141"/>
      <c r="J36" s="141"/>
      <c r="K36" s="141"/>
      <c r="L36" s="141"/>
      <c r="M36" s="141"/>
      <c r="N36" s="141"/>
      <c r="O36" s="141"/>
      <c r="P36" s="141"/>
      <c r="Q36" s="141"/>
      <c r="R36" s="141"/>
      <c r="S36" s="141"/>
      <c r="T36" s="141"/>
      <c r="U36" s="141"/>
      <c r="V36" s="141"/>
      <c r="W36" s="141"/>
      <c r="X36" s="141"/>
      <c r="Y36" s="141"/>
      <c r="Z36" s="141"/>
      <c r="AA36" s="141"/>
      <c r="AB36" s="141"/>
      <c r="AC36" s="141"/>
      <c r="AD36" s="141"/>
      <c r="AE36" s="141"/>
      <c r="AF36" s="141"/>
      <c r="AG36" s="141"/>
      <c r="AH36" s="141"/>
    </row>
    <row r="37" spans="6:37" s="2" customFormat="1" ht="19.5" customHeight="1">
      <c r="F37" s="10" t="s">
        <v>17</v>
      </c>
      <c r="G37" s="167" t="s">
        <v>178</v>
      </c>
      <c r="H37" s="167"/>
      <c r="I37" s="167"/>
      <c r="J37" s="167"/>
      <c r="K37" s="167"/>
      <c r="L37" s="167"/>
      <c r="M37" s="167"/>
      <c r="N37" s="167"/>
      <c r="O37" s="167"/>
      <c r="P37" s="167"/>
      <c r="Q37" s="167"/>
      <c r="R37" s="141"/>
      <c r="S37" s="147"/>
      <c r="T37" s="147"/>
      <c r="U37" s="147"/>
      <c r="V37" s="147"/>
      <c r="W37" s="147"/>
      <c r="X37" s="147"/>
      <c r="Y37" s="147"/>
      <c r="Z37" s="147"/>
      <c r="AA37" s="147"/>
      <c r="AB37" s="147"/>
      <c r="AC37" s="147"/>
      <c r="AD37" s="147"/>
      <c r="AE37" s="147"/>
      <c r="AF37" s="147"/>
      <c r="AG37" s="147"/>
      <c r="AH37" s="141"/>
    </row>
    <row r="38" spans="6:37" s="2" customFormat="1" ht="16.5" customHeight="1">
      <c r="F38" s="10"/>
      <c r="G38" s="141"/>
      <c r="H38" s="141"/>
      <c r="I38" s="141"/>
      <c r="J38" s="141"/>
      <c r="K38" s="168" t="s">
        <v>157</v>
      </c>
      <c r="L38" s="168"/>
      <c r="M38" s="168"/>
      <c r="N38" s="168"/>
      <c r="O38" s="168"/>
      <c r="P38" s="168"/>
      <c r="Q38" s="168"/>
      <c r="R38" s="168"/>
      <c r="S38" s="168"/>
      <c r="T38" s="168"/>
      <c r="U38" s="168"/>
      <c r="V38" s="168"/>
      <c r="W38" s="168"/>
      <c r="X38" s="168"/>
      <c r="Y38" s="168"/>
      <c r="Z38" s="168"/>
      <c r="AA38" s="168"/>
      <c r="AB38" s="168"/>
      <c r="AC38" s="168"/>
      <c r="AD38" s="168"/>
      <c r="AE38" s="168"/>
      <c r="AF38" s="168"/>
      <c r="AG38" s="168"/>
      <c r="AH38" s="148"/>
      <c r="AI38" s="11"/>
      <c r="AJ38" s="11"/>
      <c r="AK38" s="11"/>
    </row>
    <row r="39" spans="6:37" s="2" customFormat="1" ht="16.5" customHeight="1">
      <c r="F39" s="10"/>
      <c r="G39" s="141"/>
      <c r="H39" s="141"/>
      <c r="I39" s="141"/>
      <c r="J39" s="141"/>
      <c r="K39" s="169" t="s">
        <v>145</v>
      </c>
      <c r="L39" s="169"/>
      <c r="M39" s="169"/>
      <c r="N39" s="169"/>
      <c r="O39" s="169"/>
      <c r="P39" s="169"/>
      <c r="Q39" s="169"/>
      <c r="R39" s="169"/>
      <c r="S39" s="169"/>
      <c r="T39" s="169"/>
      <c r="U39" s="169"/>
      <c r="V39" s="169"/>
      <c r="W39" s="169"/>
      <c r="X39" s="169"/>
      <c r="Y39" s="169"/>
      <c r="Z39" s="169"/>
      <c r="AA39" s="169"/>
      <c r="AB39" s="169"/>
      <c r="AC39" s="169"/>
      <c r="AD39" s="169"/>
      <c r="AE39" s="169"/>
      <c r="AF39" s="169"/>
      <c r="AG39" s="169"/>
      <c r="AH39" s="141"/>
    </row>
    <row r="40" spans="6:37" s="2" customFormat="1" ht="18">
      <c r="F40"/>
      <c r="G40" s="141"/>
      <c r="H40" s="141"/>
      <c r="I40" s="141"/>
      <c r="J40" s="141"/>
      <c r="K40" s="149"/>
      <c r="L40" s="149"/>
      <c r="M40" s="149"/>
      <c r="N40" s="149"/>
      <c r="O40" s="149"/>
      <c r="P40" s="149"/>
      <c r="Q40" s="149"/>
      <c r="R40" s="149"/>
      <c r="S40" s="149"/>
      <c r="T40" s="149"/>
      <c r="U40" s="149"/>
      <c r="V40" s="149"/>
      <c r="W40" s="149"/>
      <c r="X40" s="149"/>
      <c r="Y40" s="149"/>
      <c r="Z40" s="149"/>
      <c r="AA40" s="149"/>
      <c r="AB40" s="149"/>
      <c r="AC40" s="149"/>
      <c r="AD40" s="149"/>
      <c r="AE40" s="149"/>
      <c r="AF40" s="149"/>
      <c r="AG40" s="149"/>
      <c r="AH40" s="141"/>
    </row>
    <row r="41" spans="6:37" s="2" customFormat="1" ht="18">
      <c r="F41"/>
      <c r="G41" s="141"/>
      <c r="H41" s="141"/>
      <c r="I41" s="141"/>
      <c r="J41" s="141"/>
      <c r="K41" s="149"/>
      <c r="L41" s="149"/>
      <c r="M41" s="149"/>
      <c r="N41" s="149"/>
      <c r="O41" s="149"/>
      <c r="P41" s="149"/>
      <c r="Q41" s="149"/>
      <c r="R41" s="149"/>
      <c r="S41" s="149"/>
      <c r="T41" s="149"/>
      <c r="U41" s="149"/>
      <c r="V41" s="149"/>
      <c r="W41" s="149"/>
      <c r="X41" s="149"/>
      <c r="Y41" s="149"/>
      <c r="Z41" s="149"/>
      <c r="AA41" s="149"/>
      <c r="AB41" s="149"/>
      <c r="AC41" s="149"/>
      <c r="AD41" s="149"/>
      <c r="AE41" s="149"/>
      <c r="AF41" s="149"/>
      <c r="AG41" s="149"/>
      <c r="AH41" s="141"/>
    </row>
    <row r="42" spans="6:37" s="2" customFormat="1" ht="15.75" customHeight="1">
      <c r="G42" s="150"/>
      <c r="H42" s="141"/>
      <c r="I42" s="141"/>
      <c r="J42" s="141"/>
      <c r="K42" s="141"/>
      <c r="L42" s="141"/>
      <c r="M42" s="141"/>
      <c r="N42" s="141"/>
      <c r="O42" s="141"/>
      <c r="P42" s="141"/>
      <c r="Q42" s="141"/>
      <c r="R42" s="141"/>
      <c r="S42" s="141"/>
      <c r="T42" s="141"/>
      <c r="U42" s="141"/>
      <c r="V42" s="141"/>
      <c r="W42" s="141"/>
      <c r="X42" s="141"/>
      <c r="Y42" s="141"/>
      <c r="Z42" s="141"/>
      <c r="AA42" s="141"/>
      <c r="AB42" s="141"/>
      <c r="AC42" s="141"/>
      <c r="AD42" s="141"/>
      <c r="AE42" s="141"/>
      <c r="AF42" s="141"/>
      <c r="AG42" s="141"/>
      <c r="AH42" s="141"/>
      <c r="AI42" s="1"/>
    </row>
    <row r="43" spans="6:37" s="2" customFormat="1" ht="19.5" customHeight="1">
      <c r="G43" s="150" t="s">
        <v>114</v>
      </c>
      <c r="H43" s="141"/>
      <c r="I43" s="141"/>
      <c r="J43" s="141"/>
      <c r="K43" s="141"/>
      <c r="L43" s="141"/>
      <c r="M43" s="141"/>
      <c r="N43" s="141"/>
      <c r="O43" s="141"/>
      <c r="P43" s="141"/>
      <c r="Q43" s="141"/>
      <c r="R43" s="141"/>
      <c r="S43" s="141"/>
      <c r="T43" s="141"/>
      <c r="U43" s="141"/>
      <c r="V43" s="141"/>
      <c r="W43" s="141"/>
      <c r="X43" s="141"/>
      <c r="Y43" s="141"/>
      <c r="Z43" s="141"/>
      <c r="AA43" s="141"/>
      <c r="AB43" s="141"/>
      <c r="AC43" s="141"/>
      <c r="AD43" s="141"/>
      <c r="AE43" s="141"/>
      <c r="AF43" s="141"/>
      <c r="AG43" s="141"/>
      <c r="AH43" s="141"/>
      <c r="AI43" s="1"/>
    </row>
    <row r="44" spans="6:37" s="2" customFormat="1" ht="15.75" customHeight="1">
      <c r="G44" s="150"/>
      <c r="H44" s="141"/>
      <c r="I44" s="141"/>
      <c r="J44" s="141"/>
      <c r="K44" s="141"/>
      <c r="L44" s="141"/>
      <c r="M44" s="141"/>
      <c r="N44" s="141"/>
      <c r="O44" s="141"/>
      <c r="P44" s="141"/>
      <c r="Q44" s="141"/>
      <c r="R44" s="141"/>
      <c r="S44" s="141"/>
      <c r="T44" s="141"/>
      <c r="U44" s="141"/>
      <c r="V44" s="141"/>
      <c r="W44" s="141"/>
      <c r="X44" s="141"/>
      <c r="Y44" s="141"/>
      <c r="Z44" s="141"/>
      <c r="AA44" s="141"/>
      <c r="AB44" s="141"/>
      <c r="AC44" s="141"/>
      <c r="AD44" s="141"/>
      <c r="AE44" s="141"/>
      <c r="AF44" s="141"/>
      <c r="AG44" s="141"/>
      <c r="AH44" s="141"/>
      <c r="AI44" s="1"/>
    </row>
    <row r="45" spans="6:37" s="2" customFormat="1" ht="39.75" customHeight="1">
      <c r="G45" s="170" t="s">
        <v>7</v>
      </c>
      <c r="H45" s="170"/>
      <c r="I45" s="170"/>
      <c r="J45" s="170"/>
      <c r="K45" s="170"/>
      <c r="L45" s="170"/>
      <c r="M45" s="170"/>
      <c r="N45" s="170"/>
      <c r="O45" s="170"/>
      <c r="P45" s="170"/>
      <c r="Q45" s="170"/>
      <c r="R45" s="170"/>
      <c r="S45" s="170"/>
      <c r="T45" s="170"/>
      <c r="U45" s="170"/>
      <c r="V45" s="170"/>
      <c r="W45" s="170"/>
      <c r="X45" s="170"/>
      <c r="Y45" s="170"/>
      <c r="Z45" s="170"/>
      <c r="AA45" s="170"/>
      <c r="AB45" s="170"/>
      <c r="AC45" s="170"/>
      <c r="AD45" s="170"/>
      <c r="AE45" s="170"/>
      <c r="AF45" s="170"/>
      <c r="AG45" s="170"/>
      <c r="AH45" s="170"/>
      <c r="AI45" s="3"/>
    </row>
    <row r="46" spans="6:37" ht="15">
      <c r="G46" s="151"/>
      <c r="H46" s="151"/>
      <c r="I46" s="152"/>
      <c r="J46" s="152"/>
      <c r="K46" s="152"/>
      <c r="L46" s="152"/>
      <c r="M46" s="152"/>
      <c r="N46" s="152"/>
      <c r="O46" s="152"/>
      <c r="P46" s="151"/>
      <c r="Q46" s="151"/>
      <c r="R46" s="151"/>
      <c r="S46" s="151"/>
      <c r="T46" s="151"/>
      <c r="U46" s="151"/>
      <c r="V46" s="151"/>
      <c r="W46" s="151"/>
      <c r="X46" s="151"/>
      <c r="Y46" s="151"/>
      <c r="Z46" s="151"/>
      <c r="AA46" s="151"/>
      <c r="AB46" s="151"/>
      <c r="AC46" s="151"/>
      <c r="AD46" s="151"/>
      <c r="AE46" s="151"/>
      <c r="AF46" s="151"/>
      <c r="AG46" s="151"/>
      <c r="AH46" s="151"/>
    </row>
    <row r="47" spans="6:37">
      <c r="G47" s="4"/>
      <c r="H47" s="4"/>
      <c r="I47" s="5"/>
      <c r="J47" s="5"/>
      <c r="K47" s="5"/>
      <c r="L47" s="5"/>
      <c r="M47" s="5"/>
      <c r="N47" s="5"/>
      <c r="O47" s="5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</row>
    <row r="48" spans="6:37">
      <c r="G48" s="4"/>
      <c r="H48" s="4"/>
      <c r="I48" s="5"/>
      <c r="J48" s="5"/>
      <c r="K48" s="5"/>
      <c r="L48" s="5"/>
      <c r="M48" s="5"/>
      <c r="N48" s="5"/>
      <c r="O48" s="5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</row>
    <row r="49" spans="9:15">
      <c r="I49" s="6"/>
      <c r="J49" s="6"/>
      <c r="K49" s="6"/>
      <c r="L49" s="6"/>
      <c r="M49" s="6"/>
      <c r="N49" s="6"/>
      <c r="O49" s="6"/>
    </row>
    <row r="50" spans="9:15">
      <c r="I50" s="6"/>
      <c r="J50" s="6"/>
      <c r="K50" s="6"/>
      <c r="L50" s="6"/>
      <c r="M50" s="6"/>
      <c r="N50" s="6"/>
      <c r="O50" s="6"/>
    </row>
    <row r="51" spans="9:15">
      <c r="I51" s="6"/>
      <c r="J51" s="6"/>
      <c r="K51" s="6"/>
      <c r="L51" s="6"/>
      <c r="M51" s="6"/>
      <c r="N51" s="6"/>
      <c r="O51" s="6"/>
    </row>
    <row r="52" spans="9:15">
      <c r="I52" s="6"/>
      <c r="J52" s="6"/>
      <c r="K52" s="6"/>
      <c r="L52" s="6"/>
      <c r="M52" s="6"/>
      <c r="N52" s="6"/>
      <c r="O52" s="6"/>
    </row>
    <row r="53" spans="9:15">
      <c r="I53" s="6"/>
      <c r="J53" s="6"/>
      <c r="K53" s="6"/>
      <c r="L53" s="6"/>
      <c r="M53" s="6"/>
      <c r="N53" s="6"/>
      <c r="O53" s="6"/>
    </row>
    <row r="54" spans="9:15">
      <c r="I54" s="6"/>
      <c r="J54" s="6"/>
      <c r="K54" s="6"/>
      <c r="L54" s="6"/>
      <c r="M54" s="6"/>
      <c r="N54" s="6"/>
      <c r="O54" s="6"/>
    </row>
    <row r="55" spans="9:15">
      <c r="I55" s="6"/>
      <c r="J55" s="6"/>
      <c r="K55" s="6"/>
      <c r="L55" s="6"/>
      <c r="M55" s="6"/>
      <c r="N55" s="6"/>
      <c r="O55" s="6"/>
    </row>
    <row r="56" spans="9:15">
      <c r="I56" s="6"/>
      <c r="J56" s="6"/>
      <c r="K56" s="6"/>
      <c r="L56" s="6"/>
      <c r="M56" s="6"/>
      <c r="N56" s="6"/>
      <c r="O56" s="6"/>
    </row>
    <row r="57" spans="9:15">
      <c r="I57" s="6"/>
      <c r="J57" s="6"/>
      <c r="K57" s="6"/>
      <c r="L57" s="6"/>
      <c r="M57" s="6"/>
      <c r="N57" s="6"/>
      <c r="O57" s="6"/>
    </row>
    <row r="58" spans="9:15">
      <c r="I58" s="6"/>
      <c r="J58" s="6"/>
      <c r="K58" s="6"/>
      <c r="L58" s="6"/>
      <c r="M58" s="6"/>
      <c r="N58" s="6"/>
      <c r="O58" s="6"/>
    </row>
    <row r="59" spans="9:15">
      <c r="I59" s="6"/>
      <c r="J59" s="6"/>
      <c r="K59" s="6"/>
      <c r="L59" s="6"/>
      <c r="M59" s="6"/>
      <c r="N59" s="6"/>
      <c r="O59" s="6"/>
    </row>
    <row r="60" spans="9:15">
      <c r="I60" s="6"/>
      <c r="J60" s="6"/>
      <c r="K60" s="6"/>
      <c r="L60" s="6"/>
      <c r="M60" s="6"/>
      <c r="N60" s="6"/>
      <c r="O60" s="6"/>
    </row>
    <row r="61" spans="9:15">
      <c r="I61" s="6"/>
      <c r="J61" s="6"/>
      <c r="K61" s="6"/>
      <c r="L61" s="6"/>
      <c r="M61" s="6"/>
      <c r="N61" s="6"/>
      <c r="O61" s="6"/>
    </row>
    <row r="62" spans="9:15">
      <c r="I62" s="6"/>
      <c r="J62" s="6"/>
      <c r="K62" s="6"/>
      <c r="L62" s="6"/>
      <c r="M62" s="6"/>
      <c r="N62" s="6"/>
      <c r="O62" s="6"/>
    </row>
    <row r="63" spans="9:15">
      <c r="I63" s="6"/>
      <c r="J63" s="6"/>
      <c r="K63" s="6"/>
      <c r="L63" s="6"/>
      <c r="M63" s="6"/>
      <c r="N63" s="6"/>
      <c r="O63" s="6"/>
    </row>
    <row r="64" spans="9:15">
      <c r="I64" s="6"/>
      <c r="J64" s="6"/>
      <c r="K64" s="6"/>
      <c r="L64" s="6"/>
      <c r="M64" s="6"/>
      <c r="N64" s="6"/>
      <c r="O64" s="6"/>
    </row>
    <row r="65" spans="9:15">
      <c r="I65" s="6"/>
      <c r="J65" s="6"/>
      <c r="K65" s="6"/>
      <c r="L65" s="6"/>
      <c r="M65" s="6"/>
      <c r="N65" s="6"/>
      <c r="O65" s="6"/>
    </row>
    <row r="66" spans="9:15">
      <c r="I66" s="6"/>
      <c r="J66" s="6"/>
      <c r="K66" s="6"/>
      <c r="L66" s="6"/>
      <c r="M66" s="6"/>
      <c r="N66" s="6"/>
      <c r="O66" s="6"/>
    </row>
    <row r="67" spans="9:15">
      <c r="I67" s="6"/>
      <c r="J67" s="6"/>
      <c r="K67" s="6"/>
      <c r="L67" s="6"/>
      <c r="M67" s="6"/>
      <c r="N67" s="6"/>
      <c r="O67" s="6"/>
    </row>
    <row r="68" spans="9:15">
      <c r="I68" s="6"/>
      <c r="J68" s="6"/>
      <c r="K68" s="6"/>
      <c r="L68" s="6"/>
      <c r="M68" s="6"/>
      <c r="N68" s="6"/>
      <c r="O68" s="6"/>
    </row>
    <row r="69" spans="9:15">
      <c r="I69" s="6"/>
      <c r="J69" s="6"/>
      <c r="K69" s="6"/>
      <c r="L69" s="6"/>
      <c r="M69" s="6"/>
      <c r="N69" s="6"/>
      <c r="O69" s="6"/>
    </row>
    <row r="70" spans="9:15">
      <c r="I70" s="6"/>
      <c r="J70" s="6"/>
      <c r="K70" s="6"/>
      <c r="L70" s="6"/>
      <c r="M70" s="6"/>
      <c r="N70" s="6"/>
      <c r="O70" s="6"/>
    </row>
    <row r="71" spans="9:15">
      <c r="I71" s="6"/>
      <c r="J71" s="6"/>
      <c r="K71" s="6"/>
      <c r="L71" s="6"/>
      <c r="M71" s="6"/>
      <c r="N71" s="6"/>
      <c r="O71" s="6"/>
    </row>
    <row r="72" spans="9:15">
      <c r="I72" s="6"/>
      <c r="J72" s="6"/>
      <c r="K72" s="6"/>
      <c r="L72" s="6"/>
      <c r="M72" s="6"/>
      <c r="N72" s="6"/>
      <c r="O72" s="6"/>
    </row>
    <row r="73" spans="9:15">
      <c r="I73" s="6"/>
      <c r="J73" s="6"/>
      <c r="K73" s="6"/>
      <c r="L73" s="6"/>
      <c r="M73" s="6"/>
      <c r="N73" s="6"/>
      <c r="O73" s="6"/>
    </row>
    <row r="74" spans="9:15">
      <c r="I74" s="6"/>
      <c r="J74" s="6"/>
      <c r="K74" s="6"/>
      <c r="L74" s="6"/>
      <c r="M74" s="6"/>
      <c r="N74" s="6"/>
      <c r="O74" s="6"/>
    </row>
    <row r="75" spans="9:15">
      <c r="I75" s="6"/>
      <c r="J75" s="6"/>
      <c r="K75" s="6"/>
      <c r="L75" s="6"/>
      <c r="M75" s="6"/>
      <c r="N75" s="6"/>
      <c r="O75" s="6"/>
    </row>
    <row r="76" spans="9:15">
      <c r="I76" s="6"/>
      <c r="J76" s="6"/>
      <c r="K76" s="6"/>
      <c r="L76" s="6"/>
      <c r="M76" s="6"/>
      <c r="N76" s="6"/>
      <c r="O76" s="6"/>
    </row>
    <row r="77" spans="9:15">
      <c r="I77" s="6"/>
      <c r="J77" s="6"/>
      <c r="K77" s="6"/>
      <c r="L77" s="6"/>
      <c r="M77" s="6"/>
      <c r="N77" s="6"/>
      <c r="O77" s="6"/>
    </row>
    <row r="78" spans="9:15">
      <c r="I78" s="6"/>
      <c r="J78" s="6"/>
      <c r="K78" s="6"/>
      <c r="L78" s="6"/>
      <c r="M78" s="6"/>
      <c r="N78" s="6"/>
      <c r="O78" s="6"/>
    </row>
    <row r="79" spans="9:15">
      <c r="I79" s="6"/>
      <c r="J79" s="6"/>
      <c r="K79" s="6"/>
      <c r="L79" s="6"/>
      <c r="M79" s="6"/>
      <c r="N79" s="6"/>
      <c r="O79" s="6"/>
    </row>
    <row r="80" spans="9:15">
      <c r="I80" s="6"/>
      <c r="J80" s="6"/>
      <c r="K80" s="6"/>
      <c r="L80" s="6"/>
      <c r="M80" s="6"/>
      <c r="N80" s="6"/>
      <c r="O80" s="6"/>
    </row>
    <row r="81" spans="9:15">
      <c r="I81" s="6"/>
      <c r="J81" s="6"/>
      <c r="K81" s="6"/>
      <c r="L81" s="6"/>
      <c r="M81" s="6"/>
      <c r="N81" s="6"/>
      <c r="O81" s="6"/>
    </row>
    <row r="82" spans="9:15">
      <c r="I82" s="6"/>
      <c r="J82" s="6"/>
      <c r="K82" s="6"/>
      <c r="L82" s="6"/>
      <c r="M82" s="6"/>
      <c r="N82" s="6"/>
      <c r="O82" s="6"/>
    </row>
    <row r="83" spans="9:15">
      <c r="I83" s="6"/>
      <c r="J83" s="6"/>
      <c r="K83" s="6"/>
      <c r="L83" s="6"/>
      <c r="M83" s="6"/>
      <c r="N83" s="6"/>
      <c r="O83" s="6"/>
    </row>
    <row r="84" spans="9:15">
      <c r="I84" s="6"/>
      <c r="J84" s="6"/>
      <c r="K84" s="6"/>
      <c r="L84" s="6"/>
      <c r="M84" s="6"/>
      <c r="N84" s="6"/>
      <c r="O84" s="6"/>
    </row>
    <row r="85" spans="9:15">
      <c r="I85" s="6"/>
      <c r="J85" s="6"/>
      <c r="K85" s="6"/>
      <c r="L85" s="6"/>
      <c r="M85" s="6"/>
      <c r="N85" s="6"/>
      <c r="O85" s="6"/>
    </row>
    <row r="86" spans="9:15">
      <c r="I86" s="6"/>
      <c r="J86" s="6"/>
      <c r="K86" s="6"/>
      <c r="L86" s="6"/>
      <c r="M86" s="6"/>
      <c r="N86" s="6"/>
      <c r="O86" s="6"/>
    </row>
    <row r="87" spans="9:15">
      <c r="I87" s="6"/>
      <c r="J87" s="6"/>
      <c r="K87" s="6"/>
      <c r="L87" s="6"/>
      <c r="M87" s="6"/>
      <c r="N87" s="6"/>
      <c r="O87" s="6"/>
    </row>
    <row r="88" spans="9:15">
      <c r="I88" s="6"/>
      <c r="J88" s="6"/>
      <c r="K88" s="6"/>
      <c r="L88" s="6"/>
      <c r="M88" s="6"/>
      <c r="N88" s="6"/>
      <c r="O88" s="6"/>
    </row>
    <row r="89" spans="9:15">
      <c r="I89" s="6"/>
      <c r="J89" s="6"/>
      <c r="K89" s="6"/>
      <c r="L89" s="6"/>
      <c r="M89" s="6"/>
      <c r="N89" s="6"/>
      <c r="O89" s="6"/>
    </row>
    <row r="90" spans="9:15">
      <c r="I90" s="6"/>
      <c r="J90" s="6"/>
      <c r="K90" s="6"/>
      <c r="L90" s="6"/>
      <c r="M90" s="6"/>
      <c r="N90" s="6"/>
      <c r="O90" s="6"/>
    </row>
    <row r="91" spans="9:15">
      <c r="I91" s="6"/>
      <c r="J91" s="6"/>
      <c r="K91" s="6"/>
      <c r="L91" s="6"/>
      <c r="M91" s="6"/>
      <c r="N91" s="6"/>
      <c r="O91" s="6"/>
    </row>
    <row r="92" spans="9:15">
      <c r="I92" s="6"/>
      <c r="J92" s="6"/>
      <c r="K92" s="6"/>
      <c r="L92" s="6"/>
      <c r="M92" s="6"/>
      <c r="N92" s="6"/>
      <c r="O92" s="6"/>
    </row>
    <row r="93" spans="9:15">
      <c r="I93" s="6"/>
      <c r="J93" s="6"/>
      <c r="K93" s="6"/>
      <c r="L93" s="6"/>
      <c r="M93" s="6"/>
      <c r="N93" s="6"/>
      <c r="O93" s="6"/>
    </row>
    <row r="94" spans="9:15">
      <c r="I94" s="6"/>
      <c r="J94" s="6"/>
      <c r="K94" s="6"/>
      <c r="L94" s="6"/>
      <c r="M94" s="6"/>
      <c r="N94" s="6"/>
      <c r="O94" s="6"/>
    </row>
    <row r="95" spans="9:15">
      <c r="I95" s="6"/>
      <c r="J95" s="6"/>
      <c r="K95" s="6"/>
      <c r="L95" s="6"/>
      <c r="M95" s="6"/>
      <c r="N95" s="6"/>
      <c r="O95" s="6"/>
    </row>
    <row r="96" spans="9:15">
      <c r="I96" s="6"/>
      <c r="J96" s="6"/>
      <c r="K96" s="6"/>
      <c r="L96" s="6"/>
      <c r="M96" s="6"/>
      <c r="N96" s="6"/>
      <c r="O96" s="6"/>
    </row>
    <row r="97" spans="9:15">
      <c r="I97" s="6"/>
      <c r="J97" s="6"/>
      <c r="K97" s="6"/>
      <c r="L97" s="6"/>
      <c r="M97" s="6"/>
      <c r="N97" s="6"/>
      <c r="O97" s="6"/>
    </row>
    <row r="98" spans="9:15">
      <c r="I98" s="6"/>
      <c r="J98" s="6"/>
      <c r="K98" s="6"/>
      <c r="L98" s="6"/>
      <c r="M98" s="6"/>
      <c r="N98" s="6"/>
      <c r="O98" s="6"/>
    </row>
    <row r="99" spans="9:15">
      <c r="I99" s="6"/>
      <c r="J99" s="6"/>
      <c r="K99" s="6"/>
      <c r="L99" s="6"/>
      <c r="M99" s="6"/>
      <c r="N99" s="6"/>
      <c r="O99" s="6"/>
    </row>
    <row r="100" spans="9:15">
      <c r="I100" s="6"/>
      <c r="J100" s="6"/>
      <c r="K100" s="6"/>
      <c r="L100" s="6"/>
      <c r="M100" s="6"/>
      <c r="N100" s="6"/>
      <c r="O100" s="6"/>
    </row>
    <row r="101" spans="9:15">
      <c r="I101" s="6"/>
      <c r="J101" s="6"/>
      <c r="K101" s="6"/>
      <c r="L101" s="6"/>
      <c r="M101" s="6"/>
      <c r="N101" s="6"/>
      <c r="O101" s="6"/>
    </row>
    <row r="102" spans="9:15">
      <c r="I102" s="6"/>
      <c r="J102" s="6"/>
      <c r="K102" s="6"/>
      <c r="L102" s="6"/>
      <c r="M102" s="6"/>
      <c r="N102" s="6"/>
      <c r="O102" s="6"/>
    </row>
    <row r="103" spans="9:15">
      <c r="I103" s="6"/>
      <c r="J103" s="6"/>
      <c r="K103" s="6"/>
      <c r="L103" s="6"/>
      <c r="M103" s="6"/>
      <c r="N103" s="6"/>
      <c r="O103" s="6"/>
    </row>
    <row r="104" spans="9:15">
      <c r="I104" s="6"/>
      <c r="J104" s="6"/>
      <c r="K104" s="6"/>
      <c r="L104" s="6"/>
      <c r="M104" s="6"/>
      <c r="N104" s="6"/>
      <c r="O104" s="6"/>
    </row>
    <row r="105" spans="9:15">
      <c r="I105" s="6"/>
      <c r="J105" s="6"/>
      <c r="K105" s="6"/>
      <c r="L105" s="6"/>
      <c r="M105" s="6"/>
      <c r="N105" s="6"/>
      <c r="O105" s="6"/>
    </row>
    <row r="106" spans="9:15">
      <c r="I106" s="6"/>
      <c r="J106" s="6"/>
      <c r="K106" s="6"/>
      <c r="L106" s="6"/>
      <c r="M106" s="6"/>
      <c r="N106" s="6"/>
      <c r="O106" s="6"/>
    </row>
    <row r="107" spans="9:15">
      <c r="I107" s="6"/>
      <c r="J107" s="6"/>
      <c r="K107" s="6"/>
      <c r="L107" s="6"/>
      <c r="M107" s="6"/>
      <c r="N107" s="6"/>
      <c r="O107" s="6"/>
    </row>
    <row r="108" spans="9:15">
      <c r="I108" s="6"/>
      <c r="J108" s="6"/>
      <c r="K108" s="6"/>
      <c r="L108" s="6"/>
      <c r="M108" s="6"/>
      <c r="N108" s="6"/>
      <c r="O108" s="6"/>
    </row>
    <row r="109" spans="9:15">
      <c r="I109" s="6"/>
      <c r="J109" s="6"/>
      <c r="K109" s="6"/>
      <c r="L109" s="6"/>
      <c r="M109" s="6"/>
      <c r="N109" s="6"/>
      <c r="O109" s="6"/>
    </row>
    <row r="110" spans="9:15">
      <c r="I110" s="6"/>
      <c r="J110" s="6"/>
      <c r="K110" s="6"/>
      <c r="L110" s="6"/>
      <c r="M110" s="6"/>
      <c r="N110" s="6"/>
      <c r="O110" s="6"/>
    </row>
    <row r="111" spans="9:15">
      <c r="I111" s="6"/>
      <c r="J111" s="6"/>
      <c r="K111" s="6"/>
      <c r="L111" s="6"/>
      <c r="M111" s="6"/>
      <c r="N111" s="6"/>
      <c r="O111" s="6"/>
    </row>
    <row r="112" spans="9:15">
      <c r="I112" s="6"/>
      <c r="J112" s="6"/>
      <c r="K112" s="6"/>
      <c r="L112" s="6"/>
      <c r="M112" s="6"/>
      <c r="N112" s="6"/>
      <c r="O112" s="6"/>
    </row>
    <row r="113" spans="9:15">
      <c r="I113" s="6"/>
      <c r="J113" s="6"/>
      <c r="K113" s="6"/>
      <c r="L113" s="6"/>
      <c r="M113" s="6"/>
      <c r="N113" s="6"/>
      <c r="O113" s="6"/>
    </row>
    <row r="114" spans="9:15">
      <c r="I114" s="6"/>
      <c r="J114" s="6"/>
      <c r="K114" s="6"/>
      <c r="L114" s="6"/>
      <c r="M114" s="6"/>
      <c r="N114" s="6"/>
      <c r="O114" s="6"/>
    </row>
    <row r="115" spans="9:15">
      <c r="I115" s="6"/>
      <c r="J115" s="6"/>
      <c r="K115" s="6"/>
      <c r="L115" s="6"/>
      <c r="M115" s="6"/>
      <c r="N115" s="6"/>
      <c r="O115" s="6"/>
    </row>
    <row r="116" spans="9:15">
      <c r="I116" s="6"/>
      <c r="J116" s="6"/>
      <c r="K116" s="6"/>
      <c r="L116" s="6"/>
      <c r="M116" s="6"/>
      <c r="N116" s="6"/>
      <c r="O116" s="6"/>
    </row>
    <row r="117" spans="9:15">
      <c r="I117" s="6"/>
      <c r="J117" s="6"/>
      <c r="K117" s="6"/>
      <c r="L117" s="6"/>
      <c r="M117" s="6"/>
      <c r="N117" s="6"/>
      <c r="O117" s="6"/>
    </row>
  </sheetData>
  <mergeCells count="45">
    <mergeCell ref="G37:Q37"/>
    <mergeCell ref="K38:AG38"/>
    <mergeCell ref="K39:AG39"/>
    <mergeCell ref="G45:AH45"/>
    <mergeCell ref="G31:Q31"/>
    <mergeCell ref="K32:AH32"/>
    <mergeCell ref="K33:AH33"/>
    <mergeCell ref="G35:Q35"/>
    <mergeCell ref="R35:AF35"/>
    <mergeCell ref="AG35:AH35"/>
    <mergeCell ref="K27:Q27"/>
    <mergeCell ref="R27:AG27"/>
    <mergeCell ref="K28:Q28"/>
    <mergeCell ref="R28:AG28"/>
    <mergeCell ref="K29:Q29"/>
    <mergeCell ref="R29:X29"/>
    <mergeCell ref="Y29:Z29"/>
    <mergeCell ref="AA29:AG29"/>
    <mergeCell ref="K25:Q25"/>
    <mergeCell ref="R25:AG25"/>
    <mergeCell ref="AM25:BH25"/>
    <mergeCell ref="K26:Q26"/>
    <mergeCell ref="R26:AG26"/>
    <mergeCell ref="G20:AH20"/>
    <mergeCell ref="G21:AH21"/>
    <mergeCell ref="G22:AH22"/>
    <mergeCell ref="AN23:BI23"/>
    <mergeCell ref="G24:AH24"/>
    <mergeCell ref="AM24:BH24"/>
    <mergeCell ref="G13:AH13"/>
    <mergeCell ref="G15:AH15"/>
    <mergeCell ref="G16:AH16"/>
    <mergeCell ref="G17:AH17"/>
    <mergeCell ref="G18:AH18"/>
    <mergeCell ref="G8:J8"/>
    <mergeCell ref="K8:AH8"/>
    <mergeCell ref="G9:J9"/>
    <mergeCell ref="G10:J10"/>
    <mergeCell ref="K10:AH10"/>
    <mergeCell ref="G1:AH1"/>
    <mergeCell ref="G3:AH3"/>
    <mergeCell ref="G6:J6"/>
    <mergeCell ref="K6:V6"/>
    <mergeCell ref="G7:J7"/>
    <mergeCell ref="K7:V7"/>
  </mergeCells>
  <phoneticPr fontId="1" type="noConversion"/>
  <pageMargins left="0.67" right="0.67" top="0.87" bottom="0.81" header="0.51" footer="0.51"/>
  <pageSetup paperSize="9" scale="8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N36"/>
  <sheetViews>
    <sheetView view="pageBreakPreview" topLeftCell="F1" zoomScale="150" zoomScaleNormal="70" zoomScaleSheetLayoutView="150" workbookViewId="0">
      <selection activeCell="L11" sqref="L11"/>
    </sheetView>
  </sheetViews>
  <sheetFormatPr baseColWidth="10" defaultColWidth="14.83203125" defaultRowHeight="14"/>
  <cols>
    <col min="1" max="1" width="11.33203125" style="15" customWidth="1"/>
    <col min="2" max="2" width="13.83203125" style="15" customWidth="1"/>
    <col min="3" max="3" width="8.1640625" style="15" customWidth="1"/>
    <col min="4" max="4" width="12.5" style="15" customWidth="1"/>
    <col min="5" max="6" width="7.1640625" style="17" customWidth="1"/>
    <col min="7" max="7" width="13.83203125" style="15" customWidth="1"/>
    <col min="8" max="8" width="8.33203125" style="15" customWidth="1"/>
    <col min="9" max="9" width="12.5" style="16" customWidth="1"/>
    <col min="10" max="11" width="7.1640625" style="15" customWidth="1"/>
    <col min="12" max="13" width="11.1640625" style="15" customWidth="1"/>
    <col min="14" max="14" width="15.83203125" style="15" customWidth="1"/>
    <col min="15" max="256" width="11.33203125" style="15" customWidth="1"/>
    <col min="257" max="257" width="14.83203125" style="15" customWidth="1"/>
    <col min="258" max="16384" width="14.83203125" style="15"/>
  </cols>
  <sheetData>
    <row r="1" spans="2:14" s="21" customFormat="1" ht="39" customHeight="1">
      <c r="B1" s="95"/>
      <c r="C1" s="95"/>
      <c r="D1" s="95"/>
      <c r="E1" s="95"/>
      <c r="F1" s="95"/>
      <c r="G1" s="173" t="s">
        <v>104</v>
      </c>
      <c r="H1" s="173"/>
      <c r="I1" s="173"/>
      <c r="J1" s="173"/>
      <c r="K1" s="173"/>
      <c r="L1" s="173"/>
      <c r="M1" s="173"/>
      <c r="N1" s="173"/>
    </row>
    <row r="2" spans="2:14" s="21" customFormat="1" ht="18" customHeight="1" thickBot="1">
      <c r="B2" s="96"/>
      <c r="C2" s="96"/>
      <c r="D2" s="96"/>
      <c r="E2" s="96"/>
      <c r="F2" s="96"/>
      <c r="G2" s="53"/>
      <c r="H2" s="53"/>
      <c r="I2" s="53"/>
      <c r="J2" s="53"/>
      <c r="K2" s="53"/>
      <c r="L2" s="53"/>
      <c r="M2" s="174"/>
      <c r="N2" s="174"/>
    </row>
    <row r="3" spans="2:14" s="20" customFormat="1" ht="34.5" customHeight="1" thickBot="1">
      <c r="B3" s="97"/>
      <c r="C3" s="97"/>
      <c r="D3" s="98"/>
      <c r="E3" s="99"/>
      <c r="F3" s="100"/>
      <c r="G3" s="175" t="s">
        <v>53</v>
      </c>
      <c r="H3" s="176"/>
      <c r="I3" s="177" t="str">
        <f>"일금"&amp;NUMBERSTRING(M24,1)&amp;"원정 (₩"&amp;TEXT(M24,"#,##0")&amp;") - VAT별도"</f>
        <v>일금육십만원정 (₩600,000) - VAT별도</v>
      </c>
      <c r="J3" s="178"/>
      <c r="K3" s="178"/>
      <c r="L3" s="178"/>
      <c r="M3" s="178"/>
      <c r="N3" s="179"/>
    </row>
    <row r="4" spans="2:14" s="20" customFormat="1" ht="38.25" hidden="1" customHeight="1">
      <c r="B4" s="101"/>
      <c r="C4" s="102"/>
      <c r="D4" s="103"/>
      <c r="E4" s="104"/>
      <c r="F4" s="105"/>
      <c r="G4" s="180" t="s">
        <v>52</v>
      </c>
      <c r="H4" s="181"/>
      <c r="I4" s="182" t="str">
        <f>"일금 "&amp;NUMBERSTRING(M24,1)&amp;"원정"&amp;TEXT(M24,"(￦ #,##0)")&amp;" "</f>
        <v xml:space="preserve">일금 육십만원정(₩ 600,000) </v>
      </c>
      <c r="J4" s="183"/>
      <c r="K4" s="183"/>
      <c r="L4" s="183"/>
      <c r="M4" s="183"/>
      <c r="N4" s="184"/>
    </row>
    <row r="5" spans="2:14" s="20" customFormat="1" ht="38.25" hidden="1" customHeight="1">
      <c r="B5" s="106"/>
      <c r="C5" s="107"/>
      <c r="D5" s="108"/>
      <c r="E5" s="109"/>
      <c r="F5" s="110"/>
      <c r="G5" s="185" t="s">
        <v>51</v>
      </c>
      <c r="H5" s="186"/>
      <c r="I5" s="187" t="e">
        <f>"일금 "&amp;NUMBERSTRING(M25,1)&amp;"원정"&amp;TEXT(M25,"(￦ #,##0)")&amp;" "</f>
        <v>#VALUE!</v>
      </c>
      <c r="J5" s="188"/>
      <c r="K5" s="188"/>
      <c r="L5" s="188"/>
      <c r="M5" s="188"/>
      <c r="N5" s="189"/>
    </row>
    <row r="6" spans="2:14" s="20" customFormat="1" ht="31.5" customHeight="1" thickBot="1">
      <c r="B6" s="111"/>
      <c r="C6" s="111"/>
      <c r="D6" s="111"/>
      <c r="E6" s="111"/>
      <c r="F6" s="112"/>
      <c r="G6" s="190" t="s">
        <v>50</v>
      </c>
      <c r="H6" s="191"/>
      <c r="I6" s="191"/>
      <c r="J6" s="191"/>
      <c r="K6" s="191"/>
      <c r="L6" s="191"/>
      <c r="M6" s="191"/>
      <c r="N6" s="192"/>
    </row>
    <row r="7" spans="2:14" s="19" customFormat="1" ht="30" customHeight="1" thickBot="1">
      <c r="B7" s="113"/>
      <c r="C7" s="113"/>
      <c r="D7" s="114"/>
      <c r="E7" s="114"/>
      <c r="F7" s="115"/>
      <c r="G7" s="193" t="s">
        <v>49</v>
      </c>
      <c r="H7" s="194"/>
      <c r="I7" s="54" t="s">
        <v>48</v>
      </c>
      <c r="J7" s="54" t="s">
        <v>46</v>
      </c>
      <c r="K7" s="54" t="s">
        <v>45</v>
      </c>
      <c r="L7" s="54" t="s">
        <v>47</v>
      </c>
      <c r="M7" s="54" t="s">
        <v>44</v>
      </c>
      <c r="N7" s="55" t="s">
        <v>43</v>
      </c>
    </row>
    <row r="8" spans="2:14" s="19" customFormat="1" ht="28" customHeight="1">
      <c r="B8" s="113"/>
      <c r="C8" s="113"/>
      <c r="D8" s="114"/>
      <c r="E8" s="114"/>
      <c r="F8" s="115"/>
      <c r="G8" s="195" t="s">
        <v>160</v>
      </c>
      <c r="H8" s="196"/>
      <c r="I8" s="56"/>
      <c r="J8" s="56"/>
      <c r="K8" s="56"/>
      <c r="L8" s="56"/>
      <c r="M8" s="57">
        <f>INT(SUM(M9,M10,M11,M12,M13,M14,M15,M16))</f>
        <v>546343</v>
      </c>
      <c r="N8" s="58"/>
    </row>
    <row r="9" spans="2:14" s="19" customFormat="1" ht="18" customHeight="1">
      <c r="B9" s="116"/>
      <c r="C9" s="117"/>
      <c r="D9" s="118"/>
      <c r="E9" s="118"/>
      <c r="F9" s="119"/>
      <c r="G9" s="92"/>
      <c r="H9" s="59" t="s">
        <v>42</v>
      </c>
      <c r="I9" s="60" t="s">
        <v>40</v>
      </c>
      <c r="J9" s="60" t="s">
        <v>36</v>
      </c>
      <c r="K9" s="60">
        <v>0</v>
      </c>
      <c r="L9" s="61">
        <v>373353</v>
      </c>
      <c r="M9" s="61">
        <f t="shared" ref="M9:M16" si="0">L9*K9</f>
        <v>0</v>
      </c>
      <c r="N9" s="62"/>
    </row>
    <row r="10" spans="2:14" s="19" customFormat="1" ht="18" customHeight="1">
      <c r="B10" s="116"/>
      <c r="C10" s="117"/>
      <c r="D10" s="118"/>
      <c r="E10" s="118"/>
      <c r="F10" s="119"/>
      <c r="G10" s="93"/>
      <c r="H10" s="63"/>
      <c r="I10" s="64" t="s">
        <v>39</v>
      </c>
      <c r="J10" s="64" t="s">
        <v>36</v>
      </c>
      <c r="K10" s="65">
        <v>0</v>
      </c>
      <c r="L10" s="66">
        <v>310884</v>
      </c>
      <c r="M10" s="61">
        <f t="shared" si="0"/>
        <v>0</v>
      </c>
      <c r="N10" s="62"/>
    </row>
    <row r="11" spans="2:14" s="19" customFormat="1" ht="18" customHeight="1">
      <c r="B11" s="116"/>
      <c r="C11" s="117"/>
      <c r="D11" s="118"/>
      <c r="E11" s="118"/>
      <c r="F11" s="119"/>
      <c r="G11" s="93"/>
      <c r="H11" s="63"/>
      <c r="I11" s="64" t="s">
        <v>38</v>
      </c>
      <c r="J11" s="64" t="s">
        <v>36</v>
      </c>
      <c r="K11" s="65">
        <v>0</v>
      </c>
      <c r="L11" s="66">
        <v>295138</v>
      </c>
      <c r="M11" s="61">
        <f t="shared" si="0"/>
        <v>0</v>
      </c>
      <c r="N11" s="62"/>
    </row>
    <row r="12" spans="2:14" s="19" customFormat="1" ht="18" customHeight="1">
      <c r="B12" s="116"/>
      <c r="C12" s="117"/>
      <c r="D12" s="118"/>
      <c r="E12" s="118"/>
      <c r="F12" s="119"/>
      <c r="G12" s="93"/>
      <c r="H12" s="63"/>
      <c r="I12" s="64" t="s">
        <v>37</v>
      </c>
      <c r="J12" s="64" t="s">
        <v>36</v>
      </c>
      <c r="K12" s="65">
        <v>0</v>
      </c>
      <c r="L12" s="66">
        <v>235459</v>
      </c>
      <c r="M12" s="61">
        <f t="shared" si="0"/>
        <v>0</v>
      </c>
      <c r="N12" s="62"/>
    </row>
    <row r="13" spans="2:14" s="19" customFormat="1" ht="18" customHeight="1">
      <c r="B13" s="120"/>
      <c r="C13" s="121"/>
      <c r="D13" s="118"/>
      <c r="E13" s="118"/>
      <c r="F13" s="119"/>
      <c r="G13" s="94"/>
      <c r="H13" s="67" t="s">
        <v>41</v>
      </c>
      <c r="I13" s="64" t="s">
        <v>40</v>
      </c>
      <c r="J13" s="64" t="s">
        <v>36</v>
      </c>
      <c r="K13" s="65">
        <v>0</v>
      </c>
      <c r="L13" s="68">
        <v>373353</v>
      </c>
      <c r="M13" s="61">
        <f t="shared" si="0"/>
        <v>0</v>
      </c>
      <c r="N13" s="62"/>
    </row>
    <row r="14" spans="2:14" s="19" customFormat="1" ht="18" customHeight="1">
      <c r="B14" s="116"/>
      <c r="C14" s="117"/>
      <c r="D14" s="118"/>
      <c r="E14" s="118"/>
      <c r="F14" s="119"/>
      <c r="G14" s="93"/>
      <c r="H14" s="63"/>
      <c r="I14" s="64" t="s">
        <v>39</v>
      </c>
      <c r="J14" s="64" t="s">
        <v>36</v>
      </c>
      <c r="K14" s="65">
        <v>1</v>
      </c>
      <c r="L14" s="66">
        <v>310884</v>
      </c>
      <c r="M14" s="61">
        <f t="shared" si="0"/>
        <v>310884</v>
      </c>
      <c r="N14" s="62"/>
    </row>
    <row r="15" spans="2:14" s="19" customFormat="1" ht="18" customHeight="1">
      <c r="B15" s="116"/>
      <c r="C15" s="117"/>
      <c r="D15" s="118"/>
      <c r="E15" s="118"/>
      <c r="F15" s="119"/>
      <c r="G15" s="93"/>
      <c r="H15" s="63"/>
      <c r="I15" s="64" t="s">
        <v>38</v>
      </c>
      <c r="J15" s="64" t="s">
        <v>36</v>
      </c>
      <c r="K15" s="65">
        <v>0</v>
      </c>
      <c r="L15" s="66">
        <v>295138</v>
      </c>
      <c r="M15" s="61">
        <f t="shared" si="0"/>
        <v>0</v>
      </c>
      <c r="N15" s="62"/>
    </row>
    <row r="16" spans="2:14" s="19" customFormat="1" ht="18" customHeight="1">
      <c r="B16" s="116"/>
      <c r="C16" s="117"/>
      <c r="D16" s="118"/>
      <c r="E16" s="118"/>
      <c r="F16" s="119"/>
      <c r="G16" s="93"/>
      <c r="H16" s="63"/>
      <c r="I16" s="64" t="s">
        <v>37</v>
      </c>
      <c r="J16" s="64" t="s">
        <v>36</v>
      </c>
      <c r="K16" s="65">
        <v>1</v>
      </c>
      <c r="L16" s="66">
        <v>235459</v>
      </c>
      <c r="M16" s="61">
        <f t="shared" si="0"/>
        <v>235459</v>
      </c>
      <c r="N16" s="62"/>
    </row>
    <row r="17" spans="2:14" s="19" customFormat="1" ht="28" customHeight="1">
      <c r="B17" s="122"/>
      <c r="C17" s="122"/>
      <c r="D17" s="122"/>
      <c r="E17" s="123"/>
      <c r="F17" s="124"/>
      <c r="G17" s="197" t="s">
        <v>35</v>
      </c>
      <c r="H17" s="198"/>
      <c r="I17" s="69"/>
      <c r="J17" s="70" t="s">
        <v>32</v>
      </c>
      <c r="K17" s="70">
        <v>10</v>
      </c>
      <c r="L17" s="71"/>
      <c r="M17" s="72">
        <f>ROUND(M8*K17%,0)</f>
        <v>54634</v>
      </c>
      <c r="N17" s="73" t="s">
        <v>141</v>
      </c>
    </row>
    <row r="18" spans="2:14" s="19" customFormat="1" ht="28" customHeight="1">
      <c r="B18" s="122"/>
      <c r="C18" s="122"/>
      <c r="D18" s="122"/>
      <c r="E18" s="123"/>
      <c r="F18" s="124"/>
      <c r="G18" s="197" t="s">
        <v>34</v>
      </c>
      <c r="H18" s="198"/>
      <c r="I18" s="69"/>
      <c r="J18" s="70" t="s">
        <v>32</v>
      </c>
      <c r="K18" s="70">
        <v>10</v>
      </c>
      <c r="L18" s="71"/>
      <c r="M18" s="74">
        <f>ROUND((M8+M17)*K18%,0)</f>
        <v>60098</v>
      </c>
      <c r="N18" s="73" t="s">
        <v>142</v>
      </c>
    </row>
    <row r="19" spans="2:14" s="19" customFormat="1" ht="28" customHeight="1">
      <c r="B19" s="122"/>
      <c r="C19" s="122"/>
      <c r="D19" s="122"/>
      <c r="E19" s="123"/>
      <c r="F19" s="124"/>
      <c r="G19" s="197" t="s">
        <v>33</v>
      </c>
      <c r="H19" s="198"/>
      <c r="I19" s="69"/>
      <c r="J19" s="70"/>
      <c r="K19" s="70"/>
      <c r="L19" s="71"/>
      <c r="M19" s="74"/>
      <c r="N19" s="73"/>
    </row>
    <row r="20" spans="2:14" s="52" customFormat="1" ht="28" customHeight="1">
      <c r="B20" s="125"/>
      <c r="C20" s="125"/>
      <c r="D20" s="126"/>
      <c r="E20" s="126"/>
      <c r="F20" s="127"/>
      <c r="G20" s="199" t="s">
        <v>154</v>
      </c>
      <c r="H20" s="200"/>
      <c r="I20" s="137"/>
      <c r="J20" s="138"/>
      <c r="K20" s="139"/>
      <c r="L20" s="140"/>
      <c r="M20" s="75">
        <v>10000</v>
      </c>
      <c r="N20" s="76"/>
    </row>
    <row r="21" spans="2:14" s="19" customFormat="1" ht="28" customHeight="1">
      <c r="B21" s="122"/>
      <c r="C21" s="122"/>
      <c r="D21" s="122"/>
      <c r="E21" s="123"/>
      <c r="F21" s="124"/>
      <c r="G21" s="197" t="s">
        <v>152</v>
      </c>
      <c r="H21" s="198"/>
      <c r="I21" s="69"/>
      <c r="J21" s="70"/>
      <c r="K21" s="70"/>
      <c r="L21" s="77"/>
      <c r="M21" s="72"/>
      <c r="N21" s="78" t="s">
        <v>31</v>
      </c>
    </row>
    <row r="22" spans="2:14" s="19" customFormat="1" ht="28" customHeight="1">
      <c r="B22" s="128"/>
      <c r="C22" s="128"/>
      <c r="D22" s="122"/>
      <c r="E22" s="122"/>
      <c r="F22" s="129"/>
      <c r="G22" s="201" t="s">
        <v>153</v>
      </c>
      <c r="H22" s="202"/>
      <c r="I22" s="203" t="s">
        <v>159</v>
      </c>
      <c r="J22" s="204"/>
      <c r="K22" s="205"/>
      <c r="L22" s="79"/>
      <c r="M22" s="80">
        <f>(SUM(M8,M17,M18,M19,M20,M21))</f>
        <v>671075</v>
      </c>
      <c r="N22" s="81"/>
    </row>
    <row r="23" spans="2:14" s="19" customFormat="1" ht="18" customHeight="1">
      <c r="B23" s="128"/>
      <c r="C23" s="128"/>
      <c r="D23" s="122"/>
      <c r="E23" s="122"/>
      <c r="F23" s="129"/>
      <c r="G23" s="206" t="s">
        <v>30</v>
      </c>
      <c r="H23" s="207"/>
      <c r="I23" s="203"/>
      <c r="J23" s="204"/>
      <c r="K23" s="205"/>
      <c r="L23" s="79"/>
      <c r="M23" s="80">
        <v>71075</v>
      </c>
      <c r="N23" s="82"/>
    </row>
    <row r="24" spans="2:14" s="19" customFormat="1" ht="18" customHeight="1">
      <c r="B24" s="128"/>
      <c r="C24" s="128"/>
      <c r="D24" s="122"/>
      <c r="E24" s="122"/>
      <c r="F24" s="129"/>
      <c r="G24" s="208" t="s">
        <v>69</v>
      </c>
      <c r="H24" s="209"/>
      <c r="I24" s="210"/>
      <c r="J24" s="211"/>
      <c r="K24" s="212"/>
      <c r="L24" s="83"/>
      <c r="M24" s="84">
        <f>M22-M23</f>
        <v>600000</v>
      </c>
      <c r="N24" s="85"/>
    </row>
    <row r="25" spans="2:14" s="19" customFormat="1" ht="18" customHeight="1">
      <c r="B25" s="128"/>
      <c r="C25" s="128"/>
      <c r="D25" s="122"/>
      <c r="E25" s="122"/>
      <c r="F25" s="129"/>
      <c r="G25" s="206" t="s">
        <v>51</v>
      </c>
      <c r="H25" s="207"/>
      <c r="I25" s="203"/>
      <c r="J25" s="204"/>
      <c r="K25" s="205"/>
      <c r="L25" s="79"/>
      <c r="M25" s="80" t="s">
        <v>29</v>
      </c>
      <c r="N25" s="82"/>
    </row>
    <row r="26" spans="2:14" s="19" customFormat="1" ht="28" customHeight="1">
      <c r="B26" s="97"/>
      <c r="C26" s="97"/>
      <c r="D26" s="122"/>
      <c r="E26" s="122"/>
      <c r="F26" s="129"/>
      <c r="G26" s="213" t="s">
        <v>28</v>
      </c>
      <c r="H26" s="214"/>
      <c r="I26" s="215"/>
      <c r="J26" s="216"/>
      <c r="K26" s="217"/>
      <c r="L26" s="86"/>
      <c r="M26" s="87">
        <f>M24</f>
        <v>600000</v>
      </c>
      <c r="N26" s="88" t="s">
        <v>27</v>
      </c>
    </row>
    <row r="27" spans="2:14" s="18" customFormat="1" ht="23" customHeight="1">
      <c r="B27" s="130"/>
      <c r="C27" s="130"/>
      <c r="D27" s="131"/>
      <c r="E27" s="131"/>
      <c r="F27" s="132"/>
      <c r="G27" s="218"/>
      <c r="H27" s="219"/>
      <c r="I27" s="224" t="s">
        <v>26</v>
      </c>
      <c r="J27" s="224"/>
      <c r="K27" s="224"/>
      <c r="L27" s="224"/>
      <c r="M27" s="224"/>
      <c r="N27" s="89"/>
    </row>
    <row r="28" spans="2:14" s="18" customFormat="1" ht="23" customHeight="1">
      <c r="B28" s="130"/>
      <c r="C28" s="130"/>
      <c r="D28" s="133"/>
      <c r="E28" s="133"/>
      <c r="F28" s="134"/>
      <c r="G28" s="220"/>
      <c r="H28" s="221"/>
      <c r="I28" s="225" t="s">
        <v>25</v>
      </c>
      <c r="J28" s="225"/>
      <c r="K28" s="225"/>
      <c r="L28" s="225"/>
      <c r="M28" s="225"/>
      <c r="N28" s="90" t="s">
        <v>24</v>
      </c>
    </row>
    <row r="29" spans="2:14" s="18" customFormat="1" ht="23" customHeight="1">
      <c r="B29" s="130"/>
      <c r="C29" s="130"/>
      <c r="D29" s="133"/>
      <c r="E29" s="133"/>
      <c r="F29" s="134"/>
      <c r="G29" s="220"/>
      <c r="H29" s="221"/>
      <c r="I29" s="225" t="s">
        <v>23</v>
      </c>
      <c r="J29" s="225"/>
      <c r="K29" s="225"/>
      <c r="L29" s="225"/>
      <c r="M29" s="225"/>
      <c r="N29" s="90" t="s">
        <v>22</v>
      </c>
    </row>
    <row r="30" spans="2:14" s="18" customFormat="1" ht="23" customHeight="1">
      <c r="B30" s="130"/>
      <c r="C30" s="130"/>
      <c r="D30" s="133"/>
      <c r="E30" s="133"/>
      <c r="F30" s="134"/>
      <c r="G30" s="220"/>
      <c r="H30" s="221"/>
      <c r="I30" s="225" t="s">
        <v>21</v>
      </c>
      <c r="J30" s="225"/>
      <c r="K30" s="225"/>
      <c r="L30" s="225"/>
      <c r="M30" s="225"/>
      <c r="N30" s="90" t="s">
        <v>20</v>
      </c>
    </row>
    <row r="31" spans="2:14" s="18" customFormat="1" ht="23" customHeight="1">
      <c r="B31" s="130"/>
      <c r="C31" s="130"/>
      <c r="D31" s="135"/>
      <c r="E31" s="135"/>
      <c r="F31" s="136"/>
      <c r="G31" s="222"/>
      <c r="H31" s="223"/>
      <c r="I31" s="226" t="s">
        <v>19</v>
      </c>
      <c r="J31" s="226"/>
      <c r="K31" s="226"/>
      <c r="L31" s="226"/>
      <c r="M31" s="226"/>
      <c r="N31" s="91" t="s">
        <v>18</v>
      </c>
    </row>
    <row r="32" spans="2:14">
      <c r="B32" s="19"/>
      <c r="C32" s="19"/>
      <c r="D32" s="19"/>
      <c r="E32" s="19"/>
      <c r="F32" s="19"/>
      <c r="G32" s="19"/>
      <c r="H32" s="19"/>
      <c r="I32" s="19"/>
    </row>
    <row r="33" spans="2:9">
      <c r="B33" s="19"/>
      <c r="C33" s="19"/>
      <c r="D33" s="19"/>
      <c r="E33" s="19"/>
      <c r="F33" s="19"/>
      <c r="G33" s="19"/>
      <c r="H33" s="19"/>
      <c r="I33" s="19"/>
    </row>
    <row r="34" spans="2:9">
      <c r="B34" s="19"/>
      <c r="C34" s="19"/>
      <c r="D34" s="19"/>
      <c r="E34" s="19"/>
      <c r="F34" s="19"/>
      <c r="G34" s="19"/>
      <c r="H34" s="19"/>
      <c r="I34" s="19"/>
    </row>
    <row r="35" spans="2:9">
      <c r="B35" s="19"/>
      <c r="C35" s="19"/>
      <c r="D35" s="19"/>
      <c r="E35" s="19"/>
      <c r="F35" s="19"/>
      <c r="G35" s="19"/>
      <c r="H35" s="19"/>
      <c r="I35" s="19"/>
    </row>
    <row r="36" spans="2:9">
      <c r="B36" s="19"/>
      <c r="C36" s="19"/>
      <c r="D36" s="19"/>
      <c r="E36" s="19"/>
      <c r="F36" s="19"/>
      <c r="G36" s="19"/>
      <c r="H36" s="19"/>
      <c r="I36" s="19"/>
    </row>
  </sheetData>
  <mergeCells count="32">
    <mergeCell ref="G25:H25"/>
    <mergeCell ref="I25:K25"/>
    <mergeCell ref="G26:H26"/>
    <mergeCell ref="I26:K26"/>
    <mergeCell ref="G27:H31"/>
    <mergeCell ref="I27:M27"/>
    <mergeCell ref="I28:M28"/>
    <mergeCell ref="I29:M29"/>
    <mergeCell ref="I30:M30"/>
    <mergeCell ref="I31:M31"/>
    <mergeCell ref="G22:H22"/>
    <mergeCell ref="I22:K22"/>
    <mergeCell ref="G23:H23"/>
    <mergeCell ref="I23:K23"/>
    <mergeCell ref="G24:H24"/>
    <mergeCell ref="I24:K24"/>
    <mergeCell ref="G17:H17"/>
    <mergeCell ref="G18:H18"/>
    <mergeCell ref="G19:H19"/>
    <mergeCell ref="G20:H20"/>
    <mergeCell ref="G21:H21"/>
    <mergeCell ref="G5:H5"/>
    <mergeCell ref="I5:N5"/>
    <mergeCell ref="G6:N6"/>
    <mergeCell ref="G7:H7"/>
    <mergeCell ref="G8:H8"/>
    <mergeCell ref="G1:N1"/>
    <mergeCell ref="M2:N2"/>
    <mergeCell ref="G3:H3"/>
    <mergeCell ref="I3:N3"/>
    <mergeCell ref="G4:H4"/>
    <mergeCell ref="I4:N4"/>
  </mergeCells>
  <phoneticPr fontId="1" type="noConversion"/>
  <pageMargins left="0.79" right="0.79" top="0.59" bottom="0.39" header="0.31" footer="0.31"/>
  <pageSetup paperSize="9" scale="92" orientation="portrait"/>
  <colBreaks count="1" manualBreakCount="1">
    <brk id="14" max="30" man="1"/>
  </col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B1:U115"/>
  <sheetViews>
    <sheetView tabSelected="1" view="pageBreakPreview" topLeftCell="A18" zoomScale="150" zoomScaleNormal="100" zoomScaleSheetLayoutView="150" workbookViewId="0">
      <selection activeCell="B22" sqref="B22:U22"/>
    </sheetView>
  </sheetViews>
  <sheetFormatPr baseColWidth="10" defaultColWidth="11.33203125" defaultRowHeight="14"/>
  <cols>
    <col min="1" max="1" width="11.33203125" style="15" customWidth="1"/>
    <col min="2" max="6" width="5" style="15" customWidth="1"/>
    <col min="7" max="7" width="5" style="17" customWidth="1"/>
    <col min="8" max="9" width="5" style="23" customWidth="1"/>
    <col min="10" max="10" width="5" style="15" customWidth="1"/>
    <col min="11" max="11" width="5" style="16" customWidth="1"/>
    <col min="12" max="21" width="5" style="15" customWidth="1"/>
    <col min="22" max="22" width="4.5" style="15" customWidth="1"/>
    <col min="23" max="23" width="11.33203125" style="15" customWidth="1"/>
    <col min="24" max="24" width="14.83203125" style="15" customWidth="1"/>
    <col min="25" max="257" width="11.33203125" style="15" customWidth="1"/>
    <col min="258" max="263" width="4.83203125" style="15" customWidth="1"/>
    <col min="264" max="264" width="9" style="15" customWidth="1"/>
    <col min="265" max="268" width="4.83203125" style="15" customWidth="1"/>
    <col min="269" max="269" width="5.6640625" style="15" customWidth="1"/>
    <col min="270" max="275" width="4.83203125" style="15" customWidth="1"/>
    <col min="276" max="276" width="2.1640625" style="15" customWidth="1"/>
    <col min="277" max="277" width="4.83203125" style="15" customWidth="1"/>
    <col min="278" max="513" width="11.33203125" style="15" customWidth="1"/>
    <col min="514" max="519" width="4.83203125" style="15" customWidth="1"/>
    <col min="520" max="520" width="9" style="15" customWidth="1"/>
    <col min="521" max="524" width="4.83203125" style="15" customWidth="1"/>
    <col min="525" max="525" width="5.6640625" style="15" customWidth="1"/>
    <col min="526" max="531" width="4.83203125" style="15" customWidth="1"/>
    <col min="532" max="532" width="2.1640625" style="15" customWidth="1"/>
    <col min="533" max="533" width="4.83203125" style="15" customWidth="1"/>
    <col min="534" max="769" width="11.33203125" style="15" customWidth="1"/>
    <col min="770" max="775" width="4.83203125" style="15" customWidth="1"/>
    <col min="776" max="776" width="9" style="15" customWidth="1"/>
    <col min="777" max="780" width="4.83203125" style="15" customWidth="1"/>
    <col min="781" max="781" width="5.6640625" style="15" customWidth="1"/>
    <col min="782" max="787" width="4.83203125" style="15" customWidth="1"/>
    <col min="788" max="788" width="2.1640625" style="15" customWidth="1"/>
    <col min="789" max="789" width="4.83203125" style="15" customWidth="1"/>
    <col min="790" max="1025" width="11.33203125" style="15" customWidth="1"/>
    <col min="1026" max="1031" width="4.83203125" style="15" customWidth="1"/>
    <col min="1032" max="1032" width="9" style="15" customWidth="1"/>
    <col min="1033" max="1036" width="4.83203125" style="15" customWidth="1"/>
    <col min="1037" max="1037" width="5.6640625" style="15" customWidth="1"/>
    <col min="1038" max="1043" width="4.83203125" style="15" customWidth="1"/>
    <col min="1044" max="1044" width="2.1640625" style="15" customWidth="1"/>
    <col min="1045" max="1045" width="4.83203125" style="15" customWidth="1"/>
    <col min="1046" max="1281" width="11.33203125" style="15" customWidth="1"/>
    <col min="1282" max="1287" width="4.83203125" style="15" customWidth="1"/>
    <col min="1288" max="1288" width="9" style="15" customWidth="1"/>
    <col min="1289" max="1292" width="4.83203125" style="15" customWidth="1"/>
    <col min="1293" max="1293" width="5.6640625" style="15" customWidth="1"/>
    <col min="1294" max="1299" width="4.83203125" style="15" customWidth="1"/>
    <col min="1300" max="1300" width="2.1640625" style="15" customWidth="1"/>
    <col min="1301" max="1301" width="4.83203125" style="15" customWidth="1"/>
    <col min="1302" max="1537" width="11.33203125" style="15" customWidth="1"/>
    <col min="1538" max="1543" width="4.83203125" style="15" customWidth="1"/>
    <col min="1544" max="1544" width="9" style="15" customWidth="1"/>
    <col min="1545" max="1548" width="4.83203125" style="15" customWidth="1"/>
    <col min="1549" max="1549" width="5.6640625" style="15" customWidth="1"/>
    <col min="1550" max="1555" width="4.83203125" style="15" customWidth="1"/>
    <col min="1556" max="1556" width="2.1640625" style="15" customWidth="1"/>
    <col min="1557" max="1557" width="4.83203125" style="15" customWidth="1"/>
    <col min="1558" max="1793" width="11.33203125" style="15" customWidth="1"/>
    <col min="1794" max="1799" width="4.83203125" style="15" customWidth="1"/>
    <col min="1800" max="1800" width="9" style="15" customWidth="1"/>
    <col min="1801" max="1804" width="4.83203125" style="15" customWidth="1"/>
    <col min="1805" max="1805" width="5.6640625" style="15" customWidth="1"/>
    <col min="1806" max="1811" width="4.83203125" style="15" customWidth="1"/>
    <col min="1812" max="1812" width="2.1640625" style="15" customWidth="1"/>
    <col min="1813" max="1813" width="4.83203125" style="15" customWidth="1"/>
    <col min="1814" max="2049" width="11.33203125" style="15" customWidth="1"/>
    <col min="2050" max="2055" width="4.83203125" style="15" customWidth="1"/>
    <col min="2056" max="2056" width="9" style="15" customWidth="1"/>
    <col min="2057" max="2060" width="4.83203125" style="15" customWidth="1"/>
    <col min="2061" max="2061" width="5.6640625" style="15" customWidth="1"/>
    <col min="2062" max="2067" width="4.83203125" style="15" customWidth="1"/>
    <col min="2068" max="2068" width="2.1640625" style="15" customWidth="1"/>
    <col min="2069" max="2069" width="4.83203125" style="15" customWidth="1"/>
    <col min="2070" max="2305" width="11.33203125" style="15" customWidth="1"/>
    <col min="2306" max="2311" width="4.83203125" style="15" customWidth="1"/>
    <col min="2312" max="2312" width="9" style="15" customWidth="1"/>
    <col min="2313" max="2316" width="4.83203125" style="15" customWidth="1"/>
    <col min="2317" max="2317" width="5.6640625" style="15" customWidth="1"/>
    <col min="2318" max="2323" width="4.83203125" style="15" customWidth="1"/>
    <col min="2324" max="2324" width="2.1640625" style="15" customWidth="1"/>
    <col min="2325" max="2325" width="4.83203125" style="15" customWidth="1"/>
    <col min="2326" max="2561" width="11.33203125" style="15" customWidth="1"/>
    <col min="2562" max="2567" width="4.83203125" style="15" customWidth="1"/>
    <col min="2568" max="2568" width="9" style="15" customWidth="1"/>
    <col min="2569" max="2572" width="4.83203125" style="15" customWidth="1"/>
    <col min="2573" max="2573" width="5.6640625" style="15" customWidth="1"/>
    <col min="2574" max="2579" width="4.83203125" style="15" customWidth="1"/>
    <col min="2580" max="2580" width="2.1640625" style="15" customWidth="1"/>
    <col min="2581" max="2581" width="4.83203125" style="15" customWidth="1"/>
    <col min="2582" max="2817" width="11.33203125" style="15" customWidth="1"/>
    <col min="2818" max="2823" width="4.83203125" style="15" customWidth="1"/>
    <col min="2824" max="2824" width="9" style="15" customWidth="1"/>
    <col min="2825" max="2828" width="4.83203125" style="15" customWidth="1"/>
    <col min="2829" max="2829" width="5.6640625" style="15" customWidth="1"/>
    <col min="2830" max="2835" width="4.83203125" style="15" customWidth="1"/>
    <col min="2836" max="2836" width="2.1640625" style="15" customWidth="1"/>
    <col min="2837" max="2837" width="4.83203125" style="15" customWidth="1"/>
    <col min="2838" max="3073" width="11.33203125" style="15" customWidth="1"/>
    <col min="3074" max="3079" width="4.83203125" style="15" customWidth="1"/>
    <col min="3080" max="3080" width="9" style="15" customWidth="1"/>
    <col min="3081" max="3084" width="4.83203125" style="15" customWidth="1"/>
    <col min="3085" max="3085" width="5.6640625" style="15" customWidth="1"/>
    <col min="3086" max="3091" width="4.83203125" style="15" customWidth="1"/>
    <col min="3092" max="3092" width="2.1640625" style="15" customWidth="1"/>
    <col min="3093" max="3093" width="4.83203125" style="15" customWidth="1"/>
    <col min="3094" max="3329" width="11.33203125" style="15" customWidth="1"/>
    <col min="3330" max="3335" width="4.83203125" style="15" customWidth="1"/>
    <col min="3336" max="3336" width="9" style="15" customWidth="1"/>
    <col min="3337" max="3340" width="4.83203125" style="15" customWidth="1"/>
    <col min="3341" max="3341" width="5.6640625" style="15" customWidth="1"/>
    <col min="3342" max="3347" width="4.83203125" style="15" customWidth="1"/>
    <col min="3348" max="3348" width="2.1640625" style="15" customWidth="1"/>
    <col min="3349" max="3349" width="4.83203125" style="15" customWidth="1"/>
    <col min="3350" max="3585" width="11.33203125" style="15" customWidth="1"/>
    <col min="3586" max="3591" width="4.83203125" style="15" customWidth="1"/>
    <col min="3592" max="3592" width="9" style="15" customWidth="1"/>
    <col min="3593" max="3596" width="4.83203125" style="15" customWidth="1"/>
    <col min="3597" max="3597" width="5.6640625" style="15" customWidth="1"/>
    <col min="3598" max="3603" width="4.83203125" style="15" customWidth="1"/>
    <col min="3604" max="3604" width="2.1640625" style="15" customWidth="1"/>
    <col min="3605" max="3605" width="4.83203125" style="15" customWidth="1"/>
    <col min="3606" max="3841" width="11.33203125" style="15" customWidth="1"/>
    <col min="3842" max="3847" width="4.83203125" style="15" customWidth="1"/>
    <col min="3848" max="3848" width="9" style="15" customWidth="1"/>
    <col min="3849" max="3852" width="4.83203125" style="15" customWidth="1"/>
    <col min="3853" max="3853" width="5.6640625" style="15" customWidth="1"/>
    <col min="3854" max="3859" width="4.83203125" style="15" customWidth="1"/>
    <col min="3860" max="3860" width="2.1640625" style="15" customWidth="1"/>
    <col min="3861" max="3861" width="4.83203125" style="15" customWidth="1"/>
    <col min="3862" max="4097" width="11.33203125" style="15" customWidth="1"/>
    <col min="4098" max="4103" width="4.83203125" style="15" customWidth="1"/>
    <col min="4104" max="4104" width="9" style="15" customWidth="1"/>
    <col min="4105" max="4108" width="4.83203125" style="15" customWidth="1"/>
    <col min="4109" max="4109" width="5.6640625" style="15" customWidth="1"/>
    <col min="4110" max="4115" width="4.83203125" style="15" customWidth="1"/>
    <col min="4116" max="4116" width="2.1640625" style="15" customWidth="1"/>
    <col min="4117" max="4117" width="4.83203125" style="15" customWidth="1"/>
    <col min="4118" max="4353" width="11.33203125" style="15" customWidth="1"/>
    <col min="4354" max="4359" width="4.83203125" style="15" customWidth="1"/>
    <col min="4360" max="4360" width="9" style="15" customWidth="1"/>
    <col min="4361" max="4364" width="4.83203125" style="15" customWidth="1"/>
    <col min="4365" max="4365" width="5.6640625" style="15" customWidth="1"/>
    <col min="4366" max="4371" width="4.83203125" style="15" customWidth="1"/>
    <col min="4372" max="4372" width="2.1640625" style="15" customWidth="1"/>
    <col min="4373" max="4373" width="4.83203125" style="15" customWidth="1"/>
    <col min="4374" max="4609" width="11.33203125" style="15" customWidth="1"/>
    <col min="4610" max="4615" width="4.83203125" style="15" customWidth="1"/>
    <col min="4616" max="4616" width="9" style="15" customWidth="1"/>
    <col min="4617" max="4620" width="4.83203125" style="15" customWidth="1"/>
    <col min="4621" max="4621" width="5.6640625" style="15" customWidth="1"/>
    <col min="4622" max="4627" width="4.83203125" style="15" customWidth="1"/>
    <col min="4628" max="4628" width="2.1640625" style="15" customWidth="1"/>
    <col min="4629" max="4629" width="4.83203125" style="15" customWidth="1"/>
    <col min="4630" max="4865" width="11.33203125" style="15" customWidth="1"/>
    <col min="4866" max="4871" width="4.83203125" style="15" customWidth="1"/>
    <col min="4872" max="4872" width="9" style="15" customWidth="1"/>
    <col min="4873" max="4876" width="4.83203125" style="15" customWidth="1"/>
    <col min="4877" max="4877" width="5.6640625" style="15" customWidth="1"/>
    <col min="4878" max="4883" width="4.83203125" style="15" customWidth="1"/>
    <col min="4884" max="4884" width="2.1640625" style="15" customWidth="1"/>
    <col min="4885" max="4885" width="4.83203125" style="15" customWidth="1"/>
    <col min="4886" max="5121" width="11.33203125" style="15" customWidth="1"/>
    <col min="5122" max="5127" width="4.83203125" style="15" customWidth="1"/>
    <col min="5128" max="5128" width="9" style="15" customWidth="1"/>
    <col min="5129" max="5132" width="4.83203125" style="15" customWidth="1"/>
    <col min="5133" max="5133" width="5.6640625" style="15" customWidth="1"/>
    <col min="5134" max="5139" width="4.83203125" style="15" customWidth="1"/>
    <col min="5140" max="5140" width="2.1640625" style="15" customWidth="1"/>
    <col min="5141" max="5141" width="4.83203125" style="15" customWidth="1"/>
    <col min="5142" max="5377" width="11.33203125" style="15" customWidth="1"/>
    <col min="5378" max="5383" width="4.83203125" style="15" customWidth="1"/>
    <col min="5384" max="5384" width="9" style="15" customWidth="1"/>
    <col min="5385" max="5388" width="4.83203125" style="15" customWidth="1"/>
    <col min="5389" max="5389" width="5.6640625" style="15" customWidth="1"/>
    <col min="5390" max="5395" width="4.83203125" style="15" customWidth="1"/>
    <col min="5396" max="5396" width="2.1640625" style="15" customWidth="1"/>
    <col min="5397" max="5397" width="4.83203125" style="15" customWidth="1"/>
    <col min="5398" max="5633" width="11.33203125" style="15" customWidth="1"/>
    <col min="5634" max="5639" width="4.83203125" style="15" customWidth="1"/>
    <col min="5640" max="5640" width="9" style="15" customWidth="1"/>
    <col min="5641" max="5644" width="4.83203125" style="15" customWidth="1"/>
    <col min="5645" max="5645" width="5.6640625" style="15" customWidth="1"/>
    <col min="5646" max="5651" width="4.83203125" style="15" customWidth="1"/>
    <col min="5652" max="5652" width="2.1640625" style="15" customWidth="1"/>
    <col min="5653" max="5653" width="4.83203125" style="15" customWidth="1"/>
    <col min="5654" max="5889" width="11.33203125" style="15" customWidth="1"/>
    <col min="5890" max="5895" width="4.83203125" style="15" customWidth="1"/>
    <col min="5896" max="5896" width="9" style="15" customWidth="1"/>
    <col min="5897" max="5900" width="4.83203125" style="15" customWidth="1"/>
    <col min="5901" max="5901" width="5.6640625" style="15" customWidth="1"/>
    <col min="5902" max="5907" width="4.83203125" style="15" customWidth="1"/>
    <col min="5908" max="5908" width="2.1640625" style="15" customWidth="1"/>
    <col min="5909" max="5909" width="4.83203125" style="15" customWidth="1"/>
    <col min="5910" max="6145" width="11.33203125" style="15" customWidth="1"/>
    <col min="6146" max="6151" width="4.83203125" style="15" customWidth="1"/>
    <col min="6152" max="6152" width="9" style="15" customWidth="1"/>
    <col min="6153" max="6156" width="4.83203125" style="15" customWidth="1"/>
    <col min="6157" max="6157" width="5.6640625" style="15" customWidth="1"/>
    <col min="6158" max="6163" width="4.83203125" style="15" customWidth="1"/>
    <col min="6164" max="6164" width="2.1640625" style="15" customWidth="1"/>
    <col min="6165" max="6165" width="4.83203125" style="15" customWidth="1"/>
    <col min="6166" max="6401" width="11.33203125" style="15" customWidth="1"/>
    <col min="6402" max="6407" width="4.83203125" style="15" customWidth="1"/>
    <col min="6408" max="6408" width="9" style="15" customWidth="1"/>
    <col min="6409" max="6412" width="4.83203125" style="15" customWidth="1"/>
    <col min="6413" max="6413" width="5.6640625" style="15" customWidth="1"/>
    <col min="6414" max="6419" width="4.83203125" style="15" customWidth="1"/>
    <col min="6420" max="6420" width="2.1640625" style="15" customWidth="1"/>
    <col min="6421" max="6421" width="4.83203125" style="15" customWidth="1"/>
    <col min="6422" max="6657" width="11.33203125" style="15" customWidth="1"/>
    <col min="6658" max="6663" width="4.83203125" style="15" customWidth="1"/>
    <col min="6664" max="6664" width="9" style="15" customWidth="1"/>
    <col min="6665" max="6668" width="4.83203125" style="15" customWidth="1"/>
    <col min="6669" max="6669" width="5.6640625" style="15" customWidth="1"/>
    <col min="6670" max="6675" width="4.83203125" style="15" customWidth="1"/>
    <col min="6676" max="6676" width="2.1640625" style="15" customWidth="1"/>
    <col min="6677" max="6677" width="4.83203125" style="15" customWidth="1"/>
    <col min="6678" max="6913" width="11.33203125" style="15" customWidth="1"/>
    <col min="6914" max="6919" width="4.83203125" style="15" customWidth="1"/>
    <col min="6920" max="6920" width="9" style="15" customWidth="1"/>
    <col min="6921" max="6924" width="4.83203125" style="15" customWidth="1"/>
    <col min="6925" max="6925" width="5.6640625" style="15" customWidth="1"/>
    <col min="6926" max="6931" width="4.83203125" style="15" customWidth="1"/>
    <col min="6932" max="6932" width="2.1640625" style="15" customWidth="1"/>
    <col min="6933" max="6933" width="4.83203125" style="15" customWidth="1"/>
    <col min="6934" max="7169" width="11.33203125" style="15" customWidth="1"/>
    <col min="7170" max="7175" width="4.83203125" style="15" customWidth="1"/>
    <col min="7176" max="7176" width="9" style="15" customWidth="1"/>
    <col min="7177" max="7180" width="4.83203125" style="15" customWidth="1"/>
    <col min="7181" max="7181" width="5.6640625" style="15" customWidth="1"/>
    <col min="7182" max="7187" width="4.83203125" style="15" customWidth="1"/>
    <col min="7188" max="7188" width="2.1640625" style="15" customWidth="1"/>
    <col min="7189" max="7189" width="4.83203125" style="15" customWidth="1"/>
    <col min="7190" max="7425" width="11.33203125" style="15" customWidth="1"/>
    <col min="7426" max="7431" width="4.83203125" style="15" customWidth="1"/>
    <col min="7432" max="7432" width="9" style="15" customWidth="1"/>
    <col min="7433" max="7436" width="4.83203125" style="15" customWidth="1"/>
    <col min="7437" max="7437" width="5.6640625" style="15" customWidth="1"/>
    <col min="7438" max="7443" width="4.83203125" style="15" customWidth="1"/>
    <col min="7444" max="7444" width="2.1640625" style="15" customWidth="1"/>
    <col min="7445" max="7445" width="4.83203125" style="15" customWidth="1"/>
    <col min="7446" max="7681" width="11.33203125" style="15" customWidth="1"/>
    <col min="7682" max="7687" width="4.83203125" style="15" customWidth="1"/>
    <col min="7688" max="7688" width="9" style="15" customWidth="1"/>
    <col min="7689" max="7692" width="4.83203125" style="15" customWidth="1"/>
    <col min="7693" max="7693" width="5.6640625" style="15" customWidth="1"/>
    <col min="7694" max="7699" width="4.83203125" style="15" customWidth="1"/>
    <col min="7700" max="7700" width="2.1640625" style="15" customWidth="1"/>
    <col min="7701" max="7701" width="4.83203125" style="15" customWidth="1"/>
    <col min="7702" max="7937" width="11.33203125" style="15" customWidth="1"/>
    <col min="7938" max="7943" width="4.83203125" style="15" customWidth="1"/>
    <col min="7944" max="7944" width="9" style="15" customWidth="1"/>
    <col min="7945" max="7948" width="4.83203125" style="15" customWidth="1"/>
    <col min="7949" max="7949" width="5.6640625" style="15" customWidth="1"/>
    <col min="7950" max="7955" width="4.83203125" style="15" customWidth="1"/>
    <col min="7956" max="7956" width="2.1640625" style="15" customWidth="1"/>
    <col min="7957" max="7957" width="4.83203125" style="15" customWidth="1"/>
    <col min="7958" max="8193" width="11.33203125" style="15" customWidth="1"/>
    <col min="8194" max="8199" width="4.83203125" style="15" customWidth="1"/>
    <col min="8200" max="8200" width="9" style="15" customWidth="1"/>
    <col min="8201" max="8204" width="4.83203125" style="15" customWidth="1"/>
    <col min="8205" max="8205" width="5.6640625" style="15" customWidth="1"/>
    <col min="8206" max="8211" width="4.83203125" style="15" customWidth="1"/>
    <col min="8212" max="8212" width="2.1640625" style="15" customWidth="1"/>
    <col min="8213" max="8213" width="4.83203125" style="15" customWidth="1"/>
    <col min="8214" max="8449" width="11.33203125" style="15" customWidth="1"/>
    <col min="8450" max="8455" width="4.83203125" style="15" customWidth="1"/>
    <col min="8456" max="8456" width="9" style="15" customWidth="1"/>
    <col min="8457" max="8460" width="4.83203125" style="15" customWidth="1"/>
    <col min="8461" max="8461" width="5.6640625" style="15" customWidth="1"/>
    <col min="8462" max="8467" width="4.83203125" style="15" customWidth="1"/>
    <col min="8468" max="8468" width="2.1640625" style="15" customWidth="1"/>
    <col min="8469" max="8469" width="4.83203125" style="15" customWidth="1"/>
    <col min="8470" max="8705" width="11.33203125" style="15" customWidth="1"/>
    <col min="8706" max="8711" width="4.83203125" style="15" customWidth="1"/>
    <col min="8712" max="8712" width="9" style="15" customWidth="1"/>
    <col min="8713" max="8716" width="4.83203125" style="15" customWidth="1"/>
    <col min="8717" max="8717" width="5.6640625" style="15" customWidth="1"/>
    <col min="8718" max="8723" width="4.83203125" style="15" customWidth="1"/>
    <col min="8724" max="8724" width="2.1640625" style="15" customWidth="1"/>
    <col min="8725" max="8725" width="4.83203125" style="15" customWidth="1"/>
    <col min="8726" max="8961" width="11.33203125" style="15" customWidth="1"/>
    <col min="8962" max="8967" width="4.83203125" style="15" customWidth="1"/>
    <col min="8968" max="8968" width="9" style="15" customWidth="1"/>
    <col min="8969" max="8972" width="4.83203125" style="15" customWidth="1"/>
    <col min="8973" max="8973" width="5.6640625" style="15" customWidth="1"/>
    <col min="8974" max="8979" width="4.83203125" style="15" customWidth="1"/>
    <col min="8980" max="8980" width="2.1640625" style="15" customWidth="1"/>
    <col min="8981" max="8981" width="4.83203125" style="15" customWidth="1"/>
    <col min="8982" max="9217" width="11.33203125" style="15" customWidth="1"/>
    <col min="9218" max="9223" width="4.83203125" style="15" customWidth="1"/>
    <col min="9224" max="9224" width="9" style="15" customWidth="1"/>
    <col min="9225" max="9228" width="4.83203125" style="15" customWidth="1"/>
    <col min="9229" max="9229" width="5.6640625" style="15" customWidth="1"/>
    <col min="9230" max="9235" width="4.83203125" style="15" customWidth="1"/>
    <col min="9236" max="9236" width="2.1640625" style="15" customWidth="1"/>
    <col min="9237" max="9237" width="4.83203125" style="15" customWidth="1"/>
    <col min="9238" max="9473" width="11.33203125" style="15" customWidth="1"/>
    <col min="9474" max="9479" width="4.83203125" style="15" customWidth="1"/>
    <col min="9480" max="9480" width="9" style="15" customWidth="1"/>
    <col min="9481" max="9484" width="4.83203125" style="15" customWidth="1"/>
    <col min="9485" max="9485" width="5.6640625" style="15" customWidth="1"/>
    <col min="9486" max="9491" width="4.83203125" style="15" customWidth="1"/>
    <col min="9492" max="9492" width="2.1640625" style="15" customWidth="1"/>
    <col min="9493" max="9493" width="4.83203125" style="15" customWidth="1"/>
    <col min="9494" max="9729" width="11.33203125" style="15" customWidth="1"/>
    <col min="9730" max="9735" width="4.83203125" style="15" customWidth="1"/>
    <col min="9736" max="9736" width="9" style="15" customWidth="1"/>
    <col min="9737" max="9740" width="4.83203125" style="15" customWidth="1"/>
    <col min="9741" max="9741" width="5.6640625" style="15" customWidth="1"/>
    <col min="9742" max="9747" width="4.83203125" style="15" customWidth="1"/>
    <col min="9748" max="9748" width="2.1640625" style="15" customWidth="1"/>
    <col min="9749" max="9749" width="4.83203125" style="15" customWidth="1"/>
    <col min="9750" max="9985" width="11.33203125" style="15" customWidth="1"/>
    <col min="9986" max="9991" width="4.83203125" style="15" customWidth="1"/>
    <col min="9992" max="9992" width="9" style="15" customWidth="1"/>
    <col min="9993" max="9996" width="4.83203125" style="15" customWidth="1"/>
    <col min="9997" max="9997" width="5.6640625" style="15" customWidth="1"/>
    <col min="9998" max="10003" width="4.83203125" style="15" customWidth="1"/>
    <col min="10004" max="10004" width="2.1640625" style="15" customWidth="1"/>
    <col min="10005" max="10005" width="4.83203125" style="15" customWidth="1"/>
    <col min="10006" max="10241" width="11.33203125" style="15" customWidth="1"/>
    <col min="10242" max="10247" width="4.83203125" style="15" customWidth="1"/>
    <col min="10248" max="10248" width="9" style="15" customWidth="1"/>
    <col min="10249" max="10252" width="4.83203125" style="15" customWidth="1"/>
    <col min="10253" max="10253" width="5.6640625" style="15" customWidth="1"/>
    <col min="10254" max="10259" width="4.83203125" style="15" customWidth="1"/>
    <col min="10260" max="10260" width="2.1640625" style="15" customWidth="1"/>
    <col min="10261" max="10261" width="4.83203125" style="15" customWidth="1"/>
    <col min="10262" max="10497" width="11.33203125" style="15" customWidth="1"/>
    <col min="10498" max="10503" width="4.83203125" style="15" customWidth="1"/>
    <col min="10504" max="10504" width="9" style="15" customWidth="1"/>
    <col min="10505" max="10508" width="4.83203125" style="15" customWidth="1"/>
    <col min="10509" max="10509" width="5.6640625" style="15" customWidth="1"/>
    <col min="10510" max="10515" width="4.83203125" style="15" customWidth="1"/>
    <col min="10516" max="10516" width="2.1640625" style="15" customWidth="1"/>
    <col min="10517" max="10517" width="4.83203125" style="15" customWidth="1"/>
    <col min="10518" max="10753" width="11.33203125" style="15" customWidth="1"/>
    <col min="10754" max="10759" width="4.83203125" style="15" customWidth="1"/>
    <col min="10760" max="10760" width="9" style="15" customWidth="1"/>
    <col min="10761" max="10764" width="4.83203125" style="15" customWidth="1"/>
    <col min="10765" max="10765" width="5.6640625" style="15" customWidth="1"/>
    <col min="10766" max="10771" width="4.83203125" style="15" customWidth="1"/>
    <col min="10772" max="10772" width="2.1640625" style="15" customWidth="1"/>
    <col min="10773" max="10773" width="4.83203125" style="15" customWidth="1"/>
    <col min="10774" max="11009" width="11.33203125" style="15" customWidth="1"/>
    <col min="11010" max="11015" width="4.83203125" style="15" customWidth="1"/>
    <col min="11016" max="11016" width="9" style="15" customWidth="1"/>
    <col min="11017" max="11020" width="4.83203125" style="15" customWidth="1"/>
    <col min="11021" max="11021" width="5.6640625" style="15" customWidth="1"/>
    <col min="11022" max="11027" width="4.83203125" style="15" customWidth="1"/>
    <col min="11028" max="11028" width="2.1640625" style="15" customWidth="1"/>
    <col min="11029" max="11029" width="4.83203125" style="15" customWidth="1"/>
    <col min="11030" max="11265" width="11.33203125" style="15" customWidth="1"/>
    <col min="11266" max="11271" width="4.83203125" style="15" customWidth="1"/>
    <col min="11272" max="11272" width="9" style="15" customWidth="1"/>
    <col min="11273" max="11276" width="4.83203125" style="15" customWidth="1"/>
    <col min="11277" max="11277" width="5.6640625" style="15" customWidth="1"/>
    <col min="11278" max="11283" width="4.83203125" style="15" customWidth="1"/>
    <col min="11284" max="11284" width="2.1640625" style="15" customWidth="1"/>
    <col min="11285" max="11285" width="4.83203125" style="15" customWidth="1"/>
    <col min="11286" max="11521" width="11.33203125" style="15" customWidth="1"/>
    <col min="11522" max="11527" width="4.83203125" style="15" customWidth="1"/>
    <col min="11528" max="11528" width="9" style="15" customWidth="1"/>
    <col min="11529" max="11532" width="4.83203125" style="15" customWidth="1"/>
    <col min="11533" max="11533" width="5.6640625" style="15" customWidth="1"/>
    <col min="11534" max="11539" width="4.83203125" style="15" customWidth="1"/>
    <col min="11540" max="11540" width="2.1640625" style="15" customWidth="1"/>
    <col min="11541" max="11541" width="4.83203125" style="15" customWidth="1"/>
    <col min="11542" max="11777" width="11.33203125" style="15" customWidth="1"/>
    <col min="11778" max="11783" width="4.83203125" style="15" customWidth="1"/>
    <col min="11784" max="11784" width="9" style="15" customWidth="1"/>
    <col min="11785" max="11788" width="4.83203125" style="15" customWidth="1"/>
    <col min="11789" max="11789" width="5.6640625" style="15" customWidth="1"/>
    <col min="11790" max="11795" width="4.83203125" style="15" customWidth="1"/>
    <col min="11796" max="11796" width="2.1640625" style="15" customWidth="1"/>
    <col min="11797" max="11797" width="4.83203125" style="15" customWidth="1"/>
    <col min="11798" max="12033" width="11.33203125" style="15" customWidth="1"/>
    <col min="12034" max="12039" width="4.83203125" style="15" customWidth="1"/>
    <col min="12040" max="12040" width="9" style="15" customWidth="1"/>
    <col min="12041" max="12044" width="4.83203125" style="15" customWidth="1"/>
    <col min="12045" max="12045" width="5.6640625" style="15" customWidth="1"/>
    <col min="12046" max="12051" width="4.83203125" style="15" customWidth="1"/>
    <col min="12052" max="12052" width="2.1640625" style="15" customWidth="1"/>
    <col min="12053" max="12053" width="4.83203125" style="15" customWidth="1"/>
    <col min="12054" max="12289" width="11.33203125" style="15" customWidth="1"/>
    <col min="12290" max="12295" width="4.83203125" style="15" customWidth="1"/>
    <col min="12296" max="12296" width="9" style="15" customWidth="1"/>
    <col min="12297" max="12300" width="4.83203125" style="15" customWidth="1"/>
    <col min="12301" max="12301" width="5.6640625" style="15" customWidth="1"/>
    <col min="12302" max="12307" width="4.83203125" style="15" customWidth="1"/>
    <col min="12308" max="12308" width="2.1640625" style="15" customWidth="1"/>
    <col min="12309" max="12309" width="4.83203125" style="15" customWidth="1"/>
    <col min="12310" max="12545" width="11.33203125" style="15" customWidth="1"/>
    <col min="12546" max="12551" width="4.83203125" style="15" customWidth="1"/>
    <col min="12552" max="12552" width="9" style="15" customWidth="1"/>
    <col min="12553" max="12556" width="4.83203125" style="15" customWidth="1"/>
    <col min="12557" max="12557" width="5.6640625" style="15" customWidth="1"/>
    <col min="12558" max="12563" width="4.83203125" style="15" customWidth="1"/>
    <col min="12564" max="12564" width="2.1640625" style="15" customWidth="1"/>
    <col min="12565" max="12565" width="4.83203125" style="15" customWidth="1"/>
    <col min="12566" max="12801" width="11.33203125" style="15" customWidth="1"/>
    <col min="12802" max="12807" width="4.83203125" style="15" customWidth="1"/>
    <col min="12808" max="12808" width="9" style="15" customWidth="1"/>
    <col min="12809" max="12812" width="4.83203125" style="15" customWidth="1"/>
    <col min="12813" max="12813" width="5.6640625" style="15" customWidth="1"/>
    <col min="12814" max="12819" width="4.83203125" style="15" customWidth="1"/>
    <col min="12820" max="12820" width="2.1640625" style="15" customWidth="1"/>
    <col min="12821" max="12821" width="4.83203125" style="15" customWidth="1"/>
    <col min="12822" max="13057" width="11.33203125" style="15" customWidth="1"/>
    <col min="13058" max="13063" width="4.83203125" style="15" customWidth="1"/>
    <col min="13064" max="13064" width="9" style="15" customWidth="1"/>
    <col min="13065" max="13068" width="4.83203125" style="15" customWidth="1"/>
    <col min="13069" max="13069" width="5.6640625" style="15" customWidth="1"/>
    <col min="13070" max="13075" width="4.83203125" style="15" customWidth="1"/>
    <col min="13076" max="13076" width="2.1640625" style="15" customWidth="1"/>
    <col min="13077" max="13077" width="4.83203125" style="15" customWidth="1"/>
    <col min="13078" max="13313" width="11.33203125" style="15" customWidth="1"/>
    <col min="13314" max="13319" width="4.83203125" style="15" customWidth="1"/>
    <col min="13320" max="13320" width="9" style="15" customWidth="1"/>
    <col min="13321" max="13324" width="4.83203125" style="15" customWidth="1"/>
    <col min="13325" max="13325" width="5.6640625" style="15" customWidth="1"/>
    <col min="13326" max="13331" width="4.83203125" style="15" customWidth="1"/>
    <col min="13332" max="13332" width="2.1640625" style="15" customWidth="1"/>
    <col min="13333" max="13333" width="4.83203125" style="15" customWidth="1"/>
    <col min="13334" max="13569" width="11.33203125" style="15" customWidth="1"/>
    <col min="13570" max="13575" width="4.83203125" style="15" customWidth="1"/>
    <col min="13576" max="13576" width="9" style="15" customWidth="1"/>
    <col min="13577" max="13580" width="4.83203125" style="15" customWidth="1"/>
    <col min="13581" max="13581" width="5.6640625" style="15" customWidth="1"/>
    <col min="13582" max="13587" width="4.83203125" style="15" customWidth="1"/>
    <col min="13588" max="13588" width="2.1640625" style="15" customWidth="1"/>
    <col min="13589" max="13589" width="4.83203125" style="15" customWidth="1"/>
    <col min="13590" max="13825" width="11.33203125" style="15" customWidth="1"/>
    <col min="13826" max="13831" width="4.83203125" style="15" customWidth="1"/>
    <col min="13832" max="13832" width="9" style="15" customWidth="1"/>
    <col min="13833" max="13836" width="4.83203125" style="15" customWidth="1"/>
    <col min="13837" max="13837" width="5.6640625" style="15" customWidth="1"/>
    <col min="13838" max="13843" width="4.83203125" style="15" customWidth="1"/>
    <col min="13844" max="13844" width="2.1640625" style="15" customWidth="1"/>
    <col min="13845" max="13845" width="4.83203125" style="15" customWidth="1"/>
    <col min="13846" max="14081" width="11.33203125" style="15" customWidth="1"/>
    <col min="14082" max="14087" width="4.83203125" style="15" customWidth="1"/>
    <col min="14088" max="14088" width="9" style="15" customWidth="1"/>
    <col min="14089" max="14092" width="4.83203125" style="15" customWidth="1"/>
    <col min="14093" max="14093" width="5.6640625" style="15" customWidth="1"/>
    <col min="14094" max="14099" width="4.83203125" style="15" customWidth="1"/>
    <col min="14100" max="14100" width="2.1640625" style="15" customWidth="1"/>
    <col min="14101" max="14101" width="4.83203125" style="15" customWidth="1"/>
    <col min="14102" max="14337" width="11.33203125" style="15" customWidth="1"/>
    <col min="14338" max="14343" width="4.83203125" style="15" customWidth="1"/>
    <col min="14344" max="14344" width="9" style="15" customWidth="1"/>
    <col min="14345" max="14348" width="4.83203125" style="15" customWidth="1"/>
    <col min="14349" max="14349" width="5.6640625" style="15" customWidth="1"/>
    <col min="14350" max="14355" width="4.83203125" style="15" customWidth="1"/>
    <col min="14356" max="14356" width="2.1640625" style="15" customWidth="1"/>
    <col min="14357" max="14357" width="4.83203125" style="15" customWidth="1"/>
    <col min="14358" max="14593" width="11.33203125" style="15" customWidth="1"/>
    <col min="14594" max="14599" width="4.83203125" style="15" customWidth="1"/>
    <col min="14600" max="14600" width="9" style="15" customWidth="1"/>
    <col min="14601" max="14604" width="4.83203125" style="15" customWidth="1"/>
    <col min="14605" max="14605" width="5.6640625" style="15" customWidth="1"/>
    <col min="14606" max="14611" width="4.83203125" style="15" customWidth="1"/>
    <col min="14612" max="14612" width="2.1640625" style="15" customWidth="1"/>
    <col min="14613" max="14613" width="4.83203125" style="15" customWidth="1"/>
    <col min="14614" max="14849" width="11.33203125" style="15" customWidth="1"/>
    <col min="14850" max="14855" width="4.83203125" style="15" customWidth="1"/>
    <col min="14856" max="14856" width="9" style="15" customWidth="1"/>
    <col min="14857" max="14860" width="4.83203125" style="15" customWidth="1"/>
    <col min="14861" max="14861" width="5.6640625" style="15" customWidth="1"/>
    <col min="14862" max="14867" width="4.83203125" style="15" customWidth="1"/>
    <col min="14868" max="14868" width="2.1640625" style="15" customWidth="1"/>
    <col min="14869" max="14869" width="4.83203125" style="15" customWidth="1"/>
    <col min="14870" max="15105" width="11.33203125" style="15" customWidth="1"/>
    <col min="15106" max="15111" width="4.83203125" style="15" customWidth="1"/>
    <col min="15112" max="15112" width="9" style="15" customWidth="1"/>
    <col min="15113" max="15116" width="4.83203125" style="15" customWidth="1"/>
    <col min="15117" max="15117" width="5.6640625" style="15" customWidth="1"/>
    <col min="15118" max="15123" width="4.83203125" style="15" customWidth="1"/>
    <col min="15124" max="15124" width="2.1640625" style="15" customWidth="1"/>
    <col min="15125" max="15125" width="4.83203125" style="15" customWidth="1"/>
    <col min="15126" max="15361" width="11.33203125" style="15" customWidth="1"/>
    <col min="15362" max="15367" width="4.83203125" style="15" customWidth="1"/>
    <col min="15368" max="15368" width="9" style="15" customWidth="1"/>
    <col min="15369" max="15372" width="4.83203125" style="15" customWidth="1"/>
    <col min="15373" max="15373" width="5.6640625" style="15" customWidth="1"/>
    <col min="15374" max="15379" width="4.83203125" style="15" customWidth="1"/>
    <col min="15380" max="15380" width="2.1640625" style="15" customWidth="1"/>
    <col min="15381" max="15381" width="4.83203125" style="15" customWidth="1"/>
    <col min="15382" max="15617" width="11.33203125" style="15" customWidth="1"/>
    <col min="15618" max="15623" width="4.83203125" style="15" customWidth="1"/>
    <col min="15624" max="15624" width="9" style="15" customWidth="1"/>
    <col min="15625" max="15628" width="4.83203125" style="15" customWidth="1"/>
    <col min="15629" max="15629" width="5.6640625" style="15" customWidth="1"/>
    <col min="15630" max="15635" width="4.83203125" style="15" customWidth="1"/>
    <col min="15636" max="15636" width="2.1640625" style="15" customWidth="1"/>
    <col min="15637" max="15637" width="4.83203125" style="15" customWidth="1"/>
    <col min="15638" max="15873" width="11.33203125" style="15" customWidth="1"/>
    <col min="15874" max="15879" width="4.83203125" style="15" customWidth="1"/>
    <col min="15880" max="15880" width="9" style="15" customWidth="1"/>
    <col min="15881" max="15884" width="4.83203125" style="15" customWidth="1"/>
    <col min="15885" max="15885" width="5.6640625" style="15" customWidth="1"/>
    <col min="15886" max="15891" width="4.83203125" style="15" customWidth="1"/>
    <col min="15892" max="15892" width="2.1640625" style="15" customWidth="1"/>
    <col min="15893" max="15893" width="4.83203125" style="15" customWidth="1"/>
    <col min="15894" max="16129" width="11.33203125" style="15" customWidth="1"/>
    <col min="16130" max="16135" width="4.83203125" style="15" customWidth="1"/>
    <col min="16136" max="16136" width="9" style="15" customWidth="1"/>
    <col min="16137" max="16140" width="4.83203125" style="15" customWidth="1"/>
    <col min="16141" max="16141" width="5.6640625" style="15" customWidth="1"/>
    <col min="16142" max="16147" width="4.83203125" style="15" customWidth="1"/>
    <col min="16148" max="16148" width="2.1640625" style="15" customWidth="1"/>
    <col min="16149" max="16149" width="4.83203125" style="15" customWidth="1"/>
    <col min="16150" max="16384" width="11.33203125" style="15" customWidth="1"/>
  </cols>
  <sheetData>
    <row r="1" spans="2:21">
      <c r="B1" s="22"/>
      <c r="C1" s="22"/>
    </row>
    <row r="2" spans="2:21">
      <c r="B2" s="22"/>
      <c r="C2" s="22"/>
    </row>
    <row r="3" spans="2:21">
      <c r="B3" s="22"/>
      <c r="C3" s="22"/>
    </row>
    <row r="4" spans="2:21">
      <c r="B4" s="22"/>
      <c r="C4" s="22"/>
    </row>
    <row r="5" spans="2:21">
      <c r="B5" s="22"/>
      <c r="C5" s="22"/>
    </row>
    <row r="6" spans="2:21">
      <c r="B6" s="22"/>
      <c r="C6" s="22"/>
    </row>
    <row r="7" spans="2:21" ht="4" customHeight="1">
      <c r="B7" s="227" t="s">
        <v>54</v>
      </c>
      <c r="C7" s="228"/>
      <c r="D7" s="228"/>
      <c r="E7" s="228"/>
      <c r="F7" s="228"/>
      <c r="G7" s="228"/>
      <c r="H7" s="228"/>
      <c r="I7" s="228"/>
      <c r="J7" s="228"/>
      <c r="K7" s="228"/>
      <c r="L7" s="228"/>
      <c r="M7" s="228"/>
      <c r="N7" s="228"/>
      <c r="O7" s="228"/>
      <c r="P7" s="228"/>
      <c r="Q7" s="228"/>
      <c r="R7" s="228"/>
      <c r="S7" s="228"/>
      <c r="T7" s="228"/>
      <c r="U7" s="228"/>
    </row>
    <row r="8" spans="2:21" ht="66" customHeight="1">
      <c r="B8" s="229" t="s">
        <v>105</v>
      </c>
      <c r="C8" s="229"/>
      <c r="D8" s="229"/>
      <c r="E8" s="229"/>
      <c r="F8" s="229"/>
      <c r="G8" s="229"/>
      <c r="H8" s="229"/>
      <c r="I8" s="229"/>
      <c r="J8" s="229"/>
      <c r="K8" s="229"/>
      <c r="L8" s="229"/>
      <c r="M8" s="229"/>
      <c r="N8" s="229"/>
      <c r="O8" s="229"/>
      <c r="P8" s="229"/>
      <c r="Q8" s="229"/>
      <c r="R8" s="229"/>
      <c r="S8" s="229"/>
      <c r="T8" s="229"/>
      <c r="U8" s="229"/>
    </row>
    <row r="9" spans="2:21" ht="44" customHeight="1">
      <c r="B9" s="230" t="str">
        <f>갑지!K8</f>
        <v>마곡엠밸리4단지아파트</v>
      </c>
      <c r="C9" s="230"/>
      <c r="D9" s="230"/>
      <c r="E9" s="230"/>
      <c r="F9" s="230"/>
      <c r="G9" s="230"/>
      <c r="H9" s="230"/>
      <c r="I9" s="230"/>
      <c r="J9" s="230"/>
      <c r="K9" s="230"/>
      <c r="L9" s="230"/>
      <c r="M9" s="230"/>
      <c r="N9" s="230"/>
      <c r="O9" s="230"/>
      <c r="P9" s="230"/>
      <c r="Q9" s="230"/>
      <c r="R9" s="230"/>
      <c r="S9" s="230"/>
      <c r="T9" s="230"/>
      <c r="U9" s="230"/>
    </row>
    <row r="10" spans="2:21" ht="4" customHeight="1">
      <c r="B10" s="231"/>
      <c r="C10" s="232"/>
      <c r="D10" s="232"/>
      <c r="E10" s="232"/>
      <c r="F10" s="232"/>
      <c r="G10" s="232"/>
      <c r="H10" s="232"/>
      <c r="I10" s="232"/>
      <c r="J10" s="232"/>
      <c r="K10" s="232"/>
      <c r="L10" s="232"/>
      <c r="M10" s="232"/>
      <c r="N10" s="232"/>
      <c r="O10" s="232"/>
      <c r="P10" s="232"/>
      <c r="Q10" s="232"/>
      <c r="R10" s="232"/>
      <c r="S10" s="232"/>
      <c r="T10" s="232"/>
      <c r="U10" s="232"/>
    </row>
    <row r="11" spans="2:21" ht="50" customHeight="1">
      <c r="B11" s="24"/>
      <c r="C11" s="24"/>
    </row>
    <row r="12" spans="2:21" ht="50" customHeight="1">
      <c r="B12" s="24"/>
      <c r="C12" s="24"/>
    </row>
    <row r="13" spans="2:21" ht="50" customHeight="1">
      <c r="B13" s="24"/>
      <c r="C13" s="24"/>
    </row>
    <row r="14" spans="2:21" ht="50" customHeight="1">
      <c r="B14" s="24"/>
      <c r="C14" s="24"/>
    </row>
    <row r="15" spans="2:21" ht="50" customHeight="1">
      <c r="B15" s="24"/>
      <c r="C15" s="24"/>
    </row>
    <row r="16" spans="2:21" ht="24">
      <c r="B16" s="233" t="s">
        <v>136</v>
      </c>
      <c r="C16" s="233"/>
      <c r="D16" s="233"/>
      <c r="E16" s="233"/>
      <c r="F16" s="233"/>
      <c r="G16" s="233"/>
      <c r="H16" s="233"/>
      <c r="I16" s="233"/>
      <c r="J16" s="233"/>
      <c r="K16" s="233"/>
      <c r="L16" s="233"/>
      <c r="M16" s="233"/>
      <c r="N16" s="233"/>
      <c r="O16" s="233"/>
      <c r="P16" s="233"/>
      <c r="Q16" s="233"/>
      <c r="R16" s="233"/>
      <c r="S16" s="233"/>
      <c r="T16" s="233"/>
      <c r="U16" s="233"/>
    </row>
    <row r="17" spans="2:21" ht="50" customHeight="1">
      <c r="B17" s="24"/>
      <c r="C17" s="24"/>
    </row>
    <row r="18" spans="2:21" ht="50" customHeight="1">
      <c r="B18" s="24"/>
      <c r="C18" s="24"/>
    </row>
    <row r="19" spans="2:21" ht="50" customHeight="1">
      <c r="B19" s="24"/>
      <c r="C19" s="24"/>
    </row>
    <row r="20" spans="2:21" ht="50" customHeight="1">
      <c r="B20" s="24"/>
      <c r="C20" s="24"/>
    </row>
    <row r="21" spans="2:21" ht="50" customHeight="1">
      <c r="B21" s="24"/>
      <c r="C21" s="24"/>
    </row>
    <row r="22" spans="2:21" ht="4" customHeight="1">
      <c r="B22" s="310"/>
      <c r="C22" s="310"/>
      <c r="D22" s="310"/>
      <c r="E22" s="310"/>
      <c r="F22" s="310"/>
      <c r="G22" s="310"/>
      <c r="H22" s="310"/>
      <c r="I22" s="310"/>
      <c r="J22" s="310"/>
      <c r="K22" s="310"/>
      <c r="L22" s="310"/>
      <c r="M22" s="310"/>
      <c r="N22" s="310"/>
      <c r="O22" s="310"/>
      <c r="P22" s="310"/>
      <c r="Q22" s="310"/>
      <c r="R22" s="310"/>
      <c r="S22" s="310"/>
      <c r="T22" s="310"/>
      <c r="U22" s="310"/>
    </row>
    <row r="23" spans="2:21" ht="53.25" customHeight="1">
      <c r="D23" s="25"/>
      <c r="E23" s="25"/>
      <c r="I23" s="234" t="s">
        <v>55</v>
      </c>
      <c r="J23" s="234"/>
      <c r="K23" s="234"/>
      <c r="L23" s="234"/>
      <c r="M23" s="234"/>
      <c r="N23" s="234"/>
      <c r="O23" s="234"/>
      <c r="P23" s="234"/>
      <c r="Q23" s="234"/>
      <c r="R23" s="234"/>
      <c r="S23" s="234"/>
      <c r="T23" s="26"/>
      <c r="U23" s="26"/>
    </row>
    <row r="24" spans="2:21" ht="24" customHeight="1">
      <c r="D24" s="27"/>
      <c r="E24" s="27"/>
      <c r="F24" s="27"/>
      <c r="I24" s="235" t="s">
        <v>56</v>
      </c>
      <c r="J24" s="235"/>
      <c r="K24" s="235"/>
      <c r="L24" s="235"/>
      <c r="M24" s="235"/>
      <c r="N24" s="235"/>
      <c r="O24" s="235"/>
      <c r="P24" s="235"/>
      <c r="Q24" s="235"/>
      <c r="R24" s="235"/>
      <c r="S24" s="235"/>
      <c r="T24" s="235"/>
      <c r="U24" s="27"/>
    </row>
    <row r="25" spans="2:21" ht="24" customHeight="1">
      <c r="D25" s="27"/>
      <c r="E25" s="27"/>
      <c r="F25" s="27"/>
      <c r="I25" s="235" t="s">
        <v>57</v>
      </c>
      <c r="J25" s="235"/>
      <c r="K25" s="235"/>
      <c r="L25" s="235"/>
      <c r="M25" s="235"/>
      <c r="N25" s="235"/>
      <c r="O25" s="235"/>
      <c r="P25" s="235"/>
      <c r="Q25" s="235"/>
      <c r="R25" s="235"/>
      <c r="S25" s="235"/>
      <c r="T25" s="235"/>
      <c r="U25" s="27"/>
    </row>
    <row r="26" spans="2:21" ht="24" customHeight="1">
      <c r="D26" s="27"/>
      <c r="E26" s="27"/>
      <c r="F26" s="27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</row>
    <row r="27" spans="2:21" ht="24" customHeight="1">
      <c r="D27" s="27"/>
      <c r="E27" s="27"/>
      <c r="F27" s="27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</row>
    <row r="28" spans="2:21" ht="43.5" customHeight="1">
      <c r="B28" s="236" t="s">
        <v>105</v>
      </c>
      <c r="C28" s="237"/>
      <c r="D28" s="237"/>
      <c r="E28" s="237"/>
      <c r="F28" s="237"/>
      <c r="G28" s="237"/>
      <c r="H28" s="237"/>
      <c r="I28" s="237"/>
      <c r="J28" s="237"/>
      <c r="K28" s="237"/>
      <c r="L28" s="237"/>
      <c r="M28" s="237"/>
      <c r="N28" s="237"/>
      <c r="O28" s="237"/>
      <c r="P28" s="237"/>
      <c r="Q28" s="237"/>
      <c r="R28" s="237"/>
      <c r="S28" s="237"/>
      <c r="T28" s="237"/>
      <c r="U28" s="238"/>
    </row>
    <row r="29" spans="2:21" ht="25" customHeight="1">
      <c r="B29" s="239" t="s">
        <v>58</v>
      </c>
      <c r="C29" s="240"/>
      <c r="D29" s="243" t="s">
        <v>59</v>
      </c>
      <c r="E29" s="243"/>
      <c r="F29" s="243"/>
      <c r="G29" s="244" t="str">
        <f>B9</f>
        <v>마곡엠밸리4단지아파트</v>
      </c>
      <c r="H29" s="244"/>
      <c r="I29" s="244"/>
      <c r="J29" s="244"/>
      <c r="K29" s="244"/>
      <c r="L29" s="244"/>
      <c r="M29" s="244"/>
      <c r="N29" s="244"/>
      <c r="O29" s="244"/>
      <c r="P29" s="244"/>
      <c r="Q29" s="244"/>
      <c r="R29" s="244"/>
      <c r="S29" s="244"/>
      <c r="T29" s="244"/>
      <c r="U29" s="245"/>
    </row>
    <row r="30" spans="2:21" ht="25" customHeight="1">
      <c r="B30" s="241"/>
      <c r="C30" s="242"/>
      <c r="D30" s="246" t="s">
        <v>60</v>
      </c>
      <c r="E30" s="246"/>
      <c r="F30" s="246"/>
      <c r="G30" s="247" t="s">
        <v>61</v>
      </c>
      <c r="H30" s="247"/>
      <c r="I30" s="247"/>
      <c r="J30" s="247"/>
      <c r="K30" s="247"/>
      <c r="L30" s="247"/>
      <c r="M30" s="247"/>
      <c r="N30" s="247"/>
      <c r="O30" s="247"/>
      <c r="P30" s="247"/>
      <c r="Q30" s="247"/>
      <c r="R30" s="247"/>
      <c r="S30" s="247"/>
      <c r="T30" s="247"/>
      <c r="U30" s="248"/>
    </row>
    <row r="31" spans="2:21" ht="25" customHeight="1">
      <c r="B31" s="241"/>
      <c r="C31" s="242"/>
      <c r="D31" s="246"/>
      <c r="E31" s="246"/>
      <c r="F31" s="246"/>
      <c r="G31" s="247" t="s">
        <v>62</v>
      </c>
      <c r="H31" s="247"/>
      <c r="I31" s="247"/>
      <c r="J31" s="247"/>
      <c r="K31" s="247"/>
      <c r="L31" s="247"/>
      <c r="M31" s="247"/>
      <c r="N31" s="247"/>
      <c r="O31" s="247"/>
      <c r="P31" s="247"/>
      <c r="Q31" s="247"/>
      <c r="R31" s="247"/>
      <c r="S31" s="247"/>
      <c r="T31" s="247"/>
      <c r="U31" s="248"/>
    </row>
    <row r="32" spans="2:21" ht="25" customHeight="1">
      <c r="B32" s="241"/>
      <c r="C32" s="242"/>
      <c r="D32" s="246"/>
      <c r="E32" s="246"/>
      <c r="F32" s="246"/>
      <c r="G32" s="247" t="s">
        <v>63</v>
      </c>
      <c r="H32" s="247"/>
      <c r="I32" s="247"/>
      <c r="J32" s="247"/>
      <c r="K32" s="247"/>
      <c r="L32" s="247"/>
      <c r="M32" s="247"/>
      <c r="N32" s="247"/>
      <c r="O32" s="247"/>
      <c r="P32" s="247"/>
      <c r="Q32" s="247"/>
      <c r="R32" s="247"/>
      <c r="S32" s="247"/>
      <c r="T32" s="247"/>
      <c r="U32" s="248"/>
    </row>
    <row r="33" spans="2:21" ht="25" customHeight="1">
      <c r="B33" s="241"/>
      <c r="C33" s="242"/>
      <c r="D33" s="246"/>
      <c r="E33" s="246"/>
      <c r="F33" s="246"/>
      <c r="G33" s="247" t="s">
        <v>64</v>
      </c>
      <c r="H33" s="247"/>
      <c r="I33" s="247"/>
      <c r="J33" s="247"/>
      <c r="K33" s="247"/>
      <c r="L33" s="247"/>
      <c r="M33" s="247"/>
      <c r="N33" s="247"/>
      <c r="O33" s="247"/>
      <c r="P33" s="247"/>
      <c r="Q33" s="247"/>
      <c r="R33" s="247"/>
      <c r="S33" s="247"/>
      <c r="T33" s="247"/>
      <c r="U33" s="248"/>
    </row>
    <row r="34" spans="2:21" ht="25" customHeight="1">
      <c r="B34" s="241"/>
      <c r="C34" s="242"/>
      <c r="D34" s="246"/>
      <c r="E34" s="246"/>
      <c r="F34" s="246"/>
      <c r="G34" s="249" t="s">
        <v>65</v>
      </c>
      <c r="H34" s="249"/>
      <c r="I34" s="249"/>
      <c r="J34" s="249"/>
      <c r="K34" s="249"/>
      <c r="L34" s="249"/>
      <c r="M34" s="249"/>
      <c r="N34" s="249"/>
      <c r="O34" s="249"/>
      <c r="P34" s="249"/>
      <c r="Q34" s="249"/>
      <c r="R34" s="249"/>
      <c r="S34" s="249"/>
      <c r="T34" s="249"/>
      <c r="U34" s="250"/>
    </row>
    <row r="35" spans="2:21" ht="25" customHeight="1">
      <c r="B35" s="241" t="s">
        <v>66</v>
      </c>
      <c r="C35" s="242"/>
      <c r="D35" s="246" t="s">
        <v>67</v>
      </c>
      <c r="E35" s="246"/>
      <c r="F35" s="246"/>
      <c r="G35" s="255" t="str">
        <f>G29</f>
        <v>마곡엠밸리4단지아파트</v>
      </c>
      <c r="H35" s="256"/>
      <c r="I35" s="256"/>
      <c r="J35" s="256"/>
      <c r="K35" s="256"/>
      <c r="L35" s="256"/>
      <c r="M35" s="256" t="s">
        <v>115</v>
      </c>
      <c r="N35" s="256"/>
      <c r="O35" s="256"/>
      <c r="P35" s="256"/>
      <c r="Q35" s="256"/>
      <c r="R35" s="256"/>
      <c r="S35" s="256"/>
      <c r="T35" s="256"/>
      <c r="U35" s="257"/>
    </row>
    <row r="36" spans="2:21" ht="25" customHeight="1">
      <c r="B36" s="241"/>
      <c r="C36" s="242"/>
      <c r="D36" s="246" t="s">
        <v>68</v>
      </c>
      <c r="E36" s="246"/>
      <c r="F36" s="246"/>
      <c r="G36" s="258" t="str">
        <f>대가산출!I3</f>
        <v>일금육십만원정 (₩600,000) - VAT별도</v>
      </c>
      <c r="H36" s="258"/>
      <c r="I36" s="258"/>
      <c r="J36" s="258"/>
      <c r="K36" s="258"/>
      <c r="L36" s="258"/>
      <c r="M36" s="258"/>
      <c r="N36" s="258"/>
      <c r="O36" s="258"/>
      <c r="P36" s="258"/>
      <c r="Q36" s="258"/>
      <c r="R36" s="258"/>
      <c r="S36" s="258"/>
      <c r="T36" s="258"/>
      <c r="U36" s="259"/>
    </row>
    <row r="37" spans="2:21" ht="25" customHeight="1">
      <c r="B37" s="241"/>
      <c r="C37" s="242"/>
      <c r="D37" s="246" t="s">
        <v>69</v>
      </c>
      <c r="E37" s="246"/>
      <c r="F37" s="246"/>
      <c r="G37" s="260" t="str">
        <f>대가산출!I3</f>
        <v>일금육십만원정 (₩600,000) - VAT별도</v>
      </c>
      <c r="H37" s="260"/>
      <c r="I37" s="260"/>
      <c r="J37" s="260"/>
      <c r="K37" s="260"/>
      <c r="L37" s="260"/>
      <c r="M37" s="260"/>
      <c r="N37" s="260"/>
      <c r="O37" s="260"/>
      <c r="P37" s="260"/>
      <c r="Q37" s="260"/>
      <c r="R37" s="260"/>
      <c r="S37" s="260"/>
      <c r="T37" s="260"/>
      <c r="U37" s="261"/>
    </row>
    <row r="38" spans="2:21" ht="25" customHeight="1">
      <c r="B38" s="241"/>
      <c r="C38" s="242"/>
      <c r="D38" s="246" t="s">
        <v>70</v>
      </c>
      <c r="E38" s="246"/>
      <c r="F38" s="246"/>
      <c r="G38" s="258" t="s">
        <v>71</v>
      </c>
      <c r="H38" s="258"/>
      <c r="I38" s="258"/>
      <c r="J38" s="258"/>
      <c r="K38" s="258"/>
      <c r="L38" s="258"/>
      <c r="M38" s="258"/>
      <c r="N38" s="258"/>
      <c r="O38" s="258"/>
      <c r="P38" s="258"/>
      <c r="Q38" s="258"/>
      <c r="R38" s="258"/>
      <c r="S38" s="258"/>
      <c r="T38" s="258"/>
      <c r="U38" s="259"/>
    </row>
    <row r="39" spans="2:21" ht="25" customHeight="1">
      <c r="B39" s="241"/>
      <c r="C39" s="242"/>
      <c r="D39" s="246" t="s">
        <v>116</v>
      </c>
      <c r="E39" s="246"/>
      <c r="F39" s="246"/>
      <c r="G39" s="258" t="s">
        <v>72</v>
      </c>
      <c r="H39" s="258"/>
      <c r="I39" s="258"/>
      <c r="J39" s="258"/>
      <c r="K39" s="258"/>
      <c r="L39" s="258"/>
      <c r="M39" s="258"/>
      <c r="N39" s="258"/>
      <c r="O39" s="258"/>
      <c r="P39" s="258"/>
      <c r="Q39" s="258"/>
      <c r="R39" s="258"/>
      <c r="S39" s="258"/>
      <c r="T39" s="258"/>
      <c r="U39" s="259"/>
    </row>
    <row r="40" spans="2:21" ht="25" customHeight="1">
      <c r="B40" s="241"/>
      <c r="C40" s="242"/>
      <c r="D40" s="246" t="s">
        <v>117</v>
      </c>
      <c r="E40" s="246"/>
      <c r="F40" s="246"/>
      <c r="G40" s="258" t="str">
        <f>갑지!R26</f>
        <v>서울 성북구 길음로9길 50 (길음동)</v>
      </c>
      <c r="H40" s="258"/>
      <c r="I40" s="258"/>
      <c r="J40" s="258"/>
      <c r="K40" s="258"/>
      <c r="L40" s="258"/>
      <c r="M40" s="258"/>
      <c r="N40" s="258"/>
      <c r="O40" s="258"/>
      <c r="P40" s="258"/>
      <c r="Q40" s="258"/>
      <c r="R40" s="258"/>
      <c r="S40" s="258"/>
      <c r="T40" s="258"/>
      <c r="U40" s="259"/>
    </row>
    <row r="41" spans="2:21" ht="25" customHeight="1">
      <c r="B41" s="241"/>
      <c r="C41" s="242"/>
      <c r="D41" s="246"/>
      <c r="E41" s="246"/>
      <c r="F41" s="246"/>
      <c r="G41" s="262" t="s">
        <v>166</v>
      </c>
      <c r="H41" s="263"/>
      <c r="I41" s="263" t="s">
        <v>163</v>
      </c>
      <c r="J41" s="263"/>
      <c r="K41" s="263"/>
      <c r="L41" s="263"/>
      <c r="M41" s="263"/>
      <c r="N41" s="45" t="s">
        <v>14</v>
      </c>
      <c r="O41" s="263" t="s">
        <v>164</v>
      </c>
      <c r="P41" s="263"/>
      <c r="Q41" s="263" t="s">
        <v>165</v>
      </c>
      <c r="R41" s="263"/>
      <c r="S41" s="263"/>
      <c r="T41" s="263"/>
      <c r="U41" s="264"/>
    </row>
    <row r="42" spans="2:21" ht="25" customHeight="1">
      <c r="B42" s="251"/>
      <c r="C42" s="252"/>
      <c r="D42" s="265" t="s">
        <v>73</v>
      </c>
      <c r="E42" s="266"/>
      <c r="F42" s="267"/>
      <c r="G42" s="268" t="s">
        <v>80</v>
      </c>
      <c r="H42" s="269"/>
      <c r="I42" s="269"/>
      <c r="J42" s="269"/>
      <c r="K42" s="269"/>
      <c r="L42" s="269"/>
      <c r="M42" s="269"/>
      <c r="N42" s="269"/>
      <c r="O42" s="269"/>
      <c r="P42" s="269"/>
      <c r="Q42" s="269"/>
      <c r="R42" s="269"/>
      <c r="S42" s="269"/>
      <c r="T42" s="269"/>
      <c r="U42" s="270"/>
    </row>
    <row r="43" spans="2:21" ht="25" customHeight="1">
      <c r="B43" s="253"/>
      <c r="C43" s="254"/>
      <c r="D43" s="271" t="s">
        <v>74</v>
      </c>
      <c r="E43" s="271"/>
      <c r="F43" s="271"/>
      <c r="G43" s="272"/>
      <c r="H43" s="272"/>
      <c r="I43" s="272"/>
      <c r="J43" s="272"/>
      <c r="K43" s="272"/>
      <c r="L43" s="272"/>
      <c r="M43" s="272"/>
      <c r="N43" s="272"/>
      <c r="O43" s="272"/>
      <c r="P43" s="272"/>
      <c r="Q43" s="272"/>
      <c r="R43" s="272"/>
      <c r="S43" s="272"/>
      <c r="T43" s="272"/>
      <c r="U43" s="273"/>
    </row>
    <row r="44" spans="2:21">
      <c r="B44" s="274"/>
      <c r="C44" s="275"/>
      <c r="D44" s="275"/>
      <c r="E44" s="275"/>
      <c r="U44" s="29"/>
    </row>
    <row r="45" spans="2:21" ht="67.5" customHeight="1">
      <c r="B45" s="276" t="s">
        <v>158</v>
      </c>
      <c r="C45" s="247"/>
      <c r="D45" s="247"/>
      <c r="E45" s="247"/>
      <c r="F45" s="247"/>
      <c r="G45" s="247"/>
      <c r="H45" s="247"/>
      <c r="I45" s="247"/>
      <c r="J45" s="247"/>
      <c r="K45" s="247"/>
      <c r="L45" s="247"/>
      <c r="M45" s="247"/>
      <c r="N45" s="247"/>
      <c r="O45" s="247"/>
      <c r="P45" s="247"/>
      <c r="Q45" s="247"/>
      <c r="R45" s="247"/>
      <c r="S45" s="247"/>
      <c r="T45" s="247"/>
      <c r="U45" s="248"/>
    </row>
    <row r="46" spans="2:21">
      <c r="B46" s="30"/>
      <c r="C46" s="31"/>
      <c r="D46" s="31"/>
      <c r="E46" s="31"/>
      <c r="U46" s="29"/>
    </row>
    <row r="47" spans="2:21" ht="25" customHeight="1">
      <c r="B47" s="277" t="s">
        <v>75</v>
      </c>
      <c r="C47" s="278"/>
      <c r="D47" s="278"/>
      <c r="E47" s="278"/>
      <c r="F47" s="278"/>
      <c r="G47" s="247" t="s">
        <v>106</v>
      </c>
      <c r="H47" s="247"/>
      <c r="I47" s="247"/>
      <c r="J47" s="247"/>
      <c r="K47" s="247"/>
      <c r="L47" s="247"/>
      <c r="M47" s="247"/>
      <c r="N47" s="247"/>
      <c r="O47" s="247"/>
      <c r="P47" s="247"/>
      <c r="Q47" s="247"/>
      <c r="R47" s="247"/>
      <c r="S47" s="247"/>
      <c r="T47" s="247"/>
      <c r="U47" s="248"/>
    </row>
    <row r="48" spans="2:21" ht="25" customHeight="1">
      <c r="B48" s="32"/>
      <c r="C48" s="27"/>
      <c r="D48" s="27"/>
      <c r="E48" s="247"/>
      <c r="F48" s="247"/>
      <c r="G48" s="247"/>
      <c r="H48" s="247"/>
      <c r="I48" s="247"/>
      <c r="J48" s="247"/>
      <c r="K48" s="247"/>
      <c r="L48" s="247"/>
      <c r="M48" s="247"/>
      <c r="N48" s="247"/>
      <c r="O48" s="247"/>
      <c r="P48" s="247"/>
      <c r="Q48" s="247"/>
      <c r="R48" s="247"/>
      <c r="S48" s="247"/>
      <c r="T48" s="247"/>
      <c r="U48" s="248"/>
    </row>
    <row r="49" spans="2:21" ht="25" customHeight="1">
      <c r="B49" s="32"/>
      <c r="C49" s="27"/>
      <c r="D49" s="27"/>
      <c r="E49" s="247"/>
      <c r="F49" s="247"/>
      <c r="G49" s="247"/>
      <c r="H49" s="247"/>
      <c r="I49" s="247"/>
      <c r="J49" s="247"/>
      <c r="K49" s="247"/>
      <c r="L49" s="247"/>
      <c r="M49" s="247"/>
      <c r="N49" s="247"/>
      <c r="O49" s="247"/>
      <c r="P49" s="247"/>
      <c r="Q49" s="247"/>
      <c r="R49" s="247"/>
      <c r="S49" s="247"/>
      <c r="T49" s="247"/>
      <c r="U49" s="248"/>
    </row>
    <row r="50" spans="2:21">
      <c r="B50" s="274"/>
      <c r="C50" s="275"/>
      <c r="D50" s="275"/>
      <c r="E50" s="275"/>
      <c r="U50" s="29"/>
    </row>
    <row r="51" spans="2:21" ht="25" customHeight="1">
      <c r="B51" s="279" t="s">
        <v>76</v>
      </c>
      <c r="C51" s="280"/>
      <c r="D51" s="280"/>
      <c r="E51" s="280"/>
      <c r="F51" s="280"/>
      <c r="G51" s="281" t="s">
        <v>118</v>
      </c>
      <c r="H51" s="281"/>
      <c r="I51" s="281"/>
      <c r="J51" s="281"/>
      <c r="K51" s="281"/>
      <c r="L51" s="281"/>
      <c r="M51" s="281"/>
      <c r="N51" s="281"/>
      <c r="O51" s="281"/>
      <c r="P51" s="281"/>
      <c r="Q51" s="281"/>
      <c r="R51" s="281"/>
      <c r="S51" s="281"/>
      <c r="T51" s="281"/>
      <c r="U51" s="282"/>
    </row>
    <row r="52" spans="2:21" ht="40.5" customHeight="1">
      <c r="B52" s="283" t="s">
        <v>119</v>
      </c>
      <c r="C52" s="284"/>
      <c r="D52" s="284"/>
      <c r="E52" s="284"/>
      <c r="F52" s="284"/>
      <c r="G52" s="284"/>
      <c r="H52" s="284"/>
      <c r="I52" s="284"/>
      <c r="J52" s="284"/>
      <c r="K52" s="284"/>
      <c r="L52" s="284" t="s">
        <v>120</v>
      </c>
      <c r="M52" s="284"/>
      <c r="N52" s="284"/>
      <c r="O52" s="284"/>
      <c r="P52" s="284"/>
      <c r="Q52" s="284"/>
      <c r="R52" s="284"/>
      <c r="S52" s="284"/>
      <c r="T52" s="284"/>
      <c r="U52" s="285"/>
    </row>
    <row r="53" spans="2:21" ht="40.5" customHeight="1">
      <c r="B53" s="286" t="s">
        <v>121</v>
      </c>
      <c r="C53" s="287"/>
      <c r="D53" s="287"/>
      <c r="E53" s="288"/>
      <c r="F53" s="289" t="str">
        <f>G29</f>
        <v>마곡엠밸리4단지아파트</v>
      </c>
      <c r="G53" s="290"/>
      <c r="H53" s="290"/>
      <c r="I53" s="290"/>
      <c r="J53" s="290"/>
      <c r="K53" s="291"/>
      <c r="L53" s="262" t="s">
        <v>122</v>
      </c>
      <c r="M53" s="263"/>
      <c r="N53" s="263"/>
      <c r="O53" s="292"/>
      <c r="P53" s="255" t="s">
        <v>123</v>
      </c>
      <c r="Q53" s="256"/>
      <c r="R53" s="256"/>
      <c r="S53" s="256"/>
      <c r="T53" s="256"/>
      <c r="U53" s="257"/>
    </row>
    <row r="54" spans="2:21" ht="40.5" customHeight="1">
      <c r="B54" s="293" t="s">
        <v>124</v>
      </c>
      <c r="C54" s="263"/>
      <c r="D54" s="263"/>
      <c r="E54" s="292"/>
      <c r="F54" s="294" t="str">
        <f>G40</f>
        <v>서울 성북구 길음로9길 50 (길음동)</v>
      </c>
      <c r="G54" s="295"/>
      <c r="H54" s="295"/>
      <c r="I54" s="295"/>
      <c r="J54" s="295"/>
      <c r="K54" s="296"/>
      <c r="L54" s="262" t="s">
        <v>125</v>
      </c>
      <c r="M54" s="263"/>
      <c r="N54" s="263"/>
      <c r="O54" s="292"/>
      <c r="P54" s="268" t="s">
        <v>161</v>
      </c>
      <c r="Q54" s="256"/>
      <c r="R54" s="256"/>
      <c r="S54" s="256"/>
      <c r="T54" s="256"/>
      <c r="U54" s="257"/>
    </row>
    <row r="55" spans="2:21" ht="40.5" customHeight="1" thickBot="1">
      <c r="B55" s="297" t="s">
        <v>81</v>
      </c>
      <c r="C55" s="298"/>
      <c r="D55" s="298"/>
      <c r="E55" s="298"/>
      <c r="F55" s="298"/>
      <c r="G55" s="298"/>
      <c r="H55" s="298"/>
      <c r="I55" s="298"/>
      <c r="J55" s="298"/>
      <c r="K55" s="43" t="s">
        <v>82</v>
      </c>
      <c r="L55" s="299" t="s">
        <v>126</v>
      </c>
      <c r="M55" s="298"/>
      <c r="N55" s="298"/>
      <c r="O55" s="300"/>
      <c r="P55" s="299" t="s">
        <v>83</v>
      </c>
      <c r="Q55" s="298"/>
      <c r="R55" s="298"/>
      <c r="S55" s="298"/>
      <c r="T55" s="298"/>
      <c r="U55" s="44" t="s">
        <v>82</v>
      </c>
    </row>
    <row r="56" spans="2:21" ht="16">
      <c r="B56" s="301" t="s">
        <v>77</v>
      </c>
      <c r="C56" s="301"/>
      <c r="D56" s="301"/>
      <c r="E56" s="301"/>
      <c r="F56" s="301"/>
      <c r="G56" s="301"/>
      <c r="H56" s="301"/>
      <c r="I56" s="301"/>
      <c r="J56" s="301"/>
      <c r="K56" s="301"/>
      <c r="L56" s="301"/>
      <c r="M56" s="301"/>
      <c r="N56" s="301"/>
      <c r="O56" s="301"/>
      <c r="P56" s="301"/>
      <c r="Q56" s="301"/>
      <c r="R56" s="301"/>
      <c r="S56" s="301"/>
      <c r="T56" s="301"/>
      <c r="U56" s="301"/>
    </row>
    <row r="57" spans="2:21" ht="26">
      <c r="B57" s="302" t="s">
        <v>107</v>
      </c>
      <c r="C57" s="302"/>
      <c r="D57" s="302"/>
      <c r="E57" s="302"/>
      <c r="F57" s="302"/>
      <c r="G57" s="302"/>
      <c r="H57" s="302"/>
      <c r="I57" s="302"/>
      <c r="J57" s="302"/>
      <c r="K57" s="302"/>
      <c r="L57" s="302"/>
      <c r="M57" s="302"/>
      <c r="N57" s="302"/>
      <c r="O57" s="302"/>
      <c r="P57" s="302"/>
      <c r="Q57" s="302"/>
      <c r="R57" s="302"/>
      <c r="S57" s="302"/>
      <c r="T57" s="302"/>
      <c r="U57" s="302"/>
    </row>
    <row r="58" spans="2:21" ht="15">
      <c r="B58" s="33"/>
      <c r="F58" s="17"/>
      <c r="G58" s="23"/>
      <c r="I58" s="16"/>
    </row>
    <row r="59" spans="2:21" ht="16.5" customHeight="1">
      <c r="B59" s="303" t="s">
        <v>167</v>
      </c>
      <c r="C59" s="303"/>
      <c r="D59" s="303"/>
      <c r="E59" s="303"/>
      <c r="F59" s="303"/>
      <c r="G59" s="303"/>
      <c r="H59" s="303"/>
      <c r="I59" s="303"/>
      <c r="J59" s="303"/>
      <c r="K59" s="303"/>
      <c r="L59" s="303"/>
      <c r="M59" s="303"/>
      <c r="N59" s="303"/>
      <c r="O59" s="303"/>
      <c r="P59" s="303"/>
      <c r="Q59" s="303"/>
      <c r="R59" s="303"/>
      <c r="S59" s="303"/>
      <c r="T59" s="303"/>
      <c r="U59" s="303"/>
    </row>
    <row r="60" spans="2:21" ht="16.5" customHeight="1">
      <c r="B60" s="304" t="s">
        <v>130</v>
      </c>
      <c r="C60" s="304"/>
      <c r="D60" s="304"/>
      <c r="E60" s="304"/>
      <c r="F60" s="304"/>
      <c r="G60" s="304"/>
      <c r="H60" s="304"/>
      <c r="I60" s="304"/>
      <c r="J60" s="304"/>
      <c r="K60" s="304"/>
      <c r="L60" s="304"/>
      <c r="M60" s="304"/>
      <c r="N60" s="304"/>
      <c r="O60" s="304"/>
      <c r="P60" s="304"/>
      <c r="Q60" s="304"/>
      <c r="R60" s="304"/>
      <c r="S60" s="304"/>
      <c r="T60" s="304"/>
      <c r="U60" s="304"/>
    </row>
    <row r="61" spans="2:21" ht="16.5" customHeight="1">
      <c r="B61" s="305" t="str">
        <f>F53</f>
        <v>마곡엠밸리4단지아파트</v>
      </c>
      <c r="C61" s="305"/>
      <c r="D61" s="305"/>
      <c r="E61" s="305"/>
      <c r="F61" s="305"/>
      <c r="G61" s="305"/>
      <c r="H61" s="305"/>
      <c r="I61" s="304" t="s">
        <v>168</v>
      </c>
      <c r="J61" s="304"/>
      <c r="K61" s="304"/>
      <c r="L61" s="304"/>
      <c r="M61" s="304"/>
      <c r="N61" s="304"/>
      <c r="O61" s="304"/>
      <c r="P61" s="304"/>
      <c r="Q61" s="304"/>
      <c r="R61" s="304"/>
      <c r="S61" s="304"/>
      <c r="T61" s="304"/>
      <c r="U61" s="304"/>
    </row>
    <row r="62" spans="2:21" ht="16.5" customHeight="1">
      <c r="B62" s="306" t="s">
        <v>169</v>
      </c>
      <c r="C62" s="306"/>
      <c r="D62" s="306"/>
      <c r="E62" s="306"/>
      <c r="F62" s="306"/>
      <c r="G62" s="306"/>
      <c r="H62" s="306"/>
      <c r="I62" s="306"/>
      <c r="J62" s="306"/>
      <c r="K62" s="306"/>
      <c r="L62" s="306"/>
      <c r="M62" s="306"/>
      <c r="N62" s="306"/>
      <c r="O62" s="306"/>
      <c r="P62" s="306"/>
      <c r="Q62" s="306"/>
      <c r="R62" s="306"/>
      <c r="S62" s="306"/>
      <c r="T62" s="306"/>
      <c r="U62" s="306"/>
    </row>
    <row r="63" spans="2:21" ht="20" customHeight="1">
      <c r="B63" s="34"/>
      <c r="C63" s="34"/>
      <c r="D63" s="34"/>
      <c r="E63" s="34"/>
      <c r="F63" s="34"/>
      <c r="G63" s="34"/>
      <c r="H63" s="34"/>
      <c r="I63" s="34"/>
      <c r="J63" s="34"/>
    </row>
    <row r="64" spans="2:21" ht="20" customHeight="1">
      <c r="B64" s="307" t="s">
        <v>78</v>
      </c>
      <c r="C64" s="307"/>
      <c r="D64" s="307"/>
      <c r="E64" s="307"/>
      <c r="F64" s="307"/>
      <c r="G64" s="307"/>
      <c r="H64" s="307"/>
      <c r="I64" s="307"/>
      <c r="J64" s="307"/>
    </row>
    <row r="65" spans="2:21" ht="77.25" customHeight="1">
      <c r="C65" s="247" t="s">
        <v>151</v>
      </c>
      <c r="D65" s="247"/>
      <c r="E65" s="247"/>
      <c r="F65" s="247"/>
      <c r="G65" s="247"/>
      <c r="H65" s="247"/>
      <c r="I65" s="247"/>
      <c r="J65" s="247"/>
      <c r="K65" s="247"/>
      <c r="L65" s="247"/>
      <c r="M65" s="247"/>
      <c r="N65" s="247"/>
      <c r="O65" s="247"/>
      <c r="P65" s="247"/>
      <c r="Q65" s="247"/>
      <c r="R65" s="247"/>
      <c r="S65" s="247"/>
      <c r="T65" s="247"/>
      <c r="U65" s="247"/>
    </row>
    <row r="66" spans="2:21" ht="20" customHeight="1">
      <c r="B66" s="35"/>
      <c r="F66" s="17"/>
      <c r="G66" s="23"/>
      <c r="I66" s="16"/>
    </row>
    <row r="67" spans="2:21" ht="20" customHeight="1">
      <c r="B67" s="307" t="s">
        <v>84</v>
      </c>
      <c r="C67" s="307"/>
      <c r="D67" s="307"/>
      <c r="E67" s="307"/>
      <c r="F67" s="307"/>
      <c r="G67" s="307"/>
      <c r="H67" s="307"/>
      <c r="I67" s="307"/>
      <c r="J67" s="307"/>
      <c r="K67" s="307"/>
      <c r="L67" s="307"/>
      <c r="M67" s="307"/>
      <c r="N67" s="307"/>
      <c r="O67" s="307"/>
      <c r="P67" s="307"/>
      <c r="Q67" s="307"/>
      <c r="R67" s="307"/>
      <c r="S67" s="307"/>
      <c r="T67" s="307"/>
      <c r="U67" s="307"/>
    </row>
    <row r="68" spans="2:21" ht="20" customHeight="1">
      <c r="C68" s="308" t="s">
        <v>127</v>
      </c>
      <c r="D68" s="308"/>
      <c r="E68" s="308"/>
      <c r="F68" s="308"/>
      <c r="G68" s="308"/>
      <c r="H68" s="308"/>
      <c r="I68" s="308"/>
      <c r="J68" s="308"/>
      <c r="K68" s="308"/>
      <c r="L68" s="308"/>
      <c r="M68" s="308"/>
      <c r="N68" s="308"/>
      <c r="O68" s="308"/>
      <c r="P68" s="308"/>
      <c r="Q68" s="308"/>
      <c r="R68" s="308"/>
      <c r="S68" s="308"/>
      <c r="T68" s="308"/>
      <c r="U68" s="308"/>
    </row>
    <row r="69" spans="2:21" ht="27" customHeight="1">
      <c r="C69" s="36"/>
      <c r="D69" s="309" t="s">
        <v>137</v>
      </c>
      <c r="E69" s="309"/>
      <c r="F69" s="309"/>
      <c r="G69" s="309"/>
      <c r="H69" s="309"/>
      <c r="I69" s="309"/>
      <c r="J69" s="309"/>
      <c r="K69" s="309"/>
      <c r="L69" s="309"/>
      <c r="M69" s="309"/>
      <c r="N69" s="309"/>
      <c r="O69" s="309"/>
      <c r="P69" s="309"/>
      <c r="Q69" s="309"/>
      <c r="R69" s="309"/>
      <c r="S69" s="309"/>
      <c r="T69" s="309"/>
      <c r="U69" s="309"/>
    </row>
    <row r="70" spans="2:21" ht="27" customHeight="1">
      <c r="C70" s="36"/>
      <c r="D70" s="304" t="s">
        <v>132</v>
      </c>
      <c r="E70" s="304"/>
      <c r="F70" s="304"/>
      <c r="G70" s="304"/>
      <c r="H70" s="304"/>
      <c r="I70" s="304"/>
      <c r="J70" s="304"/>
      <c r="K70" s="304"/>
      <c r="L70" s="304"/>
      <c r="M70" s="304"/>
      <c r="N70" s="304"/>
      <c r="O70" s="304"/>
      <c r="P70" s="304"/>
      <c r="Q70" s="304"/>
      <c r="R70" s="304"/>
      <c r="S70" s="304"/>
      <c r="T70" s="304"/>
      <c r="U70" s="304"/>
    </row>
    <row r="71" spans="2:21" ht="27" customHeight="1">
      <c r="C71" s="39"/>
      <c r="D71" s="304" t="s">
        <v>131</v>
      </c>
      <c r="E71" s="304"/>
      <c r="F71" s="304"/>
      <c r="G71" s="304"/>
      <c r="H71" s="304"/>
      <c r="I71" s="304"/>
      <c r="J71" s="304"/>
      <c r="K71" s="304"/>
      <c r="L71" s="304"/>
      <c r="M71" s="304"/>
      <c r="N71" s="304"/>
      <c r="O71" s="304"/>
      <c r="P71" s="304"/>
      <c r="Q71" s="304"/>
      <c r="R71" s="304"/>
      <c r="S71" s="304"/>
      <c r="T71" s="304"/>
      <c r="U71" s="304"/>
    </row>
    <row r="72" spans="2:21" ht="20" customHeight="1">
      <c r="B72" s="35"/>
      <c r="F72" s="17"/>
      <c r="G72" s="23"/>
      <c r="I72" s="16"/>
    </row>
    <row r="73" spans="2:21" ht="20" customHeight="1">
      <c r="B73" s="307" t="s">
        <v>85</v>
      </c>
      <c r="C73" s="307"/>
      <c r="D73" s="307"/>
      <c r="E73" s="307"/>
      <c r="F73" s="307"/>
      <c r="G73" s="307"/>
      <c r="H73" s="307"/>
      <c r="I73" s="307"/>
      <c r="J73" s="307"/>
      <c r="K73" s="307"/>
      <c r="L73" s="307"/>
      <c r="M73" s="307"/>
      <c r="N73" s="307"/>
      <c r="O73" s="307"/>
      <c r="P73" s="307"/>
      <c r="Q73" s="307"/>
      <c r="R73" s="307"/>
      <c r="S73" s="307"/>
      <c r="T73" s="307"/>
      <c r="U73" s="307"/>
    </row>
    <row r="74" spans="2:21" ht="20" customHeight="1">
      <c r="C74" s="308" t="s">
        <v>86</v>
      </c>
      <c r="D74" s="308"/>
      <c r="E74" s="308"/>
      <c r="F74" s="308"/>
      <c r="G74" s="308"/>
      <c r="H74" s="308"/>
      <c r="I74" s="308"/>
      <c r="J74" s="308"/>
      <c r="K74" s="308"/>
      <c r="L74" s="308"/>
      <c r="M74" s="308"/>
      <c r="N74" s="308"/>
      <c r="O74" s="308"/>
      <c r="P74" s="308"/>
      <c r="Q74" s="308"/>
      <c r="R74" s="308"/>
      <c r="S74" s="308"/>
      <c r="T74" s="308"/>
      <c r="U74" s="308"/>
    </row>
    <row r="75" spans="2:21" ht="20" customHeight="1">
      <c r="B75" s="35"/>
      <c r="F75" s="17"/>
      <c r="G75" s="23"/>
      <c r="I75" s="16"/>
    </row>
    <row r="76" spans="2:21" ht="20" customHeight="1">
      <c r="B76" s="307" t="s">
        <v>87</v>
      </c>
      <c r="C76" s="307"/>
      <c r="D76" s="307"/>
      <c r="E76" s="307"/>
      <c r="F76" s="307"/>
      <c r="G76" s="307"/>
      <c r="H76" s="307"/>
      <c r="I76" s="307"/>
      <c r="J76" s="307"/>
    </row>
    <row r="77" spans="2:21" ht="20" customHeight="1">
      <c r="C77" s="304" t="s">
        <v>138</v>
      </c>
      <c r="D77" s="304"/>
      <c r="E77" s="304"/>
      <c r="F77" s="304"/>
      <c r="G77" s="304"/>
      <c r="H77" s="304"/>
      <c r="I77" s="304"/>
      <c r="J77" s="304"/>
      <c r="K77" s="304"/>
      <c r="L77" s="304"/>
      <c r="M77" s="304"/>
      <c r="N77" s="304"/>
      <c r="O77" s="304"/>
      <c r="P77" s="304"/>
      <c r="Q77" s="304"/>
      <c r="R77" s="304"/>
      <c r="S77" s="304"/>
      <c r="T77" s="304"/>
      <c r="U77" s="304"/>
    </row>
    <row r="78" spans="2:21" ht="20" customHeight="1">
      <c r="B78" s="37"/>
      <c r="C78" s="304" t="s">
        <v>88</v>
      </c>
      <c r="D78" s="304"/>
      <c r="E78" s="304"/>
      <c r="F78" s="304"/>
      <c r="G78" s="304"/>
      <c r="H78" s="304"/>
      <c r="I78" s="304"/>
      <c r="J78" s="304"/>
      <c r="K78" s="304"/>
      <c r="L78" s="304"/>
      <c r="M78" s="304"/>
      <c r="N78" s="304"/>
      <c r="O78" s="304"/>
      <c r="P78" s="304"/>
      <c r="Q78" s="304"/>
      <c r="R78" s="304"/>
      <c r="S78" s="304"/>
      <c r="T78" s="304"/>
      <c r="U78" s="304"/>
    </row>
    <row r="79" spans="2:21" ht="33" customHeight="1">
      <c r="B79" s="38"/>
      <c r="C79" s="304" t="s">
        <v>89</v>
      </c>
      <c r="D79" s="304"/>
      <c r="E79" s="304"/>
      <c r="F79" s="304"/>
      <c r="G79" s="304"/>
      <c r="H79" s="304"/>
      <c r="I79" s="304"/>
      <c r="J79" s="304"/>
      <c r="K79" s="304"/>
      <c r="L79" s="304"/>
      <c r="M79" s="304"/>
      <c r="N79" s="304"/>
      <c r="O79" s="304"/>
      <c r="P79" s="304"/>
      <c r="Q79" s="304"/>
      <c r="R79" s="304"/>
      <c r="S79" s="304"/>
      <c r="T79" s="304"/>
      <c r="U79" s="304"/>
    </row>
    <row r="80" spans="2:21" ht="20" customHeight="1">
      <c r="B80" s="38"/>
      <c r="C80" s="304" t="s">
        <v>90</v>
      </c>
      <c r="D80" s="304"/>
      <c r="E80" s="304"/>
      <c r="F80" s="304"/>
      <c r="G80" s="304"/>
      <c r="H80" s="304"/>
      <c r="I80" s="304"/>
      <c r="J80" s="304"/>
      <c r="K80" s="304"/>
      <c r="L80" s="304"/>
      <c r="M80" s="304"/>
      <c r="N80" s="304"/>
      <c r="O80" s="304"/>
      <c r="P80" s="304"/>
      <c r="Q80" s="304"/>
      <c r="R80" s="304"/>
      <c r="S80" s="304"/>
      <c r="T80" s="304"/>
      <c r="U80" s="304"/>
    </row>
    <row r="81" spans="2:21" ht="20" customHeight="1">
      <c r="C81" s="36"/>
      <c r="D81" s="36"/>
      <c r="E81" s="36"/>
      <c r="F81" s="36"/>
      <c r="G81" s="36"/>
      <c r="H81" s="36"/>
      <c r="I81" s="36"/>
      <c r="J81" s="36"/>
    </row>
    <row r="82" spans="2:21" ht="20" customHeight="1">
      <c r="B82" s="307" t="s">
        <v>91</v>
      </c>
      <c r="C82" s="307"/>
      <c r="D82" s="307"/>
      <c r="E82" s="307"/>
      <c r="F82" s="307"/>
      <c r="G82" s="307"/>
      <c r="H82" s="307"/>
      <c r="I82" s="307"/>
      <c r="J82" s="307"/>
    </row>
    <row r="83" spans="2:21" ht="52.5" customHeight="1">
      <c r="C83" s="247" t="s">
        <v>92</v>
      </c>
      <c r="D83" s="247"/>
      <c r="E83" s="247"/>
      <c r="F83" s="247"/>
      <c r="G83" s="247"/>
      <c r="H83" s="247"/>
      <c r="I83" s="247"/>
      <c r="J83" s="247"/>
      <c r="K83" s="247"/>
      <c r="L83" s="247"/>
      <c r="M83" s="247"/>
      <c r="N83" s="247"/>
      <c r="O83" s="247"/>
      <c r="P83" s="247"/>
      <c r="Q83" s="247"/>
      <c r="R83" s="247"/>
      <c r="S83" s="247"/>
      <c r="T83" s="247"/>
      <c r="U83" s="247"/>
    </row>
    <row r="84" spans="2:21" ht="24" customHeight="1"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</row>
    <row r="85" spans="2:21" ht="20" customHeight="1">
      <c r="B85" s="307" t="s">
        <v>93</v>
      </c>
      <c r="C85" s="307"/>
      <c r="D85" s="307"/>
      <c r="E85" s="307"/>
      <c r="F85" s="307"/>
      <c r="G85" s="307"/>
      <c r="H85" s="307"/>
      <c r="I85" s="307"/>
      <c r="J85" s="307"/>
      <c r="K85" s="307"/>
      <c r="L85" s="307"/>
      <c r="M85" s="307"/>
      <c r="N85" s="307"/>
      <c r="O85" s="307"/>
      <c r="P85" s="307"/>
      <c r="Q85" s="307"/>
      <c r="R85" s="307"/>
      <c r="S85" s="307"/>
      <c r="T85" s="307"/>
      <c r="U85" s="307"/>
    </row>
    <row r="86" spans="2:21" ht="69" customHeight="1">
      <c r="C86" s="247" t="s">
        <v>139</v>
      </c>
      <c r="D86" s="247"/>
      <c r="E86" s="247"/>
      <c r="F86" s="247"/>
      <c r="G86" s="247"/>
      <c r="H86" s="247"/>
      <c r="I86" s="247"/>
      <c r="J86" s="247"/>
      <c r="K86" s="247"/>
      <c r="L86" s="247"/>
      <c r="M86" s="247"/>
      <c r="N86" s="247"/>
      <c r="O86" s="247"/>
      <c r="P86" s="247"/>
      <c r="Q86" s="247"/>
      <c r="R86" s="247"/>
      <c r="S86" s="247"/>
      <c r="T86" s="247"/>
      <c r="U86" s="247"/>
    </row>
    <row r="87" spans="2:21" ht="16.5" customHeight="1">
      <c r="C87" s="247" t="s">
        <v>94</v>
      </c>
      <c r="D87" s="247"/>
      <c r="E87" s="247"/>
      <c r="F87" s="247"/>
      <c r="G87" s="247"/>
      <c r="H87" s="247"/>
      <c r="I87" s="247"/>
      <c r="J87" s="247"/>
      <c r="K87" s="247"/>
      <c r="L87" s="247"/>
      <c r="M87" s="247"/>
      <c r="N87" s="247"/>
      <c r="O87" s="247"/>
      <c r="P87" s="247"/>
      <c r="Q87" s="247"/>
      <c r="R87" s="247"/>
      <c r="S87" s="247"/>
      <c r="T87" s="247"/>
      <c r="U87" s="247"/>
    </row>
    <row r="88" spans="2:21" ht="16.5" customHeight="1">
      <c r="C88" s="34"/>
      <c r="D88" s="304" t="s">
        <v>108</v>
      </c>
      <c r="E88" s="304"/>
      <c r="F88" s="304"/>
      <c r="G88" s="304"/>
      <c r="H88" s="304"/>
      <c r="I88" s="304"/>
      <c r="J88" s="304"/>
      <c r="K88" s="304"/>
      <c r="L88" s="304"/>
      <c r="M88" s="304"/>
      <c r="N88" s="304"/>
      <c r="O88" s="304"/>
      <c r="P88" s="304"/>
      <c r="Q88" s="304"/>
      <c r="R88" s="304"/>
      <c r="S88" s="304"/>
      <c r="T88" s="304"/>
      <c r="U88" s="304"/>
    </row>
    <row r="89" spans="2:21" ht="16.5" customHeight="1">
      <c r="C89" s="34"/>
      <c r="D89" s="304" t="s">
        <v>133</v>
      </c>
      <c r="E89" s="304"/>
      <c r="F89" s="304"/>
      <c r="G89" s="304"/>
      <c r="H89" s="304"/>
      <c r="I89" s="304"/>
      <c r="J89" s="304"/>
      <c r="K89" s="304"/>
      <c r="L89" s="304"/>
      <c r="M89" s="304"/>
      <c r="N89" s="304"/>
      <c r="O89" s="304"/>
      <c r="P89" s="304"/>
      <c r="Q89" s="304"/>
      <c r="R89" s="304"/>
      <c r="S89" s="304"/>
      <c r="T89" s="304"/>
      <c r="U89" s="304"/>
    </row>
    <row r="90" spans="2:21" ht="16.5" customHeight="1">
      <c r="C90" s="34"/>
      <c r="D90" s="304" t="s">
        <v>109</v>
      </c>
      <c r="E90" s="304"/>
      <c r="F90" s="304"/>
      <c r="G90" s="304"/>
      <c r="H90" s="304"/>
      <c r="I90" s="304"/>
      <c r="J90" s="304"/>
      <c r="K90" s="304"/>
      <c r="L90" s="304"/>
      <c r="M90" s="304"/>
      <c r="N90" s="304"/>
      <c r="O90" s="304"/>
      <c r="P90" s="304"/>
      <c r="Q90" s="304"/>
      <c r="R90" s="304"/>
      <c r="S90" s="304"/>
      <c r="T90" s="304"/>
      <c r="U90" s="304"/>
    </row>
    <row r="91" spans="2:21" ht="16.5" customHeight="1">
      <c r="C91" s="34"/>
      <c r="D91" s="304" t="s">
        <v>134</v>
      </c>
      <c r="E91" s="304"/>
      <c r="F91" s="304"/>
      <c r="G91" s="304"/>
      <c r="H91" s="304"/>
      <c r="I91" s="304"/>
      <c r="J91" s="304"/>
      <c r="K91" s="304"/>
      <c r="L91" s="304"/>
      <c r="M91" s="304"/>
      <c r="N91" s="304"/>
      <c r="O91" s="304"/>
      <c r="P91" s="304"/>
      <c r="Q91" s="304"/>
      <c r="R91" s="304"/>
      <c r="S91" s="304"/>
      <c r="T91" s="304"/>
      <c r="U91" s="304"/>
    </row>
    <row r="92" spans="2:21" ht="16.5" customHeight="1">
      <c r="C92" s="34"/>
      <c r="D92" s="304" t="s">
        <v>135</v>
      </c>
      <c r="E92" s="304"/>
      <c r="F92" s="304"/>
      <c r="G92" s="304"/>
      <c r="H92" s="304"/>
      <c r="I92" s="304"/>
      <c r="J92" s="304"/>
      <c r="K92" s="304"/>
      <c r="L92" s="304"/>
      <c r="M92" s="304"/>
      <c r="N92" s="304"/>
      <c r="O92" s="304"/>
      <c r="P92" s="304"/>
      <c r="Q92" s="304"/>
      <c r="R92" s="304"/>
      <c r="S92" s="304"/>
      <c r="T92" s="304"/>
      <c r="U92" s="304"/>
    </row>
    <row r="93" spans="2:21" ht="36" customHeight="1">
      <c r="C93" s="247" t="s">
        <v>110</v>
      </c>
      <c r="D93" s="247"/>
      <c r="E93" s="247"/>
      <c r="F93" s="247"/>
      <c r="G93" s="247"/>
      <c r="H93" s="247"/>
      <c r="I93" s="247"/>
      <c r="J93" s="247"/>
      <c r="K93" s="247"/>
      <c r="L93" s="247"/>
      <c r="M93" s="247"/>
      <c r="N93" s="247"/>
      <c r="O93" s="247"/>
      <c r="P93" s="247"/>
      <c r="Q93" s="247"/>
      <c r="R93" s="247"/>
      <c r="S93" s="247"/>
      <c r="T93" s="247"/>
      <c r="U93" s="247"/>
    </row>
    <row r="94" spans="2:21" ht="20" customHeight="1">
      <c r="B94" s="35"/>
      <c r="F94" s="17"/>
      <c r="G94" s="23"/>
      <c r="I94" s="16"/>
    </row>
    <row r="95" spans="2:21" ht="20" customHeight="1">
      <c r="B95" s="307" t="s">
        <v>96</v>
      </c>
      <c r="C95" s="307"/>
      <c r="D95" s="307"/>
      <c r="E95" s="307"/>
      <c r="F95" s="307"/>
      <c r="G95" s="307"/>
      <c r="H95" s="307"/>
      <c r="I95" s="307"/>
      <c r="J95" s="307"/>
    </row>
    <row r="96" spans="2:21" ht="21" customHeight="1">
      <c r="C96" s="247" t="s">
        <v>95</v>
      </c>
      <c r="D96" s="247"/>
      <c r="E96" s="247"/>
      <c r="F96" s="247"/>
      <c r="G96" s="247"/>
      <c r="H96" s="247"/>
      <c r="I96" s="247"/>
      <c r="J96" s="247"/>
      <c r="K96" s="247"/>
      <c r="L96" s="247"/>
      <c r="M96" s="247"/>
      <c r="N96" s="247"/>
      <c r="O96" s="247"/>
      <c r="P96" s="247"/>
      <c r="Q96" s="247"/>
      <c r="R96" s="247"/>
      <c r="S96" s="247"/>
      <c r="T96" s="247"/>
      <c r="U96" s="247"/>
    </row>
    <row r="97" spans="2:21" ht="20" customHeight="1">
      <c r="B97" s="35"/>
      <c r="F97" s="17"/>
      <c r="G97" s="23"/>
      <c r="I97" s="16"/>
    </row>
    <row r="98" spans="2:21" ht="20" customHeight="1">
      <c r="B98" s="307" t="s">
        <v>97</v>
      </c>
      <c r="C98" s="307"/>
      <c r="D98" s="307"/>
      <c r="E98" s="307"/>
      <c r="F98" s="307"/>
      <c r="G98" s="307"/>
      <c r="H98" s="307"/>
      <c r="I98" s="307"/>
      <c r="J98" s="307"/>
    </row>
    <row r="99" spans="2:21" s="40" customFormat="1" ht="37" customHeight="1">
      <c r="B99" s="41"/>
      <c r="C99" s="304" t="s">
        <v>98</v>
      </c>
      <c r="D99" s="304"/>
      <c r="E99" s="304"/>
      <c r="F99" s="304"/>
      <c r="G99" s="304"/>
      <c r="H99" s="304"/>
      <c r="I99" s="304"/>
      <c r="J99" s="304"/>
      <c r="K99" s="304"/>
      <c r="L99" s="304"/>
      <c r="M99" s="304"/>
      <c r="N99" s="304"/>
      <c r="O99" s="304"/>
      <c r="P99" s="304"/>
      <c r="Q99" s="304"/>
      <c r="R99" s="304"/>
      <c r="S99" s="304"/>
      <c r="T99" s="304"/>
      <c r="U99" s="304"/>
    </row>
    <row r="100" spans="2:21" ht="37" customHeight="1">
      <c r="C100" s="304" t="s">
        <v>128</v>
      </c>
      <c r="D100" s="304"/>
      <c r="E100" s="304"/>
      <c r="F100" s="304"/>
      <c r="G100" s="304"/>
      <c r="H100" s="304"/>
      <c r="I100" s="304"/>
      <c r="J100" s="304"/>
      <c r="K100" s="304"/>
      <c r="L100" s="304"/>
      <c r="M100" s="304"/>
      <c r="N100" s="304"/>
      <c r="O100" s="304"/>
      <c r="P100" s="304"/>
      <c r="Q100" s="304"/>
      <c r="R100" s="304"/>
      <c r="S100" s="304"/>
      <c r="T100" s="304"/>
      <c r="U100" s="304"/>
    </row>
    <row r="101" spans="2:21" ht="37" customHeight="1">
      <c r="C101" s="304" t="s">
        <v>155</v>
      </c>
      <c r="D101" s="304"/>
      <c r="E101" s="304"/>
      <c r="F101" s="304"/>
      <c r="G101" s="304"/>
      <c r="H101" s="304"/>
      <c r="I101" s="304"/>
      <c r="J101" s="304"/>
      <c r="K101" s="304"/>
      <c r="L101" s="304"/>
      <c r="M101" s="304"/>
      <c r="N101" s="304"/>
      <c r="O101" s="304"/>
      <c r="P101" s="304"/>
      <c r="Q101" s="304"/>
      <c r="R101" s="304"/>
      <c r="S101" s="304"/>
      <c r="T101" s="304"/>
      <c r="U101" s="304"/>
    </row>
    <row r="102" spans="2:21" ht="20" customHeight="1">
      <c r="B102" s="35"/>
      <c r="F102" s="17"/>
      <c r="G102" s="23"/>
      <c r="I102" s="16"/>
    </row>
    <row r="103" spans="2:21" ht="20" customHeight="1">
      <c r="B103" s="307" t="s">
        <v>99</v>
      </c>
      <c r="C103" s="307"/>
      <c r="D103" s="307"/>
      <c r="E103" s="307"/>
      <c r="F103" s="307"/>
      <c r="G103" s="307"/>
      <c r="H103" s="307"/>
      <c r="I103" s="307"/>
      <c r="J103" s="307"/>
    </row>
    <row r="104" spans="2:21" ht="29.25" customHeight="1">
      <c r="B104" s="38"/>
      <c r="C104" s="304" t="s">
        <v>100</v>
      </c>
      <c r="D104" s="304"/>
      <c r="E104" s="304"/>
      <c r="F104" s="304"/>
      <c r="G104" s="304"/>
      <c r="H104" s="304"/>
      <c r="I104" s="304"/>
      <c r="J104" s="304"/>
      <c r="K104" s="304"/>
      <c r="L104" s="304"/>
      <c r="M104" s="304"/>
      <c r="N104" s="304"/>
      <c r="O104" s="304"/>
      <c r="P104" s="304"/>
      <c r="Q104" s="304"/>
      <c r="R104" s="304"/>
      <c r="S104" s="304"/>
      <c r="T104" s="304"/>
      <c r="U104" s="304"/>
    </row>
    <row r="105" spans="2:21" ht="49" customHeight="1">
      <c r="B105" s="38"/>
      <c r="C105" s="304" t="s">
        <v>101</v>
      </c>
      <c r="D105" s="304"/>
      <c r="E105" s="304"/>
      <c r="F105" s="304"/>
      <c r="G105" s="304"/>
      <c r="H105" s="304"/>
      <c r="I105" s="304"/>
      <c r="J105" s="304"/>
      <c r="K105" s="304"/>
      <c r="L105" s="304"/>
      <c r="M105" s="304"/>
      <c r="N105" s="304"/>
      <c r="O105" s="304"/>
      <c r="P105" s="304"/>
      <c r="Q105" s="304"/>
      <c r="R105" s="304"/>
      <c r="S105" s="304"/>
      <c r="T105" s="304"/>
      <c r="U105" s="304"/>
    </row>
    <row r="106" spans="2:21" ht="37" customHeight="1">
      <c r="B106" s="38"/>
      <c r="C106" s="304" t="s">
        <v>129</v>
      </c>
      <c r="D106" s="304"/>
      <c r="E106" s="304"/>
      <c r="F106" s="304"/>
      <c r="G106" s="304"/>
      <c r="H106" s="304"/>
      <c r="I106" s="304"/>
      <c r="J106" s="304"/>
      <c r="K106" s="304"/>
      <c r="L106" s="304"/>
      <c r="M106" s="304"/>
      <c r="N106" s="304"/>
      <c r="O106" s="304"/>
      <c r="P106" s="304"/>
      <c r="Q106" s="304"/>
      <c r="R106" s="304"/>
      <c r="S106" s="304"/>
      <c r="T106" s="304"/>
      <c r="U106" s="304"/>
    </row>
    <row r="107" spans="2:21" s="40" customFormat="1" ht="37" customHeight="1">
      <c r="B107" s="42"/>
      <c r="C107" s="304" t="s">
        <v>102</v>
      </c>
      <c r="D107" s="304"/>
      <c r="E107" s="304"/>
      <c r="F107" s="304"/>
      <c r="G107" s="304"/>
      <c r="H107" s="304"/>
      <c r="I107" s="304"/>
      <c r="J107" s="304"/>
      <c r="K107" s="304"/>
      <c r="L107" s="304"/>
      <c r="M107" s="304"/>
      <c r="N107" s="304"/>
      <c r="O107" s="304"/>
      <c r="P107" s="304"/>
      <c r="Q107" s="304"/>
      <c r="R107" s="304"/>
      <c r="S107" s="304"/>
      <c r="T107" s="304"/>
      <c r="U107" s="304"/>
    </row>
    <row r="108" spans="2:21" ht="52.75" customHeight="1">
      <c r="C108" s="304" t="s">
        <v>156</v>
      </c>
      <c r="D108" s="304"/>
      <c r="E108" s="304"/>
      <c r="F108" s="304"/>
      <c r="G108" s="304"/>
      <c r="H108" s="304"/>
      <c r="I108" s="304"/>
      <c r="J108" s="304"/>
      <c r="K108" s="304"/>
      <c r="L108" s="304"/>
      <c r="M108" s="304"/>
      <c r="N108" s="304"/>
      <c r="O108" s="304"/>
      <c r="P108" s="304"/>
      <c r="Q108" s="304"/>
      <c r="R108" s="304"/>
      <c r="S108" s="304"/>
      <c r="T108" s="304"/>
      <c r="U108" s="304"/>
    </row>
    <row r="109" spans="2:21" ht="37" customHeight="1">
      <c r="C109" s="304" t="s">
        <v>103</v>
      </c>
      <c r="D109" s="304"/>
      <c r="E109" s="304"/>
      <c r="F109" s="304"/>
      <c r="G109" s="304"/>
      <c r="H109" s="304"/>
      <c r="I109" s="304"/>
      <c r="J109" s="304"/>
      <c r="K109" s="304"/>
      <c r="L109" s="304"/>
      <c r="M109" s="304"/>
      <c r="N109" s="304"/>
      <c r="O109" s="304"/>
      <c r="P109" s="304"/>
      <c r="Q109" s="304"/>
      <c r="R109" s="304"/>
      <c r="S109" s="304"/>
      <c r="T109" s="304"/>
      <c r="U109" s="304"/>
    </row>
    <row r="110" spans="2:21" ht="49" customHeight="1">
      <c r="C110" s="304" t="s">
        <v>140</v>
      </c>
      <c r="D110" s="304"/>
      <c r="E110" s="304"/>
      <c r="F110" s="304"/>
      <c r="G110" s="304"/>
      <c r="H110" s="304"/>
      <c r="I110" s="304"/>
      <c r="J110" s="304"/>
      <c r="K110" s="304"/>
      <c r="L110" s="304"/>
      <c r="M110" s="304"/>
      <c r="N110" s="304"/>
      <c r="O110" s="304"/>
      <c r="P110" s="304"/>
      <c r="Q110" s="304"/>
      <c r="R110" s="304"/>
      <c r="S110" s="304"/>
      <c r="T110" s="304"/>
      <c r="U110" s="304"/>
    </row>
    <row r="111" spans="2:21" ht="25" customHeight="1"/>
    <row r="112" spans="2:21" ht="25" customHeight="1"/>
    <row r="113" ht="25" customHeight="1"/>
    <row r="114" ht="25" customHeight="1"/>
    <row r="115" ht="25" customHeight="1"/>
  </sheetData>
  <mergeCells count="110">
    <mergeCell ref="C107:U107"/>
    <mergeCell ref="C108:U108"/>
    <mergeCell ref="C109:U109"/>
    <mergeCell ref="C110:U110"/>
    <mergeCell ref="C96:U96"/>
    <mergeCell ref="B98:J98"/>
    <mergeCell ref="C99:U99"/>
    <mergeCell ref="C100:U100"/>
    <mergeCell ref="C101:U101"/>
    <mergeCell ref="B103:J103"/>
    <mergeCell ref="C104:U104"/>
    <mergeCell ref="C105:U105"/>
    <mergeCell ref="C106:U106"/>
    <mergeCell ref="C86:U86"/>
    <mergeCell ref="C87:U87"/>
    <mergeCell ref="D88:U88"/>
    <mergeCell ref="D89:U89"/>
    <mergeCell ref="D90:U90"/>
    <mergeCell ref="D91:U91"/>
    <mergeCell ref="D92:U92"/>
    <mergeCell ref="C93:U93"/>
    <mergeCell ref="B95:J95"/>
    <mergeCell ref="C74:U74"/>
    <mergeCell ref="B76:J76"/>
    <mergeCell ref="C77:U77"/>
    <mergeCell ref="C78:U78"/>
    <mergeCell ref="C79:U79"/>
    <mergeCell ref="C80:U80"/>
    <mergeCell ref="B82:J82"/>
    <mergeCell ref="C83:U83"/>
    <mergeCell ref="B85:U85"/>
    <mergeCell ref="B62:U62"/>
    <mergeCell ref="B64:J64"/>
    <mergeCell ref="C65:U65"/>
    <mergeCell ref="B67:U67"/>
    <mergeCell ref="C68:U68"/>
    <mergeCell ref="D69:U69"/>
    <mergeCell ref="D70:U70"/>
    <mergeCell ref="D71:U71"/>
    <mergeCell ref="B73:U73"/>
    <mergeCell ref="B55:E55"/>
    <mergeCell ref="F55:J55"/>
    <mergeCell ref="L55:O55"/>
    <mergeCell ref="P55:T55"/>
    <mergeCell ref="B56:U56"/>
    <mergeCell ref="B57:U57"/>
    <mergeCell ref="B59:U59"/>
    <mergeCell ref="B60:U60"/>
    <mergeCell ref="B61:H61"/>
    <mergeCell ref="I61:U61"/>
    <mergeCell ref="B52:K52"/>
    <mergeCell ref="L52:U52"/>
    <mergeCell ref="B53:E53"/>
    <mergeCell ref="F53:K53"/>
    <mergeCell ref="L53:O53"/>
    <mergeCell ref="P53:U53"/>
    <mergeCell ref="B54:E54"/>
    <mergeCell ref="F54:K54"/>
    <mergeCell ref="L54:O54"/>
    <mergeCell ref="P54:U54"/>
    <mergeCell ref="B44:E44"/>
    <mergeCell ref="B45:U45"/>
    <mergeCell ref="B47:F47"/>
    <mergeCell ref="G47:U47"/>
    <mergeCell ref="E48:U48"/>
    <mergeCell ref="E49:U49"/>
    <mergeCell ref="B50:E50"/>
    <mergeCell ref="B51:F51"/>
    <mergeCell ref="G51:U51"/>
    <mergeCell ref="B35:C43"/>
    <mergeCell ref="D35:F35"/>
    <mergeCell ref="G35:L35"/>
    <mergeCell ref="M35:U35"/>
    <mergeCell ref="D36:F36"/>
    <mergeCell ref="G36:U36"/>
    <mergeCell ref="D37:F37"/>
    <mergeCell ref="G37:U37"/>
    <mergeCell ref="D38:F38"/>
    <mergeCell ref="G38:U38"/>
    <mergeCell ref="D39:F39"/>
    <mergeCell ref="G39:U39"/>
    <mergeCell ref="D40:F41"/>
    <mergeCell ref="G40:U40"/>
    <mergeCell ref="G41:H41"/>
    <mergeCell ref="I41:M41"/>
    <mergeCell ref="O41:P41"/>
    <mergeCell ref="Q41:U41"/>
    <mergeCell ref="D42:F42"/>
    <mergeCell ref="G42:U42"/>
    <mergeCell ref="D43:F43"/>
    <mergeCell ref="G43:U43"/>
    <mergeCell ref="B28:U28"/>
    <mergeCell ref="B29:C34"/>
    <mergeCell ref="D29:F29"/>
    <mergeCell ref="G29:U29"/>
    <mergeCell ref="D30:F34"/>
    <mergeCell ref="G30:U30"/>
    <mergeCell ref="G31:U31"/>
    <mergeCell ref="G32:U32"/>
    <mergeCell ref="G33:U33"/>
    <mergeCell ref="G34:U34"/>
    <mergeCell ref="B7:U7"/>
    <mergeCell ref="B8:U8"/>
    <mergeCell ref="B9:U9"/>
    <mergeCell ref="B10:U10"/>
    <mergeCell ref="B16:U16"/>
    <mergeCell ref="B22:U22"/>
    <mergeCell ref="I23:S23"/>
    <mergeCell ref="I24:T24"/>
    <mergeCell ref="I25:T25"/>
  </mergeCells>
  <phoneticPr fontId="1" type="noConversion"/>
  <pageMargins left="0.79" right="0.79" top="0.59" bottom="0.39" header="0.31" footer="0.31"/>
  <pageSetup paperSize="9" scale="80" orientation="portrait"/>
  <rowBreaks count="4" manualBreakCount="4">
    <brk id="27" min="1" max="20" man="1"/>
    <brk id="55" min="1" max="20" man="1"/>
    <brk id="84" max="16383" man="1"/>
    <brk id="110" min="1" max="20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3</Pages>
  <Words>0</Words>
  <Characters>0</Characters>
  <Application>Microsoft Macintosh Excel</Application>
  <DocSecurity>0</DocSecurity>
  <Lines>0</Lines>
  <Paragraphs>0</Paragraphs>
  <MMClips>0</MMClips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3</vt:i4>
      </vt:variant>
    </vt:vector>
  </HeadingPairs>
  <TitlesOfParts>
    <vt:vector size="6" baseType="lpstr">
      <vt:lpstr>갑지</vt:lpstr>
      <vt:lpstr>대가산출</vt:lpstr>
      <vt:lpstr>계약서1</vt:lpstr>
      <vt:lpstr>갑지!Print_Area</vt:lpstr>
      <vt:lpstr>계약서1!Print_Area</vt:lpstr>
      <vt:lpstr>대가산출!Print_Area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ì—ì´ì•¤ë¹„</dc:creator>
  <cp:lastModifiedBy>JAEHYEON SEONG</cp:lastModifiedBy>
  <cp:revision>3</cp:revision>
  <cp:lastPrinted>2026-04-10T07:00:31Z</cp:lastPrinted>
  <dcterms:modified xsi:type="dcterms:W3CDTF">2026-04-13T06:14:47Z</dcterms:modified>
</cp:coreProperties>
</file>